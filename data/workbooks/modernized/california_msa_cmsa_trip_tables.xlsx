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D-MSA(Val)" sheetId="1" state="visible" r:id="rId3"/>
    <sheet name="OD-MSA" sheetId="2" state="visible" r:id="rId4"/>
    <sheet name="OD-CMSA(Val)" sheetId="3" state="visible" r:id="rId5"/>
    <sheet name="OD-CMSA" sheetId="4" state="visible" r:id="rId6"/>
    <sheet name="MASTER6" sheetId="5" state="visible" r:id="rId7"/>
    <sheet name="MSA-Lookup" sheetId="6" state="visible" r:id="rId8"/>
  </sheets>
  <definedNames>
    <definedName function="false" hidden="false" localSheetId="5" name="Excel_BuiltIn_Extract" vbProcedure="false">'MSA-Lookup'!$Q$1:$S$1</definedName>
    <definedName function="false" hidden="false" localSheetId="5" name="Excel_BuiltIn__FilterDatabase" vbProcedure="false">'MSA-Lookup'!$M$1:$N$86</definedName>
  </definedNames>
  <calcPr iterateCount="100" refMode="A1" iterate="false" iterateDelta="0.001"/>
  <pivotCaches>
    <pivotCache cacheId="1" r:id="rId10"/>
    <pivotCache cacheId="2" r:id="rId11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<sst xmlns="http://schemas.openxmlformats.org/spreadsheetml/2006/main" count="354" uniqueCount="119">
  <si>
    <t xml:space="preserve">Sum of TRIPS</t>
  </si>
  <si>
    <t xml:space="preserve">D-MSA</t>
  </si>
  <si>
    <t xml:space="preserve">NoNeighbor</t>
  </si>
  <si>
    <t xml:space="preserve">O-MSA</t>
  </si>
  <si>
    <t xml:space="preserve">Grand Total</t>
  </si>
  <si>
    <t xml:space="preserve">NAME</t>
  </si>
  <si>
    <t xml:space="preserve">Residents who Work of DMLPUMA</t>
  </si>
  <si>
    <t xml:space="preserve">Residents Who Work In DML PUMA</t>
  </si>
  <si>
    <t xml:space="preserve">Total Workers</t>
  </si>
  <si>
    <t xml:space="preserve">Total Population</t>
  </si>
  <si>
    <t xml:space="preserve">ExportedLabor</t>
  </si>
  <si>
    <t xml:space="preserve">ResidentWorkers</t>
  </si>
  <si>
    <t xml:space="preserve">Non-ResidentWorkers</t>
  </si>
  <si>
    <t xml:space="preserve">ImportedLabor</t>
  </si>
  <si>
    <t xml:space="preserve">TollShare</t>
  </si>
  <si>
    <t xml:space="preserve">TotalPop*TollShare</t>
  </si>
  <si>
    <t xml:space="preserve">Anaheim</t>
  </si>
  <si>
    <t xml:space="preserve">Bakersfield</t>
  </si>
  <si>
    <t xml:space="preserve">Chico</t>
  </si>
  <si>
    <t xml:space="preserve">Fresno</t>
  </si>
  <si>
    <t xml:space="preserve">Los Angeles (LA)</t>
  </si>
  <si>
    <t xml:space="preserve">Merced</t>
  </si>
  <si>
    <t xml:space="preserve">Modesto</t>
  </si>
  <si>
    <t xml:space="preserve">Oakland (SF)</t>
  </si>
  <si>
    <t xml:space="preserve">Oxnard-Ventura (LA)</t>
  </si>
  <si>
    <t xml:space="preserve">Redding</t>
  </si>
  <si>
    <t xml:space="preserve">Riverside (LA)</t>
  </si>
  <si>
    <t xml:space="preserve">Sacramento</t>
  </si>
  <si>
    <t xml:space="preserve">Salinas</t>
  </si>
  <si>
    <t xml:space="preserve">San Diego</t>
  </si>
  <si>
    <t xml:space="preserve">San Francisco (SF)</t>
  </si>
  <si>
    <t xml:space="preserve">San Jose (SF)</t>
  </si>
  <si>
    <t xml:space="preserve">Santa Barbara</t>
  </si>
  <si>
    <t xml:space="preserve">Santa Cruz (SF)</t>
  </si>
  <si>
    <t xml:space="preserve">Santa Rosa (SF)</t>
  </si>
  <si>
    <t xml:space="preserve">Stockton</t>
  </si>
  <si>
    <t xml:space="preserve">Vallejo (SF)</t>
  </si>
  <si>
    <t xml:space="preserve">Visalia</t>
  </si>
  <si>
    <t xml:space="preserve">Yuba</t>
  </si>
  <si>
    <t xml:space="preserve">Non-Metro</t>
  </si>
  <si>
    <t xml:space="preserve">TOTAL</t>
  </si>
  <si>
    <t xml:space="preserve">AVERAGE</t>
  </si>
  <si>
    <t xml:space="preserve">D-CMSA</t>
  </si>
  <si>
    <t xml:space="preserve">DMLPUMA</t>
  </si>
  <si>
    <t xml:space="preserve">O-CMSA</t>
  </si>
  <si>
    <t xml:space="preserve">Resident Workers</t>
  </si>
  <si>
    <t xml:space="preserve">InMetroWorkers</t>
  </si>
  <si>
    <t xml:space="preserve">Non-MetroWorkers</t>
  </si>
  <si>
    <t xml:space="preserve">ImportedWorkers</t>
  </si>
  <si>
    <t xml:space="preserve">PredictedTollShare</t>
  </si>
  <si>
    <t xml:space="preserve">Los Angeles</t>
  </si>
  <si>
    <t xml:space="preserve">San Francisco</t>
  </si>
  <si>
    <t xml:space="preserve">NonMetro</t>
  </si>
  <si>
    <t xml:space="preserve">O-INTPUMA</t>
  </si>
  <si>
    <t xml:space="preserve">D-INTPUMA</t>
  </si>
  <si>
    <t xml:space="preserve">TRIPS</t>
  </si>
  <si>
    <t xml:space="preserve">INTPUMA</t>
  </si>
  <si>
    <t xml:space="preserve">COU</t>
  </si>
  <si>
    <t xml:space="preserve">MSA/PMSA</t>
  </si>
  <si>
    <t xml:space="preserve">Representative County</t>
  </si>
  <si>
    <t xml:space="preserve">CMSA</t>
  </si>
  <si>
    <t xml:space="preserve">Alameda County (part)</t>
  </si>
  <si>
    <t xml:space="preserve">Orange County (part)</t>
  </si>
  <si>
    <t xml:space="preserve">Alpine County</t>
  </si>
  <si>
    <t xml:space="preserve">Kern County (part)</t>
  </si>
  <si>
    <t xml:space="preserve">Amador County</t>
  </si>
  <si>
    <t xml:space="preserve">Butte County</t>
  </si>
  <si>
    <t xml:space="preserve">Fresno County (part)</t>
  </si>
  <si>
    <t xml:space="preserve">Calaveras County</t>
  </si>
  <si>
    <t xml:space="preserve">Los Angeles County (part)</t>
  </si>
  <si>
    <t xml:space="preserve">Colusa County</t>
  </si>
  <si>
    <t xml:space="preserve">Merced County</t>
  </si>
  <si>
    <t xml:space="preserve">Contra Costa County (part)</t>
  </si>
  <si>
    <t xml:space="preserve">Stanislaus County (part)</t>
  </si>
  <si>
    <t xml:space="preserve">Del Norte County</t>
  </si>
  <si>
    <t xml:space="preserve">El Dorado County</t>
  </si>
  <si>
    <t xml:space="preserve">Ventura County (part)</t>
  </si>
  <si>
    <t xml:space="preserve">Glenn County</t>
  </si>
  <si>
    <t xml:space="preserve">Shasta County</t>
  </si>
  <si>
    <t xml:space="preserve">Humboldt County</t>
  </si>
  <si>
    <t xml:space="preserve">Riverside County (part)</t>
  </si>
  <si>
    <t xml:space="preserve">Imperial County</t>
  </si>
  <si>
    <t xml:space="preserve">San Bernardino County (part)</t>
  </si>
  <si>
    <t xml:space="preserve">Inyo County</t>
  </si>
  <si>
    <t xml:space="preserve">Yolo County</t>
  </si>
  <si>
    <t xml:space="preserve">Placer County</t>
  </si>
  <si>
    <t xml:space="preserve">Kings County</t>
  </si>
  <si>
    <t xml:space="preserve">Lake County</t>
  </si>
  <si>
    <t xml:space="preserve">Sacramento County (part)</t>
  </si>
  <si>
    <t xml:space="preserve">Lassen County</t>
  </si>
  <si>
    <t xml:space="preserve">Monterey County (part)</t>
  </si>
  <si>
    <t xml:space="preserve">San Diego County (part)</t>
  </si>
  <si>
    <t xml:space="preserve">Madera County</t>
  </si>
  <si>
    <t xml:space="preserve">Marin County (part)</t>
  </si>
  <si>
    <t xml:space="preserve">San Francisco city (part)</t>
  </si>
  <si>
    <t xml:space="preserve">Mariposa County</t>
  </si>
  <si>
    <t xml:space="preserve">San Mateo County (part)</t>
  </si>
  <si>
    <t xml:space="preserve">Mendocino County</t>
  </si>
  <si>
    <t xml:space="preserve">Santa Clara County (part)</t>
  </si>
  <si>
    <t xml:space="preserve">Santa Barbara County (part)</t>
  </si>
  <si>
    <t xml:space="preserve">Modoc County</t>
  </si>
  <si>
    <t xml:space="preserve">Santa Cruz County</t>
  </si>
  <si>
    <t xml:space="preserve">Mono County</t>
  </si>
  <si>
    <t xml:space="preserve">Sonoma County (part)</t>
  </si>
  <si>
    <t xml:space="preserve">San Joaquin County (part)</t>
  </si>
  <si>
    <t xml:space="preserve">Napa County</t>
  </si>
  <si>
    <t xml:space="preserve">Nevada County</t>
  </si>
  <si>
    <t xml:space="preserve">Solano County</t>
  </si>
  <si>
    <t xml:space="preserve">Tulare County</t>
  </si>
  <si>
    <t xml:space="preserve">Yuba County</t>
  </si>
  <si>
    <t xml:space="preserve">Plumas County</t>
  </si>
  <si>
    <t xml:space="preserve">Siskiyou County</t>
  </si>
  <si>
    <t xml:space="preserve">San Benito County</t>
  </si>
  <si>
    <t xml:space="preserve">Trinity County</t>
  </si>
  <si>
    <t xml:space="preserve">Sierra County</t>
  </si>
  <si>
    <t xml:space="preserve">Tuolumne County</t>
  </si>
  <si>
    <t xml:space="preserve">San Luis Obispo County (part)</t>
  </si>
  <si>
    <t xml:space="preserve">Sutter County</t>
  </si>
  <si>
    <t xml:space="preserve">Tehama County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</si>
</sst>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"/>
    <numFmt numFmtId="168" formatCode="0.00E+0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33" createdVersion="3">
  <cacheSource type="worksheet">
    <worksheetSource ref="D1:F6334" sheet="MASTER6"/>
  </cacheSource>
  <cacheFields count="3">
    <cacheField name="TRIPS" numFmtId="0">
      <sharedItems containsSemiMixedTypes="0" containsString="0" containsNumber="1" containsInteger="1" minValue="0" maxValue="1845064" count="593">
        <n v="0"/>
        <n v="13"/>
        <n v="26"/>
        <n v="39"/>
        <n v="52"/>
        <n v="65"/>
        <n v="78"/>
        <n v="91"/>
        <n v="104"/>
        <n v="117"/>
        <n v="130"/>
        <n v="143"/>
        <n v="156"/>
        <n v="169"/>
        <n v="182"/>
        <n v="195"/>
        <n v="208"/>
        <n v="221"/>
        <n v="234"/>
        <n v="247"/>
        <n v="260"/>
        <n v="273"/>
        <n v="286"/>
        <n v="299"/>
        <n v="312"/>
        <n v="325"/>
        <n v="338"/>
        <n v="351"/>
        <n v="364"/>
        <n v="377"/>
        <n v="390"/>
        <n v="403"/>
        <n v="416"/>
        <n v="429"/>
        <n v="442"/>
        <n v="455"/>
        <n v="468"/>
        <n v="481"/>
        <n v="494"/>
        <n v="507"/>
        <n v="520"/>
        <n v="533"/>
        <n v="546"/>
        <n v="559"/>
        <n v="572"/>
        <n v="585"/>
        <n v="598"/>
        <n v="611"/>
        <n v="624"/>
        <n v="637"/>
        <n v="650"/>
        <n v="663"/>
        <n v="676"/>
        <n v="689"/>
        <n v="702"/>
        <n v="715"/>
        <n v="728"/>
        <n v="754"/>
        <n v="767"/>
        <n v="780"/>
        <n v="793"/>
        <n v="806"/>
        <n v="819"/>
        <n v="832"/>
        <n v="845"/>
        <n v="858"/>
        <n v="871"/>
        <n v="884"/>
        <n v="897"/>
        <n v="910"/>
        <n v="923"/>
        <n v="936"/>
        <n v="949"/>
        <n v="962"/>
        <n v="975"/>
        <n v="988"/>
        <n v="1001"/>
        <n v="1014"/>
        <n v="1027"/>
        <n v="1040"/>
        <n v="1053"/>
        <n v="1066"/>
        <n v="1079"/>
        <n v="1092"/>
        <n v="1105"/>
        <n v="1118"/>
        <n v="1131"/>
        <n v="1157"/>
        <n v="1170"/>
        <n v="1183"/>
        <n v="1196"/>
        <n v="1209"/>
        <n v="1222"/>
        <n v="1235"/>
        <n v="1261"/>
        <n v="1274"/>
        <n v="1287"/>
        <n v="1300"/>
        <n v="1313"/>
        <n v="1326"/>
        <n v="1339"/>
        <n v="1365"/>
        <n v="1391"/>
        <n v="1404"/>
        <n v="1417"/>
        <n v="1430"/>
        <n v="1443"/>
        <n v="1456"/>
        <n v="1469"/>
        <n v="1482"/>
        <n v="1495"/>
        <n v="1508"/>
        <n v="1521"/>
        <n v="1534"/>
        <n v="1547"/>
        <n v="1560"/>
        <n v="1573"/>
        <n v="1586"/>
        <n v="1599"/>
        <n v="1612"/>
        <n v="1625"/>
        <n v="1638"/>
        <n v="1651"/>
        <n v="1677"/>
        <n v="1703"/>
        <n v="1716"/>
        <n v="1729"/>
        <n v="1742"/>
        <n v="1768"/>
        <n v="1781"/>
        <n v="1794"/>
        <n v="1807"/>
        <n v="1820"/>
        <n v="1859"/>
        <n v="1872"/>
        <n v="1885"/>
        <n v="1898"/>
        <n v="1911"/>
        <n v="1924"/>
        <n v="1937"/>
        <n v="1963"/>
        <n v="1976"/>
        <n v="2015"/>
        <n v="2041"/>
        <n v="2054"/>
        <n v="2093"/>
        <n v="2145"/>
        <n v="2184"/>
        <n v="2210"/>
        <n v="2236"/>
        <n v="2262"/>
        <n v="2275"/>
        <n v="2288"/>
        <n v="2301"/>
        <n v="2314"/>
        <n v="2327"/>
        <n v="2405"/>
        <n v="2444"/>
        <n v="2457"/>
        <n v="2470"/>
        <n v="2496"/>
        <n v="2509"/>
        <n v="2535"/>
        <n v="2548"/>
        <n v="2574"/>
        <n v="2587"/>
        <n v="2600"/>
        <n v="2613"/>
        <n v="2626"/>
        <n v="2652"/>
        <n v="2678"/>
        <n v="2691"/>
        <n v="2717"/>
        <n v="2743"/>
        <n v="2795"/>
        <n v="2821"/>
        <n v="2886"/>
        <n v="2899"/>
        <n v="2925"/>
        <n v="2938"/>
        <n v="2964"/>
        <n v="2990"/>
        <n v="3029"/>
        <n v="3081"/>
        <n v="3107"/>
        <n v="3120"/>
        <n v="3172"/>
        <n v="3198"/>
        <n v="3237"/>
        <n v="3263"/>
        <n v="3289"/>
        <n v="3302"/>
        <n v="3315"/>
        <n v="3341"/>
        <n v="3380"/>
        <n v="3510"/>
        <n v="3536"/>
        <n v="3549"/>
        <n v="3588"/>
        <n v="3614"/>
        <n v="3627"/>
        <n v="3653"/>
        <n v="3666"/>
        <n v="3705"/>
        <n v="3718"/>
        <n v="3744"/>
        <n v="3796"/>
        <n v="3809"/>
        <n v="3822"/>
        <n v="3835"/>
        <n v="3861"/>
        <n v="3913"/>
        <n v="3926"/>
        <n v="3952"/>
        <n v="3978"/>
        <n v="4017"/>
        <n v="4030"/>
        <n v="4056"/>
        <n v="4069"/>
        <n v="4095"/>
        <n v="4173"/>
        <n v="4199"/>
        <n v="4225"/>
        <n v="4238"/>
        <n v="4303"/>
        <n v="4329"/>
        <n v="4355"/>
        <n v="4368"/>
        <n v="4381"/>
        <n v="4433"/>
        <n v="4524"/>
        <n v="4615"/>
        <n v="4628"/>
        <n v="4667"/>
        <n v="4706"/>
        <n v="4719"/>
        <n v="4810"/>
        <n v="4849"/>
        <n v="4901"/>
        <n v="4927"/>
        <n v="4940"/>
        <n v="5018"/>
        <n v="5044"/>
        <n v="5109"/>
        <n v="5122"/>
        <n v="5161"/>
        <n v="5174"/>
        <n v="5239"/>
        <n v="5278"/>
        <n v="5369"/>
        <n v="5512"/>
        <n v="5577"/>
        <n v="5642"/>
        <n v="5707"/>
        <n v="5811"/>
        <n v="5876"/>
        <n v="5980"/>
        <n v="6214"/>
        <n v="6253"/>
        <n v="6305"/>
        <n v="6331"/>
        <n v="6435"/>
        <n v="6487"/>
        <n v="6591"/>
        <n v="6604"/>
        <n v="6695"/>
        <n v="6708"/>
        <n v="6721"/>
        <n v="6890"/>
        <n v="6903"/>
        <n v="7085"/>
        <n v="7189"/>
        <n v="7254"/>
        <n v="7371"/>
        <n v="7514"/>
        <n v="7527"/>
        <n v="7631"/>
        <n v="7852"/>
        <n v="7917"/>
        <n v="7982"/>
        <n v="8060"/>
        <n v="8125"/>
        <n v="8151"/>
        <n v="8229"/>
        <n v="8255"/>
        <n v="8320"/>
        <n v="8398"/>
        <n v="8450"/>
        <n v="8619"/>
        <n v="8801"/>
        <n v="8814"/>
        <n v="8879"/>
        <n v="8996"/>
        <n v="9256"/>
        <n v="9555"/>
        <n v="9672"/>
        <n v="9711"/>
        <n v="9724"/>
        <n v="9750"/>
        <n v="9815"/>
        <n v="9841"/>
        <n v="9919"/>
        <n v="10049"/>
        <n v="10205"/>
        <n v="10283"/>
        <n v="10348"/>
        <n v="10933"/>
        <n v="11076"/>
        <n v="11089"/>
        <n v="11141"/>
        <n v="11167"/>
        <n v="11219"/>
        <n v="11505"/>
        <n v="11674"/>
        <n v="11856"/>
        <n v="11934"/>
        <n v="11947"/>
        <n v="12220"/>
        <n v="12337"/>
        <n v="12350"/>
        <n v="12506"/>
        <n v="12662"/>
        <n v="12818"/>
        <n v="12883"/>
        <n v="12922"/>
        <n v="12935"/>
        <n v="12974"/>
        <n v="13039"/>
        <n v="13221"/>
        <n v="13234"/>
        <n v="13429"/>
        <n v="13468"/>
        <n v="13494"/>
        <n v="13533"/>
        <n v="13546"/>
        <n v="13598"/>
        <n v="13611"/>
        <n v="13780"/>
        <n v="13793"/>
        <n v="13858"/>
        <n v="13910"/>
        <n v="14196"/>
        <n v="14222"/>
        <n v="14235"/>
        <n v="14248"/>
        <n v="14352"/>
        <n v="14482"/>
        <n v="14781"/>
        <n v="14807"/>
        <n v="14885"/>
        <n v="15015"/>
        <n v="15041"/>
        <n v="15054"/>
        <n v="15145"/>
        <n v="15288"/>
        <n v="15366"/>
        <n v="15912"/>
        <n v="16029"/>
        <n v="16055"/>
        <n v="16081"/>
        <n v="16367"/>
        <n v="16406"/>
        <n v="16445"/>
        <n v="16471"/>
        <n v="16822"/>
        <n v="16939"/>
        <n v="17420"/>
        <n v="17498"/>
        <n v="17537"/>
        <n v="17602"/>
        <n v="17758"/>
        <n v="17784"/>
        <n v="17823"/>
        <n v="18044"/>
        <n v="18304"/>
        <n v="18343"/>
        <n v="18473"/>
        <n v="18629"/>
        <n v="19071"/>
        <n v="19318"/>
        <n v="19344"/>
        <n v="19383"/>
        <n v="19682"/>
        <n v="19695"/>
        <n v="19747"/>
        <n v="19799"/>
        <n v="19968"/>
        <n v="20527"/>
        <n v="20917"/>
        <n v="21203"/>
        <n v="21268"/>
        <n v="21307"/>
        <n v="21775"/>
        <n v="21957"/>
        <n v="22555"/>
        <n v="22893"/>
        <n v="23023"/>
        <n v="23049"/>
        <n v="23192"/>
        <n v="23660"/>
        <n v="23673"/>
        <n v="23699"/>
        <n v="23803"/>
        <n v="24388"/>
        <n v="24934"/>
        <n v="25129"/>
        <n v="25506"/>
        <n v="25610"/>
        <n v="25623"/>
        <n v="25688"/>
        <n v="26182"/>
        <n v="26650"/>
        <n v="26676"/>
        <n v="26858"/>
        <n v="27274"/>
        <n v="27664"/>
        <n v="28613"/>
        <n v="29393"/>
        <n v="29861"/>
        <n v="30563"/>
        <n v="30693"/>
        <n v="30706"/>
        <n v="32175"/>
        <n v="32396"/>
        <n v="32903"/>
        <n v="33098"/>
        <n v="33371"/>
        <n v="33397"/>
        <n v="33527"/>
        <n v="33917"/>
        <n v="34047"/>
        <n v="34346"/>
        <n v="34372"/>
        <n v="34944"/>
        <n v="35828"/>
        <n v="36257"/>
        <n v="36374"/>
        <n v="37583"/>
        <n v="37791"/>
        <n v="37934"/>
        <n v="38259"/>
        <n v="38376"/>
        <n v="38493"/>
        <n v="40924"/>
        <n v="41964"/>
        <n v="42302"/>
        <n v="43914"/>
        <n v="44408"/>
        <n v="44824"/>
        <n v="45084"/>
        <n v="46007"/>
        <n v="46176"/>
        <n v="47411"/>
        <n v="47697"/>
        <n v="49153"/>
        <n v="49257"/>
        <n v="49543"/>
        <n v="49764"/>
        <n v="50973"/>
        <n v="52455"/>
        <n v="52624"/>
        <n v="53183"/>
        <n v="53495"/>
        <n v="53742"/>
        <n v="53898"/>
        <n v="54197"/>
        <n v="54691"/>
        <n v="54756"/>
        <n v="55562"/>
        <n v="56004"/>
        <n v="56017"/>
        <n v="56394"/>
        <n v="56628"/>
        <n v="56823"/>
        <n v="57291"/>
        <n v="57447"/>
        <n v="58201"/>
        <n v="59202"/>
        <n v="59839"/>
        <n v="59956"/>
        <n v="60294"/>
        <n v="60866"/>
        <n v="61087"/>
        <n v="61399"/>
        <n v="62361"/>
        <n v="62647"/>
        <n v="63609"/>
        <n v="64883"/>
        <n v="65169"/>
        <n v="66183"/>
        <n v="66196"/>
        <n v="66378"/>
        <n v="66781"/>
        <n v="66976"/>
        <n v="67041"/>
        <n v="67470"/>
        <n v="67678"/>
        <n v="67782"/>
        <n v="67912"/>
        <n v="70278"/>
        <n v="70434"/>
        <n v="70551"/>
        <n v="70980"/>
        <n v="71240"/>
        <n v="71305"/>
        <n v="72020"/>
        <n v="72592"/>
        <n v="73463"/>
        <n v="73580"/>
        <n v="73723"/>
        <n v="74074"/>
        <n v="75231"/>
        <n v="77246"/>
        <n v="77454"/>
        <n v="78299"/>
        <n v="79183"/>
        <n v="80925"/>
        <n v="81172"/>
        <n v="82537"/>
        <n v="84006"/>
        <n v="86619"/>
        <n v="88868"/>
        <n v="90948"/>
        <n v="93327"/>
        <n v="93795"/>
        <n v="94055"/>
        <n v="94497"/>
        <n v="95147"/>
        <n v="95186"/>
        <n v="96213"/>
        <n v="96408"/>
        <n v="97097"/>
        <n v="100061"/>
        <n v="103519"/>
        <n v="106184"/>
        <n v="107159"/>
        <n v="108225"/>
        <n v="111722"/>
        <n v="111956"/>
        <n v="112021"/>
        <n v="116324"/>
        <n v="118885"/>
        <n v="122642"/>
        <n v="125190"/>
        <n v="125554"/>
        <n v="127478"/>
        <n v="129155"/>
        <n v="132912"/>
        <n v="139113"/>
        <n v="151931"/>
        <n v="154115"/>
        <n v="169559"/>
        <n v="171535"/>
        <n v="171821"/>
        <n v="174200"/>
        <n v="177047"/>
        <n v="187317"/>
        <n v="190333"/>
        <n v="192426"/>
        <n v="201604"/>
        <n v="203580"/>
        <n v="209313"/>
        <n v="211692"/>
        <n v="215475"/>
        <n v="215956"/>
        <n v="216515"/>
        <n v="220766"/>
        <n v="225030"/>
        <n v="228774"/>
        <n v="230763"/>
        <n v="254098"/>
        <n v="264576"/>
        <n v="269724"/>
        <n v="274924"/>
        <n v="313391"/>
        <n v="313768"/>
        <n v="337857"/>
        <n v="340483"/>
        <n v="343122"/>
        <n v="347230"/>
        <n v="361075"/>
        <n v="371969"/>
        <n v="377273"/>
        <n v="455325"/>
        <n v="497731"/>
        <n v="520962"/>
        <n v="542152"/>
        <n v="543075"/>
        <n v="595062"/>
        <n v="885469"/>
        <n v="1126294"/>
        <n v="1797110"/>
        <n v="1845064"/>
      </sharedItems>
    </cacheField>
    <cacheField name="O-MSA" numFmtId="0">
      <sharedItems containsSemiMixedTypes="0" containsString="0" containsNumber="1" containsInteger="1" minValue="360" maxValue="9999" count="24">
        <n v="360"/>
        <n v="680"/>
        <n v="1620"/>
        <n v="2840"/>
        <n v="4480"/>
        <n v="4940"/>
        <n v="5170"/>
        <n v="5775"/>
        <n v="6000"/>
        <n v="6690"/>
        <n v="6780"/>
        <n v="6920"/>
        <n v="7120"/>
        <n v="7320"/>
        <n v="7360"/>
        <n v="7400"/>
        <n v="7480"/>
        <n v="7485"/>
        <n v="7500"/>
        <n v="8120"/>
        <n v="8720"/>
        <n v="8780"/>
        <n v="9340"/>
        <n v="9999"/>
      </sharedItems>
    </cacheField>
    <cacheField name="D-MSA" numFmtId="0">
      <sharedItems containsSemiMixedTypes="0" containsString="0" containsNumber="1" containsInteger="1" minValue="0" maxValue="9999" count="29">
        <n v="0"/>
        <n v="1"/>
        <n v="360"/>
        <n v="680"/>
        <n v="858"/>
        <n v="983"/>
        <n v="999"/>
        <n v="1620"/>
        <n v="2840"/>
        <n v="4480"/>
        <n v="4940"/>
        <n v="5170"/>
        <n v="5775"/>
        <n v="6000"/>
        <n v="6690"/>
        <n v="6780"/>
        <n v="6920"/>
        <n v="7120"/>
        <n v="7320"/>
        <n v="7360"/>
        <n v="7400"/>
        <n v="7480"/>
        <n v="7485"/>
        <n v="7500"/>
        <n v="8120"/>
        <n v="8720"/>
        <n v="8780"/>
        <n v="9340"/>
        <n v="999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6333" createdVersion="3">
  <cacheSource type="worksheet">
    <worksheetSource ref="D1:H6334" sheet="MASTER6"/>
  </cacheSource>
  <cacheFields count="5">
    <cacheField name="TRIPS" numFmtId="0">
      <sharedItems containsSemiMixedTypes="0" containsString="0" containsNumber="1" containsInteger="1" minValue="0" maxValue="1845064" count="593">
        <n v="0"/>
        <n v="13"/>
        <n v="26"/>
        <n v="39"/>
        <n v="52"/>
        <n v="65"/>
        <n v="78"/>
        <n v="91"/>
        <n v="104"/>
        <n v="117"/>
        <n v="130"/>
        <n v="143"/>
        <n v="156"/>
        <n v="169"/>
        <n v="182"/>
        <n v="195"/>
        <n v="208"/>
        <n v="221"/>
        <n v="234"/>
        <n v="247"/>
        <n v="260"/>
        <n v="273"/>
        <n v="286"/>
        <n v="299"/>
        <n v="312"/>
        <n v="325"/>
        <n v="338"/>
        <n v="351"/>
        <n v="364"/>
        <n v="377"/>
        <n v="390"/>
        <n v="403"/>
        <n v="416"/>
        <n v="429"/>
        <n v="442"/>
        <n v="455"/>
        <n v="468"/>
        <n v="481"/>
        <n v="494"/>
        <n v="507"/>
        <n v="520"/>
        <n v="533"/>
        <n v="546"/>
        <n v="559"/>
        <n v="572"/>
        <n v="585"/>
        <n v="598"/>
        <n v="611"/>
        <n v="624"/>
        <n v="637"/>
        <n v="650"/>
        <n v="663"/>
        <n v="676"/>
        <n v="689"/>
        <n v="702"/>
        <n v="715"/>
        <n v="728"/>
        <n v="754"/>
        <n v="767"/>
        <n v="780"/>
        <n v="793"/>
        <n v="806"/>
        <n v="819"/>
        <n v="832"/>
        <n v="845"/>
        <n v="858"/>
        <n v="871"/>
        <n v="884"/>
        <n v="897"/>
        <n v="910"/>
        <n v="923"/>
        <n v="936"/>
        <n v="949"/>
        <n v="962"/>
        <n v="975"/>
        <n v="988"/>
        <n v="1001"/>
        <n v="1014"/>
        <n v="1027"/>
        <n v="1040"/>
        <n v="1053"/>
        <n v="1066"/>
        <n v="1079"/>
        <n v="1092"/>
        <n v="1105"/>
        <n v="1118"/>
        <n v="1131"/>
        <n v="1157"/>
        <n v="1170"/>
        <n v="1183"/>
        <n v="1196"/>
        <n v="1209"/>
        <n v="1222"/>
        <n v="1235"/>
        <n v="1261"/>
        <n v="1274"/>
        <n v="1287"/>
        <n v="1300"/>
        <n v="1313"/>
        <n v="1326"/>
        <n v="1339"/>
        <n v="1365"/>
        <n v="1391"/>
        <n v="1404"/>
        <n v="1417"/>
        <n v="1430"/>
        <n v="1443"/>
        <n v="1456"/>
        <n v="1469"/>
        <n v="1482"/>
        <n v="1495"/>
        <n v="1508"/>
        <n v="1521"/>
        <n v="1534"/>
        <n v="1547"/>
        <n v="1560"/>
        <n v="1573"/>
        <n v="1586"/>
        <n v="1599"/>
        <n v="1612"/>
        <n v="1625"/>
        <n v="1638"/>
        <n v="1651"/>
        <n v="1677"/>
        <n v="1703"/>
        <n v="1716"/>
        <n v="1729"/>
        <n v="1742"/>
        <n v="1768"/>
        <n v="1781"/>
        <n v="1794"/>
        <n v="1807"/>
        <n v="1820"/>
        <n v="1859"/>
        <n v="1872"/>
        <n v="1885"/>
        <n v="1898"/>
        <n v="1911"/>
        <n v="1924"/>
        <n v="1937"/>
        <n v="1963"/>
        <n v="1976"/>
        <n v="2015"/>
        <n v="2041"/>
        <n v="2054"/>
        <n v="2093"/>
        <n v="2145"/>
        <n v="2184"/>
        <n v="2210"/>
        <n v="2236"/>
        <n v="2262"/>
        <n v="2275"/>
        <n v="2288"/>
        <n v="2301"/>
        <n v="2314"/>
        <n v="2327"/>
        <n v="2405"/>
        <n v="2444"/>
        <n v="2457"/>
        <n v="2470"/>
        <n v="2496"/>
        <n v="2509"/>
        <n v="2535"/>
        <n v="2548"/>
        <n v="2574"/>
        <n v="2587"/>
        <n v="2600"/>
        <n v="2613"/>
        <n v="2626"/>
        <n v="2652"/>
        <n v="2678"/>
        <n v="2691"/>
        <n v="2717"/>
        <n v="2743"/>
        <n v="2795"/>
        <n v="2821"/>
        <n v="2886"/>
        <n v="2899"/>
        <n v="2925"/>
        <n v="2938"/>
        <n v="2964"/>
        <n v="2990"/>
        <n v="3029"/>
        <n v="3081"/>
        <n v="3107"/>
        <n v="3120"/>
        <n v="3172"/>
        <n v="3198"/>
        <n v="3237"/>
        <n v="3263"/>
        <n v="3289"/>
        <n v="3302"/>
        <n v="3315"/>
        <n v="3341"/>
        <n v="3380"/>
        <n v="3510"/>
        <n v="3536"/>
        <n v="3549"/>
        <n v="3588"/>
        <n v="3614"/>
        <n v="3627"/>
        <n v="3653"/>
        <n v="3666"/>
        <n v="3705"/>
        <n v="3718"/>
        <n v="3744"/>
        <n v="3796"/>
        <n v="3809"/>
        <n v="3822"/>
        <n v="3835"/>
        <n v="3861"/>
        <n v="3913"/>
        <n v="3926"/>
        <n v="3952"/>
        <n v="3978"/>
        <n v="4017"/>
        <n v="4030"/>
        <n v="4056"/>
        <n v="4069"/>
        <n v="4095"/>
        <n v="4173"/>
        <n v="4199"/>
        <n v="4225"/>
        <n v="4238"/>
        <n v="4303"/>
        <n v="4329"/>
        <n v="4355"/>
        <n v="4368"/>
        <n v="4381"/>
        <n v="4433"/>
        <n v="4524"/>
        <n v="4615"/>
        <n v="4628"/>
        <n v="4667"/>
        <n v="4706"/>
        <n v="4719"/>
        <n v="4810"/>
        <n v="4849"/>
        <n v="4901"/>
        <n v="4927"/>
        <n v="4940"/>
        <n v="5018"/>
        <n v="5044"/>
        <n v="5109"/>
        <n v="5122"/>
        <n v="5161"/>
        <n v="5174"/>
        <n v="5239"/>
        <n v="5278"/>
        <n v="5369"/>
        <n v="5512"/>
        <n v="5577"/>
        <n v="5642"/>
        <n v="5707"/>
        <n v="5811"/>
        <n v="5876"/>
        <n v="5980"/>
        <n v="6214"/>
        <n v="6253"/>
        <n v="6305"/>
        <n v="6331"/>
        <n v="6435"/>
        <n v="6487"/>
        <n v="6591"/>
        <n v="6604"/>
        <n v="6695"/>
        <n v="6708"/>
        <n v="6721"/>
        <n v="6890"/>
        <n v="6903"/>
        <n v="7085"/>
        <n v="7189"/>
        <n v="7254"/>
        <n v="7371"/>
        <n v="7514"/>
        <n v="7527"/>
        <n v="7631"/>
        <n v="7852"/>
        <n v="7917"/>
        <n v="7982"/>
        <n v="8060"/>
        <n v="8125"/>
        <n v="8151"/>
        <n v="8229"/>
        <n v="8255"/>
        <n v="8320"/>
        <n v="8398"/>
        <n v="8450"/>
        <n v="8619"/>
        <n v="8801"/>
        <n v="8814"/>
        <n v="8879"/>
        <n v="8996"/>
        <n v="9256"/>
        <n v="9555"/>
        <n v="9672"/>
        <n v="9711"/>
        <n v="9724"/>
        <n v="9750"/>
        <n v="9815"/>
        <n v="9841"/>
        <n v="9919"/>
        <n v="10049"/>
        <n v="10205"/>
        <n v="10283"/>
        <n v="10348"/>
        <n v="10933"/>
        <n v="11076"/>
        <n v="11089"/>
        <n v="11141"/>
        <n v="11167"/>
        <n v="11219"/>
        <n v="11505"/>
        <n v="11674"/>
        <n v="11856"/>
        <n v="11934"/>
        <n v="11947"/>
        <n v="12220"/>
        <n v="12337"/>
        <n v="12350"/>
        <n v="12506"/>
        <n v="12662"/>
        <n v="12818"/>
        <n v="12883"/>
        <n v="12922"/>
        <n v="12935"/>
        <n v="12974"/>
        <n v="13039"/>
        <n v="13221"/>
        <n v="13234"/>
        <n v="13429"/>
        <n v="13468"/>
        <n v="13494"/>
        <n v="13533"/>
        <n v="13546"/>
        <n v="13598"/>
        <n v="13611"/>
        <n v="13780"/>
        <n v="13793"/>
        <n v="13858"/>
        <n v="13910"/>
        <n v="14196"/>
        <n v="14222"/>
        <n v="14235"/>
        <n v="14248"/>
        <n v="14352"/>
        <n v="14482"/>
        <n v="14781"/>
        <n v="14807"/>
        <n v="14885"/>
        <n v="15015"/>
        <n v="15041"/>
        <n v="15054"/>
        <n v="15145"/>
        <n v="15288"/>
        <n v="15366"/>
        <n v="15912"/>
        <n v="16029"/>
        <n v="16055"/>
        <n v="16081"/>
        <n v="16367"/>
        <n v="16406"/>
        <n v="16445"/>
        <n v="16471"/>
        <n v="16822"/>
        <n v="16939"/>
        <n v="17420"/>
        <n v="17498"/>
        <n v="17537"/>
        <n v="17602"/>
        <n v="17758"/>
        <n v="17784"/>
        <n v="17823"/>
        <n v="18044"/>
        <n v="18304"/>
        <n v="18343"/>
        <n v="18473"/>
        <n v="18629"/>
        <n v="19071"/>
        <n v="19318"/>
        <n v="19344"/>
        <n v="19383"/>
        <n v="19682"/>
        <n v="19695"/>
        <n v="19747"/>
        <n v="19799"/>
        <n v="19968"/>
        <n v="20527"/>
        <n v="20917"/>
        <n v="21203"/>
        <n v="21268"/>
        <n v="21307"/>
        <n v="21775"/>
        <n v="21957"/>
        <n v="22555"/>
        <n v="22893"/>
        <n v="23023"/>
        <n v="23049"/>
        <n v="23192"/>
        <n v="23660"/>
        <n v="23673"/>
        <n v="23699"/>
        <n v="23803"/>
        <n v="24388"/>
        <n v="24934"/>
        <n v="25129"/>
        <n v="25506"/>
        <n v="25610"/>
        <n v="25623"/>
        <n v="25688"/>
        <n v="26182"/>
        <n v="26650"/>
        <n v="26676"/>
        <n v="26858"/>
        <n v="27274"/>
        <n v="27664"/>
        <n v="28613"/>
        <n v="29393"/>
        <n v="29861"/>
        <n v="30563"/>
        <n v="30693"/>
        <n v="30706"/>
        <n v="32175"/>
        <n v="32396"/>
        <n v="32903"/>
        <n v="33098"/>
        <n v="33371"/>
        <n v="33397"/>
        <n v="33527"/>
        <n v="33917"/>
        <n v="34047"/>
        <n v="34346"/>
        <n v="34372"/>
        <n v="34944"/>
        <n v="35828"/>
        <n v="36257"/>
        <n v="36374"/>
        <n v="37583"/>
        <n v="37791"/>
        <n v="37934"/>
        <n v="38259"/>
        <n v="38376"/>
        <n v="38493"/>
        <n v="40924"/>
        <n v="41964"/>
        <n v="42302"/>
        <n v="43914"/>
        <n v="44408"/>
        <n v="44824"/>
        <n v="45084"/>
        <n v="46007"/>
        <n v="46176"/>
        <n v="47411"/>
        <n v="47697"/>
        <n v="49153"/>
        <n v="49257"/>
        <n v="49543"/>
        <n v="49764"/>
        <n v="50973"/>
        <n v="52455"/>
        <n v="52624"/>
        <n v="53183"/>
        <n v="53495"/>
        <n v="53742"/>
        <n v="53898"/>
        <n v="54197"/>
        <n v="54691"/>
        <n v="54756"/>
        <n v="55562"/>
        <n v="56004"/>
        <n v="56017"/>
        <n v="56394"/>
        <n v="56628"/>
        <n v="56823"/>
        <n v="57291"/>
        <n v="57447"/>
        <n v="58201"/>
        <n v="59202"/>
        <n v="59839"/>
        <n v="59956"/>
        <n v="60294"/>
        <n v="60866"/>
        <n v="61087"/>
        <n v="61399"/>
        <n v="62361"/>
        <n v="62647"/>
        <n v="63609"/>
        <n v="64883"/>
        <n v="65169"/>
        <n v="66183"/>
        <n v="66196"/>
        <n v="66378"/>
        <n v="66781"/>
        <n v="66976"/>
        <n v="67041"/>
        <n v="67470"/>
        <n v="67678"/>
        <n v="67782"/>
        <n v="67912"/>
        <n v="70278"/>
        <n v="70434"/>
        <n v="70551"/>
        <n v="70980"/>
        <n v="71240"/>
        <n v="71305"/>
        <n v="72020"/>
        <n v="72592"/>
        <n v="73463"/>
        <n v="73580"/>
        <n v="73723"/>
        <n v="74074"/>
        <n v="75231"/>
        <n v="77246"/>
        <n v="77454"/>
        <n v="78299"/>
        <n v="79183"/>
        <n v="80925"/>
        <n v="81172"/>
        <n v="82537"/>
        <n v="84006"/>
        <n v="86619"/>
        <n v="88868"/>
        <n v="90948"/>
        <n v="93327"/>
        <n v="93795"/>
        <n v="94055"/>
        <n v="94497"/>
        <n v="95147"/>
        <n v="95186"/>
        <n v="96213"/>
        <n v="96408"/>
        <n v="97097"/>
        <n v="100061"/>
        <n v="103519"/>
        <n v="106184"/>
        <n v="107159"/>
        <n v="108225"/>
        <n v="111722"/>
        <n v="111956"/>
        <n v="112021"/>
        <n v="116324"/>
        <n v="118885"/>
        <n v="122642"/>
        <n v="125190"/>
        <n v="125554"/>
        <n v="127478"/>
        <n v="129155"/>
        <n v="132912"/>
        <n v="139113"/>
        <n v="151931"/>
        <n v="154115"/>
        <n v="169559"/>
        <n v="171535"/>
        <n v="171821"/>
        <n v="174200"/>
        <n v="177047"/>
        <n v="187317"/>
        <n v="190333"/>
        <n v="192426"/>
        <n v="201604"/>
        <n v="203580"/>
        <n v="209313"/>
        <n v="211692"/>
        <n v="215475"/>
        <n v="215956"/>
        <n v="216515"/>
        <n v="220766"/>
        <n v="225030"/>
        <n v="228774"/>
        <n v="230763"/>
        <n v="254098"/>
        <n v="264576"/>
        <n v="269724"/>
        <n v="274924"/>
        <n v="313391"/>
        <n v="313768"/>
        <n v="337857"/>
        <n v="340483"/>
        <n v="343122"/>
        <n v="347230"/>
        <n v="361075"/>
        <n v="371969"/>
        <n v="377273"/>
        <n v="455325"/>
        <n v="497731"/>
        <n v="520962"/>
        <n v="542152"/>
        <n v="543075"/>
        <n v="595062"/>
        <n v="885469"/>
        <n v="1126294"/>
        <n v="1797110"/>
        <n v="1845064"/>
      </sharedItems>
    </cacheField>
    <cacheField name="O-MSA" numFmtId="0">
      <sharedItems containsSemiMixedTypes="0" containsString="0" containsNumber="1" containsInteger="1" minValue="360" maxValue="9999" count="24">
        <n v="360"/>
        <n v="680"/>
        <n v="1620"/>
        <n v="2840"/>
        <n v="4480"/>
        <n v="4940"/>
        <n v="5170"/>
        <n v="5775"/>
        <n v="6000"/>
        <n v="6690"/>
        <n v="6780"/>
        <n v="6920"/>
        <n v="7120"/>
        <n v="7320"/>
        <n v="7360"/>
        <n v="7400"/>
        <n v="7480"/>
        <n v="7485"/>
        <n v="7500"/>
        <n v="8120"/>
        <n v="8720"/>
        <n v="8780"/>
        <n v="9340"/>
        <n v="9999"/>
      </sharedItems>
    </cacheField>
    <cacheField name="D-MSA" numFmtId="0">
      <sharedItems containsSemiMixedTypes="0" containsString="0" containsNumber="1" containsInteger="1" minValue="0" maxValue="9999" count="29">
        <n v="0"/>
        <n v="1"/>
        <n v="360"/>
        <n v="680"/>
        <n v="858"/>
        <n v="983"/>
        <n v="999"/>
        <n v="1620"/>
        <n v="2840"/>
        <n v="4480"/>
        <n v="4940"/>
        <n v="5170"/>
        <n v="5775"/>
        <n v="6000"/>
        <n v="6690"/>
        <n v="6780"/>
        <n v="6920"/>
        <n v="7120"/>
        <n v="7320"/>
        <n v="7360"/>
        <n v="7400"/>
        <n v="7480"/>
        <n v="7485"/>
        <n v="7500"/>
        <n v="8120"/>
        <n v="8720"/>
        <n v="8780"/>
        <n v="9340"/>
        <n v="9999"/>
      </sharedItems>
    </cacheField>
    <cacheField name="O-CMSA" numFmtId="0">
      <sharedItems containsSemiMixedTypes="0" containsString="0" containsNumber="1" containsInteger="1" minValue="680" maxValue="9999" count="16">
        <n v="680"/>
        <n v="1620"/>
        <n v="2840"/>
        <n v="4472"/>
        <n v="4940"/>
        <n v="5170"/>
        <n v="6690"/>
        <n v="6920"/>
        <n v="7120"/>
        <n v="7320"/>
        <n v="7362"/>
        <n v="7480"/>
        <n v="8120"/>
        <n v="8780"/>
        <n v="9340"/>
        <n v="9999"/>
      </sharedItems>
    </cacheField>
    <cacheField name="D-CMSA" numFmtId="0">
      <sharedItems containsSemiMixedTypes="0" containsString="0" containsNumber="1" containsInteger="1" minValue="0" maxValue="9999" count="21">
        <n v="0"/>
        <n v="1"/>
        <n v="680"/>
        <n v="858"/>
        <n v="983"/>
        <n v="999"/>
        <n v="1620"/>
        <n v="2840"/>
        <n v="4472"/>
        <n v="4940"/>
        <n v="5170"/>
        <n v="6690"/>
        <n v="6920"/>
        <n v="7120"/>
        <n v="7320"/>
        <n v="7362"/>
        <n v="7480"/>
        <n v="8120"/>
        <n v="8780"/>
        <n v="9340"/>
        <n v="99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33">
  <r>
    <x v="500"/>
    <x v="23"/>
    <x v="0"/>
  </r>
  <r>
    <x v="424"/>
    <x v="23"/>
    <x v="1"/>
  </r>
  <r>
    <x v="17"/>
    <x v="23"/>
    <x v="28"/>
  </r>
  <r>
    <x v="59"/>
    <x v="23"/>
    <x v="14"/>
  </r>
  <r>
    <x v="8"/>
    <x v="23"/>
    <x v="28"/>
  </r>
  <r>
    <x v="5"/>
    <x v="23"/>
    <x v="28"/>
  </r>
  <r>
    <x v="9"/>
    <x v="23"/>
    <x v="7"/>
  </r>
  <r>
    <x v="31"/>
    <x v="23"/>
    <x v="28"/>
  </r>
  <r>
    <x v="5"/>
    <x v="23"/>
    <x v="23"/>
  </r>
  <r>
    <x v="21"/>
    <x v="23"/>
    <x v="25"/>
  </r>
  <r>
    <x v="2"/>
    <x v="23"/>
    <x v="19"/>
  </r>
  <r>
    <x v="8"/>
    <x v="23"/>
    <x v="28"/>
  </r>
  <r>
    <x v="9"/>
    <x v="23"/>
    <x v="16"/>
  </r>
  <r>
    <x v="7"/>
    <x v="23"/>
    <x v="8"/>
  </r>
  <r>
    <x v="4"/>
    <x v="23"/>
    <x v="20"/>
  </r>
  <r>
    <x v="3"/>
    <x v="23"/>
    <x v="15"/>
  </r>
  <r>
    <x v="4"/>
    <x v="23"/>
    <x v="26"/>
  </r>
  <r>
    <x v="501"/>
    <x v="23"/>
    <x v="0"/>
  </r>
  <r>
    <x v="21"/>
    <x v="23"/>
    <x v="1"/>
  </r>
  <r>
    <x v="457"/>
    <x v="23"/>
    <x v="28"/>
  </r>
  <r>
    <x v="0"/>
    <x v="23"/>
    <x v="14"/>
  </r>
  <r>
    <x v="21"/>
    <x v="23"/>
    <x v="28"/>
  </r>
  <r>
    <x v="0"/>
    <x v="23"/>
    <x v="28"/>
  </r>
  <r>
    <x v="0"/>
    <x v="23"/>
    <x v="7"/>
  </r>
  <r>
    <x v="0"/>
    <x v="23"/>
    <x v="28"/>
  </r>
  <r>
    <x v="0"/>
    <x v="23"/>
    <x v="23"/>
  </r>
  <r>
    <x v="6"/>
    <x v="23"/>
    <x v="19"/>
  </r>
  <r>
    <x v="0"/>
    <x v="23"/>
    <x v="25"/>
  </r>
  <r>
    <x v="0"/>
    <x v="23"/>
    <x v="19"/>
  </r>
  <r>
    <x v="0"/>
    <x v="23"/>
    <x v="28"/>
  </r>
  <r>
    <x v="0"/>
    <x v="23"/>
    <x v="16"/>
  </r>
  <r>
    <x v="0"/>
    <x v="23"/>
    <x v="8"/>
  </r>
  <r>
    <x v="0"/>
    <x v="23"/>
    <x v="20"/>
  </r>
  <r>
    <x v="8"/>
    <x v="23"/>
    <x v="9"/>
  </r>
  <r>
    <x v="0"/>
    <x v="23"/>
    <x v="15"/>
  </r>
  <r>
    <x v="0"/>
    <x v="23"/>
    <x v="26"/>
  </r>
  <r>
    <x v="523"/>
    <x v="9"/>
    <x v="0"/>
  </r>
  <r>
    <x v="50"/>
    <x v="9"/>
    <x v="1"/>
  </r>
  <r>
    <x v="9"/>
    <x v="9"/>
    <x v="28"/>
  </r>
  <r>
    <x v="468"/>
    <x v="9"/>
    <x v="14"/>
  </r>
  <r>
    <x v="4"/>
    <x v="9"/>
    <x v="28"/>
  </r>
  <r>
    <x v="93"/>
    <x v="9"/>
    <x v="28"/>
  </r>
  <r>
    <x v="7"/>
    <x v="9"/>
    <x v="7"/>
  </r>
  <r>
    <x v="0"/>
    <x v="9"/>
    <x v="28"/>
  </r>
  <r>
    <x v="7"/>
    <x v="9"/>
    <x v="16"/>
  </r>
  <r>
    <x v="4"/>
    <x v="9"/>
    <x v="23"/>
  </r>
  <r>
    <x v="0"/>
    <x v="9"/>
    <x v="19"/>
  </r>
  <r>
    <x v="0"/>
    <x v="9"/>
    <x v="25"/>
  </r>
  <r>
    <x v="7"/>
    <x v="9"/>
    <x v="12"/>
  </r>
  <r>
    <x v="10"/>
    <x v="9"/>
    <x v="12"/>
  </r>
  <r>
    <x v="7"/>
    <x v="9"/>
    <x v="19"/>
  </r>
  <r>
    <x v="23"/>
    <x v="9"/>
    <x v="12"/>
  </r>
  <r>
    <x v="0"/>
    <x v="9"/>
    <x v="28"/>
  </r>
  <r>
    <x v="13"/>
    <x v="9"/>
    <x v="16"/>
  </r>
  <r>
    <x v="4"/>
    <x v="9"/>
    <x v="18"/>
  </r>
  <r>
    <x v="0"/>
    <x v="9"/>
    <x v="8"/>
  </r>
  <r>
    <x v="14"/>
    <x v="9"/>
    <x v="20"/>
  </r>
  <r>
    <x v="8"/>
    <x v="9"/>
    <x v="20"/>
  </r>
  <r>
    <x v="0"/>
    <x v="9"/>
    <x v="9"/>
  </r>
  <r>
    <x v="0"/>
    <x v="9"/>
    <x v="15"/>
  </r>
  <r>
    <x v="6"/>
    <x v="9"/>
    <x v="15"/>
  </r>
  <r>
    <x v="0"/>
    <x v="9"/>
    <x v="26"/>
  </r>
  <r>
    <x v="9"/>
    <x v="9"/>
    <x v="3"/>
  </r>
  <r>
    <x v="515"/>
    <x v="23"/>
    <x v="0"/>
  </r>
  <r>
    <x v="0"/>
    <x v="23"/>
    <x v="1"/>
  </r>
  <r>
    <x v="0"/>
    <x v="23"/>
    <x v="28"/>
  </r>
  <r>
    <x v="0"/>
    <x v="23"/>
    <x v="14"/>
  </r>
  <r>
    <x v="453"/>
    <x v="23"/>
    <x v="28"/>
  </r>
  <r>
    <x v="3"/>
    <x v="23"/>
    <x v="28"/>
  </r>
  <r>
    <x v="0"/>
    <x v="23"/>
    <x v="7"/>
  </r>
  <r>
    <x v="14"/>
    <x v="23"/>
    <x v="28"/>
  </r>
  <r>
    <x v="9"/>
    <x v="23"/>
    <x v="27"/>
  </r>
  <r>
    <x v="5"/>
    <x v="23"/>
    <x v="25"/>
  </r>
  <r>
    <x v="0"/>
    <x v="23"/>
    <x v="16"/>
  </r>
  <r>
    <x v="20"/>
    <x v="23"/>
    <x v="23"/>
  </r>
  <r>
    <x v="91"/>
    <x v="23"/>
    <x v="23"/>
  </r>
  <r>
    <x v="24"/>
    <x v="23"/>
    <x v="19"/>
  </r>
  <r>
    <x v="0"/>
    <x v="23"/>
    <x v="25"/>
  </r>
  <r>
    <x v="0"/>
    <x v="23"/>
    <x v="12"/>
  </r>
  <r>
    <x v="0"/>
    <x v="23"/>
    <x v="12"/>
  </r>
  <r>
    <x v="33"/>
    <x v="23"/>
    <x v="19"/>
  </r>
  <r>
    <x v="15"/>
    <x v="23"/>
    <x v="12"/>
  </r>
  <r>
    <x v="9"/>
    <x v="23"/>
    <x v="19"/>
  </r>
  <r>
    <x v="0"/>
    <x v="23"/>
    <x v="28"/>
  </r>
  <r>
    <x v="0"/>
    <x v="23"/>
    <x v="16"/>
  </r>
  <r>
    <x v="7"/>
    <x v="23"/>
    <x v="18"/>
  </r>
  <r>
    <x v="0"/>
    <x v="23"/>
    <x v="18"/>
  </r>
  <r>
    <x v="0"/>
    <x v="23"/>
    <x v="8"/>
  </r>
  <r>
    <x v="0"/>
    <x v="23"/>
    <x v="20"/>
  </r>
  <r>
    <x v="10"/>
    <x v="23"/>
    <x v="20"/>
  </r>
  <r>
    <x v="4"/>
    <x v="23"/>
    <x v="20"/>
  </r>
  <r>
    <x v="9"/>
    <x v="23"/>
    <x v="9"/>
  </r>
  <r>
    <x v="0"/>
    <x v="23"/>
    <x v="15"/>
  </r>
  <r>
    <x v="0"/>
    <x v="23"/>
    <x v="15"/>
  </r>
  <r>
    <x v="0"/>
    <x v="23"/>
    <x v="26"/>
  </r>
  <r>
    <x v="0"/>
    <x v="23"/>
    <x v="3"/>
  </r>
  <r>
    <x v="6"/>
    <x v="23"/>
    <x v="6"/>
  </r>
  <r>
    <x v="489"/>
    <x v="23"/>
    <x v="0"/>
  </r>
  <r>
    <x v="0"/>
    <x v="23"/>
    <x v="1"/>
  </r>
  <r>
    <x v="41"/>
    <x v="23"/>
    <x v="28"/>
  </r>
  <r>
    <x v="151"/>
    <x v="23"/>
    <x v="14"/>
  </r>
  <r>
    <x v="5"/>
    <x v="23"/>
    <x v="28"/>
  </r>
  <r>
    <x v="416"/>
    <x v="23"/>
    <x v="28"/>
  </r>
  <r>
    <x v="84"/>
    <x v="23"/>
    <x v="7"/>
  </r>
  <r>
    <x v="44"/>
    <x v="23"/>
    <x v="28"/>
  </r>
  <r>
    <x v="0"/>
    <x v="23"/>
    <x v="27"/>
  </r>
  <r>
    <x v="0"/>
    <x v="23"/>
    <x v="25"/>
  </r>
  <r>
    <x v="0"/>
    <x v="23"/>
    <x v="16"/>
  </r>
  <r>
    <x v="11"/>
    <x v="23"/>
    <x v="16"/>
  </r>
  <r>
    <x v="0"/>
    <x v="23"/>
    <x v="23"/>
  </r>
  <r>
    <x v="0"/>
    <x v="23"/>
    <x v="23"/>
  </r>
  <r>
    <x v="0"/>
    <x v="23"/>
    <x v="19"/>
  </r>
  <r>
    <x v="22"/>
    <x v="23"/>
    <x v="25"/>
  </r>
  <r>
    <x v="0"/>
    <x v="23"/>
    <x v="12"/>
  </r>
  <r>
    <x v="14"/>
    <x v="23"/>
    <x v="12"/>
  </r>
  <r>
    <x v="13"/>
    <x v="23"/>
    <x v="19"/>
  </r>
  <r>
    <x v="0"/>
    <x v="23"/>
    <x v="12"/>
  </r>
  <r>
    <x v="0"/>
    <x v="23"/>
    <x v="19"/>
  </r>
  <r>
    <x v="0"/>
    <x v="23"/>
    <x v="28"/>
  </r>
  <r>
    <x v="0"/>
    <x v="23"/>
    <x v="16"/>
  </r>
  <r>
    <x v="0"/>
    <x v="23"/>
    <x v="18"/>
  </r>
  <r>
    <x v="0"/>
    <x v="23"/>
    <x v="18"/>
  </r>
  <r>
    <x v="0"/>
    <x v="23"/>
    <x v="8"/>
  </r>
  <r>
    <x v="11"/>
    <x v="23"/>
    <x v="20"/>
  </r>
  <r>
    <x v="0"/>
    <x v="23"/>
    <x v="20"/>
  </r>
  <r>
    <x v="0"/>
    <x v="23"/>
    <x v="20"/>
  </r>
  <r>
    <x v="0"/>
    <x v="23"/>
    <x v="9"/>
  </r>
  <r>
    <x v="0"/>
    <x v="23"/>
    <x v="15"/>
  </r>
  <r>
    <x v="6"/>
    <x v="23"/>
    <x v="15"/>
  </r>
  <r>
    <x v="0"/>
    <x v="23"/>
    <x v="26"/>
  </r>
  <r>
    <x v="0"/>
    <x v="23"/>
    <x v="3"/>
  </r>
  <r>
    <x v="0"/>
    <x v="23"/>
    <x v="6"/>
  </r>
  <r>
    <x v="537"/>
    <x v="2"/>
    <x v="0"/>
  </r>
  <r>
    <x v="23"/>
    <x v="2"/>
    <x v="1"/>
  </r>
  <r>
    <x v="0"/>
    <x v="2"/>
    <x v="28"/>
  </r>
  <r>
    <x v="5"/>
    <x v="2"/>
    <x v="14"/>
  </r>
  <r>
    <x v="0"/>
    <x v="2"/>
    <x v="28"/>
  </r>
  <r>
    <x v="102"/>
    <x v="2"/>
    <x v="28"/>
  </r>
  <r>
    <x v="485"/>
    <x v="2"/>
    <x v="7"/>
  </r>
  <r>
    <x v="20"/>
    <x v="2"/>
    <x v="28"/>
  </r>
  <r>
    <x v="122"/>
    <x v="2"/>
    <x v="27"/>
  </r>
  <r>
    <x v="9"/>
    <x v="2"/>
    <x v="25"/>
  </r>
  <r>
    <x v="0"/>
    <x v="2"/>
    <x v="16"/>
  </r>
  <r>
    <x v="9"/>
    <x v="2"/>
    <x v="16"/>
  </r>
  <r>
    <x v="0"/>
    <x v="2"/>
    <x v="23"/>
  </r>
  <r>
    <x v="0"/>
    <x v="2"/>
    <x v="23"/>
  </r>
  <r>
    <x v="0"/>
    <x v="2"/>
    <x v="19"/>
  </r>
  <r>
    <x v="9"/>
    <x v="2"/>
    <x v="25"/>
  </r>
  <r>
    <x v="0"/>
    <x v="2"/>
    <x v="12"/>
  </r>
  <r>
    <x v="0"/>
    <x v="2"/>
    <x v="12"/>
  </r>
  <r>
    <x v="0"/>
    <x v="2"/>
    <x v="19"/>
  </r>
  <r>
    <x v="0"/>
    <x v="2"/>
    <x v="12"/>
  </r>
  <r>
    <x v="0"/>
    <x v="2"/>
    <x v="19"/>
  </r>
  <r>
    <x v="20"/>
    <x v="2"/>
    <x v="28"/>
  </r>
  <r>
    <x v="10"/>
    <x v="2"/>
    <x v="16"/>
  </r>
  <r>
    <x v="9"/>
    <x v="2"/>
    <x v="18"/>
  </r>
  <r>
    <x v="0"/>
    <x v="2"/>
    <x v="18"/>
  </r>
  <r>
    <x v="9"/>
    <x v="2"/>
    <x v="17"/>
  </r>
  <r>
    <x v="6"/>
    <x v="2"/>
    <x v="8"/>
  </r>
  <r>
    <x v="6"/>
    <x v="2"/>
    <x v="20"/>
  </r>
  <r>
    <x v="6"/>
    <x v="2"/>
    <x v="20"/>
  </r>
  <r>
    <x v="0"/>
    <x v="2"/>
    <x v="20"/>
  </r>
  <r>
    <x v="0"/>
    <x v="2"/>
    <x v="9"/>
  </r>
  <r>
    <x v="0"/>
    <x v="2"/>
    <x v="15"/>
  </r>
  <r>
    <x v="0"/>
    <x v="2"/>
    <x v="15"/>
  </r>
  <r>
    <x v="0"/>
    <x v="2"/>
    <x v="26"/>
  </r>
  <r>
    <x v="0"/>
    <x v="2"/>
    <x v="3"/>
  </r>
  <r>
    <x v="6"/>
    <x v="2"/>
    <x v="6"/>
  </r>
  <r>
    <x v="482"/>
    <x v="23"/>
    <x v="0"/>
  </r>
  <r>
    <x v="8"/>
    <x v="23"/>
    <x v="1"/>
  </r>
  <r>
    <x v="0"/>
    <x v="23"/>
    <x v="28"/>
  </r>
  <r>
    <x v="48"/>
    <x v="23"/>
    <x v="14"/>
  </r>
  <r>
    <x v="29"/>
    <x v="23"/>
    <x v="28"/>
  </r>
  <r>
    <x v="6"/>
    <x v="23"/>
    <x v="28"/>
  </r>
  <r>
    <x v="16"/>
    <x v="23"/>
    <x v="7"/>
  </r>
  <r>
    <x v="423"/>
    <x v="23"/>
    <x v="28"/>
  </r>
  <r>
    <x v="50"/>
    <x v="23"/>
    <x v="27"/>
  </r>
  <r>
    <x v="6"/>
    <x v="23"/>
    <x v="25"/>
  </r>
  <r>
    <x v="0"/>
    <x v="23"/>
    <x v="16"/>
  </r>
  <r>
    <x v="208"/>
    <x v="23"/>
    <x v="16"/>
  </r>
  <r>
    <x v="0"/>
    <x v="23"/>
    <x v="23"/>
  </r>
  <r>
    <x v="12"/>
    <x v="23"/>
    <x v="23"/>
  </r>
  <r>
    <x v="0"/>
    <x v="23"/>
    <x v="19"/>
  </r>
  <r>
    <x v="0"/>
    <x v="23"/>
    <x v="25"/>
  </r>
  <r>
    <x v="0"/>
    <x v="23"/>
    <x v="12"/>
  </r>
  <r>
    <x v="7"/>
    <x v="23"/>
    <x v="12"/>
  </r>
  <r>
    <x v="9"/>
    <x v="23"/>
    <x v="19"/>
  </r>
  <r>
    <x v="17"/>
    <x v="23"/>
    <x v="12"/>
  </r>
  <r>
    <x v="0"/>
    <x v="23"/>
    <x v="12"/>
  </r>
  <r>
    <x v="9"/>
    <x v="23"/>
    <x v="19"/>
  </r>
  <r>
    <x v="11"/>
    <x v="23"/>
    <x v="24"/>
  </r>
  <r>
    <x v="11"/>
    <x v="23"/>
    <x v="11"/>
  </r>
  <r>
    <x v="7"/>
    <x v="23"/>
    <x v="28"/>
  </r>
  <r>
    <x v="53"/>
    <x v="23"/>
    <x v="16"/>
  </r>
  <r>
    <x v="42"/>
    <x v="23"/>
    <x v="16"/>
  </r>
  <r>
    <x v="10"/>
    <x v="23"/>
    <x v="18"/>
  </r>
  <r>
    <x v="0"/>
    <x v="23"/>
    <x v="18"/>
  </r>
  <r>
    <x v="0"/>
    <x v="23"/>
    <x v="18"/>
  </r>
  <r>
    <x v="4"/>
    <x v="23"/>
    <x v="18"/>
  </r>
  <r>
    <x v="0"/>
    <x v="23"/>
    <x v="17"/>
  </r>
  <r>
    <x v="0"/>
    <x v="23"/>
    <x v="8"/>
  </r>
  <r>
    <x v="2"/>
    <x v="23"/>
    <x v="8"/>
  </r>
  <r>
    <x v="8"/>
    <x v="23"/>
    <x v="20"/>
  </r>
  <r>
    <x v="0"/>
    <x v="23"/>
    <x v="20"/>
  </r>
  <r>
    <x v="0"/>
    <x v="23"/>
    <x v="20"/>
  </r>
  <r>
    <x v="8"/>
    <x v="23"/>
    <x v="9"/>
  </r>
  <r>
    <x v="0"/>
    <x v="23"/>
    <x v="9"/>
  </r>
  <r>
    <x v="0"/>
    <x v="23"/>
    <x v="15"/>
  </r>
  <r>
    <x v="0"/>
    <x v="23"/>
    <x v="15"/>
  </r>
  <r>
    <x v="0"/>
    <x v="23"/>
    <x v="26"/>
  </r>
  <r>
    <x v="0"/>
    <x v="23"/>
    <x v="3"/>
  </r>
  <r>
    <x v="0"/>
    <x v="23"/>
    <x v="6"/>
  </r>
  <r>
    <x v="510"/>
    <x v="22"/>
    <x v="0"/>
  </r>
  <r>
    <x v="0"/>
    <x v="22"/>
    <x v="1"/>
  </r>
  <r>
    <x v="0"/>
    <x v="22"/>
    <x v="28"/>
  </r>
  <r>
    <x v="0"/>
    <x v="22"/>
    <x v="14"/>
  </r>
  <r>
    <x v="0"/>
    <x v="22"/>
    <x v="28"/>
  </r>
  <r>
    <x v="31"/>
    <x v="22"/>
    <x v="28"/>
  </r>
  <r>
    <x v="51"/>
    <x v="22"/>
    <x v="7"/>
  </r>
  <r>
    <x v="24"/>
    <x v="22"/>
    <x v="28"/>
  </r>
  <r>
    <x v="442"/>
    <x v="22"/>
    <x v="27"/>
  </r>
  <r>
    <x v="0"/>
    <x v="22"/>
    <x v="25"/>
  </r>
  <r>
    <x v="112"/>
    <x v="22"/>
    <x v="16"/>
  </r>
  <r>
    <x v="90"/>
    <x v="22"/>
    <x v="16"/>
  </r>
  <r>
    <x v="0"/>
    <x v="22"/>
    <x v="23"/>
  </r>
  <r>
    <x v="0"/>
    <x v="22"/>
    <x v="23"/>
  </r>
  <r>
    <x v="0"/>
    <x v="22"/>
    <x v="19"/>
  </r>
  <r>
    <x v="28"/>
    <x v="22"/>
    <x v="25"/>
  </r>
  <r>
    <x v="0"/>
    <x v="22"/>
    <x v="12"/>
  </r>
  <r>
    <x v="0"/>
    <x v="22"/>
    <x v="12"/>
  </r>
  <r>
    <x v="0"/>
    <x v="22"/>
    <x v="19"/>
  </r>
  <r>
    <x v="0"/>
    <x v="22"/>
    <x v="12"/>
  </r>
  <r>
    <x v="7"/>
    <x v="22"/>
    <x v="12"/>
  </r>
  <r>
    <x v="0"/>
    <x v="22"/>
    <x v="19"/>
  </r>
  <r>
    <x v="0"/>
    <x v="22"/>
    <x v="24"/>
  </r>
  <r>
    <x v="0"/>
    <x v="22"/>
    <x v="11"/>
  </r>
  <r>
    <x v="6"/>
    <x v="22"/>
    <x v="11"/>
  </r>
  <r>
    <x v="0"/>
    <x v="22"/>
    <x v="28"/>
  </r>
  <r>
    <x v="107"/>
    <x v="22"/>
    <x v="16"/>
  </r>
  <r>
    <x v="147"/>
    <x v="22"/>
    <x v="16"/>
  </r>
  <r>
    <x v="0"/>
    <x v="22"/>
    <x v="18"/>
  </r>
  <r>
    <x v="0"/>
    <x v="22"/>
    <x v="18"/>
  </r>
  <r>
    <x v="0"/>
    <x v="22"/>
    <x v="18"/>
  </r>
  <r>
    <x v="0"/>
    <x v="22"/>
    <x v="18"/>
  </r>
  <r>
    <x v="0"/>
    <x v="22"/>
    <x v="17"/>
  </r>
  <r>
    <x v="0"/>
    <x v="22"/>
    <x v="8"/>
  </r>
  <r>
    <x v="0"/>
    <x v="22"/>
    <x v="8"/>
  </r>
  <r>
    <x v="0"/>
    <x v="22"/>
    <x v="20"/>
  </r>
  <r>
    <x v="0"/>
    <x v="22"/>
    <x v="20"/>
  </r>
  <r>
    <x v="0"/>
    <x v="22"/>
    <x v="20"/>
  </r>
  <r>
    <x v="0"/>
    <x v="22"/>
    <x v="9"/>
  </r>
  <r>
    <x v="0"/>
    <x v="22"/>
    <x v="9"/>
  </r>
  <r>
    <x v="0"/>
    <x v="22"/>
    <x v="15"/>
  </r>
  <r>
    <x v="0"/>
    <x v="22"/>
    <x v="15"/>
  </r>
  <r>
    <x v="0"/>
    <x v="22"/>
    <x v="26"/>
  </r>
  <r>
    <x v="0"/>
    <x v="22"/>
    <x v="3"/>
  </r>
  <r>
    <x v="6"/>
    <x v="22"/>
    <x v="24"/>
  </r>
  <r>
    <x v="0"/>
    <x v="22"/>
    <x v="6"/>
  </r>
  <r>
    <x v="474"/>
    <x v="20"/>
    <x v="0"/>
  </r>
  <r>
    <x v="11"/>
    <x v="20"/>
    <x v="1"/>
  </r>
  <r>
    <x v="0"/>
    <x v="20"/>
    <x v="28"/>
  </r>
  <r>
    <x v="0"/>
    <x v="20"/>
    <x v="14"/>
  </r>
  <r>
    <x v="16"/>
    <x v="20"/>
    <x v="28"/>
  </r>
  <r>
    <x v="0"/>
    <x v="20"/>
    <x v="28"/>
  </r>
  <r>
    <x v="0"/>
    <x v="20"/>
    <x v="7"/>
  </r>
  <r>
    <x v="0"/>
    <x v="20"/>
    <x v="28"/>
  </r>
  <r>
    <x v="0"/>
    <x v="20"/>
    <x v="27"/>
  </r>
  <r>
    <x v="438"/>
    <x v="20"/>
    <x v="25"/>
  </r>
  <r>
    <x v="8"/>
    <x v="20"/>
    <x v="16"/>
  </r>
  <r>
    <x v="0"/>
    <x v="20"/>
    <x v="16"/>
  </r>
  <r>
    <x v="43"/>
    <x v="20"/>
    <x v="23"/>
  </r>
  <r>
    <x v="92"/>
    <x v="20"/>
    <x v="23"/>
  </r>
  <r>
    <x v="33"/>
    <x v="20"/>
    <x v="19"/>
  </r>
  <r>
    <x v="129"/>
    <x v="20"/>
    <x v="25"/>
  </r>
  <r>
    <x v="16"/>
    <x v="20"/>
    <x v="12"/>
  </r>
  <r>
    <x v="124"/>
    <x v="20"/>
    <x v="12"/>
  </r>
  <r>
    <x v="68"/>
    <x v="20"/>
    <x v="19"/>
  </r>
  <r>
    <x v="25"/>
    <x v="20"/>
    <x v="12"/>
  </r>
  <r>
    <x v="44"/>
    <x v="20"/>
    <x v="12"/>
  </r>
  <r>
    <x v="15"/>
    <x v="20"/>
    <x v="19"/>
  </r>
  <r>
    <x v="0"/>
    <x v="20"/>
    <x v="24"/>
  </r>
  <r>
    <x v="0"/>
    <x v="20"/>
    <x v="11"/>
  </r>
  <r>
    <x v="0"/>
    <x v="20"/>
    <x v="11"/>
  </r>
  <r>
    <x v="0"/>
    <x v="20"/>
    <x v="28"/>
  </r>
  <r>
    <x v="22"/>
    <x v="20"/>
    <x v="16"/>
  </r>
  <r>
    <x v="0"/>
    <x v="20"/>
    <x v="16"/>
  </r>
  <r>
    <x v="0"/>
    <x v="20"/>
    <x v="18"/>
  </r>
  <r>
    <x v="0"/>
    <x v="20"/>
    <x v="18"/>
  </r>
  <r>
    <x v="0"/>
    <x v="20"/>
    <x v="18"/>
  </r>
  <r>
    <x v="7"/>
    <x v="20"/>
    <x v="18"/>
  </r>
  <r>
    <x v="0"/>
    <x v="20"/>
    <x v="17"/>
  </r>
  <r>
    <x v="0"/>
    <x v="20"/>
    <x v="8"/>
  </r>
  <r>
    <x v="0"/>
    <x v="20"/>
    <x v="8"/>
  </r>
  <r>
    <x v="9"/>
    <x v="20"/>
    <x v="20"/>
  </r>
  <r>
    <x v="0"/>
    <x v="20"/>
    <x v="20"/>
  </r>
  <r>
    <x v="21"/>
    <x v="20"/>
    <x v="20"/>
  </r>
  <r>
    <x v="0"/>
    <x v="20"/>
    <x v="9"/>
  </r>
  <r>
    <x v="8"/>
    <x v="20"/>
    <x v="9"/>
  </r>
  <r>
    <x v="0"/>
    <x v="20"/>
    <x v="9"/>
  </r>
  <r>
    <x v="0"/>
    <x v="20"/>
    <x v="15"/>
  </r>
  <r>
    <x v="0"/>
    <x v="20"/>
    <x v="15"/>
  </r>
  <r>
    <x v="238"/>
    <x v="20"/>
    <x v="25"/>
  </r>
  <r>
    <x v="0"/>
    <x v="20"/>
    <x v="26"/>
  </r>
  <r>
    <x v="0"/>
    <x v="20"/>
    <x v="3"/>
  </r>
  <r>
    <x v="0"/>
    <x v="20"/>
    <x v="24"/>
  </r>
  <r>
    <x v="0"/>
    <x v="20"/>
    <x v="6"/>
  </r>
  <r>
    <x v="511"/>
    <x v="11"/>
    <x v="0"/>
  </r>
  <r>
    <x v="5"/>
    <x v="11"/>
    <x v="1"/>
  </r>
  <r>
    <x v="0"/>
    <x v="11"/>
    <x v="28"/>
  </r>
  <r>
    <x v="17"/>
    <x v="11"/>
    <x v="14"/>
  </r>
  <r>
    <x v="0"/>
    <x v="11"/>
    <x v="28"/>
  </r>
  <r>
    <x v="14"/>
    <x v="11"/>
    <x v="28"/>
  </r>
  <r>
    <x v="17"/>
    <x v="11"/>
    <x v="7"/>
  </r>
  <r>
    <x v="0"/>
    <x v="11"/>
    <x v="28"/>
  </r>
  <r>
    <x v="39"/>
    <x v="11"/>
    <x v="27"/>
  </r>
  <r>
    <x v="13"/>
    <x v="11"/>
    <x v="25"/>
  </r>
  <r>
    <x v="447"/>
    <x v="11"/>
    <x v="16"/>
  </r>
  <r>
    <x v="16"/>
    <x v="11"/>
    <x v="16"/>
  </r>
  <r>
    <x v="15"/>
    <x v="11"/>
    <x v="16"/>
  </r>
  <r>
    <x v="0"/>
    <x v="11"/>
    <x v="23"/>
  </r>
  <r>
    <x v="0"/>
    <x v="11"/>
    <x v="23"/>
  </r>
  <r>
    <x v="0"/>
    <x v="11"/>
    <x v="19"/>
  </r>
  <r>
    <x v="142"/>
    <x v="11"/>
    <x v="25"/>
  </r>
  <r>
    <x v="0"/>
    <x v="11"/>
    <x v="12"/>
  </r>
  <r>
    <x v="23"/>
    <x v="11"/>
    <x v="12"/>
  </r>
  <r>
    <x v="0"/>
    <x v="11"/>
    <x v="19"/>
  </r>
  <r>
    <x v="17"/>
    <x v="11"/>
    <x v="12"/>
  </r>
  <r>
    <x v="7"/>
    <x v="11"/>
    <x v="12"/>
  </r>
  <r>
    <x v="6"/>
    <x v="11"/>
    <x v="19"/>
  </r>
  <r>
    <x v="27"/>
    <x v="11"/>
    <x v="24"/>
  </r>
  <r>
    <x v="9"/>
    <x v="11"/>
    <x v="11"/>
  </r>
  <r>
    <x v="0"/>
    <x v="11"/>
    <x v="11"/>
  </r>
  <r>
    <x v="9"/>
    <x v="11"/>
    <x v="28"/>
  </r>
  <r>
    <x v="327"/>
    <x v="11"/>
    <x v="16"/>
  </r>
  <r>
    <x v="218"/>
    <x v="11"/>
    <x v="16"/>
  </r>
  <r>
    <x v="0"/>
    <x v="11"/>
    <x v="18"/>
  </r>
  <r>
    <x v="0"/>
    <x v="11"/>
    <x v="18"/>
  </r>
  <r>
    <x v="0"/>
    <x v="11"/>
    <x v="18"/>
  </r>
  <r>
    <x v="0"/>
    <x v="11"/>
    <x v="18"/>
  </r>
  <r>
    <x v="0"/>
    <x v="11"/>
    <x v="17"/>
  </r>
  <r>
    <x v="0"/>
    <x v="11"/>
    <x v="8"/>
  </r>
  <r>
    <x v="0"/>
    <x v="11"/>
    <x v="8"/>
  </r>
  <r>
    <x v="5"/>
    <x v="11"/>
    <x v="20"/>
  </r>
  <r>
    <x v="0"/>
    <x v="11"/>
    <x v="20"/>
  </r>
  <r>
    <x v="0"/>
    <x v="11"/>
    <x v="20"/>
  </r>
  <r>
    <x v="0"/>
    <x v="11"/>
    <x v="9"/>
  </r>
  <r>
    <x v="0"/>
    <x v="11"/>
    <x v="9"/>
  </r>
  <r>
    <x v="6"/>
    <x v="11"/>
    <x v="9"/>
  </r>
  <r>
    <x v="0"/>
    <x v="11"/>
    <x v="15"/>
  </r>
  <r>
    <x v="0"/>
    <x v="11"/>
    <x v="15"/>
  </r>
  <r>
    <x v="13"/>
    <x v="11"/>
    <x v="25"/>
  </r>
  <r>
    <x v="0"/>
    <x v="11"/>
    <x v="26"/>
  </r>
  <r>
    <x v="0"/>
    <x v="11"/>
    <x v="3"/>
  </r>
  <r>
    <x v="0"/>
    <x v="11"/>
    <x v="24"/>
  </r>
  <r>
    <x v="0"/>
    <x v="11"/>
    <x v="6"/>
  </r>
  <r>
    <x v="522"/>
    <x v="11"/>
    <x v="0"/>
  </r>
  <r>
    <x v="0"/>
    <x v="11"/>
    <x v="1"/>
  </r>
  <r>
    <x v="0"/>
    <x v="11"/>
    <x v="28"/>
  </r>
  <r>
    <x v="33"/>
    <x v="11"/>
    <x v="14"/>
  </r>
  <r>
    <x v="107"/>
    <x v="11"/>
    <x v="28"/>
  </r>
  <r>
    <x v="32"/>
    <x v="11"/>
    <x v="28"/>
  </r>
  <r>
    <x v="0"/>
    <x v="11"/>
    <x v="7"/>
  </r>
  <r>
    <x v="134"/>
    <x v="11"/>
    <x v="28"/>
  </r>
  <r>
    <x v="19"/>
    <x v="11"/>
    <x v="27"/>
  </r>
  <r>
    <x v="0"/>
    <x v="11"/>
    <x v="25"/>
  </r>
  <r>
    <x v="86"/>
    <x v="11"/>
    <x v="16"/>
  </r>
  <r>
    <x v="450"/>
    <x v="11"/>
    <x v="16"/>
  </r>
  <r>
    <x v="8"/>
    <x v="11"/>
    <x v="16"/>
  </r>
  <r>
    <x v="0"/>
    <x v="11"/>
    <x v="23"/>
  </r>
  <r>
    <x v="2"/>
    <x v="11"/>
    <x v="23"/>
  </r>
  <r>
    <x v="0"/>
    <x v="11"/>
    <x v="19"/>
  </r>
  <r>
    <x v="29"/>
    <x v="11"/>
    <x v="25"/>
  </r>
  <r>
    <x v="0"/>
    <x v="11"/>
    <x v="12"/>
  </r>
  <r>
    <x v="48"/>
    <x v="11"/>
    <x v="12"/>
  </r>
  <r>
    <x v="7"/>
    <x v="11"/>
    <x v="19"/>
  </r>
  <r>
    <x v="8"/>
    <x v="11"/>
    <x v="12"/>
  </r>
  <r>
    <x v="0"/>
    <x v="11"/>
    <x v="12"/>
  </r>
  <r>
    <x v="2"/>
    <x v="11"/>
    <x v="19"/>
  </r>
  <r>
    <x v="0"/>
    <x v="11"/>
    <x v="24"/>
  </r>
  <r>
    <x v="0"/>
    <x v="11"/>
    <x v="11"/>
  </r>
  <r>
    <x v="15"/>
    <x v="11"/>
    <x v="11"/>
  </r>
  <r>
    <x v="24"/>
    <x v="11"/>
    <x v="28"/>
  </r>
  <r>
    <x v="308"/>
    <x v="11"/>
    <x v="16"/>
  </r>
  <r>
    <x v="346"/>
    <x v="11"/>
    <x v="16"/>
  </r>
  <r>
    <x v="0"/>
    <x v="11"/>
    <x v="18"/>
  </r>
  <r>
    <x v="0"/>
    <x v="11"/>
    <x v="18"/>
  </r>
  <r>
    <x v="0"/>
    <x v="11"/>
    <x v="18"/>
  </r>
  <r>
    <x v="11"/>
    <x v="11"/>
    <x v="18"/>
  </r>
  <r>
    <x v="0"/>
    <x v="11"/>
    <x v="17"/>
  </r>
  <r>
    <x v="0"/>
    <x v="11"/>
    <x v="8"/>
  </r>
  <r>
    <x v="9"/>
    <x v="11"/>
    <x v="8"/>
  </r>
  <r>
    <x v="14"/>
    <x v="11"/>
    <x v="2"/>
  </r>
  <r>
    <x v="34"/>
    <x v="11"/>
    <x v="20"/>
  </r>
  <r>
    <x v="0"/>
    <x v="11"/>
    <x v="20"/>
  </r>
  <r>
    <x v="0"/>
    <x v="11"/>
    <x v="20"/>
  </r>
  <r>
    <x v="0"/>
    <x v="11"/>
    <x v="9"/>
  </r>
  <r>
    <x v="6"/>
    <x v="11"/>
    <x v="9"/>
  </r>
  <r>
    <x v="0"/>
    <x v="11"/>
    <x v="9"/>
  </r>
  <r>
    <x v="11"/>
    <x v="11"/>
    <x v="9"/>
  </r>
  <r>
    <x v="12"/>
    <x v="11"/>
    <x v="13"/>
  </r>
  <r>
    <x v="13"/>
    <x v="11"/>
    <x v="15"/>
  </r>
  <r>
    <x v="0"/>
    <x v="11"/>
    <x v="15"/>
  </r>
  <r>
    <x v="0"/>
    <x v="11"/>
    <x v="25"/>
  </r>
  <r>
    <x v="0"/>
    <x v="11"/>
    <x v="26"/>
  </r>
  <r>
    <x v="0"/>
    <x v="11"/>
    <x v="3"/>
  </r>
  <r>
    <x v="16"/>
    <x v="11"/>
    <x v="24"/>
  </r>
  <r>
    <x v="9"/>
    <x v="11"/>
    <x v="6"/>
  </r>
  <r>
    <x v="492"/>
    <x v="11"/>
    <x v="0"/>
  </r>
  <r>
    <x v="0"/>
    <x v="11"/>
    <x v="1"/>
  </r>
  <r>
    <x v="11"/>
    <x v="11"/>
    <x v="28"/>
  </r>
  <r>
    <x v="23"/>
    <x v="11"/>
    <x v="14"/>
  </r>
  <r>
    <x v="0"/>
    <x v="11"/>
    <x v="28"/>
  </r>
  <r>
    <x v="254"/>
    <x v="11"/>
    <x v="28"/>
  </r>
  <r>
    <x v="11"/>
    <x v="11"/>
    <x v="7"/>
  </r>
  <r>
    <x v="10"/>
    <x v="11"/>
    <x v="28"/>
  </r>
  <r>
    <x v="0"/>
    <x v="11"/>
    <x v="27"/>
  </r>
  <r>
    <x v="0"/>
    <x v="11"/>
    <x v="25"/>
  </r>
  <r>
    <x v="38"/>
    <x v="11"/>
    <x v="16"/>
  </r>
  <r>
    <x v="122"/>
    <x v="11"/>
    <x v="16"/>
  </r>
  <r>
    <x v="420"/>
    <x v="11"/>
    <x v="16"/>
  </r>
  <r>
    <x v="0"/>
    <x v="11"/>
    <x v="23"/>
  </r>
  <r>
    <x v="7"/>
    <x v="11"/>
    <x v="23"/>
  </r>
  <r>
    <x v="0"/>
    <x v="11"/>
    <x v="19"/>
  </r>
  <r>
    <x v="9"/>
    <x v="11"/>
    <x v="25"/>
  </r>
  <r>
    <x v="0"/>
    <x v="11"/>
    <x v="12"/>
  </r>
  <r>
    <x v="7"/>
    <x v="11"/>
    <x v="12"/>
  </r>
  <r>
    <x v="12"/>
    <x v="11"/>
    <x v="19"/>
  </r>
  <r>
    <x v="0"/>
    <x v="11"/>
    <x v="12"/>
  </r>
  <r>
    <x v="2"/>
    <x v="11"/>
    <x v="12"/>
  </r>
  <r>
    <x v="14"/>
    <x v="11"/>
    <x v="19"/>
  </r>
  <r>
    <x v="14"/>
    <x v="11"/>
    <x v="24"/>
  </r>
  <r>
    <x v="0"/>
    <x v="11"/>
    <x v="11"/>
  </r>
  <r>
    <x v="0"/>
    <x v="11"/>
    <x v="11"/>
  </r>
  <r>
    <x v="24"/>
    <x v="11"/>
    <x v="28"/>
  </r>
  <r>
    <x v="269"/>
    <x v="11"/>
    <x v="16"/>
  </r>
  <r>
    <x v="281"/>
    <x v="11"/>
    <x v="16"/>
  </r>
  <r>
    <x v="9"/>
    <x v="11"/>
    <x v="18"/>
  </r>
  <r>
    <x v="0"/>
    <x v="11"/>
    <x v="18"/>
  </r>
  <r>
    <x v="0"/>
    <x v="11"/>
    <x v="18"/>
  </r>
  <r>
    <x v="0"/>
    <x v="11"/>
    <x v="18"/>
  </r>
  <r>
    <x v="0"/>
    <x v="11"/>
    <x v="17"/>
  </r>
  <r>
    <x v="0"/>
    <x v="11"/>
    <x v="8"/>
  </r>
  <r>
    <x v="0"/>
    <x v="11"/>
    <x v="8"/>
  </r>
  <r>
    <x v="10"/>
    <x v="11"/>
    <x v="2"/>
  </r>
  <r>
    <x v="3"/>
    <x v="11"/>
    <x v="2"/>
  </r>
  <r>
    <x v="0"/>
    <x v="11"/>
    <x v="20"/>
  </r>
  <r>
    <x v="7"/>
    <x v="11"/>
    <x v="20"/>
  </r>
  <r>
    <x v="0"/>
    <x v="11"/>
    <x v="20"/>
  </r>
  <r>
    <x v="0"/>
    <x v="11"/>
    <x v="9"/>
  </r>
  <r>
    <x v="0"/>
    <x v="11"/>
    <x v="9"/>
  </r>
  <r>
    <x v="0"/>
    <x v="11"/>
    <x v="9"/>
  </r>
  <r>
    <x v="6"/>
    <x v="11"/>
    <x v="9"/>
  </r>
  <r>
    <x v="6"/>
    <x v="11"/>
    <x v="13"/>
  </r>
  <r>
    <x v="0"/>
    <x v="11"/>
    <x v="15"/>
  </r>
  <r>
    <x v="0"/>
    <x v="11"/>
    <x v="15"/>
  </r>
  <r>
    <x v="0"/>
    <x v="11"/>
    <x v="25"/>
  </r>
  <r>
    <x v="0"/>
    <x v="11"/>
    <x v="26"/>
  </r>
  <r>
    <x v="0"/>
    <x v="11"/>
    <x v="3"/>
  </r>
  <r>
    <x v="0"/>
    <x v="11"/>
    <x v="24"/>
  </r>
  <r>
    <x v="0"/>
    <x v="11"/>
    <x v="6"/>
  </r>
  <r>
    <x v="473"/>
    <x v="18"/>
    <x v="0"/>
  </r>
  <r>
    <x v="0"/>
    <x v="18"/>
    <x v="1"/>
  </r>
  <r>
    <x v="7"/>
    <x v="18"/>
    <x v="28"/>
  </r>
  <r>
    <x v="0"/>
    <x v="18"/>
    <x v="14"/>
  </r>
  <r>
    <x v="0"/>
    <x v="18"/>
    <x v="28"/>
  </r>
  <r>
    <x v="0"/>
    <x v="18"/>
    <x v="28"/>
  </r>
  <r>
    <x v="0"/>
    <x v="18"/>
    <x v="7"/>
  </r>
  <r>
    <x v="0"/>
    <x v="18"/>
    <x v="28"/>
  </r>
  <r>
    <x v="0"/>
    <x v="18"/>
    <x v="27"/>
  </r>
  <r>
    <x v="17"/>
    <x v="18"/>
    <x v="25"/>
  </r>
  <r>
    <x v="0"/>
    <x v="18"/>
    <x v="16"/>
  </r>
  <r>
    <x v="0"/>
    <x v="18"/>
    <x v="16"/>
  </r>
  <r>
    <x v="0"/>
    <x v="18"/>
    <x v="16"/>
  </r>
  <r>
    <x v="433"/>
    <x v="18"/>
    <x v="23"/>
  </r>
  <r>
    <x v="334"/>
    <x v="18"/>
    <x v="23"/>
  </r>
  <r>
    <x v="146"/>
    <x v="18"/>
    <x v="19"/>
  </r>
  <r>
    <x v="15"/>
    <x v="18"/>
    <x v="25"/>
  </r>
  <r>
    <x v="8"/>
    <x v="18"/>
    <x v="12"/>
  </r>
  <r>
    <x v="24"/>
    <x v="18"/>
    <x v="12"/>
  </r>
  <r>
    <x v="75"/>
    <x v="18"/>
    <x v="19"/>
  </r>
  <r>
    <x v="0"/>
    <x v="18"/>
    <x v="12"/>
  </r>
  <r>
    <x v="22"/>
    <x v="18"/>
    <x v="12"/>
  </r>
  <r>
    <x v="18"/>
    <x v="18"/>
    <x v="19"/>
  </r>
  <r>
    <x v="0"/>
    <x v="18"/>
    <x v="24"/>
  </r>
  <r>
    <x v="0"/>
    <x v="18"/>
    <x v="11"/>
  </r>
  <r>
    <x v="0"/>
    <x v="18"/>
    <x v="11"/>
  </r>
  <r>
    <x v="0"/>
    <x v="18"/>
    <x v="28"/>
  </r>
  <r>
    <x v="0"/>
    <x v="18"/>
    <x v="16"/>
  </r>
  <r>
    <x v="0"/>
    <x v="18"/>
    <x v="16"/>
  </r>
  <r>
    <x v="9"/>
    <x v="18"/>
    <x v="18"/>
  </r>
  <r>
    <x v="0"/>
    <x v="18"/>
    <x v="18"/>
  </r>
  <r>
    <x v="0"/>
    <x v="18"/>
    <x v="18"/>
  </r>
  <r>
    <x v="0"/>
    <x v="18"/>
    <x v="18"/>
  </r>
  <r>
    <x v="0"/>
    <x v="18"/>
    <x v="17"/>
  </r>
  <r>
    <x v="0"/>
    <x v="18"/>
    <x v="8"/>
  </r>
  <r>
    <x v="0"/>
    <x v="18"/>
    <x v="8"/>
  </r>
  <r>
    <x v="0"/>
    <x v="18"/>
    <x v="2"/>
  </r>
  <r>
    <x v="0"/>
    <x v="18"/>
    <x v="2"/>
  </r>
  <r>
    <x v="0"/>
    <x v="18"/>
    <x v="20"/>
  </r>
  <r>
    <x v="0"/>
    <x v="18"/>
    <x v="20"/>
  </r>
  <r>
    <x v="0"/>
    <x v="18"/>
    <x v="20"/>
  </r>
  <r>
    <x v="7"/>
    <x v="18"/>
    <x v="9"/>
  </r>
  <r>
    <x v="0"/>
    <x v="18"/>
    <x v="9"/>
  </r>
  <r>
    <x v="0"/>
    <x v="18"/>
    <x v="9"/>
  </r>
  <r>
    <x v="0"/>
    <x v="18"/>
    <x v="9"/>
  </r>
  <r>
    <x v="0"/>
    <x v="18"/>
    <x v="9"/>
  </r>
  <r>
    <x v="0"/>
    <x v="18"/>
    <x v="13"/>
  </r>
  <r>
    <x v="0"/>
    <x v="18"/>
    <x v="15"/>
  </r>
  <r>
    <x v="0"/>
    <x v="18"/>
    <x v="15"/>
  </r>
  <r>
    <x v="23"/>
    <x v="18"/>
    <x v="25"/>
  </r>
  <r>
    <x v="0"/>
    <x v="18"/>
    <x v="26"/>
  </r>
  <r>
    <x v="0"/>
    <x v="18"/>
    <x v="3"/>
  </r>
  <r>
    <x v="7"/>
    <x v="18"/>
    <x v="28"/>
  </r>
  <r>
    <x v="0"/>
    <x v="18"/>
    <x v="24"/>
  </r>
  <r>
    <x v="0"/>
    <x v="18"/>
    <x v="6"/>
  </r>
  <r>
    <x v="548"/>
    <x v="18"/>
    <x v="0"/>
  </r>
  <r>
    <x v="12"/>
    <x v="18"/>
    <x v="1"/>
  </r>
  <r>
    <x v="0"/>
    <x v="18"/>
    <x v="28"/>
  </r>
  <r>
    <x v="10"/>
    <x v="18"/>
    <x v="14"/>
  </r>
  <r>
    <x v="46"/>
    <x v="18"/>
    <x v="28"/>
  </r>
  <r>
    <x v="0"/>
    <x v="18"/>
    <x v="28"/>
  </r>
  <r>
    <x v="0"/>
    <x v="18"/>
    <x v="7"/>
  </r>
  <r>
    <x v="0"/>
    <x v="18"/>
    <x v="28"/>
  </r>
  <r>
    <x v="0"/>
    <x v="18"/>
    <x v="27"/>
  </r>
  <r>
    <x v="103"/>
    <x v="18"/>
    <x v="25"/>
  </r>
  <r>
    <x v="10"/>
    <x v="18"/>
    <x v="16"/>
  </r>
  <r>
    <x v="0"/>
    <x v="18"/>
    <x v="16"/>
  </r>
  <r>
    <x v="6"/>
    <x v="18"/>
    <x v="16"/>
  </r>
  <r>
    <x v="411"/>
    <x v="18"/>
    <x v="23"/>
  </r>
  <r>
    <x v="502"/>
    <x v="18"/>
    <x v="23"/>
  </r>
  <r>
    <x v="353"/>
    <x v="18"/>
    <x v="19"/>
  </r>
  <r>
    <x v="22"/>
    <x v="18"/>
    <x v="25"/>
  </r>
  <r>
    <x v="26"/>
    <x v="18"/>
    <x v="12"/>
  </r>
  <r>
    <x v="47"/>
    <x v="18"/>
    <x v="12"/>
  </r>
  <r>
    <x v="276"/>
    <x v="18"/>
    <x v="19"/>
  </r>
  <r>
    <x v="32"/>
    <x v="18"/>
    <x v="12"/>
  </r>
  <r>
    <x v="108"/>
    <x v="18"/>
    <x v="12"/>
  </r>
  <r>
    <x v="82"/>
    <x v="18"/>
    <x v="19"/>
  </r>
  <r>
    <x v="0"/>
    <x v="18"/>
    <x v="24"/>
  </r>
  <r>
    <x v="0"/>
    <x v="18"/>
    <x v="11"/>
  </r>
  <r>
    <x v="0"/>
    <x v="18"/>
    <x v="11"/>
  </r>
  <r>
    <x v="0"/>
    <x v="18"/>
    <x v="28"/>
  </r>
  <r>
    <x v="9"/>
    <x v="18"/>
    <x v="16"/>
  </r>
  <r>
    <x v="0"/>
    <x v="18"/>
    <x v="16"/>
  </r>
  <r>
    <x v="0"/>
    <x v="18"/>
    <x v="18"/>
  </r>
  <r>
    <x v="0"/>
    <x v="18"/>
    <x v="18"/>
  </r>
  <r>
    <x v="12"/>
    <x v="18"/>
    <x v="18"/>
  </r>
  <r>
    <x v="0"/>
    <x v="18"/>
    <x v="18"/>
  </r>
  <r>
    <x v="0"/>
    <x v="18"/>
    <x v="17"/>
  </r>
  <r>
    <x v="0"/>
    <x v="18"/>
    <x v="8"/>
  </r>
  <r>
    <x v="0"/>
    <x v="18"/>
    <x v="8"/>
  </r>
  <r>
    <x v="0"/>
    <x v="18"/>
    <x v="2"/>
  </r>
  <r>
    <x v="0"/>
    <x v="18"/>
    <x v="2"/>
  </r>
  <r>
    <x v="7"/>
    <x v="18"/>
    <x v="20"/>
  </r>
  <r>
    <x v="0"/>
    <x v="18"/>
    <x v="20"/>
  </r>
  <r>
    <x v="20"/>
    <x v="18"/>
    <x v="20"/>
  </r>
  <r>
    <x v="5"/>
    <x v="18"/>
    <x v="9"/>
  </r>
  <r>
    <x v="0"/>
    <x v="18"/>
    <x v="9"/>
  </r>
  <r>
    <x v="0"/>
    <x v="18"/>
    <x v="9"/>
  </r>
  <r>
    <x v="0"/>
    <x v="18"/>
    <x v="9"/>
  </r>
  <r>
    <x v="0"/>
    <x v="18"/>
    <x v="9"/>
  </r>
  <r>
    <x v="0"/>
    <x v="18"/>
    <x v="13"/>
  </r>
  <r>
    <x v="10"/>
    <x v="18"/>
    <x v="15"/>
  </r>
  <r>
    <x v="0"/>
    <x v="18"/>
    <x v="15"/>
  </r>
  <r>
    <x v="75"/>
    <x v="18"/>
    <x v="25"/>
  </r>
  <r>
    <x v="0"/>
    <x v="18"/>
    <x v="26"/>
  </r>
  <r>
    <x v="0"/>
    <x v="18"/>
    <x v="3"/>
  </r>
  <r>
    <x v="0"/>
    <x v="18"/>
    <x v="28"/>
  </r>
  <r>
    <x v="10"/>
    <x v="18"/>
    <x v="24"/>
  </r>
  <r>
    <x v="0"/>
    <x v="18"/>
    <x v="6"/>
  </r>
  <r>
    <x v="533"/>
    <x v="14"/>
    <x v="0"/>
  </r>
  <r>
    <x v="0"/>
    <x v="14"/>
    <x v="1"/>
  </r>
  <r>
    <x v="0"/>
    <x v="14"/>
    <x v="28"/>
  </r>
  <r>
    <x v="8"/>
    <x v="14"/>
    <x v="14"/>
  </r>
  <r>
    <x v="10"/>
    <x v="14"/>
    <x v="28"/>
  </r>
  <r>
    <x v="0"/>
    <x v="14"/>
    <x v="28"/>
  </r>
  <r>
    <x v="0"/>
    <x v="14"/>
    <x v="7"/>
  </r>
  <r>
    <x v="0"/>
    <x v="14"/>
    <x v="28"/>
  </r>
  <r>
    <x v="15"/>
    <x v="14"/>
    <x v="27"/>
  </r>
  <r>
    <x v="8"/>
    <x v="14"/>
    <x v="25"/>
  </r>
  <r>
    <x v="5"/>
    <x v="14"/>
    <x v="16"/>
  </r>
  <r>
    <x v="0"/>
    <x v="14"/>
    <x v="16"/>
  </r>
  <r>
    <x v="0"/>
    <x v="14"/>
    <x v="16"/>
  </r>
  <r>
    <x v="38"/>
    <x v="14"/>
    <x v="23"/>
  </r>
  <r>
    <x v="162"/>
    <x v="14"/>
    <x v="23"/>
  </r>
  <r>
    <x v="506"/>
    <x v="14"/>
    <x v="19"/>
  </r>
  <r>
    <x v="28"/>
    <x v="14"/>
    <x v="25"/>
  </r>
  <r>
    <x v="108"/>
    <x v="14"/>
    <x v="12"/>
  </r>
  <r>
    <x v="178"/>
    <x v="14"/>
    <x v="12"/>
  </r>
  <r>
    <x v="425"/>
    <x v="14"/>
    <x v="19"/>
  </r>
  <r>
    <x v="107"/>
    <x v="14"/>
    <x v="12"/>
  </r>
  <r>
    <x v="202"/>
    <x v="14"/>
    <x v="12"/>
  </r>
  <r>
    <x v="205"/>
    <x v="14"/>
    <x v="19"/>
  </r>
  <r>
    <x v="0"/>
    <x v="14"/>
    <x v="24"/>
  </r>
  <r>
    <x v="8"/>
    <x v="14"/>
    <x v="11"/>
  </r>
  <r>
    <x v="0"/>
    <x v="14"/>
    <x v="11"/>
  </r>
  <r>
    <x v="0"/>
    <x v="14"/>
    <x v="28"/>
  </r>
  <r>
    <x v="25"/>
    <x v="14"/>
    <x v="16"/>
  </r>
  <r>
    <x v="0"/>
    <x v="14"/>
    <x v="16"/>
  </r>
  <r>
    <x v="0"/>
    <x v="14"/>
    <x v="18"/>
  </r>
  <r>
    <x v="0"/>
    <x v="14"/>
    <x v="18"/>
  </r>
  <r>
    <x v="0"/>
    <x v="14"/>
    <x v="18"/>
  </r>
  <r>
    <x v="12"/>
    <x v="14"/>
    <x v="18"/>
  </r>
  <r>
    <x v="0"/>
    <x v="14"/>
    <x v="17"/>
  </r>
  <r>
    <x v="0"/>
    <x v="14"/>
    <x v="8"/>
  </r>
  <r>
    <x v="7"/>
    <x v="14"/>
    <x v="8"/>
  </r>
  <r>
    <x v="0"/>
    <x v="14"/>
    <x v="2"/>
  </r>
  <r>
    <x v="0"/>
    <x v="14"/>
    <x v="2"/>
  </r>
  <r>
    <x v="11"/>
    <x v="14"/>
    <x v="20"/>
  </r>
  <r>
    <x v="16"/>
    <x v="14"/>
    <x v="20"/>
  </r>
  <r>
    <x v="0"/>
    <x v="14"/>
    <x v="20"/>
  </r>
  <r>
    <x v="0"/>
    <x v="14"/>
    <x v="9"/>
  </r>
  <r>
    <x v="0"/>
    <x v="14"/>
    <x v="9"/>
  </r>
  <r>
    <x v="0"/>
    <x v="14"/>
    <x v="9"/>
  </r>
  <r>
    <x v="8"/>
    <x v="14"/>
    <x v="9"/>
  </r>
  <r>
    <x v="11"/>
    <x v="14"/>
    <x v="9"/>
  </r>
  <r>
    <x v="0"/>
    <x v="14"/>
    <x v="13"/>
  </r>
  <r>
    <x v="0"/>
    <x v="14"/>
    <x v="15"/>
  </r>
  <r>
    <x v="0"/>
    <x v="14"/>
    <x v="15"/>
  </r>
  <r>
    <x v="51"/>
    <x v="14"/>
    <x v="25"/>
  </r>
  <r>
    <x v="0"/>
    <x v="14"/>
    <x v="26"/>
  </r>
  <r>
    <x v="0"/>
    <x v="14"/>
    <x v="3"/>
  </r>
  <r>
    <x v="0"/>
    <x v="14"/>
    <x v="28"/>
  </r>
  <r>
    <x v="0"/>
    <x v="14"/>
    <x v="24"/>
  </r>
  <r>
    <x v="41"/>
    <x v="14"/>
    <x v="6"/>
  </r>
  <r>
    <x v="543"/>
    <x v="20"/>
    <x v="0"/>
  </r>
  <r>
    <x v="7"/>
    <x v="20"/>
    <x v="1"/>
  </r>
  <r>
    <x v="0"/>
    <x v="20"/>
    <x v="28"/>
  </r>
  <r>
    <x v="0"/>
    <x v="20"/>
    <x v="14"/>
  </r>
  <r>
    <x v="0"/>
    <x v="20"/>
    <x v="28"/>
  </r>
  <r>
    <x v="0"/>
    <x v="20"/>
    <x v="28"/>
  </r>
  <r>
    <x v="0"/>
    <x v="20"/>
    <x v="7"/>
  </r>
  <r>
    <x v="0"/>
    <x v="20"/>
    <x v="28"/>
  </r>
  <r>
    <x v="8"/>
    <x v="20"/>
    <x v="27"/>
  </r>
  <r>
    <x v="171"/>
    <x v="20"/>
    <x v="25"/>
  </r>
  <r>
    <x v="171"/>
    <x v="20"/>
    <x v="16"/>
  </r>
  <r>
    <x v="20"/>
    <x v="20"/>
    <x v="16"/>
  </r>
  <r>
    <x v="0"/>
    <x v="20"/>
    <x v="16"/>
  </r>
  <r>
    <x v="0"/>
    <x v="20"/>
    <x v="23"/>
  </r>
  <r>
    <x v="40"/>
    <x v="20"/>
    <x v="23"/>
  </r>
  <r>
    <x v="70"/>
    <x v="20"/>
    <x v="19"/>
  </r>
  <r>
    <x v="487"/>
    <x v="20"/>
    <x v="25"/>
  </r>
  <r>
    <x v="166"/>
    <x v="20"/>
    <x v="12"/>
  </r>
  <r>
    <x v="319"/>
    <x v="20"/>
    <x v="12"/>
  </r>
  <r>
    <x v="209"/>
    <x v="20"/>
    <x v="19"/>
  </r>
  <r>
    <x v="90"/>
    <x v="20"/>
    <x v="12"/>
  </r>
  <r>
    <x v="184"/>
    <x v="20"/>
    <x v="12"/>
  </r>
  <r>
    <x v="110"/>
    <x v="20"/>
    <x v="19"/>
  </r>
  <r>
    <x v="7"/>
    <x v="20"/>
    <x v="24"/>
  </r>
  <r>
    <x v="7"/>
    <x v="20"/>
    <x v="11"/>
  </r>
  <r>
    <x v="0"/>
    <x v="20"/>
    <x v="11"/>
  </r>
  <r>
    <x v="0"/>
    <x v="20"/>
    <x v="28"/>
  </r>
  <r>
    <x v="5"/>
    <x v="20"/>
    <x v="28"/>
  </r>
  <r>
    <x v="183"/>
    <x v="20"/>
    <x v="16"/>
  </r>
  <r>
    <x v="42"/>
    <x v="20"/>
    <x v="16"/>
  </r>
  <r>
    <x v="4"/>
    <x v="20"/>
    <x v="10"/>
  </r>
  <r>
    <x v="0"/>
    <x v="20"/>
    <x v="18"/>
  </r>
  <r>
    <x v="0"/>
    <x v="20"/>
    <x v="18"/>
  </r>
  <r>
    <x v="0"/>
    <x v="20"/>
    <x v="18"/>
  </r>
  <r>
    <x v="0"/>
    <x v="20"/>
    <x v="18"/>
  </r>
  <r>
    <x v="6"/>
    <x v="20"/>
    <x v="17"/>
  </r>
  <r>
    <x v="0"/>
    <x v="20"/>
    <x v="8"/>
  </r>
  <r>
    <x v="0"/>
    <x v="20"/>
    <x v="8"/>
  </r>
  <r>
    <x v="0"/>
    <x v="20"/>
    <x v="2"/>
  </r>
  <r>
    <x v="0"/>
    <x v="20"/>
    <x v="2"/>
  </r>
  <r>
    <x v="21"/>
    <x v="20"/>
    <x v="20"/>
  </r>
  <r>
    <x v="0"/>
    <x v="20"/>
    <x v="20"/>
  </r>
  <r>
    <x v="13"/>
    <x v="20"/>
    <x v="20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13"/>
  </r>
  <r>
    <x v="0"/>
    <x v="20"/>
    <x v="15"/>
  </r>
  <r>
    <x v="0"/>
    <x v="20"/>
    <x v="15"/>
  </r>
  <r>
    <x v="279"/>
    <x v="20"/>
    <x v="25"/>
  </r>
  <r>
    <x v="0"/>
    <x v="20"/>
    <x v="26"/>
  </r>
  <r>
    <x v="0"/>
    <x v="20"/>
    <x v="3"/>
  </r>
  <r>
    <x v="8"/>
    <x v="20"/>
    <x v="28"/>
  </r>
  <r>
    <x v="5"/>
    <x v="20"/>
    <x v="24"/>
  </r>
  <r>
    <x v="15"/>
    <x v="20"/>
    <x v="6"/>
  </r>
  <r>
    <x v="483"/>
    <x v="7"/>
    <x v="0"/>
  </r>
  <r>
    <x v="0"/>
    <x v="7"/>
    <x v="1"/>
  </r>
  <r>
    <x v="0"/>
    <x v="7"/>
    <x v="28"/>
  </r>
  <r>
    <x v="0"/>
    <x v="7"/>
    <x v="14"/>
  </r>
  <r>
    <x v="0"/>
    <x v="7"/>
    <x v="28"/>
  </r>
  <r>
    <x v="0"/>
    <x v="7"/>
    <x v="28"/>
  </r>
  <r>
    <x v="0"/>
    <x v="7"/>
    <x v="7"/>
  </r>
  <r>
    <x v="0"/>
    <x v="7"/>
    <x v="28"/>
  </r>
  <r>
    <x v="0"/>
    <x v="7"/>
    <x v="27"/>
  </r>
  <r>
    <x v="0"/>
    <x v="7"/>
    <x v="25"/>
  </r>
  <r>
    <x v="7"/>
    <x v="7"/>
    <x v="16"/>
  </r>
  <r>
    <x v="0"/>
    <x v="7"/>
    <x v="16"/>
  </r>
  <r>
    <x v="0"/>
    <x v="7"/>
    <x v="16"/>
  </r>
  <r>
    <x v="0"/>
    <x v="7"/>
    <x v="23"/>
  </r>
  <r>
    <x v="0"/>
    <x v="7"/>
    <x v="23"/>
  </r>
  <r>
    <x v="130"/>
    <x v="7"/>
    <x v="19"/>
  </r>
  <r>
    <x v="45"/>
    <x v="7"/>
    <x v="25"/>
  </r>
  <r>
    <x v="333"/>
    <x v="7"/>
    <x v="12"/>
  </r>
  <r>
    <x v="275"/>
    <x v="7"/>
    <x v="12"/>
  </r>
  <r>
    <x v="277"/>
    <x v="7"/>
    <x v="19"/>
  </r>
  <r>
    <x v="253"/>
    <x v="7"/>
    <x v="12"/>
  </r>
  <r>
    <x v="288"/>
    <x v="7"/>
    <x v="12"/>
  </r>
  <r>
    <x v="39"/>
    <x v="7"/>
    <x v="19"/>
  </r>
  <r>
    <x v="0"/>
    <x v="7"/>
    <x v="24"/>
  </r>
  <r>
    <x v="0"/>
    <x v="7"/>
    <x v="11"/>
  </r>
  <r>
    <x v="0"/>
    <x v="7"/>
    <x v="11"/>
  </r>
  <r>
    <x v="0"/>
    <x v="7"/>
    <x v="28"/>
  </r>
  <r>
    <x v="0"/>
    <x v="7"/>
    <x v="28"/>
  </r>
  <r>
    <x v="0"/>
    <x v="7"/>
    <x v="16"/>
  </r>
  <r>
    <x v="0"/>
    <x v="7"/>
    <x v="16"/>
  </r>
  <r>
    <x v="0"/>
    <x v="7"/>
    <x v="10"/>
  </r>
  <r>
    <x v="0"/>
    <x v="7"/>
    <x v="18"/>
  </r>
  <r>
    <x v="0"/>
    <x v="7"/>
    <x v="18"/>
  </r>
  <r>
    <x v="0"/>
    <x v="7"/>
    <x v="18"/>
  </r>
  <r>
    <x v="0"/>
    <x v="7"/>
    <x v="18"/>
  </r>
  <r>
    <x v="0"/>
    <x v="7"/>
    <x v="17"/>
  </r>
  <r>
    <x v="0"/>
    <x v="7"/>
    <x v="8"/>
  </r>
  <r>
    <x v="0"/>
    <x v="7"/>
    <x v="8"/>
  </r>
  <r>
    <x v="0"/>
    <x v="7"/>
    <x v="2"/>
  </r>
  <r>
    <x v="0"/>
    <x v="7"/>
    <x v="2"/>
  </r>
  <r>
    <x v="0"/>
    <x v="7"/>
    <x v="20"/>
  </r>
  <r>
    <x v="0"/>
    <x v="7"/>
    <x v="20"/>
  </r>
  <r>
    <x v="0"/>
    <x v="7"/>
    <x v="20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13"/>
  </r>
  <r>
    <x v="0"/>
    <x v="7"/>
    <x v="15"/>
  </r>
  <r>
    <x v="0"/>
    <x v="7"/>
    <x v="15"/>
  </r>
  <r>
    <x v="37"/>
    <x v="7"/>
    <x v="25"/>
  </r>
  <r>
    <x v="0"/>
    <x v="7"/>
    <x v="26"/>
  </r>
  <r>
    <x v="0"/>
    <x v="7"/>
    <x v="3"/>
  </r>
  <r>
    <x v="0"/>
    <x v="7"/>
    <x v="28"/>
  </r>
  <r>
    <x v="0"/>
    <x v="7"/>
    <x v="24"/>
  </r>
  <r>
    <x v="0"/>
    <x v="7"/>
    <x v="6"/>
  </r>
  <r>
    <x v="577"/>
    <x v="7"/>
    <x v="0"/>
  </r>
  <r>
    <x v="21"/>
    <x v="7"/>
    <x v="1"/>
  </r>
  <r>
    <x v="9"/>
    <x v="7"/>
    <x v="28"/>
  </r>
  <r>
    <x v="0"/>
    <x v="7"/>
    <x v="14"/>
  </r>
  <r>
    <x v="14"/>
    <x v="7"/>
    <x v="28"/>
  </r>
  <r>
    <x v="0"/>
    <x v="7"/>
    <x v="28"/>
  </r>
  <r>
    <x v="11"/>
    <x v="7"/>
    <x v="7"/>
  </r>
  <r>
    <x v="0"/>
    <x v="7"/>
    <x v="28"/>
  </r>
  <r>
    <x v="0"/>
    <x v="7"/>
    <x v="27"/>
  </r>
  <r>
    <x v="41"/>
    <x v="7"/>
    <x v="25"/>
  </r>
  <r>
    <x v="5"/>
    <x v="7"/>
    <x v="16"/>
  </r>
  <r>
    <x v="26"/>
    <x v="7"/>
    <x v="16"/>
  </r>
  <r>
    <x v="18"/>
    <x v="7"/>
    <x v="16"/>
  </r>
  <r>
    <x v="8"/>
    <x v="7"/>
    <x v="23"/>
  </r>
  <r>
    <x v="26"/>
    <x v="7"/>
    <x v="23"/>
  </r>
  <r>
    <x v="133"/>
    <x v="7"/>
    <x v="19"/>
  </r>
  <r>
    <x v="197"/>
    <x v="7"/>
    <x v="25"/>
  </r>
  <r>
    <x v="335"/>
    <x v="7"/>
    <x v="12"/>
  </r>
  <r>
    <x v="561"/>
    <x v="7"/>
    <x v="12"/>
  </r>
  <r>
    <x v="437"/>
    <x v="7"/>
    <x v="19"/>
  </r>
  <r>
    <x v="351"/>
    <x v="7"/>
    <x v="12"/>
  </r>
  <r>
    <x v="464"/>
    <x v="7"/>
    <x v="12"/>
  </r>
  <r>
    <x v="266"/>
    <x v="7"/>
    <x v="19"/>
  </r>
  <r>
    <x v="27"/>
    <x v="7"/>
    <x v="24"/>
  </r>
  <r>
    <x v="0"/>
    <x v="7"/>
    <x v="11"/>
  </r>
  <r>
    <x v="0"/>
    <x v="7"/>
    <x v="11"/>
  </r>
  <r>
    <x v="10"/>
    <x v="7"/>
    <x v="28"/>
  </r>
  <r>
    <x v="0"/>
    <x v="7"/>
    <x v="28"/>
  </r>
  <r>
    <x v="36"/>
    <x v="7"/>
    <x v="16"/>
  </r>
  <r>
    <x v="7"/>
    <x v="7"/>
    <x v="16"/>
  </r>
  <r>
    <x v="0"/>
    <x v="7"/>
    <x v="10"/>
  </r>
  <r>
    <x v="9"/>
    <x v="7"/>
    <x v="28"/>
  </r>
  <r>
    <x v="8"/>
    <x v="7"/>
    <x v="21"/>
  </r>
  <r>
    <x v="25"/>
    <x v="7"/>
    <x v="18"/>
  </r>
  <r>
    <x v="0"/>
    <x v="7"/>
    <x v="18"/>
  </r>
  <r>
    <x v="0"/>
    <x v="7"/>
    <x v="18"/>
  </r>
  <r>
    <x v="13"/>
    <x v="7"/>
    <x v="18"/>
  </r>
  <r>
    <x v="0"/>
    <x v="7"/>
    <x v="17"/>
  </r>
  <r>
    <x v="8"/>
    <x v="7"/>
    <x v="8"/>
  </r>
  <r>
    <x v="0"/>
    <x v="7"/>
    <x v="8"/>
  </r>
  <r>
    <x v="5"/>
    <x v="7"/>
    <x v="2"/>
  </r>
  <r>
    <x v="11"/>
    <x v="7"/>
    <x v="2"/>
  </r>
  <r>
    <x v="179"/>
    <x v="7"/>
    <x v="20"/>
  </r>
  <r>
    <x v="61"/>
    <x v="7"/>
    <x v="20"/>
  </r>
  <r>
    <x v="138"/>
    <x v="7"/>
    <x v="20"/>
  </r>
  <r>
    <x v="0"/>
    <x v="7"/>
    <x v="9"/>
  </r>
  <r>
    <x v="11"/>
    <x v="7"/>
    <x v="9"/>
  </r>
  <r>
    <x v="10"/>
    <x v="7"/>
    <x v="9"/>
  </r>
  <r>
    <x v="4"/>
    <x v="7"/>
    <x v="9"/>
  </r>
  <r>
    <x v="0"/>
    <x v="7"/>
    <x v="9"/>
  </r>
  <r>
    <x v="8"/>
    <x v="7"/>
    <x v="9"/>
  </r>
  <r>
    <x v="19"/>
    <x v="7"/>
    <x v="9"/>
  </r>
  <r>
    <x v="10"/>
    <x v="7"/>
    <x v="9"/>
  </r>
  <r>
    <x v="0"/>
    <x v="7"/>
    <x v="13"/>
  </r>
  <r>
    <x v="0"/>
    <x v="7"/>
    <x v="15"/>
  </r>
  <r>
    <x v="7"/>
    <x v="7"/>
    <x v="15"/>
  </r>
  <r>
    <x v="6"/>
    <x v="7"/>
    <x v="15"/>
  </r>
  <r>
    <x v="106"/>
    <x v="7"/>
    <x v="25"/>
  </r>
  <r>
    <x v="9"/>
    <x v="7"/>
    <x v="26"/>
  </r>
  <r>
    <x v="4"/>
    <x v="7"/>
    <x v="22"/>
  </r>
  <r>
    <x v="0"/>
    <x v="7"/>
    <x v="3"/>
  </r>
  <r>
    <x v="4"/>
    <x v="7"/>
    <x v="28"/>
  </r>
  <r>
    <x v="21"/>
    <x v="7"/>
    <x v="24"/>
  </r>
  <r>
    <x v="6"/>
    <x v="7"/>
    <x v="4"/>
  </r>
  <r>
    <x v="27"/>
    <x v="7"/>
    <x v="6"/>
  </r>
  <r>
    <x v="579"/>
    <x v="14"/>
    <x v="0"/>
  </r>
  <r>
    <x v="11"/>
    <x v="14"/>
    <x v="1"/>
  </r>
  <r>
    <x v="6"/>
    <x v="14"/>
    <x v="28"/>
  </r>
  <r>
    <x v="12"/>
    <x v="14"/>
    <x v="14"/>
  </r>
  <r>
    <x v="14"/>
    <x v="14"/>
    <x v="28"/>
  </r>
  <r>
    <x v="0"/>
    <x v="14"/>
    <x v="28"/>
  </r>
  <r>
    <x v="0"/>
    <x v="14"/>
    <x v="7"/>
  </r>
  <r>
    <x v="6"/>
    <x v="14"/>
    <x v="28"/>
  </r>
  <r>
    <x v="0"/>
    <x v="14"/>
    <x v="27"/>
  </r>
  <r>
    <x v="10"/>
    <x v="14"/>
    <x v="25"/>
  </r>
  <r>
    <x v="0"/>
    <x v="14"/>
    <x v="16"/>
  </r>
  <r>
    <x v="9"/>
    <x v="14"/>
    <x v="16"/>
  </r>
  <r>
    <x v="0"/>
    <x v="14"/>
    <x v="16"/>
  </r>
  <r>
    <x v="11"/>
    <x v="14"/>
    <x v="23"/>
  </r>
  <r>
    <x v="38"/>
    <x v="14"/>
    <x v="23"/>
  </r>
  <r>
    <x v="219"/>
    <x v="14"/>
    <x v="19"/>
  </r>
  <r>
    <x v="11"/>
    <x v="14"/>
    <x v="25"/>
  </r>
  <r>
    <x v="74"/>
    <x v="14"/>
    <x v="12"/>
  </r>
  <r>
    <x v="246"/>
    <x v="14"/>
    <x v="12"/>
  </r>
  <r>
    <x v="575"/>
    <x v="14"/>
    <x v="19"/>
  </r>
  <r>
    <x v="250"/>
    <x v="14"/>
    <x v="12"/>
  </r>
  <r>
    <x v="344"/>
    <x v="14"/>
    <x v="12"/>
  </r>
  <r>
    <x v="417"/>
    <x v="14"/>
    <x v="19"/>
  </r>
  <r>
    <x v="9"/>
    <x v="14"/>
    <x v="24"/>
  </r>
  <r>
    <x v="7"/>
    <x v="14"/>
    <x v="11"/>
  </r>
  <r>
    <x v="11"/>
    <x v="14"/>
    <x v="11"/>
  </r>
  <r>
    <x v="0"/>
    <x v="14"/>
    <x v="28"/>
  </r>
  <r>
    <x v="0"/>
    <x v="14"/>
    <x v="28"/>
  </r>
  <r>
    <x v="8"/>
    <x v="14"/>
    <x v="16"/>
  </r>
  <r>
    <x v="0"/>
    <x v="14"/>
    <x v="16"/>
  </r>
  <r>
    <x v="0"/>
    <x v="14"/>
    <x v="10"/>
  </r>
  <r>
    <x v="0"/>
    <x v="14"/>
    <x v="28"/>
  </r>
  <r>
    <x v="8"/>
    <x v="14"/>
    <x v="21"/>
  </r>
  <r>
    <x v="0"/>
    <x v="14"/>
    <x v="18"/>
  </r>
  <r>
    <x v="0"/>
    <x v="14"/>
    <x v="18"/>
  </r>
  <r>
    <x v="0"/>
    <x v="14"/>
    <x v="18"/>
  </r>
  <r>
    <x v="8"/>
    <x v="14"/>
    <x v="18"/>
  </r>
  <r>
    <x v="11"/>
    <x v="14"/>
    <x v="17"/>
  </r>
  <r>
    <x v="8"/>
    <x v="14"/>
    <x v="17"/>
  </r>
  <r>
    <x v="0"/>
    <x v="14"/>
    <x v="8"/>
  </r>
  <r>
    <x v="0"/>
    <x v="14"/>
    <x v="8"/>
  </r>
  <r>
    <x v="0"/>
    <x v="14"/>
    <x v="2"/>
  </r>
  <r>
    <x v="0"/>
    <x v="14"/>
    <x v="2"/>
  </r>
  <r>
    <x v="257"/>
    <x v="14"/>
    <x v="20"/>
  </r>
  <r>
    <x v="74"/>
    <x v="14"/>
    <x v="20"/>
  </r>
  <r>
    <x v="88"/>
    <x v="14"/>
    <x v="20"/>
  </r>
  <r>
    <x v="0"/>
    <x v="14"/>
    <x v="9"/>
  </r>
  <r>
    <x v="0"/>
    <x v="14"/>
    <x v="9"/>
  </r>
  <r>
    <x v="7"/>
    <x v="14"/>
    <x v="9"/>
  </r>
  <r>
    <x v="0"/>
    <x v="14"/>
    <x v="9"/>
  </r>
  <r>
    <x v="0"/>
    <x v="14"/>
    <x v="9"/>
  </r>
  <r>
    <x v="14"/>
    <x v="14"/>
    <x v="9"/>
  </r>
  <r>
    <x v="7"/>
    <x v="14"/>
    <x v="9"/>
  </r>
  <r>
    <x v="21"/>
    <x v="14"/>
    <x v="9"/>
  </r>
  <r>
    <x v="10"/>
    <x v="14"/>
    <x v="9"/>
  </r>
  <r>
    <x v="0"/>
    <x v="14"/>
    <x v="13"/>
  </r>
  <r>
    <x v="0"/>
    <x v="14"/>
    <x v="15"/>
  </r>
  <r>
    <x v="0"/>
    <x v="14"/>
    <x v="15"/>
  </r>
  <r>
    <x v="0"/>
    <x v="14"/>
    <x v="15"/>
  </r>
  <r>
    <x v="23"/>
    <x v="14"/>
    <x v="25"/>
  </r>
  <r>
    <x v="0"/>
    <x v="14"/>
    <x v="26"/>
  </r>
  <r>
    <x v="23"/>
    <x v="14"/>
    <x v="22"/>
  </r>
  <r>
    <x v="0"/>
    <x v="14"/>
    <x v="3"/>
  </r>
  <r>
    <x v="0"/>
    <x v="14"/>
    <x v="28"/>
  </r>
  <r>
    <x v="9"/>
    <x v="14"/>
    <x v="15"/>
  </r>
  <r>
    <x v="0"/>
    <x v="14"/>
    <x v="24"/>
  </r>
  <r>
    <x v="0"/>
    <x v="14"/>
    <x v="4"/>
  </r>
  <r>
    <x v="27"/>
    <x v="14"/>
    <x v="6"/>
  </r>
  <r>
    <x v="470"/>
    <x v="7"/>
    <x v="0"/>
  </r>
  <r>
    <x v="0"/>
    <x v="7"/>
    <x v="1"/>
  </r>
  <r>
    <x v="0"/>
    <x v="7"/>
    <x v="28"/>
  </r>
  <r>
    <x v="0"/>
    <x v="7"/>
    <x v="14"/>
  </r>
  <r>
    <x v="0"/>
    <x v="7"/>
    <x v="28"/>
  </r>
  <r>
    <x v="0"/>
    <x v="7"/>
    <x v="28"/>
  </r>
  <r>
    <x v="6"/>
    <x v="7"/>
    <x v="7"/>
  </r>
  <r>
    <x v="0"/>
    <x v="7"/>
    <x v="28"/>
  </r>
  <r>
    <x v="0"/>
    <x v="7"/>
    <x v="27"/>
  </r>
  <r>
    <x v="6"/>
    <x v="7"/>
    <x v="25"/>
  </r>
  <r>
    <x v="7"/>
    <x v="7"/>
    <x v="16"/>
  </r>
  <r>
    <x v="0"/>
    <x v="7"/>
    <x v="16"/>
  </r>
  <r>
    <x v="0"/>
    <x v="7"/>
    <x v="16"/>
  </r>
  <r>
    <x v="10"/>
    <x v="7"/>
    <x v="23"/>
  </r>
  <r>
    <x v="19"/>
    <x v="7"/>
    <x v="23"/>
  </r>
  <r>
    <x v="43"/>
    <x v="7"/>
    <x v="19"/>
  </r>
  <r>
    <x v="0"/>
    <x v="7"/>
    <x v="25"/>
  </r>
  <r>
    <x v="164"/>
    <x v="7"/>
    <x v="12"/>
  </r>
  <r>
    <x v="203"/>
    <x v="7"/>
    <x v="12"/>
  </r>
  <r>
    <x v="270"/>
    <x v="7"/>
    <x v="19"/>
  </r>
  <r>
    <x v="436"/>
    <x v="7"/>
    <x v="12"/>
  </r>
  <r>
    <x v="337"/>
    <x v="7"/>
    <x v="12"/>
  </r>
  <r>
    <x v="77"/>
    <x v="7"/>
    <x v="19"/>
  </r>
  <r>
    <x v="0"/>
    <x v="7"/>
    <x v="24"/>
  </r>
  <r>
    <x v="0"/>
    <x v="7"/>
    <x v="11"/>
  </r>
  <r>
    <x v="0"/>
    <x v="7"/>
    <x v="11"/>
  </r>
  <r>
    <x v="0"/>
    <x v="7"/>
    <x v="28"/>
  </r>
  <r>
    <x v="0"/>
    <x v="7"/>
    <x v="28"/>
  </r>
  <r>
    <x v="0"/>
    <x v="7"/>
    <x v="16"/>
  </r>
  <r>
    <x v="0"/>
    <x v="7"/>
    <x v="16"/>
  </r>
  <r>
    <x v="0"/>
    <x v="7"/>
    <x v="10"/>
  </r>
  <r>
    <x v="0"/>
    <x v="7"/>
    <x v="28"/>
  </r>
  <r>
    <x v="0"/>
    <x v="7"/>
    <x v="21"/>
  </r>
  <r>
    <x v="0"/>
    <x v="7"/>
    <x v="18"/>
  </r>
  <r>
    <x v="0"/>
    <x v="7"/>
    <x v="18"/>
  </r>
  <r>
    <x v="0"/>
    <x v="7"/>
    <x v="18"/>
  </r>
  <r>
    <x v="0"/>
    <x v="7"/>
    <x v="18"/>
  </r>
  <r>
    <x v="0"/>
    <x v="7"/>
    <x v="17"/>
  </r>
  <r>
    <x v="0"/>
    <x v="7"/>
    <x v="17"/>
  </r>
  <r>
    <x v="0"/>
    <x v="7"/>
    <x v="8"/>
  </r>
  <r>
    <x v="0"/>
    <x v="7"/>
    <x v="8"/>
  </r>
  <r>
    <x v="0"/>
    <x v="7"/>
    <x v="2"/>
  </r>
  <r>
    <x v="0"/>
    <x v="7"/>
    <x v="2"/>
  </r>
  <r>
    <x v="30"/>
    <x v="7"/>
    <x v="20"/>
  </r>
  <r>
    <x v="0"/>
    <x v="7"/>
    <x v="20"/>
  </r>
  <r>
    <x v="29"/>
    <x v="7"/>
    <x v="20"/>
  </r>
  <r>
    <x v="5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6"/>
    <x v="7"/>
    <x v="9"/>
  </r>
  <r>
    <x v="11"/>
    <x v="7"/>
    <x v="9"/>
  </r>
  <r>
    <x v="0"/>
    <x v="7"/>
    <x v="9"/>
  </r>
  <r>
    <x v="0"/>
    <x v="7"/>
    <x v="13"/>
  </r>
  <r>
    <x v="0"/>
    <x v="7"/>
    <x v="15"/>
  </r>
  <r>
    <x v="0"/>
    <x v="7"/>
    <x v="15"/>
  </r>
  <r>
    <x v="0"/>
    <x v="7"/>
    <x v="15"/>
  </r>
  <r>
    <x v="9"/>
    <x v="7"/>
    <x v="25"/>
  </r>
  <r>
    <x v="0"/>
    <x v="7"/>
    <x v="26"/>
  </r>
  <r>
    <x v="0"/>
    <x v="7"/>
    <x v="22"/>
  </r>
  <r>
    <x v="0"/>
    <x v="7"/>
    <x v="3"/>
  </r>
  <r>
    <x v="0"/>
    <x v="7"/>
    <x v="28"/>
  </r>
  <r>
    <x v="0"/>
    <x v="7"/>
    <x v="15"/>
  </r>
  <r>
    <x v="0"/>
    <x v="7"/>
    <x v="24"/>
  </r>
  <r>
    <x v="0"/>
    <x v="7"/>
    <x v="4"/>
  </r>
  <r>
    <x v="0"/>
    <x v="7"/>
    <x v="6"/>
  </r>
  <r>
    <x v="582"/>
    <x v="7"/>
    <x v="0"/>
  </r>
  <r>
    <x v="7"/>
    <x v="7"/>
    <x v="1"/>
  </r>
  <r>
    <x v="0"/>
    <x v="7"/>
    <x v="28"/>
  </r>
  <r>
    <x v="10"/>
    <x v="7"/>
    <x v="14"/>
  </r>
  <r>
    <x v="0"/>
    <x v="7"/>
    <x v="28"/>
  </r>
  <r>
    <x v="0"/>
    <x v="7"/>
    <x v="28"/>
  </r>
  <r>
    <x v="0"/>
    <x v="7"/>
    <x v="7"/>
  </r>
  <r>
    <x v="0"/>
    <x v="7"/>
    <x v="28"/>
  </r>
  <r>
    <x v="0"/>
    <x v="7"/>
    <x v="27"/>
  </r>
  <r>
    <x v="7"/>
    <x v="7"/>
    <x v="25"/>
  </r>
  <r>
    <x v="0"/>
    <x v="7"/>
    <x v="16"/>
  </r>
  <r>
    <x v="13"/>
    <x v="7"/>
    <x v="16"/>
  </r>
  <r>
    <x v="9"/>
    <x v="7"/>
    <x v="16"/>
  </r>
  <r>
    <x v="15"/>
    <x v="7"/>
    <x v="23"/>
  </r>
  <r>
    <x v="13"/>
    <x v="7"/>
    <x v="23"/>
  </r>
  <r>
    <x v="39"/>
    <x v="7"/>
    <x v="19"/>
  </r>
  <r>
    <x v="39"/>
    <x v="7"/>
    <x v="25"/>
  </r>
  <r>
    <x v="139"/>
    <x v="7"/>
    <x v="12"/>
  </r>
  <r>
    <x v="372"/>
    <x v="7"/>
    <x v="12"/>
  </r>
  <r>
    <x v="415"/>
    <x v="7"/>
    <x v="19"/>
  </r>
  <r>
    <x v="283"/>
    <x v="7"/>
    <x v="12"/>
  </r>
  <r>
    <x v="573"/>
    <x v="7"/>
    <x v="12"/>
  </r>
  <r>
    <x v="379"/>
    <x v="7"/>
    <x v="19"/>
  </r>
  <r>
    <x v="33"/>
    <x v="7"/>
    <x v="24"/>
  </r>
  <r>
    <x v="8"/>
    <x v="7"/>
    <x v="11"/>
  </r>
  <r>
    <x v="9"/>
    <x v="7"/>
    <x v="11"/>
  </r>
  <r>
    <x v="0"/>
    <x v="7"/>
    <x v="28"/>
  </r>
  <r>
    <x v="0"/>
    <x v="7"/>
    <x v="28"/>
  </r>
  <r>
    <x v="14"/>
    <x v="7"/>
    <x v="16"/>
  </r>
  <r>
    <x v="0"/>
    <x v="7"/>
    <x v="16"/>
  </r>
  <r>
    <x v="0"/>
    <x v="7"/>
    <x v="10"/>
  </r>
  <r>
    <x v="0"/>
    <x v="7"/>
    <x v="28"/>
  </r>
  <r>
    <x v="0"/>
    <x v="7"/>
    <x v="21"/>
  </r>
  <r>
    <x v="0"/>
    <x v="7"/>
    <x v="18"/>
  </r>
  <r>
    <x v="0"/>
    <x v="7"/>
    <x v="18"/>
  </r>
  <r>
    <x v="0"/>
    <x v="7"/>
    <x v="18"/>
  </r>
  <r>
    <x v="0"/>
    <x v="7"/>
    <x v="18"/>
  </r>
  <r>
    <x v="0"/>
    <x v="7"/>
    <x v="17"/>
  </r>
  <r>
    <x v="0"/>
    <x v="7"/>
    <x v="17"/>
  </r>
  <r>
    <x v="5"/>
    <x v="7"/>
    <x v="8"/>
  </r>
  <r>
    <x v="0"/>
    <x v="7"/>
    <x v="8"/>
  </r>
  <r>
    <x v="0"/>
    <x v="7"/>
    <x v="2"/>
  </r>
  <r>
    <x v="5"/>
    <x v="7"/>
    <x v="2"/>
  </r>
  <r>
    <x v="7"/>
    <x v="7"/>
    <x v="2"/>
  </r>
  <r>
    <x v="8"/>
    <x v="7"/>
    <x v="2"/>
  </r>
  <r>
    <x v="402"/>
    <x v="7"/>
    <x v="20"/>
  </r>
  <r>
    <x v="284"/>
    <x v="7"/>
    <x v="20"/>
  </r>
  <r>
    <x v="366"/>
    <x v="7"/>
    <x v="20"/>
  </r>
  <r>
    <x v="5"/>
    <x v="7"/>
    <x v="9"/>
  </r>
  <r>
    <x v="9"/>
    <x v="7"/>
    <x v="9"/>
  </r>
  <r>
    <x v="8"/>
    <x v="7"/>
    <x v="9"/>
  </r>
  <r>
    <x v="0"/>
    <x v="7"/>
    <x v="9"/>
  </r>
  <r>
    <x v="0"/>
    <x v="7"/>
    <x v="9"/>
  </r>
  <r>
    <x v="7"/>
    <x v="7"/>
    <x v="9"/>
  </r>
  <r>
    <x v="0"/>
    <x v="7"/>
    <x v="9"/>
  </r>
  <r>
    <x v="0"/>
    <x v="7"/>
    <x v="9"/>
  </r>
  <r>
    <x v="42"/>
    <x v="7"/>
    <x v="9"/>
  </r>
  <r>
    <x v="19"/>
    <x v="7"/>
    <x v="9"/>
  </r>
  <r>
    <x v="0"/>
    <x v="7"/>
    <x v="9"/>
  </r>
  <r>
    <x v="0"/>
    <x v="7"/>
    <x v="13"/>
  </r>
  <r>
    <x v="0"/>
    <x v="7"/>
    <x v="15"/>
  </r>
  <r>
    <x v="0"/>
    <x v="7"/>
    <x v="15"/>
  </r>
  <r>
    <x v="0"/>
    <x v="7"/>
    <x v="15"/>
  </r>
  <r>
    <x v="18"/>
    <x v="7"/>
    <x v="25"/>
  </r>
  <r>
    <x v="0"/>
    <x v="7"/>
    <x v="26"/>
  </r>
  <r>
    <x v="34"/>
    <x v="7"/>
    <x v="22"/>
  </r>
  <r>
    <x v="0"/>
    <x v="7"/>
    <x v="3"/>
  </r>
  <r>
    <x v="0"/>
    <x v="7"/>
    <x v="28"/>
  </r>
  <r>
    <x v="0"/>
    <x v="7"/>
    <x v="15"/>
  </r>
  <r>
    <x v="0"/>
    <x v="7"/>
    <x v="24"/>
  </r>
  <r>
    <x v="0"/>
    <x v="7"/>
    <x v="4"/>
  </r>
  <r>
    <x v="31"/>
    <x v="7"/>
    <x v="6"/>
  </r>
  <r>
    <x v="574"/>
    <x v="14"/>
    <x v="0"/>
  </r>
  <r>
    <x v="13"/>
    <x v="14"/>
    <x v="1"/>
  </r>
  <r>
    <x v="0"/>
    <x v="14"/>
    <x v="28"/>
  </r>
  <r>
    <x v="17"/>
    <x v="14"/>
    <x v="14"/>
  </r>
  <r>
    <x v="0"/>
    <x v="14"/>
    <x v="28"/>
  </r>
  <r>
    <x v="14"/>
    <x v="14"/>
    <x v="28"/>
  </r>
  <r>
    <x v="0"/>
    <x v="14"/>
    <x v="7"/>
  </r>
  <r>
    <x v="0"/>
    <x v="14"/>
    <x v="28"/>
  </r>
  <r>
    <x v="0"/>
    <x v="14"/>
    <x v="27"/>
  </r>
  <r>
    <x v="0"/>
    <x v="14"/>
    <x v="25"/>
  </r>
  <r>
    <x v="6"/>
    <x v="14"/>
    <x v="16"/>
  </r>
  <r>
    <x v="6"/>
    <x v="14"/>
    <x v="16"/>
  </r>
  <r>
    <x v="0"/>
    <x v="14"/>
    <x v="16"/>
  </r>
  <r>
    <x v="10"/>
    <x v="14"/>
    <x v="23"/>
  </r>
  <r>
    <x v="14"/>
    <x v="14"/>
    <x v="23"/>
  </r>
  <r>
    <x v="90"/>
    <x v="14"/>
    <x v="19"/>
  </r>
  <r>
    <x v="5"/>
    <x v="14"/>
    <x v="25"/>
  </r>
  <r>
    <x v="20"/>
    <x v="14"/>
    <x v="12"/>
  </r>
  <r>
    <x v="187"/>
    <x v="14"/>
    <x v="12"/>
  </r>
  <r>
    <x v="516"/>
    <x v="14"/>
    <x v="19"/>
  </r>
  <r>
    <x v="147"/>
    <x v="14"/>
    <x v="12"/>
  </r>
  <r>
    <x v="312"/>
    <x v="14"/>
    <x v="12"/>
  </r>
  <r>
    <x v="560"/>
    <x v="14"/>
    <x v="19"/>
  </r>
  <r>
    <x v="0"/>
    <x v="14"/>
    <x v="24"/>
  </r>
  <r>
    <x v="0"/>
    <x v="14"/>
    <x v="11"/>
  </r>
  <r>
    <x v="0"/>
    <x v="14"/>
    <x v="11"/>
  </r>
  <r>
    <x v="0"/>
    <x v="14"/>
    <x v="28"/>
  </r>
  <r>
    <x v="0"/>
    <x v="14"/>
    <x v="28"/>
  </r>
  <r>
    <x v="0"/>
    <x v="14"/>
    <x v="16"/>
  </r>
  <r>
    <x v="0"/>
    <x v="14"/>
    <x v="16"/>
  </r>
  <r>
    <x v="0"/>
    <x v="14"/>
    <x v="10"/>
  </r>
  <r>
    <x v="0"/>
    <x v="14"/>
    <x v="28"/>
  </r>
  <r>
    <x v="0"/>
    <x v="14"/>
    <x v="21"/>
  </r>
  <r>
    <x v="7"/>
    <x v="14"/>
    <x v="18"/>
  </r>
  <r>
    <x v="0"/>
    <x v="14"/>
    <x v="18"/>
  </r>
  <r>
    <x v="0"/>
    <x v="14"/>
    <x v="18"/>
  </r>
  <r>
    <x v="0"/>
    <x v="14"/>
    <x v="18"/>
  </r>
  <r>
    <x v="0"/>
    <x v="14"/>
    <x v="17"/>
  </r>
  <r>
    <x v="0"/>
    <x v="14"/>
    <x v="17"/>
  </r>
  <r>
    <x v="8"/>
    <x v="14"/>
    <x v="8"/>
  </r>
  <r>
    <x v="0"/>
    <x v="14"/>
    <x v="8"/>
  </r>
  <r>
    <x v="0"/>
    <x v="14"/>
    <x v="2"/>
  </r>
  <r>
    <x v="0"/>
    <x v="14"/>
    <x v="2"/>
  </r>
  <r>
    <x v="0"/>
    <x v="14"/>
    <x v="2"/>
  </r>
  <r>
    <x v="0"/>
    <x v="14"/>
    <x v="2"/>
  </r>
  <r>
    <x v="432"/>
    <x v="14"/>
    <x v="20"/>
  </r>
  <r>
    <x v="242"/>
    <x v="14"/>
    <x v="20"/>
  </r>
  <r>
    <x v="259"/>
    <x v="14"/>
    <x v="20"/>
  </r>
  <r>
    <x v="7"/>
    <x v="14"/>
    <x v="9"/>
  </r>
  <r>
    <x v="0"/>
    <x v="14"/>
    <x v="9"/>
  </r>
  <r>
    <x v="0"/>
    <x v="14"/>
    <x v="9"/>
  </r>
  <r>
    <x v="10"/>
    <x v="14"/>
    <x v="9"/>
  </r>
  <r>
    <x v="0"/>
    <x v="14"/>
    <x v="9"/>
  </r>
  <r>
    <x v="0"/>
    <x v="14"/>
    <x v="9"/>
  </r>
  <r>
    <x v="0"/>
    <x v="14"/>
    <x v="9"/>
  </r>
  <r>
    <x v="0"/>
    <x v="14"/>
    <x v="9"/>
  </r>
  <r>
    <x v="0"/>
    <x v="14"/>
    <x v="9"/>
  </r>
  <r>
    <x v="6"/>
    <x v="14"/>
    <x v="9"/>
  </r>
  <r>
    <x v="14"/>
    <x v="14"/>
    <x v="9"/>
  </r>
  <r>
    <x v="0"/>
    <x v="14"/>
    <x v="13"/>
  </r>
  <r>
    <x v="11"/>
    <x v="14"/>
    <x v="15"/>
  </r>
  <r>
    <x v="0"/>
    <x v="14"/>
    <x v="15"/>
  </r>
  <r>
    <x v="0"/>
    <x v="14"/>
    <x v="15"/>
  </r>
  <r>
    <x v="0"/>
    <x v="14"/>
    <x v="25"/>
  </r>
  <r>
    <x v="0"/>
    <x v="14"/>
    <x v="26"/>
  </r>
  <r>
    <x v="25"/>
    <x v="14"/>
    <x v="22"/>
  </r>
  <r>
    <x v="0"/>
    <x v="14"/>
    <x v="3"/>
  </r>
  <r>
    <x v="0"/>
    <x v="14"/>
    <x v="28"/>
  </r>
  <r>
    <x v="0"/>
    <x v="14"/>
    <x v="15"/>
  </r>
  <r>
    <x v="0"/>
    <x v="14"/>
    <x v="24"/>
  </r>
  <r>
    <x v="0"/>
    <x v="14"/>
    <x v="4"/>
  </r>
  <r>
    <x v="18"/>
    <x v="14"/>
    <x v="6"/>
  </r>
  <r>
    <x v="550"/>
    <x v="19"/>
    <x v="0"/>
  </r>
  <r>
    <x v="0"/>
    <x v="19"/>
    <x v="1"/>
  </r>
  <r>
    <x v="0"/>
    <x v="19"/>
    <x v="28"/>
  </r>
  <r>
    <x v="0"/>
    <x v="19"/>
    <x v="14"/>
  </r>
  <r>
    <x v="0"/>
    <x v="19"/>
    <x v="28"/>
  </r>
  <r>
    <x v="0"/>
    <x v="19"/>
    <x v="28"/>
  </r>
  <r>
    <x v="0"/>
    <x v="19"/>
    <x v="7"/>
  </r>
  <r>
    <x v="0"/>
    <x v="19"/>
    <x v="28"/>
  </r>
  <r>
    <x v="0"/>
    <x v="19"/>
    <x v="27"/>
  </r>
  <r>
    <x v="0"/>
    <x v="19"/>
    <x v="25"/>
  </r>
  <r>
    <x v="10"/>
    <x v="19"/>
    <x v="16"/>
  </r>
  <r>
    <x v="0"/>
    <x v="19"/>
    <x v="16"/>
  </r>
  <r>
    <x v="0"/>
    <x v="19"/>
    <x v="16"/>
  </r>
  <r>
    <x v="0"/>
    <x v="19"/>
    <x v="23"/>
  </r>
  <r>
    <x v="0"/>
    <x v="19"/>
    <x v="23"/>
  </r>
  <r>
    <x v="0"/>
    <x v="19"/>
    <x v="19"/>
  </r>
  <r>
    <x v="18"/>
    <x v="19"/>
    <x v="25"/>
  </r>
  <r>
    <x v="8"/>
    <x v="19"/>
    <x v="12"/>
  </r>
  <r>
    <x v="137"/>
    <x v="19"/>
    <x v="12"/>
  </r>
  <r>
    <x v="45"/>
    <x v="19"/>
    <x v="19"/>
  </r>
  <r>
    <x v="5"/>
    <x v="19"/>
    <x v="12"/>
  </r>
  <r>
    <x v="296"/>
    <x v="19"/>
    <x v="12"/>
  </r>
  <r>
    <x v="56"/>
    <x v="19"/>
    <x v="19"/>
  </r>
  <r>
    <x v="478"/>
    <x v="19"/>
    <x v="24"/>
  </r>
  <r>
    <x v="173"/>
    <x v="19"/>
    <x v="11"/>
  </r>
  <r>
    <x v="147"/>
    <x v="19"/>
    <x v="11"/>
  </r>
  <r>
    <x v="7"/>
    <x v="19"/>
    <x v="28"/>
  </r>
  <r>
    <x v="0"/>
    <x v="19"/>
    <x v="28"/>
  </r>
  <r>
    <x v="79"/>
    <x v="19"/>
    <x v="16"/>
  </r>
  <r>
    <x v="86"/>
    <x v="19"/>
    <x v="16"/>
  </r>
  <r>
    <x v="7"/>
    <x v="19"/>
    <x v="10"/>
  </r>
  <r>
    <x v="0"/>
    <x v="19"/>
    <x v="28"/>
  </r>
  <r>
    <x v="5"/>
    <x v="19"/>
    <x v="21"/>
  </r>
  <r>
    <x v="0"/>
    <x v="19"/>
    <x v="18"/>
  </r>
  <r>
    <x v="0"/>
    <x v="19"/>
    <x v="18"/>
  </r>
  <r>
    <x v="0"/>
    <x v="19"/>
    <x v="18"/>
  </r>
  <r>
    <x v="0"/>
    <x v="19"/>
    <x v="18"/>
  </r>
  <r>
    <x v="0"/>
    <x v="19"/>
    <x v="17"/>
  </r>
  <r>
    <x v="0"/>
    <x v="19"/>
    <x v="17"/>
  </r>
  <r>
    <x v="7"/>
    <x v="19"/>
    <x v="8"/>
  </r>
  <r>
    <x v="0"/>
    <x v="19"/>
    <x v="8"/>
  </r>
  <r>
    <x v="0"/>
    <x v="19"/>
    <x v="2"/>
  </r>
  <r>
    <x v="0"/>
    <x v="19"/>
    <x v="2"/>
  </r>
  <r>
    <x v="0"/>
    <x v="19"/>
    <x v="2"/>
  </r>
  <r>
    <x v="0"/>
    <x v="19"/>
    <x v="2"/>
  </r>
  <r>
    <x v="111"/>
    <x v="19"/>
    <x v="20"/>
  </r>
  <r>
    <x v="76"/>
    <x v="19"/>
    <x v="20"/>
  </r>
  <r>
    <x v="50"/>
    <x v="19"/>
    <x v="20"/>
  </r>
  <r>
    <x v="0"/>
    <x v="19"/>
    <x v="9"/>
  </r>
  <r>
    <x v="0"/>
    <x v="19"/>
    <x v="9"/>
  </r>
  <r>
    <x v="0"/>
    <x v="19"/>
    <x v="9"/>
  </r>
  <r>
    <x v="0"/>
    <x v="19"/>
    <x v="9"/>
  </r>
  <r>
    <x v="0"/>
    <x v="19"/>
    <x v="9"/>
  </r>
  <r>
    <x v="0"/>
    <x v="19"/>
    <x v="9"/>
  </r>
  <r>
    <x v="0"/>
    <x v="19"/>
    <x v="9"/>
  </r>
  <r>
    <x v="0"/>
    <x v="19"/>
    <x v="9"/>
  </r>
  <r>
    <x v="0"/>
    <x v="19"/>
    <x v="9"/>
  </r>
  <r>
    <x v="5"/>
    <x v="19"/>
    <x v="9"/>
  </r>
  <r>
    <x v="0"/>
    <x v="19"/>
    <x v="9"/>
  </r>
  <r>
    <x v="0"/>
    <x v="19"/>
    <x v="13"/>
  </r>
  <r>
    <x v="0"/>
    <x v="19"/>
    <x v="15"/>
  </r>
  <r>
    <x v="0"/>
    <x v="19"/>
    <x v="15"/>
  </r>
  <r>
    <x v="0"/>
    <x v="19"/>
    <x v="15"/>
  </r>
  <r>
    <x v="0"/>
    <x v="19"/>
    <x v="25"/>
  </r>
  <r>
    <x v="0"/>
    <x v="19"/>
    <x v="26"/>
  </r>
  <r>
    <x v="0"/>
    <x v="19"/>
    <x v="22"/>
  </r>
  <r>
    <x v="0"/>
    <x v="19"/>
    <x v="3"/>
  </r>
  <r>
    <x v="0"/>
    <x v="19"/>
    <x v="28"/>
  </r>
  <r>
    <x v="0"/>
    <x v="19"/>
    <x v="15"/>
  </r>
  <r>
    <x v="408"/>
    <x v="19"/>
    <x v="24"/>
  </r>
  <r>
    <x v="0"/>
    <x v="19"/>
    <x v="4"/>
  </r>
  <r>
    <x v="9"/>
    <x v="19"/>
    <x v="6"/>
  </r>
  <r>
    <x v="525"/>
    <x v="6"/>
    <x v="0"/>
  </r>
  <r>
    <x v="10"/>
    <x v="6"/>
    <x v="1"/>
  </r>
  <r>
    <x v="0"/>
    <x v="6"/>
    <x v="28"/>
  </r>
  <r>
    <x v="0"/>
    <x v="6"/>
    <x v="14"/>
  </r>
  <r>
    <x v="0"/>
    <x v="6"/>
    <x v="28"/>
  </r>
  <r>
    <x v="0"/>
    <x v="6"/>
    <x v="28"/>
  </r>
  <r>
    <x v="0"/>
    <x v="6"/>
    <x v="7"/>
  </r>
  <r>
    <x v="0"/>
    <x v="6"/>
    <x v="28"/>
  </r>
  <r>
    <x v="0"/>
    <x v="6"/>
    <x v="27"/>
  </r>
  <r>
    <x v="0"/>
    <x v="6"/>
    <x v="25"/>
  </r>
  <r>
    <x v="0"/>
    <x v="6"/>
    <x v="16"/>
  </r>
  <r>
    <x v="0"/>
    <x v="6"/>
    <x v="16"/>
  </r>
  <r>
    <x v="0"/>
    <x v="6"/>
    <x v="16"/>
  </r>
  <r>
    <x v="0"/>
    <x v="6"/>
    <x v="23"/>
  </r>
  <r>
    <x v="0"/>
    <x v="6"/>
    <x v="23"/>
  </r>
  <r>
    <x v="0"/>
    <x v="6"/>
    <x v="19"/>
  </r>
  <r>
    <x v="16"/>
    <x v="6"/>
    <x v="25"/>
  </r>
  <r>
    <x v="0"/>
    <x v="6"/>
    <x v="12"/>
  </r>
  <r>
    <x v="24"/>
    <x v="6"/>
    <x v="12"/>
  </r>
  <r>
    <x v="7"/>
    <x v="6"/>
    <x v="19"/>
  </r>
  <r>
    <x v="18"/>
    <x v="6"/>
    <x v="12"/>
  </r>
  <r>
    <x v="181"/>
    <x v="6"/>
    <x v="12"/>
  </r>
  <r>
    <x v="11"/>
    <x v="6"/>
    <x v="19"/>
  </r>
  <r>
    <x v="195"/>
    <x v="6"/>
    <x v="24"/>
  </r>
  <r>
    <x v="439"/>
    <x v="6"/>
    <x v="11"/>
  </r>
  <r>
    <x v="359"/>
    <x v="6"/>
    <x v="11"/>
  </r>
  <r>
    <x v="13"/>
    <x v="6"/>
    <x v="28"/>
  </r>
  <r>
    <x v="0"/>
    <x v="6"/>
    <x v="28"/>
  </r>
  <r>
    <x v="5"/>
    <x v="6"/>
    <x v="16"/>
  </r>
  <r>
    <x v="5"/>
    <x v="6"/>
    <x v="16"/>
  </r>
  <r>
    <x v="90"/>
    <x v="6"/>
    <x v="10"/>
  </r>
  <r>
    <x v="0"/>
    <x v="6"/>
    <x v="28"/>
  </r>
  <r>
    <x v="0"/>
    <x v="6"/>
    <x v="21"/>
  </r>
  <r>
    <x v="0"/>
    <x v="6"/>
    <x v="18"/>
  </r>
  <r>
    <x v="0"/>
    <x v="6"/>
    <x v="18"/>
  </r>
  <r>
    <x v="0"/>
    <x v="6"/>
    <x v="18"/>
  </r>
  <r>
    <x v="0"/>
    <x v="6"/>
    <x v="18"/>
  </r>
  <r>
    <x v="0"/>
    <x v="6"/>
    <x v="17"/>
  </r>
  <r>
    <x v="0"/>
    <x v="6"/>
    <x v="17"/>
  </r>
  <r>
    <x v="0"/>
    <x v="6"/>
    <x v="8"/>
  </r>
  <r>
    <x v="0"/>
    <x v="6"/>
    <x v="8"/>
  </r>
  <r>
    <x v="0"/>
    <x v="6"/>
    <x v="2"/>
  </r>
  <r>
    <x v="0"/>
    <x v="6"/>
    <x v="2"/>
  </r>
  <r>
    <x v="0"/>
    <x v="6"/>
    <x v="2"/>
  </r>
  <r>
    <x v="0"/>
    <x v="6"/>
    <x v="2"/>
  </r>
  <r>
    <x v="99"/>
    <x v="6"/>
    <x v="20"/>
  </r>
  <r>
    <x v="25"/>
    <x v="6"/>
    <x v="20"/>
  </r>
  <r>
    <x v="52"/>
    <x v="6"/>
    <x v="20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13"/>
  </r>
  <r>
    <x v="0"/>
    <x v="6"/>
    <x v="15"/>
  </r>
  <r>
    <x v="0"/>
    <x v="6"/>
    <x v="15"/>
  </r>
  <r>
    <x v="0"/>
    <x v="6"/>
    <x v="15"/>
  </r>
  <r>
    <x v="0"/>
    <x v="6"/>
    <x v="25"/>
  </r>
  <r>
    <x v="0"/>
    <x v="6"/>
    <x v="26"/>
  </r>
  <r>
    <x v="18"/>
    <x v="6"/>
    <x v="22"/>
  </r>
  <r>
    <x v="0"/>
    <x v="6"/>
    <x v="3"/>
  </r>
  <r>
    <x v="0"/>
    <x v="6"/>
    <x v="28"/>
  </r>
  <r>
    <x v="0"/>
    <x v="6"/>
    <x v="15"/>
  </r>
  <r>
    <x v="117"/>
    <x v="6"/>
    <x v="24"/>
  </r>
  <r>
    <x v="0"/>
    <x v="6"/>
    <x v="4"/>
  </r>
  <r>
    <x v="0"/>
    <x v="6"/>
    <x v="6"/>
  </r>
  <r>
    <x v="544"/>
    <x v="6"/>
    <x v="0"/>
  </r>
  <r>
    <x v="6"/>
    <x v="6"/>
    <x v="1"/>
  </r>
  <r>
    <x v="0"/>
    <x v="6"/>
    <x v="28"/>
  </r>
  <r>
    <x v="0"/>
    <x v="6"/>
    <x v="14"/>
  </r>
  <r>
    <x v="0"/>
    <x v="6"/>
    <x v="28"/>
  </r>
  <r>
    <x v="0"/>
    <x v="6"/>
    <x v="28"/>
  </r>
  <r>
    <x v="0"/>
    <x v="6"/>
    <x v="7"/>
  </r>
  <r>
    <x v="0"/>
    <x v="6"/>
    <x v="28"/>
  </r>
  <r>
    <x v="0"/>
    <x v="6"/>
    <x v="27"/>
  </r>
  <r>
    <x v="0"/>
    <x v="6"/>
    <x v="25"/>
  </r>
  <r>
    <x v="0"/>
    <x v="6"/>
    <x v="16"/>
  </r>
  <r>
    <x v="0"/>
    <x v="6"/>
    <x v="16"/>
  </r>
  <r>
    <x v="12"/>
    <x v="6"/>
    <x v="16"/>
  </r>
  <r>
    <x v="0"/>
    <x v="6"/>
    <x v="23"/>
  </r>
  <r>
    <x v="0"/>
    <x v="6"/>
    <x v="23"/>
  </r>
  <r>
    <x v="0"/>
    <x v="6"/>
    <x v="19"/>
  </r>
  <r>
    <x v="0"/>
    <x v="6"/>
    <x v="25"/>
  </r>
  <r>
    <x v="0"/>
    <x v="6"/>
    <x v="12"/>
  </r>
  <r>
    <x v="28"/>
    <x v="6"/>
    <x v="12"/>
  </r>
  <r>
    <x v="6"/>
    <x v="6"/>
    <x v="19"/>
  </r>
  <r>
    <x v="23"/>
    <x v="6"/>
    <x v="12"/>
  </r>
  <r>
    <x v="141"/>
    <x v="6"/>
    <x v="12"/>
  </r>
  <r>
    <x v="5"/>
    <x v="6"/>
    <x v="19"/>
  </r>
  <r>
    <x v="182"/>
    <x v="6"/>
    <x v="24"/>
  </r>
  <r>
    <x v="395"/>
    <x v="6"/>
    <x v="11"/>
  </r>
  <r>
    <x v="445"/>
    <x v="6"/>
    <x v="11"/>
  </r>
  <r>
    <x v="25"/>
    <x v="6"/>
    <x v="28"/>
  </r>
  <r>
    <x v="9"/>
    <x v="6"/>
    <x v="28"/>
  </r>
  <r>
    <x v="8"/>
    <x v="6"/>
    <x v="16"/>
  </r>
  <r>
    <x v="0"/>
    <x v="6"/>
    <x v="16"/>
  </r>
  <r>
    <x v="158"/>
    <x v="6"/>
    <x v="10"/>
  </r>
  <r>
    <x v="0"/>
    <x v="6"/>
    <x v="28"/>
  </r>
  <r>
    <x v="0"/>
    <x v="6"/>
    <x v="21"/>
  </r>
  <r>
    <x v="0"/>
    <x v="6"/>
    <x v="18"/>
  </r>
  <r>
    <x v="0"/>
    <x v="6"/>
    <x v="18"/>
  </r>
  <r>
    <x v="0"/>
    <x v="6"/>
    <x v="18"/>
  </r>
  <r>
    <x v="0"/>
    <x v="6"/>
    <x v="18"/>
  </r>
  <r>
    <x v="0"/>
    <x v="6"/>
    <x v="17"/>
  </r>
  <r>
    <x v="0"/>
    <x v="6"/>
    <x v="17"/>
  </r>
  <r>
    <x v="14"/>
    <x v="6"/>
    <x v="8"/>
  </r>
  <r>
    <x v="0"/>
    <x v="6"/>
    <x v="8"/>
  </r>
  <r>
    <x v="0"/>
    <x v="6"/>
    <x v="2"/>
  </r>
  <r>
    <x v="0"/>
    <x v="6"/>
    <x v="2"/>
  </r>
  <r>
    <x v="0"/>
    <x v="6"/>
    <x v="2"/>
  </r>
  <r>
    <x v="0"/>
    <x v="6"/>
    <x v="2"/>
  </r>
  <r>
    <x v="59"/>
    <x v="6"/>
    <x v="20"/>
  </r>
  <r>
    <x v="10"/>
    <x v="6"/>
    <x v="20"/>
  </r>
  <r>
    <x v="17"/>
    <x v="6"/>
    <x v="20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0"/>
    <x v="6"/>
    <x v="9"/>
  </r>
  <r>
    <x v="6"/>
    <x v="6"/>
    <x v="9"/>
  </r>
  <r>
    <x v="0"/>
    <x v="6"/>
    <x v="9"/>
  </r>
  <r>
    <x v="0"/>
    <x v="6"/>
    <x v="13"/>
  </r>
  <r>
    <x v="6"/>
    <x v="6"/>
    <x v="15"/>
  </r>
  <r>
    <x v="0"/>
    <x v="6"/>
    <x v="15"/>
  </r>
  <r>
    <x v="7"/>
    <x v="6"/>
    <x v="15"/>
  </r>
  <r>
    <x v="0"/>
    <x v="6"/>
    <x v="25"/>
  </r>
  <r>
    <x v="0"/>
    <x v="6"/>
    <x v="26"/>
  </r>
  <r>
    <x v="0"/>
    <x v="6"/>
    <x v="22"/>
  </r>
  <r>
    <x v="0"/>
    <x v="6"/>
    <x v="3"/>
  </r>
  <r>
    <x v="0"/>
    <x v="6"/>
    <x v="28"/>
  </r>
  <r>
    <x v="0"/>
    <x v="6"/>
    <x v="15"/>
  </r>
  <r>
    <x v="31"/>
    <x v="6"/>
    <x v="24"/>
  </r>
  <r>
    <x v="0"/>
    <x v="6"/>
    <x v="4"/>
  </r>
  <r>
    <x v="0"/>
    <x v="6"/>
    <x v="6"/>
  </r>
  <r>
    <x v="528"/>
    <x v="23"/>
    <x v="0"/>
  </r>
  <r>
    <x v="0"/>
    <x v="23"/>
    <x v="1"/>
  </r>
  <r>
    <x v="0"/>
    <x v="23"/>
    <x v="28"/>
  </r>
  <r>
    <x v="2"/>
    <x v="23"/>
    <x v="14"/>
  </r>
  <r>
    <x v="0"/>
    <x v="23"/>
    <x v="28"/>
  </r>
  <r>
    <x v="16"/>
    <x v="23"/>
    <x v="28"/>
  </r>
  <r>
    <x v="0"/>
    <x v="23"/>
    <x v="7"/>
  </r>
  <r>
    <x v="0"/>
    <x v="23"/>
    <x v="28"/>
  </r>
  <r>
    <x v="0"/>
    <x v="23"/>
    <x v="27"/>
  </r>
  <r>
    <x v="0"/>
    <x v="23"/>
    <x v="25"/>
  </r>
  <r>
    <x v="0"/>
    <x v="23"/>
    <x v="16"/>
  </r>
  <r>
    <x v="13"/>
    <x v="23"/>
    <x v="16"/>
  </r>
  <r>
    <x v="16"/>
    <x v="23"/>
    <x v="16"/>
  </r>
  <r>
    <x v="0"/>
    <x v="23"/>
    <x v="23"/>
  </r>
  <r>
    <x v="23"/>
    <x v="23"/>
    <x v="23"/>
  </r>
  <r>
    <x v="0"/>
    <x v="23"/>
    <x v="19"/>
  </r>
  <r>
    <x v="5"/>
    <x v="23"/>
    <x v="25"/>
  </r>
  <r>
    <x v="0"/>
    <x v="23"/>
    <x v="12"/>
  </r>
  <r>
    <x v="19"/>
    <x v="23"/>
    <x v="12"/>
  </r>
  <r>
    <x v="0"/>
    <x v="23"/>
    <x v="19"/>
  </r>
  <r>
    <x v="4"/>
    <x v="23"/>
    <x v="12"/>
  </r>
  <r>
    <x v="33"/>
    <x v="23"/>
    <x v="12"/>
  </r>
  <r>
    <x v="23"/>
    <x v="23"/>
    <x v="19"/>
  </r>
  <r>
    <x v="111"/>
    <x v="23"/>
    <x v="24"/>
  </r>
  <r>
    <x v="71"/>
    <x v="23"/>
    <x v="11"/>
  </r>
  <r>
    <x v="63"/>
    <x v="23"/>
    <x v="11"/>
  </r>
  <r>
    <x v="456"/>
    <x v="23"/>
    <x v="28"/>
  </r>
  <r>
    <x v="40"/>
    <x v="23"/>
    <x v="28"/>
  </r>
  <r>
    <x v="52"/>
    <x v="23"/>
    <x v="16"/>
  </r>
  <r>
    <x v="46"/>
    <x v="23"/>
    <x v="16"/>
  </r>
  <r>
    <x v="10"/>
    <x v="23"/>
    <x v="10"/>
  </r>
  <r>
    <x v="0"/>
    <x v="23"/>
    <x v="28"/>
  </r>
  <r>
    <x v="0"/>
    <x v="23"/>
    <x v="21"/>
  </r>
  <r>
    <x v="0"/>
    <x v="23"/>
    <x v="18"/>
  </r>
  <r>
    <x v="0"/>
    <x v="23"/>
    <x v="18"/>
  </r>
  <r>
    <x v="0"/>
    <x v="23"/>
    <x v="18"/>
  </r>
  <r>
    <x v="0"/>
    <x v="23"/>
    <x v="18"/>
  </r>
  <r>
    <x v="0"/>
    <x v="23"/>
    <x v="17"/>
  </r>
  <r>
    <x v="4"/>
    <x v="23"/>
    <x v="17"/>
  </r>
  <r>
    <x v="0"/>
    <x v="23"/>
    <x v="8"/>
  </r>
  <r>
    <x v="2"/>
    <x v="23"/>
    <x v="8"/>
  </r>
  <r>
    <x v="0"/>
    <x v="23"/>
    <x v="2"/>
  </r>
  <r>
    <x v="0"/>
    <x v="23"/>
    <x v="2"/>
  </r>
  <r>
    <x v="0"/>
    <x v="23"/>
    <x v="2"/>
  </r>
  <r>
    <x v="0"/>
    <x v="23"/>
    <x v="2"/>
  </r>
  <r>
    <x v="27"/>
    <x v="23"/>
    <x v="20"/>
  </r>
  <r>
    <x v="0"/>
    <x v="23"/>
    <x v="20"/>
  </r>
  <r>
    <x v="16"/>
    <x v="23"/>
    <x v="20"/>
  </r>
  <r>
    <x v="0"/>
    <x v="23"/>
    <x v="9"/>
  </r>
  <r>
    <x v="0"/>
    <x v="23"/>
    <x v="9"/>
  </r>
  <r>
    <x v="0"/>
    <x v="23"/>
    <x v="9"/>
  </r>
  <r>
    <x v="0"/>
    <x v="23"/>
    <x v="9"/>
  </r>
  <r>
    <x v="6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6"/>
    <x v="23"/>
    <x v="9"/>
  </r>
  <r>
    <x v="21"/>
    <x v="23"/>
    <x v="9"/>
  </r>
  <r>
    <x v="0"/>
    <x v="23"/>
    <x v="9"/>
  </r>
  <r>
    <x v="0"/>
    <x v="23"/>
    <x v="13"/>
  </r>
  <r>
    <x v="5"/>
    <x v="23"/>
    <x v="15"/>
  </r>
  <r>
    <x v="0"/>
    <x v="23"/>
    <x v="15"/>
  </r>
  <r>
    <x v="0"/>
    <x v="23"/>
    <x v="15"/>
  </r>
  <r>
    <x v="0"/>
    <x v="23"/>
    <x v="25"/>
  </r>
  <r>
    <x v="0"/>
    <x v="23"/>
    <x v="26"/>
  </r>
  <r>
    <x v="0"/>
    <x v="23"/>
    <x v="22"/>
  </r>
  <r>
    <x v="0"/>
    <x v="23"/>
    <x v="3"/>
  </r>
  <r>
    <x v="0"/>
    <x v="23"/>
    <x v="28"/>
  </r>
  <r>
    <x v="0"/>
    <x v="23"/>
    <x v="15"/>
  </r>
  <r>
    <x v="109"/>
    <x v="23"/>
    <x v="24"/>
  </r>
  <r>
    <x v="0"/>
    <x v="23"/>
    <x v="4"/>
  </r>
  <r>
    <x v="0"/>
    <x v="23"/>
    <x v="6"/>
  </r>
  <r>
    <x v="514"/>
    <x v="23"/>
    <x v="0"/>
  </r>
  <r>
    <x v="0"/>
    <x v="23"/>
    <x v="1"/>
  </r>
  <r>
    <x v="0"/>
    <x v="23"/>
    <x v="28"/>
  </r>
  <r>
    <x v="0"/>
    <x v="23"/>
    <x v="14"/>
  </r>
  <r>
    <x v="0"/>
    <x v="23"/>
    <x v="28"/>
  </r>
  <r>
    <x v="0"/>
    <x v="23"/>
    <x v="28"/>
  </r>
  <r>
    <x v="0"/>
    <x v="23"/>
    <x v="7"/>
  </r>
  <r>
    <x v="0"/>
    <x v="23"/>
    <x v="28"/>
  </r>
  <r>
    <x v="0"/>
    <x v="23"/>
    <x v="27"/>
  </r>
  <r>
    <x v="11"/>
    <x v="23"/>
    <x v="25"/>
  </r>
  <r>
    <x v="0"/>
    <x v="23"/>
    <x v="16"/>
  </r>
  <r>
    <x v="0"/>
    <x v="23"/>
    <x v="16"/>
  </r>
  <r>
    <x v="0"/>
    <x v="23"/>
    <x v="16"/>
  </r>
  <r>
    <x v="0"/>
    <x v="23"/>
    <x v="23"/>
  </r>
  <r>
    <x v="0"/>
    <x v="23"/>
    <x v="23"/>
  </r>
  <r>
    <x v="0"/>
    <x v="23"/>
    <x v="19"/>
  </r>
  <r>
    <x v="0"/>
    <x v="23"/>
    <x v="25"/>
  </r>
  <r>
    <x v="0"/>
    <x v="23"/>
    <x v="12"/>
  </r>
  <r>
    <x v="7"/>
    <x v="23"/>
    <x v="12"/>
  </r>
  <r>
    <x v="0"/>
    <x v="23"/>
    <x v="19"/>
  </r>
  <r>
    <x v="0"/>
    <x v="23"/>
    <x v="12"/>
  </r>
  <r>
    <x v="7"/>
    <x v="23"/>
    <x v="12"/>
  </r>
  <r>
    <x v="0"/>
    <x v="23"/>
    <x v="19"/>
  </r>
  <r>
    <x v="7"/>
    <x v="23"/>
    <x v="24"/>
  </r>
  <r>
    <x v="20"/>
    <x v="23"/>
    <x v="11"/>
  </r>
  <r>
    <x v="0"/>
    <x v="23"/>
    <x v="11"/>
  </r>
  <r>
    <x v="33"/>
    <x v="23"/>
    <x v="28"/>
  </r>
  <r>
    <x v="431"/>
    <x v="23"/>
    <x v="28"/>
  </r>
  <r>
    <x v="0"/>
    <x v="23"/>
    <x v="16"/>
  </r>
  <r>
    <x v="0"/>
    <x v="23"/>
    <x v="16"/>
  </r>
  <r>
    <x v="84"/>
    <x v="23"/>
    <x v="10"/>
  </r>
  <r>
    <x v="12"/>
    <x v="23"/>
    <x v="28"/>
  </r>
  <r>
    <x v="6"/>
    <x v="23"/>
    <x v="21"/>
  </r>
  <r>
    <x v="0"/>
    <x v="23"/>
    <x v="18"/>
  </r>
  <r>
    <x v="0"/>
    <x v="23"/>
    <x v="18"/>
  </r>
  <r>
    <x v="0"/>
    <x v="23"/>
    <x v="18"/>
  </r>
  <r>
    <x v="0"/>
    <x v="23"/>
    <x v="18"/>
  </r>
  <r>
    <x v="40"/>
    <x v="23"/>
    <x v="17"/>
  </r>
  <r>
    <x v="61"/>
    <x v="23"/>
    <x v="17"/>
  </r>
  <r>
    <x v="236"/>
    <x v="23"/>
    <x v="8"/>
  </r>
  <r>
    <x v="175"/>
    <x v="23"/>
    <x v="8"/>
  </r>
  <r>
    <x v="0"/>
    <x v="23"/>
    <x v="2"/>
  </r>
  <r>
    <x v="0"/>
    <x v="23"/>
    <x v="2"/>
  </r>
  <r>
    <x v="0"/>
    <x v="23"/>
    <x v="2"/>
  </r>
  <r>
    <x v="0"/>
    <x v="23"/>
    <x v="2"/>
  </r>
  <r>
    <x v="162"/>
    <x v="23"/>
    <x v="20"/>
  </r>
  <r>
    <x v="27"/>
    <x v="23"/>
    <x v="20"/>
  </r>
  <r>
    <x v="92"/>
    <x v="23"/>
    <x v="20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7"/>
    <x v="23"/>
    <x v="9"/>
  </r>
  <r>
    <x v="0"/>
    <x v="23"/>
    <x v="9"/>
  </r>
  <r>
    <x v="0"/>
    <x v="23"/>
    <x v="9"/>
  </r>
  <r>
    <x v="0"/>
    <x v="23"/>
    <x v="13"/>
  </r>
  <r>
    <x v="0"/>
    <x v="23"/>
    <x v="15"/>
  </r>
  <r>
    <x v="0"/>
    <x v="23"/>
    <x v="15"/>
  </r>
  <r>
    <x v="0"/>
    <x v="23"/>
    <x v="15"/>
  </r>
  <r>
    <x v="7"/>
    <x v="23"/>
    <x v="25"/>
  </r>
  <r>
    <x v="10"/>
    <x v="23"/>
    <x v="26"/>
  </r>
  <r>
    <x v="27"/>
    <x v="23"/>
    <x v="22"/>
  </r>
  <r>
    <x v="1"/>
    <x v="23"/>
    <x v="28"/>
  </r>
  <r>
    <x v="11"/>
    <x v="23"/>
    <x v="3"/>
  </r>
  <r>
    <x v="0"/>
    <x v="23"/>
    <x v="28"/>
  </r>
  <r>
    <x v="0"/>
    <x v="23"/>
    <x v="15"/>
  </r>
  <r>
    <x v="0"/>
    <x v="23"/>
    <x v="24"/>
  </r>
  <r>
    <x v="0"/>
    <x v="23"/>
    <x v="4"/>
  </r>
  <r>
    <x v="0"/>
    <x v="23"/>
    <x v="6"/>
  </r>
  <r>
    <x v="564"/>
    <x v="11"/>
    <x v="0"/>
  </r>
  <r>
    <x v="0"/>
    <x v="11"/>
    <x v="1"/>
  </r>
  <r>
    <x v="15"/>
    <x v="11"/>
    <x v="28"/>
  </r>
  <r>
    <x v="9"/>
    <x v="11"/>
    <x v="14"/>
  </r>
  <r>
    <x v="0"/>
    <x v="11"/>
    <x v="28"/>
  </r>
  <r>
    <x v="7"/>
    <x v="11"/>
    <x v="28"/>
  </r>
  <r>
    <x v="0"/>
    <x v="11"/>
    <x v="7"/>
  </r>
  <r>
    <x v="9"/>
    <x v="11"/>
    <x v="28"/>
  </r>
  <r>
    <x v="7"/>
    <x v="11"/>
    <x v="27"/>
  </r>
  <r>
    <x v="0"/>
    <x v="11"/>
    <x v="25"/>
  </r>
  <r>
    <x v="285"/>
    <x v="11"/>
    <x v="16"/>
  </r>
  <r>
    <x v="101"/>
    <x v="11"/>
    <x v="16"/>
  </r>
  <r>
    <x v="22"/>
    <x v="11"/>
    <x v="16"/>
  </r>
  <r>
    <x v="0"/>
    <x v="11"/>
    <x v="23"/>
  </r>
  <r>
    <x v="0"/>
    <x v="11"/>
    <x v="23"/>
  </r>
  <r>
    <x v="10"/>
    <x v="11"/>
    <x v="19"/>
  </r>
  <r>
    <x v="56"/>
    <x v="11"/>
    <x v="25"/>
  </r>
  <r>
    <x v="7"/>
    <x v="11"/>
    <x v="12"/>
  </r>
  <r>
    <x v="14"/>
    <x v="11"/>
    <x v="12"/>
  </r>
  <r>
    <x v="46"/>
    <x v="11"/>
    <x v="19"/>
  </r>
  <r>
    <x v="0"/>
    <x v="11"/>
    <x v="12"/>
  </r>
  <r>
    <x v="18"/>
    <x v="11"/>
    <x v="12"/>
  </r>
  <r>
    <x v="10"/>
    <x v="11"/>
    <x v="19"/>
  </r>
  <r>
    <x v="77"/>
    <x v="11"/>
    <x v="24"/>
  </r>
  <r>
    <x v="0"/>
    <x v="11"/>
    <x v="11"/>
  </r>
  <r>
    <x v="0"/>
    <x v="11"/>
    <x v="11"/>
  </r>
  <r>
    <x v="31"/>
    <x v="11"/>
    <x v="28"/>
  </r>
  <r>
    <x v="0"/>
    <x v="11"/>
    <x v="28"/>
  </r>
  <r>
    <x v="535"/>
    <x v="11"/>
    <x v="16"/>
  </r>
  <r>
    <x v="430"/>
    <x v="11"/>
    <x v="16"/>
  </r>
  <r>
    <x v="0"/>
    <x v="11"/>
    <x v="10"/>
  </r>
  <r>
    <x v="0"/>
    <x v="11"/>
    <x v="28"/>
  </r>
  <r>
    <x v="0"/>
    <x v="11"/>
    <x v="21"/>
  </r>
  <r>
    <x v="0"/>
    <x v="11"/>
    <x v="18"/>
  </r>
  <r>
    <x v="0"/>
    <x v="11"/>
    <x v="18"/>
  </r>
  <r>
    <x v="0"/>
    <x v="11"/>
    <x v="18"/>
  </r>
  <r>
    <x v="17"/>
    <x v="11"/>
    <x v="18"/>
  </r>
  <r>
    <x v="0"/>
    <x v="11"/>
    <x v="17"/>
  </r>
  <r>
    <x v="0"/>
    <x v="11"/>
    <x v="17"/>
  </r>
  <r>
    <x v="0"/>
    <x v="11"/>
    <x v="8"/>
  </r>
  <r>
    <x v="0"/>
    <x v="11"/>
    <x v="8"/>
  </r>
  <r>
    <x v="0"/>
    <x v="11"/>
    <x v="2"/>
  </r>
  <r>
    <x v="9"/>
    <x v="11"/>
    <x v="2"/>
  </r>
  <r>
    <x v="0"/>
    <x v="11"/>
    <x v="2"/>
  </r>
  <r>
    <x v="0"/>
    <x v="11"/>
    <x v="2"/>
  </r>
  <r>
    <x v="10"/>
    <x v="11"/>
    <x v="20"/>
  </r>
  <r>
    <x v="24"/>
    <x v="11"/>
    <x v="20"/>
  </r>
  <r>
    <x v="9"/>
    <x v="11"/>
    <x v="20"/>
  </r>
  <r>
    <x v="0"/>
    <x v="11"/>
    <x v="9"/>
  </r>
  <r>
    <x v="0"/>
    <x v="11"/>
    <x v="9"/>
  </r>
  <r>
    <x v="0"/>
    <x v="11"/>
    <x v="9"/>
  </r>
  <r>
    <x v="0"/>
    <x v="11"/>
    <x v="9"/>
  </r>
  <r>
    <x v="5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8"/>
    <x v="11"/>
    <x v="9"/>
  </r>
  <r>
    <x v="0"/>
    <x v="11"/>
    <x v="9"/>
  </r>
  <r>
    <x v="0"/>
    <x v="11"/>
    <x v="9"/>
  </r>
  <r>
    <x v="0"/>
    <x v="11"/>
    <x v="13"/>
  </r>
  <r>
    <x v="0"/>
    <x v="11"/>
    <x v="15"/>
  </r>
  <r>
    <x v="0"/>
    <x v="11"/>
    <x v="15"/>
  </r>
  <r>
    <x v="0"/>
    <x v="11"/>
    <x v="15"/>
  </r>
  <r>
    <x v="18"/>
    <x v="11"/>
    <x v="25"/>
  </r>
  <r>
    <x v="0"/>
    <x v="11"/>
    <x v="26"/>
  </r>
  <r>
    <x v="0"/>
    <x v="11"/>
    <x v="22"/>
  </r>
  <r>
    <x v="0"/>
    <x v="11"/>
    <x v="28"/>
  </r>
  <r>
    <x v="0"/>
    <x v="11"/>
    <x v="3"/>
  </r>
  <r>
    <x v="0"/>
    <x v="11"/>
    <x v="28"/>
  </r>
  <r>
    <x v="0"/>
    <x v="11"/>
    <x v="15"/>
  </r>
  <r>
    <x v="36"/>
    <x v="11"/>
    <x v="24"/>
  </r>
  <r>
    <x v="0"/>
    <x v="11"/>
    <x v="4"/>
  </r>
  <r>
    <x v="0"/>
    <x v="11"/>
    <x v="6"/>
  </r>
  <r>
    <x v="578"/>
    <x v="11"/>
    <x v="0"/>
  </r>
  <r>
    <x v="30"/>
    <x v="11"/>
    <x v="1"/>
  </r>
  <r>
    <x v="22"/>
    <x v="11"/>
    <x v="28"/>
  </r>
  <r>
    <x v="0"/>
    <x v="11"/>
    <x v="14"/>
  </r>
  <r>
    <x v="8"/>
    <x v="11"/>
    <x v="28"/>
  </r>
  <r>
    <x v="15"/>
    <x v="11"/>
    <x v="28"/>
  </r>
  <r>
    <x v="13"/>
    <x v="11"/>
    <x v="7"/>
  </r>
  <r>
    <x v="22"/>
    <x v="11"/>
    <x v="28"/>
  </r>
  <r>
    <x v="26"/>
    <x v="11"/>
    <x v="27"/>
  </r>
  <r>
    <x v="18"/>
    <x v="11"/>
    <x v="25"/>
  </r>
  <r>
    <x v="297"/>
    <x v="11"/>
    <x v="16"/>
  </r>
  <r>
    <x v="347"/>
    <x v="11"/>
    <x v="16"/>
  </r>
  <r>
    <x v="152"/>
    <x v="11"/>
    <x v="16"/>
  </r>
  <r>
    <x v="0"/>
    <x v="11"/>
    <x v="23"/>
  </r>
  <r>
    <x v="0"/>
    <x v="11"/>
    <x v="23"/>
  </r>
  <r>
    <x v="14"/>
    <x v="11"/>
    <x v="19"/>
  </r>
  <r>
    <x v="89"/>
    <x v="11"/>
    <x v="25"/>
  </r>
  <r>
    <x v="19"/>
    <x v="11"/>
    <x v="12"/>
  </r>
  <r>
    <x v="74"/>
    <x v="11"/>
    <x v="12"/>
  </r>
  <r>
    <x v="67"/>
    <x v="11"/>
    <x v="19"/>
  </r>
  <r>
    <x v="0"/>
    <x v="11"/>
    <x v="12"/>
  </r>
  <r>
    <x v="106"/>
    <x v="11"/>
    <x v="12"/>
  </r>
  <r>
    <x v="27"/>
    <x v="11"/>
    <x v="19"/>
  </r>
  <r>
    <x v="180"/>
    <x v="11"/>
    <x v="24"/>
  </r>
  <r>
    <x v="14"/>
    <x v="11"/>
    <x v="11"/>
  </r>
  <r>
    <x v="0"/>
    <x v="11"/>
    <x v="11"/>
  </r>
  <r>
    <x v="26"/>
    <x v="11"/>
    <x v="28"/>
  </r>
  <r>
    <x v="0"/>
    <x v="11"/>
    <x v="28"/>
  </r>
  <r>
    <x v="538"/>
    <x v="11"/>
    <x v="16"/>
  </r>
  <r>
    <x v="553"/>
    <x v="11"/>
    <x v="16"/>
  </r>
  <r>
    <x v="0"/>
    <x v="11"/>
    <x v="10"/>
  </r>
  <r>
    <x v="0"/>
    <x v="11"/>
    <x v="28"/>
  </r>
  <r>
    <x v="0"/>
    <x v="11"/>
    <x v="21"/>
  </r>
  <r>
    <x v="29"/>
    <x v="11"/>
    <x v="18"/>
  </r>
  <r>
    <x v="0"/>
    <x v="11"/>
    <x v="18"/>
  </r>
  <r>
    <x v="0"/>
    <x v="11"/>
    <x v="18"/>
  </r>
  <r>
    <x v="7"/>
    <x v="11"/>
    <x v="18"/>
  </r>
  <r>
    <x v="0"/>
    <x v="11"/>
    <x v="17"/>
  </r>
  <r>
    <x v="17"/>
    <x v="11"/>
    <x v="17"/>
  </r>
  <r>
    <x v="0"/>
    <x v="11"/>
    <x v="8"/>
  </r>
  <r>
    <x v="9"/>
    <x v="11"/>
    <x v="8"/>
  </r>
  <r>
    <x v="4"/>
    <x v="11"/>
    <x v="2"/>
  </r>
  <r>
    <x v="0"/>
    <x v="11"/>
    <x v="2"/>
  </r>
  <r>
    <x v="0"/>
    <x v="11"/>
    <x v="2"/>
  </r>
  <r>
    <x v="0"/>
    <x v="11"/>
    <x v="2"/>
  </r>
  <r>
    <x v="7"/>
    <x v="11"/>
    <x v="20"/>
  </r>
  <r>
    <x v="37"/>
    <x v="11"/>
    <x v="20"/>
  </r>
  <r>
    <x v="7"/>
    <x v="11"/>
    <x v="20"/>
  </r>
  <r>
    <x v="0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0"/>
    <x v="11"/>
    <x v="9"/>
  </r>
  <r>
    <x v="14"/>
    <x v="11"/>
    <x v="9"/>
  </r>
  <r>
    <x v="0"/>
    <x v="11"/>
    <x v="9"/>
  </r>
  <r>
    <x v="0"/>
    <x v="11"/>
    <x v="13"/>
  </r>
  <r>
    <x v="0"/>
    <x v="11"/>
    <x v="15"/>
  </r>
  <r>
    <x v="0"/>
    <x v="11"/>
    <x v="15"/>
  </r>
  <r>
    <x v="0"/>
    <x v="11"/>
    <x v="15"/>
  </r>
  <r>
    <x v="14"/>
    <x v="11"/>
    <x v="25"/>
  </r>
  <r>
    <x v="0"/>
    <x v="11"/>
    <x v="26"/>
  </r>
  <r>
    <x v="0"/>
    <x v="11"/>
    <x v="22"/>
  </r>
  <r>
    <x v="0"/>
    <x v="11"/>
    <x v="28"/>
  </r>
  <r>
    <x v="0"/>
    <x v="11"/>
    <x v="3"/>
  </r>
  <r>
    <x v="4"/>
    <x v="11"/>
    <x v="28"/>
  </r>
  <r>
    <x v="10"/>
    <x v="11"/>
    <x v="15"/>
  </r>
  <r>
    <x v="136"/>
    <x v="11"/>
    <x v="24"/>
  </r>
  <r>
    <x v="0"/>
    <x v="11"/>
    <x v="4"/>
  </r>
  <r>
    <x v="10"/>
    <x v="11"/>
    <x v="6"/>
  </r>
  <r>
    <x v="536"/>
    <x v="5"/>
    <x v="0"/>
  </r>
  <r>
    <x v="0"/>
    <x v="5"/>
    <x v="1"/>
  </r>
  <r>
    <x v="0"/>
    <x v="5"/>
    <x v="28"/>
  </r>
  <r>
    <x v="0"/>
    <x v="5"/>
    <x v="14"/>
  </r>
  <r>
    <x v="0"/>
    <x v="5"/>
    <x v="28"/>
  </r>
  <r>
    <x v="0"/>
    <x v="5"/>
    <x v="28"/>
  </r>
  <r>
    <x v="0"/>
    <x v="5"/>
    <x v="7"/>
  </r>
  <r>
    <x v="0"/>
    <x v="5"/>
    <x v="28"/>
  </r>
  <r>
    <x v="0"/>
    <x v="5"/>
    <x v="27"/>
  </r>
  <r>
    <x v="0"/>
    <x v="5"/>
    <x v="25"/>
  </r>
  <r>
    <x v="0"/>
    <x v="5"/>
    <x v="16"/>
  </r>
  <r>
    <x v="0"/>
    <x v="5"/>
    <x v="16"/>
  </r>
  <r>
    <x v="0"/>
    <x v="5"/>
    <x v="16"/>
  </r>
  <r>
    <x v="0"/>
    <x v="5"/>
    <x v="23"/>
  </r>
  <r>
    <x v="0"/>
    <x v="5"/>
    <x v="23"/>
  </r>
  <r>
    <x v="0"/>
    <x v="5"/>
    <x v="19"/>
  </r>
  <r>
    <x v="0"/>
    <x v="5"/>
    <x v="25"/>
  </r>
  <r>
    <x v="0"/>
    <x v="5"/>
    <x v="12"/>
  </r>
  <r>
    <x v="0"/>
    <x v="5"/>
    <x v="12"/>
  </r>
  <r>
    <x v="14"/>
    <x v="5"/>
    <x v="19"/>
  </r>
  <r>
    <x v="0"/>
    <x v="5"/>
    <x v="12"/>
  </r>
  <r>
    <x v="4"/>
    <x v="5"/>
    <x v="12"/>
  </r>
  <r>
    <x v="0"/>
    <x v="5"/>
    <x v="19"/>
  </r>
  <r>
    <x v="9"/>
    <x v="5"/>
    <x v="24"/>
  </r>
  <r>
    <x v="80"/>
    <x v="5"/>
    <x v="11"/>
  </r>
  <r>
    <x v="219"/>
    <x v="5"/>
    <x v="11"/>
  </r>
  <r>
    <x v="0"/>
    <x v="5"/>
    <x v="28"/>
  </r>
  <r>
    <x v="94"/>
    <x v="5"/>
    <x v="28"/>
  </r>
  <r>
    <x v="0"/>
    <x v="5"/>
    <x v="16"/>
  </r>
  <r>
    <x v="0"/>
    <x v="5"/>
    <x v="16"/>
  </r>
  <r>
    <x v="479"/>
    <x v="5"/>
    <x v="10"/>
  </r>
  <r>
    <x v="15"/>
    <x v="5"/>
    <x v="28"/>
  </r>
  <r>
    <x v="0"/>
    <x v="5"/>
    <x v="21"/>
  </r>
  <r>
    <x v="0"/>
    <x v="5"/>
    <x v="18"/>
  </r>
  <r>
    <x v="0"/>
    <x v="5"/>
    <x v="18"/>
  </r>
  <r>
    <x v="0"/>
    <x v="5"/>
    <x v="18"/>
  </r>
  <r>
    <x v="0"/>
    <x v="5"/>
    <x v="18"/>
  </r>
  <r>
    <x v="0"/>
    <x v="5"/>
    <x v="17"/>
  </r>
  <r>
    <x v="0"/>
    <x v="5"/>
    <x v="17"/>
  </r>
  <r>
    <x v="22"/>
    <x v="5"/>
    <x v="8"/>
  </r>
  <r>
    <x v="22"/>
    <x v="5"/>
    <x v="8"/>
  </r>
  <r>
    <x v="0"/>
    <x v="5"/>
    <x v="2"/>
  </r>
  <r>
    <x v="0"/>
    <x v="5"/>
    <x v="2"/>
  </r>
  <r>
    <x v="0"/>
    <x v="5"/>
    <x v="2"/>
  </r>
  <r>
    <x v="0"/>
    <x v="5"/>
    <x v="2"/>
  </r>
  <r>
    <x v="43"/>
    <x v="5"/>
    <x v="20"/>
  </r>
  <r>
    <x v="0"/>
    <x v="5"/>
    <x v="20"/>
  </r>
  <r>
    <x v="30"/>
    <x v="5"/>
    <x v="20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9"/>
  </r>
  <r>
    <x v="0"/>
    <x v="5"/>
    <x v="13"/>
  </r>
  <r>
    <x v="0"/>
    <x v="5"/>
    <x v="15"/>
  </r>
  <r>
    <x v="0"/>
    <x v="5"/>
    <x v="15"/>
  </r>
  <r>
    <x v="0"/>
    <x v="5"/>
    <x v="15"/>
  </r>
  <r>
    <x v="0"/>
    <x v="5"/>
    <x v="25"/>
  </r>
  <r>
    <x v="0"/>
    <x v="5"/>
    <x v="26"/>
  </r>
  <r>
    <x v="0"/>
    <x v="5"/>
    <x v="22"/>
  </r>
  <r>
    <x v="0"/>
    <x v="5"/>
    <x v="28"/>
  </r>
  <r>
    <x v="0"/>
    <x v="5"/>
    <x v="3"/>
  </r>
  <r>
    <x v="0"/>
    <x v="5"/>
    <x v="28"/>
  </r>
  <r>
    <x v="0"/>
    <x v="5"/>
    <x v="15"/>
  </r>
  <r>
    <x v="0"/>
    <x v="5"/>
    <x v="24"/>
  </r>
  <r>
    <x v="0"/>
    <x v="5"/>
    <x v="4"/>
  </r>
  <r>
    <x v="0"/>
    <x v="5"/>
    <x v="6"/>
  </r>
  <r>
    <x v="486"/>
    <x v="23"/>
    <x v="0"/>
  </r>
  <r>
    <x v="0"/>
    <x v="23"/>
    <x v="1"/>
  </r>
  <r>
    <x v="0"/>
    <x v="23"/>
    <x v="28"/>
  </r>
  <r>
    <x v="0"/>
    <x v="23"/>
    <x v="14"/>
  </r>
  <r>
    <x v="0"/>
    <x v="23"/>
    <x v="28"/>
  </r>
  <r>
    <x v="0"/>
    <x v="23"/>
    <x v="28"/>
  </r>
  <r>
    <x v="0"/>
    <x v="23"/>
    <x v="7"/>
  </r>
  <r>
    <x v="0"/>
    <x v="23"/>
    <x v="28"/>
  </r>
  <r>
    <x v="0"/>
    <x v="23"/>
    <x v="27"/>
  </r>
  <r>
    <x v="0"/>
    <x v="23"/>
    <x v="25"/>
  </r>
  <r>
    <x v="0"/>
    <x v="23"/>
    <x v="16"/>
  </r>
  <r>
    <x v="0"/>
    <x v="23"/>
    <x v="16"/>
  </r>
  <r>
    <x v="0"/>
    <x v="23"/>
    <x v="16"/>
  </r>
  <r>
    <x v="0"/>
    <x v="23"/>
    <x v="23"/>
  </r>
  <r>
    <x v="0"/>
    <x v="23"/>
    <x v="23"/>
  </r>
  <r>
    <x v="0"/>
    <x v="23"/>
    <x v="19"/>
  </r>
  <r>
    <x v="0"/>
    <x v="23"/>
    <x v="25"/>
  </r>
  <r>
    <x v="0"/>
    <x v="23"/>
    <x v="12"/>
  </r>
  <r>
    <x v="0"/>
    <x v="23"/>
    <x v="12"/>
  </r>
  <r>
    <x v="0"/>
    <x v="23"/>
    <x v="19"/>
  </r>
  <r>
    <x v="0"/>
    <x v="23"/>
    <x v="12"/>
  </r>
  <r>
    <x v="13"/>
    <x v="23"/>
    <x v="12"/>
  </r>
  <r>
    <x v="0"/>
    <x v="23"/>
    <x v="19"/>
  </r>
  <r>
    <x v="0"/>
    <x v="23"/>
    <x v="24"/>
  </r>
  <r>
    <x v="0"/>
    <x v="23"/>
    <x v="11"/>
  </r>
  <r>
    <x v="0"/>
    <x v="23"/>
    <x v="11"/>
  </r>
  <r>
    <x v="0"/>
    <x v="23"/>
    <x v="28"/>
  </r>
  <r>
    <x v="0"/>
    <x v="23"/>
    <x v="28"/>
  </r>
  <r>
    <x v="0"/>
    <x v="23"/>
    <x v="16"/>
  </r>
  <r>
    <x v="0"/>
    <x v="23"/>
    <x v="16"/>
  </r>
  <r>
    <x v="0"/>
    <x v="23"/>
    <x v="10"/>
  </r>
  <r>
    <x v="419"/>
    <x v="23"/>
    <x v="28"/>
  </r>
  <r>
    <x v="9"/>
    <x v="23"/>
    <x v="21"/>
  </r>
  <r>
    <x v="0"/>
    <x v="23"/>
    <x v="18"/>
  </r>
  <r>
    <x v="0"/>
    <x v="23"/>
    <x v="18"/>
  </r>
  <r>
    <x v="0"/>
    <x v="23"/>
    <x v="18"/>
  </r>
  <r>
    <x v="0"/>
    <x v="23"/>
    <x v="18"/>
  </r>
  <r>
    <x v="0"/>
    <x v="23"/>
    <x v="17"/>
  </r>
  <r>
    <x v="0"/>
    <x v="23"/>
    <x v="17"/>
  </r>
  <r>
    <x v="66"/>
    <x v="23"/>
    <x v="8"/>
  </r>
  <r>
    <x v="119"/>
    <x v="23"/>
    <x v="8"/>
  </r>
  <r>
    <x v="0"/>
    <x v="23"/>
    <x v="2"/>
  </r>
  <r>
    <x v="0"/>
    <x v="23"/>
    <x v="2"/>
  </r>
  <r>
    <x v="0"/>
    <x v="23"/>
    <x v="2"/>
  </r>
  <r>
    <x v="0"/>
    <x v="23"/>
    <x v="2"/>
  </r>
  <r>
    <x v="8"/>
    <x v="23"/>
    <x v="20"/>
  </r>
  <r>
    <x v="0"/>
    <x v="23"/>
    <x v="20"/>
  </r>
  <r>
    <x v="0"/>
    <x v="23"/>
    <x v="20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7"/>
    <x v="23"/>
    <x v="9"/>
  </r>
  <r>
    <x v="0"/>
    <x v="23"/>
    <x v="9"/>
  </r>
  <r>
    <x v="0"/>
    <x v="23"/>
    <x v="13"/>
  </r>
  <r>
    <x v="0"/>
    <x v="23"/>
    <x v="15"/>
  </r>
  <r>
    <x v="0"/>
    <x v="23"/>
    <x v="15"/>
  </r>
  <r>
    <x v="0"/>
    <x v="23"/>
    <x v="15"/>
  </r>
  <r>
    <x v="0"/>
    <x v="23"/>
    <x v="25"/>
  </r>
  <r>
    <x v="104"/>
    <x v="23"/>
    <x v="26"/>
  </r>
  <r>
    <x v="0"/>
    <x v="23"/>
    <x v="22"/>
  </r>
  <r>
    <x v="0"/>
    <x v="23"/>
    <x v="28"/>
  </r>
  <r>
    <x v="19"/>
    <x v="23"/>
    <x v="3"/>
  </r>
  <r>
    <x v="39"/>
    <x v="23"/>
    <x v="28"/>
  </r>
  <r>
    <x v="0"/>
    <x v="23"/>
    <x v="15"/>
  </r>
  <r>
    <x v="0"/>
    <x v="23"/>
    <x v="24"/>
  </r>
  <r>
    <x v="0"/>
    <x v="23"/>
    <x v="4"/>
  </r>
  <r>
    <x v="0"/>
    <x v="23"/>
    <x v="6"/>
  </r>
  <r>
    <x v="556"/>
    <x v="16"/>
    <x v="0"/>
  </r>
  <r>
    <x v="0"/>
    <x v="16"/>
    <x v="1"/>
  </r>
  <r>
    <x v="0"/>
    <x v="16"/>
    <x v="28"/>
  </r>
  <r>
    <x v="5"/>
    <x v="16"/>
    <x v="14"/>
  </r>
  <r>
    <x v="0"/>
    <x v="16"/>
    <x v="28"/>
  </r>
  <r>
    <x v="0"/>
    <x v="16"/>
    <x v="28"/>
  </r>
  <r>
    <x v="0"/>
    <x v="16"/>
    <x v="7"/>
  </r>
  <r>
    <x v="0"/>
    <x v="16"/>
    <x v="28"/>
  </r>
  <r>
    <x v="0"/>
    <x v="16"/>
    <x v="27"/>
  </r>
  <r>
    <x v="0"/>
    <x v="16"/>
    <x v="25"/>
  </r>
  <r>
    <x v="0"/>
    <x v="16"/>
    <x v="16"/>
  </r>
  <r>
    <x v="0"/>
    <x v="16"/>
    <x v="16"/>
  </r>
  <r>
    <x v="0"/>
    <x v="16"/>
    <x v="16"/>
  </r>
  <r>
    <x v="0"/>
    <x v="16"/>
    <x v="23"/>
  </r>
  <r>
    <x v="0"/>
    <x v="16"/>
    <x v="23"/>
  </r>
  <r>
    <x v="0"/>
    <x v="16"/>
    <x v="19"/>
  </r>
  <r>
    <x v="0"/>
    <x v="16"/>
    <x v="25"/>
  </r>
  <r>
    <x v="0"/>
    <x v="16"/>
    <x v="12"/>
  </r>
  <r>
    <x v="0"/>
    <x v="16"/>
    <x v="12"/>
  </r>
  <r>
    <x v="0"/>
    <x v="16"/>
    <x v="19"/>
  </r>
  <r>
    <x v="6"/>
    <x v="16"/>
    <x v="12"/>
  </r>
  <r>
    <x v="6"/>
    <x v="16"/>
    <x v="12"/>
  </r>
  <r>
    <x v="29"/>
    <x v="16"/>
    <x v="19"/>
  </r>
  <r>
    <x v="0"/>
    <x v="16"/>
    <x v="24"/>
  </r>
  <r>
    <x v="0"/>
    <x v="16"/>
    <x v="11"/>
  </r>
  <r>
    <x v="0"/>
    <x v="16"/>
    <x v="11"/>
  </r>
  <r>
    <x v="0"/>
    <x v="16"/>
    <x v="28"/>
  </r>
  <r>
    <x v="0"/>
    <x v="16"/>
    <x v="28"/>
  </r>
  <r>
    <x v="0"/>
    <x v="16"/>
    <x v="16"/>
  </r>
  <r>
    <x v="0"/>
    <x v="16"/>
    <x v="16"/>
  </r>
  <r>
    <x v="1"/>
    <x v="16"/>
    <x v="10"/>
  </r>
  <r>
    <x v="0"/>
    <x v="16"/>
    <x v="28"/>
  </r>
  <r>
    <x v="551"/>
    <x v="16"/>
    <x v="21"/>
  </r>
  <r>
    <x v="0"/>
    <x v="16"/>
    <x v="18"/>
  </r>
  <r>
    <x v="0"/>
    <x v="16"/>
    <x v="18"/>
  </r>
  <r>
    <x v="0"/>
    <x v="16"/>
    <x v="18"/>
  </r>
  <r>
    <x v="5"/>
    <x v="16"/>
    <x v="18"/>
  </r>
  <r>
    <x v="0"/>
    <x v="16"/>
    <x v="17"/>
  </r>
  <r>
    <x v="16"/>
    <x v="16"/>
    <x v="17"/>
  </r>
  <r>
    <x v="6"/>
    <x v="16"/>
    <x v="8"/>
  </r>
  <r>
    <x v="5"/>
    <x v="16"/>
    <x v="8"/>
  </r>
  <r>
    <x v="7"/>
    <x v="16"/>
    <x v="2"/>
  </r>
  <r>
    <x v="0"/>
    <x v="16"/>
    <x v="2"/>
  </r>
  <r>
    <x v="0"/>
    <x v="16"/>
    <x v="2"/>
  </r>
  <r>
    <x v="0"/>
    <x v="16"/>
    <x v="2"/>
  </r>
  <r>
    <x v="0"/>
    <x v="16"/>
    <x v="20"/>
  </r>
  <r>
    <x v="8"/>
    <x v="16"/>
    <x v="20"/>
  </r>
  <r>
    <x v="0"/>
    <x v="16"/>
    <x v="20"/>
  </r>
  <r>
    <x v="0"/>
    <x v="16"/>
    <x v="9"/>
  </r>
  <r>
    <x v="0"/>
    <x v="16"/>
    <x v="9"/>
  </r>
  <r>
    <x v="0"/>
    <x v="16"/>
    <x v="9"/>
  </r>
  <r>
    <x v="0"/>
    <x v="16"/>
    <x v="9"/>
  </r>
  <r>
    <x v="0"/>
    <x v="16"/>
    <x v="9"/>
  </r>
  <r>
    <x v="0"/>
    <x v="16"/>
    <x v="9"/>
  </r>
  <r>
    <x v="0"/>
    <x v="16"/>
    <x v="9"/>
  </r>
  <r>
    <x v="0"/>
    <x v="16"/>
    <x v="9"/>
  </r>
  <r>
    <x v="4"/>
    <x v="16"/>
    <x v="9"/>
  </r>
  <r>
    <x v="46"/>
    <x v="16"/>
    <x v="9"/>
  </r>
  <r>
    <x v="72"/>
    <x v="16"/>
    <x v="9"/>
  </r>
  <r>
    <x v="0"/>
    <x v="16"/>
    <x v="9"/>
  </r>
  <r>
    <x v="128"/>
    <x v="16"/>
    <x v="13"/>
  </r>
  <r>
    <x v="12"/>
    <x v="16"/>
    <x v="15"/>
  </r>
  <r>
    <x v="0"/>
    <x v="16"/>
    <x v="15"/>
  </r>
  <r>
    <x v="20"/>
    <x v="16"/>
    <x v="15"/>
  </r>
  <r>
    <x v="0"/>
    <x v="16"/>
    <x v="25"/>
  </r>
  <r>
    <x v="0"/>
    <x v="16"/>
    <x v="26"/>
  </r>
  <r>
    <x v="0"/>
    <x v="16"/>
    <x v="22"/>
  </r>
  <r>
    <x v="0"/>
    <x v="16"/>
    <x v="28"/>
  </r>
  <r>
    <x v="0"/>
    <x v="16"/>
    <x v="3"/>
  </r>
  <r>
    <x v="243"/>
    <x v="16"/>
    <x v="28"/>
  </r>
  <r>
    <x v="17"/>
    <x v="16"/>
    <x v="15"/>
  </r>
  <r>
    <x v="19"/>
    <x v="16"/>
    <x v="13"/>
  </r>
  <r>
    <x v="0"/>
    <x v="16"/>
    <x v="24"/>
  </r>
  <r>
    <x v="0"/>
    <x v="16"/>
    <x v="4"/>
  </r>
  <r>
    <x v="0"/>
    <x v="16"/>
    <x v="6"/>
  </r>
  <r>
    <x v="587"/>
    <x v="13"/>
    <x v="0"/>
  </r>
  <r>
    <x v="13"/>
    <x v="13"/>
    <x v="1"/>
  </r>
  <r>
    <x v="0"/>
    <x v="13"/>
    <x v="28"/>
  </r>
  <r>
    <x v="0"/>
    <x v="13"/>
    <x v="14"/>
  </r>
  <r>
    <x v="10"/>
    <x v="13"/>
    <x v="28"/>
  </r>
  <r>
    <x v="0"/>
    <x v="13"/>
    <x v="28"/>
  </r>
  <r>
    <x v="10"/>
    <x v="13"/>
    <x v="7"/>
  </r>
  <r>
    <x v="5"/>
    <x v="13"/>
    <x v="28"/>
  </r>
  <r>
    <x v="8"/>
    <x v="13"/>
    <x v="27"/>
  </r>
  <r>
    <x v="6"/>
    <x v="13"/>
    <x v="25"/>
  </r>
  <r>
    <x v="0"/>
    <x v="13"/>
    <x v="16"/>
  </r>
  <r>
    <x v="8"/>
    <x v="13"/>
    <x v="16"/>
  </r>
  <r>
    <x v="10"/>
    <x v="13"/>
    <x v="16"/>
  </r>
  <r>
    <x v="0"/>
    <x v="13"/>
    <x v="23"/>
  </r>
  <r>
    <x v="0"/>
    <x v="13"/>
    <x v="23"/>
  </r>
  <r>
    <x v="0"/>
    <x v="13"/>
    <x v="19"/>
  </r>
  <r>
    <x v="5"/>
    <x v="13"/>
    <x v="25"/>
  </r>
  <r>
    <x v="0"/>
    <x v="13"/>
    <x v="12"/>
  </r>
  <r>
    <x v="0"/>
    <x v="13"/>
    <x v="12"/>
  </r>
  <r>
    <x v="49"/>
    <x v="13"/>
    <x v="19"/>
  </r>
  <r>
    <x v="10"/>
    <x v="13"/>
    <x v="12"/>
  </r>
  <r>
    <x v="51"/>
    <x v="13"/>
    <x v="12"/>
  </r>
  <r>
    <x v="43"/>
    <x v="13"/>
    <x v="19"/>
  </r>
  <r>
    <x v="7"/>
    <x v="13"/>
    <x v="24"/>
  </r>
  <r>
    <x v="0"/>
    <x v="13"/>
    <x v="11"/>
  </r>
  <r>
    <x v="11"/>
    <x v="13"/>
    <x v="11"/>
  </r>
  <r>
    <x v="12"/>
    <x v="13"/>
    <x v="28"/>
  </r>
  <r>
    <x v="0"/>
    <x v="13"/>
    <x v="28"/>
  </r>
  <r>
    <x v="0"/>
    <x v="13"/>
    <x v="16"/>
  </r>
  <r>
    <x v="7"/>
    <x v="13"/>
    <x v="16"/>
  </r>
  <r>
    <x v="7"/>
    <x v="13"/>
    <x v="10"/>
  </r>
  <r>
    <x v="0"/>
    <x v="13"/>
    <x v="28"/>
  </r>
  <r>
    <x v="0"/>
    <x v="13"/>
    <x v="21"/>
  </r>
  <r>
    <x v="583"/>
    <x v="13"/>
    <x v="18"/>
  </r>
  <r>
    <x v="119"/>
    <x v="13"/>
    <x v="18"/>
  </r>
  <r>
    <x v="216"/>
    <x v="13"/>
    <x v="18"/>
  </r>
  <r>
    <x v="348"/>
    <x v="13"/>
    <x v="18"/>
  </r>
  <r>
    <x v="504"/>
    <x v="13"/>
    <x v="18"/>
  </r>
  <r>
    <x v="0"/>
    <x v="13"/>
    <x v="17"/>
  </r>
  <r>
    <x v="6"/>
    <x v="13"/>
    <x v="17"/>
  </r>
  <r>
    <x v="11"/>
    <x v="13"/>
    <x v="8"/>
  </r>
  <r>
    <x v="0"/>
    <x v="13"/>
    <x v="8"/>
  </r>
  <r>
    <x v="17"/>
    <x v="13"/>
    <x v="2"/>
  </r>
  <r>
    <x v="45"/>
    <x v="13"/>
    <x v="2"/>
  </r>
  <r>
    <x v="10"/>
    <x v="13"/>
    <x v="2"/>
  </r>
  <r>
    <x v="9"/>
    <x v="13"/>
    <x v="2"/>
  </r>
  <r>
    <x v="101"/>
    <x v="13"/>
    <x v="2"/>
  </r>
  <r>
    <x v="10"/>
    <x v="13"/>
    <x v="20"/>
  </r>
  <r>
    <x v="21"/>
    <x v="13"/>
    <x v="20"/>
  </r>
  <r>
    <x v="0"/>
    <x v="13"/>
    <x v="20"/>
  </r>
  <r>
    <x v="1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19"/>
    <x v="13"/>
    <x v="9"/>
  </r>
  <r>
    <x v="76"/>
    <x v="13"/>
    <x v="9"/>
  </r>
  <r>
    <x v="51"/>
    <x v="13"/>
    <x v="9"/>
  </r>
  <r>
    <x v="7"/>
    <x v="13"/>
    <x v="9"/>
  </r>
  <r>
    <x v="14"/>
    <x v="13"/>
    <x v="13"/>
  </r>
  <r>
    <x v="69"/>
    <x v="13"/>
    <x v="15"/>
  </r>
  <r>
    <x v="0"/>
    <x v="13"/>
    <x v="15"/>
  </r>
  <r>
    <x v="20"/>
    <x v="13"/>
    <x v="15"/>
  </r>
  <r>
    <x v="0"/>
    <x v="13"/>
    <x v="25"/>
  </r>
  <r>
    <x v="0"/>
    <x v="13"/>
    <x v="26"/>
  </r>
  <r>
    <x v="13"/>
    <x v="13"/>
    <x v="22"/>
  </r>
  <r>
    <x v="0"/>
    <x v="13"/>
    <x v="28"/>
  </r>
  <r>
    <x v="30"/>
    <x v="13"/>
    <x v="3"/>
  </r>
  <r>
    <x v="0"/>
    <x v="13"/>
    <x v="28"/>
  </r>
  <r>
    <x v="10"/>
    <x v="13"/>
    <x v="15"/>
  </r>
  <r>
    <x v="8"/>
    <x v="13"/>
    <x v="13"/>
  </r>
  <r>
    <x v="33"/>
    <x v="13"/>
    <x v="2"/>
  </r>
  <r>
    <x v="0"/>
    <x v="13"/>
    <x v="24"/>
  </r>
  <r>
    <x v="0"/>
    <x v="13"/>
    <x v="4"/>
  </r>
  <r>
    <x v="9"/>
    <x v="13"/>
    <x v="5"/>
  </r>
  <r>
    <x v="150"/>
    <x v="13"/>
    <x v="6"/>
  </r>
  <r>
    <x v="499"/>
    <x v="13"/>
    <x v="0"/>
  </r>
  <r>
    <x v="0"/>
    <x v="13"/>
    <x v="1"/>
  </r>
  <r>
    <x v="0"/>
    <x v="13"/>
    <x v="28"/>
  </r>
  <r>
    <x v="0"/>
    <x v="13"/>
    <x v="14"/>
  </r>
  <r>
    <x v="0"/>
    <x v="13"/>
    <x v="28"/>
  </r>
  <r>
    <x v="0"/>
    <x v="13"/>
    <x v="28"/>
  </r>
  <r>
    <x v="0"/>
    <x v="13"/>
    <x v="7"/>
  </r>
  <r>
    <x v="0"/>
    <x v="13"/>
    <x v="28"/>
  </r>
  <r>
    <x v="0"/>
    <x v="13"/>
    <x v="27"/>
  </r>
  <r>
    <x v="0"/>
    <x v="13"/>
    <x v="25"/>
  </r>
  <r>
    <x v="0"/>
    <x v="13"/>
    <x v="16"/>
  </r>
  <r>
    <x v="0"/>
    <x v="13"/>
    <x v="16"/>
  </r>
  <r>
    <x v="10"/>
    <x v="13"/>
    <x v="16"/>
  </r>
  <r>
    <x v="0"/>
    <x v="13"/>
    <x v="23"/>
  </r>
  <r>
    <x v="7"/>
    <x v="13"/>
    <x v="23"/>
  </r>
  <r>
    <x v="0"/>
    <x v="13"/>
    <x v="19"/>
  </r>
  <r>
    <x v="0"/>
    <x v="13"/>
    <x v="25"/>
  </r>
  <r>
    <x v="0"/>
    <x v="13"/>
    <x v="12"/>
  </r>
  <r>
    <x v="0"/>
    <x v="13"/>
    <x v="12"/>
  </r>
  <r>
    <x v="13"/>
    <x v="13"/>
    <x v="19"/>
  </r>
  <r>
    <x v="0"/>
    <x v="13"/>
    <x v="12"/>
  </r>
  <r>
    <x v="9"/>
    <x v="13"/>
    <x v="12"/>
  </r>
  <r>
    <x v="0"/>
    <x v="13"/>
    <x v="19"/>
  </r>
  <r>
    <x v="6"/>
    <x v="13"/>
    <x v="24"/>
  </r>
  <r>
    <x v="0"/>
    <x v="13"/>
    <x v="11"/>
  </r>
  <r>
    <x v="0"/>
    <x v="13"/>
    <x v="11"/>
  </r>
  <r>
    <x v="0"/>
    <x v="13"/>
    <x v="28"/>
  </r>
  <r>
    <x v="0"/>
    <x v="13"/>
    <x v="28"/>
  </r>
  <r>
    <x v="0"/>
    <x v="13"/>
    <x v="16"/>
  </r>
  <r>
    <x v="0"/>
    <x v="13"/>
    <x v="16"/>
  </r>
  <r>
    <x v="0"/>
    <x v="13"/>
    <x v="10"/>
  </r>
  <r>
    <x v="0"/>
    <x v="13"/>
    <x v="28"/>
  </r>
  <r>
    <x v="0"/>
    <x v="13"/>
    <x v="21"/>
  </r>
  <r>
    <x v="274"/>
    <x v="13"/>
    <x v="18"/>
  </r>
  <r>
    <x v="341"/>
    <x v="13"/>
    <x v="18"/>
  </r>
  <r>
    <x v="108"/>
    <x v="13"/>
    <x v="18"/>
  </r>
  <r>
    <x v="0"/>
    <x v="13"/>
    <x v="18"/>
  </r>
  <r>
    <x v="404"/>
    <x v="13"/>
    <x v="18"/>
  </r>
  <r>
    <x v="0"/>
    <x v="13"/>
    <x v="17"/>
  </r>
  <r>
    <x v="0"/>
    <x v="13"/>
    <x v="17"/>
  </r>
  <r>
    <x v="0"/>
    <x v="13"/>
    <x v="8"/>
  </r>
  <r>
    <x v="0"/>
    <x v="13"/>
    <x v="8"/>
  </r>
  <r>
    <x v="21"/>
    <x v="13"/>
    <x v="2"/>
  </r>
  <r>
    <x v="94"/>
    <x v="13"/>
    <x v="2"/>
  </r>
  <r>
    <x v="35"/>
    <x v="13"/>
    <x v="2"/>
  </r>
  <r>
    <x v="25"/>
    <x v="13"/>
    <x v="2"/>
  </r>
  <r>
    <x v="10"/>
    <x v="13"/>
    <x v="2"/>
  </r>
  <r>
    <x v="8"/>
    <x v="13"/>
    <x v="2"/>
  </r>
  <r>
    <x v="53"/>
    <x v="13"/>
    <x v="2"/>
  </r>
  <r>
    <x v="0"/>
    <x v="13"/>
    <x v="20"/>
  </r>
  <r>
    <x v="0"/>
    <x v="13"/>
    <x v="20"/>
  </r>
  <r>
    <x v="0"/>
    <x v="13"/>
    <x v="20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9"/>
    <x v="13"/>
    <x v="9"/>
  </r>
  <r>
    <x v="0"/>
    <x v="13"/>
    <x v="9"/>
  </r>
  <r>
    <x v="55"/>
    <x v="13"/>
    <x v="9"/>
  </r>
  <r>
    <x v="26"/>
    <x v="13"/>
    <x v="9"/>
  </r>
  <r>
    <x v="0"/>
    <x v="13"/>
    <x v="9"/>
  </r>
  <r>
    <x v="0"/>
    <x v="13"/>
    <x v="13"/>
  </r>
  <r>
    <x v="29"/>
    <x v="13"/>
    <x v="15"/>
  </r>
  <r>
    <x v="0"/>
    <x v="13"/>
    <x v="15"/>
  </r>
  <r>
    <x v="0"/>
    <x v="13"/>
    <x v="15"/>
  </r>
  <r>
    <x v="0"/>
    <x v="13"/>
    <x v="25"/>
  </r>
  <r>
    <x v="0"/>
    <x v="13"/>
    <x v="26"/>
  </r>
  <r>
    <x v="0"/>
    <x v="13"/>
    <x v="22"/>
  </r>
  <r>
    <x v="0"/>
    <x v="13"/>
    <x v="28"/>
  </r>
  <r>
    <x v="0"/>
    <x v="13"/>
    <x v="3"/>
  </r>
  <r>
    <x v="0"/>
    <x v="13"/>
    <x v="28"/>
  </r>
  <r>
    <x v="0"/>
    <x v="13"/>
    <x v="15"/>
  </r>
  <r>
    <x v="0"/>
    <x v="13"/>
    <x v="13"/>
  </r>
  <r>
    <x v="11"/>
    <x v="13"/>
    <x v="2"/>
  </r>
  <r>
    <x v="0"/>
    <x v="13"/>
    <x v="24"/>
  </r>
  <r>
    <x v="0"/>
    <x v="13"/>
    <x v="4"/>
  </r>
  <r>
    <x v="0"/>
    <x v="13"/>
    <x v="5"/>
  </r>
  <r>
    <x v="13"/>
    <x v="13"/>
    <x v="6"/>
  </r>
  <r>
    <x v="477"/>
    <x v="13"/>
    <x v="0"/>
  </r>
  <r>
    <x v="0"/>
    <x v="13"/>
    <x v="1"/>
  </r>
  <r>
    <x v="0"/>
    <x v="13"/>
    <x v="28"/>
  </r>
  <r>
    <x v="0"/>
    <x v="13"/>
    <x v="14"/>
  </r>
  <r>
    <x v="0"/>
    <x v="13"/>
    <x v="28"/>
  </r>
  <r>
    <x v="0"/>
    <x v="13"/>
    <x v="28"/>
  </r>
  <r>
    <x v="0"/>
    <x v="13"/>
    <x v="7"/>
  </r>
  <r>
    <x v="0"/>
    <x v="13"/>
    <x v="28"/>
  </r>
  <r>
    <x v="0"/>
    <x v="13"/>
    <x v="27"/>
  </r>
  <r>
    <x v="0"/>
    <x v="13"/>
    <x v="25"/>
  </r>
  <r>
    <x v="0"/>
    <x v="13"/>
    <x v="16"/>
  </r>
  <r>
    <x v="0"/>
    <x v="13"/>
    <x v="16"/>
  </r>
  <r>
    <x v="0"/>
    <x v="13"/>
    <x v="16"/>
  </r>
  <r>
    <x v="0"/>
    <x v="13"/>
    <x v="23"/>
  </r>
  <r>
    <x v="0"/>
    <x v="13"/>
    <x v="23"/>
  </r>
  <r>
    <x v="0"/>
    <x v="13"/>
    <x v="19"/>
  </r>
  <r>
    <x v="0"/>
    <x v="13"/>
    <x v="25"/>
  </r>
  <r>
    <x v="0"/>
    <x v="13"/>
    <x v="12"/>
  </r>
  <r>
    <x v="0"/>
    <x v="13"/>
    <x v="12"/>
  </r>
  <r>
    <x v="0"/>
    <x v="13"/>
    <x v="19"/>
  </r>
  <r>
    <x v="0"/>
    <x v="13"/>
    <x v="12"/>
  </r>
  <r>
    <x v="0"/>
    <x v="13"/>
    <x v="12"/>
  </r>
  <r>
    <x v="0"/>
    <x v="13"/>
    <x v="19"/>
  </r>
  <r>
    <x v="0"/>
    <x v="13"/>
    <x v="24"/>
  </r>
  <r>
    <x v="0"/>
    <x v="13"/>
    <x v="11"/>
  </r>
  <r>
    <x v="0"/>
    <x v="13"/>
    <x v="11"/>
  </r>
  <r>
    <x v="0"/>
    <x v="13"/>
    <x v="28"/>
  </r>
  <r>
    <x v="0"/>
    <x v="13"/>
    <x v="28"/>
  </r>
  <r>
    <x v="0"/>
    <x v="13"/>
    <x v="16"/>
  </r>
  <r>
    <x v="0"/>
    <x v="13"/>
    <x v="16"/>
  </r>
  <r>
    <x v="0"/>
    <x v="13"/>
    <x v="10"/>
  </r>
  <r>
    <x v="0"/>
    <x v="13"/>
    <x v="28"/>
  </r>
  <r>
    <x v="0"/>
    <x v="13"/>
    <x v="21"/>
  </r>
  <r>
    <x v="315"/>
    <x v="13"/>
    <x v="18"/>
  </r>
  <r>
    <x v="75"/>
    <x v="13"/>
    <x v="18"/>
  </r>
  <r>
    <x v="396"/>
    <x v="13"/>
    <x v="18"/>
  </r>
  <r>
    <x v="15"/>
    <x v="13"/>
    <x v="18"/>
  </r>
  <r>
    <x v="328"/>
    <x v="13"/>
    <x v="18"/>
  </r>
  <r>
    <x v="0"/>
    <x v="13"/>
    <x v="17"/>
  </r>
  <r>
    <x v="13"/>
    <x v="13"/>
    <x v="17"/>
  </r>
  <r>
    <x v="0"/>
    <x v="13"/>
    <x v="8"/>
  </r>
  <r>
    <x v="0"/>
    <x v="13"/>
    <x v="8"/>
  </r>
  <r>
    <x v="0"/>
    <x v="13"/>
    <x v="2"/>
  </r>
  <r>
    <x v="0"/>
    <x v="13"/>
    <x v="2"/>
  </r>
  <r>
    <x v="0"/>
    <x v="13"/>
    <x v="2"/>
  </r>
  <r>
    <x v="7"/>
    <x v="13"/>
    <x v="2"/>
  </r>
  <r>
    <x v="0"/>
    <x v="13"/>
    <x v="2"/>
  </r>
  <r>
    <x v="0"/>
    <x v="13"/>
    <x v="2"/>
  </r>
  <r>
    <x v="0"/>
    <x v="13"/>
    <x v="2"/>
  </r>
  <r>
    <x v="0"/>
    <x v="13"/>
    <x v="20"/>
  </r>
  <r>
    <x v="0"/>
    <x v="13"/>
    <x v="20"/>
  </r>
  <r>
    <x v="0"/>
    <x v="13"/>
    <x v="20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13"/>
  </r>
  <r>
    <x v="61"/>
    <x v="13"/>
    <x v="15"/>
  </r>
  <r>
    <x v="0"/>
    <x v="13"/>
    <x v="15"/>
  </r>
  <r>
    <x v="0"/>
    <x v="13"/>
    <x v="15"/>
  </r>
  <r>
    <x v="0"/>
    <x v="13"/>
    <x v="25"/>
  </r>
  <r>
    <x v="0"/>
    <x v="13"/>
    <x v="26"/>
  </r>
  <r>
    <x v="0"/>
    <x v="13"/>
    <x v="22"/>
  </r>
  <r>
    <x v="0"/>
    <x v="13"/>
    <x v="28"/>
  </r>
  <r>
    <x v="0"/>
    <x v="13"/>
    <x v="3"/>
  </r>
  <r>
    <x v="0"/>
    <x v="13"/>
    <x v="28"/>
  </r>
  <r>
    <x v="0"/>
    <x v="13"/>
    <x v="15"/>
  </r>
  <r>
    <x v="0"/>
    <x v="13"/>
    <x v="13"/>
  </r>
  <r>
    <x v="0"/>
    <x v="13"/>
    <x v="2"/>
  </r>
  <r>
    <x v="0"/>
    <x v="13"/>
    <x v="24"/>
  </r>
  <r>
    <x v="0"/>
    <x v="13"/>
    <x v="4"/>
  </r>
  <r>
    <x v="0"/>
    <x v="13"/>
    <x v="5"/>
  </r>
  <r>
    <x v="0"/>
    <x v="13"/>
    <x v="6"/>
  </r>
  <r>
    <x v="503"/>
    <x v="13"/>
    <x v="0"/>
  </r>
  <r>
    <x v="0"/>
    <x v="13"/>
    <x v="1"/>
  </r>
  <r>
    <x v="0"/>
    <x v="13"/>
    <x v="28"/>
  </r>
  <r>
    <x v="0"/>
    <x v="13"/>
    <x v="14"/>
  </r>
  <r>
    <x v="0"/>
    <x v="13"/>
    <x v="28"/>
  </r>
  <r>
    <x v="0"/>
    <x v="13"/>
    <x v="28"/>
  </r>
  <r>
    <x v="0"/>
    <x v="13"/>
    <x v="7"/>
  </r>
  <r>
    <x v="0"/>
    <x v="13"/>
    <x v="28"/>
  </r>
  <r>
    <x v="0"/>
    <x v="13"/>
    <x v="27"/>
  </r>
  <r>
    <x v="0"/>
    <x v="13"/>
    <x v="25"/>
  </r>
  <r>
    <x v="0"/>
    <x v="13"/>
    <x v="16"/>
  </r>
  <r>
    <x v="0"/>
    <x v="13"/>
    <x v="16"/>
  </r>
  <r>
    <x v="0"/>
    <x v="13"/>
    <x v="16"/>
  </r>
  <r>
    <x v="0"/>
    <x v="13"/>
    <x v="23"/>
  </r>
  <r>
    <x v="0"/>
    <x v="13"/>
    <x v="23"/>
  </r>
  <r>
    <x v="0"/>
    <x v="13"/>
    <x v="19"/>
  </r>
  <r>
    <x v="0"/>
    <x v="13"/>
    <x v="25"/>
  </r>
  <r>
    <x v="0"/>
    <x v="13"/>
    <x v="12"/>
  </r>
  <r>
    <x v="0"/>
    <x v="13"/>
    <x v="12"/>
  </r>
  <r>
    <x v="0"/>
    <x v="13"/>
    <x v="19"/>
  </r>
  <r>
    <x v="0"/>
    <x v="13"/>
    <x v="12"/>
  </r>
  <r>
    <x v="0"/>
    <x v="13"/>
    <x v="12"/>
  </r>
  <r>
    <x v="0"/>
    <x v="13"/>
    <x v="19"/>
  </r>
  <r>
    <x v="0"/>
    <x v="13"/>
    <x v="24"/>
  </r>
  <r>
    <x v="0"/>
    <x v="13"/>
    <x v="11"/>
  </r>
  <r>
    <x v="0"/>
    <x v="13"/>
    <x v="11"/>
  </r>
  <r>
    <x v="10"/>
    <x v="13"/>
    <x v="28"/>
  </r>
  <r>
    <x v="0"/>
    <x v="13"/>
    <x v="28"/>
  </r>
  <r>
    <x v="0"/>
    <x v="13"/>
    <x v="16"/>
  </r>
  <r>
    <x v="0"/>
    <x v="13"/>
    <x v="16"/>
  </r>
  <r>
    <x v="9"/>
    <x v="13"/>
    <x v="10"/>
  </r>
  <r>
    <x v="0"/>
    <x v="13"/>
    <x v="28"/>
  </r>
  <r>
    <x v="0"/>
    <x v="13"/>
    <x v="21"/>
  </r>
  <r>
    <x v="418"/>
    <x v="13"/>
    <x v="18"/>
  </r>
  <r>
    <x v="0"/>
    <x v="13"/>
    <x v="18"/>
  </r>
  <r>
    <x v="18"/>
    <x v="13"/>
    <x v="18"/>
  </r>
  <r>
    <x v="388"/>
    <x v="13"/>
    <x v="18"/>
  </r>
  <r>
    <x v="326"/>
    <x v="13"/>
    <x v="18"/>
  </r>
  <r>
    <x v="8"/>
    <x v="13"/>
    <x v="17"/>
  </r>
  <r>
    <x v="0"/>
    <x v="13"/>
    <x v="17"/>
  </r>
  <r>
    <x v="0"/>
    <x v="13"/>
    <x v="8"/>
  </r>
  <r>
    <x v="0"/>
    <x v="13"/>
    <x v="8"/>
  </r>
  <r>
    <x v="8"/>
    <x v="13"/>
    <x v="2"/>
  </r>
  <r>
    <x v="0"/>
    <x v="13"/>
    <x v="2"/>
  </r>
  <r>
    <x v="0"/>
    <x v="13"/>
    <x v="2"/>
  </r>
  <r>
    <x v="0"/>
    <x v="13"/>
    <x v="2"/>
  </r>
  <r>
    <x v="0"/>
    <x v="13"/>
    <x v="2"/>
  </r>
  <r>
    <x v="0"/>
    <x v="13"/>
    <x v="2"/>
  </r>
  <r>
    <x v="0"/>
    <x v="13"/>
    <x v="2"/>
  </r>
  <r>
    <x v="0"/>
    <x v="13"/>
    <x v="20"/>
  </r>
  <r>
    <x v="0"/>
    <x v="13"/>
    <x v="20"/>
  </r>
  <r>
    <x v="0"/>
    <x v="13"/>
    <x v="20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0"/>
    <x v="13"/>
    <x v="9"/>
  </r>
  <r>
    <x v="3"/>
    <x v="13"/>
    <x v="9"/>
  </r>
  <r>
    <x v="0"/>
    <x v="13"/>
    <x v="9"/>
  </r>
  <r>
    <x v="13"/>
    <x v="13"/>
    <x v="9"/>
  </r>
  <r>
    <x v="0"/>
    <x v="13"/>
    <x v="9"/>
  </r>
  <r>
    <x v="0"/>
    <x v="13"/>
    <x v="9"/>
  </r>
  <r>
    <x v="0"/>
    <x v="13"/>
    <x v="13"/>
  </r>
  <r>
    <x v="0"/>
    <x v="13"/>
    <x v="15"/>
  </r>
  <r>
    <x v="0"/>
    <x v="13"/>
    <x v="15"/>
  </r>
  <r>
    <x v="0"/>
    <x v="13"/>
    <x v="15"/>
  </r>
  <r>
    <x v="0"/>
    <x v="13"/>
    <x v="25"/>
  </r>
  <r>
    <x v="0"/>
    <x v="13"/>
    <x v="26"/>
  </r>
  <r>
    <x v="0"/>
    <x v="13"/>
    <x v="22"/>
  </r>
  <r>
    <x v="0"/>
    <x v="13"/>
    <x v="28"/>
  </r>
  <r>
    <x v="0"/>
    <x v="13"/>
    <x v="3"/>
  </r>
  <r>
    <x v="0"/>
    <x v="13"/>
    <x v="28"/>
  </r>
  <r>
    <x v="0"/>
    <x v="13"/>
    <x v="15"/>
  </r>
  <r>
    <x v="0"/>
    <x v="13"/>
    <x v="13"/>
  </r>
  <r>
    <x v="0"/>
    <x v="13"/>
    <x v="2"/>
  </r>
  <r>
    <x v="0"/>
    <x v="13"/>
    <x v="24"/>
  </r>
  <r>
    <x v="0"/>
    <x v="13"/>
    <x v="4"/>
  </r>
  <r>
    <x v="0"/>
    <x v="13"/>
    <x v="5"/>
  </r>
  <r>
    <x v="56"/>
    <x v="13"/>
    <x v="6"/>
  </r>
  <r>
    <x v="585"/>
    <x v="13"/>
    <x v="0"/>
  </r>
  <r>
    <x v="31"/>
    <x v="13"/>
    <x v="1"/>
  </r>
  <r>
    <x v="13"/>
    <x v="13"/>
    <x v="28"/>
  </r>
  <r>
    <x v="10"/>
    <x v="13"/>
    <x v="14"/>
  </r>
  <r>
    <x v="20"/>
    <x v="13"/>
    <x v="28"/>
  </r>
  <r>
    <x v="6"/>
    <x v="13"/>
    <x v="28"/>
  </r>
  <r>
    <x v="0"/>
    <x v="13"/>
    <x v="7"/>
  </r>
  <r>
    <x v="11"/>
    <x v="13"/>
    <x v="28"/>
  </r>
  <r>
    <x v="12"/>
    <x v="13"/>
    <x v="27"/>
  </r>
  <r>
    <x v="0"/>
    <x v="13"/>
    <x v="25"/>
  </r>
  <r>
    <x v="0"/>
    <x v="13"/>
    <x v="16"/>
  </r>
  <r>
    <x v="5"/>
    <x v="13"/>
    <x v="16"/>
  </r>
  <r>
    <x v="0"/>
    <x v="13"/>
    <x v="16"/>
  </r>
  <r>
    <x v="0"/>
    <x v="13"/>
    <x v="23"/>
  </r>
  <r>
    <x v="0"/>
    <x v="13"/>
    <x v="23"/>
  </r>
  <r>
    <x v="11"/>
    <x v="13"/>
    <x v="19"/>
  </r>
  <r>
    <x v="0"/>
    <x v="13"/>
    <x v="25"/>
  </r>
  <r>
    <x v="7"/>
    <x v="13"/>
    <x v="12"/>
  </r>
  <r>
    <x v="7"/>
    <x v="13"/>
    <x v="12"/>
  </r>
  <r>
    <x v="31"/>
    <x v="13"/>
    <x v="19"/>
  </r>
  <r>
    <x v="0"/>
    <x v="13"/>
    <x v="12"/>
  </r>
  <r>
    <x v="29"/>
    <x v="13"/>
    <x v="12"/>
  </r>
  <r>
    <x v="30"/>
    <x v="13"/>
    <x v="19"/>
  </r>
  <r>
    <x v="0"/>
    <x v="13"/>
    <x v="24"/>
  </r>
  <r>
    <x v="0"/>
    <x v="13"/>
    <x v="11"/>
  </r>
  <r>
    <x v="7"/>
    <x v="13"/>
    <x v="11"/>
  </r>
  <r>
    <x v="0"/>
    <x v="13"/>
    <x v="28"/>
  </r>
  <r>
    <x v="0"/>
    <x v="13"/>
    <x v="28"/>
  </r>
  <r>
    <x v="10"/>
    <x v="13"/>
    <x v="16"/>
  </r>
  <r>
    <x v="0"/>
    <x v="13"/>
    <x v="16"/>
  </r>
  <r>
    <x v="0"/>
    <x v="13"/>
    <x v="10"/>
  </r>
  <r>
    <x v="5"/>
    <x v="13"/>
    <x v="28"/>
  </r>
  <r>
    <x v="7"/>
    <x v="13"/>
    <x v="21"/>
  </r>
  <r>
    <x v="554"/>
    <x v="13"/>
    <x v="18"/>
  </r>
  <r>
    <x v="310"/>
    <x v="13"/>
    <x v="18"/>
  </r>
  <r>
    <x v="346"/>
    <x v="13"/>
    <x v="18"/>
  </r>
  <r>
    <x v="307"/>
    <x v="13"/>
    <x v="18"/>
  </r>
  <r>
    <x v="571"/>
    <x v="13"/>
    <x v="18"/>
  </r>
  <r>
    <x v="0"/>
    <x v="13"/>
    <x v="17"/>
  </r>
  <r>
    <x v="0"/>
    <x v="13"/>
    <x v="17"/>
  </r>
  <r>
    <x v="0"/>
    <x v="13"/>
    <x v="8"/>
  </r>
  <r>
    <x v="0"/>
    <x v="13"/>
    <x v="8"/>
  </r>
  <r>
    <x v="48"/>
    <x v="13"/>
    <x v="2"/>
  </r>
  <r>
    <x v="102"/>
    <x v="13"/>
    <x v="2"/>
  </r>
  <r>
    <x v="49"/>
    <x v="13"/>
    <x v="2"/>
  </r>
  <r>
    <x v="63"/>
    <x v="13"/>
    <x v="2"/>
  </r>
  <r>
    <x v="0"/>
    <x v="13"/>
    <x v="2"/>
  </r>
  <r>
    <x v="0"/>
    <x v="13"/>
    <x v="2"/>
  </r>
  <r>
    <x v="163"/>
    <x v="13"/>
    <x v="2"/>
  </r>
  <r>
    <x v="0"/>
    <x v="13"/>
    <x v="20"/>
  </r>
  <r>
    <x v="0"/>
    <x v="13"/>
    <x v="20"/>
  </r>
  <r>
    <x v="0"/>
    <x v="13"/>
    <x v="20"/>
  </r>
  <r>
    <x v="11"/>
    <x v="13"/>
    <x v="9"/>
  </r>
  <r>
    <x v="0"/>
    <x v="13"/>
    <x v="9"/>
  </r>
  <r>
    <x v="0"/>
    <x v="13"/>
    <x v="9"/>
  </r>
  <r>
    <x v="8"/>
    <x v="13"/>
    <x v="9"/>
  </r>
  <r>
    <x v="0"/>
    <x v="13"/>
    <x v="9"/>
  </r>
  <r>
    <x v="9"/>
    <x v="13"/>
    <x v="9"/>
  </r>
  <r>
    <x v="0"/>
    <x v="13"/>
    <x v="9"/>
  </r>
  <r>
    <x v="0"/>
    <x v="13"/>
    <x v="9"/>
  </r>
  <r>
    <x v="0"/>
    <x v="13"/>
    <x v="9"/>
  </r>
  <r>
    <x v="16"/>
    <x v="13"/>
    <x v="9"/>
  </r>
  <r>
    <x v="144"/>
    <x v="13"/>
    <x v="9"/>
  </r>
  <r>
    <x v="95"/>
    <x v="13"/>
    <x v="9"/>
  </r>
  <r>
    <x v="17"/>
    <x v="13"/>
    <x v="9"/>
  </r>
  <r>
    <x v="11"/>
    <x v="13"/>
    <x v="13"/>
  </r>
  <r>
    <x v="194"/>
    <x v="13"/>
    <x v="15"/>
  </r>
  <r>
    <x v="0"/>
    <x v="13"/>
    <x v="15"/>
  </r>
  <r>
    <x v="81"/>
    <x v="13"/>
    <x v="15"/>
  </r>
  <r>
    <x v="0"/>
    <x v="13"/>
    <x v="25"/>
  </r>
  <r>
    <x v="3"/>
    <x v="13"/>
    <x v="26"/>
  </r>
  <r>
    <x v="0"/>
    <x v="13"/>
    <x v="22"/>
  </r>
  <r>
    <x v="14"/>
    <x v="13"/>
    <x v="28"/>
  </r>
  <r>
    <x v="0"/>
    <x v="13"/>
    <x v="3"/>
  </r>
  <r>
    <x v="0"/>
    <x v="13"/>
    <x v="28"/>
  </r>
  <r>
    <x v="9"/>
    <x v="13"/>
    <x v="15"/>
  </r>
  <r>
    <x v="0"/>
    <x v="13"/>
    <x v="15"/>
  </r>
  <r>
    <x v="0"/>
    <x v="13"/>
    <x v="13"/>
  </r>
  <r>
    <x v="47"/>
    <x v="13"/>
    <x v="2"/>
  </r>
  <r>
    <x v="0"/>
    <x v="13"/>
    <x v="24"/>
  </r>
  <r>
    <x v="0"/>
    <x v="13"/>
    <x v="4"/>
  </r>
  <r>
    <x v="0"/>
    <x v="13"/>
    <x v="5"/>
  </r>
  <r>
    <x v="83"/>
    <x v="13"/>
    <x v="6"/>
  </r>
  <r>
    <x v="484"/>
    <x v="12"/>
    <x v="0"/>
  </r>
  <r>
    <x v="7"/>
    <x v="12"/>
    <x v="1"/>
  </r>
  <r>
    <x v="0"/>
    <x v="12"/>
    <x v="28"/>
  </r>
  <r>
    <x v="0"/>
    <x v="12"/>
    <x v="14"/>
  </r>
  <r>
    <x v="6"/>
    <x v="12"/>
    <x v="28"/>
  </r>
  <r>
    <x v="0"/>
    <x v="12"/>
    <x v="28"/>
  </r>
  <r>
    <x v="0"/>
    <x v="12"/>
    <x v="7"/>
  </r>
  <r>
    <x v="0"/>
    <x v="12"/>
    <x v="28"/>
  </r>
  <r>
    <x v="0"/>
    <x v="12"/>
    <x v="27"/>
  </r>
  <r>
    <x v="0"/>
    <x v="12"/>
    <x v="25"/>
  </r>
  <r>
    <x v="0"/>
    <x v="12"/>
    <x v="16"/>
  </r>
  <r>
    <x v="0"/>
    <x v="12"/>
    <x v="16"/>
  </r>
  <r>
    <x v="0"/>
    <x v="12"/>
    <x v="16"/>
  </r>
  <r>
    <x v="0"/>
    <x v="12"/>
    <x v="23"/>
  </r>
  <r>
    <x v="0"/>
    <x v="12"/>
    <x v="23"/>
  </r>
  <r>
    <x v="0"/>
    <x v="12"/>
    <x v="19"/>
  </r>
  <r>
    <x v="0"/>
    <x v="12"/>
    <x v="25"/>
  </r>
  <r>
    <x v="0"/>
    <x v="12"/>
    <x v="12"/>
  </r>
  <r>
    <x v="0"/>
    <x v="12"/>
    <x v="12"/>
  </r>
  <r>
    <x v="0"/>
    <x v="12"/>
    <x v="19"/>
  </r>
  <r>
    <x v="0"/>
    <x v="12"/>
    <x v="12"/>
  </r>
  <r>
    <x v="0"/>
    <x v="12"/>
    <x v="12"/>
  </r>
  <r>
    <x v="0"/>
    <x v="12"/>
    <x v="19"/>
  </r>
  <r>
    <x v="0"/>
    <x v="12"/>
    <x v="24"/>
  </r>
  <r>
    <x v="0"/>
    <x v="12"/>
    <x v="11"/>
  </r>
  <r>
    <x v="0"/>
    <x v="12"/>
    <x v="11"/>
  </r>
  <r>
    <x v="0"/>
    <x v="12"/>
    <x v="28"/>
  </r>
  <r>
    <x v="11"/>
    <x v="12"/>
    <x v="28"/>
  </r>
  <r>
    <x v="0"/>
    <x v="12"/>
    <x v="16"/>
  </r>
  <r>
    <x v="0"/>
    <x v="12"/>
    <x v="16"/>
  </r>
  <r>
    <x v="0"/>
    <x v="12"/>
    <x v="10"/>
  </r>
  <r>
    <x v="0"/>
    <x v="12"/>
    <x v="28"/>
  </r>
  <r>
    <x v="5"/>
    <x v="12"/>
    <x v="21"/>
  </r>
  <r>
    <x v="0"/>
    <x v="12"/>
    <x v="18"/>
  </r>
  <r>
    <x v="0"/>
    <x v="12"/>
    <x v="18"/>
  </r>
  <r>
    <x v="0"/>
    <x v="12"/>
    <x v="18"/>
  </r>
  <r>
    <x v="0"/>
    <x v="12"/>
    <x v="18"/>
  </r>
  <r>
    <x v="0"/>
    <x v="12"/>
    <x v="18"/>
  </r>
  <r>
    <x v="421"/>
    <x v="12"/>
    <x v="17"/>
  </r>
  <r>
    <x v="321"/>
    <x v="12"/>
    <x v="17"/>
  </r>
  <r>
    <x v="0"/>
    <x v="12"/>
    <x v="8"/>
  </r>
  <r>
    <x v="7"/>
    <x v="12"/>
    <x v="8"/>
  </r>
  <r>
    <x v="0"/>
    <x v="12"/>
    <x v="2"/>
  </r>
  <r>
    <x v="0"/>
    <x v="12"/>
    <x v="2"/>
  </r>
  <r>
    <x v="0"/>
    <x v="12"/>
    <x v="2"/>
  </r>
  <r>
    <x v="0"/>
    <x v="12"/>
    <x v="2"/>
  </r>
  <r>
    <x v="0"/>
    <x v="12"/>
    <x v="2"/>
  </r>
  <r>
    <x v="0"/>
    <x v="12"/>
    <x v="2"/>
  </r>
  <r>
    <x v="0"/>
    <x v="12"/>
    <x v="2"/>
  </r>
  <r>
    <x v="39"/>
    <x v="12"/>
    <x v="20"/>
  </r>
  <r>
    <x v="0"/>
    <x v="12"/>
    <x v="20"/>
  </r>
  <r>
    <x v="20"/>
    <x v="12"/>
    <x v="20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5"/>
    <x v="12"/>
    <x v="9"/>
  </r>
  <r>
    <x v="0"/>
    <x v="12"/>
    <x v="9"/>
  </r>
  <r>
    <x v="0"/>
    <x v="12"/>
    <x v="9"/>
  </r>
  <r>
    <x v="11"/>
    <x v="12"/>
    <x v="13"/>
  </r>
  <r>
    <x v="0"/>
    <x v="12"/>
    <x v="15"/>
  </r>
  <r>
    <x v="0"/>
    <x v="12"/>
    <x v="15"/>
  </r>
  <r>
    <x v="0"/>
    <x v="12"/>
    <x v="15"/>
  </r>
  <r>
    <x v="0"/>
    <x v="12"/>
    <x v="25"/>
  </r>
  <r>
    <x v="0"/>
    <x v="12"/>
    <x v="26"/>
  </r>
  <r>
    <x v="95"/>
    <x v="12"/>
    <x v="22"/>
  </r>
  <r>
    <x v="7"/>
    <x v="12"/>
    <x v="28"/>
  </r>
  <r>
    <x v="0"/>
    <x v="12"/>
    <x v="3"/>
  </r>
  <r>
    <x v="0"/>
    <x v="12"/>
    <x v="28"/>
  </r>
  <r>
    <x v="0"/>
    <x v="12"/>
    <x v="15"/>
  </r>
  <r>
    <x v="0"/>
    <x v="12"/>
    <x v="15"/>
  </r>
  <r>
    <x v="0"/>
    <x v="12"/>
    <x v="13"/>
  </r>
  <r>
    <x v="0"/>
    <x v="12"/>
    <x v="2"/>
  </r>
  <r>
    <x v="0"/>
    <x v="12"/>
    <x v="24"/>
  </r>
  <r>
    <x v="0"/>
    <x v="12"/>
    <x v="4"/>
  </r>
  <r>
    <x v="0"/>
    <x v="12"/>
    <x v="5"/>
  </r>
  <r>
    <x v="0"/>
    <x v="12"/>
    <x v="6"/>
  </r>
  <r>
    <x v="547"/>
    <x v="12"/>
    <x v="0"/>
  </r>
  <r>
    <x v="0"/>
    <x v="12"/>
    <x v="1"/>
  </r>
  <r>
    <x v="0"/>
    <x v="12"/>
    <x v="28"/>
  </r>
  <r>
    <x v="10"/>
    <x v="12"/>
    <x v="14"/>
  </r>
  <r>
    <x v="0"/>
    <x v="12"/>
    <x v="28"/>
  </r>
  <r>
    <x v="0"/>
    <x v="12"/>
    <x v="28"/>
  </r>
  <r>
    <x v="0"/>
    <x v="12"/>
    <x v="7"/>
  </r>
  <r>
    <x v="0"/>
    <x v="12"/>
    <x v="28"/>
  </r>
  <r>
    <x v="10"/>
    <x v="12"/>
    <x v="27"/>
  </r>
  <r>
    <x v="0"/>
    <x v="12"/>
    <x v="25"/>
  </r>
  <r>
    <x v="0"/>
    <x v="12"/>
    <x v="16"/>
  </r>
  <r>
    <x v="0"/>
    <x v="12"/>
    <x v="16"/>
  </r>
  <r>
    <x v="0"/>
    <x v="12"/>
    <x v="16"/>
  </r>
  <r>
    <x v="0"/>
    <x v="12"/>
    <x v="23"/>
  </r>
  <r>
    <x v="0"/>
    <x v="12"/>
    <x v="23"/>
  </r>
  <r>
    <x v="0"/>
    <x v="12"/>
    <x v="19"/>
  </r>
  <r>
    <x v="0"/>
    <x v="12"/>
    <x v="25"/>
  </r>
  <r>
    <x v="10"/>
    <x v="12"/>
    <x v="12"/>
  </r>
  <r>
    <x v="0"/>
    <x v="12"/>
    <x v="12"/>
  </r>
  <r>
    <x v="0"/>
    <x v="12"/>
    <x v="19"/>
  </r>
  <r>
    <x v="0"/>
    <x v="12"/>
    <x v="12"/>
  </r>
  <r>
    <x v="16"/>
    <x v="12"/>
    <x v="12"/>
  </r>
  <r>
    <x v="19"/>
    <x v="12"/>
    <x v="19"/>
  </r>
  <r>
    <x v="0"/>
    <x v="12"/>
    <x v="24"/>
  </r>
  <r>
    <x v="0"/>
    <x v="12"/>
    <x v="11"/>
  </r>
  <r>
    <x v="0"/>
    <x v="12"/>
    <x v="11"/>
  </r>
  <r>
    <x v="0"/>
    <x v="12"/>
    <x v="28"/>
  </r>
  <r>
    <x v="19"/>
    <x v="12"/>
    <x v="28"/>
  </r>
  <r>
    <x v="0"/>
    <x v="12"/>
    <x v="16"/>
  </r>
  <r>
    <x v="0"/>
    <x v="12"/>
    <x v="16"/>
  </r>
  <r>
    <x v="0"/>
    <x v="12"/>
    <x v="10"/>
  </r>
  <r>
    <x v="0"/>
    <x v="12"/>
    <x v="28"/>
  </r>
  <r>
    <x v="0"/>
    <x v="12"/>
    <x v="21"/>
  </r>
  <r>
    <x v="0"/>
    <x v="12"/>
    <x v="18"/>
  </r>
  <r>
    <x v="0"/>
    <x v="12"/>
    <x v="18"/>
  </r>
  <r>
    <x v="0"/>
    <x v="12"/>
    <x v="18"/>
  </r>
  <r>
    <x v="0"/>
    <x v="12"/>
    <x v="18"/>
  </r>
  <r>
    <x v="0"/>
    <x v="12"/>
    <x v="18"/>
  </r>
  <r>
    <x v="343"/>
    <x v="12"/>
    <x v="17"/>
  </r>
  <r>
    <x v="527"/>
    <x v="12"/>
    <x v="17"/>
  </r>
  <r>
    <x v="0"/>
    <x v="12"/>
    <x v="8"/>
  </r>
  <r>
    <x v="0"/>
    <x v="12"/>
    <x v="8"/>
  </r>
  <r>
    <x v="0"/>
    <x v="12"/>
    <x v="2"/>
  </r>
  <r>
    <x v="0"/>
    <x v="12"/>
    <x v="2"/>
  </r>
  <r>
    <x v="0"/>
    <x v="12"/>
    <x v="2"/>
  </r>
  <r>
    <x v="0"/>
    <x v="12"/>
    <x v="2"/>
  </r>
  <r>
    <x v="0"/>
    <x v="12"/>
    <x v="2"/>
  </r>
  <r>
    <x v="0"/>
    <x v="12"/>
    <x v="2"/>
  </r>
  <r>
    <x v="0"/>
    <x v="12"/>
    <x v="2"/>
  </r>
  <r>
    <x v="46"/>
    <x v="12"/>
    <x v="20"/>
  </r>
  <r>
    <x v="0"/>
    <x v="12"/>
    <x v="20"/>
  </r>
  <r>
    <x v="69"/>
    <x v="12"/>
    <x v="20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0"/>
    <x v="12"/>
    <x v="9"/>
  </r>
  <r>
    <x v="6"/>
    <x v="12"/>
    <x v="9"/>
  </r>
  <r>
    <x v="0"/>
    <x v="12"/>
    <x v="9"/>
  </r>
  <r>
    <x v="0"/>
    <x v="12"/>
    <x v="9"/>
  </r>
  <r>
    <x v="0"/>
    <x v="12"/>
    <x v="9"/>
  </r>
  <r>
    <x v="9"/>
    <x v="12"/>
    <x v="9"/>
  </r>
  <r>
    <x v="0"/>
    <x v="12"/>
    <x v="9"/>
  </r>
  <r>
    <x v="0"/>
    <x v="12"/>
    <x v="9"/>
  </r>
  <r>
    <x v="0"/>
    <x v="12"/>
    <x v="13"/>
  </r>
  <r>
    <x v="0"/>
    <x v="12"/>
    <x v="15"/>
  </r>
  <r>
    <x v="0"/>
    <x v="12"/>
    <x v="15"/>
  </r>
  <r>
    <x v="11"/>
    <x v="12"/>
    <x v="15"/>
  </r>
  <r>
    <x v="0"/>
    <x v="12"/>
    <x v="25"/>
  </r>
  <r>
    <x v="0"/>
    <x v="12"/>
    <x v="26"/>
  </r>
  <r>
    <x v="249"/>
    <x v="12"/>
    <x v="22"/>
  </r>
  <r>
    <x v="0"/>
    <x v="12"/>
    <x v="28"/>
  </r>
  <r>
    <x v="0"/>
    <x v="12"/>
    <x v="3"/>
  </r>
  <r>
    <x v="38"/>
    <x v="12"/>
    <x v="28"/>
  </r>
  <r>
    <x v="0"/>
    <x v="12"/>
    <x v="15"/>
  </r>
  <r>
    <x v="0"/>
    <x v="12"/>
    <x v="15"/>
  </r>
  <r>
    <x v="0"/>
    <x v="12"/>
    <x v="13"/>
  </r>
  <r>
    <x v="0"/>
    <x v="12"/>
    <x v="2"/>
  </r>
  <r>
    <x v="0"/>
    <x v="12"/>
    <x v="24"/>
  </r>
  <r>
    <x v="0"/>
    <x v="12"/>
    <x v="4"/>
  </r>
  <r>
    <x v="0"/>
    <x v="12"/>
    <x v="5"/>
  </r>
  <r>
    <x v="15"/>
    <x v="12"/>
    <x v="6"/>
  </r>
  <r>
    <x v="563"/>
    <x v="3"/>
    <x v="0"/>
  </r>
  <r>
    <x v="0"/>
    <x v="3"/>
    <x v="1"/>
  </r>
  <r>
    <x v="9"/>
    <x v="3"/>
    <x v="28"/>
  </r>
  <r>
    <x v="0"/>
    <x v="3"/>
    <x v="14"/>
  </r>
  <r>
    <x v="19"/>
    <x v="3"/>
    <x v="28"/>
  </r>
  <r>
    <x v="11"/>
    <x v="3"/>
    <x v="28"/>
  </r>
  <r>
    <x v="0"/>
    <x v="3"/>
    <x v="7"/>
  </r>
  <r>
    <x v="0"/>
    <x v="3"/>
    <x v="28"/>
  </r>
  <r>
    <x v="0"/>
    <x v="3"/>
    <x v="27"/>
  </r>
  <r>
    <x v="0"/>
    <x v="3"/>
    <x v="25"/>
  </r>
  <r>
    <x v="0"/>
    <x v="3"/>
    <x v="16"/>
  </r>
  <r>
    <x v="8"/>
    <x v="3"/>
    <x v="16"/>
  </r>
  <r>
    <x v="0"/>
    <x v="3"/>
    <x v="16"/>
  </r>
  <r>
    <x v="0"/>
    <x v="3"/>
    <x v="23"/>
  </r>
  <r>
    <x v="0"/>
    <x v="3"/>
    <x v="23"/>
  </r>
  <r>
    <x v="0"/>
    <x v="3"/>
    <x v="19"/>
  </r>
  <r>
    <x v="0"/>
    <x v="3"/>
    <x v="25"/>
  </r>
  <r>
    <x v="0"/>
    <x v="3"/>
    <x v="12"/>
  </r>
  <r>
    <x v="13"/>
    <x v="3"/>
    <x v="12"/>
  </r>
  <r>
    <x v="14"/>
    <x v="3"/>
    <x v="19"/>
  </r>
  <r>
    <x v="0"/>
    <x v="3"/>
    <x v="12"/>
  </r>
  <r>
    <x v="16"/>
    <x v="3"/>
    <x v="12"/>
  </r>
  <r>
    <x v="23"/>
    <x v="3"/>
    <x v="19"/>
  </r>
  <r>
    <x v="0"/>
    <x v="3"/>
    <x v="24"/>
  </r>
  <r>
    <x v="8"/>
    <x v="3"/>
    <x v="11"/>
  </r>
  <r>
    <x v="0"/>
    <x v="3"/>
    <x v="11"/>
  </r>
  <r>
    <x v="0"/>
    <x v="3"/>
    <x v="28"/>
  </r>
  <r>
    <x v="196"/>
    <x v="3"/>
    <x v="28"/>
  </r>
  <r>
    <x v="11"/>
    <x v="3"/>
    <x v="16"/>
  </r>
  <r>
    <x v="0"/>
    <x v="3"/>
    <x v="16"/>
  </r>
  <r>
    <x v="36"/>
    <x v="3"/>
    <x v="10"/>
  </r>
  <r>
    <x v="79"/>
    <x v="3"/>
    <x v="28"/>
  </r>
  <r>
    <x v="7"/>
    <x v="3"/>
    <x v="21"/>
  </r>
  <r>
    <x v="8"/>
    <x v="3"/>
    <x v="18"/>
  </r>
  <r>
    <x v="0"/>
    <x v="3"/>
    <x v="18"/>
  </r>
  <r>
    <x v="0"/>
    <x v="3"/>
    <x v="18"/>
  </r>
  <r>
    <x v="0"/>
    <x v="3"/>
    <x v="18"/>
  </r>
  <r>
    <x v="0"/>
    <x v="3"/>
    <x v="18"/>
  </r>
  <r>
    <x v="0"/>
    <x v="3"/>
    <x v="17"/>
  </r>
  <r>
    <x v="25"/>
    <x v="3"/>
    <x v="17"/>
  </r>
  <r>
    <x v="539"/>
    <x v="3"/>
    <x v="8"/>
  </r>
  <r>
    <x v="360"/>
    <x v="3"/>
    <x v="8"/>
  </r>
  <r>
    <x v="9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7"/>
    <x v="3"/>
    <x v="20"/>
  </r>
  <r>
    <x v="0"/>
    <x v="3"/>
    <x v="20"/>
  </r>
  <r>
    <x v="0"/>
    <x v="3"/>
    <x v="20"/>
  </r>
  <r>
    <x v="8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12"/>
    <x v="3"/>
    <x v="9"/>
  </r>
  <r>
    <x v="0"/>
    <x v="3"/>
    <x v="9"/>
  </r>
  <r>
    <x v="29"/>
    <x v="3"/>
    <x v="13"/>
  </r>
  <r>
    <x v="0"/>
    <x v="3"/>
    <x v="15"/>
  </r>
  <r>
    <x v="0"/>
    <x v="3"/>
    <x v="15"/>
  </r>
  <r>
    <x v="0"/>
    <x v="3"/>
    <x v="15"/>
  </r>
  <r>
    <x v="0"/>
    <x v="3"/>
    <x v="25"/>
  </r>
  <r>
    <x v="40"/>
    <x v="3"/>
    <x v="26"/>
  </r>
  <r>
    <x v="6"/>
    <x v="3"/>
    <x v="22"/>
  </r>
  <r>
    <x v="0"/>
    <x v="3"/>
    <x v="28"/>
  </r>
  <r>
    <x v="0"/>
    <x v="3"/>
    <x v="3"/>
  </r>
  <r>
    <x v="0"/>
    <x v="3"/>
    <x v="28"/>
  </r>
  <r>
    <x v="0"/>
    <x v="3"/>
    <x v="15"/>
  </r>
  <r>
    <x v="0"/>
    <x v="3"/>
    <x v="15"/>
  </r>
  <r>
    <x v="0"/>
    <x v="3"/>
    <x v="13"/>
  </r>
  <r>
    <x v="0"/>
    <x v="3"/>
    <x v="2"/>
  </r>
  <r>
    <x v="0"/>
    <x v="3"/>
    <x v="24"/>
  </r>
  <r>
    <x v="0"/>
    <x v="3"/>
    <x v="4"/>
  </r>
  <r>
    <x v="0"/>
    <x v="3"/>
    <x v="5"/>
  </r>
  <r>
    <x v="0"/>
    <x v="3"/>
    <x v="6"/>
  </r>
  <r>
    <x v="557"/>
    <x v="3"/>
    <x v="0"/>
  </r>
  <r>
    <x v="0"/>
    <x v="3"/>
    <x v="1"/>
  </r>
  <r>
    <x v="0"/>
    <x v="3"/>
    <x v="28"/>
  </r>
  <r>
    <x v="0"/>
    <x v="3"/>
    <x v="14"/>
  </r>
  <r>
    <x v="8"/>
    <x v="3"/>
    <x v="28"/>
  </r>
  <r>
    <x v="4"/>
    <x v="3"/>
    <x v="28"/>
  </r>
  <r>
    <x v="14"/>
    <x v="3"/>
    <x v="7"/>
  </r>
  <r>
    <x v="0"/>
    <x v="3"/>
    <x v="28"/>
  </r>
  <r>
    <x v="7"/>
    <x v="3"/>
    <x v="27"/>
  </r>
  <r>
    <x v="0"/>
    <x v="3"/>
    <x v="25"/>
  </r>
  <r>
    <x v="0"/>
    <x v="3"/>
    <x v="16"/>
  </r>
  <r>
    <x v="7"/>
    <x v="3"/>
    <x v="16"/>
  </r>
  <r>
    <x v="0"/>
    <x v="3"/>
    <x v="16"/>
  </r>
  <r>
    <x v="0"/>
    <x v="3"/>
    <x v="23"/>
  </r>
  <r>
    <x v="0"/>
    <x v="3"/>
    <x v="23"/>
  </r>
  <r>
    <x v="0"/>
    <x v="3"/>
    <x v="19"/>
  </r>
  <r>
    <x v="0"/>
    <x v="3"/>
    <x v="25"/>
  </r>
  <r>
    <x v="0"/>
    <x v="3"/>
    <x v="12"/>
  </r>
  <r>
    <x v="0"/>
    <x v="3"/>
    <x v="12"/>
  </r>
  <r>
    <x v="14"/>
    <x v="3"/>
    <x v="19"/>
  </r>
  <r>
    <x v="0"/>
    <x v="3"/>
    <x v="12"/>
  </r>
  <r>
    <x v="0"/>
    <x v="3"/>
    <x v="12"/>
  </r>
  <r>
    <x v="6"/>
    <x v="3"/>
    <x v="19"/>
  </r>
  <r>
    <x v="11"/>
    <x v="3"/>
    <x v="24"/>
  </r>
  <r>
    <x v="0"/>
    <x v="3"/>
    <x v="11"/>
  </r>
  <r>
    <x v="7"/>
    <x v="3"/>
    <x v="11"/>
  </r>
  <r>
    <x v="0"/>
    <x v="3"/>
    <x v="28"/>
  </r>
  <r>
    <x v="88"/>
    <x v="3"/>
    <x v="28"/>
  </r>
  <r>
    <x v="0"/>
    <x v="3"/>
    <x v="16"/>
  </r>
  <r>
    <x v="0"/>
    <x v="3"/>
    <x v="16"/>
  </r>
  <r>
    <x v="64"/>
    <x v="3"/>
    <x v="10"/>
  </r>
  <r>
    <x v="137"/>
    <x v="3"/>
    <x v="28"/>
  </r>
  <r>
    <x v="0"/>
    <x v="3"/>
    <x v="21"/>
  </r>
  <r>
    <x v="0"/>
    <x v="3"/>
    <x v="18"/>
  </r>
  <r>
    <x v="0"/>
    <x v="3"/>
    <x v="18"/>
  </r>
  <r>
    <x v="0"/>
    <x v="3"/>
    <x v="18"/>
  </r>
  <r>
    <x v="0"/>
    <x v="3"/>
    <x v="18"/>
  </r>
  <r>
    <x v="0"/>
    <x v="3"/>
    <x v="18"/>
  </r>
  <r>
    <x v="15"/>
    <x v="3"/>
    <x v="17"/>
  </r>
  <r>
    <x v="0"/>
    <x v="3"/>
    <x v="17"/>
  </r>
  <r>
    <x v="467"/>
    <x v="3"/>
    <x v="8"/>
  </r>
  <r>
    <x v="496"/>
    <x v="3"/>
    <x v="8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0"/>
  </r>
  <r>
    <x v="0"/>
    <x v="3"/>
    <x v="20"/>
  </r>
  <r>
    <x v="0"/>
    <x v="3"/>
    <x v="20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0"/>
    <x v="3"/>
    <x v="9"/>
  </r>
  <r>
    <x v="23"/>
    <x v="3"/>
    <x v="9"/>
  </r>
  <r>
    <x v="14"/>
    <x v="3"/>
    <x v="9"/>
  </r>
  <r>
    <x v="0"/>
    <x v="3"/>
    <x v="9"/>
  </r>
  <r>
    <x v="0"/>
    <x v="3"/>
    <x v="13"/>
  </r>
  <r>
    <x v="10"/>
    <x v="3"/>
    <x v="15"/>
  </r>
  <r>
    <x v="0"/>
    <x v="3"/>
    <x v="15"/>
  </r>
  <r>
    <x v="0"/>
    <x v="3"/>
    <x v="15"/>
  </r>
  <r>
    <x v="0"/>
    <x v="3"/>
    <x v="25"/>
  </r>
  <r>
    <x v="165"/>
    <x v="3"/>
    <x v="26"/>
  </r>
  <r>
    <x v="0"/>
    <x v="3"/>
    <x v="22"/>
  </r>
  <r>
    <x v="0"/>
    <x v="3"/>
    <x v="28"/>
  </r>
  <r>
    <x v="8"/>
    <x v="3"/>
    <x v="3"/>
  </r>
  <r>
    <x v="6"/>
    <x v="3"/>
    <x v="28"/>
  </r>
  <r>
    <x v="0"/>
    <x v="3"/>
    <x v="15"/>
  </r>
  <r>
    <x v="0"/>
    <x v="3"/>
    <x v="15"/>
  </r>
  <r>
    <x v="0"/>
    <x v="3"/>
    <x v="13"/>
  </r>
  <r>
    <x v="0"/>
    <x v="3"/>
    <x v="2"/>
  </r>
  <r>
    <x v="0"/>
    <x v="3"/>
    <x v="24"/>
  </r>
  <r>
    <x v="0"/>
    <x v="3"/>
    <x v="4"/>
  </r>
  <r>
    <x v="0"/>
    <x v="3"/>
    <x v="5"/>
  </r>
  <r>
    <x v="0"/>
    <x v="3"/>
    <x v="6"/>
  </r>
  <r>
    <x v="549"/>
    <x v="0"/>
    <x v="0"/>
  </r>
  <r>
    <x v="0"/>
    <x v="0"/>
    <x v="1"/>
  </r>
  <r>
    <x v="0"/>
    <x v="0"/>
    <x v="28"/>
  </r>
  <r>
    <x v="0"/>
    <x v="0"/>
    <x v="14"/>
  </r>
  <r>
    <x v="0"/>
    <x v="0"/>
    <x v="28"/>
  </r>
  <r>
    <x v="0"/>
    <x v="0"/>
    <x v="28"/>
  </r>
  <r>
    <x v="6"/>
    <x v="0"/>
    <x v="7"/>
  </r>
  <r>
    <x v="0"/>
    <x v="0"/>
    <x v="28"/>
  </r>
  <r>
    <x v="0"/>
    <x v="0"/>
    <x v="27"/>
  </r>
  <r>
    <x v="5"/>
    <x v="0"/>
    <x v="25"/>
  </r>
  <r>
    <x v="0"/>
    <x v="0"/>
    <x v="16"/>
  </r>
  <r>
    <x v="0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0"/>
    <x v="0"/>
    <x v="12"/>
  </r>
  <r>
    <x v="0"/>
    <x v="0"/>
    <x v="12"/>
  </r>
  <r>
    <x v="0"/>
    <x v="0"/>
    <x v="19"/>
  </r>
  <r>
    <x v="0"/>
    <x v="0"/>
    <x v="12"/>
  </r>
  <r>
    <x v="0"/>
    <x v="0"/>
    <x v="12"/>
  </r>
  <r>
    <x v="0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5"/>
    <x v="0"/>
    <x v="16"/>
  </r>
  <r>
    <x v="0"/>
    <x v="0"/>
    <x v="10"/>
  </r>
  <r>
    <x v="0"/>
    <x v="0"/>
    <x v="28"/>
  </r>
  <r>
    <x v="0"/>
    <x v="0"/>
    <x v="21"/>
  </r>
  <r>
    <x v="7"/>
    <x v="0"/>
    <x v="18"/>
  </r>
  <r>
    <x v="0"/>
    <x v="0"/>
    <x v="18"/>
  </r>
  <r>
    <x v="0"/>
    <x v="0"/>
    <x v="18"/>
  </r>
  <r>
    <x v="0"/>
    <x v="0"/>
    <x v="18"/>
  </r>
  <r>
    <x v="0"/>
    <x v="0"/>
    <x v="18"/>
  </r>
  <r>
    <x v="0"/>
    <x v="0"/>
    <x v="17"/>
  </r>
  <r>
    <x v="0"/>
    <x v="0"/>
    <x v="17"/>
  </r>
  <r>
    <x v="5"/>
    <x v="0"/>
    <x v="8"/>
  </r>
  <r>
    <x v="0"/>
    <x v="0"/>
    <x v="8"/>
  </r>
  <r>
    <x v="446"/>
    <x v="0"/>
    <x v="2"/>
  </r>
  <r>
    <x v="139"/>
    <x v="0"/>
    <x v="2"/>
  </r>
  <r>
    <x v="198"/>
    <x v="0"/>
    <x v="2"/>
  </r>
  <r>
    <x v="139"/>
    <x v="0"/>
    <x v="2"/>
  </r>
  <r>
    <x v="221"/>
    <x v="0"/>
    <x v="2"/>
  </r>
  <r>
    <x v="201"/>
    <x v="0"/>
    <x v="2"/>
  </r>
  <r>
    <x v="488"/>
    <x v="0"/>
    <x v="2"/>
  </r>
  <r>
    <x v="0"/>
    <x v="0"/>
    <x v="20"/>
  </r>
  <r>
    <x v="14"/>
    <x v="0"/>
    <x v="20"/>
  </r>
  <r>
    <x v="0"/>
    <x v="0"/>
    <x v="20"/>
  </r>
  <r>
    <x v="0"/>
    <x v="0"/>
    <x v="9"/>
  </r>
  <r>
    <x v="9"/>
    <x v="0"/>
    <x v="9"/>
  </r>
  <r>
    <x v="0"/>
    <x v="0"/>
    <x v="9"/>
  </r>
  <r>
    <x v="0"/>
    <x v="0"/>
    <x v="9"/>
  </r>
  <r>
    <x v="17"/>
    <x v="0"/>
    <x v="9"/>
  </r>
  <r>
    <x v="0"/>
    <x v="0"/>
    <x v="9"/>
  </r>
  <r>
    <x v="0"/>
    <x v="0"/>
    <x v="9"/>
  </r>
  <r>
    <x v="20"/>
    <x v="0"/>
    <x v="9"/>
  </r>
  <r>
    <x v="7"/>
    <x v="0"/>
    <x v="9"/>
  </r>
  <r>
    <x v="32"/>
    <x v="0"/>
    <x v="9"/>
  </r>
  <r>
    <x v="13"/>
    <x v="0"/>
    <x v="9"/>
  </r>
  <r>
    <x v="161"/>
    <x v="0"/>
    <x v="9"/>
  </r>
  <r>
    <x v="74"/>
    <x v="0"/>
    <x v="9"/>
  </r>
  <r>
    <x v="90"/>
    <x v="0"/>
    <x v="9"/>
  </r>
  <r>
    <x v="7"/>
    <x v="0"/>
    <x v="13"/>
  </r>
  <r>
    <x v="10"/>
    <x v="0"/>
    <x v="15"/>
  </r>
  <r>
    <x v="95"/>
    <x v="0"/>
    <x v="15"/>
  </r>
  <r>
    <x v="0"/>
    <x v="0"/>
    <x v="15"/>
  </r>
  <r>
    <x v="23"/>
    <x v="0"/>
    <x v="15"/>
  </r>
  <r>
    <x v="0"/>
    <x v="0"/>
    <x v="25"/>
  </r>
  <r>
    <x v="0"/>
    <x v="0"/>
    <x v="26"/>
  </r>
  <r>
    <x v="0"/>
    <x v="0"/>
    <x v="22"/>
  </r>
  <r>
    <x v="8"/>
    <x v="0"/>
    <x v="28"/>
  </r>
  <r>
    <x v="0"/>
    <x v="0"/>
    <x v="3"/>
  </r>
  <r>
    <x v="15"/>
    <x v="0"/>
    <x v="28"/>
  </r>
  <r>
    <x v="37"/>
    <x v="0"/>
    <x v="15"/>
  </r>
  <r>
    <x v="0"/>
    <x v="0"/>
    <x v="15"/>
  </r>
  <r>
    <x v="0"/>
    <x v="0"/>
    <x v="13"/>
  </r>
  <r>
    <x v="268"/>
    <x v="0"/>
    <x v="2"/>
  </r>
  <r>
    <x v="0"/>
    <x v="0"/>
    <x v="24"/>
  </r>
  <r>
    <x v="0"/>
    <x v="0"/>
    <x v="4"/>
  </r>
  <r>
    <x v="0"/>
    <x v="0"/>
    <x v="5"/>
  </r>
  <r>
    <x v="0"/>
    <x v="0"/>
    <x v="6"/>
  </r>
  <r>
    <x v="481"/>
    <x v="0"/>
    <x v="0"/>
  </r>
  <r>
    <x v="0"/>
    <x v="0"/>
    <x v="1"/>
  </r>
  <r>
    <x v="0"/>
    <x v="0"/>
    <x v="28"/>
  </r>
  <r>
    <x v="13"/>
    <x v="0"/>
    <x v="14"/>
  </r>
  <r>
    <x v="0"/>
    <x v="0"/>
    <x v="28"/>
  </r>
  <r>
    <x v="0"/>
    <x v="0"/>
    <x v="28"/>
  </r>
  <r>
    <x v="0"/>
    <x v="0"/>
    <x v="7"/>
  </r>
  <r>
    <x v="0"/>
    <x v="0"/>
    <x v="28"/>
  </r>
  <r>
    <x v="0"/>
    <x v="0"/>
    <x v="27"/>
  </r>
  <r>
    <x v="0"/>
    <x v="0"/>
    <x v="25"/>
  </r>
  <r>
    <x v="8"/>
    <x v="0"/>
    <x v="16"/>
  </r>
  <r>
    <x v="0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0"/>
    <x v="0"/>
    <x v="12"/>
  </r>
  <r>
    <x v="10"/>
    <x v="0"/>
    <x v="12"/>
  </r>
  <r>
    <x v="7"/>
    <x v="0"/>
    <x v="19"/>
  </r>
  <r>
    <x v="0"/>
    <x v="0"/>
    <x v="12"/>
  </r>
  <r>
    <x v="0"/>
    <x v="0"/>
    <x v="12"/>
  </r>
  <r>
    <x v="0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0"/>
    <x v="0"/>
    <x v="16"/>
  </r>
  <r>
    <x v="0"/>
    <x v="0"/>
    <x v="10"/>
  </r>
  <r>
    <x v="0"/>
    <x v="0"/>
    <x v="28"/>
  </r>
  <r>
    <x v="0"/>
    <x v="0"/>
    <x v="21"/>
  </r>
  <r>
    <x v="6"/>
    <x v="0"/>
    <x v="18"/>
  </r>
  <r>
    <x v="49"/>
    <x v="0"/>
    <x v="18"/>
  </r>
  <r>
    <x v="30"/>
    <x v="0"/>
    <x v="18"/>
  </r>
  <r>
    <x v="0"/>
    <x v="0"/>
    <x v="18"/>
  </r>
  <r>
    <x v="84"/>
    <x v="0"/>
    <x v="18"/>
  </r>
  <r>
    <x v="0"/>
    <x v="0"/>
    <x v="17"/>
  </r>
  <r>
    <x v="0"/>
    <x v="0"/>
    <x v="17"/>
  </r>
  <r>
    <x v="0"/>
    <x v="0"/>
    <x v="8"/>
  </r>
  <r>
    <x v="0"/>
    <x v="0"/>
    <x v="8"/>
  </r>
  <r>
    <x v="200"/>
    <x v="0"/>
    <x v="2"/>
  </r>
  <r>
    <x v="405"/>
    <x v="0"/>
    <x v="2"/>
  </r>
  <r>
    <x v="260"/>
    <x v="0"/>
    <x v="2"/>
  </r>
  <r>
    <x v="293"/>
    <x v="0"/>
    <x v="2"/>
  </r>
  <r>
    <x v="53"/>
    <x v="0"/>
    <x v="2"/>
  </r>
  <r>
    <x v="17"/>
    <x v="0"/>
    <x v="2"/>
  </r>
  <r>
    <x v="394"/>
    <x v="0"/>
    <x v="2"/>
  </r>
  <r>
    <x v="0"/>
    <x v="0"/>
    <x v="20"/>
  </r>
  <r>
    <x v="0"/>
    <x v="0"/>
    <x v="20"/>
  </r>
  <r>
    <x v="0"/>
    <x v="0"/>
    <x v="20"/>
  </r>
  <r>
    <x v="0"/>
    <x v="0"/>
    <x v="9"/>
  </r>
  <r>
    <x v="0"/>
    <x v="0"/>
    <x v="9"/>
  </r>
  <r>
    <x v="0"/>
    <x v="0"/>
    <x v="9"/>
  </r>
  <r>
    <x v="34"/>
    <x v="0"/>
    <x v="9"/>
  </r>
  <r>
    <x v="0"/>
    <x v="0"/>
    <x v="9"/>
  </r>
  <r>
    <x v="0"/>
    <x v="0"/>
    <x v="9"/>
  </r>
  <r>
    <x v="9"/>
    <x v="0"/>
    <x v="9"/>
  </r>
  <r>
    <x v="0"/>
    <x v="0"/>
    <x v="9"/>
  </r>
  <r>
    <x v="11"/>
    <x v="0"/>
    <x v="9"/>
  </r>
  <r>
    <x v="0"/>
    <x v="0"/>
    <x v="9"/>
  </r>
  <r>
    <x v="0"/>
    <x v="0"/>
    <x v="9"/>
  </r>
  <r>
    <x v="31"/>
    <x v="0"/>
    <x v="9"/>
  </r>
  <r>
    <x v="140"/>
    <x v="0"/>
    <x v="9"/>
  </r>
  <r>
    <x v="109"/>
    <x v="0"/>
    <x v="9"/>
  </r>
  <r>
    <x v="39"/>
    <x v="0"/>
    <x v="9"/>
  </r>
  <r>
    <x v="0"/>
    <x v="0"/>
    <x v="13"/>
  </r>
  <r>
    <x v="0"/>
    <x v="0"/>
    <x v="15"/>
  </r>
  <r>
    <x v="25"/>
    <x v="0"/>
    <x v="15"/>
  </r>
  <r>
    <x v="8"/>
    <x v="0"/>
    <x v="15"/>
  </r>
  <r>
    <x v="37"/>
    <x v="0"/>
    <x v="15"/>
  </r>
  <r>
    <x v="0"/>
    <x v="0"/>
    <x v="25"/>
  </r>
  <r>
    <x v="0"/>
    <x v="0"/>
    <x v="26"/>
  </r>
  <r>
    <x v="0"/>
    <x v="0"/>
    <x v="22"/>
  </r>
  <r>
    <x v="0"/>
    <x v="0"/>
    <x v="28"/>
  </r>
  <r>
    <x v="0"/>
    <x v="0"/>
    <x v="3"/>
  </r>
  <r>
    <x v="0"/>
    <x v="0"/>
    <x v="28"/>
  </r>
  <r>
    <x v="0"/>
    <x v="0"/>
    <x v="15"/>
  </r>
  <r>
    <x v="0"/>
    <x v="0"/>
    <x v="15"/>
  </r>
  <r>
    <x v="0"/>
    <x v="0"/>
    <x v="13"/>
  </r>
  <r>
    <x v="91"/>
    <x v="0"/>
    <x v="2"/>
  </r>
  <r>
    <x v="0"/>
    <x v="0"/>
    <x v="24"/>
  </r>
  <r>
    <x v="0"/>
    <x v="0"/>
    <x v="4"/>
  </r>
  <r>
    <x v="0"/>
    <x v="0"/>
    <x v="5"/>
  </r>
  <r>
    <x v="8"/>
    <x v="0"/>
    <x v="6"/>
  </r>
  <r>
    <x v="480"/>
    <x v="0"/>
    <x v="0"/>
  </r>
  <r>
    <x v="0"/>
    <x v="0"/>
    <x v="1"/>
  </r>
  <r>
    <x v="0"/>
    <x v="0"/>
    <x v="28"/>
  </r>
  <r>
    <x v="0"/>
    <x v="0"/>
    <x v="14"/>
  </r>
  <r>
    <x v="0"/>
    <x v="0"/>
    <x v="28"/>
  </r>
  <r>
    <x v="0"/>
    <x v="0"/>
    <x v="28"/>
  </r>
  <r>
    <x v="0"/>
    <x v="0"/>
    <x v="7"/>
  </r>
  <r>
    <x v="0"/>
    <x v="0"/>
    <x v="28"/>
  </r>
  <r>
    <x v="0"/>
    <x v="0"/>
    <x v="27"/>
  </r>
  <r>
    <x v="0"/>
    <x v="0"/>
    <x v="25"/>
  </r>
  <r>
    <x v="0"/>
    <x v="0"/>
    <x v="16"/>
  </r>
  <r>
    <x v="13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0"/>
    <x v="0"/>
    <x v="12"/>
  </r>
  <r>
    <x v="0"/>
    <x v="0"/>
    <x v="12"/>
  </r>
  <r>
    <x v="0"/>
    <x v="0"/>
    <x v="19"/>
  </r>
  <r>
    <x v="0"/>
    <x v="0"/>
    <x v="12"/>
  </r>
  <r>
    <x v="0"/>
    <x v="0"/>
    <x v="12"/>
  </r>
  <r>
    <x v="0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0"/>
    <x v="0"/>
    <x v="16"/>
  </r>
  <r>
    <x v="0"/>
    <x v="0"/>
    <x v="10"/>
  </r>
  <r>
    <x v="0"/>
    <x v="0"/>
    <x v="28"/>
  </r>
  <r>
    <x v="0"/>
    <x v="0"/>
    <x v="21"/>
  </r>
  <r>
    <x v="16"/>
    <x v="0"/>
    <x v="18"/>
  </r>
  <r>
    <x v="0"/>
    <x v="0"/>
    <x v="18"/>
  </r>
  <r>
    <x v="0"/>
    <x v="0"/>
    <x v="18"/>
  </r>
  <r>
    <x v="0"/>
    <x v="0"/>
    <x v="18"/>
  </r>
  <r>
    <x v="21"/>
    <x v="0"/>
    <x v="18"/>
  </r>
  <r>
    <x v="0"/>
    <x v="0"/>
    <x v="17"/>
  </r>
  <r>
    <x v="0"/>
    <x v="0"/>
    <x v="17"/>
  </r>
  <r>
    <x v="0"/>
    <x v="0"/>
    <x v="8"/>
  </r>
  <r>
    <x v="0"/>
    <x v="0"/>
    <x v="8"/>
  </r>
  <r>
    <x v="245"/>
    <x v="0"/>
    <x v="2"/>
  </r>
  <r>
    <x v="96"/>
    <x v="0"/>
    <x v="2"/>
  </r>
  <r>
    <x v="314"/>
    <x v="0"/>
    <x v="2"/>
  </r>
  <r>
    <x v="235"/>
    <x v="0"/>
    <x v="2"/>
  </r>
  <r>
    <x v="64"/>
    <x v="0"/>
    <x v="2"/>
  </r>
  <r>
    <x v="38"/>
    <x v="0"/>
    <x v="2"/>
  </r>
  <r>
    <x v="401"/>
    <x v="0"/>
    <x v="2"/>
  </r>
  <r>
    <x v="0"/>
    <x v="0"/>
    <x v="20"/>
  </r>
  <r>
    <x v="0"/>
    <x v="0"/>
    <x v="20"/>
  </r>
  <r>
    <x v="0"/>
    <x v="0"/>
    <x v="20"/>
  </r>
  <r>
    <x v="0"/>
    <x v="0"/>
    <x v="9"/>
  </r>
  <r>
    <x v="0"/>
    <x v="0"/>
    <x v="9"/>
  </r>
  <r>
    <x v="11"/>
    <x v="0"/>
    <x v="9"/>
  </r>
  <r>
    <x v="0"/>
    <x v="0"/>
    <x v="9"/>
  </r>
  <r>
    <x v="0"/>
    <x v="0"/>
    <x v="9"/>
  </r>
  <r>
    <x v="0"/>
    <x v="0"/>
    <x v="9"/>
  </r>
  <r>
    <x v="0"/>
    <x v="0"/>
    <x v="9"/>
  </r>
  <r>
    <x v="0"/>
    <x v="0"/>
    <x v="9"/>
  </r>
  <r>
    <x v="17"/>
    <x v="0"/>
    <x v="9"/>
  </r>
  <r>
    <x v="0"/>
    <x v="0"/>
    <x v="9"/>
  </r>
  <r>
    <x v="0"/>
    <x v="0"/>
    <x v="9"/>
  </r>
  <r>
    <x v="0"/>
    <x v="0"/>
    <x v="9"/>
  </r>
  <r>
    <x v="157"/>
    <x v="0"/>
    <x v="9"/>
  </r>
  <r>
    <x v="101"/>
    <x v="0"/>
    <x v="9"/>
  </r>
  <r>
    <x v="108"/>
    <x v="0"/>
    <x v="9"/>
  </r>
  <r>
    <x v="0"/>
    <x v="0"/>
    <x v="13"/>
  </r>
  <r>
    <x v="0"/>
    <x v="0"/>
    <x v="15"/>
  </r>
  <r>
    <x v="14"/>
    <x v="0"/>
    <x v="15"/>
  </r>
  <r>
    <x v="0"/>
    <x v="0"/>
    <x v="15"/>
  </r>
  <r>
    <x v="38"/>
    <x v="0"/>
    <x v="15"/>
  </r>
  <r>
    <x v="0"/>
    <x v="0"/>
    <x v="25"/>
  </r>
  <r>
    <x v="0"/>
    <x v="0"/>
    <x v="26"/>
  </r>
  <r>
    <x v="0"/>
    <x v="0"/>
    <x v="22"/>
  </r>
  <r>
    <x v="0"/>
    <x v="0"/>
    <x v="28"/>
  </r>
  <r>
    <x v="0"/>
    <x v="0"/>
    <x v="3"/>
  </r>
  <r>
    <x v="8"/>
    <x v="0"/>
    <x v="28"/>
  </r>
  <r>
    <x v="8"/>
    <x v="0"/>
    <x v="15"/>
  </r>
  <r>
    <x v="0"/>
    <x v="0"/>
    <x v="15"/>
  </r>
  <r>
    <x v="0"/>
    <x v="0"/>
    <x v="13"/>
  </r>
  <r>
    <x v="81"/>
    <x v="0"/>
    <x v="2"/>
  </r>
  <r>
    <x v="0"/>
    <x v="0"/>
    <x v="24"/>
  </r>
  <r>
    <x v="0"/>
    <x v="0"/>
    <x v="4"/>
  </r>
  <r>
    <x v="0"/>
    <x v="0"/>
    <x v="5"/>
  </r>
  <r>
    <x v="0"/>
    <x v="0"/>
    <x v="6"/>
  </r>
  <r>
    <x v="466"/>
    <x v="0"/>
    <x v="0"/>
  </r>
  <r>
    <x v="6"/>
    <x v="0"/>
    <x v="1"/>
  </r>
  <r>
    <x v="0"/>
    <x v="0"/>
    <x v="28"/>
  </r>
  <r>
    <x v="5"/>
    <x v="0"/>
    <x v="14"/>
  </r>
  <r>
    <x v="0"/>
    <x v="0"/>
    <x v="28"/>
  </r>
  <r>
    <x v="0"/>
    <x v="0"/>
    <x v="28"/>
  </r>
  <r>
    <x v="0"/>
    <x v="0"/>
    <x v="7"/>
  </r>
  <r>
    <x v="6"/>
    <x v="0"/>
    <x v="28"/>
  </r>
  <r>
    <x v="0"/>
    <x v="0"/>
    <x v="27"/>
  </r>
  <r>
    <x v="0"/>
    <x v="0"/>
    <x v="25"/>
  </r>
  <r>
    <x v="0"/>
    <x v="0"/>
    <x v="16"/>
  </r>
  <r>
    <x v="13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8"/>
    <x v="0"/>
    <x v="12"/>
  </r>
  <r>
    <x v="0"/>
    <x v="0"/>
    <x v="12"/>
  </r>
  <r>
    <x v="0"/>
    <x v="0"/>
    <x v="19"/>
  </r>
  <r>
    <x v="0"/>
    <x v="0"/>
    <x v="12"/>
  </r>
  <r>
    <x v="13"/>
    <x v="0"/>
    <x v="12"/>
  </r>
  <r>
    <x v="6"/>
    <x v="0"/>
    <x v="19"/>
  </r>
  <r>
    <x v="6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0"/>
    <x v="0"/>
    <x v="16"/>
  </r>
  <r>
    <x v="0"/>
    <x v="0"/>
    <x v="10"/>
  </r>
  <r>
    <x v="0"/>
    <x v="0"/>
    <x v="28"/>
  </r>
  <r>
    <x v="0"/>
    <x v="0"/>
    <x v="21"/>
  </r>
  <r>
    <x v="40"/>
    <x v="0"/>
    <x v="18"/>
  </r>
  <r>
    <x v="17"/>
    <x v="0"/>
    <x v="18"/>
  </r>
  <r>
    <x v="0"/>
    <x v="0"/>
    <x v="18"/>
  </r>
  <r>
    <x v="0"/>
    <x v="0"/>
    <x v="18"/>
  </r>
  <r>
    <x v="37"/>
    <x v="0"/>
    <x v="18"/>
  </r>
  <r>
    <x v="0"/>
    <x v="0"/>
    <x v="17"/>
  </r>
  <r>
    <x v="0"/>
    <x v="0"/>
    <x v="17"/>
  </r>
  <r>
    <x v="0"/>
    <x v="0"/>
    <x v="8"/>
  </r>
  <r>
    <x v="0"/>
    <x v="0"/>
    <x v="8"/>
  </r>
  <r>
    <x v="231"/>
    <x v="0"/>
    <x v="2"/>
  </r>
  <r>
    <x v="240"/>
    <x v="0"/>
    <x v="2"/>
  </r>
  <r>
    <x v="289"/>
    <x v="0"/>
    <x v="2"/>
  </r>
  <r>
    <x v="354"/>
    <x v="0"/>
    <x v="2"/>
  </r>
  <r>
    <x v="83"/>
    <x v="0"/>
    <x v="2"/>
  </r>
  <r>
    <x v="32"/>
    <x v="0"/>
    <x v="2"/>
  </r>
  <r>
    <x v="392"/>
    <x v="0"/>
    <x v="2"/>
  </r>
  <r>
    <x v="0"/>
    <x v="0"/>
    <x v="20"/>
  </r>
  <r>
    <x v="0"/>
    <x v="0"/>
    <x v="20"/>
  </r>
  <r>
    <x v="0"/>
    <x v="0"/>
    <x v="20"/>
  </r>
  <r>
    <x v="0"/>
    <x v="0"/>
    <x v="9"/>
  </r>
  <r>
    <x v="9"/>
    <x v="0"/>
    <x v="9"/>
  </r>
  <r>
    <x v="0"/>
    <x v="0"/>
    <x v="9"/>
  </r>
  <r>
    <x v="0"/>
    <x v="0"/>
    <x v="9"/>
  </r>
  <r>
    <x v="0"/>
    <x v="0"/>
    <x v="9"/>
  </r>
  <r>
    <x v="0"/>
    <x v="0"/>
    <x v="9"/>
  </r>
  <r>
    <x v="14"/>
    <x v="0"/>
    <x v="9"/>
  </r>
  <r>
    <x v="0"/>
    <x v="0"/>
    <x v="9"/>
  </r>
  <r>
    <x v="9"/>
    <x v="0"/>
    <x v="9"/>
  </r>
  <r>
    <x v="6"/>
    <x v="0"/>
    <x v="9"/>
  </r>
  <r>
    <x v="9"/>
    <x v="0"/>
    <x v="9"/>
  </r>
  <r>
    <x v="6"/>
    <x v="0"/>
    <x v="9"/>
  </r>
  <r>
    <x v="149"/>
    <x v="0"/>
    <x v="9"/>
  </r>
  <r>
    <x v="58"/>
    <x v="0"/>
    <x v="9"/>
  </r>
  <r>
    <x v="75"/>
    <x v="0"/>
    <x v="9"/>
  </r>
  <r>
    <x v="0"/>
    <x v="0"/>
    <x v="13"/>
  </r>
  <r>
    <x v="0"/>
    <x v="0"/>
    <x v="15"/>
  </r>
  <r>
    <x v="0"/>
    <x v="0"/>
    <x v="15"/>
  </r>
  <r>
    <x v="10"/>
    <x v="0"/>
    <x v="15"/>
  </r>
  <r>
    <x v="9"/>
    <x v="0"/>
    <x v="15"/>
  </r>
  <r>
    <x v="16"/>
    <x v="0"/>
    <x v="15"/>
  </r>
  <r>
    <x v="0"/>
    <x v="0"/>
    <x v="25"/>
  </r>
  <r>
    <x v="0"/>
    <x v="0"/>
    <x v="26"/>
  </r>
  <r>
    <x v="0"/>
    <x v="0"/>
    <x v="22"/>
  </r>
  <r>
    <x v="0"/>
    <x v="0"/>
    <x v="28"/>
  </r>
  <r>
    <x v="0"/>
    <x v="0"/>
    <x v="3"/>
  </r>
  <r>
    <x v="7"/>
    <x v="0"/>
    <x v="28"/>
  </r>
  <r>
    <x v="0"/>
    <x v="0"/>
    <x v="15"/>
  </r>
  <r>
    <x v="0"/>
    <x v="0"/>
    <x v="15"/>
  </r>
  <r>
    <x v="0"/>
    <x v="0"/>
    <x v="13"/>
  </r>
  <r>
    <x v="105"/>
    <x v="0"/>
    <x v="2"/>
  </r>
  <r>
    <x v="0"/>
    <x v="0"/>
    <x v="24"/>
  </r>
  <r>
    <x v="0"/>
    <x v="0"/>
    <x v="4"/>
  </r>
  <r>
    <x v="0"/>
    <x v="0"/>
    <x v="5"/>
  </r>
  <r>
    <x v="6"/>
    <x v="0"/>
    <x v="6"/>
  </r>
  <r>
    <x v="490"/>
    <x v="0"/>
    <x v="0"/>
  </r>
  <r>
    <x v="0"/>
    <x v="0"/>
    <x v="1"/>
  </r>
  <r>
    <x v="0"/>
    <x v="0"/>
    <x v="28"/>
  </r>
  <r>
    <x v="0"/>
    <x v="0"/>
    <x v="14"/>
  </r>
  <r>
    <x v="0"/>
    <x v="0"/>
    <x v="28"/>
  </r>
  <r>
    <x v="0"/>
    <x v="0"/>
    <x v="28"/>
  </r>
  <r>
    <x v="0"/>
    <x v="0"/>
    <x v="7"/>
  </r>
  <r>
    <x v="0"/>
    <x v="0"/>
    <x v="28"/>
  </r>
  <r>
    <x v="0"/>
    <x v="0"/>
    <x v="27"/>
  </r>
  <r>
    <x v="0"/>
    <x v="0"/>
    <x v="25"/>
  </r>
  <r>
    <x v="0"/>
    <x v="0"/>
    <x v="16"/>
  </r>
  <r>
    <x v="0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0"/>
    <x v="0"/>
    <x v="12"/>
  </r>
  <r>
    <x v="0"/>
    <x v="0"/>
    <x v="12"/>
  </r>
  <r>
    <x v="0"/>
    <x v="0"/>
    <x v="19"/>
  </r>
  <r>
    <x v="0"/>
    <x v="0"/>
    <x v="12"/>
  </r>
  <r>
    <x v="0"/>
    <x v="0"/>
    <x v="12"/>
  </r>
  <r>
    <x v="0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0"/>
    <x v="0"/>
    <x v="16"/>
  </r>
  <r>
    <x v="0"/>
    <x v="0"/>
    <x v="10"/>
  </r>
  <r>
    <x v="0"/>
    <x v="0"/>
    <x v="28"/>
  </r>
  <r>
    <x v="0"/>
    <x v="0"/>
    <x v="21"/>
  </r>
  <r>
    <x v="0"/>
    <x v="0"/>
    <x v="18"/>
  </r>
  <r>
    <x v="0"/>
    <x v="0"/>
    <x v="18"/>
  </r>
  <r>
    <x v="0"/>
    <x v="0"/>
    <x v="18"/>
  </r>
  <r>
    <x v="0"/>
    <x v="0"/>
    <x v="18"/>
  </r>
  <r>
    <x v="7"/>
    <x v="0"/>
    <x v="18"/>
  </r>
  <r>
    <x v="0"/>
    <x v="0"/>
    <x v="17"/>
  </r>
  <r>
    <x v="0"/>
    <x v="0"/>
    <x v="17"/>
  </r>
  <r>
    <x v="0"/>
    <x v="0"/>
    <x v="8"/>
  </r>
  <r>
    <x v="0"/>
    <x v="0"/>
    <x v="8"/>
  </r>
  <r>
    <x v="234"/>
    <x v="0"/>
    <x v="2"/>
  </r>
  <r>
    <x v="13"/>
    <x v="0"/>
    <x v="2"/>
  </r>
  <r>
    <x v="18"/>
    <x v="0"/>
    <x v="2"/>
  </r>
  <r>
    <x v="27"/>
    <x v="0"/>
    <x v="2"/>
  </r>
  <r>
    <x v="320"/>
    <x v="0"/>
    <x v="2"/>
  </r>
  <r>
    <x v="236"/>
    <x v="0"/>
    <x v="2"/>
  </r>
  <r>
    <x v="406"/>
    <x v="0"/>
    <x v="2"/>
  </r>
  <r>
    <x v="0"/>
    <x v="0"/>
    <x v="20"/>
  </r>
  <r>
    <x v="0"/>
    <x v="0"/>
    <x v="20"/>
  </r>
  <r>
    <x v="0"/>
    <x v="0"/>
    <x v="20"/>
  </r>
  <r>
    <x v="7"/>
    <x v="0"/>
    <x v="9"/>
  </r>
  <r>
    <x v="5"/>
    <x v="0"/>
    <x v="9"/>
  </r>
  <r>
    <x v="7"/>
    <x v="0"/>
    <x v="9"/>
  </r>
  <r>
    <x v="18"/>
    <x v="0"/>
    <x v="9"/>
  </r>
  <r>
    <x v="0"/>
    <x v="0"/>
    <x v="9"/>
  </r>
  <r>
    <x v="13"/>
    <x v="0"/>
    <x v="9"/>
  </r>
  <r>
    <x v="20"/>
    <x v="0"/>
    <x v="9"/>
  </r>
  <r>
    <x v="0"/>
    <x v="0"/>
    <x v="9"/>
  </r>
  <r>
    <x v="52"/>
    <x v="0"/>
    <x v="9"/>
  </r>
  <r>
    <x v="12"/>
    <x v="0"/>
    <x v="9"/>
  </r>
  <r>
    <x v="17"/>
    <x v="0"/>
    <x v="9"/>
  </r>
  <r>
    <x v="16"/>
    <x v="0"/>
    <x v="9"/>
  </r>
  <r>
    <x v="252"/>
    <x v="0"/>
    <x v="9"/>
  </r>
  <r>
    <x v="154"/>
    <x v="0"/>
    <x v="9"/>
  </r>
  <r>
    <x v="227"/>
    <x v="0"/>
    <x v="9"/>
  </r>
  <r>
    <x v="6"/>
    <x v="0"/>
    <x v="13"/>
  </r>
  <r>
    <x v="0"/>
    <x v="0"/>
    <x v="15"/>
  </r>
  <r>
    <x v="26"/>
    <x v="0"/>
    <x v="15"/>
  </r>
  <r>
    <x v="0"/>
    <x v="0"/>
    <x v="15"/>
  </r>
  <r>
    <x v="9"/>
    <x v="0"/>
    <x v="15"/>
  </r>
  <r>
    <x v="30"/>
    <x v="0"/>
    <x v="15"/>
  </r>
  <r>
    <x v="0"/>
    <x v="0"/>
    <x v="25"/>
  </r>
  <r>
    <x v="0"/>
    <x v="0"/>
    <x v="26"/>
  </r>
  <r>
    <x v="0"/>
    <x v="0"/>
    <x v="22"/>
  </r>
  <r>
    <x v="0"/>
    <x v="0"/>
    <x v="28"/>
  </r>
  <r>
    <x v="0"/>
    <x v="0"/>
    <x v="3"/>
  </r>
  <r>
    <x v="0"/>
    <x v="0"/>
    <x v="28"/>
  </r>
  <r>
    <x v="0"/>
    <x v="0"/>
    <x v="15"/>
  </r>
  <r>
    <x v="0"/>
    <x v="0"/>
    <x v="15"/>
  </r>
  <r>
    <x v="0"/>
    <x v="0"/>
    <x v="13"/>
  </r>
  <r>
    <x v="212"/>
    <x v="0"/>
    <x v="2"/>
  </r>
  <r>
    <x v="0"/>
    <x v="0"/>
    <x v="24"/>
  </r>
  <r>
    <x v="0"/>
    <x v="0"/>
    <x v="4"/>
  </r>
  <r>
    <x v="0"/>
    <x v="0"/>
    <x v="5"/>
  </r>
  <r>
    <x v="0"/>
    <x v="0"/>
    <x v="6"/>
  </r>
  <r>
    <x v="508"/>
    <x v="0"/>
    <x v="0"/>
  </r>
  <r>
    <x v="0"/>
    <x v="0"/>
    <x v="1"/>
  </r>
  <r>
    <x v="0"/>
    <x v="0"/>
    <x v="28"/>
  </r>
  <r>
    <x v="0"/>
    <x v="0"/>
    <x v="14"/>
  </r>
  <r>
    <x v="0"/>
    <x v="0"/>
    <x v="28"/>
  </r>
  <r>
    <x v="0"/>
    <x v="0"/>
    <x v="28"/>
  </r>
  <r>
    <x v="0"/>
    <x v="0"/>
    <x v="7"/>
  </r>
  <r>
    <x v="0"/>
    <x v="0"/>
    <x v="28"/>
  </r>
  <r>
    <x v="0"/>
    <x v="0"/>
    <x v="27"/>
  </r>
  <r>
    <x v="0"/>
    <x v="0"/>
    <x v="25"/>
  </r>
  <r>
    <x v="0"/>
    <x v="0"/>
    <x v="16"/>
  </r>
  <r>
    <x v="0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0"/>
    <x v="0"/>
    <x v="12"/>
  </r>
  <r>
    <x v="0"/>
    <x v="0"/>
    <x v="12"/>
  </r>
  <r>
    <x v="0"/>
    <x v="0"/>
    <x v="19"/>
  </r>
  <r>
    <x v="0"/>
    <x v="0"/>
    <x v="12"/>
  </r>
  <r>
    <x v="0"/>
    <x v="0"/>
    <x v="12"/>
  </r>
  <r>
    <x v="0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0"/>
    <x v="0"/>
    <x v="16"/>
  </r>
  <r>
    <x v="0"/>
    <x v="0"/>
    <x v="10"/>
  </r>
  <r>
    <x v="7"/>
    <x v="0"/>
    <x v="28"/>
  </r>
  <r>
    <x v="6"/>
    <x v="0"/>
    <x v="21"/>
  </r>
  <r>
    <x v="0"/>
    <x v="0"/>
    <x v="18"/>
  </r>
  <r>
    <x v="0"/>
    <x v="0"/>
    <x v="18"/>
  </r>
  <r>
    <x v="0"/>
    <x v="0"/>
    <x v="18"/>
  </r>
  <r>
    <x v="0"/>
    <x v="0"/>
    <x v="18"/>
  </r>
  <r>
    <x v="6"/>
    <x v="0"/>
    <x v="18"/>
  </r>
  <r>
    <x v="0"/>
    <x v="0"/>
    <x v="17"/>
  </r>
  <r>
    <x v="0"/>
    <x v="0"/>
    <x v="17"/>
  </r>
  <r>
    <x v="0"/>
    <x v="0"/>
    <x v="8"/>
  </r>
  <r>
    <x v="0"/>
    <x v="0"/>
    <x v="8"/>
  </r>
  <r>
    <x v="271"/>
    <x v="0"/>
    <x v="2"/>
  </r>
  <r>
    <x v="17"/>
    <x v="0"/>
    <x v="2"/>
  </r>
  <r>
    <x v="58"/>
    <x v="0"/>
    <x v="2"/>
  </r>
  <r>
    <x v="38"/>
    <x v="0"/>
    <x v="2"/>
  </r>
  <r>
    <x v="214"/>
    <x v="0"/>
    <x v="2"/>
  </r>
  <r>
    <x v="349"/>
    <x v="0"/>
    <x v="2"/>
  </r>
  <r>
    <x v="403"/>
    <x v="0"/>
    <x v="2"/>
  </r>
  <r>
    <x v="0"/>
    <x v="0"/>
    <x v="20"/>
  </r>
  <r>
    <x v="0"/>
    <x v="0"/>
    <x v="20"/>
  </r>
  <r>
    <x v="0"/>
    <x v="0"/>
    <x v="20"/>
  </r>
  <r>
    <x v="0"/>
    <x v="0"/>
    <x v="9"/>
  </r>
  <r>
    <x v="14"/>
    <x v="0"/>
    <x v="9"/>
  </r>
  <r>
    <x v="7"/>
    <x v="0"/>
    <x v="9"/>
  </r>
  <r>
    <x v="0"/>
    <x v="0"/>
    <x v="9"/>
  </r>
  <r>
    <x v="0"/>
    <x v="0"/>
    <x v="9"/>
  </r>
  <r>
    <x v="7"/>
    <x v="0"/>
    <x v="9"/>
  </r>
  <r>
    <x v="0"/>
    <x v="0"/>
    <x v="9"/>
  </r>
  <r>
    <x v="7"/>
    <x v="0"/>
    <x v="9"/>
  </r>
  <r>
    <x v="31"/>
    <x v="0"/>
    <x v="9"/>
  </r>
  <r>
    <x v="11"/>
    <x v="0"/>
    <x v="9"/>
  </r>
  <r>
    <x v="9"/>
    <x v="0"/>
    <x v="9"/>
  </r>
  <r>
    <x v="8"/>
    <x v="0"/>
    <x v="9"/>
  </r>
  <r>
    <x v="233"/>
    <x v="0"/>
    <x v="9"/>
  </r>
  <r>
    <x v="180"/>
    <x v="0"/>
    <x v="9"/>
  </r>
  <r>
    <x v="207"/>
    <x v="0"/>
    <x v="9"/>
  </r>
  <r>
    <x v="0"/>
    <x v="0"/>
    <x v="13"/>
  </r>
  <r>
    <x v="0"/>
    <x v="0"/>
    <x v="15"/>
  </r>
  <r>
    <x v="14"/>
    <x v="0"/>
    <x v="15"/>
  </r>
  <r>
    <x v="12"/>
    <x v="0"/>
    <x v="15"/>
  </r>
  <r>
    <x v="7"/>
    <x v="0"/>
    <x v="15"/>
  </r>
  <r>
    <x v="61"/>
    <x v="0"/>
    <x v="15"/>
  </r>
  <r>
    <x v="0"/>
    <x v="0"/>
    <x v="25"/>
  </r>
  <r>
    <x v="0"/>
    <x v="0"/>
    <x v="26"/>
  </r>
  <r>
    <x v="0"/>
    <x v="0"/>
    <x v="22"/>
  </r>
  <r>
    <x v="0"/>
    <x v="0"/>
    <x v="28"/>
  </r>
  <r>
    <x v="0"/>
    <x v="0"/>
    <x v="3"/>
  </r>
  <r>
    <x v="0"/>
    <x v="0"/>
    <x v="28"/>
  </r>
  <r>
    <x v="0"/>
    <x v="0"/>
    <x v="15"/>
  </r>
  <r>
    <x v="0"/>
    <x v="0"/>
    <x v="15"/>
  </r>
  <r>
    <x v="0"/>
    <x v="0"/>
    <x v="13"/>
  </r>
  <r>
    <x v="257"/>
    <x v="0"/>
    <x v="2"/>
  </r>
  <r>
    <x v="0"/>
    <x v="0"/>
    <x v="24"/>
  </r>
  <r>
    <x v="0"/>
    <x v="0"/>
    <x v="4"/>
  </r>
  <r>
    <x v="0"/>
    <x v="0"/>
    <x v="5"/>
  </r>
  <r>
    <x v="11"/>
    <x v="0"/>
    <x v="6"/>
  </r>
  <r>
    <x v="586"/>
    <x v="0"/>
    <x v="0"/>
  </r>
  <r>
    <x v="18"/>
    <x v="0"/>
    <x v="1"/>
  </r>
  <r>
    <x v="8"/>
    <x v="0"/>
    <x v="28"/>
  </r>
  <r>
    <x v="10"/>
    <x v="0"/>
    <x v="14"/>
  </r>
  <r>
    <x v="14"/>
    <x v="0"/>
    <x v="28"/>
  </r>
  <r>
    <x v="5"/>
    <x v="0"/>
    <x v="28"/>
  </r>
  <r>
    <x v="0"/>
    <x v="0"/>
    <x v="7"/>
  </r>
  <r>
    <x v="0"/>
    <x v="0"/>
    <x v="28"/>
  </r>
  <r>
    <x v="0"/>
    <x v="0"/>
    <x v="27"/>
  </r>
  <r>
    <x v="17"/>
    <x v="0"/>
    <x v="25"/>
  </r>
  <r>
    <x v="17"/>
    <x v="0"/>
    <x v="16"/>
  </r>
  <r>
    <x v="14"/>
    <x v="0"/>
    <x v="16"/>
  </r>
  <r>
    <x v="6"/>
    <x v="0"/>
    <x v="16"/>
  </r>
  <r>
    <x v="0"/>
    <x v="0"/>
    <x v="23"/>
  </r>
  <r>
    <x v="6"/>
    <x v="0"/>
    <x v="23"/>
  </r>
  <r>
    <x v="0"/>
    <x v="0"/>
    <x v="19"/>
  </r>
  <r>
    <x v="0"/>
    <x v="0"/>
    <x v="25"/>
  </r>
  <r>
    <x v="0"/>
    <x v="0"/>
    <x v="12"/>
  </r>
  <r>
    <x v="5"/>
    <x v="0"/>
    <x v="12"/>
  </r>
  <r>
    <x v="30"/>
    <x v="0"/>
    <x v="19"/>
  </r>
  <r>
    <x v="10"/>
    <x v="0"/>
    <x v="12"/>
  </r>
  <r>
    <x v="8"/>
    <x v="0"/>
    <x v="12"/>
  </r>
  <r>
    <x v="5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6"/>
    <x v="0"/>
    <x v="16"/>
  </r>
  <r>
    <x v="0"/>
    <x v="0"/>
    <x v="10"/>
  </r>
  <r>
    <x v="8"/>
    <x v="0"/>
    <x v="28"/>
  </r>
  <r>
    <x v="41"/>
    <x v="0"/>
    <x v="21"/>
  </r>
  <r>
    <x v="114"/>
    <x v="0"/>
    <x v="18"/>
  </r>
  <r>
    <x v="28"/>
    <x v="0"/>
    <x v="18"/>
  </r>
  <r>
    <x v="14"/>
    <x v="0"/>
    <x v="18"/>
  </r>
  <r>
    <x v="0"/>
    <x v="0"/>
    <x v="18"/>
  </r>
  <r>
    <x v="40"/>
    <x v="0"/>
    <x v="18"/>
  </r>
  <r>
    <x v="0"/>
    <x v="0"/>
    <x v="17"/>
  </r>
  <r>
    <x v="0"/>
    <x v="0"/>
    <x v="17"/>
  </r>
  <r>
    <x v="0"/>
    <x v="0"/>
    <x v="8"/>
  </r>
  <r>
    <x v="11"/>
    <x v="0"/>
    <x v="8"/>
  </r>
  <r>
    <x v="452"/>
    <x v="0"/>
    <x v="2"/>
  </r>
  <r>
    <x v="251"/>
    <x v="0"/>
    <x v="2"/>
  </r>
  <r>
    <x v="272"/>
    <x v="0"/>
    <x v="2"/>
  </r>
  <r>
    <x v="174"/>
    <x v="0"/>
    <x v="2"/>
  </r>
  <r>
    <x v="356"/>
    <x v="0"/>
    <x v="2"/>
  </r>
  <r>
    <x v="373"/>
    <x v="0"/>
    <x v="2"/>
  </r>
  <r>
    <x v="580"/>
    <x v="0"/>
    <x v="2"/>
  </r>
  <r>
    <x v="0"/>
    <x v="0"/>
    <x v="20"/>
  </r>
  <r>
    <x v="10"/>
    <x v="0"/>
    <x v="20"/>
  </r>
  <r>
    <x v="8"/>
    <x v="0"/>
    <x v="20"/>
  </r>
  <r>
    <x v="59"/>
    <x v="0"/>
    <x v="9"/>
  </r>
  <r>
    <x v="57"/>
    <x v="0"/>
    <x v="9"/>
  </r>
  <r>
    <x v="84"/>
    <x v="0"/>
    <x v="9"/>
  </r>
  <r>
    <x v="38"/>
    <x v="0"/>
    <x v="9"/>
  </r>
  <r>
    <x v="67"/>
    <x v="0"/>
    <x v="9"/>
  </r>
  <r>
    <x v="138"/>
    <x v="0"/>
    <x v="9"/>
  </r>
  <r>
    <x v="48"/>
    <x v="0"/>
    <x v="9"/>
  </r>
  <r>
    <x v="75"/>
    <x v="0"/>
    <x v="9"/>
  </r>
  <r>
    <x v="206"/>
    <x v="0"/>
    <x v="9"/>
  </r>
  <r>
    <x v="24"/>
    <x v="0"/>
    <x v="9"/>
  </r>
  <r>
    <x v="81"/>
    <x v="0"/>
    <x v="9"/>
  </r>
  <r>
    <x v="72"/>
    <x v="0"/>
    <x v="9"/>
  </r>
  <r>
    <x v="498"/>
    <x v="0"/>
    <x v="9"/>
  </r>
  <r>
    <x v="393"/>
    <x v="0"/>
    <x v="9"/>
  </r>
  <r>
    <x v="407"/>
    <x v="0"/>
    <x v="9"/>
  </r>
  <r>
    <x v="12"/>
    <x v="0"/>
    <x v="13"/>
  </r>
  <r>
    <x v="0"/>
    <x v="0"/>
    <x v="15"/>
  </r>
  <r>
    <x v="195"/>
    <x v="0"/>
    <x v="15"/>
  </r>
  <r>
    <x v="20"/>
    <x v="0"/>
    <x v="15"/>
  </r>
  <r>
    <x v="87"/>
    <x v="0"/>
    <x v="15"/>
  </r>
  <r>
    <x v="181"/>
    <x v="0"/>
    <x v="15"/>
  </r>
  <r>
    <x v="0"/>
    <x v="0"/>
    <x v="25"/>
  </r>
  <r>
    <x v="0"/>
    <x v="0"/>
    <x v="26"/>
  </r>
  <r>
    <x v="0"/>
    <x v="0"/>
    <x v="22"/>
  </r>
  <r>
    <x v="19"/>
    <x v="0"/>
    <x v="28"/>
  </r>
  <r>
    <x v="12"/>
    <x v="0"/>
    <x v="3"/>
  </r>
  <r>
    <x v="5"/>
    <x v="0"/>
    <x v="3"/>
  </r>
  <r>
    <x v="3"/>
    <x v="0"/>
    <x v="28"/>
  </r>
  <r>
    <x v="119"/>
    <x v="0"/>
    <x v="15"/>
  </r>
  <r>
    <x v="29"/>
    <x v="0"/>
    <x v="15"/>
  </r>
  <r>
    <x v="0"/>
    <x v="0"/>
    <x v="13"/>
  </r>
  <r>
    <x v="465"/>
    <x v="0"/>
    <x v="2"/>
  </r>
  <r>
    <x v="0"/>
    <x v="0"/>
    <x v="24"/>
  </r>
  <r>
    <x v="0"/>
    <x v="0"/>
    <x v="4"/>
  </r>
  <r>
    <x v="0"/>
    <x v="0"/>
    <x v="5"/>
  </r>
  <r>
    <x v="13"/>
    <x v="0"/>
    <x v="6"/>
  </r>
  <r>
    <x v="572"/>
    <x v="15"/>
    <x v="0"/>
  </r>
  <r>
    <x v="7"/>
    <x v="15"/>
    <x v="1"/>
  </r>
  <r>
    <x v="11"/>
    <x v="15"/>
    <x v="28"/>
  </r>
  <r>
    <x v="18"/>
    <x v="15"/>
    <x v="14"/>
  </r>
  <r>
    <x v="14"/>
    <x v="15"/>
    <x v="28"/>
  </r>
  <r>
    <x v="0"/>
    <x v="15"/>
    <x v="28"/>
  </r>
  <r>
    <x v="0"/>
    <x v="15"/>
    <x v="7"/>
  </r>
  <r>
    <x v="0"/>
    <x v="15"/>
    <x v="28"/>
  </r>
  <r>
    <x v="0"/>
    <x v="15"/>
    <x v="27"/>
  </r>
  <r>
    <x v="0"/>
    <x v="15"/>
    <x v="25"/>
  </r>
  <r>
    <x v="0"/>
    <x v="15"/>
    <x v="16"/>
  </r>
  <r>
    <x v="6"/>
    <x v="15"/>
    <x v="16"/>
  </r>
  <r>
    <x v="4"/>
    <x v="15"/>
    <x v="16"/>
  </r>
  <r>
    <x v="21"/>
    <x v="15"/>
    <x v="23"/>
  </r>
  <r>
    <x v="0"/>
    <x v="15"/>
    <x v="23"/>
  </r>
  <r>
    <x v="30"/>
    <x v="15"/>
    <x v="19"/>
  </r>
  <r>
    <x v="0"/>
    <x v="15"/>
    <x v="25"/>
  </r>
  <r>
    <x v="6"/>
    <x v="15"/>
    <x v="12"/>
  </r>
  <r>
    <x v="258"/>
    <x v="15"/>
    <x v="12"/>
  </r>
  <r>
    <x v="188"/>
    <x v="15"/>
    <x v="19"/>
  </r>
  <r>
    <x v="44"/>
    <x v="15"/>
    <x v="12"/>
  </r>
  <r>
    <x v="282"/>
    <x v="15"/>
    <x v="12"/>
  </r>
  <r>
    <x v="376"/>
    <x v="15"/>
    <x v="19"/>
  </r>
  <r>
    <x v="10"/>
    <x v="15"/>
    <x v="24"/>
  </r>
  <r>
    <x v="0"/>
    <x v="15"/>
    <x v="11"/>
  </r>
  <r>
    <x v="12"/>
    <x v="15"/>
    <x v="11"/>
  </r>
  <r>
    <x v="0"/>
    <x v="15"/>
    <x v="28"/>
  </r>
  <r>
    <x v="82"/>
    <x v="15"/>
    <x v="28"/>
  </r>
  <r>
    <x v="11"/>
    <x v="15"/>
    <x v="16"/>
  </r>
  <r>
    <x v="0"/>
    <x v="15"/>
    <x v="16"/>
  </r>
  <r>
    <x v="0"/>
    <x v="15"/>
    <x v="10"/>
  </r>
  <r>
    <x v="0"/>
    <x v="15"/>
    <x v="28"/>
  </r>
  <r>
    <x v="0"/>
    <x v="15"/>
    <x v="21"/>
  </r>
  <r>
    <x v="6"/>
    <x v="15"/>
    <x v="18"/>
  </r>
  <r>
    <x v="0"/>
    <x v="15"/>
    <x v="18"/>
  </r>
  <r>
    <x v="0"/>
    <x v="15"/>
    <x v="18"/>
  </r>
  <r>
    <x v="5"/>
    <x v="15"/>
    <x v="18"/>
  </r>
  <r>
    <x v="0"/>
    <x v="15"/>
    <x v="18"/>
  </r>
  <r>
    <x v="6"/>
    <x v="15"/>
    <x v="17"/>
  </r>
  <r>
    <x v="21"/>
    <x v="15"/>
    <x v="17"/>
  </r>
  <r>
    <x v="0"/>
    <x v="15"/>
    <x v="8"/>
  </r>
  <r>
    <x v="0"/>
    <x v="15"/>
    <x v="8"/>
  </r>
  <r>
    <x v="0"/>
    <x v="15"/>
    <x v="2"/>
  </r>
  <r>
    <x v="0"/>
    <x v="15"/>
    <x v="2"/>
  </r>
  <r>
    <x v="7"/>
    <x v="15"/>
    <x v="2"/>
  </r>
  <r>
    <x v="0"/>
    <x v="15"/>
    <x v="2"/>
  </r>
  <r>
    <x v="0"/>
    <x v="15"/>
    <x v="2"/>
  </r>
  <r>
    <x v="0"/>
    <x v="15"/>
    <x v="2"/>
  </r>
  <r>
    <x v="0"/>
    <x v="15"/>
    <x v="2"/>
  </r>
  <r>
    <x v="555"/>
    <x v="15"/>
    <x v="20"/>
  </r>
  <r>
    <x v="434"/>
    <x v="15"/>
    <x v="20"/>
  </r>
  <r>
    <x v="505"/>
    <x v="15"/>
    <x v="20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35"/>
    <x v="15"/>
    <x v="9"/>
  </r>
  <r>
    <x v="6"/>
    <x v="15"/>
    <x v="9"/>
  </r>
  <r>
    <x v="6"/>
    <x v="15"/>
    <x v="9"/>
  </r>
  <r>
    <x v="0"/>
    <x v="15"/>
    <x v="9"/>
  </r>
  <r>
    <x v="10"/>
    <x v="15"/>
    <x v="13"/>
  </r>
  <r>
    <x v="0"/>
    <x v="15"/>
    <x v="15"/>
  </r>
  <r>
    <x v="0"/>
    <x v="15"/>
    <x v="15"/>
  </r>
  <r>
    <x v="0"/>
    <x v="15"/>
    <x v="15"/>
  </r>
  <r>
    <x v="0"/>
    <x v="15"/>
    <x v="15"/>
  </r>
  <r>
    <x v="0"/>
    <x v="15"/>
    <x v="15"/>
  </r>
  <r>
    <x v="0"/>
    <x v="15"/>
    <x v="25"/>
  </r>
  <r>
    <x v="0"/>
    <x v="15"/>
    <x v="26"/>
  </r>
  <r>
    <x v="156"/>
    <x v="15"/>
    <x v="22"/>
  </r>
  <r>
    <x v="0"/>
    <x v="15"/>
    <x v="28"/>
  </r>
  <r>
    <x v="5"/>
    <x v="15"/>
    <x v="3"/>
  </r>
  <r>
    <x v="10"/>
    <x v="15"/>
    <x v="3"/>
  </r>
  <r>
    <x v="10"/>
    <x v="15"/>
    <x v="28"/>
  </r>
  <r>
    <x v="0"/>
    <x v="15"/>
    <x v="15"/>
  </r>
  <r>
    <x v="0"/>
    <x v="15"/>
    <x v="15"/>
  </r>
  <r>
    <x v="0"/>
    <x v="15"/>
    <x v="13"/>
  </r>
  <r>
    <x v="0"/>
    <x v="15"/>
    <x v="2"/>
  </r>
  <r>
    <x v="0"/>
    <x v="15"/>
    <x v="24"/>
  </r>
  <r>
    <x v="0"/>
    <x v="15"/>
    <x v="4"/>
  </r>
  <r>
    <x v="0"/>
    <x v="15"/>
    <x v="5"/>
  </r>
  <r>
    <x v="14"/>
    <x v="15"/>
    <x v="6"/>
  </r>
  <r>
    <x v="448"/>
    <x v="15"/>
    <x v="0"/>
  </r>
  <r>
    <x v="0"/>
    <x v="15"/>
    <x v="1"/>
  </r>
  <r>
    <x v="0"/>
    <x v="15"/>
    <x v="28"/>
  </r>
  <r>
    <x v="0"/>
    <x v="15"/>
    <x v="14"/>
  </r>
  <r>
    <x v="0"/>
    <x v="15"/>
    <x v="28"/>
  </r>
  <r>
    <x v="0"/>
    <x v="15"/>
    <x v="28"/>
  </r>
  <r>
    <x v="0"/>
    <x v="15"/>
    <x v="7"/>
  </r>
  <r>
    <x v="0"/>
    <x v="15"/>
    <x v="28"/>
  </r>
  <r>
    <x v="0"/>
    <x v="15"/>
    <x v="27"/>
  </r>
  <r>
    <x v="0"/>
    <x v="15"/>
    <x v="25"/>
  </r>
  <r>
    <x v="9"/>
    <x v="15"/>
    <x v="16"/>
  </r>
  <r>
    <x v="0"/>
    <x v="15"/>
    <x v="16"/>
  </r>
  <r>
    <x v="0"/>
    <x v="15"/>
    <x v="16"/>
  </r>
  <r>
    <x v="0"/>
    <x v="15"/>
    <x v="23"/>
  </r>
  <r>
    <x v="0"/>
    <x v="15"/>
    <x v="23"/>
  </r>
  <r>
    <x v="0"/>
    <x v="15"/>
    <x v="19"/>
  </r>
  <r>
    <x v="0"/>
    <x v="15"/>
    <x v="25"/>
  </r>
  <r>
    <x v="7"/>
    <x v="15"/>
    <x v="12"/>
  </r>
  <r>
    <x v="126"/>
    <x v="15"/>
    <x v="12"/>
  </r>
  <r>
    <x v="62"/>
    <x v="15"/>
    <x v="19"/>
  </r>
  <r>
    <x v="9"/>
    <x v="15"/>
    <x v="12"/>
  </r>
  <r>
    <x v="130"/>
    <x v="15"/>
    <x v="12"/>
  </r>
  <r>
    <x v="206"/>
    <x v="15"/>
    <x v="19"/>
  </r>
  <r>
    <x v="0"/>
    <x v="15"/>
    <x v="24"/>
  </r>
  <r>
    <x v="0"/>
    <x v="15"/>
    <x v="11"/>
  </r>
  <r>
    <x v="0"/>
    <x v="15"/>
    <x v="11"/>
  </r>
  <r>
    <x v="0"/>
    <x v="15"/>
    <x v="28"/>
  </r>
  <r>
    <x v="0"/>
    <x v="15"/>
    <x v="28"/>
  </r>
  <r>
    <x v="0"/>
    <x v="15"/>
    <x v="16"/>
  </r>
  <r>
    <x v="0"/>
    <x v="15"/>
    <x v="16"/>
  </r>
  <r>
    <x v="0"/>
    <x v="15"/>
    <x v="10"/>
  </r>
  <r>
    <x v="0"/>
    <x v="15"/>
    <x v="28"/>
  </r>
  <r>
    <x v="0"/>
    <x v="15"/>
    <x v="21"/>
  </r>
  <r>
    <x v="0"/>
    <x v="15"/>
    <x v="18"/>
  </r>
  <r>
    <x v="0"/>
    <x v="15"/>
    <x v="18"/>
  </r>
  <r>
    <x v="0"/>
    <x v="15"/>
    <x v="18"/>
  </r>
  <r>
    <x v="0"/>
    <x v="15"/>
    <x v="18"/>
  </r>
  <r>
    <x v="0"/>
    <x v="15"/>
    <x v="18"/>
  </r>
  <r>
    <x v="0"/>
    <x v="15"/>
    <x v="17"/>
  </r>
  <r>
    <x v="0"/>
    <x v="15"/>
    <x v="17"/>
  </r>
  <r>
    <x v="0"/>
    <x v="15"/>
    <x v="8"/>
  </r>
  <r>
    <x v="0"/>
    <x v="15"/>
    <x v="8"/>
  </r>
  <r>
    <x v="0"/>
    <x v="15"/>
    <x v="2"/>
  </r>
  <r>
    <x v="0"/>
    <x v="15"/>
    <x v="2"/>
  </r>
  <r>
    <x v="0"/>
    <x v="15"/>
    <x v="2"/>
  </r>
  <r>
    <x v="0"/>
    <x v="15"/>
    <x v="2"/>
  </r>
  <r>
    <x v="0"/>
    <x v="15"/>
    <x v="2"/>
  </r>
  <r>
    <x v="0"/>
    <x v="15"/>
    <x v="2"/>
  </r>
  <r>
    <x v="0"/>
    <x v="15"/>
    <x v="2"/>
  </r>
  <r>
    <x v="410"/>
    <x v="15"/>
    <x v="20"/>
  </r>
  <r>
    <x v="397"/>
    <x v="15"/>
    <x v="20"/>
  </r>
  <r>
    <x v="281"/>
    <x v="15"/>
    <x v="20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13"/>
  </r>
  <r>
    <x v="0"/>
    <x v="15"/>
    <x v="15"/>
  </r>
  <r>
    <x v="0"/>
    <x v="15"/>
    <x v="15"/>
  </r>
  <r>
    <x v="0"/>
    <x v="15"/>
    <x v="15"/>
  </r>
  <r>
    <x v="0"/>
    <x v="15"/>
    <x v="15"/>
  </r>
  <r>
    <x v="0"/>
    <x v="15"/>
    <x v="15"/>
  </r>
  <r>
    <x v="0"/>
    <x v="15"/>
    <x v="25"/>
  </r>
  <r>
    <x v="0"/>
    <x v="15"/>
    <x v="26"/>
  </r>
  <r>
    <x v="0"/>
    <x v="15"/>
    <x v="22"/>
  </r>
  <r>
    <x v="0"/>
    <x v="15"/>
    <x v="28"/>
  </r>
  <r>
    <x v="0"/>
    <x v="15"/>
    <x v="3"/>
  </r>
  <r>
    <x v="0"/>
    <x v="15"/>
    <x v="3"/>
  </r>
  <r>
    <x v="0"/>
    <x v="15"/>
    <x v="28"/>
  </r>
  <r>
    <x v="0"/>
    <x v="15"/>
    <x v="15"/>
  </r>
  <r>
    <x v="0"/>
    <x v="15"/>
    <x v="15"/>
  </r>
  <r>
    <x v="0"/>
    <x v="15"/>
    <x v="13"/>
  </r>
  <r>
    <x v="0"/>
    <x v="15"/>
    <x v="2"/>
  </r>
  <r>
    <x v="7"/>
    <x v="15"/>
    <x v="24"/>
  </r>
  <r>
    <x v="0"/>
    <x v="15"/>
    <x v="4"/>
  </r>
  <r>
    <x v="0"/>
    <x v="15"/>
    <x v="5"/>
  </r>
  <r>
    <x v="0"/>
    <x v="15"/>
    <x v="6"/>
  </r>
  <r>
    <x v="581"/>
    <x v="15"/>
    <x v="0"/>
  </r>
  <r>
    <x v="0"/>
    <x v="15"/>
    <x v="1"/>
  </r>
  <r>
    <x v="0"/>
    <x v="15"/>
    <x v="28"/>
  </r>
  <r>
    <x v="0"/>
    <x v="15"/>
    <x v="14"/>
  </r>
  <r>
    <x v="0"/>
    <x v="15"/>
    <x v="28"/>
  </r>
  <r>
    <x v="0"/>
    <x v="15"/>
    <x v="28"/>
  </r>
  <r>
    <x v="0"/>
    <x v="15"/>
    <x v="7"/>
  </r>
  <r>
    <x v="0"/>
    <x v="15"/>
    <x v="28"/>
  </r>
  <r>
    <x v="0"/>
    <x v="15"/>
    <x v="27"/>
  </r>
  <r>
    <x v="0"/>
    <x v="15"/>
    <x v="25"/>
  </r>
  <r>
    <x v="17"/>
    <x v="15"/>
    <x v="16"/>
  </r>
  <r>
    <x v="6"/>
    <x v="15"/>
    <x v="16"/>
  </r>
  <r>
    <x v="0"/>
    <x v="15"/>
    <x v="16"/>
  </r>
  <r>
    <x v="0"/>
    <x v="15"/>
    <x v="23"/>
  </r>
  <r>
    <x v="0"/>
    <x v="15"/>
    <x v="23"/>
  </r>
  <r>
    <x v="6"/>
    <x v="15"/>
    <x v="19"/>
  </r>
  <r>
    <x v="21"/>
    <x v="15"/>
    <x v="25"/>
  </r>
  <r>
    <x v="5"/>
    <x v="15"/>
    <x v="12"/>
  </r>
  <r>
    <x v="220"/>
    <x v="15"/>
    <x v="12"/>
  </r>
  <r>
    <x v="217"/>
    <x v="15"/>
    <x v="19"/>
  </r>
  <r>
    <x v="19"/>
    <x v="15"/>
    <x v="12"/>
  </r>
  <r>
    <x v="323"/>
    <x v="15"/>
    <x v="12"/>
  </r>
  <r>
    <x v="301"/>
    <x v="15"/>
    <x v="19"/>
  </r>
  <r>
    <x v="0"/>
    <x v="15"/>
    <x v="24"/>
  </r>
  <r>
    <x v="0"/>
    <x v="15"/>
    <x v="11"/>
  </r>
  <r>
    <x v="0"/>
    <x v="15"/>
    <x v="11"/>
  </r>
  <r>
    <x v="0"/>
    <x v="15"/>
    <x v="28"/>
  </r>
  <r>
    <x v="8"/>
    <x v="15"/>
    <x v="28"/>
  </r>
  <r>
    <x v="10"/>
    <x v="15"/>
    <x v="16"/>
  </r>
  <r>
    <x v="36"/>
    <x v="15"/>
    <x v="16"/>
  </r>
  <r>
    <x v="0"/>
    <x v="15"/>
    <x v="10"/>
  </r>
  <r>
    <x v="0"/>
    <x v="15"/>
    <x v="28"/>
  </r>
  <r>
    <x v="5"/>
    <x v="15"/>
    <x v="21"/>
  </r>
  <r>
    <x v="0"/>
    <x v="15"/>
    <x v="18"/>
  </r>
  <r>
    <x v="0"/>
    <x v="15"/>
    <x v="18"/>
  </r>
  <r>
    <x v="0"/>
    <x v="15"/>
    <x v="18"/>
  </r>
  <r>
    <x v="0"/>
    <x v="15"/>
    <x v="18"/>
  </r>
  <r>
    <x v="6"/>
    <x v="15"/>
    <x v="18"/>
  </r>
  <r>
    <x v="7"/>
    <x v="15"/>
    <x v="17"/>
  </r>
  <r>
    <x v="21"/>
    <x v="15"/>
    <x v="17"/>
  </r>
  <r>
    <x v="0"/>
    <x v="15"/>
    <x v="8"/>
  </r>
  <r>
    <x v="0"/>
    <x v="15"/>
    <x v="8"/>
  </r>
  <r>
    <x v="0"/>
    <x v="15"/>
    <x v="2"/>
  </r>
  <r>
    <x v="0"/>
    <x v="15"/>
    <x v="2"/>
  </r>
  <r>
    <x v="0"/>
    <x v="15"/>
    <x v="2"/>
  </r>
  <r>
    <x v="0"/>
    <x v="15"/>
    <x v="2"/>
  </r>
  <r>
    <x v="0"/>
    <x v="15"/>
    <x v="2"/>
  </r>
  <r>
    <x v="0"/>
    <x v="15"/>
    <x v="2"/>
  </r>
  <r>
    <x v="5"/>
    <x v="15"/>
    <x v="2"/>
  </r>
  <r>
    <x v="545"/>
    <x v="15"/>
    <x v="20"/>
  </r>
  <r>
    <x v="428"/>
    <x v="15"/>
    <x v="20"/>
  </r>
  <r>
    <x v="562"/>
    <x v="15"/>
    <x v="20"/>
  </r>
  <r>
    <x v="6"/>
    <x v="15"/>
    <x v="9"/>
  </r>
  <r>
    <x v="0"/>
    <x v="15"/>
    <x v="9"/>
  </r>
  <r>
    <x v="0"/>
    <x v="15"/>
    <x v="9"/>
  </r>
  <r>
    <x v="4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0"/>
    <x v="15"/>
    <x v="9"/>
  </r>
  <r>
    <x v="18"/>
    <x v="15"/>
    <x v="9"/>
  </r>
  <r>
    <x v="0"/>
    <x v="15"/>
    <x v="9"/>
  </r>
  <r>
    <x v="0"/>
    <x v="15"/>
    <x v="13"/>
  </r>
  <r>
    <x v="0"/>
    <x v="15"/>
    <x v="15"/>
  </r>
  <r>
    <x v="0"/>
    <x v="15"/>
    <x v="15"/>
  </r>
  <r>
    <x v="0"/>
    <x v="15"/>
    <x v="15"/>
  </r>
  <r>
    <x v="0"/>
    <x v="15"/>
    <x v="15"/>
  </r>
  <r>
    <x v="0"/>
    <x v="15"/>
    <x v="15"/>
  </r>
  <r>
    <x v="10"/>
    <x v="15"/>
    <x v="25"/>
  </r>
  <r>
    <x v="0"/>
    <x v="15"/>
    <x v="26"/>
  </r>
  <r>
    <x v="159"/>
    <x v="15"/>
    <x v="22"/>
  </r>
  <r>
    <x v="0"/>
    <x v="15"/>
    <x v="28"/>
  </r>
  <r>
    <x v="0"/>
    <x v="15"/>
    <x v="3"/>
  </r>
  <r>
    <x v="0"/>
    <x v="15"/>
    <x v="3"/>
  </r>
  <r>
    <x v="0"/>
    <x v="15"/>
    <x v="28"/>
  </r>
  <r>
    <x v="0"/>
    <x v="15"/>
    <x v="15"/>
  </r>
  <r>
    <x v="0"/>
    <x v="15"/>
    <x v="15"/>
  </r>
  <r>
    <x v="0"/>
    <x v="15"/>
    <x v="13"/>
  </r>
  <r>
    <x v="0"/>
    <x v="15"/>
    <x v="2"/>
  </r>
  <r>
    <x v="43"/>
    <x v="15"/>
    <x v="24"/>
  </r>
  <r>
    <x v="0"/>
    <x v="15"/>
    <x v="4"/>
  </r>
  <r>
    <x v="0"/>
    <x v="15"/>
    <x v="5"/>
  </r>
  <r>
    <x v="0"/>
    <x v="15"/>
    <x v="6"/>
  </r>
  <r>
    <x v="475"/>
    <x v="4"/>
    <x v="0"/>
  </r>
  <r>
    <x v="0"/>
    <x v="4"/>
    <x v="1"/>
  </r>
  <r>
    <x v="8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18"/>
    <x v="4"/>
    <x v="19"/>
  </r>
  <r>
    <x v="0"/>
    <x v="4"/>
    <x v="12"/>
  </r>
  <r>
    <x v="12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8"/>
    <x v="4"/>
    <x v="16"/>
  </r>
  <r>
    <x v="0"/>
    <x v="4"/>
    <x v="16"/>
  </r>
  <r>
    <x v="0"/>
    <x v="4"/>
    <x v="10"/>
  </r>
  <r>
    <x v="12"/>
    <x v="4"/>
    <x v="28"/>
  </r>
  <r>
    <x v="0"/>
    <x v="4"/>
    <x v="21"/>
  </r>
  <r>
    <x v="4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0"/>
    <x v="4"/>
    <x v="2"/>
  </r>
  <r>
    <x v="0"/>
    <x v="4"/>
    <x v="2"/>
  </r>
  <r>
    <x v="0"/>
    <x v="4"/>
    <x v="2"/>
  </r>
  <r>
    <x v="0"/>
    <x v="4"/>
    <x v="2"/>
  </r>
  <r>
    <x v="8"/>
    <x v="4"/>
    <x v="2"/>
  </r>
  <r>
    <x v="0"/>
    <x v="4"/>
    <x v="2"/>
  </r>
  <r>
    <x v="26"/>
    <x v="4"/>
    <x v="2"/>
  </r>
  <r>
    <x v="0"/>
    <x v="4"/>
    <x v="20"/>
  </r>
  <r>
    <x v="0"/>
    <x v="4"/>
    <x v="20"/>
  </r>
  <r>
    <x v="0"/>
    <x v="4"/>
    <x v="20"/>
  </r>
  <r>
    <x v="391"/>
    <x v="4"/>
    <x v="9"/>
  </r>
  <r>
    <x v="247"/>
    <x v="4"/>
    <x v="9"/>
  </r>
  <r>
    <x v="7"/>
    <x v="4"/>
    <x v="9"/>
  </r>
  <r>
    <x v="6"/>
    <x v="4"/>
    <x v="9"/>
  </r>
  <r>
    <x v="46"/>
    <x v="4"/>
    <x v="9"/>
  </r>
  <r>
    <x v="9"/>
    <x v="4"/>
    <x v="9"/>
  </r>
  <r>
    <x v="9"/>
    <x v="4"/>
    <x v="9"/>
  </r>
  <r>
    <x v="12"/>
    <x v="4"/>
    <x v="9"/>
  </r>
  <r>
    <x v="0"/>
    <x v="4"/>
    <x v="9"/>
  </r>
  <r>
    <x v="33"/>
    <x v="4"/>
    <x v="9"/>
  </r>
  <r>
    <x v="46"/>
    <x v="4"/>
    <x v="9"/>
  </r>
  <r>
    <x v="80"/>
    <x v="4"/>
    <x v="9"/>
  </r>
  <r>
    <x v="199"/>
    <x v="4"/>
    <x v="9"/>
  </r>
  <r>
    <x v="409"/>
    <x v="4"/>
    <x v="9"/>
  </r>
  <r>
    <x v="4"/>
    <x v="4"/>
    <x v="9"/>
  </r>
  <r>
    <x v="20"/>
    <x v="4"/>
    <x v="13"/>
  </r>
  <r>
    <x v="14"/>
    <x v="4"/>
    <x v="15"/>
  </r>
  <r>
    <x v="9"/>
    <x v="4"/>
    <x v="15"/>
  </r>
  <r>
    <x v="0"/>
    <x v="4"/>
    <x v="15"/>
  </r>
  <r>
    <x v="5"/>
    <x v="4"/>
    <x v="15"/>
  </r>
  <r>
    <x v="5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6"/>
    <x v="4"/>
    <x v="13"/>
  </r>
  <r>
    <x v="13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526"/>
    <x v="4"/>
    <x v="0"/>
  </r>
  <r>
    <x v="0"/>
    <x v="4"/>
    <x v="1"/>
  </r>
  <r>
    <x v="16"/>
    <x v="4"/>
    <x v="28"/>
  </r>
  <r>
    <x v="0"/>
    <x v="4"/>
    <x v="14"/>
  </r>
  <r>
    <x v="11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7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13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7"/>
    <x v="4"/>
    <x v="17"/>
  </r>
  <r>
    <x v="0"/>
    <x v="4"/>
    <x v="8"/>
  </r>
  <r>
    <x v="0"/>
    <x v="4"/>
    <x v="8"/>
  </r>
  <r>
    <x v="0"/>
    <x v="4"/>
    <x v="2"/>
  </r>
  <r>
    <x v="0"/>
    <x v="4"/>
    <x v="2"/>
  </r>
  <r>
    <x v="0"/>
    <x v="4"/>
    <x v="2"/>
  </r>
  <r>
    <x v="0"/>
    <x v="4"/>
    <x v="2"/>
  </r>
  <r>
    <x v="0"/>
    <x v="4"/>
    <x v="2"/>
  </r>
  <r>
    <x v="10"/>
    <x v="4"/>
    <x v="2"/>
  </r>
  <r>
    <x v="51"/>
    <x v="4"/>
    <x v="2"/>
  </r>
  <r>
    <x v="0"/>
    <x v="4"/>
    <x v="20"/>
  </r>
  <r>
    <x v="0"/>
    <x v="4"/>
    <x v="20"/>
  </r>
  <r>
    <x v="0"/>
    <x v="4"/>
    <x v="20"/>
  </r>
  <r>
    <x v="255"/>
    <x v="4"/>
    <x v="9"/>
  </r>
  <r>
    <x v="412"/>
    <x v="4"/>
    <x v="9"/>
  </r>
  <r>
    <x v="6"/>
    <x v="4"/>
    <x v="9"/>
  </r>
  <r>
    <x v="11"/>
    <x v="4"/>
    <x v="9"/>
  </r>
  <r>
    <x v="5"/>
    <x v="4"/>
    <x v="9"/>
  </r>
  <r>
    <x v="19"/>
    <x v="4"/>
    <x v="9"/>
  </r>
  <r>
    <x v="42"/>
    <x v="4"/>
    <x v="9"/>
  </r>
  <r>
    <x v="36"/>
    <x v="4"/>
    <x v="9"/>
  </r>
  <r>
    <x v="42"/>
    <x v="4"/>
    <x v="9"/>
  </r>
  <r>
    <x v="9"/>
    <x v="4"/>
    <x v="9"/>
  </r>
  <r>
    <x v="100"/>
    <x v="4"/>
    <x v="9"/>
  </r>
  <r>
    <x v="168"/>
    <x v="4"/>
    <x v="9"/>
  </r>
  <r>
    <x v="303"/>
    <x v="4"/>
    <x v="9"/>
  </r>
  <r>
    <x v="422"/>
    <x v="4"/>
    <x v="9"/>
  </r>
  <r>
    <x v="47"/>
    <x v="4"/>
    <x v="9"/>
  </r>
  <r>
    <x v="12"/>
    <x v="4"/>
    <x v="13"/>
  </r>
  <r>
    <x v="0"/>
    <x v="4"/>
    <x v="15"/>
  </r>
  <r>
    <x v="0"/>
    <x v="4"/>
    <x v="15"/>
  </r>
  <r>
    <x v="0"/>
    <x v="4"/>
    <x v="15"/>
  </r>
  <r>
    <x v="0"/>
    <x v="4"/>
    <x v="15"/>
  </r>
  <r>
    <x v="0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8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491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5"/>
    <x v="4"/>
    <x v="19"/>
  </r>
  <r>
    <x v="0"/>
    <x v="4"/>
    <x v="12"/>
  </r>
  <r>
    <x v="5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1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48"/>
    <x v="4"/>
    <x v="2"/>
  </r>
  <r>
    <x v="0"/>
    <x v="4"/>
    <x v="2"/>
  </r>
  <r>
    <x v="7"/>
    <x v="4"/>
    <x v="2"/>
  </r>
  <r>
    <x v="0"/>
    <x v="4"/>
    <x v="2"/>
  </r>
  <r>
    <x v="0"/>
    <x v="4"/>
    <x v="2"/>
  </r>
  <r>
    <x v="8"/>
    <x v="4"/>
    <x v="2"/>
  </r>
  <r>
    <x v="42"/>
    <x v="4"/>
    <x v="2"/>
  </r>
  <r>
    <x v="0"/>
    <x v="4"/>
    <x v="20"/>
  </r>
  <r>
    <x v="0"/>
    <x v="4"/>
    <x v="20"/>
  </r>
  <r>
    <x v="0"/>
    <x v="4"/>
    <x v="20"/>
  </r>
  <r>
    <x v="36"/>
    <x v="4"/>
    <x v="9"/>
  </r>
  <r>
    <x v="23"/>
    <x v="4"/>
    <x v="9"/>
  </r>
  <r>
    <x v="286"/>
    <x v="4"/>
    <x v="9"/>
  </r>
  <r>
    <x v="59"/>
    <x v="4"/>
    <x v="9"/>
  </r>
  <r>
    <x v="19"/>
    <x v="4"/>
    <x v="9"/>
  </r>
  <r>
    <x v="26"/>
    <x v="4"/>
    <x v="9"/>
  </r>
  <r>
    <x v="116"/>
    <x v="4"/>
    <x v="9"/>
  </r>
  <r>
    <x v="8"/>
    <x v="4"/>
    <x v="9"/>
  </r>
  <r>
    <x v="29"/>
    <x v="4"/>
    <x v="9"/>
  </r>
  <r>
    <x v="0"/>
    <x v="4"/>
    <x v="9"/>
  </r>
  <r>
    <x v="37"/>
    <x v="4"/>
    <x v="9"/>
  </r>
  <r>
    <x v="98"/>
    <x v="4"/>
    <x v="9"/>
  </r>
  <r>
    <x v="380"/>
    <x v="4"/>
    <x v="9"/>
  </r>
  <r>
    <x v="362"/>
    <x v="4"/>
    <x v="9"/>
  </r>
  <r>
    <x v="33"/>
    <x v="4"/>
    <x v="9"/>
  </r>
  <r>
    <x v="11"/>
    <x v="4"/>
    <x v="13"/>
  </r>
  <r>
    <x v="0"/>
    <x v="4"/>
    <x v="15"/>
  </r>
  <r>
    <x v="4"/>
    <x v="4"/>
    <x v="15"/>
  </r>
  <r>
    <x v="0"/>
    <x v="4"/>
    <x v="15"/>
  </r>
  <r>
    <x v="16"/>
    <x v="4"/>
    <x v="15"/>
  </r>
  <r>
    <x v="21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40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519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6"/>
    <x v="4"/>
    <x v="2"/>
  </r>
  <r>
    <x v="5"/>
    <x v="4"/>
    <x v="2"/>
  </r>
  <r>
    <x v="0"/>
    <x v="4"/>
    <x v="2"/>
  </r>
  <r>
    <x v="0"/>
    <x v="4"/>
    <x v="2"/>
  </r>
  <r>
    <x v="0"/>
    <x v="4"/>
    <x v="2"/>
  </r>
  <r>
    <x v="8"/>
    <x v="4"/>
    <x v="2"/>
  </r>
  <r>
    <x v="50"/>
    <x v="4"/>
    <x v="2"/>
  </r>
  <r>
    <x v="0"/>
    <x v="4"/>
    <x v="20"/>
  </r>
  <r>
    <x v="0"/>
    <x v="4"/>
    <x v="20"/>
  </r>
  <r>
    <x v="0"/>
    <x v="4"/>
    <x v="20"/>
  </r>
  <r>
    <x v="27"/>
    <x v="4"/>
    <x v="9"/>
  </r>
  <r>
    <x v="38"/>
    <x v="4"/>
    <x v="9"/>
  </r>
  <r>
    <x v="50"/>
    <x v="4"/>
    <x v="9"/>
  </r>
  <r>
    <x v="265"/>
    <x v="4"/>
    <x v="9"/>
  </r>
  <r>
    <x v="37"/>
    <x v="4"/>
    <x v="9"/>
  </r>
  <r>
    <x v="26"/>
    <x v="4"/>
    <x v="9"/>
  </r>
  <r>
    <x v="30"/>
    <x v="4"/>
    <x v="9"/>
  </r>
  <r>
    <x v="0"/>
    <x v="4"/>
    <x v="9"/>
  </r>
  <r>
    <x v="8"/>
    <x v="4"/>
    <x v="9"/>
  </r>
  <r>
    <x v="21"/>
    <x v="4"/>
    <x v="9"/>
  </r>
  <r>
    <x v="0"/>
    <x v="4"/>
    <x v="9"/>
  </r>
  <r>
    <x v="18"/>
    <x v="4"/>
    <x v="9"/>
  </r>
  <r>
    <x v="330"/>
    <x v="4"/>
    <x v="9"/>
  </r>
  <r>
    <x v="383"/>
    <x v="4"/>
    <x v="9"/>
  </r>
  <r>
    <x v="18"/>
    <x v="4"/>
    <x v="9"/>
  </r>
  <r>
    <x v="0"/>
    <x v="4"/>
    <x v="13"/>
  </r>
  <r>
    <x v="0"/>
    <x v="4"/>
    <x v="15"/>
  </r>
  <r>
    <x v="6"/>
    <x v="4"/>
    <x v="15"/>
  </r>
  <r>
    <x v="0"/>
    <x v="4"/>
    <x v="15"/>
  </r>
  <r>
    <x v="5"/>
    <x v="4"/>
    <x v="15"/>
  </r>
  <r>
    <x v="25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12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517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7"/>
    <x v="4"/>
    <x v="2"/>
  </r>
  <r>
    <x v="0"/>
    <x v="4"/>
    <x v="2"/>
  </r>
  <r>
    <x v="0"/>
    <x v="4"/>
    <x v="2"/>
  </r>
  <r>
    <x v="0"/>
    <x v="4"/>
    <x v="2"/>
  </r>
  <r>
    <x v="0"/>
    <x v="4"/>
    <x v="2"/>
  </r>
  <r>
    <x v="17"/>
    <x v="4"/>
    <x v="2"/>
  </r>
  <r>
    <x v="25"/>
    <x v="4"/>
    <x v="2"/>
  </r>
  <r>
    <x v="0"/>
    <x v="4"/>
    <x v="20"/>
  </r>
  <r>
    <x v="0"/>
    <x v="4"/>
    <x v="20"/>
  </r>
  <r>
    <x v="0"/>
    <x v="4"/>
    <x v="20"/>
  </r>
  <r>
    <x v="10"/>
    <x v="4"/>
    <x v="9"/>
  </r>
  <r>
    <x v="18"/>
    <x v="4"/>
    <x v="9"/>
  </r>
  <r>
    <x v="19"/>
    <x v="4"/>
    <x v="9"/>
  </r>
  <r>
    <x v="18"/>
    <x v="4"/>
    <x v="9"/>
  </r>
  <r>
    <x v="248"/>
    <x v="4"/>
    <x v="9"/>
  </r>
  <r>
    <x v="106"/>
    <x v="4"/>
    <x v="9"/>
  </r>
  <r>
    <x v="6"/>
    <x v="4"/>
    <x v="9"/>
  </r>
  <r>
    <x v="0"/>
    <x v="4"/>
    <x v="9"/>
  </r>
  <r>
    <x v="47"/>
    <x v="4"/>
    <x v="9"/>
  </r>
  <r>
    <x v="9"/>
    <x v="4"/>
    <x v="9"/>
  </r>
  <r>
    <x v="78"/>
    <x v="4"/>
    <x v="9"/>
  </r>
  <r>
    <x v="0"/>
    <x v="4"/>
    <x v="9"/>
  </r>
  <r>
    <x v="324"/>
    <x v="4"/>
    <x v="9"/>
  </r>
  <r>
    <x v="363"/>
    <x v="4"/>
    <x v="9"/>
  </r>
  <r>
    <x v="61"/>
    <x v="4"/>
    <x v="9"/>
  </r>
  <r>
    <x v="0"/>
    <x v="4"/>
    <x v="13"/>
  </r>
  <r>
    <x v="0"/>
    <x v="4"/>
    <x v="15"/>
  </r>
  <r>
    <x v="0"/>
    <x v="4"/>
    <x v="15"/>
  </r>
  <r>
    <x v="9"/>
    <x v="4"/>
    <x v="15"/>
  </r>
  <r>
    <x v="0"/>
    <x v="4"/>
    <x v="15"/>
  </r>
  <r>
    <x v="0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0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524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6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8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36"/>
    <x v="4"/>
    <x v="2"/>
  </r>
  <r>
    <x v="6"/>
    <x v="4"/>
    <x v="2"/>
  </r>
  <r>
    <x v="11"/>
    <x v="4"/>
    <x v="2"/>
  </r>
  <r>
    <x v="0"/>
    <x v="4"/>
    <x v="2"/>
  </r>
  <r>
    <x v="0"/>
    <x v="4"/>
    <x v="2"/>
  </r>
  <r>
    <x v="49"/>
    <x v="4"/>
    <x v="2"/>
  </r>
  <r>
    <x v="104"/>
    <x v="4"/>
    <x v="2"/>
  </r>
  <r>
    <x v="0"/>
    <x v="4"/>
    <x v="20"/>
  </r>
  <r>
    <x v="0"/>
    <x v="4"/>
    <x v="20"/>
  </r>
  <r>
    <x v="0"/>
    <x v="4"/>
    <x v="20"/>
  </r>
  <r>
    <x v="9"/>
    <x v="4"/>
    <x v="9"/>
  </r>
  <r>
    <x v="24"/>
    <x v="4"/>
    <x v="9"/>
  </r>
  <r>
    <x v="7"/>
    <x v="4"/>
    <x v="9"/>
  </r>
  <r>
    <x v="67"/>
    <x v="4"/>
    <x v="9"/>
  </r>
  <r>
    <x v="146"/>
    <x v="4"/>
    <x v="9"/>
  </r>
  <r>
    <x v="283"/>
    <x v="4"/>
    <x v="9"/>
  </r>
  <r>
    <x v="14"/>
    <x v="4"/>
    <x v="9"/>
  </r>
  <r>
    <x v="29"/>
    <x v="4"/>
    <x v="9"/>
  </r>
  <r>
    <x v="95"/>
    <x v="4"/>
    <x v="9"/>
  </r>
  <r>
    <x v="7"/>
    <x v="4"/>
    <x v="9"/>
  </r>
  <r>
    <x v="72"/>
    <x v="4"/>
    <x v="9"/>
  </r>
  <r>
    <x v="30"/>
    <x v="4"/>
    <x v="9"/>
  </r>
  <r>
    <x v="389"/>
    <x v="4"/>
    <x v="9"/>
  </r>
  <r>
    <x v="336"/>
    <x v="4"/>
    <x v="9"/>
  </r>
  <r>
    <x v="120"/>
    <x v="4"/>
    <x v="9"/>
  </r>
  <r>
    <x v="0"/>
    <x v="4"/>
    <x v="13"/>
  </r>
  <r>
    <x v="0"/>
    <x v="4"/>
    <x v="15"/>
  </r>
  <r>
    <x v="0"/>
    <x v="4"/>
    <x v="15"/>
  </r>
  <r>
    <x v="0"/>
    <x v="4"/>
    <x v="15"/>
  </r>
  <r>
    <x v="7"/>
    <x v="4"/>
    <x v="15"/>
  </r>
  <r>
    <x v="0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8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493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5"/>
    <x v="4"/>
    <x v="2"/>
  </r>
  <r>
    <x v="0"/>
    <x v="4"/>
    <x v="2"/>
  </r>
  <r>
    <x v="0"/>
    <x v="4"/>
    <x v="2"/>
  </r>
  <r>
    <x v="11"/>
    <x v="4"/>
    <x v="2"/>
  </r>
  <r>
    <x v="0"/>
    <x v="4"/>
    <x v="2"/>
  </r>
  <r>
    <x v="0"/>
    <x v="4"/>
    <x v="2"/>
  </r>
  <r>
    <x v="54"/>
    <x v="4"/>
    <x v="2"/>
  </r>
  <r>
    <x v="0"/>
    <x v="4"/>
    <x v="20"/>
  </r>
  <r>
    <x v="0"/>
    <x v="4"/>
    <x v="20"/>
  </r>
  <r>
    <x v="0"/>
    <x v="4"/>
    <x v="20"/>
  </r>
  <r>
    <x v="20"/>
    <x v="4"/>
    <x v="9"/>
  </r>
  <r>
    <x v="20"/>
    <x v="4"/>
    <x v="9"/>
  </r>
  <r>
    <x v="152"/>
    <x v="4"/>
    <x v="9"/>
  </r>
  <r>
    <x v="26"/>
    <x v="4"/>
    <x v="9"/>
  </r>
  <r>
    <x v="21"/>
    <x v="4"/>
    <x v="9"/>
  </r>
  <r>
    <x v="18"/>
    <x v="4"/>
    <x v="9"/>
  </r>
  <r>
    <x v="278"/>
    <x v="4"/>
    <x v="9"/>
  </r>
  <r>
    <x v="7"/>
    <x v="4"/>
    <x v="9"/>
  </r>
  <r>
    <x v="10"/>
    <x v="4"/>
    <x v="9"/>
  </r>
  <r>
    <x v="20"/>
    <x v="4"/>
    <x v="9"/>
  </r>
  <r>
    <x v="28"/>
    <x v="4"/>
    <x v="9"/>
  </r>
  <r>
    <x v="59"/>
    <x v="4"/>
    <x v="9"/>
  </r>
  <r>
    <x v="368"/>
    <x v="4"/>
    <x v="9"/>
  </r>
  <r>
    <x v="262"/>
    <x v="4"/>
    <x v="9"/>
  </r>
  <r>
    <x v="22"/>
    <x v="4"/>
    <x v="9"/>
  </r>
  <r>
    <x v="0"/>
    <x v="4"/>
    <x v="13"/>
  </r>
  <r>
    <x v="8"/>
    <x v="4"/>
    <x v="15"/>
  </r>
  <r>
    <x v="15"/>
    <x v="4"/>
    <x v="15"/>
  </r>
  <r>
    <x v="0"/>
    <x v="4"/>
    <x v="15"/>
  </r>
  <r>
    <x v="15"/>
    <x v="4"/>
    <x v="15"/>
  </r>
  <r>
    <x v="27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9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509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4"/>
    <x v="4"/>
    <x v="18"/>
  </r>
  <r>
    <x v="0"/>
    <x v="4"/>
    <x v="18"/>
  </r>
  <r>
    <x v="11"/>
    <x v="4"/>
    <x v="18"/>
  </r>
  <r>
    <x v="0"/>
    <x v="4"/>
    <x v="17"/>
  </r>
  <r>
    <x v="0"/>
    <x v="4"/>
    <x v="17"/>
  </r>
  <r>
    <x v="0"/>
    <x v="4"/>
    <x v="8"/>
  </r>
  <r>
    <x v="7"/>
    <x v="4"/>
    <x v="8"/>
  </r>
  <r>
    <x v="64"/>
    <x v="4"/>
    <x v="2"/>
  </r>
  <r>
    <x v="0"/>
    <x v="4"/>
    <x v="2"/>
  </r>
  <r>
    <x v="8"/>
    <x v="4"/>
    <x v="2"/>
  </r>
  <r>
    <x v="0"/>
    <x v="4"/>
    <x v="2"/>
  </r>
  <r>
    <x v="10"/>
    <x v="4"/>
    <x v="2"/>
  </r>
  <r>
    <x v="10"/>
    <x v="4"/>
    <x v="2"/>
  </r>
  <r>
    <x v="156"/>
    <x v="4"/>
    <x v="2"/>
  </r>
  <r>
    <x v="0"/>
    <x v="4"/>
    <x v="20"/>
  </r>
  <r>
    <x v="0"/>
    <x v="4"/>
    <x v="20"/>
  </r>
  <r>
    <x v="0"/>
    <x v="4"/>
    <x v="20"/>
  </r>
  <r>
    <x v="5"/>
    <x v="4"/>
    <x v="9"/>
  </r>
  <r>
    <x v="13"/>
    <x v="4"/>
    <x v="9"/>
  </r>
  <r>
    <x v="20"/>
    <x v="4"/>
    <x v="9"/>
  </r>
  <r>
    <x v="4"/>
    <x v="4"/>
    <x v="9"/>
  </r>
  <r>
    <x v="14"/>
    <x v="4"/>
    <x v="9"/>
  </r>
  <r>
    <x v="8"/>
    <x v="4"/>
    <x v="9"/>
  </r>
  <r>
    <x v="18"/>
    <x v="4"/>
    <x v="9"/>
  </r>
  <r>
    <x v="318"/>
    <x v="4"/>
    <x v="9"/>
  </r>
  <r>
    <x v="0"/>
    <x v="4"/>
    <x v="9"/>
  </r>
  <r>
    <x v="6"/>
    <x v="4"/>
    <x v="9"/>
  </r>
  <r>
    <x v="10"/>
    <x v="4"/>
    <x v="9"/>
  </r>
  <r>
    <x v="53"/>
    <x v="4"/>
    <x v="9"/>
  </r>
  <r>
    <x v="371"/>
    <x v="4"/>
    <x v="9"/>
  </r>
  <r>
    <x v="237"/>
    <x v="4"/>
    <x v="9"/>
  </r>
  <r>
    <x v="55"/>
    <x v="4"/>
    <x v="9"/>
  </r>
  <r>
    <x v="9"/>
    <x v="4"/>
    <x v="13"/>
  </r>
  <r>
    <x v="0"/>
    <x v="4"/>
    <x v="15"/>
  </r>
  <r>
    <x v="64"/>
    <x v="4"/>
    <x v="15"/>
  </r>
  <r>
    <x v="44"/>
    <x v="4"/>
    <x v="15"/>
  </r>
  <r>
    <x v="145"/>
    <x v="4"/>
    <x v="15"/>
  </r>
  <r>
    <x v="276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30"/>
    <x v="4"/>
    <x v="15"/>
  </r>
  <r>
    <x v="10"/>
    <x v="4"/>
    <x v="15"/>
  </r>
  <r>
    <x v="0"/>
    <x v="4"/>
    <x v="13"/>
  </r>
  <r>
    <x v="88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455"/>
    <x v="4"/>
    <x v="0"/>
  </r>
  <r>
    <x v="0"/>
    <x v="4"/>
    <x v="1"/>
  </r>
  <r>
    <x v="0"/>
    <x v="4"/>
    <x v="28"/>
  </r>
  <r>
    <x v="0"/>
    <x v="4"/>
    <x v="14"/>
  </r>
  <r>
    <x v="9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7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5"/>
    <x v="4"/>
    <x v="17"/>
  </r>
  <r>
    <x v="0"/>
    <x v="4"/>
    <x v="8"/>
  </r>
  <r>
    <x v="0"/>
    <x v="4"/>
    <x v="8"/>
  </r>
  <r>
    <x v="14"/>
    <x v="4"/>
    <x v="2"/>
  </r>
  <r>
    <x v="0"/>
    <x v="4"/>
    <x v="2"/>
  </r>
  <r>
    <x v="0"/>
    <x v="4"/>
    <x v="2"/>
  </r>
  <r>
    <x v="0"/>
    <x v="4"/>
    <x v="2"/>
  </r>
  <r>
    <x v="15"/>
    <x v="4"/>
    <x v="2"/>
  </r>
  <r>
    <x v="10"/>
    <x v="4"/>
    <x v="2"/>
  </r>
  <r>
    <x v="96"/>
    <x v="4"/>
    <x v="2"/>
  </r>
  <r>
    <x v="0"/>
    <x v="4"/>
    <x v="20"/>
  </r>
  <r>
    <x v="0"/>
    <x v="4"/>
    <x v="20"/>
  </r>
  <r>
    <x v="0"/>
    <x v="4"/>
    <x v="20"/>
  </r>
  <r>
    <x v="7"/>
    <x v="4"/>
    <x v="9"/>
  </r>
  <r>
    <x v="13"/>
    <x v="4"/>
    <x v="9"/>
  </r>
  <r>
    <x v="0"/>
    <x v="4"/>
    <x v="9"/>
  </r>
  <r>
    <x v="7"/>
    <x v="4"/>
    <x v="9"/>
  </r>
  <r>
    <x v="28"/>
    <x v="4"/>
    <x v="9"/>
  </r>
  <r>
    <x v="8"/>
    <x v="4"/>
    <x v="9"/>
  </r>
  <r>
    <x v="0"/>
    <x v="4"/>
    <x v="9"/>
  </r>
  <r>
    <x v="0"/>
    <x v="4"/>
    <x v="9"/>
  </r>
  <r>
    <x v="294"/>
    <x v="4"/>
    <x v="9"/>
  </r>
  <r>
    <x v="69"/>
    <x v="4"/>
    <x v="9"/>
  </r>
  <r>
    <x v="40"/>
    <x v="4"/>
    <x v="9"/>
  </r>
  <r>
    <x v="0"/>
    <x v="4"/>
    <x v="9"/>
  </r>
  <r>
    <x v="386"/>
    <x v="4"/>
    <x v="9"/>
  </r>
  <r>
    <x v="313"/>
    <x v="4"/>
    <x v="9"/>
  </r>
  <r>
    <x v="228"/>
    <x v="4"/>
    <x v="9"/>
  </r>
  <r>
    <x v="0"/>
    <x v="4"/>
    <x v="13"/>
  </r>
  <r>
    <x v="0"/>
    <x v="4"/>
    <x v="15"/>
  </r>
  <r>
    <x v="5"/>
    <x v="4"/>
    <x v="15"/>
  </r>
  <r>
    <x v="0"/>
    <x v="4"/>
    <x v="15"/>
  </r>
  <r>
    <x v="14"/>
    <x v="4"/>
    <x v="15"/>
  </r>
  <r>
    <x v="0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53"/>
    <x v="4"/>
    <x v="2"/>
  </r>
  <r>
    <x v="0"/>
    <x v="4"/>
    <x v="24"/>
  </r>
  <r>
    <x v="0"/>
    <x v="4"/>
    <x v="4"/>
  </r>
  <r>
    <x v="0"/>
    <x v="4"/>
    <x v="5"/>
  </r>
  <r>
    <x v="7"/>
    <x v="4"/>
    <x v="6"/>
  </r>
  <r>
    <x v="472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29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10"/>
    <x v="4"/>
    <x v="17"/>
  </r>
  <r>
    <x v="0"/>
    <x v="4"/>
    <x v="8"/>
  </r>
  <r>
    <x v="0"/>
    <x v="4"/>
    <x v="8"/>
  </r>
  <r>
    <x v="4"/>
    <x v="4"/>
    <x v="2"/>
  </r>
  <r>
    <x v="0"/>
    <x v="4"/>
    <x v="2"/>
  </r>
  <r>
    <x v="0"/>
    <x v="4"/>
    <x v="2"/>
  </r>
  <r>
    <x v="0"/>
    <x v="4"/>
    <x v="2"/>
  </r>
  <r>
    <x v="0"/>
    <x v="4"/>
    <x v="2"/>
  </r>
  <r>
    <x v="5"/>
    <x v="4"/>
    <x v="2"/>
  </r>
  <r>
    <x v="19"/>
    <x v="4"/>
    <x v="2"/>
  </r>
  <r>
    <x v="0"/>
    <x v="4"/>
    <x v="20"/>
  </r>
  <r>
    <x v="0"/>
    <x v="4"/>
    <x v="20"/>
  </r>
  <r>
    <x v="0"/>
    <x v="4"/>
    <x v="20"/>
  </r>
  <r>
    <x v="21"/>
    <x v="4"/>
    <x v="9"/>
  </r>
  <r>
    <x v="0"/>
    <x v="4"/>
    <x v="9"/>
  </r>
  <r>
    <x v="20"/>
    <x v="4"/>
    <x v="9"/>
  </r>
  <r>
    <x v="0"/>
    <x v="4"/>
    <x v="9"/>
  </r>
  <r>
    <x v="62"/>
    <x v="4"/>
    <x v="9"/>
  </r>
  <r>
    <x v="37"/>
    <x v="4"/>
    <x v="9"/>
  </r>
  <r>
    <x v="3"/>
    <x v="4"/>
    <x v="9"/>
  </r>
  <r>
    <x v="0"/>
    <x v="4"/>
    <x v="9"/>
  </r>
  <r>
    <x v="47"/>
    <x v="4"/>
    <x v="9"/>
  </r>
  <r>
    <x v="292"/>
    <x v="4"/>
    <x v="9"/>
  </r>
  <r>
    <x v="178"/>
    <x v="4"/>
    <x v="9"/>
  </r>
  <r>
    <x v="33"/>
    <x v="4"/>
    <x v="9"/>
  </r>
  <r>
    <x v="336"/>
    <x v="4"/>
    <x v="9"/>
  </r>
  <r>
    <x v="382"/>
    <x v="4"/>
    <x v="9"/>
  </r>
  <r>
    <x v="97"/>
    <x v="4"/>
    <x v="9"/>
  </r>
  <r>
    <x v="15"/>
    <x v="4"/>
    <x v="13"/>
  </r>
  <r>
    <x v="0"/>
    <x v="4"/>
    <x v="15"/>
  </r>
  <r>
    <x v="12"/>
    <x v="4"/>
    <x v="15"/>
  </r>
  <r>
    <x v="0"/>
    <x v="4"/>
    <x v="15"/>
  </r>
  <r>
    <x v="23"/>
    <x v="4"/>
    <x v="15"/>
  </r>
  <r>
    <x v="0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9"/>
    <x v="4"/>
    <x v="15"/>
  </r>
  <r>
    <x v="0"/>
    <x v="4"/>
    <x v="15"/>
  </r>
  <r>
    <x v="0"/>
    <x v="4"/>
    <x v="13"/>
  </r>
  <r>
    <x v="9"/>
    <x v="4"/>
    <x v="2"/>
  </r>
  <r>
    <x v="0"/>
    <x v="4"/>
    <x v="24"/>
  </r>
  <r>
    <x v="0"/>
    <x v="4"/>
    <x v="4"/>
  </r>
  <r>
    <x v="0"/>
    <x v="4"/>
    <x v="5"/>
  </r>
  <r>
    <x v="0"/>
    <x v="4"/>
    <x v="6"/>
  </r>
  <r>
    <x v="469"/>
    <x v="4"/>
    <x v="0"/>
  </r>
  <r>
    <x v="12"/>
    <x v="4"/>
    <x v="1"/>
  </r>
  <r>
    <x v="8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0"/>
    <x v="4"/>
    <x v="18"/>
  </r>
  <r>
    <x v="9"/>
    <x v="4"/>
    <x v="18"/>
  </r>
  <r>
    <x v="0"/>
    <x v="4"/>
    <x v="18"/>
  </r>
  <r>
    <x v="0"/>
    <x v="4"/>
    <x v="18"/>
  </r>
  <r>
    <x v="0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0"/>
    <x v="4"/>
    <x v="2"/>
  </r>
  <r>
    <x v="0"/>
    <x v="4"/>
    <x v="2"/>
  </r>
  <r>
    <x v="0"/>
    <x v="4"/>
    <x v="2"/>
  </r>
  <r>
    <x v="0"/>
    <x v="4"/>
    <x v="2"/>
  </r>
  <r>
    <x v="11"/>
    <x v="4"/>
    <x v="2"/>
  </r>
  <r>
    <x v="0"/>
    <x v="4"/>
    <x v="2"/>
  </r>
  <r>
    <x v="50"/>
    <x v="4"/>
    <x v="2"/>
  </r>
  <r>
    <x v="0"/>
    <x v="4"/>
    <x v="20"/>
  </r>
  <r>
    <x v="0"/>
    <x v="4"/>
    <x v="20"/>
  </r>
  <r>
    <x v="0"/>
    <x v="4"/>
    <x v="20"/>
  </r>
  <r>
    <x v="115"/>
    <x v="4"/>
    <x v="9"/>
  </r>
  <r>
    <x v="11"/>
    <x v="4"/>
    <x v="9"/>
  </r>
  <r>
    <x v="5"/>
    <x v="4"/>
    <x v="9"/>
  </r>
  <r>
    <x v="0"/>
    <x v="4"/>
    <x v="9"/>
  </r>
  <r>
    <x v="8"/>
    <x v="4"/>
    <x v="9"/>
  </r>
  <r>
    <x v="15"/>
    <x v="4"/>
    <x v="9"/>
  </r>
  <r>
    <x v="9"/>
    <x v="4"/>
    <x v="9"/>
  </r>
  <r>
    <x v="20"/>
    <x v="4"/>
    <x v="9"/>
  </r>
  <r>
    <x v="26"/>
    <x v="4"/>
    <x v="9"/>
  </r>
  <r>
    <x v="61"/>
    <x v="4"/>
    <x v="9"/>
  </r>
  <r>
    <x v="385"/>
    <x v="4"/>
    <x v="9"/>
  </r>
  <r>
    <x v="24"/>
    <x v="4"/>
    <x v="9"/>
  </r>
  <r>
    <x v="296"/>
    <x v="4"/>
    <x v="9"/>
  </r>
  <r>
    <x v="441"/>
    <x v="4"/>
    <x v="9"/>
  </r>
  <r>
    <x v="29"/>
    <x v="4"/>
    <x v="9"/>
  </r>
  <r>
    <x v="3"/>
    <x v="4"/>
    <x v="13"/>
  </r>
  <r>
    <x v="0"/>
    <x v="4"/>
    <x v="15"/>
  </r>
  <r>
    <x v="0"/>
    <x v="4"/>
    <x v="15"/>
  </r>
  <r>
    <x v="0"/>
    <x v="4"/>
    <x v="15"/>
  </r>
  <r>
    <x v="0"/>
    <x v="4"/>
    <x v="15"/>
  </r>
  <r>
    <x v="0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0"/>
    <x v="4"/>
    <x v="13"/>
  </r>
  <r>
    <x v="0"/>
    <x v="4"/>
    <x v="2"/>
  </r>
  <r>
    <x v="0"/>
    <x v="4"/>
    <x v="24"/>
  </r>
  <r>
    <x v="0"/>
    <x v="4"/>
    <x v="4"/>
  </r>
  <r>
    <x v="0"/>
    <x v="4"/>
    <x v="5"/>
  </r>
  <r>
    <x v="8"/>
    <x v="4"/>
    <x v="6"/>
  </r>
  <r>
    <x v="497"/>
    <x v="4"/>
    <x v="0"/>
  </r>
  <r>
    <x v="0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0"/>
    <x v="4"/>
    <x v="12"/>
  </r>
  <r>
    <x v="0"/>
    <x v="4"/>
    <x v="19"/>
  </r>
  <r>
    <x v="0"/>
    <x v="4"/>
    <x v="12"/>
  </r>
  <r>
    <x v="0"/>
    <x v="4"/>
    <x v="12"/>
  </r>
  <r>
    <x v="0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0"/>
    <x v="4"/>
    <x v="21"/>
  </r>
  <r>
    <x v="3"/>
    <x v="4"/>
    <x v="18"/>
  </r>
  <r>
    <x v="0"/>
    <x v="4"/>
    <x v="18"/>
  </r>
  <r>
    <x v="0"/>
    <x v="4"/>
    <x v="18"/>
  </r>
  <r>
    <x v="0"/>
    <x v="4"/>
    <x v="18"/>
  </r>
  <r>
    <x v="11"/>
    <x v="4"/>
    <x v="18"/>
  </r>
  <r>
    <x v="0"/>
    <x v="4"/>
    <x v="17"/>
  </r>
  <r>
    <x v="0"/>
    <x v="4"/>
    <x v="17"/>
  </r>
  <r>
    <x v="0"/>
    <x v="4"/>
    <x v="8"/>
  </r>
  <r>
    <x v="0"/>
    <x v="4"/>
    <x v="8"/>
  </r>
  <r>
    <x v="0"/>
    <x v="4"/>
    <x v="2"/>
  </r>
  <r>
    <x v="0"/>
    <x v="4"/>
    <x v="2"/>
  </r>
  <r>
    <x v="0"/>
    <x v="4"/>
    <x v="2"/>
  </r>
  <r>
    <x v="0"/>
    <x v="4"/>
    <x v="2"/>
  </r>
  <r>
    <x v="0"/>
    <x v="4"/>
    <x v="2"/>
  </r>
  <r>
    <x v="12"/>
    <x v="4"/>
    <x v="2"/>
  </r>
  <r>
    <x v="19"/>
    <x v="4"/>
    <x v="2"/>
  </r>
  <r>
    <x v="0"/>
    <x v="4"/>
    <x v="20"/>
  </r>
  <r>
    <x v="0"/>
    <x v="4"/>
    <x v="20"/>
  </r>
  <r>
    <x v="0"/>
    <x v="4"/>
    <x v="20"/>
  </r>
  <r>
    <x v="71"/>
    <x v="4"/>
    <x v="9"/>
  </r>
  <r>
    <x v="169"/>
    <x v="4"/>
    <x v="9"/>
  </r>
  <r>
    <x v="48"/>
    <x v="4"/>
    <x v="9"/>
  </r>
  <r>
    <x v="17"/>
    <x v="4"/>
    <x v="9"/>
  </r>
  <r>
    <x v="8"/>
    <x v="4"/>
    <x v="9"/>
  </r>
  <r>
    <x v="0"/>
    <x v="4"/>
    <x v="9"/>
  </r>
  <r>
    <x v="44"/>
    <x v="4"/>
    <x v="9"/>
  </r>
  <r>
    <x v="15"/>
    <x v="4"/>
    <x v="9"/>
  </r>
  <r>
    <x v="5"/>
    <x v="4"/>
    <x v="9"/>
  </r>
  <r>
    <x v="0"/>
    <x v="4"/>
    <x v="9"/>
  </r>
  <r>
    <x v="22"/>
    <x v="4"/>
    <x v="9"/>
  </r>
  <r>
    <x v="398"/>
    <x v="4"/>
    <x v="9"/>
  </r>
  <r>
    <x v="331"/>
    <x v="4"/>
    <x v="9"/>
  </r>
  <r>
    <x v="367"/>
    <x v="4"/>
    <x v="9"/>
  </r>
  <r>
    <x v="14"/>
    <x v="4"/>
    <x v="9"/>
  </r>
  <r>
    <x v="0"/>
    <x v="4"/>
    <x v="13"/>
  </r>
  <r>
    <x v="0"/>
    <x v="4"/>
    <x v="15"/>
  </r>
  <r>
    <x v="0"/>
    <x v="4"/>
    <x v="15"/>
  </r>
  <r>
    <x v="0"/>
    <x v="4"/>
    <x v="15"/>
  </r>
  <r>
    <x v="0"/>
    <x v="4"/>
    <x v="15"/>
  </r>
  <r>
    <x v="23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8"/>
    <x v="4"/>
    <x v="13"/>
  </r>
  <r>
    <x v="4"/>
    <x v="4"/>
    <x v="2"/>
  </r>
  <r>
    <x v="0"/>
    <x v="4"/>
    <x v="24"/>
  </r>
  <r>
    <x v="0"/>
    <x v="4"/>
    <x v="4"/>
  </r>
  <r>
    <x v="0"/>
    <x v="4"/>
    <x v="5"/>
  </r>
  <r>
    <x v="6"/>
    <x v="4"/>
    <x v="6"/>
  </r>
  <r>
    <x v="591"/>
    <x v="4"/>
    <x v="0"/>
  </r>
  <r>
    <x v="79"/>
    <x v="4"/>
    <x v="1"/>
  </r>
  <r>
    <x v="67"/>
    <x v="4"/>
    <x v="28"/>
  </r>
  <r>
    <x v="56"/>
    <x v="4"/>
    <x v="14"/>
  </r>
  <r>
    <x v="16"/>
    <x v="4"/>
    <x v="28"/>
  </r>
  <r>
    <x v="12"/>
    <x v="4"/>
    <x v="28"/>
  </r>
  <r>
    <x v="11"/>
    <x v="4"/>
    <x v="7"/>
  </r>
  <r>
    <x v="16"/>
    <x v="4"/>
    <x v="28"/>
  </r>
  <r>
    <x v="0"/>
    <x v="4"/>
    <x v="27"/>
  </r>
  <r>
    <x v="0"/>
    <x v="4"/>
    <x v="25"/>
  </r>
  <r>
    <x v="12"/>
    <x v="4"/>
    <x v="16"/>
  </r>
  <r>
    <x v="22"/>
    <x v="4"/>
    <x v="16"/>
  </r>
  <r>
    <x v="7"/>
    <x v="4"/>
    <x v="16"/>
  </r>
  <r>
    <x v="0"/>
    <x v="4"/>
    <x v="23"/>
  </r>
  <r>
    <x v="0"/>
    <x v="4"/>
    <x v="23"/>
  </r>
  <r>
    <x v="5"/>
    <x v="4"/>
    <x v="19"/>
  </r>
  <r>
    <x v="11"/>
    <x v="4"/>
    <x v="25"/>
  </r>
  <r>
    <x v="10"/>
    <x v="4"/>
    <x v="12"/>
  </r>
  <r>
    <x v="27"/>
    <x v="4"/>
    <x v="12"/>
  </r>
  <r>
    <x v="34"/>
    <x v="4"/>
    <x v="19"/>
  </r>
  <r>
    <x v="0"/>
    <x v="4"/>
    <x v="12"/>
  </r>
  <r>
    <x v="45"/>
    <x v="4"/>
    <x v="12"/>
  </r>
  <r>
    <x v="22"/>
    <x v="4"/>
    <x v="19"/>
  </r>
  <r>
    <x v="12"/>
    <x v="4"/>
    <x v="24"/>
  </r>
  <r>
    <x v="0"/>
    <x v="4"/>
    <x v="11"/>
  </r>
  <r>
    <x v="6"/>
    <x v="4"/>
    <x v="11"/>
  </r>
  <r>
    <x v="14"/>
    <x v="4"/>
    <x v="28"/>
  </r>
  <r>
    <x v="7"/>
    <x v="4"/>
    <x v="28"/>
  </r>
  <r>
    <x v="5"/>
    <x v="4"/>
    <x v="16"/>
  </r>
  <r>
    <x v="23"/>
    <x v="4"/>
    <x v="16"/>
  </r>
  <r>
    <x v="0"/>
    <x v="4"/>
    <x v="10"/>
  </r>
  <r>
    <x v="48"/>
    <x v="4"/>
    <x v="28"/>
  </r>
  <r>
    <x v="23"/>
    <x v="4"/>
    <x v="21"/>
  </r>
  <r>
    <x v="53"/>
    <x v="4"/>
    <x v="18"/>
  </r>
  <r>
    <x v="0"/>
    <x v="4"/>
    <x v="18"/>
  </r>
  <r>
    <x v="4"/>
    <x v="4"/>
    <x v="18"/>
  </r>
  <r>
    <x v="0"/>
    <x v="4"/>
    <x v="18"/>
  </r>
  <r>
    <x v="21"/>
    <x v="4"/>
    <x v="18"/>
  </r>
  <r>
    <x v="0"/>
    <x v="4"/>
    <x v="17"/>
  </r>
  <r>
    <x v="9"/>
    <x v="4"/>
    <x v="17"/>
  </r>
  <r>
    <x v="17"/>
    <x v="4"/>
    <x v="8"/>
  </r>
  <r>
    <x v="5"/>
    <x v="4"/>
    <x v="8"/>
  </r>
  <r>
    <x v="230"/>
    <x v="4"/>
    <x v="2"/>
  </r>
  <r>
    <x v="85"/>
    <x v="4"/>
    <x v="2"/>
  </r>
  <r>
    <x v="33"/>
    <x v="4"/>
    <x v="2"/>
  </r>
  <r>
    <x v="7"/>
    <x v="4"/>
    <x v="2"/>
  </r>
  <r>
    <x v="139"/>
    <x v="4"/>
    <x v="2"/>
  </r>
  <r>
    <x v="219"/>
    <x v="4"/>
    <x v="2"/>
  </r>
  <r>
    <x v="458"/>
    <x v="4"/>
    <x v="2"/>
  </r>
  <r>
    <x v="5"/>
    <x v="4"/>
    <x v="20"/>
  </r>
  <r>
    <x v="5"/>
    <x v="4"/>
    <x v="20"/>
  </r>
  <r>
    <x v="13"/>
    <x v="4"/>
    <x v="20"/>
  </r>
  <r>
    <x v="367"/>
    <x v="4"/>
    <x v="9"/>
  </r>
  <r>
    <x v="352"/>
    <x v="4"/>
    <x v="9"/>
  </r>
  <r>
    <x v="381"/>
    <x v="4"/>
    <x v="9"/>
  </r>
  <r>
    <x v="264"/>
    <x v="4"/>
    <x v="9"/>
  </r>
  <r>
    <x v="267"/>
    <x v="4"/>
    <x v="9"/>
  </r>
  <r>
    <x v="329"/>
    <x v="4"/>
    <x v="9"/>
  </r>
  <r>
    <x v="345"/>
    <x v="4"/>
    <x v="9"/>
  </r>
  <r>
    <x v="337"/>
    <x v="4"/>
    <x v="9"/>
  </r>
  <r>
    <x v="377"/>
    <x v="4"/>
    <x v="9"/>
  </r>
  <r>
    <x v="311"/>
    <x v="4"/>
    <x v="9"/>
  </r>
  <r>
    <x v="370"/>
    <x v="4"/>
    <x v="9"/>
  </r>
  <r>
    <x v="440"/>
    <x v="4"/>
    <x v="9"/>
  </r>
  <r>
    <x v="589"/>
    <x v="4"/>
    <x v="9"/>
  </r>
  <r>
    <x v="576"/>
    <x v="4"/>
    <x v="9"/>
  </r>
  <r>
    <x v="454"/>
    <x v="4"/>
    <x v="9"/>
  </r>
  <r>
    <x v="246"/>
    <x v="4"/>
    <x v="13"/>
  </r>
  <r>
    <x v="17"/>
    <x v="4"/>
    <x v="15"/>
  </r>
  <r>
    <x v="131"/>
    <x v="4"/>
    <x v="15"/>
  </r>
  <r>
    <x v="80"/>
    <x v="4"/>
    <x v="15"/>
  </r>
  <r>
    <x v="219"/>
    <x v="4"/>
    <x v="15"/>
  </r>
  <r>
    <x v="298"/>
    <x v="4"/>
    <x v="15"/>
  </r>
  <r>
    <x v="5"/>
    <x v="4"/>
    <x v="25"/>
  </r>
  <r>
    <x v="0"/>
    <x v="4"/>
    <x v="26"/>
  </r>
  <r>
    <x v="0"/>
    <x v="4"/>
    <x v="22"/>
  </r>
  <r>
    <x v="9"/>
    <x v="4"/>
    <x v="28"/>
  </r>
  <r>
    <x v="50"/>
    <x v="4"/>
    <x v="3"/>
  </r>
  <r>
    <x v="280"/>
    <x v="4"/>
    <x v="3"/>
  </r>
  <r>
    <x v="14"/>
    <x v="4"/>
    <x v="28"/>
  </r>
  <r>
    <x v="101"/>
    <x v="4"/>
    <x v="15"/>
  </r>
  <r>
    <x v="67"/>
    <x v="4"/>
    <x v="15"/>
  </r>
  <r>
    <x v="26"/>
    <x v="4"/>
    <x v="13"/>
  </r>
  <r>
    <x v="338"/>
    <x v="4"/>
    <x v="2"/>
  </r>
  <r>
    <x v="0"/>
    <x v="4"/>
    <x v="24"/>
  </r>
  <r>
    <x v="0"/>
    <x v="4"/>
    <x v="4"/>
  </r>
  <r>
    <x v="0"/>
    <x v="4"/>
    <x v="5"/>
  </r>
  <r>
    <x v="51"/>
    <x v="4"/>
    <x v="6"/>
  </r>
  <r>
    <x v="592"/>
    <x v="4"/>
    <x v="0"/>
  </r>
  <r>
    <x v="23"/>
    <x v="4"/>
    <x v="1"/>
  </r>
  <r>
    <x v="93"/>
    <x v="4"/>
    <x v="28"/>
  </r>
  <r>
    <x v="27"/>
    <x v="4"/>
    <x v="14"/>
  </r>
  <r>
    <x v="5"/>
    <x v="4"/>
    <x v="28"/>
  </r>
  <r>
    <x v="12"/>
    <x v="4"/>
    <x v="28"/>
  </r>
  <r>
    <x v="10"/>
    <x v="4"/>
    <x v="7"/>
  </r>
  <r>
    <x v="5"/>
    <x v="4"/>
    <x v="28"/>
  </r>
  <r>
    <x v="28"/>
    <x v="4"/>
    <x v="27"/>
  </r>
  <r>
    <x v="12"/>
    <x v="4"/>
    <x v="25"/>
  </r>
  <r>
    <x v="0"/>
    <x v="4"/>
    <x v="16"/>
  </r>
  <r>
    <x v="18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19"/>
    <x v="4"/>
    <x v="25"/>
  </r>
  <r>
    <x v="7"/>
    <x v="4"/>
    <x v="12"/>
  </r>
  <r>
    <x v="43"/>
    <x v="4"/>
    <x v="12"/>
  </r>
  <r>
    <x v="61"/>
    <x v="4"/>
    <x v="19"/>
  </r>
  <r>
    <x v="0"/>
    <x v="4"/>
    <x v="12"/>
  </r>
  <r>
    <x v="35"/>
    <x v="4"/>
    <x v="12"/>
  </r>
  <r>
    <x v="111"/>
    <x v="4"/>
    <x v="19"/>
  </r>
  <r>
    <x v="0"/>
    <x v="4"/>
    <x v="24"/>
  </r>
  <r>
    <x v="0"/>
    <x v="4"/>
    <x v="11"/>
  </r>
  <r>
    <x v="0"/>
    <x v="4"/>
    <x v="11"/>
  </r>
  <r>
    <x v="39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6"/>
    <x v="4"/>
    <x v="28"/>
  </r>
  <r>
    <x v="57"/>
    <x v="4"/>
    <x v="21"/>
  </r>
  <r>
    <x v="52"/>
    <x v="4"/>
    <x v="18"/>
  </r>
  <r>
    <x v="0"/>
    <x v="4"/>
    <x v="18"/>
  </r>
  <r>
    <x v="10"/>
    <x v="4"/>
    <x v="18"/>
  </r>
  <r>
    <x v="8"/>
    <x v="4"/>
    <x v="18"/>
  </r>
  <r>
    <x v="39"/>
    <x v="4"/>
    <x v="18"/>
  </r>
  <r>
    <x v="0"/>
    <x v="4"/>
    <x v="17"/>
  </r>
  <r>
    <x v="30"/>
    <x v="4"/>
    <x v="17"/>
  </r>
  <r>
    <x v="11"/>
    <x v="4"/>
    <x v="8"/>
  </r>
  <r>
    <x v="0"/>
    <x v="4"/>
    <x v="8"/>
  </r>
  <r>
    <x v="46"/>
    <x v="4"/>
    <x v="2"/>
  </r>
  <r>
    <x v="9"/>
    <x v="4"/>
    <x v="2"/>
  </r>
  <r>
    <x v="0"/>
    <x v="4"/>
    <x v="2"/>
  </r>
  <r>
    <x v="5"/>
    <x v="4"/>
    <x v="2"/>
  </r>
  <r>
    <x v="91"/>
    <x v="4"/>
    <x v="2"/>
  </r>
  <r>
    <x v="5"/>
    <x v="4"/>
    <x v="2"/>
  </r>
  <r>
    <x v="300"/>
    <x v="4"/>
    <x v="2"/>
  </r>
  <r>
    <x v="0"/>
    <x v="4"/>
    <x v="20"/>
  </r>
  <r>
    <x v="8"/>
    <x v="4"/>
    <x v="20"/>
  </r>
  <r>
    <x v="9"/>
    <x v="4"/>
    <x v="20"/>
  </r>
  <r>
    <x v="463"/>
    <x v="4"/>
    <x v="9"/>
  </r>
  <r>
    <x v="414"/>
    <x v="4"/>
    <x v="9"/>
  </r>
  <r>
    <x v="226"/>
    <x v="4"/>
    <x v="9"/>
  </r>
  <r>
    <x v="269"/>
    <x v="4"/>
    <x v="9"/>
  </r>
  <r>
    <x v="244"/>
    <x v="4"/>
    <x v="9"/>
  </r>
  <r>
    <x v="216"/>
    <x v="4"/>
    <x v="9"/>
  </r>
  <r>
    <x v="144"/>
    <x v="4"/>
    <x v="9"/>
  </r>
  <r>
    <x v="144"/>
    <x v="4"/>
    <x v="9"/>
  </r>
  <r>
    <x v="332"/>
    <x v="4"/>
    <x v="9"/>
  </r>
  <r>
    <x v="304"/>
    <x v="4"/>
    <x v="9"/>
  </r>
  <r>
    <x v="494"/>
    <x v="4"/>
    <x v="9"/>
  </r>
  <r>
    <x v="350"/>
    <x v="4"/>
    <x v="9"/>
  </r>
  <r>
    <x v="569"/>
    <x v="4"/>
    <x v="9"/>
  </r>
  <r>
    <x v="590"/>
    <x v="4"/>
    <x v="9"/>
  </r>
  <r>
    <x v="357"/>
    <x v="4"/>
    <x v="9"/>
  </r>
  <r>
    <x v="342"/>
    <x v="4"/>
    <x v="13"/>
  </r>
  <r>
    <x v="0"/>
    <x v="4"/>
    <x v="15"/>
  </r>
  <r>
    <x v="34"/>
    <x v="4"/>
    <x v="15"/>
  </r>
  <r>
    <x v="0"/>
    <x v="4"/>
    <x v="15"/>
  </r>
  <r>
    <x v="107"/>
    <x v="4"/>
    <x v="15"/>
  </r>
  <r>
    <x v="132"/>
    <x v="4"/>
    <x v="15"/>
  </r>
  <r>
    <x v="0"/>
    <x v="4"/>
    <x v="25"/>
  </r>
  <r>
    <x v="0"/>
    <x v="4"/>
    <x v="26"/>
  </r>
  <r>
    <x v="0"/>
    <x v="4"/>
    <x v="22"/>
  </r>
  <r>
    <x v="7"/>
    <x v="4"/>
    <x v="28"/>
  </r>
  <r>
    <x v="0"/>
    <x v="4"/>
    <x v="3"/>
  </r>
  <r>
    <x v="60"/>
    <x v="4"/>
    <x v="3"/>
  </r>
  <r>
    <x v="19"/>
    <x v="4"/>
    <x v="28"/>
  </r>
  <r>
    <x v="19"/>
    <x v="4"/>
    <x v="15"/>
  </r>
  <r>
    <x v="4"/>
    <x v="4"/>
    <x v="15"/>
  </r>
  <r>
    <x v="33"/>
    <x v="4"/>
    <x v="13"/>
  </r>
  <r>
    <x v="120"/>
    <x v="4"/>
    <x v="2"/>
  </r>
  <r>
    <x v="0"/>
    <x v="4"/>
    <x v="24"/>
  </r>
  <r>
    <x v="0"/>
    <x v="4"/>
    <x v="4"/>
  </r>
  <r>
    <x v="0"/>
    <x v="4"/>
    <x v="5"/>
  </r>
  <r>
    <x v="91"/>
    <x v="4"/>
    <x v="6"/>
  </r>
  <r>
    <x v="567"/>
    <x v="4"/>
    <x v="0"/>
  </r>
  <r>
    <x v="6"/>
    <x v="4"/>
    <x v="1"/>
  </r>
  <r>
    <x v="0"/>
    <x v="4"/>
    <x v="28"/>
  </r>
  <r>
    <x v="0"/>
    <x v="4"/>
    <x v="14"/>
  </r>
  <r>
    <x v="0"/>
    <x v="4"/>
    <x v="28"/>
  </r>
  <r>
    <x v="0"/>
    <x v="4"/>
    <x v="28"/>
  </r>
  <r>
    <x v="0"/>
    <x v="4"/>
    <x v="7"/>
  </r>
  <r>
    <x v="0"/>
    <x v="4"/>
    <x v="28"/>
  </r>
  <r>
    <x v="0"/>
    <x v="4"/>
    <x v="27"/>
  </r>
  <r>
    <x v="0"/>
    <x v="4"/>
    <x v="25"/>
  </r>
  <r>
    <x v="0"/>
    <x v="4"/>
    <x v="16"/>
  </r>
  <r>
    <x v="0"/>
    <x v="4"/>
    <x v="16"/>
  </r>
  <r>
    <x v="0"/>
    <x v="4"/>
    <x v="16"/>
  </r>
  <r>
    <x v="0"/>
    <x v="4"/>
    <x v="23"/>
  </r>
  <r>
    <x v="0"/>
    <x v="4"/>
    <x v="23"/>
  </r>
  <r>
    <x v="0"/>
    <x v="4"/>
    <x v="19"/>
  </r>
  <r>
    <x v="0"/>
    <x v="4"/>
    <x v="25"/>
  </r>
  <r>
    <x v="0"/>
    <x v="4"/>
    <x v="12"/>
  </r>
  <r>
    <x v="13"/>
    <x v="4"/>
    <x v="12"/>
  </r>
  <r>
    <x v="16"/>
    <x v="4"/>
    <x v="19"/>
  </r>
  <r>
    <x v="0"/>
    <x v="4"/>
    <x v="12"/>
  </r>
  <r>
    <x v="0"/>
    <x v="4"/>
    <x v="12"/>
  </r>
  <r>
    <x v="14"/>
    <x v="4"/>
    <x v="19"/>
  </r>
  <r>
    <x v="0"/>
    <x v="4"/>
    <x v="24"/>
  </r>
  <r>
    <x v="0"/>
    <x v="4"/>
    <x v="11"/>
  </r>
  <r>
    <x v="0"/>
    <x v="4"/>
    <x v="11"/>
  </r>
  <r>
    <x v="0"/>
    <x v="4"/>
    <x v="28"/>
  </r>
  <r>
    <x v="0"/>
    <x v="4"/>
    <x v="28"/>
  </r>
  <r>
    <x v="0"/>
    <x v="4"/>
    <x v="16"/>
  </r>
  <r>
    <x v="0"/>
    <x v="4"/>
    <x v="16"/>
  </r>
  <r>
    <x v="0"/>
    <x v="4"/>
    <x v="10"/>
  </r>
  <r>
    <x v="0"/>
    <x v="4"/>
    <x v="28"/>
  </r>
  <r>
    <x v="6"/>
    <x v="4"/>
    <x v="21"/>
  </r>
  <r>
    <x v="17"/>
    <x v="4"/>
    <x v="18"/>
  </r>
  <r>
    <x v="0"/>
    <x v="4"/>
    <x v="18"/>
  </r>
  <r>
    <x v="0"/>
    <x v="4"/>
    <x v="18"/>
  </r>
  <r>
    <x v="0"/>
    <x v="4"/>
    <x v="18"/>
  </r>
  <r>
    <x v="7"/>
    <x v="4"/>
    <x v="18"/>
  </r>
  <r>
    <x v="0"/>
    <x v="4"/>
    <x v="17"/>
  </r>
  <r>
    <x v="0"/>
    <x v="4"/>
    <x v="17"/>
  </r>
  <r>
    <x v="10"/>
    <x v="4"/>
    <x v="8"/>
  </r>
  <r>
    <x v="0"/>
    <x v="4"/>
    <x v="8"/>
  </r>
  <r>
    <x v="172"/>
    <x v="4"/>
    <x v="2"/>
  </r>
  <r>
    <x v="36"/>
    <x v="4"/>
    <x v="2"/>
  </r>
  <r>
    <x v="42"/>
    <x v="4"/>
    <x v="2"/>
  </r>
  <r>
    <x v="0"/>
    <x v="4"/>
    <x v="2"/>
  </r>
  <r>
    <x v="93"/>
    <x v="4"/>
    <x v="2"/>
  </r>
  <r>
    <x v="167"/>
    <x v="4"/>
    <x v="2"/>
  </r>
  <r>
    <x v="374"/>
    <x v="4"/>
    <x v="2"/>
  </r>
  <r>
    <x v="0"/>
    <x v="4"/>
    <x v="20"/>
  </r>
  <r>
    <x v="0"/>
    <x v="4"/>
    <x v="20"/>
  </r>
  <r>
    <x v="0"/>
    <x v="4"/>
    <x v="20"/>
  </r>
  <r>
    <x v="89"/>
    <x v="4"/>
    <x v="9"/>
  </r>
  <r>
    <x v="51"/>
    <x v="4"/>
    <x v="9"/>
  </r>
  <r>
    <x v="25"/>
    <x v="4"/>
    <x v="9"/>
  </r>
  <r>
    <x v="19"/>
    <x v="4"/>
    <x v="9"/>
  </r>
  <r>
    <x v="85"/>
    <x v="4"/>
    <x v="9"/>
  </r>
  <r>
    <x v="129"/>
    <x v="4"/>
    <x v="9"/>
  </r>
  <r>
    <x v="11"/>
    <x v="4"/>
    <x v="9"/>
  </r>
  <r>
    <x v="18"/>
    <x v="4"/>
    <x v="9"/>
  </r>
  <r>
    <x v="290"/>
    <x v="4"/>
    <x v="9"/>
  </r>
  <r>
    <x v="33"/>
    <x v="4"/>
    <x v="9"/>
  </r>
  <r>
    <x v="34"/>
    <x v="4"/>
    <x v="9"/>
  </r>
  <r>
    <x v="69"/>
    <x v="4"/>
    <x v="9"/>
  </r>
  <r>
    <x v="461"/>
    <x v="4"/>
    <x v="9"/>
  </r>
  <r>
    <x v="400"/>
    <x v="4"/>
    <x v="9"/>
  </r>
  <r>
    <x v="520"/>
    <x v="4"/>
    <x v="9"/>
  </r>
  <r>
    <x v="21"/>
    <x v="4"/>
    <x v="13"/>
  </r>
  <r>
    <x v="0"/>
    <x v="4"/>
    <x v="15"/>
  </r>
  <r>
    <x v="18"/>
    <x v="4"/>
    <x v="15"/>
  </r>
  <r>
    <x v="0"/>
    <x v="4"/>
    <x v="15"/>
  </r>
  <r>
    <x v="9"/>
    <x v="4"/>
    <x v="15"/>
  </r>
  <r>
    <x v="11"/>
    <x v="4"/>
    <x v="15"/>
  </r>
  <r>
    <x v="0"/>
    <x v="4"/>
    <x v="25"/>
  </r>
  <r>
    <x v="0"/>
    <x v="4"/>
    <x v="26"/>
  </r>
  <r>
    <x v="0"/>
    <x v="4"/>
    <x v="22"/>
  </r>
  <r>
    <x v="0"/>
    <x v="4"/>
    <x v="28"/>
  </r>
  <r>
    <x v="0"/>
    <x v="4"/>
    <x v="3"/>
  </r>
  <r>
    <x v="0"/>
    <x v="4"/>
    <x v="3"/>
  </r>
  <r>
    <x v="0"/>
    <x v="4"/>
    <x v="28"/>
  </r>
  <r>
    <x v="0"/>
    <x v="4"/>
    <x v="15"/>
  </r>
  <r>
    <x v="0"/>
    <x v="4"/>
    <x v="15"/>
  </r>
  <r>
    <x v="21"/>
    <x v="4"/>
    <x v="13"/>
  </r>
  <r>
    <x v="151"/>
    <x v="4"/>
    <x v="2"/>
  </r>
  <r>
    <x v="0"/>
    <x v="4"/>
    <x v="24"/>
  </r>
  <r>
    <x v="0"/>
    <x v="4"/>
    <x v="4"/>
  </r>
  <r>
    <x v="0"/>
    <x v="4"/>
    <x v="5"/>
  </r>
  <r>
    <x v="12"/>
    <x v="4"/>
    <x v="6"/>
  </r>
  <r>
    <x v="570"/>
    <x v="8"/>
    <x v="0"/>
  </r>
  <r>
    <x v="5"/>
    <x v="8"/>
    <x v="1"/>
  </r>
  <r>
    <x v="0"/>
    <x v="8"/>
    <x v="28"/>
  </r>
  <r>
    <x v="4"/>
    <x v="8"/>
    <x v="14"/>
  </r>
  <r>
    <x v="9"/>
    <x v="8"/>
    <x v="28"/>
  </r>
  <r>
    <x v="0"/>
    <x v="8"/>
    <x v="28"/>
  </r>
  <r>
    <x v="8"/>
    <x v="8"/>
    <x v="7"/>
  </r>
  <r>
    <x v="0"/>
    <x v="8"/>
    <x v="28"/>
  </r>
  <r>
    <x v="0"/>
    <x v="8"/>
    <x v="27"/>
  </r>
  <r>
    <x v="0"/>
    <x v="8"/>
    <x v="25"/>
  </r>
  <r>
    <x v="0"/>
    <x v="8"/>
    <x v="16"/>
  </r>
  <r>
    <x v="0"/>
    <x v="8"/>
    <x v="16"/>
  </r>
  <r>
    <x v="0"/>
    <x v="8"/>
    <x v="16"/>
  </r>
  <r>
    <x v="0"/>
    <x v="8"/>
    <x v="23"/>
  </r>
  <r>
    <x v="0"/>
    <x v="8"/>
    <x v="23"/>
  </r>
  <r>
    <x v="7"/>
    <x v="8"/>
    <x v="19"/>
  </r>
  <r>
    <x v="0"/>
    <x v="8"/>
    <x v="25"/>
  </r>
  <r>
    <x v="0"/>
    <x v="8"/>
    <x v="12"/>
  </r>
  <r>
    <x v="17"/>
    <x v="8"/>
    <x v="12"/>
  </r>
  <r>
    <x v="9"/>
    <x v="8"/>
    <x v="19"/>
  </r>
  <r>
    <x v="0"/>
    <x v="8"/>
    <x v="12"/>
  </r>
  <r>
    <x v="9"/>
    <x v="8"/>
    <x v="12"/>
  </r>
  <r>
    <x v="125"/>
    <x v="8"/>
    <x v="19"/>
  </r>
  <r>
    <x v="7"/>
    <x v="8"/>
    <x v="24"/>
  </r>
  <r>
    <x v="0"/>
    <x v="8"/>
    <x v="11"/>
  </r>
  <r>
    <x v="0"/>
    <x v="8"/>
    <x v="11"/>
  </r>
  <r>
    <x v="0"/>
    <x v="8"/>
    <x v="28"/>
  </r>
  <r>
    <x v="0"/>
    <x v="8"/>
    <x v="28"/>
  </r>
  <r>
    <x v="0"/>
    <x v="8"/>
    <x v="16"/>
  </r>
  <r>
    <x v="8"/>
    <x v="8"/>
    <x v="16"/>
  </r>
  <r>
    <x v="0"/>
    <x v="8"/>
    <x v="10"/>
  </r>
  <r>
    <x v="0"/>
    <x v="8"/>
    <x v="28"/>
  </r>
  <r>
    <x v="210"/>
    <x v="8"/>
    <x v="21"/>
  </r>
  <r>
    <x v="26"/>
    <x v="8"/>
    <x v="18"/>
  </r>
  <r>
    <x v="0"/>
    <x v="8"/>
    <x v="18"/>
  </r>
  <r>
    <x v="0"/>
    <x v="8"/>
    <x v="18"/>
  </r>
  <r>
    <x v="0"/>
    <x v="8"/>
    <x v="18"/>
  </r>
  <r>
    <x v="8"/>
    <x v="8"/>
    <x v="18"/>
  </r>
  <r>
    <x v="0"/>
    <x v="8"/>
    <x v="17"/>
  </r>
  <r>
    <x v="13"/>
    <x v="8"/>
    <x v="17"/>
  </r>
  <r>
    <x v="0"/>
    <x v="8"/>
    <x v="8"/>
  </r>
  <r>
    <x v="0"/>
    <x v="8"/>
    <x v="8"/>
  </r>
  <r>
    <x v="6"/>
    <x v="8"/>
    <x v="2"/>
  </r>
  <r>
    <x v="0"/>
    <x v="8"/>
    <x v="2"/>
  </r>
  <r>
    <x v="0"/>
    <x v="8"/>
    <x v="2"/>
  </r>
  <r>
    <x v="0"/>
    <x v="8"/>
    <x v="2"/>
  </r>
  <r>
    <x v="8"/>
    <x v="8"/>
    <x v="2"/>
  </r>
  <r>
    <x v="0"/>
    <x v="8"/>
    <x v="2"/>
  </r>
  <r>
    <x v="0"/>
    <x v="8"/>
    <x v="2"/>
  </r>
  <r>
    <x v="0"/>
    <x v="8"/>
    <x v="20"/>
  </r>
  <r>
    <x v="5"/>
    <x v="8"/>
    <x v="20"/>
  </r>
  <r>
    <x v="0"/>
    <x v="8"/>
    <x v="20"/>
  </r>
  <r>
    <x v="177"/>
    <x v="8"/>
    <x v="9"/>
  </r>
  <r>
    <x v="77"/>
    <x v="8"/>
    <x v="9"/>
  </r>
  <r>
    <x v="7"/>
    <x v="8"/>
    <x v="9"/>
  </r>
  <r>
    <x v="7"/>
    <x v="8"/>
    <x v="9"/>
  </r>
  <r>
    <x v="0"/>
    <x v="8"/>
    <x v="9"/>
  </r>
  <r>
    <x v="6"/>
    <x v="8"/>
    <x v="9"/>
  </r>
  <r>
    <x v="0"/>
    <x v="8"/>
    <x v="9"/>
  </r>
  <r>
    <x v="16"/>
    <x v="8"/>
    <x v="9"/>
  </r>
  <r>
    <x v="0"/>
    <x v="8"/>
    <x v="9"/>
  </r>
  <r>
    <x v="10"/>
    <x v="8"/>
    <x v="9"/>
  </r>
  <r>
    <x v="115"/>
    <x v="8"/>
    <x v="9"/>
  </r>
  <r>
    <x v="27"/>
    <x v="8"/>
    <x v="9"/>
  </r>
  <r>
    <x v="387"/>
    <x v="8"/>
    <x v="9"/>
  </r>
  <r>
    <x v="449"/>
    <x v="8"/>
    <x v="9"/>
  </r>
  <r>
    <x v="25"/>
    <x v="8"/>
    <x v="9"/>
  </r>
  <r>
    <x v="552"/>
    <x v="8"/>
    <x v="13"/>
  </r>
  <r>
    <x v="0"/>
    <x v="8"/>
    <x v="15"/>
  </r>
  <r>
    <x v="4"/>
    <x v="8"/>
    <x v="15"/>
  </r>
  <r>
    <x v="0"/>
    <x v="8"/>
    <x v="15"/>
  </r>
  <r>
    <x v="17"/>
    <x v="8"/>
    <x v="15"/>
  </r>
  <r>
    <x v="15"/>
    <x v="8"/>
    <x v="15"/>
  </r>
  <r>
    <x v="0"/>
    <x v="8"/>
    <x v="25"/>
  </r>
  <r>
    <x v="0"/>
    <x v="8"/>
    <x v="26"/>
  </r>
  <r>
    <x v="0"/>
    <x v="8"/>
    <x v="22"/>
  </r>
  <r>
    <x v="0"/>
    <x v="8"/>
    <x v="28"/>
  </r>
  <r>
    <x v="22"/>
    <x v="8"/>
    <x v="3"/>
  </r>
  <r>
    <x v="15"/>
    <x v="8"/>
    <x v="3"/>
  </r>
  <r>
    <x v="26"/>
    <x v="8"/>
    <x v="28"/>
  </r>
  <r>
    <x v="7"/>
    <x v="8"/>
    <x v="15"/>
  </r>
  <r>
    <x v="0"/>
    <x v="8"/>
    <x v="15"/>
  </r>
  <r>
    <x v="369"/>
    <x v="8"/>
    <x v="13"/>
  </r>
  <r>
    <x v="0"/>
    <x v="8"/>
    <x v="2"/>
  </r>
  <r>
    <x v="0"/>
    <x v="8"/>
    <x v="24"/>
  </r>
  <r>
    <x v="0"/>
    <x v="8"/>
    <x v="4"/>
  </r>
  <r>
    <x v="0"/>
    <x v="8"/>
    <x v="5"/>
  </r>
  <r>
    <x v="0"/>
    <x v="8"/>
    <x v="6"/>
  </r>
  <r>
    <x v="495"/>
    <x v="10"/>
    <x v="0"/>
  </r>
  <r>
    <x v="0"/>
    <x v="10"/>
    <x v="1"/>
  </r>
  <r>
    <x v="0"/>
    <x v="10"/>
    <x v="28"/>
  </r>
  <r>
    <x v="0"/>
    <x v="10"/>
    <x v="14"/>
  </r>
  <r>
    <x v="0"/>
    <x v="10"/>
    <x v="28"/>
  </r>
  <r>
    <x v="0"/>
    <x v="10"/>
    <x v="28"/>
  </r>
  <r>
    <x v="0"/>
    <x v="10"/>
    <x v="7"/>
  </r>
  <r>
    <x v="0"/>
    <x v="10"/>
    <x v="28"/>
  </r>
  <r>
    <x v="0"/>
    <x v="10"/>
    <x v="27"/>
  </r>
  <r>
    <x v="0"/>
    <x v="10"/>
    <x v="25"/>
  </r>
  <r>
    <x v="0"/>
    <x v="10"/>
    <x v="16"/>
  </r>
  <r>
    <x v="7"/>
    <x v="10"/>
    <x v="16"/>
  </r>
  <r>
    <x v="0"/>
    <x v="10"/>
    <x v="16"/>
  </r>
  <r>
    <x v="0"/>
    <x v="10"/>
    <x v="23"/>
  </r>
  <r>
    <x v="0"/>
    <x v="10"/>
    <x v="23"/>
  </r>
  <r>
    <x v="0"/>
    <x v="10"/>
    <x v="19"/>
  </r>
  <r>
    <x v="0"/>
    <x v="10"/>
    <x v="25"/>
  </r>
  <r>
    <x v="0"/>
    <x v="10"/>
    <x v="12"/>
  </r>
  <r>
    <x v="0"/>
    <x v="10"/>
    <x v="12"/>
  </r>
  <r>
    <x v="0"/>
    <x v="10"/>
    <x v="19"/>
  </r>
  <r>
    <x v="0"/>
    <x v="10"/>
    <x v="12"/>
  </r>
  <r>
    <x v="0"/>
    <x v="10"/>
    <x v="12"/>
  </r>
  <r>
    <x v="0"/>
    <x v="10"/>
    <x v="19"/>
  </r>
  <r>
    <x v="0"/>
    <x v="10"/>
    <x v="24"/>
  </r>
  <r>
    <x v="0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0"/>
    <x v="10"/>
    <x v="16"/>
  </r>
  <r>
    <x v="0"/>
    <x v="10"/>
    <x v="10"/>
  </r>
  <r>
    <x v="0"/>
    <x v="10"/>
    <x v="28"/>
  </r>
  <r>
    <x v="0"/>
    <x v="10"/>
    <x v="21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7"/>
  </r>
  <r>
    <x v="0"/>
    <x v="10"/>
    <x v="17"/>
  </r>
  <r>
    <x v="0"/>
    <x v="10"/>
    <x v="8"/>
  </r>
  <r>
    <x v="0"/>
    <x v="10"/>
    <x v="8"/>
  </r>
  <r>
    <x v="47"/>
    <x v="10"/>
    <x v="2"/>
  </r>
  <r>
    <x v="0"/>
    <x v="10"/>
    <x v="2"/>
  </r>
  <r>
    <x v="0"/>
    <x v="10"/>
    <x v="2"/>
  </r>
  <r>
    <x v="0"/>
    <x v="10"/>
    <x v="2"/>
  </r>
  <r>
    <x v="10"/>
    <x v="10"/>
    <x v="2"/>
  </r>
  <r>
    <x v="0"/>
    <x v="10"/>
    <x v="2"/>
  </r>
  <r>
    <x v="204"/>
    <x v="10"/>
    <x v="2"/>
  </r>
  <r>
    <x v="0"/>
    <x v="10"/>
    <x v="20"/>
  </r>
  <r>
    <x v="0"/>
    <x v="10"/>
    <x v="20"/>
  </r>
  <r>
    <x v="0"/>
    <x v="10"/>
    <x v="20"/>
  </r>
  <r>
    <x v="0"/>
    <x v="10"/>
    <x v="9"/>
  </r>
  <r>
    <x v="9"/>
    <x v="10"/>
    <x v="9"/>
  </r>
  <r>
    <x v="0"/>
    <x v="10"/>
    <x v="9"/>
  </r>
  <r>
    <x v="0"/>
    <x v="10"/>
    <x v="9"/>
  </r>
  <r>
    <x v="0"/>
    <x v="10"/>
    <x v="9"/>
  </r>
  <r>
    <x v="0"/>
    <x v="10"/>
    <x v="9"/>
  </r>
  <r>
    <x v="0"/>
    <x v="10"/>
    <x v="9"/>
  </r>
  <r>
    <x v="35"/>
    <x v="10"/>
    <x v="9"/>
  </r>
  <r>
    <x v="19"/>
    <x v="10"/>
    <x v="9"/>
  </r>
  <r>
    <x v="0"/>
    <x v="10"/>
    <x v="9"/>
  </r>
  <r>
    <x v="19"/>
    <x v="10"/>
    <x v="9"/>
  </r>
  <r>
    <x v="0"/>
    <x v="10"/>
    <x v="9"/>
  </r>
  <r>
    <x v="185"/>
    <x v="10"/>
    <x v="9"/>
  </r>
  <r>
    <x v="135"/>
    <x v="10"/>
    <x v="9"/>
  </r>
  <r>
    <x v="110"/>
    <x v="10"/>
    <x v="9"/>
  </r>
  <r>
    <x v="0"/>
    <x v="10"/>
    <x v="13"/>
  </r>
  <r>
    <x v="325"/>
    <x v="10"/>
    <x v="15"/>
  </r>
  <r>
    <x v="285"/>
    <x v="10"/>
    <x v="15"/>
  </r>
  <r>
    <x v="26"/>
    <x v="10"/>
    <x v="15"/>
  </r>
  <r>
    <x v="92"/>
    <x v="10"/>
    <x v="15"/>
  </r>
  <r>
    <x v="206"/>
    <x v="10"/>
    <x v="15"/>
  </r>
  <r>
    <x v="0"/>
    <x v="10"/>
    <x v="25"/>
  </r>
  <r>
    <x v="0"/>
    <x v="10"/>
    <x v="26"/>
  </r>
  <r>
    <x v="0"/>
    <x v="10"/>
    <x v="22"/>
  </r>
  <r>
    <x v="0"/>
    <x v="10"/>
    <x v="28"/>
  </r>
  <r>
    <x v="0"/>
    <x v="10"/>
    <x v="3"/>
  </r>
  <r>
    <x v="0"/>
    <x v="10"/>
    <x v="3"/>
  </r>
  <r>
    <x v="0"/>
    <x v="10"/>
    <x v="28"/>
  </r>
  <r>
    <x v="287"/>
    <x v="10"/>
    <x v="15"/>
  </r>
  <r>
    <x v="153"/>
    <x v="10"/>
    <x v="15"/>
  </r>
  <r>
    <x v="0"/>
    <x v="10"/>
    <x v="13"/>
  </r>
  <r>
    <x v="73"/>
    <x v="10"/>
    <x v="2"/>
  </r>
  <r>
    <x v="0"/>
    <x v="10"/>
    <x v="24"/>
  </r>
  <r>
    <x v="0"/>
    <x v="10"/>
    <x v="4"/>
  </r>
  <r>
    <x v="0"/>
    <x v="10"/>
    <x v="5"/>
  </r>
  <r>
    <x v="9"/>
    <x v="10"/>
    <x v="6"/>
  </r>
  <r>
    <x v="584"/>
    <x v="10"/>
    <x v="0"/>
  </r>
  <r>
    <x v="19"/>
    <x v="10"/>
    <x v="1"/>
  </r>
  <r>
    <x v="19"/>
    <x v="10"/>
    <x v="28"/>
  </r>
  <r>
    <x v="20"/>
    <x v="10"/>
    <x v="14"/>
  </r>
  <r>
    <x v="3"/>
    <x v="10"/>
    <x v="28"/>
  </r>
  <r>
    <x v="0"/>
    <x v="10"/>
    <x v="28"/>
  </r>
  <r>
    <x v="0"/>
    <x v="10"/>
    <x v="7"/>
  </r>
  <r>
    <x v="8"/>
    <x v="10"/>
    <x v="28"/>
  </r>
  <r>
    <x v="0"/>
    <x v="10"/>
    <x v="27"/>
  </r>
  <r>
    <x v="8"/>
    <x v="10"/>
    <x v="25"/>
  </r>
  <r>
    <x v="10"/>
    <x v="10"/>
    <x v="16"/>
  </r>
  <r>
    <x v="0"/>
    <x v="10"/>
    <x v="16"/>
  </r>
  <r>
    <x v="0"/>
    <x v="10"/>
    <x v="16"/>
  </r>
  <r>
    <x v="0"/>
    <x v="10"/>
    <x v="23"/>
  </r>
  <r>
    <x v="0"/>
    <x v="10"/>
    <x v="23"/>
  </r>
  <r>
    <x v="0"/>
    <x v="10"/>
    <x v="19"/>
  </r>
  <r>
    <x v="0"/>
    <x v="10"/>
    <x v="25"/>
  </r>
  <r>
    <x v="0"/>
    <x v="10"/>
    <x v="12"/>
  </r>
  <r>
    <x v="0"/>
    <x v="10"/>
    <x v="12"/>
  </r>
  <r>
    <x v="0"/>
    <x v="10"/>
    <x v="19"/>
  </r>
  <r>
    <x v="0"/>
    <x v="10"/>
    <x v="12"/>
  </r>
  <r>
    <x v="11"/>
    <x v="10"/>
    <x v="12"/>
  </r>
  <r>
    <x v="8"/>
    <x v="10"/>
    <x v="19"/>
  </r>
  <r>
    <x v="0"/>
    <x v="10"/>
    <x v="24"/>
  </r>
  <r>
    <x v="0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8"/>
    <x v="10"/>
    <x v="16"/>
  </r>
  <r>
    <x v="0"/>
    <x v="10"/>
    <x v="10"/>
  </r>
  <r>
    <x v="8"/>
    <x v="10"/>
    <x v="28"/>
  </r>
  <r>
    <x v="8"/>
    <x v="10"/>
    <x v="21"/>
  </r>
  <r>
    <x v="170"/>
    <x v="10"/>
    <x v="18"/>
  </r>
  <r>
    <x v="31"/>
    <x v="10"/>
    <x v="18"/>
  </r>
  <r>
    <x v="47"/>
    <x v="10"/>
    <x v="18"/>
  </r>
  <r>
    <x v="0"/>
    <x v="10"/>
    <x v="18"/>
  </r>
  <r>
    <x v="192"/>
    <x v="10"/>
    <x v="18"/>
  </r>
  <r>
    <x v="0"/>
    <x v="10"/>
    <x v="17"/>
  </r>
  <r>
    <x v="12"/>
    <x v="10"/>
    <x v="17"/>
  </r>
  <r>
    <x v="0"/>
    <x v="10"/>
    <x v="8"/>
  </r>
  <r>
    <x v="7"/>
    <x v="10"/>
    <x v="8"/>
  </r>
  <r>
    <x v="207"/>
    <x v="10"/>
    <x v="2"/>
  </r>
  <r>
    <x v="20"/>
    <x v="10"/>
    <x v="2"/>
  </r>
  <r>
    <x v="43"/>
    <x v="10"/>
    <x v="2"/>
  </r>
  <r>
    <x v="68"/>
    <x v="10"/>
    <x v="2"/>
  </r>
  <r>
    <x v="86"/>
    <x v="10"/>
    <x v="2"/>
  </r>
  <r>
    <x v="61"/>
    <x v="10"/>
    <x v="2"/>
  </r>
  <r>
    <x v="364"/>
    <x v="10"/>
    <x v="2"/>
  </r>
  <r>
    <x v="0"/>
    <x v="10"/>
    <x v="20"/>
  </r>
  <r>
    <x v="0"/>
    <x v="10"/>
    <x v="20"/>
  </r>
  <r>
    <x v="0"/>
    <x v="10"/>
    <x v="20"/>
  </r>
  <r>
    <x v="19"/>
    <x v="10"/>
    <x v="9"/>
  </r>
  <r>
    <x v="40"/>
    <x v="10"/>
    <x v="9"/>
  </r>
  <r>
    <x v="0"/>
    <x v="10"/>
    <x v="9"/>
  </r>
  <r>
    <x v="14"/>
    <x v="10"/>
    <x v="9"/>
  </r>
  <r>
    <x v="5"/>
    <x v="10"/>
    <x v="9"/>
  </r>
  <r>
    <x v="37"/>
    <x v="10"/>
    <x v="9"/>
  </r>
  <r>
    <x v="19"/>
    <x v="10"/>
    <x v="9"/>
  </r>
  <r>
    <x v="108"/>
    <x v="10"/>
    <x v="9"/>
  </r>
  <r>
    <x v="56"/>
    <x v="10"/>
    <x v="9"/>
  </r>
  <r>
    <x v="11"/>
    <x v="10"/>
    <x v="9"/>
  </r>
  <r>
    <x v="35"/>
    <x v="10"/>
    <x v="9"/>
  </r>
  <r>
    <x v="49"/>
    <x v="10"/>
    <x v="9"/>
  </r>
  <r>
    <x v="309"/>
    <x v="10"/>
    <x v="9"/>
  </r>
  <r>
    <x v="239"/>
    <x v="10"/>
    <x v="9"/>
  </r>
  <r>
    <x v="160"/>
    <x v="10"/>
    <x v="9"/>
  </r>
  <r>
    <x v="9"/>
    <x v="10"/>
    <x v="13"/>
  </r>
  <r>
    <x v="191"/>
    <x v="10"/>
    <x v="15"/>
  </r>
  <r>
    <x v="565"/>
    <x v="10"/>
    <x v="15"/>
  </r>
  <r>
    <x v="96"/>
    <x v="10"/>
    <x v="15"/>
  </r>
  <r>
    <x v="186"/>
    <x v="10"/>
    <x v="15"/>
  </r>
  <r>
    <x v="322"/>
    <x v="10"/>
    <x v="15"/>
  </r>
  <r>
    <x v="0"/>
    <x v="10"/>
    <x v="25"/>
  </r>
  <r>
    <x v="0"/>
    <x v="10"/>
    <x v="26"/>
  </r>
  <r>
    <x v="8"/>
    <x v="10"/>
    <x v="22"/>
  </r>
  <r>
    <x v="11"/>
    <x v="10"/>
    <x v="28"/>
  </r>
  <r>
    <x v="0"/>
    <x v="10"/>
    <x v="3"/>
  </r>
  <r>
    <x v="0"/>
    <x v="10"/>
    <x v="3"/>
  </r>
  <r>
    <x v="8"/>
    <x v="10"/>
    <x v="28"/>
  </r>
  <r>
    <x v="399"/>
    <x v="10"/>
    <x v="15"/>
  </r>
  <r>
    <x v="219"/>
    <x v="10"/>
    <x v="15"/>
  </r>
  <r>
    <x v="0"/>
    <x v="10"/>
    <x v="13"/>
  </r>
  <r>
    <x v="291"/>
    <x v="10"/>
    <x v="2"/>
  </r>
  <r>
    <x v="0"/>
    <x v="10"/>
    <x v="24"/>
  </r>
  <r>
    <x v="0"/>
    <x v="10"/>
    <x v="4"/>
  </r>
  <r>
    <x v="0"/>
    <x v="10"/>
    <x v="5"/>
  </r>
  <r>
    <x v="0"/>
    <x v="10"/>
    <x v="6"/>
  </r>
  <r>
    <x v="460"/>
    <x v="10"/>
    <x v="0"/>
  </r>
  <r>
    <x v="0"/>
    <x v="10"/>
    <x v="1"/>
  </r>
  <r>
    <x v="8"/>
    <x v="10"/>
    <x v="28"/>
  </r>
  <r>
    <x v="9"/>
    <x v="10"/>
    <x v="14"/>
  </r>
  <r>
    <x v="0"/>
    <x v="10"/>
    <x v="28"/>
  </r>
  <r>
    <x v="0"/>
    <x v="10"/>
    <x v="28"/>
  </r>
  <r>
    <x v="0"/>
    <x v="10"/>
    <x v="7"/>
  </r>
  <r>
    <x v="0"/>
    <x v="10"/>
    <x v="28"/>
  </r>
  <r>
    <x v="0"/>
    <x v="10"/>
    <x v="27"/>
  </r>
  <r>
    <x v="0"/>
    <x v="10"/>
    <x v="25"/>
  </r>
  <r>
    <x v="0"/>
    <x v="10"/>
    <x v="16"/>
  </r>
  <r>
    <x v="0"/>
    <x v="10"/>
    <x v="16"/>
  </r>
  <r>
    <x v="0"/>
    <x v="10"/>
    <x v="16"/>
  </r>
  <r>
    <x v="0"/>
    <x v="10"/>
    <x v="23"/>
  </r>
  <r>
    <x v="0"/>
    <x v="10"/>
    <x v="23"/>
  </r>
  <r>
    <x v="0"/>
    <x v="10"/>
    <x v="19"/>
  </r>
  <r>
    <x v="0"/>
    <x v="10"/>
    <x v="25"/>
  </r>
  <r>
    <x v="0"/>
    <x v="10"/>
    <x v="12"/>
  </r>
  <r>
    <x v="0"/>
    <x v="10"/>
    <x v="12"/>
  </r>
  <r>
    <x v="0"/>
    <x v="10"/>
    <x v="19"/>
  </r>
  <r>
    <x v="0"/>
    <x v="10"/>
    <x v="12"/>
  </r>
  <r>
    <x v="0"/>
    <x v="10"/>
    <x v="12"/>
  </r>
  <r>
    <x v="0"/>
    <x v="10"/>
    <x v="19"/>
  </r>
  <r>
    <x v="0"/>
    <x v="10"/>
    <x v="24"/>
  </r>
  <r>
    <x v="0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0"/>
    <x v="10"/>
    <x v="16"/>
  </r>
  <r>
    <x v="0"/>
    <x v="10"/>
    <x v="10"/>
  </r>
  <r>
    <x v="0"/>
    <x v="10"/>
    <x v="28"/>
  </r>
  <r>
    <x v="0"/>
    <x v="10"/>
    <x v="21"/>
  </r>
  <r>
    <x v="4"/>
    <x v="10"/>
    <x v="18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7"/>
  </r>
  <r>
    <x v="0"/>
    <x v="10"/>
    <x v="17"/>
  </r>
  <r>
    <x v="0"/>
    <x v="10"/>
    <x v="8"/>
  </r>
  <r>
    <x v="0"/>
    <x v="10"/>
    <x v="8"/>
  </r>
  <r>
    <x v="6"/>
    <x v="10"/>
    <x v="2"/>
  </r>
  <r>
    <x v="0"/>
    <x v="10"/>
    <x v="2"/>
  </r>
  <r>
    <x v="0"/>
    <x v="10"/>
    <x v="2"/>
  </r>
  <r>
    <x v="0"/>
    <x v="10"/>
    <x v="2"/>
  </r>
  <r>
    <x v="0"/>
    <x v="10"/>
    <x v="2"/>
  </r>
  <r>
    <x v="0"/>
    <x v="10"/>
    <x v="2"/>
  </r>
  <r>
    <x v="120"/>
    <x v="10"/>
    <x v="2"/>
  </r>
  <r>
    <x v="0"/>
    <x v="10"/>
    <x v="20"/>
  </r>
  <r>
    <x v="0"/>
    <x v="10"/>
    <x v="20"/>
  </r>
  <r>
    <x v="0"/>
    <x v="10"/>
    <x v="20"/>
  </r>
  <r>
    <x v="7"/>
    <x v="10"/>
    <x v="9"/>
  </r>
  <r>
    <x v="22"/>
    <x v="10"/>
    <x v="9"/>
  </r>
  <r>
    <x v="39"/>
    <x v="10"/>
    <x v="9"/>
  </r>
  <r>
    <x v="18"/>
    <x v="10"/>
    <x v="9"/>
  </r>
  <r>
    <x v="0"/>
    <x v="10"/>
    <x v="9"/>
  </r>
  <r>
    <x v="0"/>
    <x v="10"/>
    <x v="9"/>
  </r>
  <r>
    <x v="59"/>
    <x v="10"/>
    <x v="9"/>
  </r>
  <r>
    <x v="185"/>
    <x v="10"/>
    <x v="9"/>
  </r>
  <r>
    <x v="0"/>
    <x v="10"/>
    <x v="9"/>
  </r>
  <r>
    <x v="22"/>
    <x v="10"/>
    <x v="9"/>
  </r>
  <r>
    <x v="20"/>
    <x v="10"/>
    <x v="9"/>
  </r>
  <r>
    <x v="71"/>
    <x v="10"/>
    <x v="9"/>
  </r>
  <r>
    <x v="277"/>
    <x v="10"/>
    <x v="9"/>
  </r>
  <r>
    <x v="164"/>
    <x v="10"/>
    <x v="9"/>
  </r>
  <r>
    <x v="8"/>
    <x v="10"/>
    <x v="9"/>
  </r>
  <r>
    <x v="0"/>
    <x v="10"/>
    <x v="13"/>
  </r>
  <r>
    <x v="0"/>
    <x v="10"/>
    <x v="15"/>
  </r>
  <r>
    <x v="107"/>
    <x v="10"/>
    <x v="15"/>
  </r>
  <r>
    <x v="302"/>
    <x v="10"/>
    <x v="15"/>
  </r>
  <r>
    <x v="232"/>
    <x v="10"/>
    <x v="15"/>
  </r>
  <r>
    <x v="306"/>
    <x v="10"/>
    <x v="15"/>
  </r>
  <r>
    <x v="0"/>
    <x v="10"/>
    <x v="25"/>
  </r>
  <r>
    <x v="0"/>
    <x v="10"/>
    <x v="26"/>
  </r>
  <r>
    <x v="0"/>
    <x v="10"/>
    <x v="22"/>
  </r>
  <r>
    <x v="0"/>
    <x v="10"/>
    <x v="28"/>
  </r>
  <r>
    <x v="0"/>
    <x v="10"/>
    <x v="3"/>
  </r>
  <r>
    <x v="0"/>
    <x v="10"/>
    <x v="3"/>
  </r>
  <r>
    <x v="0"/>
    <x v="10"/>
    <x v="28"/>
  </r>
  <r>
    <x v="51"/>
    <x v="10"/>
    <x v="15"/>
  </r>
  <r>
    <x v="64"/>
    <x v="10"/>
    <x v="15"/>
  </r>
  <r>
    <x v="0"/>
    <x v="10"/>
    <x v="13"/>
  </r>
  <r>
    <x v="6"/>
    <x v="10"/>
    <x v="2"/>
  </r>
  <r>
    <x v="0"/>
    <x v="10"/>
    <x v="24"/>
  </r>
  <r>
    <x v="0"/>
    <x v="10"/>
    <x v="4"/>
  </r>
  <r>
    <x v="0"/>
    <x v="10"/>
    <x v="5"/>
  </r>
  <r>
    <x v="0"/>
    <x v="10"/>
    <x v="6"/>
  </r>
  <r>
    <x v="512"/>
    <x v="10"/>
    <x v="0"/>
  </r>
  <r>
    <x v="0"/>
    <x v="10"/>
    <x v="1"/>
  </r>
  <r>
    <x v="0"/>
    <x v="10"/>
    <x v="28"/>
  </r>
  <r>
    <x v="0"/>
    <x v="10"/>
    <x v="14"/>
  </r>
  <r>
    <x v="0"/>
    <x v="10"/>
    <x v="28"/>
  </r>
  <r>
    <x v="0"/>
    <x v="10"/>
    <x v="28"/>
  </r>
  <r>
    <x v="0"/>
    <x v="10"/>
    <x v="7"/>
  </r>
  <r>
    <x v="0"/>
    <x v="10"/>
    <x v="28"/>
  </r>
  <r>
    <x v="0"/>
    <x v="10"/>
    <x v="27"/>
  </r>
  <r>
    <x v="0"/>
    <x v="10"/>
    <x v="25"/>
  </r>
  <r>
    <x v="0"/>
    <x v="10"/>
    <x v="16"/>
  </r>
  <r>
    <x v="0"/>
    <x v="10"/>
    <x v="16"/>
  </r>
  <r>
    <x v="0"/>
    <x v="10"/>
    <x v="16"/>
  </r>
  <r>
    <x v="0"/>
    <x v="10"/>
    <x v="23"/>
  </r>
  <r>
    <x v="0"/>
    <x v="10"/>
    <x v="23"/>
  </r>
  <r>
    <x v="12"/>
    <x v="10"/>
    <x v="19"/>
  </r>
  <r>
    <x v="0"/>
    <x v="10"/>
    <x v="25"/>
  </r>
  <r>
    <x v="0"/>
    <x v="10"/>
    <x v="12"/>
  </r>
  <r>
    <x v="0"/>
    <x v="10"/>
    <x v="12"/>
  </r>
  <r>
    <x v="19"/>
    <x v="10"/>
    <x v="19"/>
  </r>
  <r>
    <x v="0"/>
    <x v="10"/>
    <x v="12"/>
  </r>
  <r>
    <x v="0"/>
    <x v="10"/>
    <x v="12"/>
  </r>
  <r>
    <x v="0"/>
    <x v="10"/>
    <x v="19"/>
  </r>
  <r>
    <x v="10"/>
    <x v="10"/>
    <x v="24"/>
  </r>
  <r>
    <x v="0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0"/>
    <x v="10"/>
    <x v="16"/>
  </r>
  <r>
    <x v="0"/>
    <x v="10"/>
    <x v="10"/>
  </r>
  <r>
    <x v="0"/>
    <x v="10"/>
    <x v="28"/>
  </r>
  <r>
    <x v="0"/>
    <x v="10"/>
    <x v="21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7"/>
  </r>
  <r>
    <x v="0"/>
    <x v="10"/>
    <x v="17"/>
  </r>
  <r>
    <x v="0"/>
    <x v="10"/>
    <x v="8"/>
  </r>
  <r>
    <x v="0"/>
    <x v="10"/>
    <x v="8"/>
  </r>
  <r>
    <x v="38"/>
    <x v="10"/>
    <x v="2"/>
  </r>
  <r>
    <x v="11"/>
    <x v="10"/>
    <x v="2"/>
  </r>
  <r>
    <x v="17"/>
    <x v="10"/>
    <x v="2"/>
  </r>
  <r>
    <x v="0"/>
    <x v="10"/>
    <x v="2"/>
  </r>
  <r>
    <x v="6"/>
    <x v="10"/>
    <x v="2"/>
  </r>
  <r>
    <x v="0"/>
    <x v="10"/>
    <x v="2"/>
  </r>
  <r>
    <x v="187"/>
    <x v="10"/>
    <x v="2"/>
  </r>
  <r>
    <x v="0"/>
    <x v="10"/>
    <x v="20"/>
  </r>
  <r>
    <x v="0"/>
    <x v="10"/>
    <x v="20"/>
  </r>
  <r>
    <x v="0"/>
    <x v="10"/>
    <x v="20"/>
  </r>
  <r>
    <x v="7"/>
    <x v="10"/>
    <x v="9"/>
  </r>
  <r>
    <x v="0"/>
    <x v="10"/>
    <x v="9"/>
  </r>
  <r>
    <x v="51"/>
    <x v="10"/>
    <x v="9"/>
  </r>
  <r>
    <x v="5"/>
    <x v="10"/>
    <x v="9"/>
  </r>
  <r>
    <x v="11"/>
    <x v="10"/>
    <x v="9"/>
  </r>
  <r>
    <x v="0"/>
    <x v="10"/>
    <x v="9"/>
  </r>
  <r>
    <x v="42"/>
    <x v="10"/>
    <x v="9"/>
  </r>
  <r>
    <x v="190"/>
    <x v="10"/>
    <x v="9"/>
  </r>
  <r>
    <x v="7"/>
    <x v="10"/>
    <x v="9"/>
  </r>
  <r>
    <x v="0"/>
    <x v="10"/>
    <x v="9"/>
  </r>
  <r>
    <x v="0"/>
    <x v="10"/>
    <x v="9"/>
  </r>
  <r>
    <x v="11"/>
    <x v="10"/>
    <x v="9"/>
  </r>
  <r>
    <x v="295"/>
    <x v="10"/>
    <x v="9"/>
  </r>
  <r>
    <x v="181"/>
    <x v="10"/>
    <x v="9"/>
  </r>
  <r>
    <x v="24"/>
    <x v="10"/>
    <x v="9"/>
  </r>
  <r>
    <x v="0"/>
    <x v="10"/>
    <x v="13"/>
  </r>
  <r>
    <x v="0"/>
    <x v="10"/>
    <x v="15"/>
  </r>
  <r>
    <x v="126"/>
    <x v="10"/>
    <x v="15"/>
  </r>
  <r>
    <x v="193"/>
    <x v="10"/>
    <x v="15"/>
  </r>
  <r>
    <x v="329"/>
    <x v="10"/>
    <x v="15"/>
  </r>
  <r>
    <x v="355"/>
    <x v="10"/>
    <x v="15"/>
  </r>
  <r>
    <x v="0"/>
    <x v="10"/>
    <x v="25"/>
  </r>
  <r>
    <x v="0"/>
    <x v="10"/>
    <x v="26"/>
  </r>
  <r>
    <x v="0"/>
    <x v="10"/>
    <x v="22"/>
  </r>
  <r>
    <x v="0"/>
    <x v="10"/>
    <x v="28"/>
  </r>
  <r>
    <x v="0"/>
    <x v="10"/>
    <x v="3"/>
  </r>
  <r>
    <x v="0"/>
    <x v="10"/>
    <x v="3"/>
  </r>
  <r>
    <x v="0"/>
    <x v="10"/>
    <x v="28"/>
  </r>
  <r>
    <x v="76"/>
    <x v="10"/>
    <x v="15"/>
  </r>
  <r>
    <x v="18"/>
    <x v="10"/>
    <x v="15"/>
  </r>
  <r>
    <x v="0"/>
    <x v="10"/>
    <x v="13"/>
  </r>
  <r>
    <x v="35"/>
    <x v="10"/>
    <x v="2"/>
  </r>
  <r>
    <x v="0"/>
    <x v="10"/>
    <x v="24"/>
  </r>
  <r>
    <x v="0"/>
    <x v="10"/>
    <x v="4"/>
  </r>
  <r>
    <x v="0"/>
    <x v="10"/>
    <x v="5"/>
  </r>
  <r>
    <x v="0"/>
    <x v="10"/>
    <x v="6"/>
  </r>
  <r>
    <x v="588"/>
    <x v="10"/>
    <x v="0"/>
  </r>
  <r>
    <x v="15"/>
    <x v="10"/>
    <x v="1"/>
  </r>
  <r>
    <x v="34"/>
    <x v="10"/>
    <x v="28"/>
  </r>
  <r>
    <x v="26"/>
    <x v="10"/>
    <x v="14"/>
  </r>
  <r>
    <x v="16"/>
    <x v="10"/>
    <x v="28"/>
  </r>
  <r>
    <x v="0"/>
    <x v="10"/>
    <x v="28"/>
  </r>
  <r>
    <x v="0"/>
    <x v="10"/>
    <x v="7"/>
  </r>
  <r>
    <x v="0"/>
    <x v="10"/>
    <x v="28"/>
  </r>
  <r>
    <x v="0"/>
    <x v="10"/>
    <x v="27"/>
  </r>
  <r>
    <x v="0"/>
    <x v="10"/>
    <x v="25"/>
  </r>
  <r>
    <x v="8"/>
    <x v="10"/>
    <x v="16"/>
  </r>
  <r>
    <x v="6"/>
    <x v="10"/>
    <x v="16"/>
  </r>
  <r>
    <x v="20"/>
    <x v="10"/>
    <x v="16"/>
  </r>
  <r>
    <x v="0"/>
    <x v="10"/>
    <x v="23"/>
  </r>
  <r>
    <x v="9"/>
    <x v="10"/>
    <x v="23"/>
  </r>
  <r>
    <x v="0"/>
    <x v="10"/>
    <x v="19"/>
  </r>
  <r>
    <x v="0"/>
    <x v="10"/>
    <x v="25"/>
  </r>
  <r>
    <x v="0"/>
    <x v="10"/>
    <x v="12"/>
  </r>
  <r>
    <x v="4"/>
    <x v="10"/>
    <x v="12"/>
  </r>
  <r>
    <x v="2"/>
    <x v="10"/>
    <x v="19"/>
  </r>
  <r>
    <x v="0"/>
    <x v="10"/>
    <x v="12"/>
  </r>
  <r>
    <x v="6"/>
    <x v="10"/>
    <x v="12"/>
  </r>
  <r>
    <x v="0"/>
    <x v="10"/>
    <x v="19"/>
  </r>
  <r>
    <x v="0"/>
    <x v="10"/>
    <x v="24"/>
  </r>
  <r>
    <x v="5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0"/>
    <x v="10"/>
    <x v="16"/>
  </r>
  <r>
    <x v="9"/>
    <x v="10"/>
    <x v="10"/>
  </r>
  <r>
    <x v="0"/>
    <x v="10"/>
    <x v="28"/>
  </r>
  <r>
    <x v="17"/>
    <x v="10"/>
    <x v="21"/>
  </r>
  <r>
    <x v="21"/>
    <x v="10"/>
    <x v="18"/>
  </r>
  <r>
    <x v="0"/>
    <x v="10"/>
    <x v="18"/>
  </r>
  <r>
    <x v="0"/>
    <x v="10"/>
    <x v="18"/>
  </r>
  <r>
    <x v="27"/>
    <x v="10"/>
    <x v="18"/>
  </r>
  <r>
    <x v="7"/>
    <x v="10"/>
    <x v="18"/>
  </r>
  <r>
    <x v="0"/>
    <x v="10"/>
    <x v="17"/>
  </r>
  <r>
    <x v="16"/>
    <x v="10"/>
    <x v="17"/>
  </r>
  <r>
    <x v="0"/>
    <x v="10"/>
    <x v="8"/>
  </r>
  <r>
    <x v="0"/>
    <x v="10"/>
    <x v="8"/>
  </r>
  <r>
    <x v="112"/>
    <x v="10"/>
    <x v="2"/>
  </r>
  <r>
    <x v="27"/>
    <x v="10"/>
    <x v="2"/>
  </r>
  <r>
    <x v="31"/>
    <x v="10"/>
    <x v="2"/>
  </r>
  <r>
    <x v="0"/>
    <x v="10"/>
    <x v="2"/>
  </r>
  <r>
    <x v="58"/>
    <x v="10"/>
    <x v="2"/>
  </r>
  <r>
    <x v="19"/>
    <x v="10"/>
    <x v="2"/>
  </r>
  <r>
    <x v="339"/>
    <x v="10"/>
    <x v="2"/>
  </r>
  <r>
    <x v="5"/>
    <x v="10"/>
    <x v="20"/>
  </r>
  <r>
    <x v="0"/>
    <x v="10"/>
    <x v="20"/>
  </r>
  <r>
    <x v="0"/>
    <x v="10"/>
    <x v="20"/>
  </r>
  <r>
    <x v="60"/>
    <x v="10"/>
    <x v="9"/>
  </r>
  <r>
    <x v="120"/>
    <x v="10"/>
    <x v="9"/>
  </r>
  <r>
    <x v="132"/>
    <x v="10"/>
    <x v="9"/>
  </r>
  <r>
    <x v="72"/>
    <x v="10"/>
    <x v="9"/>
  </r>
  <r>
    <x v="27"/>
    <x v="10"/>
    <x v="9"/>
  </r>
  <r>
    <x v="48"/>
    <x v="10"/>
    <x v="9"/>
  </r>
  <r>
    <x v="138"/>
    <x v="10"/>
    <x v="9"/>
  </r>
  <r>
    <x v="299"/>
    <x v="10"/>
    <x v="9"/>
  </r>
  <r>
    <x v="46"/>
    <x v="10"/>
    <x v="9"/>
  </r>
  <r>
    <x v="0"/>
    <x v="10"/>
    <x v="9"/>
  </r>
  <r>
    <x v="30"/>
    <x v="10"/>
    <x v="9"/>
  </r>
  <r>
    <x v="118"/>
    <x v="10"/>
    <x v="9"/>
  </r>
  <r>
    <x v="443"/>
    <x v="10"/>
    <x v="9"/>
  </r>
  <r>
    <x v="365"/>
    <x v="10"/>
    <x v="9"/>
  </r>
  <r>
    <x v="153"/>
    <x v="10"/>
    <x v="9"/>
  </r>
  <r>
    <x v="17"/>
    <x v="10"/>
    <x v="13"/>
  </r>
  <r>
    <x v="78"/>
    <x v="10"/>
    <x v="15"/>
  </r>
  <r>
    <x v="340"/>
    <x v="10"/>
    <x v="15"/>
  </r>
  <r>
    <x v="316"/>
    <x v="10"/>
    <x v="15"/>
  </r>
  <r>
    <x v="384"/>
    <x v="10"/>
    <x v="15"/>
  </r>
  <r>
    <x v="568"/>
    <x v="10"/>
    <x v="15"/>
  </r>
  <r>
    <x v="0"/>
    <x v="10"/>
    <x v="25"/>
  </r>
  <r>
    <x v="0"/>
    <x v="10"/>
    <x v="26"/>
  </r>
  <r>
    <x v="0"/>
    <x v="10"/>
    <x v="22"/>
  </r>
  <r>
    <x v="24"/>
    <x v="10"/>
    <x v="28"/>
  </r>
  <r>
    <x v="19"/>
    <x v="10"/>
    <x v="3"/>
  </r>
  <r>
    <x v="102"/>
    <x v="10"/>
    <x v="3"/>
  </r>
  <r>
    <x v="0"/>
    <x v="10"/>
    <x v="28"/>
  </r>
  <r>
    <x v="317"/>
    <x v="10"/>
    <x v="15"/>
  </r>
  <r>
    <x v="444"/>
    <x v="10"/>
    <x v="15"/>
  </r>
  <r>
    <x v="8"/>
    <x v="10"/>
    <x v="13"/>
  </r>
  <r>
    <x v="215"/>
    <x v="10"/>
    <x v="2"/>
  </r>
  <r>
    <x v="0"/>
    <x v="10"/>
    <x v="24"/>
  </r>
  <r>
    <x v="0"/>
    <x v="10"/>
    <x v="4"/>
  </r>
  <r>
    <x v="0"/>
    <x v="10"/>
    <x v="5"/>
  </r>
  <r>
    <x v="0"/>
    <x v="10"/>
    <x v="6"/>
  </r>
  <r>
    <x v="476"/>
    <x v="20"/>
    <x v="0"/>
  </r>
  <r>
    <x v="3"/>
    <x v="20"/>
    <x v="1"/>
  </r>
  <r>
    <x v="0"/>
    <x v="20"/>
    <x v="28"/>
  </r>
  <r>
    <x v="0"/>
    <x v="20"/>
    <x v="14"/>
  </r>
  <r>
    <x v="0"/>
    <x v="20"/>
    <x v="28"/>
  </r>
  <r>
    <x v="0"/>
    <x v="20"/>
    <x v="28"/>
  </r>
  <r>
    <x v="0"/>
    <x v="20"/>
    <x v="7"/>
  </r>
  <r>
    <x v="0"/>
    <x v="20"/>
    <x v="28"/>
  </r>
  <r>
    <x v="0"/>
    <x v="20"/>
    <x v="27"/>
  </r>
  <r>
    <x v="112"/>
    <x v="20"/>
    <x v="25"/>
  </r>
  <r>
    <x v="0"/>
    <x v="20"/>
    <x v="16"/>
  </r>
  <r>
    <x v="0"/>
    <x v="20"/>
    <x v="16"/>
  </r>
  <r>
    <x v="7"/>
    <x v="20"/>
    <x v="16"/>
  </r>
  <r>
    <x v="0"/>
    <x v="20"/>
    <x v="23"/>
  </r>
  <r>
    <x v="46"/>
    <x v="20"/>
    <x v="23"/>
  </r>
  <r>
    <x v="45"/>
    <x v="20"/>
    <x v="19"/>
  </r>
  <r>
    <x v="244"/>
    <x v="20"/>
    <x v="25"/>
  </r>
  <r>
    <x v="155"/>
    <x v="20"/>
    <x v="12"/>
  </r>
  <r>
    <x v="261"/>
    <x v="20"/>
    <x v="12"/>
  </r>
  <r>
    <x v="229"/>
    <x v="20"/>
    <x v="19"/>
  </r>
  <r>
    <x v="99"/>
    <x v="20"/>
    <x v="12"/>
  </r>
  <r>
    <x v="211"/>
    <x v="20"/>
    <x v="12"/>
  </r>
  <r>
    <x v="79"/>
    <x v="20"/>
    <x v="19"/>
  </r>
  <r>
    <x v="0"/>
    <x v="20"/>
    <x v="24"/>
  </r>
  <r>
    <x v="0"/>
    <x v="20"/>
    <x v="11"/>
  </r>
  <r>
    <x v="0"/>
    <x v="20"/>
    <x v="11"/>
  </r>
  <r>
    <x v="0"/>
    <x v="20"/>
    <x v="28"/>
  </r>
  <r>
    <x v="0"/>
    <x v="20"/>
    <x v="28"/>
  </r>
  <r>
    <x v="4"/>
    <x v="20"/>
    <x v="16"/>
  </r>
  <r>
    <x v="8"/>
    <x v="20"/>
    <x v="16"/>
  </r>
  <r>
    <x v="0"/>
    <x v="20"/>
    <x v="10"/>
  </r>
  <r>
    <x v="0"/>
    <x v="20"/>
    <x v="28"/>
  </r>
  <r>
    <x v="0"/>
    <x v="20"/>
    <x v="21"/>
  </r>
  <r>
    <x v="0"/>
    <x v="20"/>
    <x v="18"/>
  </r>
  <r>
    <x v="0"/>
    <x v="20"/>
    <x v="18"/>
  </r>
  <r>
    <x v="0"/>
    <x v="20"/>
    <x v="18"/>
  </r>
  <r>
    <x v="0"/>
    <x v="20"/>
    <x v="18"/>
  </r>
  <r>
    <x v="0"/>
    <x v="20"/>
    <x v="18"/>
  </r>
  <r>
    <x v="0"/>
    <x v="20"/>
    <x v="17"/>
  </r>
  <r>
    <x v="0"/>
    <x v="20"/>
    <x v="17"/>
  </r>
  <r>
    <x v="0"/>
    <x v="20"/>
    <x v="8"/>
  </r>
  <r>
    <x v="0"/>
    <x v="20"/>
    <x v="8"/>
  </r>
  <r>
    <x v="0"/>
    <x v="20"/>
    <x v="2"/>
  </r>
  <r>
    <x v="0"/>
    <x v="20"/>
    <x v="2"/>
  </r>
  <r>
    <x v="0"/>
    <x v="20"/>
    <x v="2"/>
  </r>
  <r>
    <x v="0"/>
    <x v="20"/>
    <x v="2"/>
  </r>
  <r>
    <x v="0"/>
    <x v="20"/>
    <x v="2"/>
  </r>
  <r>
    <x v="0"/>
    <x v="20"/>
    <x v="2"/>
  </r>
  <r>
    <x v="13"/>
    <x v="20"/>
    <x v="2"/>
  </r>
  <r>
    <x v="9"/>
    <x v="20"/>
    <x v="20"/>
  </r>
  <r>
    <x v="7"/>
    <x v="20"/>
    <x v="20"/>
  </r>
  <r>
    <x v="22"/>
    <x v="20"/>
    <x v="20"/>
  </r>
  <r>
    <x v="0"/>
    <x v="20"/>
    <x v="9"/>
  </r>
  <r>
    <x v="0"/>
    <x v="20"/>
    <x v="9"/>
  </r>
  <r>
    <x v="0"/>
    <x v="20"/>
    <x v="9"/>
  </r>
  <r>
    <x v="6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9"/>
  </r>
  <r>
    <x v="0"/>
    <x v="20"/>
    <x v="13"/>
  </r>
  <r>
    <x v="0"/>
    <x v="20"/>
    <x v="15"/>
  </r>
  <r>
    <x v="0"/>
    <x v="20"/>
    <x v="15"/>
  </r>
  <r>
    <x v="0"/>
    <x v="20"/>
    <x v="15"/>
  </r>
  <r>
    <x v="0"/>
    <x v="20"/>
    <x v="15"/>
  </r>
  <r>
    <x v="0"/>
    <x v="20"/>
    <x v="15"/>
  </r>
  <r>
    <x v="390"/>
    <x v="20"/>
    <x v="25"/>
  </r>
  <r>
    <x v="0"/>
    <x v="20"/>
    <x v="26"/>
  </r>
  <r>
    <x v="0"/>
    <x v="20"/>
    <x v="22"/>
  </r>
  <r>
    <x v="0"/>
    <x v="20"/>
    <x v="28"/>
  </r>
  <r>
    <x v="0"/>
    <x v="20"/>
    <x v="3"/>
  </r>
  <r>
    <x v="0"/>
    <x v="20"/>
    <x v="3"/>
  </r>
  <r>
    <x v="0"/>
    <x v="20"/>
    <x v="28"/>
  </r>
  <r>
    <x v="0"/>
    <x v="20"/>
    <x v="15"/>
  </r>
  <r>
    <x v="0"/>
    <x v="20"/>
    <x v="15"/>
  </r>
  <r>
    <x v="0"/>
    <x v="20"/>
    <x v="13"/>
  </r>
  <r>
    <x v="0"/>
    <x v="20"/>
    <x v="2"/>
  </r>
  <r>
    <x v="0"/>
    <x v="20"/>
    <x v="24"/>
  </r>
  <r>
    <x v="0"/>
    <x v="20"/>
    <x v="4"/>
  </r>
  <r>
    <x v="0"/>
    <x v="20"/>
    <x v="5"/>
  </r>
  <r>
    <x v="23"/>
    <x v="20"/>
    <x v="6"/>
  </r>
  <r>
    <x v="559"/>
    <x v="7"/>
    <x v="0"/>
  </r>
  <r>
    <x v="0"/>
    <x v="7"/>
    <x v="1"/>
  </r>
  <r>
    <x v="6"/>
    <x v="7"/>
    <x v="28"/>
  </r>
  <r>
    <x v="0"/>
    <x v="7"/>
    <x v="14"/>
  </r>
  <r>
    <x v="0"/>
    <x v="7"/>
    <x v="28"/>
  </r>
  <r>
    <x v="0"/>
    <x v="7"/>
    <x v="28"/>
  </r>
  <r>
    <x v="5"/>
    <x v="7"/>
    <x v="7"/>
  </r>
  <r>
    <x v="0"/>
    <x v="7"/>
    <x v="28"/>
  </r>
  <r>
    <x v="0"/>
    <x v="7"/>
    <x v="27"/>
  </r>
  <r>
    <x v="0"/>
    <x v="7"/>
    <x v="25"/>
  </r>
  <r>
    <x v="0"/>
    <x v="7"/>
    <x v="16"/>
  </r>
  <r>
    <x v="9"/>
    <x v="7"/>
    <x v="16"/>
  </r>
  <r>
    <x v="6"/>
    <x v="7"/>
    <x v="16"/>
  </r>
  <r>
    <x v="9"/>
    <x v="7"/>
    <x v="23"/>
  </r>
  <r>
    <x v="13"/>
    <x v="7"/>
    <x v="23"/>
  </r>
  <r>
    <x v="73"/>
    <x v="7"/>
    <x v="19"/>
  </r>
  <r>
    <x v="16"/>
    <x v="7"/>
    <x v="25"/>
  </r>
  <r>
    <x v="121"/>
    <x v="7"/>
    <x v="12"/>
  </r>
  <r>
    <x v="280"/>
    <x v="7"/>
    <x v="12"/>
  </r>
  <r>
    <x v="413"/>
    <x v="7"/>
    <x v="19"/>
  </r>
  <r>
    <x v="375"/>
    <x v="7"/>
    <x v="12"/>
  </r>
  <r>
    <x v="530"/>
    <x v="7"/>
    <x v="12"/>
  </r>
  <r>
    <x v="224"/>
    <x v="7"/>
    <x v="19"/>
  </r>
  <r>
    <x v="18"/>
    <x v="7"/>
    <x v="24"/>
  </r>
  <r>
    <x v="6"/>
    <x v="7"/>
    <x v="11"/>
  </r>
  <r>
    <x v="0"/>
    <x v="7"/>
    <x v="11"/>
  </r>
  <r>
    <x v="0"/>
    <x v="7"/>
    <x v="28"/>
  </r>
  <r>
    <x v="0"/>
    <x v="7"/>
    <x v="28"/>
  </r>
  <r>
    <x v="13"/>
    <x v="7"/>
    <x v="16"/>
  </r>
  <r>
    <x v="10"/>
    <x v="7"/>
    <x v="16"/>
  </r>
  <r>
    <x v="0"/>
    <x v="7"/>
    <x v="10"/>
  </r>
  <r>
    <x v="0"/>
    <x v="7"/>
    <x v="28"/>
  </r>
  <r>
    <x v="0"/>
    <x v="7"/>
    <x v="21"/>
  </r>
  <r>
    <x v="0"/>
    <x v="7"/>
    <x v="18"/>
  </r>
  <r>
    <x v="0"/>
    <x v="7"/>
    <x v="18"/>
  </r>
  <r>
    <x v="0"/>
    <x v="7"/>
    <x v="18"/>
  </r>
  <r>
    <x v="0"/>
    <x v="7"/>
    <x v="18"/>
  </r>
  <r>
    <x v="0"/>
    <x v="7"/>
    <x v="18"/>
  </r>
  <r>
    <x v="0"/>
    <x v="7"/>
    <x v="17"/>
  </r>
  <r>
    <x v="0"/>
    <x v="7"/>
    <x v="17"/>
  </r>
  <r>
    <x v="0"/>
    <x v="7"/>
    <x v="8"/>
  </r>
  <r>
    <x v="0"/>
    <x v="7"/>
    <x v="8"/>
  </r>
  <r>
    <x v="0"/>
    <x v="7"/>
    <x v="2"/>
  </r>
  <r>
    <x v="0"/>
    <x v="7"/>
    <x v="2"/>
  </r>
  <r>
    <x v="0"/>
    <x v="7"/>
    <x v="2"/>
  </r>
  <r>
    <x v="0"/>
    <x v="7"/>
    <x v="2"/>
  </r>
  <r>
    <x v="0"/>
    <x v="7"/>
    <x v="2"/>
  </r>
  <r>
    <x v="0"/>
    <x v="7"/>
    <x v="2"/>
  </r>
  <r>
    <x v="0"/>
    <x v="7"/>
    <x v="2"/>
  </r>
  <r>
    <x v="65"/>
    <x v="7"/>
    <x v="20"/>
  </r>
  <r>
    <x v="25"/>
    <x v="7"/>
    <x v="20"/>
  </r>
  <r>
    <x v="64"/>
    <x v="7"/>
    <x v="20"/>
  </r>
  <r>
    <x v="0"/>
    <x v="7"/>
    <x v="9"/>
  </r>
  <r>
    <x v="0"/>
    <x v="7"/>
    <x v="9"/>
  </r>
  <r>
    <x v="0"/>
    <x v="7"/>
    <x v="9"/>
  </r>
  <r>
    <x v="6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0"/>
    <x v="7"/>
    <x v="9"/>
  </r>
  <r>
    <x v="18"/>
    <x v="7"/>
    <x v="9"/>
  </r>
  <r>
    <x v="0"/>
    <x v="7"/>
    <x v="9"/>
  </r>
  <r>
    <x v="0"/>
    <x v="7"/>
    <x v="13"/>
  </r>
  <r>
    <x v="0"/>
    <x v="7"/>
    <x v="15"/>
  </r>
  <r>
    <x v="0"/>
    <x v="7"/>
    <x v="15"/>
  </r>
  <r>
    <x v="0"/>
    <x v="7"/>
    <x v="15"/>
  </r>
  <r>
    <x v="0"/>
    <x v="7"/>
    <x v="15"/>
  </r>
  <r>
    <x v="0"/>
    <x v="7"/>
    <x v="15"/>
  </r>
  <r>
    <x v="26"/>
    <x v="7"/>
    <x v="25"/>
  </r>
  <r>
    <x v="0"/>
    <x v="7"/>
    <x v="26"/>
  </r>
  <r>
    <x v="0"/>
    <x v="7"/>
    <x v="22"/>
  </r>
  <r>
    <x v="0"/>
    <x v="7"/>
    <x v="28"/>
  </r>
  <r>
    <x v="0"/>
    <x v="7"/>
    <x v="3"/>
  </r>
  <r>
    <x v="0"/>
    <x v="7"/>
    <x v="3"/>
  </r>
  <r>
    <x v="0"/>
    <x v="7"/>
    <x v="28"/>
  </r>
  <r>
    <x v="0"/>
    <x v="7"/>
    <x v="15"/>
  </r>
  <r>
    <x v="0"/>
    <x v="7"/>
    <x v="15"/>
  </r>
  <r>
    <x v="0"/>
    <x v="7"/>
    <x v="13"/>
  </r>
  <r>
    <x v="0"/>
    <x v="7"/>
    <x v="2"/>
  </r>
  <r>
    <x v="10"/>
    <x v="7"/>
    <x v="24"/>
  </r>
  <r>
    <x v="0"/>
    <x v="7"/>
    <x v="4"/>
  </r>
  <r>
    <x v="0"/>
    <x v="7"/>
    <x v="5"/>
  </r>
  <r>
    <x v="0"/>
    <x v="7"/>
    <x v="6"/>
  </r>
  <r>
    <x v="558"/>
    <x v="21"/>
    <x v="0"/>
  </r>
  <r>
    <x v="0"/>
    <x v="21"/>
    <x v="1"/>
  </r>
  <r>
    <x v="8"/>
    <x v="21"/>
    <x v="28"/>
  </r>
  <r>
    <x v="0"/>
    <x v="21"/>
    <x v="14"/>
  </r>
  <r>
    <x v="0"/>
    <x v="21"/>
    <x v="28"/>
  </r>
  <r>
    <x v="0"/>
    <x v="21"/>
    <x v="28"/>
  </r>
  <r>
    <x v="0"/>
    <x v="21"/>
    <x v="7"/>
  </r>
  <r>
    <x v="0"/>
    <x v="21"/>
    <x v="28"/>
  </r>
  <r>
    <x v="0"/>
    <x v="21"/>
    <x v="27"/>
  </r>
  <r>
    <x v="0"/>
    <x v="21"/>
    <x v="25"/>
  </r>
  <r>
    <x v="0"/>
    <x v="21"/>
    <x v="16"/>
  </r>
  <r>
    <x v="0"/>
    <x v="21"/>
    <x v="16"/>
  </r>
  <r>
    <x v="0"/>
    <x v="21"/>
    <x v="16"/>
  </r>
  <r>
    <x v="0"/>
    <x v="21"/>
    <x v="23"/>
  </r>
  <r>
    <x v="0"/>
    <x v="21"/>
    <x v="23"/>
  </r>
  <r>
    <x v="0"/>
    <x v="21"/>
    <x v="19"/>
  </r>
  <r>
    <x v="0"/>
    <x v="21"/>
    <x v="25"/>
  </r>
  <r>
    <x v="0"/>
    <x v="21"/>
    <x v="12"/>
  </r>
  <r>
    <x v="7"/>
    <x v="21"/>
    <x v="12"/>
  </r>
  <r>
    <x v="7"/>
    <x v="21"/>
    <x v="19"/>
  </r>
  <r>
    <x v="0"/>
    <x v="21"/>
    <x v="12"/>
  </r>
  <r>
    <x v="0"/>
    <x v="21"/>
    <x v="12"/>
  </r>
  <r>
    <x v="0"/>
    <x v="21"/>
    <x v="19"/>
  </r>
  <r>
    <x v="9"/>
    <x v="21"/>
    <x v="24"/>
  </r>
  <r>
    <x v="0"/>
    <x v="21"/>
    <x v="11"/>
  </r>
  <r>
    <x v="0"/>
    <x v="21"/>
    <x v="11"/>
  </r>
  <r>
    <x v="0"/>
    <x v="21"/>
    <x v="28"/>
  </r>
  <r>
    <x v="0"/>
    <x v="21"/>
    <x v="28"/>
  </r>
  <r>
    <x v="0"/>
    <x v="21"/>
    <x v="16"/>
  </r>
  <r>
    <x v="0"/>
    <x v="21"/>
    <x v="16"/>
  </r>
  <r>
    <x v="0"/>
    <x v="21"/>
    <x v="10"/>
  </r>
  <r>
    <x v="148"/>
    <x v="21"/>
    <x v="28"/>
  </r>
  <r>
    <x v="0"/>
    <x v="21"/>
    <x v="21"/>
  </r>
  <r>
    <x v="0"/>
    <x v="21"/>
    <x v="18"/>
  </r>
  <r>
    <x v="0"/>
    <x v="21"/>
    <x v="18"/>
  </r>
  <r>
    <x v="0"/>
    <x v="21"/>
    <x v="18"/>
  </r>
  <r>
    <x v="0"/>
    <x v="21"/>
    <x v="18"/>
  </r>
  <r>
    <x v="0"/>
    <x v="21"/>
    <x v="18"/>
  </r>
  <r>
    <x v="5"/>
    <x v="21"/>
    <x v="17"/>
  </r>
  <r>
    <x v="0"/>
    <x v="21"/>
    <x v="17"/>
  </r>
  <r>
    <x v="97"/>
    <x v="21"/>
    <x v="8"/>
  </r>
  <r>
    <x v="225"/>
    <x v="21"/>
    <x v="8"/>
  </r>
  <r>
    <x v="0"/>
    <x v="21"/>
    <x v="2"/>
  </r>
  <r>
    <x v="10"/>
    <x v="21"/>
    <x v="2"/>
  </r>
  <r>
    <x v="0"/>
    <x v="21"/>
    <x v="2"/>
  </r>
  <r>
    <x v="0"/>
    <x v="21"/>
    <x v="2"/>
  </r>
  <r>
    <x v="0"/>
    <x v="21"/>
    <x v="2"/>
  </r>
  <r>
    <x v="0"/>
    <x v="21"/>
    <x v="2"/>
  </r>
  <r>
    <x v="0"/>
    <x v="21"/>
    <x v="2"/>
  </r>
  <r>
    <x v="7"/>
    <x v="21"/>
    <x v="20"/>
  </r>
  <r>
    <x v="0"/>
    <x v="21"/>
    <x v="20"/>
  </r>
  <r>
    <x v="0"/>
    <x v="21"/>
    <x v="20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0"/>
    <x v="21"/>
    <x v="9"/>
  </r>
  <r>
    <x v="18"/>
    <x v="21"/>
    <x v="9"/>
  </r>
  <r>
    <x v="20"/>
    <x v="21"/>
    <x v="9"/>
  </r>
  <r>
    <x v="0"/>
    <x v="21"/>
    <x v="9"/>
  </r>
  <r>
    <x v="0"/>
    <x v="21"/>
    <x v="13"/>
  </r>
  <r>
    <x v="0"/>
    <x v="21"/>
    <x v="15"/>
  </r>
  <r>
    <x v="10"/>
    <x v="21"/>
    <x v="15"/>
  </r>
  <r>
    <x v="0"/>
    <x v="21"/>
    <x v="15"/>
  </r>
  <r>
    <x v="0"/>
    <x v="21"/>
    <x v="15"/>
  </r>
  <r>
    <x v="0"/>
    <x v="21"/>
    <x v="15"/>
  </r>
  <r>
    <x v="0"/>
    <x v="21"/>
    <x v="25"/>
  </r>
  <r>
    <x v="534"/>
    <x v="21"/>
    <x v="26"/>
  </r>
  <r>
    <x v="0"/>
    <x v="21"/>
    <x v="22"/>
  </r>
  <r>
    <x v="0"/>
    <x v="21"/>
    <x v="28"/>
  </r>
  <r>
    <x v="7"/>
    <x v="21"/>
    <x v="3"/>
  </r>
  <r>
    <x v="162"/>
    <x v="21"/>
    <x v="3"/>
  </r>
  <r>
    <x v="5"/>
    <x v="21"/>
    <x v="28"/>
  </r>
  <r>
    <x v="0"/>
    <x v="21"/>
    <x v="15"/>
  </r>
  <r>
    <x v="0"/>
    <x v="21"/>
    <x v="15"/>
  </r>
  <r>
    <x v="0"/>
    <x v="21"/>
    <x v="13"/>
  </r>
  <r>
    <x v="11"/>
    <x v="21"/>
    <x v="2"/>
  </r>
  <r>
    <x v="0"/>
    <x v="21"/>
    <x v="24"/>
  </r>
  <r>
    <x v="0"/>
    <x v="21"/>
    <x v="4"/>
  </r>
  <r>
    <x v="0"/>
    <x v="21"/>
    <x v="5"/>
  </r>
  <r>
    <x v="7"/>
    <x v="21"/>
    <x v="6"/>
  </r>
  <r>
    <x v="540"/>
    <x v="17"/>
    <x v="0"/>
  </r>
  <r>
    <x v="0"/>
    <x v="17"/>
    <x v="1"/>
  </r>
  <r>
    <x v="0"/>
    <x v="17"/>
    <x v="28"/>
  </r>
  <r>
    <x v="0"/>
    <x v="17"/>
    <x v="14"/>
  </r>
  <r>
    <x v="11"/>
    <x v="17"/>
    <x v="28"/>
  </r>
  <r>
    <x v="0"/>
    <x v="17"/>
    <x v="28"/>
  </r>
  <r>
    <x v="0"/>
    <x v="17"/>
    <x v="7"/>
  </r>
  <r>
    <x v="0"/>
    <x v="17"/>
    <x v="28"/>
  </r>
  <r>
    <x v="0"/>
    <x v="17"/>
    <x v="27"/>
  </r>
  <r>
    <x v="0"/>
    <x v="17"/>
    <x v="25"/>
  </r>
  <r>
    <x v="0"/>
    <x v="17"/>
    <x v="16"/>
  </r>
  <r>
    <x v="0"/>
    <x v="17"/>
    <x v="16"/>
  </r>
  <r>
    <x v="0"/>
    <x v="17"/>
    <x v="16"/>
  </r>
  <r>
    <x v="0"/>
    <x v="17"/>
    <x v="23"/>
  </r>
  <r>
    <x v="0"/>
    <x v="17"/>
    <x v="23"/>
  </r>
  <r>
    <x v="0"/>
    <x v="17"/>
    <x v="19"/>
  </r>
  <r>
    <x v="0"/>
    <x v="17"/>
    <x v="25"/>
  </r>
  <r>
    <x v="0"/>
    <x v="17"/>
    <x v="12"/>
  </r>
  <r>
    <x v="14"/>
    <x v="17"/>
    <x v="12"/>
  </r>
  <r>
    <x v="44"/>
    <x v="17"/>
    <x v="19"/>
  </r>
  <r>
    <x v="7"/>
    <x v="17"/>
    <x v="12"/>
  </r>
  <r>
    <x v="59"/>
    <x v="17"/>
    <x v="12"/>
  </r>
  <r>
    <x v="113"/>
    <x v="17"/>
    <x v="19"/>
  </r>
  <r>
    <x v="0"/>
    <x v="17"/>
    <x v="24"/>
  </r>
  <r>
    <x v="0"/>
    <x v="17"/>
    <x v="11"/>
  </r>
  <r>
    <x v="8"/>
    <x v="17"/>
    <x v="11"/>
  </r>
  <r>
    <x v="0"/>
    <x v="17"/>
    <x v="28"/>
  </r>
  <r>
    <x v="8"/>
    <x v="17"/>
    <x v="28"/>
  </r>
  <r>
    <x v="0"/>
    <x v="17"/>
    <x v="16"/>
  </r>
  <r>
    <x v="0"/>
    <x v="17"/>
    <x v="16"/>
  </r>
  <r>
    <x v="0"/>
    <x v="17"/>
    <x v="10"/>
  </r>
  <r>
    <x v="0"/>
    <x v="17"/>
    <x v="28"/>
  </r>
  <r>
    <x v="0"/>
    <x v="17"/>
    <x v="21"/>
  </r>
  <r>
    <x v="7"/>
    <x v="17"/>
    <x v="18"/>
  </r>
  <r>
    <x v="0"/>
    <x v="17"/>
    <x v="18"/>
  </r>
  <r>
    <x v="0"/>
    <x v="17"/>
    <x v="18"/>
  </r>
  <r>
    <x v="0"/>
    <x v="17"/>
    <x v="18"/>
  </r>
  <r>
    <x v="0"/>
    <x v="17"/>
    <x v="18"/>
  </r>
  <r>
    <x v="87"/>
    <x v="17"/>
    <x v="17"/>
  </r>
  <r>
    <x v="189"/>
    <x v="17"/>
    <x v="17"/>
  </r>
  <r>
    <x v="0"/>
    <x v="17"/>
    <x v="8"/>
  </r>
  <r>
    <x v="4"/>
    <x v="17"/>
    <x v="8"/>
  </r>
  <r>
    <x v="0"/>
    <x v="17"/>
    <x v="2"/>
  </r>
  <r>
    <x v="0"/>
    <x v="17"/>
    <x v="2"/>
  </r>
  <r>
    <x v="0"/>
    <x v="17"/>
    <x v="2"/>
  </r>
  <r>
    <x v="0"/>
    <x v="17"/>
    <x v="2"/>
  </r>
  <r>
    <x v="0"/>
    <x v="17"/>
    <x v="2"/>
  </r>
  <r>
    <x v="0"/>
    <x v="17"/>
    <x v="2"/>
  </r>
  <r>
    <x v="0"/>
    <x v="17"/>
    <x v="2"/>
  </r>
  <r>
    <x v="273"/>
    <x v="17"/>
    <x v="20"/>
  </r>
  <r>
    <x v="109"/>
    <x v="17"/>
    <x v="20"/>
  </r>
  <r>
    <x v="263"/>
    <x v="17"/>
    <x v="20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0"/>
    <x v="17"/>
    <x v="9"/>
  </r>
  <r>
    <x v="19"/>
    <x v="17"/>
    <x v="9"/>
  </r>
  <r>
    <x v="0"/>
    <x v="17"/>
    <x v="9"/>
  </r>
  <r>
    <x v="0"/>
    <x v="17"/>
    <x v="13"/>
  </r>
  <r>
    <x v="0"/>
    <x v="17"/>
    <x v="15"/>
  </r>
  <r>
    <x v="0"/>
    <x v="17"/>
    <x v="15"/>
  </r>
  <r>
    <x v="0"/>
    <x v="17"/>
    <x v="15"/>
  </r>
  <r>
    <x v="0"/>
    <x v="17"/>
    <x v="15"/>
  </r>
  <r>
    <x v="0"/>
    <x v="17"/>
    <x v="15"/>
  </r>
  <r>
    <x v="0"/>
    <x v="17"/>
    <x v="25"/>
  </r>
  <r>
    <x v="0"/>
    <x v="17"/>
    <x v="26"/>
  </r>
  <r>
    <x v="521"/>
    <x v="17"/>
    <x v="22"/>
  </r>
  <r>
    <x v="0"/>
    <x v="17"/>
    <x v="28"/>
  </r>
  <r>
    <x v="5"/>
    <x v="17"/>
    <x v="3"/>
  </r>
  <r>
    <x v="16"/>
    <x v="17"/>
    <x v="3"/>
  </r>
  <r>
    <x v="0"/>
    <x v="17"/>
    <x v="28"/>
  </r>
  <r>
    <x v="0"/>
    <x v="17"/>
    <x v="15"/>
  </r>
  <r>
    <x v="0"/>
    <x v="17"/>
    <x v="15"/>
  </r>
  <r>
    <x v="7"/>
    <x v="17"/>
    <x v="13"/>
  </r>
  <r>
    <x v="0"/>
    <x v="17"/>
    <x v="2"/>
  </r>
  <r>
    <x v="0"/>
    <x v="17"/>
    <x v="24"/>
  </r>
  <r>
    <x v="0"/>
    <x v="17"/>
    <x v="4"/>
  </r>
  <r>
    <x v="0"/>
    <x v="17"/>
    <x v="5"/>
  </r>
  <r>
    <x v="16"/>
    <x v="17"/>
    <x v="6"/>
  </r>
  <r>
    <x v="507"/>
    <x v="23"/>
    <x v="0"/>
  </r>
  <r>
    <x v="0"/>
    <x v="23"/>
    <x v="1"/>
  </r>
  <r>
    <x v="0"/>
    <x v="23"/>
    <x v="28"/>
  </r>
  <r>
    <x v="0"/>
    <x v="23"/>
    <x v="14"/>
  </r>
  <r>
    <x v="29"/>
    <x v="23"/>
    <x v="28"/>
  </r>
  <r>
    <x v="0"/>
    <x v="23"/>
    <x v="28"/>
  </r>
  <r>
    <x v="0"/>
    <x v="23"/>
    <x v="7"/>
  </r>
  <r>
    <x v="0"/>
    <x v="23"/>
    <x v="28"/>
  </r>
  <r>
    <x v="0"/>
    <x v="23"/>
    <x v="27"/>
  </r>
  <r>
    <x v="0"/>
    <x v="23"/>
    <x v="25"/>
  </r>
  <r>
    <x v="0"/>
    <x v="23"/>
    <x v="16"/>
  </r>
  <r>
    <x v="0"/>
    <x v="23"/>
    <x v="16"/>
  </r>
  <r>
    <x v="0"/>
    <x v="23"/>
    <x v="16"/>
  </r>
  <r>
    <x v="0"/>
    <x v="23"/>
    <x v="23"/>
  </r>
  <r>
    <x v="0"/>
    <x v="23"/>
    <x v="23"/>
  </r>
  <r>
    <x v="3"/>
    <x v="23"/>
    <x v="19"/>
  </r>
  <r>
    <x v="0"/>
    <x v="23"/>
    <x v="25"/>
  </r>
  <r>
    <x v="0"/>
    <x v="23"/>
    <x v="12"/>
  </r>
  <r>
    <x v="0"/>
    <x v="23"/>
    <x v="12"/>
  </r>
  <r>
    <x v="0"/>
    <x v="23"/>
    <x v="19"/>
  </r>
  <r>
    <x v="0"/>
    <x v="23"/>
    <x v="12"/>
  </r>
  <r>
    <x v="6"/>
    <x v="23"/>
    <x v="12"/>
  </r>
  <r>
    <x v="0"/>
    <x v="23"/>
    <x v="19"/>
  </r>
  <r>
    <x v="0"/>
    <x v="23"/>
    <x v="24"/>
  </r>
  <r>
    <x v="0"/>
    <x v="23"/>
    <x v="11"/>
  </r>
  <r>
    <x v="0"/>
    <x v="23"/>
    <x v="11"/>
  </r>
  <r>
    <x v="0"/>
    <x v="23"/>
    <x v="28"/>
  </r>
  <r>
    <x v="0"/>
    <x v="23"/>
    <x v="28"/>
  </r>
  <r>
    <x v="6"/>
    <x v="23"/>
    <x v="16"/>
  </r>
  <r>
    <x v="0"/>
    <x v="23"/>
    <x v="16"/>
  </r>
  <r>
    <x v="0"/>
    <x v="23"/>
    <x v="10"/>
  </r>
  <r>
    <x v="0"/>
    <x v="23"/>
    <x v="28"/>
  </r>
  <r>
    <x v="0"/>
    <x v="23"/>
    <x v="21"/>
  </r>
  <r>
    <x v="11"/>
    <x v="23"/>
    <x v="18"/>
  </r>
  <r>
    <x v="0"/>
    <x v="23"/>
    <x v="18"/>
  </r>
  <r>
    <x v="0"/>
    <x v="23"/>
    <x v="18"/>
  </r>
  <r>
    <x v="0"/>
    <x v="23"/>
    <x v="18"/>
  </r>
  <r>
    <x v="4"/>
    <x v="23"/>
    <x v="18"/>
  </r>
  <r>
    <x v="0"/>
    <x v="23"/>
    <x v="17"/>
  </r>
  <r>
    <x v="0"/>
    <x v="23"/>
    <x v="17"/>
  </r>
  <r>
    <x v="0"/>
    <x v="23"/>
    <x v="8"/>
  </r>
  <r>
    <x v="0"/>
    <x v="23"/>
    <x v="8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0"/>
  </r>
  <r>
    <x v="0"/>
    <x v="23"/>
    <x v="20"/>
  </r>
  <r>
    <x v="0"/>
    <x v="23"/>
    <x v="20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12"/>
    <x v="23"/>
    <x v="9"/>
  </r>
  <r>
    <x v="0"/>
    <x v="23"/>
    <x v="9"/>
  </r>
  <r>
    <x v="0"/>
    <x v="23"/>
    <x v="9"/>
  </r>
  <r>
    <x v="0"/>
    <x v="23"/>
    <x v="13"/>
  </r>
  <r>
    <x v="0"/>
    <x v="23"/>
    <x v="15"/>
  </r>
  <r>
    <x v="48"/>
    <x v="23"/>
    <x v="15"/>
  </r>
  <r>
    <x v="0"/>
    <x v="23"/>
    <x v="15"/>
  </r>
  <r>
    <x v="0"/>
    <x v="23"/>
    <x v="15"/>
  </r>
  <r>
    <x v="0"/>
    <x v="23"/>
    <x v="15"/>
  </r>
  <r>
    <x v="0"/>
    <x v="23"/>
    <x v="25"/>
  </r>
  <r>
    <x v="0"/>
    <x v="23"/>
    <x v="26"/>
  </r>
  <r>
    <x v="0"/>
    <x v="23"/>
    <x v="22"/>
  </r>
  <r>
    <x v="427"/>
    <x v="23"/>
    <x v="28"/>
  </r>
  <r>
    <x v="0"/>
    <x v="23"/>
    <x v="3"/>
  </r>
  <r>
    <x v="0"/>
    <x v="23"/>
    <x v="3"/>
  </r>
  <r>
    <x v="0"/>
    <x v="23"/>
    <x v="28"/>
  </r>
  <r>
    <x v="0"/>
    <x v="23"/>
    <x v="15"/>
  </r>
  <r>
    <x v="0"/>
    <x v="23"/>
    <x v="15"/>
  </r>
  <r>
    <x v="0"/>
    <x v="23"/>
    <x v="13"/>
  </r>
  <r>
    <x v="0"/>
    <x v="23"/>
    <x v="2"/>
  </r>
  <r>
    <x v="0"/>
    <x v="23"/>
    <x v="24"/>
  </r>
  <r>
    <x v="0"/>
    <x v="23"/>
    <x v="4"/>
  </r>
  <r>
    <x v="0"/>
    <x v="23"/>
    <x v="5"/>
  </r>
  <r>
    <x v="5"/>
    <x v="23"/>
    <x v="6"/>
  </r>
  <r>
    <x v="532"/>
    <x v="1"/>
    <x v="0"/>
  </r>
  <r>
    <x v="8"/>
    <x v="1"/>
    <x v="1"/>
  </r>
  <r>
    <x v="0"/>
    <x v="1"/>
    <x v="28"/>
  </r>
  <r>
    <x v="0"/>
    <x v="1"/>
    <x v="14"/>
  </r>
  <r>
    <x v="0"/>
    <x v="1"/>
    <x v="28"/>
  </r>
  <r>
    <x v="0"/>
    <x v="1"/>
    <x v="28"/>
  </r>
  <r>
    <x v="0"/>
    <x v="1"/>
    <x v="7"/>
  </r>
  <r>
    <x v="0"/>
    <x v="1"/>
    <x v="28"/>
  </r>
  <r>
    <x v="0"/>
    <x v="1"/>
    <x v="27"/>
  </r>
  <r>
    <x v="0"/>
    <x v="1"/>
    <x v="25"/>
  </r>
  <r>
    <x v="0"/>
    <x v="1"/>
    <x v="16"/>
  </r>
  <r>
    <x v="0"/>
    <x v="1"/>
    <x v="16"/>
  </r>
  <r>
    <x v="0"/>
    <x v="1"/>
    <x v="16"/>
  </r>
  <r>
    <x v="0"/>
    <x v="1"/>
    <x v="23"/>
  </r>
  <r>
    <x v="0"/>
    <x v="1"/>
    <x v="23"/>
  </r>
  <r>
    <x v="7"/>
    <x v="1"/>
    <x v="19"/>
  </r>
  <r>
    <x v="0"/>
    <x v="1"/>
    <x v="25"/>
  </r>
  <r>
    <x v="0"/>
    <x v="1"/>
    <x v="12"/>
  </r>
  <r>
    <x v="0"/>
    <x v="1"/>
    <x v="12"/>
  </r>
  <r>
    <x v="0"/>
    <x v="1"/>
    <x v="19"/>
  </r>
  <r>
    <x v="8"/>
    <x v="1"/>
    <x v="12"/>
  </r>
  <r>
    <x v="0"/>
    <x v="1"/>
    <x v="12"/>
  </r>
  <r>
    <x v="0"/>
    <x v="1"/>
    <x v="19"/>
  </r>
  <r>
    <x v="7"/>
    <x v="1"/>
    <x v="24"/>
  </r>
  <r>
    <x v="0"/>
    <x v="1"/>
    <x v="11"/>
  </r>
  <r>
    <x v="0"/>
    <x v="1"/>
    <x v="11"/>
  </r>
  <r>
    <x v="0"/>
    <x v="1"/>
    <x v="28"/>
  </r>
  <r>
    <x v="0"/>
    <x v="1"/>
    <x v="28"/>
  </r>
  <r>
    <x v="0"/>
    <x v="1"/>
    <x v="16"/>
  </r>
  <r>
    <x v="0"/>
    <x v="1"/>
    <x v="16"/>
  </r>
  <r>
    <x v="0"/>
    <x v="1"/>
    <x v="10"/>
  </r>
  <r>
    <x v="8"/>
    <x v="1"/>
    <x v="28"/>
  </r>
  <r>
    <x v="11"/>
    <x v="1"/>
    <x v="21"/>
  </r>
  <r>
    <x v="0"/>
    <x v="1"/>
    <x v="18"/>
  </r>
  <r>
    <x v="0"/>
    <x v="1"/>
    <x v="18"/>
  </r>
  <r>
    <x v="0"/>
    <x v="1"/>
    <x v="18"/>
  </r>
  <r>
    <x v="0"/>
    <x v="1"/>
    <x v="18"/>
  </r>
  <r>
    <x v="0"/>
    <x v="1"/>
    <x v="18"/>
  </r>
  <r>
    <x v="0"/>
    <x v="1"/>
    <x v="17"/>
  </r>
  <r>
    <x v="0"/>
    <x v="1"/>
    <x v="17"/>
  </r>
  <r>
    <x v="7"/>
    <x v="1"/>
    <x v="8"/>
  </r>
  <r>
    <x v="0"/>
    <x v="1"/>
    <x v="8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20"/>
  </r>
  <r>
    <x v="0"/>
    <x v="1"/>
    <x v="20"/>
  </r>
  <r>
    <x v="0"/>
    <x v="1"/>
    <x v="20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45"/>
    <x v="1"/>
    <x v="9"/>
  </r>
  <r>
    <x v="18"/>
    <x v="1"/>
    <x v="9"/>
  </r>
  <r>
    <x v="0"/>
    <x v="1"/>
    <x v="9"/>
  </r>
  <r>
    <x v="7"/>
    <x v="1"/>
    <x v="13"/>
  </r>
  <r>
    <x v="0"/>
    <x v="1"/>
    <x v="15"/>
  </r>
  <r>
    <x v="0"/>
    <x v="1"/>
    <x v="15"/>
  </r>
  <r>
    <x v="0"/>
    <x v="1"/>
    <x v="15"/>
  </r>
  <r>
    <x v="0"/>
    <x v="1"/>
    <x v="15"/>
  </r>
  <r>
    <x v="19"/>
    <x v="1"/>
    <x v="15"/>
  </r>
  <r>
    <x v="0"/>
    <x v="1"/>
    <x v="25"/>
  </r>
  <r>
    <x v="0"/>
    <x v="1"/>
    <x v="26"/>
  </r>
  <r>
    <x v="0"/>
    <x v="1"/>
    <x v="22"/>
  </r>
  <r>
    <x v="11"/>
    <x v="1"/>
    <x v="28"/>
  </r>
  <r>
    <x v="471"/>
    <x v="1"/>
    <x v="3"/>
  </r>
  <r>
    <x v="378"/>
    <x v="1"/>
    <x v="3"/>
  </r>
  <r>
    <x v="0"/>
    <x v="1"/>
    <x v="28"/>
  </r>
  <r>
    <x v="0"/>
    <x v="1"/>
    <x v="15"/>
  </r>
  <r>
    <x v="0"/>
    <x v="1"/>
    <x v="15"/>
  </r>
  <r>
    <x v="0"/>
    <x v="1"/>
    <x v="13"/>
  </r>
  <r>
    <x v="0"/>
    <x v="1"/>
    <x v="2"/>
  </r>
  <r>
    <x v="0"/>
    <x v="1"/>
    <x v="24"/>
  </r>
  <r>
    <x v="0"/>
    <x v="1"/>
    <x v="4"/>
  </r>
  <r>
    <x v="0"/>
    <x v="1"/>
    <x v="5"/>
  </r>
  <r>
    <x v="0"/>
    <x v="1"/>
    <x v="6"/>
  </r>
  <r>
    <x v="566"/>
    <x v="1"/>
    <x v="0"/>
  </r>
  <r>
    <x v="0"/>
    <x v="1"/>
    <x v="1"/>
  </r>
  <r>
    <x v="0"/>
    <x v="1"/>
    <x v="28"/>
  </r>
  <r>
    <x v="0"/>
    <x v="1"/>
    <x v="14"/>
  </r>
  <r>
    <x v="14"/>
    <x v="1"/>
    <x v="28"/>
  </r>
  <r>
    <x v="0"/>
    <x v="1"/>
    <x v="28"/>
  </r>
  <r>
    <x v="0"/>
    <x v="1"/>
    <x v="7"/>
  </r>
  <r>
    <x v="0"/>
    <x v="1"/>
    <x v="28"/>
  </r>
  <r>
    <x v="0"/>
    <x v="1"/>
    <x v="27"/>
  </r>
  <r>
    <x v="0"/>
    <x v="1"/>
    <x v="25"/>
  </r>
  <r>
    <x v="0"/>
    <x v="1"/>
    <x v="16"/>
  </r>
  <r>
    <x v="0"/>
    <x v="1"/>
    <x v="16"/>
  </r>
  <r>
    <x v="0"/>
    <x v="1"/>
    <x v="16"/>
  </r>
  <r>
    <x v="0"/>
    <x v="1"/>
    <x v="23"/>
  </r>
  <r>
    <x v="0"/>
    <x v="1"/>
    <x v="23"/>
  </r>
  <r>
    <x v="0"/>
    <x v="1"/>
    <x v="19"/>
  </r>
  <r>
    <x v="0"/>
    <x v="1"/>
    <x v="25"/>
  </r>
  <r>
    <x v="0"/>
    <x v="1"/>
    <x v="12"/>
  </r>
  <r>
    <x v="0"/>
    <x v="1"/>
    <x v="12"/>
  </r>
  <r>
    <x v="6"/>
    <x v="1"/>
    <x v="19"/>
  </r>
  <r>
    <x v="0"/>
    <x v="1"/>
    <x v="12"/>
  </r>
  <r>
    <x v="0"/>
    <x v="1"/>
    <x v="12"/>
  </r>
  <r>
    <x v="0"/>
    <x v="1"/>
    <x v="19"/>
  </r>
  <r>
    <x v="0"/>
    <x v="1"/>
    <x v="24"/>
  </r>
  <r>
    <x v="0"/>
    <x v="1"/>
    <x v="11"/>
  </r>
  <r>
    <x v="0"/>
    <x v="1"/>
    <x v="11"/>
  </r>
  <r>
    <x v="23"/>
    <x v="1"/>
    <x v="28"/>
  </r>
  <r>
    <x v="16"/>
    <x v="1"/>
    <x v="28"/>
  </r>
  <r>
    <x v="0"/>
    <x v="1"/>
    <x v="16"/>
  </r>
  <r>
    <x v="0"/>
    <x v="1"/>
    <x v="16"/>
  </r>
  <r>
    <x v="0"/>
    <x v="1"/>
    <x v="10"/>
  </r>
  <r>
    <x v="6"/>
    <x v="1"/>
    <x v="28"/>
  </r>
  <r>
    <x v="16"/>
    <x v="1"/>
    <x v="21"/>
  </r>
  <r>
    <x v="0"/>
    <x v="1"/>
    <x v="18"/>
  </r>
  <r>
    <x v="0"/>
    <x v="1"/>
    <x v="18"/>
  </r>
  <r>
    <x v="0"/>
    <x v="1"/>
    <x v="18"/>
  </r>
  <r>
    <x v="0"/>
    <x v="1"/>
    <x v="18"/>
  </r>
  <r>
    <x v="0"/>
    <x v="1"/>
    <x v="18"/>
  </r>
  <r>
    <x v="9"/>
    <x v="1"/>
    <x v="17"/>
  </r>
  <r>
    <x v="7"/>
    <x v="1"/>
    <x v="17"/>
  </r>
  <r>
    <x v="0"/>
    <x v="1"/>
    <x v="8"/>
  </r>
  <r>
    <x v="5"/>
    <x v="1"/>
    <x v="8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2"/>
  </r>
  <r>
    <x v="13"/>
    <x v="1"/>
    <x v="2"/>
  </r>
  <r>
    <x v="0"/>
    <x v="1"/>
    <x v="20"/>
  </r>
  <r>
    <x v="0"/>
    <x v="1"/>
    <x v="20"/>
  </r>
  <r>
    <x v="0"/>
    <x v="1"/>
    <x v="20"/>
  </r>
  <r>
    <x v="5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0"/>
    <x v="1"/>
    <x v="9"/>
  </r>
  <r>
    <x v="241"/>
    <x v="1"/>
    <x v="9"/>
  </r>
  <r>
    <x v="86"/>
    <x v="1"/>
    <x v="9"/>
  </r>
  <r>
    <x v="0"/>
    <x v="1"/>
    <x v="9"/>
  </r>
  <r>
    <x v="9"/>
    <x v="1"/>
    <x v="13"/>
  </r>
  <r>
    <x v="0"/>
    <x v="1"/>
    <x v="15"/>
  </r>
  <r>
    <x v="7"/>
    <x v="1"/>
    <x v="15"/>
  </r>
  <r>
    <x v="0"/>
    <x v="1"/>
    <x v="15"/>
  </r>
  <r>
    <x v="0"/>
    <x v="1"/>
    <x v="15"/>
  </r>
  <r>
    <x v="104"/>
    <x v="1"/>
    <x v="15"/>
  </r>
  <r>
    <x v="0"/>
    <x v="1"/>
    <x v="25"/>
  </r>
  <r>
    <x v="108"/>
    <x v="1"/>
    <x v="26"/>
  </r>
  <r>
    <x v="0"/>
    <x v="1"/>
    <x v="22"/>
  </r>
  <r>
    <x v="0"/>
    <x v="1"/>
    <x v="28"/>
  </r>
  <r>
    <x v="435"/>
    <x v="1"/>
    <x v="3"/>
  </r>
  <r>
    <x v="529"/>
    <x v="1"/>
    <x v="3"/>
  </r>
  <r>
    <x v="16"/>
    <x v="1"/>
    <x v="28"/>
  </r>
  <r>
    <x v="0"/>
    <x v="1"/>
    <x v="15"/>
  </r>
  <r>
    <x v="0"/>
    <x v="1"/>
    <x v="15"/>
  </r>
  <r>
    <x v="0"/>
    <x v="1"/>
    <x v="13"/>
  </r>
  <r>
    <x v="0"/>
    <x v="1"/>
    <x v="2"/>
  </r>
  <r>
    <x v="0"/>
    <x v="1"/>
    <x v="24"/>
  </r>
  <r>
    <x v="0"/>
    <x v="1"/>
    <x v="4"/>
  </r>
  <r>
    <x v="0"/>
    <x v="1"/>
    <x v="5"/>
  </r>
  <r>
    <x v="0"/>
    <x v="1"/>
    <x v="6"/>
  </r>
  <r>
    <x v="541"/>
    <x v="23"/>
    <x v="0"/>
  </r>
  <r>
    <x v="0"/>
    <x v="23"/>
    <x v="1"/>
  </r>
  <r>
    <x v="19"/>
    <x v="23"/>
    <x v="28"/>
  </r>
  <r>
    <x v="0"/>
    <x v="23"/>
    <x v="14"/>
  </r>
  <r>
    <x v="0"/>
    <x v="23"/>
    <x v="28"/>
  </r>
  <r>
    <x v="0"/>
    <x v="23"/>
    <x v="28"/>
  </r>
  <r>
    <x v="0"/>
    <x v="23"/>
    <x v="7"/>
  </r>
  <r>
    <x v="0"/>
    <x v="23"/>
    <x v="28"/>
  </r>
  <r>
    <x v="0"/>
    <x v="23"/>
    <x v="27"/>
  </r>
  <r>
    <x v="0"/>
    <x v="23"/>
    <x v="25"/>
  </r>
  <r>
    <x v="0"/>
    <x v="23"/>
    <x v="16"/>
  </r>
  <r>
    <x v="0"/>
    <x v="23"/>
    <x v="16"/>
  </r>
  <r>
    <x v="0"/>
    <x v="23"/>
    <x v="16"/>
  </r>
  <r>
    <x v="0"/>
    <x v="23"/>
    <x v="23"/>
  </r>
  <r>
    <x v="0"/>
    <x v="23"/>
    <x v="23"/>
  </r>
  <r>
    <x v="0"/>
    <x v="23"/>
    <x v="19"/>
  </r>
  <r>
    <x v="0"/>
    <x v="23"/>
    <x v="25"/>
  </r>
  <r>
    <x v="0"/>
    <x v="23"/>
    <x v="12"/>
  </r>
  <r>
    <x v="6"/>
    <x v="23"/>
    <x v="12"/>
  </r>
  <r>
    <x v="8"/>
    <x v="23"/>
    <x v="19"/>
  </r>
  <r>
    <x v="0"/>
    <x v="23"/>
    <x v="12"/>
  </r>
  <r>
    <x v="0"/>
    <x v="23"/>
    <x v="12"/>
  </r>
  <r>
    <x v="7"/>
    <x v="23"/>
    <x v="19"/>
  </r>
  <r>
    <x v="0"/>
    <x v="23"/>
    <x v="24"/>
  </r>
  <r>
    <x v="0"/>
    <x v="23"/>
    <x v="11"/>
  </r>
  <r>
    <x v="7"/>
    <x v="23"/>
    <x v="11"/>
  </r>
  <r>
    <x v="0"/>
    <x v="23"/>
    <x v="28"/>
  </r>
  <r>
    <x v="0"/>
    <x v="23"/>
    <x v="28"/>
  </r>
  <r>
    <x v="8"/>
    <x v="23"/>
    <x v="16"/>
  </r>
  <r>
    <x v="9"/>
    <x v="23"/>
    <x v="16"/>
  </r>
  <r>
    <x v="0"/>
    <x v="23"/>
    <x v="10"/>
  </r>
  <r>
    <x v="13"/>
    <x v="23"/>
    <x v="28"/>
  </r>
  <r>
    <x v="256"/>
    <x v="23"/>
    <x v="21"/>
  </r>
  <r>
    <x v="0"/>
    <x v="23"/>
    <x v="18"/>
  </r>
  <r>
    <x v="0"/>
    <x v="23"/>
    <x v="18"/>
  </r>
  <r>
    <x v="0"/>
    <x v="23"/>
    <x v="18"/>
  </r>
  <r>
    <x v="0"/>
    <x v="23"/>
    <x v="18"/>
  </r>
  <r>
    <x v="13"/>
    <x v="23"/>
    <x v="18"/>
  </r>
  <r>
    <x v="8"/>
    <x v="23"/>
    <x v="17"/>
  </r>
  <r>
    <x v="0"/>
    <x v="23"/>
    <x v="17"/>
  </r>
  <r>
    <x v="0"/>
    <x v="23"/>
    <x v="8"/>
  </r>
  <r>
    <x v="0"/>
    <x v="23"/>
    <x v="8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"/>
  </r>
  <r>
    <x v="0"/>
    <x v="23"/>
    <x v="20"/>
  </r>
  <r>
    <x v="0"/>
    <x v="23"/>
    <x v="20"/>
  </r>
  <r>
    <x v="19"/>
    <x v="23"/>
    <x v="20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0"/>
    <x v="23"/>
    <x v="9"/>
  </r>
  <r>
    <x v="38"/>
    <x v="23"/>
    <x v="9"/>
  </r>
  <r>
    <x v="8"/>
    <x v="23"/>
    <x v="9"/>
  </r>
  <r>
    <x v="0"/>
    <x v="23"/>
    <x v="9"/>
  </r>
  <r>
    <x v="14"/>
    <x v="23"/>
    <x v="13"/>
  </r>
  <r>
    <x v="0"/>
    <x v="23"/>
    <x v="15"/>
  </r>
  <r>
    <x v="0"/>
    <x v="23"/>
    <x v="15"/>
  </r>
  <r>
    <x v="0"/>
    <x v="23"/>
    <x v="15"/>
  </r>
  <r>
    <x v="0"/>
    <x v="23"/>
    <x v="15"/>
  </r>
  <r>
    <x v="0"/>
    <x v="23"/>
    <x v="15"/>
  </r>
  <r>
    <x v="0"/>
    <x v="23"/>
    <x v="25"/>
  </r>
  <r>
    <x v="0"/>
    <x v="23"/>
    <x v="26"/>
  </r>
  <r>
    <x v="0"/>
    <x v="23"/>
    <x v="22"/>
  </r>
  <r>
    <x v="0"/>
    <x v="23"/>
    <x v="28"/>
  </r>
  <r>
    <x v="7"/>
    <x v="23"/>
    <x v="3"/>
  </r>
  <r>
    <x v="13"/>
    <x v="23"/>
    <x v="3"/>
  </r>
  <r>
    <x v="518"/>
    <x v="23"/>
    <x v="28"/>
  </r>
  <r>
    <x v="0"/>
    <x v="23"/>
    <x v="15"/>
  </r>
  <r>
    <x v="0"/>
    <x v="23"/>
    <x v="15"/>
  </r>
  <r>
    <x v="10"/>
    <x v="23"/>
    <x v="13"/>
  </r>
  <r>
    <x v="0"/>
    <x v="23"/>
    <x v="2"/>
  </r>
  <r>
    <x v="0"/>
    <x v="23"/>
    <x v="24"/>
  </r>
  <r>
    <x v="0"/>
    <x v="23"/>
    <x v="4"/>
  </r>
  <r>
    <x v="0"/>
    <x v="23"/>
    <x v="5"/>
  </r>
  <r>
    <x v="0"/>
    <x v="23"/>
    <x v="6"/>
  </r>
  <r>
    <x v="542"/>
    <x v="10"/>
    <x v="0"/>
  </r>
  <r>
    <x v="9"/>
    <x v="10"/>
    <x v="1"/>
  </r>
  <r>
    <x v="8"/>
    <x v="10"/>
    <x v="28"/>
  </r>
  <r>
    <x v="0"/>
    <x v="10"/>
    <x v="14"/>
  </r>
  <r>
    <x v="0"/>
    <x v="10"/>
    <x v="28"/>
  </r>
  <r>
    <x v="0"/>
    <x v="10"/>
    <x v="28"/>
  </r>
  <r>
    <x v="9"/>
    <x v="10"/>
    <x v="7"/>
  </r>
  <r>
    <x v="0"/>
    <x v="10"/>
    <x v="28"/>
  </r>
  <r>
    <x v="0"/>
    <x v="10"/>
    <x v="27"/>
  </r>
  <r>
    <x v="0"/>
    <x v="10"/>
    <x v="25"/>
  </r>
  <r>
    <x v="0"/>
    <x v="10"/>
    <x v="16"/>
  </r>
  <r>
    <x v="0"/>
    <x v="10"/>
    <x v="16"/>
  </r>
  <r>
    <x v="0"/>
    <x v="10"/>
    <x v="16"/>
  </r>
  <r>
    <x v="0"/>
    <x v="10"/>
    <x v="23"/>
  </r>
  <r>
    <x v="0"/>
    <x v="10"/>
    <x v="23"/>
  </r>
  <r>
    <x v="0"/>
    <x v="10"/>
    <x v="19"/>
  </r>
  <r>
    <x v="0"/>
    <x v="10"/>
    <x v="25"/>
  </r>
  <r>
    <x v="0"/>
    <x v="10"/>
    <x v="12"/>
  </r>
  <r>
    <x v="0"/>
    <x v="10"/>
    <x v="12"/>
  </r>
  <r>
    <x v="10"/>
    <x v="10"/>
    <x v="19"/>
  </r>
  <r>
    <x v="0"/>
    <x v="10"/>
    <x v="12"/>
  </r>
  <r>
    <x v="8"/>
    <x v="10"/>
    <x v="12"/>
  </r>
  <r>
    <x v="0"/>
    <x v="10"/>
    <x v="19"/>
  </r>
  <r>
    <x v="0"/>
    <x v="10"/>
    <x v="24"/>
  </r>
  <r>
    <x v="0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0"/>
    <x v="10"/>
    <x v="16"/>
  </r>
  <r>
    <x v="0"/>
    <x v="10"/>
    <x v="10"/>
  </r>
  <r>
    <x v="0"/>
    <x v="10"/>
    <x v="28"/>
  </r>
  <r>
    <x v="0"/>
    <x v="10"/>
    <x v="21"/>
  </r>
  <r>
    <x v="0"/>
    <x v="10"/>
    <x v="18"/>
  </r>
  <r>
    <x v="11"/>
    <x v="10"/>
    <x v="18"/>
  </r>
  <r>
    <x v="0"/>
    <x v="10"/>
    <x v="18"/>
  </r>
  <r>
    <x v="0"/>
    <x v="10"/>
    <x v="18"/>
  </r>
  <r>
    <x v="0"/>
    <x v="10"/>
    <x v="18"/>
  </r>
  <r>
    <x v="6"/>
    <x v="10"/>
    <x v="17"/>
  </r>
  <r>
    <x v="0"/>
    <x v="10"/>
    <x v="17"/>
  </r>
  <r>
    <x v="0"/>
    <x v="10"/>
    <x v="8"/>
  </r>
  <r>
    <x v="0"/>
    <x v="10"/>
    <x v="8"/>
  </r>
  <r>
    <x v="108"/>
    <x v="10"/>
    <x v="2"/>
  </r>
  <r>
    <x v="12"/>
    <x v="10"/>
    <x v="2"/>
  </r>
  <r>
    <x v="0"/>
    <x v="10"/>
    <x v="2"/>
  </r>
  <r>
    <x v="11"/>
    <x v="10"/>
    <x v="2"/>
  </r>
  <r>
    <x v="25"/>
    <x v="10"/>
    <x v="2"/>
  </r>
  <r>
    <x v="49"/>
    <x v="10"/>
    <x v="2"/>
  </r>
  <r>
    <x v="222"/>
    <x v="10"/>
    <x v="2"/>
  </r>
  <r>
    <x v="0"/>
    <x v="10"/>
    <x v="20"/>
  </r>
  <r>
    <x v="0"/>
    <x v="10"/>
    <x v="20"/>
  </r>
  <r>
    <x v="0"/>
    <x v="10"/>
    <x v="20"/>
  </r>
  <r>
    <x v="8"/>
    <x v="10"/>
    <x v="9"/>
  </r>
  <r>
    <x v="10"/>
    <x v="10"/>
    <x v="9"/>
  </r>
  <r>
    <x v="0"/>
    <x v="10"/>
    <x v="9"/>
  </r>
  <r>
    <x v="0"/>
    <x v="10"/>
    <x v="9"/>
  </r>
  <r>
    <x v="0"/>
    <x v="10"/>
    <x v="9"/>
  </r>
  <r>
    <x v="0"/>
    <x v="10"/>
    <x v="9"/>
  </r>
  <r>
    <x v="0"/>
    <x v="10"/>
    <x v="9"/>
  </r>
  <r>
    <x v="7"/>
    <x v="10"/>
    <x v="9"/>
  </r>
  <r>
    <x v="0"/>
    <x v="10"/>
    <x v="9"/>
  </r>
  <r>
    <x v="0"/>
    <x v="10"/>
    <x v="9"/>
  </r>
  <r>
    <x v="0"/>
    <x v="10"/>
    <x v="9"/>
  </r>
  <r>
    <x v="11"/>
    <x v="10"/>
    <x v="9"/>
  </r>
  <r>
    <x v="223"/>
    <x v="10"/>
    <x v="9"/>
  </r>
  <r>
    <x v="74"/>
    <x v="10"/>
    <x v="9"/>
  </r>
  <r>
    <x v="32"/>
    <x v="10"/>
    <x v="9"/>
  </r>
  <r>
    <x v="0"/>
    <x v="10"/>
    <x v="13"/>
  </r>
  <r>
    <x v="157"/>
    <x v="10"/>
    <x v="15"/>
  </r>
  <r>
    <x v="358"/>
    <x v="10"/>
    <x v="15"/>
  </r>
  <r>
    <x v="32"/>
    <x v="10"/>
    <x v="15"/>
  </r>
  <r>
    <x v="117"/>
    <x v="10"/>
    <x v="15"/>
  </r>
  <r>
    <x v="256"/>
    <x v="10"/>
    <x v="15"/>
  </r>
  <r>
    <x v="0"/>
    <x v="10"/>
    <x v="25"/>
  </r>
  <r>
    <x v="0"/>
    <x v="10"/>
    <x v="26"/>
  </r>
  <r>
    <x v="0"/>
    <x v="10"/>
    <x v="22"/>
  </r>
  <r>
    <x v="0"/>
    <x v="10"/>
    <x v="28"/>
  </r>
  <r>
    <x v="0"/>
    <x v="10"/>
    <x v="3"/>
  </r>
  <r>
    <x v="0"/>
    <x v="10"/>
    <x v="3"/>
  </r>
  <r>
    <x v="8"/>
    <x v="10"/>
    <x v="28"/>
  </r>
  <r>
    <x v="462"/>
    <x v="10"/>
    <x v="15"/>
  </r>
  <r>
    <x v="209"/>
    <x v="10"/>
    <x v="15"/>
  </r>
  <r>
    <x v="0"/>
    <x v="10"/>
    <x v="13"/>
  </r>
  <r>
    <x v="190"/>
    <x v="10"/>
    <x v="2"/>
  </r>
  <r>
    <x v="0"/>
    <x v="10"/>
    <x v="24"/>
  </r>
  <r>
    <x v="0"/>
    <x v="10"/>
    <x v="4"/>
  </r>
  <r>
    <x v="0"/>
    <x v="10"/>
    <x v="5"/>
  </r>
  <r>
    <x v="0"/>
    <x v="10"/>
    <x v="6"/>
  </r>
  <r>
    <x v="531"/>
    <x v="10"/>
    <x v="0"/>
  </r>
  <r>
    <x v="15"/>
    <x v="10"/>
    <x v="1"/>
  </r>
  <r>
    <x v="10"/>
    <x v="10"/>
    <x v="28"/>
  </r>
  <r>
    <x v="7"/>
    <x v="10"/>
    <x v="14"/>
  </r>
  <r>
    <x v="0"/>
    <x v="10"/>
    <x v="28"/>
  </r>
  <r>
    <x v="0"/>
    <x v="10"/>
    <x v="28"/>
  </r>
  <r>
    <x v="0"/>
    <x v="10"/>
    <x v="7"/>
  </r>
  <r>
    <x v="0"/>
    <x v="10"/>
    <x v="28"/>
  </r>
  <r>
    <x v="0"/>
    <x v="10"/>
    <x v="27"/>
  </r>
  <r>
    <x v="0"/>
    <x v="10"/>
    <x v="25"/>
  </r>
  <r>
    <x v="0"/>
    <x v="10"/>
    <x v="16"/>
  </r>
  <r>
    <x v="0"/>
    <x v="10"/>
    <x v="16"/>
  </r>
  <r>
    <x v="0"/>
    <x v="10"/>
    <x v="16"/>
  </r>
  <r>
    <x v="0"/>
    <x v="10"/>
    <x v="23"/>
  </r>
  <r>
    <x v="0"/>
    <x v="10"/>
    <x v="23"/>
  </r>
  <r>
    <x v="0"/>
    <x v="10"/>
    <x v="19"/>
  </r>
  <r>
    <x v="0"/>
    <x v="10"/>
    <x v="25"/>
  </r>
  <r>
    <x v="0"/>
    <x v="10"/>
    <x v="12"/>
  </r>
  <r>
    <x v="0"/>
    <x v="10"/>
    <x v="12"/>
  </r>
  <r>
    <x v="0"/>
    <x v="10"/>
    <x v="19"/>
  </r>
  <r>
    <x v="0"/>
    <x v="10"/>
    <x v="12"/>
  </r>
  <r>
    <x v="0"/>
    <x v="10"/>
    <x v="12"/>
  </r>
  <r>
    <x v="0"/>
    <x v="10"/>
    <x v="19"/>
  </r>
  <r>
    <x v="0"/>
    <x v="10"/>
    <x v="24"/>
  </r>
  <r>
    <x v="0"/>
    <x v="10"/>
    <x v="11"/>
  </r>
  <r>
    <x v="0"/>
    <x v="10"/>
    <x v="11"/>
  </r>
  <r>
    <x v="0"/>
    <x v="10"/>
    <x v="28"/>
  </r>
  <r>
    <x v="0"/>
    <x v="10"/>
    <x v="28"/>
  </r>
  <r>
    <x v="0"/>
    <x v="10"/>
    <x v="16"/>
  </r>
  <r>
    <x v="0"/>
    <x v="10"/>
    <x v="16"/>
  </r>
  <r>
    <x v="0"/>
    <x v="10"/>
    <x v="10"/>
  </r>
  <r>
    <x v="0"/>
    <x v="10"/>
    <x v="28"/>
  </r>
  <r>
    <x v="0"/>
    <x v="10"/>
    <x v="21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8"/>
  </r>
  <r>
    <x v="0"/>
    <x v="10"/>
    <x v="17"/>
  </r>
  <r>
    <x v="7"/>
    <x v="10"/>
    <x v="17"/>
  </r>
  <r>
    <x v="0"/>
    <x v="10"/>
    <x v="8"/>
  </r>
  <r>
    <x v="0"/>
    <x v="10"/>
    <x v="8"/>
  </r>
  <r>
    <x v="23"/>
    <x v="10"/>
    <x v="2"/>
  </r>
  <r>
    <x v="0"/>
    <x v="10"/>
    <x v="2"/>
  </r>
  <r>
    <x v="0"/>
    <x v="10"/>
    <x v="2"/>
  </r>
  <r>
    <x v="0"/>
    <x v="10"/>
    <x v="2"/>
  </r>
  <r>
    <x v="0"/>
    <x v="10"/>
    <x v="2"/>
  </r>
  <r>
    <x v="8"/>
    <x v="10"/>
    <x v="2"/>
  </r>
  <r>
    <x v="96"/>
    <x v="10"/>
    <x v="2"/>
  </r>
  <r>
    <x v="12"/>
    <x v="10"/>
    <x v="20"/>
  </r>
  <r>
    <x v="0"/>
    <x v="10"/>
    <x v="20"/>
  </r>
  <r>
    <x v="0"/>
    <x v="10"/>
    <x v="20"/>
  </r>
  <r>
    <x v="28"/>
    <x v="10"/>
    <x v="9"/>
  </r>
  <r>
    <x v="11"/>
    <x v="10"/>
    <x v="9"/>
  </r>
  <r>
    <x v="0"/>
    <x v="10"/>
    <x v="9"/>
  </r>
  <r>
    <x v="11"/>
    <x v="10"/>
    <x v="9"/>
  </r>
  <r>
    <x v="0"/>
    <x v="10"/>
    <x v="9"/>
  </r>
  <r>
    <x v="0"/>
    <x v="10"/>
    <x v="9"/>
  </r>
  <r>
    <x v="0"/>
    <x v="10"/>
    <x v="9"/>
  </r>
  <r>
    <x v="45"/>
    <x v="10"/>
    <x v="9"/>
  </r>
  <r>
    <x v="0"/>
    <x v="10"/>
    <x v="9"/>
  </r>
  <r>
    <x v="0"/>
    <x v="10"/>
    <x v="9"/>
  </r>
  <r>
    <x v="6"/>
    <x v="10"/>
    <x v="9"/>
  </r>
  <r>
    <x v="16"/>
    <x v="10"/>
    <x v="9"/>
  </r>
  <r>
    <x v="112"/>
    <x v="10"/>
    <x v="9"/>
  </r>
  <r>
    <x v="72"/>
    <x v="10"/>
    <x v="9"/>
  </r>
  <r>
    <x v="16"/>
    <x v="10"/>
    <x v="9"/>
  </r>
  <r>
    <x v="0"/>
    <x v="10"/>
    <x v="13"/>
  </r>
  <r>
    <x v="36"/>
    <x v="10"/>
    <x v="15"/>
  </r>
  <r>
    <x v="127"/>
    <x v="10"/>
    <x v="15"/>
  </r>
  <r>
    <x v="84"/>
    <x v="10"/>
    <x v="15"/>
  </r>
  <r>
    <x v="127"/>
    <x v="10"/>
    <x v="15"/>
  </r>
  <r>
    <x v="361"/>
    <x v="10"/>
    <x v="15"/>
  </r>
  <r>
    <x v="0"/>
    <x v="10"/>
    <x v="25"/>
  </r>
  <r>
    <x v="0"/>
    <x v="10"/>
    <x v="26"/>
  </r>
  <r>
    <x v="0"/>
    <x v="10"/>
    <x v="22"/>
  </r>
  <r>
    <x v="0"/>
    <x v="10"/>
    <x v="28"/>
  </r>
  <r>
    <x v="0"/>
    <x v="10"/>
    <x v="3"/>
  </r>
  <r>
    <x v="0"/>
    <x v="10"/>
    <x v="3"/>
  </r>
  <r>
    <x v="0"/>
    <x v="10"/>
    <x v="28"/>
  </r>
  <r>
    <x v="176"/>
    <x v="10"/>
    <x v="15"/>
  </r>
  <r>
    <x v="429"/>
    <x v="10"/>
    <x v="15"/>
  </r>
  <r>
    <x v="0"/>
    <x v="10"/>
    <x v="13"/>
  </r>
  <r>
    <x v="35"/>
    <x v="10"/>
    <x v="2"/>
  </r>
  <r>
    <x v="0"/>
    <x v="10"/>
    <x v="24"/>
  </r>
  <r>
    <x v="0"/>
    <x v="10"/>
    <x v="4"/>
  </r>
  <r>
    <x v="0"/>
    <x v="10"/>
    <x v="5"/>
  </r>
  <r>
    <x v="9"/>
    <x v="10"/>
    <x v="6"/>
  </r>
  <r>
    <x v="513"/>
    <x v="8"/>
    <x v="0"/>
  </r>
  <r>
    <x v="0"/>
    <x v="8"/>
    <x v="1"/>
  </r>
  <r>
    <x v="9"/>
    <x v="8"/>
    <x v="28"/>
  </r>
  <r>
    <x v="0"/>
    <x v="8"/>
    <x v="14"/>
  </r>
  <r>
    <x v="0"/>
    <x v="8"/>
    <x v="28"/>
  </r>
  <r>
    <x v="0"/>
    <x v="8"/>
    <x v="28"/>
  </r>
  <r>
    <x v="0"/>
    <x v="8"/>
    <x v="7"/>
  </r>
  <r>
    <x v="0"/>
    <x v="8"/>
    <x v="28"/>
  </r>
  <r>
    <x v="0"/>
    <x v="8"/>
    <x v="27"/>
  </r>
  <r>
    <x v="0"/>
    <x v="8"/>
    <x v="25"/>
  </r>
  <r>
    <x v="0"/>
    <x v="8"/>
    <x v="16"/>
  </r>
  <r>
    <x v="0"/>
    <x v="8"/>
    <x v="16"/>
  </r>
  <r>
    <x v="0"/>
    <x v="8"/>
    <x v="16"/>
  </r>
  <r>
    <x v="0"/>
    <x v="8"/>
    <x v="23"/>
  </r>
  <r>
    <x v="0"/>
    <x v="8"/>
    <x v="23"/>
  </r>
  <r>
    <x v="0"/>
    <x v="8"/>
    <x v="19"/>
  </r>
  <r>
    <x v="0"/>
    <x v="8"/>
    <x v="25"/>
  </r>
  <r>
    <x v="0"/>
    <x v="8"/>
    <x v="12"/>
  </r>
  <r>
    <x v="0"/>
    <x v="8"/>
    <x v="12"/>
  </r>
  <r>
    <x v="0"/>
    <x v="8"/>
    <x v="19"/>
  </r>
  <r>
    <x v="0"/>
    <x v="8"/>
    <x v="12"/>
  </r>
  <r>
    <x v="0"/>
    <x v="8"/>
    <x v="12"/>
  </r>
  <r>
    <x v="6"/>
    <x v="8"/>
    <x v="19"/>
  </r>
  <r>
    <x v="0"/>
    <x v="8"/>
    <x v="24"/>
  </r>
  <r>
    <x v="0"/>
    <x v="8"/>
    <x v="11"/>
  </r>
  <r>
    <x v="0"/>
    <x v="8"/>
    <x v="11"/>
  </r>
  <r>
    <x v="0"/>
    <x v="8"/>
    <x v="28"/>
  </r>
  <r>
    <x v="0"/>
    <x v="8"/>
    <x v="28"/>
  </r>
  <r>
    <x v="0"/>
    <x v="8"/>
    <x v="16"/>
  </r>
  <r>
    <x v="0"/>
    <x v="8"/>
    <x v="16"/>
  </r>
  <r>
    <x v="0"/>
    <x v="8"/>
    <x v="10"/>
  </r>
  <r>
    <x v="0"/>
    <x v="8"/>
    <x v="28"/>
  </r>
  <r>
    <x v="40"/>
    <x v="8"/>
    <x v="21"/>
  </r>
  <r>
    <x v="7"/>
    <x v="8"/>
    <x v="18"/>
  </r>
  <r>
    <x v="0"/>
    <x v="8"/>
    <x v="18"/>
  </r>
  <r>
    <x v="0"/>
    <x v="8"/>
    <x v="18"/>
  </r>
  <r>
    <x v="0"/>
    <x v="8"/>
    <x v="18"/>
  </r>
  <r>
    <x v="0"/>
    <x v="8"/>
    <x v="18"/>
  </r>
  <r>
    <x v="0"/>
    <x v="8"/>
    <x v="17"/>
  </r>
  <r>
    <x v="0"/>
    <x v="8"/>
    <x v="17"/>
  </r>
  <r>
    <x v="0"/>
    <x v="8"/>
    <x v="8"/>
  </r>
  <r>
    <x v="0"/>
    <x v="8"/>
    <x v="8"/>
  </r>
  <r>
    <x v="0"/>
    <x v="8"/>
    <x v="2"/>
  </r>
  <r>
    <x v="0"/>
    <x v="8"/>
    <x v="2"/>
  </r>
  <r>
    <x v="0"/>
    <x v="8"/>
    <x v="2"/>
  </r>
  <r>
    <x v="0"/>
    <x v="8"/>
    <x v="2"/>
  </r>
  <r>
    <x v="0"/>
    <x v="8"/>
    <x v="2"/>
  </r>
  <r>
    <x v="0"/>
    <x v="8"/>
    <x v="2"/>
  </r>
  <r>
    <x v="0"/>
    <x v="8"/>
    <x v="2"/>
  </r>
  <r>
    <x v="0"/>
    <x v="8"/>
    <x v="20"/>
  </r>
  <r>
    <x v="0"/>
    <x v="8"/>
    <x v="20"/>
  </r>
  <r>
    <x v="0"/>
    <x v="8"/>
    <x v="20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0"/>
    <x v="8"/>
    <x v="9"/>
  </r>
  <r>
    <x v="5"/>
    <x v="8"/>
    <x v="9"/>
  </r>
  <r>
    <x v="143"/>
    <x v="8"/>
    <x v="9"/>
  </r>
  <r>
    <x v="123"/>
    <x v="8"/>
    <x v="9"/>
  </r>
  <r>
    <x v="18"/>
    <x v="8"/>
    <x v="9"/>
  </r>
  <r>
    <x v="426"/>
    <x v="8"/>
    <x v="13"/>
  </r>
  <r>
    <x v="0"/>
    <x v="8"/>
    <x v="15"/>
  </r>
  <r>
    <x v="0"/>
    <x v="8"/>
    <x v="15"/>
  </r>
  <r>
    <x v="0"/>
    <x v="8"/>
    <x v="15"/>
  </r>
  <r>
    <x v="0"/>
    <x v="8"/>
    <x v="15"/>
  </r>
  <r>
    <x v="9"/>
    <x v="8"/>
    <x v="15"/>
  </r>
  <r>
    <x v="0"/>
    <x v="8"/>
    <x v="25"/>
  </r>
  <r>
    <x v="0"/>
    <x v="8"/>
    <x v="26"/>
  </r>
  <r>
    <x v="0"/>
    <x v="8"/>
    <x v="22"/>
  </r>
  <r>
    <x v="0"/>
    <x v="8"/>
    <x v="28"/>
  </r>
  <r>
    <x v="0"/>
    <x v="8"/>
    <x v="3"/>
  </r>
  <r>
    <x v="0"/>
    <x v="8"/>
    <x v="3"/>
  </r>
  <r>
    <x v="7"/>
    <x v="8"/>
    <x v="28"/>
  </r>
  <r>
    <x v="0"/>
    <x v="8"/>
    <x v="15"/>
  </r>
  <r>
    <x v="0"/>
    <x v="8"/>
    <x v="15"/>
  </r>
  <r>
    <x v="411"/>
    <x v="8"/>
    <x v="13"/>
  </r>
  <r>
    <x v="9"/>
    <x v="8"/>
    <x v="2"/>
  </r>
  <r>
    <x v="0"/>
    <x v="8"/>
    <x v="24"/>
  </r>
  <r>
    <x v="0"/>
    <x v="8"/>
    <x v="4"/>
  </r>
  <r>
    <x v="0"/>
    <x v="8"/>
    <x v="5"/>
  </r>
  <r>
    <x v="0"/>
    <x v="8"/>
    <x v="6"/>
  </r>
  <r>
    <x v="546"/>
    <x v="0"/>
    <x v="0"/>
  </r>
  <r>
    <x v="6"/>
    <x v="0"/>
    <x v="1"/>
  </r>
  <r>
    <x v="0"/>
    <x v="0"/>
    <x v="28"/>
  </r>
  <r>
    <x v="0"/>
    <x v="0"/>
    <x v="14"/>
  </r>
  <r>
    <x v="0"/>
    <x v="0"/>
    <x v="28"/>
  </r>
  <r>
    <x v="0"/>
    <x v="0"/>
    <x v="28"/>
  </r>
  <r>
    <x v="0"/>
    <x v="0"/>
    <x v="7"/>
  </r>
  <r>
    <x v="0"/>
    <x v="0"/>
    <x v="28"/>
  </r>
  <r>
    <x v="0"/>
    <x v="0"/>
    <x v="27"/>
  </r>
  <r>
    <x v="0"/>
    <x v="0"/>
    <x v="25"/>
  </r>
  <r>
    <x v="0"/>
    <x v="0"/>
    <x v="16"/>
  </r>
  <r>
    <x v="6"/>
    <x v="0"/>
    <x v="16"/>
  </r>
  <r>
    <x v="0"/>
    <x v="0"/>
    <x v="16"/>
  </r>
  <r>
    <x v="0"/>
    <x v="0"/>
    <x v="23"/>
  </r>
  <r>
    <x v="0"/>
    <x v="0"/>
    <x v="23"/>
  </r>
  <r>
    <x v="0"/>
    <x v="0"/>
    <x v="19"/>
  </r>
  <r>
    <x v="0"/>
    <x v="0"/>
    <x v="25"/>
  </r>
  <r>
    <x v="0"/>
    <x v="0"/>
    <x v="12"/>
  </r>
  <r>
    <x v="8"/>
    <x v="0"/>
    <x v="12"/>
  </r>
  <r>
    <x v="0"/>
    <x v="0"/>
    <x v="19"/>
  </r>
  <r>
    <x v="0"/>
    <x v="0"/>
    <x v="12"/>
  </r>
  <r>
    <x v="0"/>
    <x v="0"/>
    <x v="12"/>
  </r>
  <r>
    <x v="0"/>
    <x v="0"/>
    <x v="19"/>
  </r>
  <r>
    <x v="0"/>
    <x v="0"/>
    <x v="24"/>
  </r>
  <r>
    <x v="0"/>
    <x v="0"/>
    <x v="11"/>
  </r>
  <r>
    <x v="0"/>
    <x v="0"/>
    <x v="11"/>
  </r>
  <r>
    <x v="0"/>
    <x v="0"/>
    <x v="28"/>
  </r>
  <r>
    <x v="0"/>
    <x v="0"/>
    <x v="28"/>
  </r>
  <r>
    <x v="0"/>
    <x v="0"/>
    <x v="16"/>
  </r>
  <r>
    <x v="0"/>
    <x v="0"/>
    <x v="16"/>
  </r>
  <r>
    <x v="0"/>
    <x v="0"/>
    <x v="10"/>
  </r>
  <r>
    <x v="0"/>
    <x v="0"/>
    <x v="28"/>
  </r>
  <r>
    <x v="0"/>
    <x v="0"/>
    <x v="21"/>
  </r>
  <r>
    <x v="7"/>
    <x v="0"/>
    <x v="18"/>
  </r>
  <r>
    <x v="17"/>
    <x v="0"/>
    <x v="18"/>
  </r>
  <r>
    <x v="0"/>
    <x v="0"/>
    <x v="18"/>
  </r>
  <r>
    <x v="0"/>
    <x v="0"/>
    <x v="18"/>
  </r>
  <r>
    <x v="0"/>
    <x v="0"/>
    <x v="18"/>
  </r>
  <r>
    <x v="0"/>
    <x v="0"/>
    <x v="17"/>
  </r>
  <r>
    <x v="0"/>
    <x v="0"/>
    <x v="17"/>
  </r>
  <r>
    <x v="0"/>
    <x v="0"/>
    <x v="8"/>
  </r>
  <r>
    <x v="0"/>
    <x v="0"/>
    <x v="8"/>
  </r>
  <r>
    <x v="305"/>
    <x v="0"/>
    <x v="2"/>
  </r>
  <r>
    <x v="35"/>
    <x v="0"/>
    <x v="2"/>
  </r>
  <r>
    <x v="43"/>
    <x v="0"/>
    <x v="2"/>
  </r>
  <r>
    <x v="52"/>
    <x v="0"/>
    <x v="2"/>
  </r>
  <r>
    <x v="97"/>
    <x v="0"/>
    <x v="2"/>
  </r>
  <r>
    <x v="235"/>
    <x v="0"/>
    <x v="2"/>
  </r>
  <r>
    <x v="459"/>
    <x v="0"/>
    <x v="2"/>
  </r>
  <r>
    <x v="0"/>
    <x v="0"/>
    <x v="20"/>
  </r>
  <r>
    <x v="0"/>
    <x v="0"/>
    <x v="20"/>
  </r>
  <r>
    <x v="0"/>
    <x v="0"/>
    <x v="20"/>
  </r>
  <r>
    <x v="5"/>
    <x v="0"/>
    <x v="9"/>
  </r>
  <r>
    <x v="7"/>
    <x v="0"/>
    <x v="9"/>
  </r>
  <r>
    <x v="19"/>
    <x v="0"/>
    <x v="9"/>
  </r>
  <r>
    <x v="40"/>
    <x v="0"/>
    <x v="9"/>
  </r>
  <r>
    <x v="8"/>
    <x v="0"/>
    <x v="9"/>
  </r>
  <r>
    <x v="25"/>
    <x v="0"/>
    <x v="9"/>
  </r>
  <r>
    <x v="6"/>
    <x v="0"/>
    <x v="9"/>
  </r>
  <r>
    <x v="18"/>
    <x v="0"/>
    <x v="9"/>
  </r>
  <r>
    <x v="27"/>
    <x v="0"/>
    <x v="9"/>
  </r>
  <r>
    <x v="14"/>
    <x v="0"/>
    <x v="9"/>
  </r>
  <r>
    <x v="0"/>
    <x v="0"/>
    <x v="9"/>
  </r>
  <r>
    <x v="0"/>
    <x v="0"/>
    <x v="9"/>
  </r>
  <r>
    <x v="311"/>
    <x v="0"/>
    <x v="9"/>
  </r>
  <r>
    <x v="213"/>
    <x v="0"/>
    <x v="9"/>
  </r>
  <r>
    <x v="185"/>
    <x v="0"/>
    <x v="9"/>
  </r>
  <r>
    <x v="11"/>
    <x v="0"/>
    <x v="13"/>
  </r>
  <r>
    <x v="0"/>
    <x v="0"/>
    <x v="15"/>
  </r>
  <r>
    <x v="47"/>
    <x v="0"/>
    <x v="15"/>
  </r>
  <r>
    <x v="0"/>
    <x v="0"/>
    <x v="15"/>
  </r>
  <r>
    <x v="34"/>
    <x v="0"/>
    <x v="15"/>
  </r>
  <r>
    <x v="51"/>
    <x v="0"/>
    <x v="15"/>
  </r>
  <r>
    <x v="0"/>
    <x v="0"/>
    <x v="25"/>
  </r>
  <r>
    <x v="0"/>
    <x v="0"/>
    <x v="26"/>
  </r>
  <r>
    <x v="0"/>
    <x v="0"/>
    <x v="22"/>
  </r>
  <r>
    <x v="0"/>
    <x v="0"/>
    <x v="28"/>
  </r>
  <r>
    <x v="0"/>
    <x v="0"/>
    <x v="3"/>
  </r>
  <r>
    <x v="0"/>
    <x v="0"/>
    <x v="3"/>
  </r>
  <r>
    <x v="0"/>
    <x v="0"/>
    <x v="28"/>
  </r>
  <r>
    <x v="33"/>
    <x v="0"/>
    <x v="15"/>
  </r>
  <r>
    <x v="19"/>
    <x v="0"/>
    <x v="15"/>
  </r>
  <r>
    <x v="0"/>
    <x v="0"/>
    <x v="13"/>
  </r>
  <r>
    <x v="451"/>
    <x v="0"/>
    <x v="2"/>
  </r>
  <r>
    <x v="0"/>
    <x v="0"/>
    <x v="24"/>
  </r>
  <r>
    <x v="0"/>
    <x v="0"/>
    <x v="4"/>
  </r>
  <r>
    <x v="0"/>
    <x v="0"/>
    <x v="5"/>
  </r>
  <r>
    <x v="11"/>
    <x v="0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333">
  <r>
    <x v="500"/>
    <x v="23"/>
    <x v="0"/>
    <x v="15"/>
    <x v="0"/>
  </r>
  <r>
    <x v="424"/>
    <x v="23"/>
    <x v="1"/>
    <x v="15"/>
    <x v="1"/>
  </r>
  <r>
    <x v="17"/>
    <x v="23"/>
    <x v="28"/>
    <x v="15"/>
    <x v="20"/>
  </r>
  <r>
    <x v="59"/>
    <x v="23"/>
    <x v="14"/>
    <x v="15"/>
    <x v="11"/>
  </r>
  <r>
    <x v="8"/>
    <x v="23"/>
    <x v="28"/>
    <x v="15"/>
    <x v="20"/>
  </r>
  <r>
    <x v="5"/>
    <x v="23"/>
    <x v="28"/>
    <x v="15"/>
    <x v="20"/>
  </r>
  <r>
    <x v="9"/>
    <x v="23"/>
    <x v="7"/>
    <x v="15"/>
    <x v="6"/>
  </r>
  <r>
    <x v="31"/>
    <x v="23"/>
    <x v="28"/>
    <x v="15"/>
    <x v="20"/>
  </r>
  <r>
    <x v="5"/>
    <x v="23"/>
    <x v="23"/>
    <x v="15"/>
    <x v="15"/>
  </r>
  <r>
    <x v="21"/>
    <x v="23"/>
    <x v="25"/>
    <x v="15"/>
    <x v="15"/>
  </r>
  <r>
    <x v="2"/>
    <x v="23"/>
    <x v="19"/>
    <x v="15"/>
    <x v="15"/>
  </r>
  <r>
    <x v="8"/>
    <x v="23"/>
    <x v="28"/>
    <x v="15"/>
    <x v="20"/>
  </r>
  <r>
    <x v="9"/>
    <x v="23"/>
    <x v="16"/>
    <x v="15"/>
    <x v="12"/>
  </r>
  <r>
    <x v="7"/>
    <x v="23"/>
    <x v="8"/>
    <x v="15"/>
    <x v="7"/>
  </r>
  <r>
    <x v="4"/>
    <x v="23"/>
    <x v="20"/>
    <x v="15"/>
    <x v="15"/>
  </r>
  <r>
    <x v="3"/>
    <x v="23"/>
    <x v="15"/>
    <x v="15"/>
    <x v="8"/>
  </r>
  <r>
    <x v="4"/>
    <x v="23"/>
    <x v="26"/>
    <x v="15"/>
    <x v="18"/>
  </r>
  <r>
    <x v="501"/>
    <x v="23"/>
    <x v="0"/>
    <x v="15"/>
    <x v="0"/>
  </r>
  <r>
    <x v="21"/>
    <x v="23"/>
    <x v="1"/>
    <x v="15"/>
    <x v="1"/>
  </r>
  <r>
    <x v="457"/>
    <x v="23"/>
    <x v="28"/>
    <x v="15"/>
    <x v="20"/>
  </r>
  <r>
    <x v="0"/>
    <x v="23"/>
    <x v="14"/>
    <x v="15"/>
    <x v="11"/>
  </r>
  <r>
    <x v="21"/>
    <x v="23"/>
    <x v="28"/>
    <x v="15"/>
    <x v="20"/>
  </r>
  <r>
    <x v="0"/>
    <x v="23"/>
    <x v="28"/>
    <x v="15"/>
    <x v="20"/>
  </r>
  <r>
    <x v="0"/>
    <x v="23"/>
    <x v="7"/>
    <x v="15"/>
    <x v="6"/>
  </r>
  <r>
    <x v="0"/>
    <x v="23"/>
    <x v="28"/>
    <x v="15"/>
    <x v="20"/>
  </r>
  <r>
    <x v="0"/>
    <x v="23"/>
    <x v="23"/>
    <x v="15"/>
    <x v="15"/>
  </r>
  <r>
    <x v="6"/>
    <x v="23"/>
    <x v="19"/>
    <x v="15"/>
    <x v="15"/>
  </r>
  <r>
    <x v="0"/>
    <x v="23"/>
    <x v="25"/>
    <x v="15"/>
    <x v="15"/>
  </r>
  <r>
    <x v="0"/>
    <x v="23"/>
    <x v="19"/>
    <x v="15"/>
    <x v="15"/>
  </r>
  <r>
    <x v="0"/>
    <x v="23"/>
    <x v="28"/>
    <x v="15"/>
    <x v="20"/>
  </r>
  <r>
    <x v="0"/>
    <x v="23"/>
    <x v="16"/>
    <x v="15"/>
    <x v="12"/>
  </r>
  <r>
    <x v="0"/>
    <x v="23"/>
    <x v="8"/>
    <x v="15"/>
    <x v="7"/>
  </r>
  <r>
    <x v="0"/>
    <x v="23"/>
    <x v="20"/>
    <x v="15"/>
    <x v="15"/>
  </r>
  <r>
    <x v="8"/>
    <x v="23"/>
    <x v="9"/>
    <x v="15"/>
    <x v="8"/>
  </r>
  <r>
    <x v="0"/>
    <x v="23"/>
    <x v="15"/>
    <x v="15"/>
    <x v="8"/>
  </r>
  <r>
    <x v="0"/>
    <x v="23"/>
    <x v="26"/>
    <x v="15"/>
    <x v="18"/>
  </r>
  <r>
    <x v="523"/>
    <x v="9"/>
    <x v="0"/>
    <x v="6"/>
    <x v="0"/>
  </r>
  <r>
    <x v="50"/>
    <x v="9"/>
    <x v="1"/>
    <x v="6"/>
    <x v="1"/>
  </r>
  <r>
    <x v="9"/>
    <x v="9"/>
    <x v="28"/>
    <x v="6"/>
    <x v="20"/>
  </r>
  <r>
    <x v="468"/>
    <x v="9"/>
    <x v="14"/>
    <x v="6"/>
    <x v="11"/>
  </r>
  <r>
    <x v="4"/>
    <x v="9"/>
    <x v="28"/>
    <x v="6"/>
    <x v="20"/>
  </r>
  <r>
    <x v="93"/>
    <x v="9"/>
    <x v="28"/>
    <x v="6"/>
    <x v="20"/>
  </r>
  <r>
    <x v="7"/>
    <x v="9"/>
    <x v="7"/>
    <x v="6"/>
    <x v="6"/>
  </r>
  <r>
    <x v="0"/>
    <x v="9"/>
    <x v="28"/>
    <x v="6"/>
    <x v="20"/>
  </r>
  <r>
    <x v="7"/>
    <x v="9"/>
    <x v="16"/>
    <x v="6"/>
    <x v="12"/>
  </r>
  <r>
    <x v="4"/>
    <x v="9"/>
    <x v="23"/>
    <x v="6"/>
    <x v="15"/>
  </r>
  <r>
    <x v="0"/>
    <x v="9"/>
    <x v="19"/>
    <x v="6"/>
    <x v="15"/>
  </r>
  <r>
    <x v="0"/>
    <x v="9"/>
    <x v="25"/>
    <x v="6"/>
    <x v="15"/>
  </r>
  <r>
    <x v="7"/>
    <x v="9"/>
    <x v="12"/>
    <x v="6"/>
    <x v="15"/>
  </r>
  <r>
    <x v="10"/>
    <x v="9"/>
    <x v="12"/>
    <x v="6"/>
    <x v="15"/>
  </r>
  <r>
    <x v="7"/>
    <x v="9"/>
    <x v="19"/>
    <x v="6"/>
    <x v="15"/>
  </r>
  <r>
    <x v="23"/>
    <x v="9"/>
    <x v="12"/>
    <x v="6"/>
    <x v="15"/>
  </r>
  <r>
    <x v="0"/>
    <x v="9"/>
    <x v="28"/>
    <x v="6"/>
    <x v="20"/>
  </r>
  <r>
    <x v="13"/>
    <x v="9"/>
    <x v="16"/>
    <x v="6"/>
    <x v="12"/>
  </r>
  <r>
    <x v="4"/>
    <x v="9"/>
    <x v="18"/>
    <x v="6"/>
    <x v="14"/>
  </r>
  <r>
    <x v="0"/>
    <x v="9"/>
    <x v="8"/>
    <x v="6"/>
    <x v="7"/>
  </r>
  <r>
    <x v="14"/>
    <x v="9"/>
    <x v="20"/>
    <x v="6"/>
    <x v="15"/>
  </r>
  <r>
    <x v="8"/>
    <x v="9"/>
    <x v="20"/>
    <x v="6"/>
    <x v="15"/>
  </r>
  <r>
    <x v="0"/>
    <x v="9"/>
    <x v="9"/>
    <x v="6"/>
    <x v="8"/>
  </r>
  <r>
    <x v="0"/>
    <x v="9"/>
    <x v="15"/>
    <x v="6"/>
    <x v="8"/>
  </r>
  <r>
    <x v="6"/>
    <x v="9"/>
    <x v="15"/>
    <x v="6"/>
    <x v="8"/>
  </r>
  <r>
    <x v="0"/>
    <x v="9"/>
    <x v="26"/>
    <x v="6"/>
    <x v="18"/>
  </r>
  <r>
    <x v="9"/>
    <x v="9"/>
    <x v="3"/>
    <x v="6"/>
    <x v="2"/>
  </r>
  <r>
    <x v="515"/>
    <x v="23"/>
    <x v="0"/>
    <x v="15"/>
    <x v="0"/>
  </r>
  <r>
    <x v="0"/>
    <x v="23"/>
    <x v="1"/>
    <x v="15"/>
    <x v="1"/>
  </r>
  <r>
    <x v="0"/>
    <x v="23"/>
    <x v="28"/>
    <x v="15"/>
    <x v="20"/>
  </r>
  <r>
    <x v="0"/>
    <x v="23"/>
    <x v="14"/>
    <x v="15"/>
    <x v="11"/>
  </r>
  <r>
    <x v="453"/>
    <x v="23"/>
    <x v="28"/>
    <x v="15"/>
    <x v="20"/>
  </r>
  <r>
    <x v="3"/>
    <x v="23"/>
    <x v="28"/>
    <x v="15"/>
    <x v="20"/>
  </r>
  <r>
    <x v="0"/>
    <x v="23"/>
    <x v="7"/>
    <x v="15"/>
    <x v="6"/>
  </r>
  <r>
    <x v="14"/>
    <x v="23"/>
    <x v="28"/>
    <x v="15"/>
    <x v="20"/>
  </r>
  <r>
    <x v="9"/>
    <x v="23"/>
    <x v="27"/>
    <x v="15"/>
    <x v="19"/>
  </r>
  <r>
    <x v="5"/>
    <x v="23"/>
    <x v="25"/>
    <x v="15"/>
    <x v="15"/>
  </r>
  <r>
    <x v="0"/>
    <x v="23"/>
    <x v="16"/>
    <x v="15"/>
    <x v="12"/>
  </r>
  <r>
    <x v="20"/>
    <x v="23"/>
    <x v="23"/>
    <x v="15"/>
    <x v="15"/>
  </r>
  <r>
    <x v="91"/>
    <x v="23"/>
    <x v="23"/>
    <x v="15"/>
    <x v="15"/>
  </r>
  <r>
    <x v="24"/>
    <x v="23"/>
    <x v="19"/>
    <x v="15"/>
    <x v="15"/>
  </r>
  <r>
    <x v="0"/>
    <x v="23"/>
    <x v="25"/>
    <x v="15"/>
    <x v="15"/>
  </r>
  <r>
    <x v="0"/>
    <x v="23"/>
    <x v="12"/>
    <x v="15"/>
    <x v="15"/>
  </r>
  <r>
    <x v="0"/>
    <x v="23"/>
    <x v="12"/>
    <x v="15"/>
    <x v="15"/>
  </r>
  <r>
    <x v="33"/>
    <x v="23"/>
    <x v="19"/>
    <x v="15"/>
    <x v="15"/>
  </r>
  <r>
    <x v="15"/>
    <x v="23"/>
    <x v="12"/>
    <x v="15"/>
    <x v="15"/>
  </r>
  <r>
    <x v="9"/>
    <x v="23"/>
    <x v="19"/>
    <x v="15"/>
    <x v="15"/>
  </r>
  <r>
    <x v="0"/>
    <x v="23"/>
    <x v="28"/>
    <x v="15"/>
    <x v="20"/>
  </r>
  <r>
    <x v="0"/>
    <x v="23"/>
    <x v="16"/>
    <x v="15"/>
    <x v="12"/>
  </r>
  <r>
    <x v="7"/>
    <x v="23"/>
    <x v="18"/>
    <x v="15"/>
    <x v="14"/>
  </r>
  <r>
    <x v="0"/>
    <x v="23"/>
    <x v="18"/>
    <x v="15"/>
    <x v="14"/>
  </r>
  <r>
    <x v="0"/>
    <x v="23"/>
    <x v="8"/>
    <x v="15"/>
    <x v="7"/>
  </r>
  <r>
    <x v="0"/>
    <x v="23"/>
    <x v="20"/>
    <x v="15"/>
    <x v="15"/>
  </r>
  <r>
    <x v="10"/>
    <x v="23"/>
    <x v="20"/>
    <x v="15"/>
    <x v="15"/>
  </r>
  <r>
    <x v="4"/>
    <x v="23"/>
    <x v="20"/>
    <x v="15"/>
    <x v="15"/>
  </r>
  <r>
    <x v="9"/>
    <x v="23"/>
    <x v="9"/>
    <x v="15"/>
    <x v="8"/>
  </r>
  <r>
    <x v="0"/>
    <x v="23"/>
    <x v="15"/>
    <x v="15"/>
    <x v="8"/>
  </r>
  <r>
    <x v="0"/>
    <x v="23"/>
    <x v="15"/>
    <x v="15"/>
    <x v="8"/>
  </r>
  <r>
    <x v="0"/>
    <x v="23"/>
    <x v="26"/>
    <x v="15"/>
    <x v="18"/>
  </r>
  <r>
    <x v="0"/>
    <x v="23"/>
    <x v="3"/>
    <x v="15"/>
    <x v="2"/>
  </r>
  <r>
    <x v="6"/>
    <x v="23"/>
    <x v="6"/>
    <x v="15"/>
    <x v="5"/>
  </r>
  <r>
    <x v="489"/>
    <x v="23"/>
    <x v="0"/>
    <x v="15"/>
    <x v="0"/>
  </r>
  <r>
    <x v="0"/>
    <x v="23"/>
    <x v="1"/>
    <x v="15"/>
    <x v="1"/>
  </r>
  <r>
    <x v="41"/>
    <x v="23"/>
    <x v="28"/>
    <x v="15"/>
    <x v="20"/>
  </r>
  <r>
    <x v="151"/>
    <x v="23"/>
    <x v="14"/>
    <x v="15"/>
    <x v="11"/>
  </r>
  <r>
    <x v="5"/>
    <x v="23"/>
    <x v="28"/>
    <x v="15"/>
    <x v="20"/>
  </r>
  <r>
    <x v="416"/>
    <x v="23"/>
    <x v="28"/>
    <x v="15"/>
    <x v="20"/>
  </r>
  <r>
    <x v="84"/>
    <x v="23"/>
    <x v="7"/>
    <x v="15"/>
    <x v="6"/>
  </r>
  <r>
    <x v="44"/>
    <x v="23"/>
    <x v="28"/>
    <x v="15"/>
    <x v="20"/>
  </r>
  <r>
    <x v="0"/>
    <x v="23"/>
    <x v="27"/>
    <x v="15"/>
    <x v="19"/>
  </r>
  <r>
    <x v="0"/>
    <x v="23"/>
    <x v="25"/>
    <x v="15"/>
    <x v="15"/>
  </r>
  <r>
    <x v="0"/>
    <x v="23"/>
    <x v="16"/>
    <x v="15"/>
    <x v="12"/>
  </r>
  <r>
    <x v="11"/>
    <x v="23"/>
    <x v="16"/>
    <x v="15"/>
    <x v="12"/>
  </r>
  <r>
    <x v="0"/>
    <x v="23"/>
    <x v="23"/>
    <x v="15"/>
    <x v="15"/>
  </r>
  <r>
    <x v="0"/>
    <x v="23"/>
    <x v="23"/>
    <x v="15"/>
    <x v="15"/>
  </r>
  <r>
    <x v="0"/>
    <x v="23"/>
    <x v="19"/>
    <x v="15"/>
    <x v="15"/>
  </r>
  <r>
    <x v="22"/>
    <x v="23"/>
    <x v="25"/>
    <x v="15"/>
    <x v="15"/>
  </r>
  <r>
    <x v="0"/>
    <x v="23"/>
    <x v="12"/>
    <x v="15"/>
    <x v="15"/>
  </r>
  <r>
    <x v="14"/>
    <x v="23"/>
    <x v="12"/>
    <x v="15"/>
    <x v="15"/>
  </r>
  <r>
    <x v="13"/>
    <x v="23"/>
    <x v="19"/>
    <x v="15"/>
    <x v="15"/>
  </r>
  <r>
    <x v="0"/>
    <x v="23"/>
    <x v="12"/>
    <x v="15"/>
    <x v="15"/>
  </r>
  <r>
    <x v="0"/>
    <x v="23"/>
    <x v="19"/>
    <x v="15"/>
    <x v="15"/>
  </r>
  <r>
    <x v="0"/>
    <x v="23"/>
    <x v="28"/>
    <x v="15"/>
    <x v="20"/>
  </r>
  <r>
    <x v="0"/>
    <x v="23"/>
    <x v="16"/>
    <x v="15"/>
    <x v="12"/>
  </r>
  <r>
    <x v="0"/>
    <x v="23"/>
    <x v="18"/>
    <x v="15"/>
    <x v="14"/>
  </r>
  <r>
    <x v="0"/>
    <x v="23"/>
    <x v="18"/>
    <x v="15"/>
    <x v="14"/>
  </r>
  <r>
    <x v="0"/>
    <x v="23"/>
    <x v="8"/>
    <x v="15"/>
    <x v="7"/>
  </r>
  <r>
    <x v="11"/>
    <x v="23"/>
    <x v="20"/>
    <x v="15"/>
    <x v="15"/>
  </r>
  <r>
    <x v="0"/>
    <x v="23"/>
    <x v="20"/>
    <x v="15"/>
    <x v="15"/>
  </r>
  <r>
    <x v="0"/>
    <x v="23"/>
    <x v="20"/>
    <x v="15"/>
    <x v="15"/>
  </r>
  <r>
    <x v="0"/>
    <x v="23"/>
    <x v="9"/>
    <x v="15"/>
    <x v="8"/>
  </r>
  <r>
    <x v="0"/>
    <x v="23"/>
    <x v="15"/>
    <x v="15"/>
    <x v="8"/>
  </r>
  <r>
    <x v="6"/>
    <x v="23"/>
    <x v="15"/>
    <x v="15"/>
    <x v="8"/>
  </r>
  <r>
    <x v="0"/>
    <x v="23"/>
    <x v="26"/>
    <x v="15"/>
    <x v="18"/>
  </r>
  <r>
    <x v="0"/>
    <x v="23"/>
    <x v="3"/>
    <x v="15"/>
    <x v="2"/>
  </r>
  <r>
    <x v="0"/>
    <x v="23"/>
    <x v="6"/>
    <x v="15"/>
    <x v="5"/>
  </r>
  <r>
    <x v="537"/>
    <x v="2"/>
    <x v="0"/>
    <x v="1"/>
    <x v="0"/>
  </r>
  <r>
    <x v="23"/>
    <x v="2"/>
    <x v="1"/>
    <x v="1"/>
    <x v="1"/>
  </r>
  <r>
    <x v="0"/>
    <x v="2"/>
    <x v="28"/>
    <x v="1"/>
    <x v="20"/>
  </r>
  <r>
    <x v="5"/>
    <x v="2"/>
    <x v="14"/>
    <x v="1"/>
    <x v="11"/>
  </r>
  <r>
    <x v="0"/>
    <x v="2"/>
    <x v="28"/>
    <x v="1"/>
    <x v="20"/>
  </r>
  <r>
    <x v="102"/>
    <x v="2"/>
    <x v="28"/>
    <x v="1"/>
    <x v="20"/>
  </r>
  <r>
    <x v="485"/>
    <x v="2"/>
    <x v="7"/>
    <x v="1"/>
    <x v="6"/>
  </r>
  <r>
    <x v="20"/>
    <x v="2"/>
    <x v="28"/>
    <x v="1"/>
    <x v="20"/>
  </r>
  <r>
    <x v="122"/>
    <x v="2"/>
    <x v="27"/>
    <x v="1"/>
    <x v="19"/>
  </r>
  <r>
    <x v="9"/>
    <x v="2"/>
    <x v="25"/>
    <x v="1"/>
    <x v="15"/>
  </r>
  <r>
    <x v="0"/>
    <x v="2"/>
    <x v="16"/>
    <x v="1"/>
    <x v="12"/>
  </r>
  <r>
    <x v="9"/>
    <x v="2"/>
    <x v="16"/>
    <x v="1"/>
    <x v="12"/>
  </r>
  <r>
    <x v="0"/>
    <x v="2"/>
    <x v="23"/>
    <x v="1"/>
    <x v="15"/>
  </r>
  <r>
    <x v="0"/>
    <x v="2"/>
    <x v="23"/>
    <x v="1"/>
    <x v="15"/>
  </r>
  <r>
    <x v="0"/>
    <x v="2"/>
    <x v="19"/>
    <x v="1"/>
    <x v="15"/>
  </r>
  <r>
    <x v="9"/>
    <x v="2"/>
    <x v="25"/>
    <x v="1"/>
    <x v="15"/>
  </r>
  <r>
    <x v="0"/>
    <x v="2"/>
    <x v="12"/>
    <x v="1"/>
    <x v="15"/>
  </r>
  <r>
    <x v="0"/>
    <x v="2"/>
    <x v="12"/>
    <x v="1"/>
    <x v="15"/>
  </r>
  <r>
    <x v="0"/>
    <x v="2"/>
    <x v="19"/>
    <x v="1"/>
    <x v="15"/>
  </r>
  <r>
    <x v="0"/>
    <x v="2"/>
    <x v="12"/>
    <x v="1"/>
    <x v="15"/>
  </r>
  <r>
    <x v="0"/>
    <x v="2"/>
    <x v="19"/>
    <x v="1"/>
    <x v="15"/>
  </r>
  <r>
    <x v="20"/>
    <x v="2"/>
    <x v="28"/>
    <x v="1"/>
    <x v="20"/>
  </r>
  <r>
    <x v="10"/>
    <x v="2"/>
    <x v="16"/>
    <x v="1"/>
    <x v="12"/>
  </r>
  <r>
    <x v="9"/>
    <x v="2"/>
    <x v="18"/>
    <x v="1"/>
    <x v="14"/>
  </r>
  <r>
    <x v="0"/>
    <x v="2"/>
    <x v="18"/>
    <x v="1"/>
    <x v="14"/>
  </r>
  <r>
    <x v="9"/>
    <x v="2"/>
    <x v="17"/>
    <x v="1"/>
    <x v="13"/>
  </r>
  <r>
    <x v="6"/>
    <x v="2"/>
    <x v="8"/>
    <x v="1"/>
    <x v="7"/>
  </r>
  <r>
    <x v="6"/>
    <x v="2"/>
    <x v="20"/>
    <x v="1"/>
    <x v="15"/>
  </r>
  <r>
    <x v="6"/>
    <x v="2"/>
    <x v="20"/>
    <x v="1"/>
    <x v="15"/>
  </r>
  <r>
    <x v="0"/>
    <x v="2"/>
    <x v="20"/>
    <x v="1"/>
    <x v="15"/>
  </r>
  <r>
    <x v="0"/>
    <x v="2"/>
    <x v="9"/>
    <x v="1"/>
    <x v="8"/>
  </r>
  <r>
    <x v="0"/>
    <x v="2"/>
    <x v="15"/>
    <x v="1"/>
    <x v="8"/>
  </r>
  <r>
    <x v="0"/>
    <x v="2"/>
    <x v="15"/>
    <x v="1"/>
    <x v="8"/>
  </r>
  <r>
    <x v="0"/>
    <x v="2"/>
    <x v="26"/>
    <x v="1"/>
    <x v="18"/>
  </r>
  <r>
    <x v="0"/>
    <x v="2"/>
    <x v="3"/>
    <x v="1"/>
    <x v="2"/>
  </r>
  <r>
    <x v="6"/>
    <x v="2"/>
    <x v="6"/>
    <x v="1"/>
    <x v="5"/>
  </r>
  <r>
    <x v="482"/>
    <x v="23"/>
    <x v="0"/>
    <x v="15"/>
    <x v="0"/>
  </r>
  <r>
    <x v="8"/>
    <x v="23"/>
    <x v="1"/>
    <x v="15"/>
    <x v="1"/>
  </r>
  <r>
    <x v="0"/>
    <x v="23"/>
    <x v="28"/>
    <x v="15"/>
    <x v="20"/>
  </r>
  <r>
    <x v="48"/>
    <x v="23"/>
    <x v="14"/>
    <x v="15"/>
    <x v="11"/>
  </r>
  <r>
    <x v="29"/>
    <x v="23"/>
    <x v="28"/>
    <x v="15"/>
    <x v="20"/>
  </r>
  <r>
    <x v="6"/>
    <x v="23"/>
    <x v="28"/>
    <x v="15"/>
    <x v="20"/>
  </r>
  <r>
    <x v="16"/>
    <x v="23"/>
    <x v="7"/>
    <x v="15"/>
    <x v="6"/>
  </r>
  <r>
    <x v="423"/>
    <x v="23"/>
    <x v="28"/>
    <x v="15"/>
    <x v="20"/>
  </r>
  <r>
    <x v="50"/>
    <x v="23"/>
    <x v="27"/>
    <x v="15"/>
    <x v="19"/>
  </r>
  <r>
    <x v="6"/>
    <x v="23"/>
    <x v="25"/>
    <x v="15"/>
    <x v="15"/>
  </r>
  <r>
    <x v="0"/>
    <x v="23"/>
    <x v="16"/>
    <x v="15"/>
    <x v="12"/>
  </r>
  <r>
    <x v="208"/>
    <x v="23"/>
    <x v="16"/>
    <x v="15"/>
    <x v="12"/>
  </r>
  <r>
    <x v="0"/>
    <x v="23"/>
    <x v="23"/>
    <x v="15"/>
    <x v="15"/>
  </r>
  <r>
    <x v="12"/>
    <x v="23"/>
    <x v="23"/>
    <x v="15"/>
    <x v="15"/>
  </r>
  <r>
    <x v="0"/>
    <x v="23"/>
    <x v="19"/>
    <x v="15"/>
    <x v="15"/>
  </r>
  <r>
    <x v="0"/>
    <x v="23"/>
    <x v="25"/>
    <x v="15"/>
    <x v="15"/>
  </r>
  <r>
    <x v="0"/>
    <x v="23"/>
    <x v="12"/>
    <x v="15"/>
    <x v="15"/>
  </r>
  <r>
    <x v="7"/>
    <x v="23"/>
    <x v="12"/>
    <x v="15"/>
    <x v="15"/>
  </r>
  <r>
    <x v="9"/>
    <x v="23"/>
    <x v="19"/>
    <x v="15"/>
    <x v="15"/>
  </r>
  <r>
    <x v="17"/>
    <x v="23"/>
    <x v="12"/>
    <x v="15"/>
    <x v="15"/>
  </r>
  <r>
    <x v="0"/>
    <x v="23"/>
    <x v="12"/>
    <x v="15"/>
    <x v="15"/>
  </r>
  <r>
    <x v="9"/>
    <x v="23"/>
    <x v="19"/>
    <x v="15"/>
    <x v="15"/>
  </r>
  <r>
    <x v="11"/>
    <x v="23"/>
    <x v="24"/>
    <x v="15"/>
    <x v="17"/>
  </r>
  <r>
    <x v="11"/>
    <x v="23"/>
    <x v="11"/>
    <x v="15"/>
    <x v="10"/>
  </r>
  <r>
    <x v="7"/>
    <x v="23"/>
    <x v="28"/>
    <x v="15"/>
    <x v="20"/>
  </r>
  <r>
    <x v="53"/>
    <x v="23"/>
    <x v="16"/>
    <x v="15"/>
    <x v="12"/>
  </r>
  <r>
    <x v="42"/>
    <x v="23"/>
    <x v="16"/>
    <x v="15"/>
    <x v="12"/>
  </r>
  <r>
    <x v="10"/>
    <x v="23"/>
    <x v="18"/>
    <x v="15"/>
    <x v="14"/>
  </r>
  <r>
    <x v="0"/>
    <x v="23"/>
    <x v="18"/>
    <x v="15"/>
    <x v="14"/>
  </r>
  <r>
    <x v="0"/>
    <x v="23"/>
    <x v="18"/>
    <x v="15"/>
    <x v="14"/>
  </r>
  <r>
    <x v="4"/>
    <x v="23"/>
    <x v="18"/>
    <x v="15"/>
    <x v="14"/>
  </r>
  <r>
    <x v="0"/>
    <x v="23"/>
    <x v="17"/>
    <x v="15"/>
    <x v="13"/>
  </r>
  <r>
    <x v="0"/>
    <x v="23"/>
    <x v="8"/>
    <x v="15"/>
    <x v="7"/>
  </r>
  <r>
    <x v="2"/>
    <x v="23"/>
    <x v="8"/>
    <x v="15"/>
    <x v="7"/>
  </r>
  <r>
    <x v="8"/>
    <x v="23"/>
    <x v="20"/>
    <x v="15"/>
    <x v="15"/>
  </r>
  <r>
    <x v="0"/>
    <x v="23"/>
    <x v="20"/>
    <x v="15"/>
    <x v="15"/>
  </r>
  <r>
    <x v="0"/>
    <x v="23"/>
    <x v="20"/>
    <x v="15"/>
    <x v="15"/>
  </r>
  <r>
    <x v="8"/>
    <x v="23"/>
    <x v="9"/>
    <x v="15"/>
    <x v="8"/>
  </r>
  <r>
    <x v="0"/>
    <x v="23"/>
    <x v="9"/>
    <x v="15"/>
    <x v="8"/>
  </r>
  <r>
    <x v="0"/>
    <x v="23"/>
    <x v="15"/>
    <x v="15"/>
    <x v="8"/>
  </r>
  <r>
    <x v="0"/>
    <x v="23"/>
    <x v="15"/>
    <x v="15"/>
    <x v="8"/>
  </r>
  <r>
    <x v="0"/>
    <x v="23"/>
    <x v="26"/>
    <x v="15"/>
    <x v="18"/>
  </r>
  <r>
    <x v="0"/>
    <x v="23"/>
    <x v="3"/>
    <x v="15"/>
    <x v="2"/>
  </r>
  <r>
    <x v="0"/>
    <x v="23"/>
    <x v="6"/>
    <x v="15"/>
    <x v="5"/>
  </r>
  <r>
    <x v="510"/>
    <x v="22"/>
    <x v="0"/>
    <x v="14"/>
    <x v="0"/>
  </r>
  <r>
    <x v="0"/>
    <x v="22"/>
    <x v="1"/>
    <x v="14"/>
    <x v="1"/>
  </r>
  <r>
    <x v="0"/>
    <x v="22"/>
    <x v="28"/>
    <x v="14"/>
    <x v="20"/>
  </r>
  <r>
    <x v="0"/>
    <x v="22"/>
    <x v="14"/>
    <x v="14"/>
    <x v="11"/>
  </r>
  <r>
    <x v="0"/>
    <x v="22"/>
    <x v="28"/>
    <x v="14"/>
    <x v="20"/>
  </r>
  <r>
    <x v="31"/>
    <x v="22"/>
    <x v="28"/>
    <x v="14"/>
    <x v="20"/>
  </r>
  <r>
    <x v="51"/>
    <x v="22"/>
    <x v="7"/>
    <x v="14"/>
    <x v="6"/>
  </r>
  <r>
    <x v="24"/>
    <x v="22"/>
    <x v="28"/>
    <x v="14"/>
    <x v="20"/>
  </r>
  <r>
    <x v="442"/>
    <x v="22"/>
    <x v="27"/>
    <x v="14"/>
    <x v="19"/>
  </r>
  <r>
    <x v="0"/>
    <x v="22"/>
    <x v="25"/>
    <x v="14"/>
    <x v="15"/>
  </r>
  <r>
    <x v="112"/>
    <x v="22"/>
    <x v="16"/>
    <x v="14"/>
    <x v="12"/>
  </r>
  <r>
    <x v="90"/>
    <x v="22"/>
    <x v="16"/>
    <x v="14"/>
    <x v="12"/>
  </r>
  <r>
    <x v="0"/>
    <x v="22"/>
    <x v="23"/>
    <x v="14"/>
    <x v="15"/>
  </r>
  <r>
    <x v="0"/>
    <x v="22"/>
    <x v="23"/>
    <x v="14"/>
    <x v="15"/>
  </r>
  <r>
    <x v="0"/>
    <x v="22"/>
    <x v="19"/>
    <x v="14"/>
    <x v="15"/>
  </r>
  <r>
    <x v="28"/>
    <x v="22"/>
    <x v="25"/>
    <x v="14"/>
    <x v="15"/>
  </r>
  <r>
    <x v="0"/>
    <x v="22"/>
    <x v="12"/>
    <x v="14"/>
    <x v="15"/>
  </r>
  <r>
    <x v="0"/>
    <x v="22"/>
    <x v="12"/>
    <x v="14"/>
    <x v="15"/>
  </r>
  <r>
    <x v="0"/>
    <x v="22"/>
    <x v="19"/>
    <x v="14"/>
    <x v="15"/>
  </r>
  <r>
    <x v="0"/>
    <x v="22"/>
    <x v="12"/>
    <x v="14"/>
    <x v="15"/>
  </r>
  <r>
    <x v="7"/>
    <x v="22"/>
    <x v="12"/>
    <x v="14"/>
    <x v="15"/>
  </r>
  <r>
    <x v="0"/>
    <x v="22"/>
    <x v="19"/>
    <x v="14"/>
    <x v="15"/>
  </r>
  <r>
    <x v="0"/>
    <x v="22"/>
    <x v="24"/>
    <x v="14"/>
    <x v="17"/>
  </r>
  <r>
    <x v="0"/>
    <x v="22"/>
    <x v="11"/>
    <x v="14"/>
    <x v="10"/>
  </r>
  <r>
    <x v="6"/>
    <x v="22"/>
    <x v="11"/>
    <x v="14"/>
    <x v="10"/>
  </r>
  <r>
    <x v="0"/>
    <x v="22"/>
    <x v="28"/>
    <x v="14"/>
    <x v="20"/>
  </r>
  <r>
    <x v="107"/>
    <x v="22"/>
    <x v="16"/>
    <x v="14"/>
    <x v="12"/>
  </r>
  <r>
    <x v="147"/>
    <x v="22"/>
    <x v="16"/>
    <x v="14"/>
    <x v="12"/>
  </r>
  <r>
    <x v="0"/>
    <x v="22"/>
    <x v="18"/>
    <x v="14"/>
    <x v="14"/>
  </r>
  <r>
    <x v="0"/>
    <x v="22"/>
    <x v="18"/>
    <x v="14"/>
    <x v="14"/>
  </r>
  <r>
    <x v="0"/>
    <x v="22"/>
    <x v="18"/>
    <x v="14"/>
    <x v="14"/>
  </r>
  <r>
    <x v="0"/>
    <x v="22"/>
    <x v="18"/>
    <x v="14"/>
    <x v="14"/>
  </r>
  <r>
    <x v="0"/>
    <x v="22"/>
    <x v="17"/>
    <x v="14"/>
    <x v="13"/>
  </r>
  <r>
    <x v="0"/>
    <x v="22"/>
    <x v="8"/>
    <x v="14"/>
    <x v="7"/>
  </r>
  <r>
    <x v="0"/>
    <x v="22"/>
    <x v="8"/>
    <x v="14"/>
    <x v="7"/>
  </r>
  <r>
    <x v="0"/>
    <x v="22"/>
    <x v="20"/>
    <x v="14"/>
    <x v="15"/>
  </r>
  <r>
    <x v="0"/>
    <x v="22"/>
    <x v="20"/>
    <x v="14"/>
    <x v="15"/>
  </r>
  <r>
    <x v="0"/>
    <x v="22"/>
    <x v="20"/>
    <x v="14"/>
    <x v="15"/>
  </r>
  <r>
    <x v="0"/>
    <x v="22"/>
    <x v="9"/>
    <x v="14"/>
    <x v="8"/>
  </r>
  <r>
    <x v="0"/>
    <x v="22"/>
    <x v="9"/>
    <x v="14"/>
    <x v="8"/>
  </r>
  <r>
    <x v="0"/>
    <x v="22"/>
    <x v="15"/>
    <x v="14"/>
    <x v="8"/>
  </r>
  <r>
    <x v="0"/>
    <x v="22"/>
    <x v="15"/>
    <x v="14"/>
    <x v="8"/>
  </r>
  <r>
    <x v="0"/>
    <x v="22"/>
    <x v="26"/>
    <x v="14"/>
    <x v="18"/>
  </r>
  <r>
    <x v="0"/>
    <x v="22"/>
    <x v="3"/>
    <x v="14"/>
    <x v="2"/>
  </r>
  <r>
    <x v="6"/>
    <x v="22"/>
    <x v="24"/>
    <x v="14"/>
    <x v="17"/>
  </r>
  <r>
    <x v="0"/>
    <x v="22"/>
    <x v="6"/>
    <x v="14"/>
    <x v="5"/>
  </r>
  <r>
    <x v="474"/>
    <x v="20"/>
    <x v="0"/>
    <x v="10"/>
    <x v="0"/>
  </r>
  <r>
    <x v="11"/>
    <x v="20"/>
    <x v="1"/>
    <x v="10"/>
    <x v="1"/>
  </r>
  <r>
    <x v="0"/>
    <x v="20"/>
    <x v="28"/>
    <x v="10"/>
    <x v="20"/>
  </r>
  <r>
    <x v="0"/>
    <x v="20"/>
    <x v="14"/>
    <x v="10"/>
    <x v="11"/>
  </r>
  <r>
    <x v="16"/>
    <x v="20"/>
    <x v="28"/>
    <x v="10"/>
    <x v="20"/>
  </r>
  <r>
    <x v="0"/>
    <x v="20"/>
    <x v="28"/>
    <x v="10"/>
    <x v="20"/>
  </r>
  <r>
    <x v="0"/>
    <x v="20"/>
    <x v="7"/>
    <x v="10"/>
    <x v="6"/>
  </r>
  <r>
    <x v="0"/>
    <x v="20"/>
    <x v="28"/>
    <x v="10"/>
    <x v="20"/>
  </r>
  <r>
    <x v="0"/>
    <x v="20"/>
    <x v="27"/>
    <x v="10"/>
    <x v="19"/>
  </r>
  <r>
    <x v="438"/>
    <x v="20"/>
    <x v="25"/>
    <x v="10"/>
    <x v="15"/>
  </r>
  <r>
    <x v="8"/>
    <x v="20"/>
    <x v="16"/>
    <x v="10"/>
    <x v="12"/>
  </r>
  <r>
    <x v="0"/>
    <x v="20"/>
    <x v="16"/>
    <x v="10"/>
    <x v="12"/>
  </r>
  <r>
    <x v="43"/>
    <x v="20"/>
    <x v="23"/>
    <x v="10"/>
    <x v="15"/>
  </r>
  <r>
    <x v="92"/>
    <x v="20"/>
    <x v="23"/>
    <x v="10"/>
    <x v="15"/>
  </r>
  <r>
    <x v="33"/>
    <x v="20"/>
    <x v="19"/>
    <x v="10"/>
    <x v="15"/>
  </r>
  <r>
    <x v="129"/>
    <x v="20"/>
    <x v="25"/>
    <x v="10"/>
    <x v="15"/>
  </r>
  <r>
    <x v="16"/>
    <x v="20"/>
    <x v="12"/>
    <x v="10"/>
    <x v="15"/>
  </r>
  <r>
    <x v="124"/>
    <x v="20"/>
    <x v="12"/>
    <x v="10"/>
    <x v="15"/>
  </r>
  <r>
    <x v="68"/>
    <x v="20"/>
    <x v="19"/>
    <x v="10"/>
    <x v="15"/>
  </r>
  <r>
    <x v="25"/>
    <x v="20"/>
    <x v="12"/>
    <x v="10"/>
    <x v="15"/>
  </r>
  <r>
    <x v="44"/>
    <x v="20"/>
    <x v="12"/>
    <x v="10"/>
    <x v="15"/>
  </r>
  <r>
    <x v="15"/>
    <x v="20"/>
    <x v="19"/>
    <x v="10"/>
    <x v="15"/>
  </r>
  <r>
    <x v="0"/>
    <x v="20"/>
    <x v="24"/>
    <x v="10"/>
    <x v="17"/>
  </r>
  <r>
    <x v="0"/>
    <x v="20"/>
    <x v="11"/>
    <x v="10"/>
    <x v="10"/>
  </r>
  <r>
    <x v="0"/>
    <x v="20"/>
    <x v="11"/>
    <x v="10"/>
    <x v="10"/>
  </r>
  <r>
    <x v="0"/>
    <x v="20"/>
    <x v="28"/>
    <x v="10"/>
    <x v="20"/>
  </r>
  <r>
    <x v="22"/>
    <x v="20"/>
    <x v="16"/>
    <x v="10"/>
    <x v="12"/>
  </r>
  <r>
    <x v="0"/>
    <x v="20"/>
    <x v="16"/>
    <x v="10"/>
    <x v="12"/>
  </r>
  <r>
    <x v="0"/>
    <x v="20"/>
    <x v="18"/>
    <x v="10"/>
    <x v="14"/>
  </r>
  <r>
    <x v="0"/>
    <x v="20"/>
    <x v="18"/>
    <x v="10"/>
    <x v="14"/>
  </r>
  <r>
    <x v="0"/>
    <x v="20"/>
    <x v="18"/>
    <x v="10"/>
    <x v="14"/>
  </r>
  <r>
    <x v="7"/>
    <x v="20"/>
    <x v="18"/>
    <x v="10"/>
    <x v="14"/>
  </r>
  <r>
    <x v="0"/>
    <x v="20"/>
    <x v="17"/>
    <x v="10"/>
    <x v="13"/>
  </r>
  <r>
    <x v="0"/>
    <x v="20"/>
    <x v="8"/>
    <x v="10"/>
    <x v="7"/>
  </r>
  <r>
    <x v="0"/>
    <x v="20"/>
    <x v="8"/>
    <x v="10"/>
    <x v="7"/>
  </r>
  <r>
    <x v="9"/>
    <x v="20"/>
    <x v="20"/>
    <x v="10"/>
    <x v="15"/>
  </r>
  <r>
    <x v="0"/>
    <x v="20"/>
    <x v="20"/>
    <x v="10"/>
    <x v="15"/>
  </r>
  <r>
    <x v="21"/>
    <x v="20"/>
    <x v="20"/>
    <x v="10"/>
    <x v="15"/>
  </r>
  <r>
    <x v="0"/>
    <x v="20"/>
    <x v="9"/>
    <x v="10"/>
    <x v="8"/>
  </r>
  <r>
    <x v="8"/>
    <x v="20"/>
    <x v="9"/>
    <x v="10"/>
    <x v="8"/>
  </r>
  <r>
    <x v="0"/>
    <x v="20"/>
    <x v="9"/>
    <x v="10"/>
    <x v="8"/>
  </r>
  <r>
    <x v="0"/>
    <x v="20"/>
    <x v="15"/>
    <x v="10"/>
    <x v="8"/>
  </r>
  <r>
    <x v="0"/>
    <x v="20"/>
    <x v="15"/>
    <x v="10"/>
    <x v="8"/>
  </r>
  <r>
    <x v="238"/>
    <x v="20"/>
    <x v="25"/>
    <x v="10"/>
    <x v="15"/>
  </r>
  <r>
    <x v="0"/>
    <x v="20"/>
    <x v="26"/>
    <x v="10"/>
    <x v="18"/>
  </r>
  <r>
    <x v="0"/>
    <x v="20"/>
    <x v="3"/>
    <x v="10"/>
    <x v="2"/>
  </r>
  <r>
    <x v="0"/>
    <x v="20"/>
    <x v="24"/>
    <x v="10"/>
    <x v="17"/>
  </r>
  <r>
    <x v="0"/>
    <x v="20"/>
    <x v="6"/>
    <x v="10"/>
    <x v="5"/>
  </r>
  <r>
    <x v="511"/>
    <x v="11"/>
    <x v="0"/>
    <x v="7"/>
    <x v="0"/>
  </r>
  <r>
    <x v="5"/>
    <x v="11"/>
    <x v="1"/>
    <x v="7"/>
    <x v="1"/>
  </r>
  <r>
    <x v="0"/>
    <x v="11"/>
    <x v="28"/>
    <x v="7"/>
    <x v="20"/>
  </r>
  <r>
    <x v="17"/>
    <x v="11"/>
    <x v="14"/>
    <x v="7"/>
    <x v="11"/>
  </r>
  <r>
    <x v="0"/>
    <x v="11"/>
    <x v="28"/>
    <x v="7"/>
    <x v="20"/>
  </r>
  <r>
    <x v="14"/>
    <x v="11"/>
    <x v="28"/>
    <x v="7"/>
    <x v="20"/>
  </r>
  <r>
    <x v="17"/>
    <x v="11"/>
    <x v="7"/>
    <x v="7"/>
    <x v="6"/>
  </r>
  <r>
    <x v="0"/>
    <x v="11"/>
    <x v="28"/>
    <x v="7"/>
    <x v="20"/>
  </r>
  <r>
    <x v="39"/>
    <x v="11"/>
    <x v="27"/>
    <x v="7"/>
    <x v="19"/>
  </r>
  <r>
    <x v="13"/>
    <x v="11"/>
    <x v="25"/>
    <x v="7"/>
    <x v="15"/>
  </r>
  <r>
    <x v="447"/>
    <x v="11"/>
    <x v="16"/>
    <x v="7"/>
    <x v="12"/>
  </r>
  <r>
    <x v="16"/>
    <x v="11"/>
    <x v="16"/>
    <x v="7"/>
    <x v="12"/>
  </r>
  <r>
    <x v="15"/>
    <x v="11"/>
    <x v="16"/>
    <x v="7"/>
    <x v="12"/>
  </r>
  <r>
    <x v="0"/>
    <x v="11"/>
    <x v="23"/>
    <x v="7"/>
    <x v="15"/>
  </r>
  <r>
    <x v="0"/>
    <x v="11"/>
    <x v="23"/>
    <x v="7"/>
    <x v="15"/>
  </r>
  <r>
    <x v="0"/>
    <x v="11"/>
    <x v="19"/>
    <x v="7"/>
    <x v="15"/>
  </r>
  <r>
    <x v="142"/>
    <x v="11"/>
    <x v="25"/>
    <x v="7"/>
    <x v="15"/>
  </r>
  <r>
    <x v="0"/>
    <x v="11"/>
    <x v="12"/>
    <x v="7"/>
    <x v="15"/>
  </r>
  <r>
    <x v="23"/>
    <x v="11"/>
    <x v="12"/>
    <x v="7"/>
    <x v="15"/>
  </r>
  <r>
    <x v="0"/>
    <x v="11"/>
    <x v="19"/>
    <x v="7"/>
    <x v="15"/>
  </r>
  <r>
    <x v="17"/>
    <x v="11"/>
    <x v="12"/>
    <x v="7"/>
    <x v="15"/>
  </r>
  <r>
    <x v="7"/>
    <x v="11"/>
    <x v="12"/>
    <x v="7"/>
    <x v="15"/>
  </r>
  <r>
    <x v="6"/>
    <x v="11"/>
    <x v="19"/>
    <x v="7"/>
    <x v="15"/>
  </r>
  <r>
    <x v="27"/>
    <x v="11"/>
    <x v="24"/>
    <x v="7"/>
    <x v="17"/>
  </r>
  <r>
    <x v="9"/>
    <x v="11"/>
    <x v="11"/>
    <x v="7"/>
    <x v="10"/>
  </r>
  <r>
    <x v="0"/>
    <x v="11"/>
    <x v="11"/>
    <x v="7"/>
    <x v="10"/>
  </r>
  <r>
    <x v="9"/>
    <x v="11"/>
    <x v="28"/>
    <x v="7"/>
    <x v="20"/>
  </r>
  <r>
    <x v="327"/>
    <x v="11"/>
    <x v="16"/>
    <x v="7"/>
    <x v="12"/>
  </r>
  <r>
    <x v="218"/>
    <x v="11"/>
    <x v="16"/>
    <x v="7"/>
    <x v="12"/>
  </r>
  <r>
    <x v="0"/>
    <x v="11"/>
    <x v="18"/>
    <x v="7"/>
    <x v="14"/>
  </r>
  <r>
    <x v="0"/>
    <x v="11"/>
    <x v="18"/>
    <x v="7"/>
    <x v="14"/>
  </r>
  <r>
    <x v="0"/>
    <x v="11"/>
    <x v="18"/>
    <x v="7"/>
    <x v="14"/>
  </r>
  <r>
    <x v="0"/>
    <x v="11"/>
    <x v="18"/>
    <x v="7"/>
    <x v="14"/>
  </r>
  <r>
    <x v="0"/>
    <x v="11"/>
    <x v="17"/>
    <x v="7"/>
    <x v="13"/>
  </r>
  <r>
    <x v="0"/>
    <x v="11"/>
    <x v="8"/>
    <x v="7"/>
    <x v="7"/>
  </r>
  <r>
    <x v="0"/>
    <x v="11"/>
    <x v="8"/>
    <x v="7"/>
    <x v="7"/>
  </r>
  <r>
    <x v="5"/>
    <x v="11"/>
    <x v="20"/>
    <x v="7"/>
    <x v="15"/>
  </r>
  <r>
    <x v="0"/>
    <x v="11"/>
    <x v="20"/>
    <x v="7"/>
    <x v="15"/>
  </r>
  <r>
    <x v="0"/>
    <x v="11"/>
    <x v="20"/>
    <x v="7"/>
    <x v="15"/>
  </r>
  <r>
    <x v="0"/>
    <x v="11"/>
    <x v="9"/>
    <x v="7"/>
    <x v="8"/>
  </r>
  <r>
    <x v="0"/>
    <x v="11"/>
    <x v="9"/>
    <x v="7"/>
    <x v="8"/>
  </r>
  <r>
    <x v="6"/>
    <x v="11"/>
    <x v="9"/>
    <x v="7"/>
    <x v="8"/>
  </r>
  <r>
    <x v="0"/>
    <x v="11"/>
    <x v="15"/>
    <x v="7"/>
    <x v="8"/>
  </r>
  <r>
    <x v="0"/>
    <x v="11"/>
    <x v="15"/>
    <x v="7"/>
    <x v="8"/>
  </r>
  <r>
    <x v="13"/>
    <x v="11"/>
    <x v="25"/>
    <x v="7"/>
    <x v="15"/>
  </r>
  <r>
    <x v="0"/>
    <x v="11"/>
    <x v="26"/>
    <x v="7"/>
    <x v="18"/>
  </r>
  <r>
    <x v="0"/>
    <x v="11"/>
    <x v="3"/>
    <x v="7"/>
    <x v="2"/>
  </r>
  <r>
    <x v="0"/>
    <x v="11"/>
    <x v="24"/>
    <x v="7"/>
    <x v="17"/>
  </r>
  <r>
    <x v="0"/>
    <x v="11"/>
    <x v="6"/>
    <x v="7"/>
    <x v="5"/>
  </r>
  <r>
    <x v="522"/>
    <x v="11"/>
    <x v="0"/>
    <x v="7"/>
    <x v="0"/>
  </r>
  <r>
    <x v="0"/>
    <x v="11"/>
    <x v="1"/>
    <x v="7"/>
    <x v="1"/>
  </r>
  <r>
    <x v="0"/>
    <x v="11"/>
    <x v="28"/>
    <x v="7"/>
    <x v="20"/>
  </r>
  <r>
    <x v="33"/>
    <x v="11"/>
    <x v="14"/>
    <x v="7"/>
    <x v="11"/>
  </r>
  <r>
    <x v="107"/>
    <x v="11"/>
    <x v="28"/>
    <x v="7"/>
    <x v="20"/>
  </r>
  <r>
    <x v="32"/>
    <x v="11"/>
    <x v="28"/>
    <x v="7"/>
    <x v="20"/>
  </r>
  <r>
    <x v="0"/>
    <x v="11"/>
    <x v="7"/>
    <x v="7"/>
    <x v="6"/>
  </r>
  <r>
    <x v="134"/>
    <x v="11"/>
    <x v="28"/>
    <x v="7"/>
    <x v="20"/>
  </r>
  <r>
    <x v="19"/>
    <x v="11"/>
    <x v="27"/>
    <x v="7"/>
    <x v="19"/>
  </r>
  <r>
    <x v="0"/>
    <x v="11"/>
    <x v="25"/>
    <x v="7"/>
    <x v="15"/>
  </r>
  <r>
    <x v="86"/>
    <x v="11"/>
    <x v="16"/>
    <x v="7"/>
    <x v="12"/>
  </r>
  <r>
    <x v="450"/>
    <x v="11"/>
    <x v="16"/>
    <x v="7"/>
    <x v="12"/>
  </r>
  <r>
    <x v="8"/>
    <x v="11"/>
    <x v="16"/>
    <x v="7"/>
    <x v="12"/>
  </r>
  <r>
    <x v="0"/>
    <x v="11"/>
    <x v="23"/>
    <x v="7"/>
    <x v="15"/>
  </r>
  <r>
    <x v="2"/>
    <x v="11"/>
    <x v="23"/>
    <x v="7"/>
    <x v="15"/>
  </r>
  <r>
    <x v="0"/>
    <x v="11"/>
    <x v="19"/>
    <x v="7"/>
    <x v="15"/>
  </r>
  <r>
    <x v="29"/>
    <x v="11"/>
    <x v="25"/>
    <x v="7"/>
    <x v="15"/>
  </r>
  <r>
    <x v="0"/>
    <x v="11"/>
    <x v="12"/>
    <x v="7"/>
    <x v="15"/>
  </r>
  <r>
    <x v="48"/>
    <x v="11"/>
    <x v="12"/>
    <x v="7"/>
    <x v="15"/>
  </r>
  <r>
    <x v="7"/>
    <x v="11"/>
    <x v="19"/>
    <x v="7"/>
    <x v="15"/>
  </r>
  <r>
    <x v="8"/>
    <x v="11"/>
    <x v="12"/>
    <x v="7"/>
    <x v="15"/>
  </r>
  <r>
    <x v="0"/>
    <x v="11"/>
    <x v="12"/>
    <x v="7"/>
    <x v="15"/>
  </r>
  <r>
    <x v="2"/>
    <x v="11"/>
    <x v="19"/>
    <x v="7"/>
    <x v="15"/>
  </r>
  <r>
    <x v="0"/>
    <x v="11"/>
    <x v="24"/>
    <x v="7"/>
    <x v="17"/>
  </r>
  <r>
    <x v="0"/>
    <x v="11"/>
    <x v="11"/>
    <x v="7"/>
    <x v="10"/>
  </r>
  <r>
    <x v="15"/>
    <x v="11"/>
    <x v="11"/>
    <x v="7"/>
    <x v="10"/>
  </r>
  <r>
    <x v="24"/>
    <x v="11"/>
    <x v="28"/>
    <x v="7"/>
    <x v="20"/>
  </r>
  <r>
    <x v="308"/>
    <x v="11"/>
    <x v="16"/>
    <x v="7"/>
    <x v="12"/>
  </r>
  <r>
    <x v="346"/>
    <x v="11"/>
    <x v="16"/>
    <x v="7"/>
    <x v="12"/>
  </r>
  <r>
    <x v="0"/>
    <x v="11"/>
    <x v="18"/>
    <x v="7"/>
    <x v="14"/>
  </r>
  <r>
    <x v="0"/>
    <x v="11"/>
    <x v="18"/>
    <x v="7"/>
    <x v="14"/>
  </r>
  <r>
    <x v="0"/>
    <x v="11"/>
    <x v="18"/>
    <x v="7"/>
    <x v="14"/>
  </r>
  <r>
    <x v="11"/>
    <x v="11"/>
    <x v="18"/>
    <x v="7"/>
    <x v="14"/>
  </r>
  <r>
    <x v="0"/>
    <x v="11"/>
    <x v="17"/>
    <x v="7"/>
    <x v="13"/>
  </r>
  <r>
    <x v="0"/>
    <x v="11"/>
    <x v="8"/>
    <x v="7"/>
    <x v="7"/>
  </r>
  <r>
    <x v="9"/>
    <x v="11"/>
    <x v="8"/>
    <x v="7"/>
    <x v="7"/>
  </r>
  <r>
    <x v="14"/>
    <x v="11"/>
    <x v="2"/>
    <x v="7"/>
    <x v="8"/>
  </r>
  <r>
    <x v="34"/>
    <x v="11"/>
    <x v="20"/>
    <x v="7"/>
    <x v="15"/>
  </r>
  <r>
    <x v="0"/>
    <x v="11"/>
    <x v="20"/>
    <x v="7"/>
    <x v="15"/>
  </r>
  <r>
    <x v="0"/>
    <x v="11"/>
    <x v="20"/>
    <x v="7"/>
    <x v="15"/>
  </r>
  <r>
    <x v="0"/>
    <x v="11"/>
    <x v="9"/>
    <x v="7"/>
    <x v="8"/>
  </r>
  <r>
    <x v="6"/>
    <x v="11"/>
    <x v="9"/>
    <x v="7"/>
    <x v="8"/>
  </r>
  <r>
    <x v="0"/>
    <x v="11"/>
    <x v="9"/>
    <x v="7"/>
    <x v="8"/>
  </r>
  <r>
    <x v="11"/>
    <x v="11"/>
    <x v="9"/>
    <x v="7"/>
    <x v="8"/>
  </r>
  <r>
    <x v="12"/>
    <x v="11"/>
    <x v="13"/>
    <x v="7"/>
    <x v="8"/>
  </r>
  <r>
    <x v="13"/>
    <x v="11"/>
    <x v="15"/>
    <x v="7"/>
    <x v="8"/>
  </r>
  <r>
    <x v="0"/>
    <x v="11"/>
    <x v="15"/>
    <x v="7"/>
    <x v="8"/>
  </r>
  <r>
    <x v="0"/>
    <x v="11"/>
    <x v="25"/>
    <x v="7"/>
    <x v="15"/>
  </r>
  <r>
    <x v="0"/>
    <x v="11"/>
    <x v="26"/>
    <x v="7"/>
    <x v="18"/>
  </r>
  <r>
    <x v="0"/>
    <x v="11"/>
    <x v="3"/>
    <x v="7"/>
    <x v="2"/>
  </r>
  <r>
    <x v="16"/>
    <x v="11"/>
    <x v="24"/>
    <x v="7"/>
    <x v="17"/>
  </r>
  <r>
    <x v="9"/>
    <x v="11"/>
    <x v="6"/>
    <x v="7"/>
    <x v="5"/>
  </r>
  <r>
    <x v="492"/>
    <x v="11"/>
    <x v="0"/>
    <x v="7"/>
    <x v="0"/>
  </r>
  <r>
    <x v="0"/>
    <x v="11"/>
    <x v="1"/>
    <x v="7"/>
    <x v="1"/>
  </r>
  <r>
    <x v="11"/>
    <x v="11"/>
    <x v="28"/>
    <x v="7"/>
    <x v="20"/>
  </r>
  <r>
    <x v="23"/>
    <x v="11"/>
    <x v="14"/>
    <x v="7"/>
    <x v="11"/>
  </r>
  <r>
    <x v="0"/>
    <x v="11"/>
    <x v="28"/>
    <x v="7"/>
    <x v="20"/>
  </r>
  <r>
    <x v="254"/>
    <x v="11"/>
    <x v="28"/>
    <x v="7"/>
    <x v="20"/>
  </r>
  <r>
    <x v="11"/>
    <x v="11"/>
    <x v="7"/>
    <x v="7"/>
    <x v="6"/>
  </r>
  <r>
    <x v="10"/>
    <x v="11"/>
    <x v="28"/>
    <x v="7"/>
    <x v="20"/>
  </r>
  <r>
    <x v="0"/>
    <x v="11"/>
    <x v="27"/>
    <x v="7"/>
    <x v="19"/>
  </r>
  <r>
    <x v="0"/>
    <x v="11"/>
    <x v="25"/>
    <x v="7"/>
    <x v="15"/>
  </r>
  <r>
    <x v="38"/>
    <x v="11"/>
    <x v="16"/>
    <x v="7"/>
    <x v="12"/>
  </r>
  <r>
    <x v="122"/>
    <x v="11"/>
    <x v="16"/>
    <x v="7"/>
    <x v="12"/>
  </r>
  <r>
    <x v="420"/>
    <x v="11"/>
    <x v="16"/>
    <x v="7"/>
    <x v="12"/>
  </r>
  <r>
    <x v="0"/>
    <x v="11"/>
    <x v="23"/>
    <x v="7"/>
    <x v="15"/>
  </r>
  <r>
    <x v="7"/>
    <x v="11"/>
    <x v="23"/>
    <x v="7"/>
    <x v="15"/>
  </r>
  <r>
    <x v="0"/>
    <x v="11"/>
    <x v="19"/>
    <x v="7"/>
    <x v="15"/>
  </r>
  <r>
    <x v="9"/>
    <x v="11"/>
    <x v="25"/>
    <x v="7"/>
    <x v="15"/>
  </r>
  <r>
    <x v="0"/>
    <x v="11"/>
    <x v="12"/>
    <x v="7"/>
    <x v="15"/>
  </r>
  <r>
    <x v="7"/>
    <x v="11"/>
    <x v="12"/>
    <x v="7"/>
    <x v="15"/>
  </r>
  <r>
    <x v="12"/>
    <x v="11"/>
    <x v="19"/>
    <x v="7"/>
    <x v="15"/>
  </r>
  <r>
    <x v="0"/>
    <x v="11"/>
    <x v="12"/>
    <x v="7"/>
    <x v="15"/>
  </r>
  <r>
    <x v="2"/>
    <x v="11"/>
    <x v="12"/>
    <x v="7"/>
    <x v="15"/>
  </r>
  <r>
    <x v="14"/>
    <x v="11"/>
    <x v="19"/>
    <x v="7"/>
    <x v="15"/>
  </r>
  <r>
    <x v="14"/>
    <x v="11"/>
    <x v="24"/>
    <x v="7"/>
    <x v="17"/>
  </r>
  <r>
    <x v="0"/>
    <x v="11"/>
    <x v="11"/>
    <x v="7"/>
    <x v="10"/>
  </r>
  <r>
    <x v="0"/>
    <x v="11"/>
    <x v="11"/>
    <x v="7"/>
    <x v="10"/>
  </r>
  <r>
    <x v="24"/>
    <x v="11"/>
    <x v="28"/>
    <x v="7"/>
    <x v="20"/>
  </r>
  <r>
    <x v="269"/>
    <x v="11"/>
    <x v="16"/>
    <x v="7"/>
    <x v="12"/>
  </r>
  <r>
    <x v="281"/>
    <x v="11"/>
    <x v="16"/>
    <x v="7"/>
    <x v="12"/>
  </r>
  <r>
    <x v="9"/>
    <x v="11"/>
    <x v="18"/>
    <x v="7"/>
    <x v="14"/>
  </r>
  <r>
    <x v="0"/>
    <x v="11"/>
    <x v="18"/>
    <x v="7"/>
    <x v="14"/>
  </r>
  <r>
    <x v="0"/>
    <x v="11"/>
    <x v="18"/>
    <x v="7"/>
    <x v="14"/>
  </r>
  <r>
    <x v="0"/>
    <x v="11"/>
    <x v="18"/>
    <x v="7"/>
    <x v="14"/>
  </r>
  <r>
    <x v="0"/>
    <x v="11"/>
    <x v="17"/>
    <x v="7"/>
    <x v="13"/>
  </r>
  <r>
    <x v="0"/>
    <x v="11"/>
    <x v="8"/>
    <x v="7"/>
    <x v="7"/>
  </r>
  <r>
    <x v="0"/>
    <x v="11"/>
    <x v="8"/>
    <x v="7"/>
    <x v="7"/>
  </r>
  <r>
    <x v="10"/>
    <x v="11"/>
    <x v="2"/>
    <x v="7"/>
    <x v="8"/>
  </r>
  <r>
    <x v="3"/>
    <x v="11"/>
    <x v="2"/>
    <x v="7"/>
    <x v="8"/>
  </r>
  <r>
    <x v="0"/>
    <x v="11"/>
    <x v="20"/>
    <x v="7"/>
    <x v="15"/>
  </r>
  <r>
    <x v="7"/>
    <x v="11"/>
    <x v="20"/>
    <x v="7"/>
    <x v="15"/>
  </r>
  <r>
    <x v="0"/>
    <x v="11"/>
    <x v="20"/>
    <x v="7"/>
    <x v="15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6"/>
    <x v="11"/>
    <x v="9"/>
    <x v="7"/>
    <x v="8"/>
  </r>
  <r>
    <x v="6"/>
    <x v="11"/>
    <x v="13"/>
    <x v="7"/>
    <x v="8"/>
  </r>
  <r>
    <x v="0"/>
    <x v="11"/>
    <x v="15"/>
    <x v="7"/>
    <x v="8"/>
  </r>
  <r>
    <x v="0"/>
    <x v="11"/>
    <x v="15"/>
    <x v="7"/>
    <x v="8"/>
  </r>
  <r>
    <x v="0"/>
    <x v="11"/>
    <x v="25"/>
    <x v="7"/>
    <x v="15"/>
  </r>
  <r>
    <x v="0"/>
    <x v="11"/>
    <x v="26"/>
    <x v="7"/>
    <x v="18"/>
  </r>
  <r>
    <x v="0"/>
    <x v="11"/>
    <x v="3"/>
    <x v="7"/>
    <x v="2"/>
  </r>
  <r>
    <x v="0"/>
    <x v="11"/>
    <x v="24"/>
    <x v="7"/>
    <x v="17"/>
  </r>
  <r>
    <x v="0"/>
    <x v="11"/>
    <x v="6"/>
    <x v="7"/>
    <x v="5"/>
  </r>
  <r>
    <x v="473"/>
    <x v="18"/>
    <x v="0"/>
    <x v="10"/>
    <x v="0"/>
  </r>
  <r>
    <x v="0"/>
    <x v="18"/>
    <x v="1"/>
    <x v="10"/>
    <x v="1"/>
  </r>
  <r>
    <x v="7"/>
    <x v="18"/>
    <x v="28"/>
    <x v="10"/>
    <x v="20"/>
  </r>
  <r>
    <x v="0"/>
    <x v="18"/>
    <x v="14"/>
    <x v="10"/>
    <x v="11"/>
  </r>
  <r>
    <x v="0"/>
    <x v="18"/>
    <x v="28"/>
    <x v="10"/>
    <x v="20"/>
  </r>
  <r>
    <x v="0"/>
    <x v="18"/>
    <x v="28"/>
    <x v="10"/>
    <x v="20"/>
  </r>
  <r>
    <x v="0"/>
    <x v="18"/>
    <x v="7"/>
    <x v="10"/>
    <x v="6"/>
  </r>
  <r>
    <x v="0"/>
    <x v="18"/>
    <x v="28"/>
    <x v="10"/>
    <x v="20"/>
  </r>
  <r>
    <x v="0"/>
    <x v="18"/>
    <x v="27"/>
    <x v="10"/>
    <x v="19"/>
  </r>
  <r>
    <x v="17"/>
    <x v="18"/>
    <x v="25"/>
    <x v="10"/>
    <x v="15"/>
  </r>
  <r>
    <x v="0"/>
    <x v="18"/>
    <x v="16"/>
    <x v="10"/>
    <x v="12"/>
  </r>
  <r>
    <x v="0"/>
    <x v="18"/>
    <x v="16"/>
    <x v="10"/>
    <x v="12"/>
  </r>
  <r>
    <x v="0"/>
    <x v="18"/>
    <x v="16"/>
    <x v="10"/>
    <x v="12"/>
  </r>
  <r>
    <x v="433"/>
    <x v="18"/>
    <x v="23"/>
    <x v="10"/>
    <x v="15"/>
  </r>
  <r>
    <x v="334"/>
    <x v="18"/>
    <x v="23"/>
    <x v="10"/>
    <x v="15"/>
  </r>
  <r>
    <x v="146"/>
    <x v="18"/>
    <x v="19"/>
    <x v="10"/>
    <x v="15"/>
  </r>
  <r>
    <x v="15"/>
    <x v="18"/>
    <x v="25"/>
    <x v="10"/>
    <x v="15"/>
  </r>
  <r>
    <x v="8"/>
    <x v="18"/>
    <x v="12"/>
    <x v="10"/>
    <x v="15"/>
  </r>
  <r>
    <x v="24"/>
    <x v="18"/>
    <x v="12"/>
    <x v="10"/>
    <x v="15"/>
  </r>
  <r>
    <x v="75"/>
    <x v="18"/>
    <x v="19"/>
    <x v="10"/>
    <x v="15"/>
  </r>
  <r>
    <x v="0"/>
    <x v="18"/>
    <x v="12"/>
    <x v="10"/>
    <x v="15"/>
  </r>
  <r>
    <x v="22"/>
    <x v="18"/>
    <x v="12"/>
    <x v="10"/>
    <x v="15"/>
  </r>
  <r>
    <x v="18"/>
    <x v="18"/>
    <x v="19"/>
    <x v="10"/>
    <x v="15"/>
  </r>
  <r>
    <x v="0"/>
    <x v="18"/>
    <x v="24"/>
    <x v="10"/>
    <x v="17"/>
  </r>
  <r>
    <x v="0"/>
    <x v="18"/>
    <x v="11"/>
    <x v="10"/>
    <x v="10"/>
  </r>
  <r>
    <x v="0"/>
    <x v="18"/>
    <x v="11"/>
    <x v="10"/>
    <x v="10"/>
  </r>
  <r>
    <x v="0"/>
    <x v="18"/>
    <x v="28"/>
    <x v="10"/>
    <x v="20"/>
  </r>
  <r>
    <x v="0"/>
    <x v="18"/>
    <x v="16"/>
    <x v="10"/>
    <x v="12"/>
  </r>
  <r>
    <x v="0"/>
    <x v="18"/>
    <x v="16"/>
    <x v="10"/>
    <x v="12"/>
  </r>
  <r>
    <x v="9"/>
    <x v="18"/>
    <x v="18"/>
    <x v="10"/>
    <x v="14"/>
  </r>
  <r>
    <x v="0"/>
    <x v="18"/>
    <x v="18"/>
    <x v="10"/>
    <x v="14"/>
  </r>
  <r>
    <x v="0"/>
    <x v="18"/>
    <x v="18"/>
    <x v="10"/>
    <x v="14"/>
  </r>
  <r>
    <x v="0"/>
    <x v="18"/>
    <x v="18"/>
    <x v="10"/>
    <x v="14"/>
  </r>
  <r>
    <x v="0"/>
    <x v="18"/>
    <x v="17"/>
    <x v="10"/>
    <x v="13"/>
  </r>
  <r>
    <x v="0"/>
    <x v="18"/>
    <x v="8"/>
    <x v="10"/>
    <x v="7"/>
  </r>
  <r>
    <x v="0"/>
    <x v="18"/>
    <x v="8"/>
    <x v="10"/>
    <x v="7"/>
  </r>
  <r>
    <x v="0"/>
    <x v="18"/>
    <x v="2"/>
    <x v="10"/>
    <x v="8"/>
  </r>
  <r>
    <x v="0"/>
    <x v="18"/>
    <x v="2"/>
    <x v="10"/>
    <x v="8"/>
  </r>
  <r>
    <x v="0"/>
    <x v="18"/>
    <x v="20"/>
    <x v="10"/>
    <x v="15"/>
  </r>
  <r>
    <x v="0"/>
    <x v="18"/>
    <x v="20"/>
    <x v="10"/>
    <x v="15"/>
  </r>
  <r>
    <x v="0"/>
    <x v="18"/>
    <x v="20"/>
    <x v="10"/>
    <x v="15"/>
  </r>
  <r>
    <x v="7"/>
    <x v="18"/>
    <x v="9"/>
    <x v="10"/>
    <x v="8"/>
  </r>
  <r>
    <x v="0"/>
    <x v="18"/>
    <x v="9"/>
    <x v="10"/>
    <x v="8"/>
  </r>
  <r>
    <x v="0"/>
    <x v="18"/>
    <x v="9"/>
    <x v="10"/>
    <x v="8"/>
  </r>
  <r>
    <x v="0"/>
    <x v="18"/>
    <x v="9"/>
    <x v="10"/>
    <x v="8"/>
  </r>
  <r>
    <x v="0"/>
    <x v="18"/>
    <x v="9"/>
    <x v="10"/>
    <x v="8"/>
  </r>
  <r>
    <x v="0"/>
    <x v="18"/>
    <x v="13"/>
    <x v="10"/>
    <x v="8"/>
  </r>
  <r>
    <x v="0"/>
    <x v="18"/>
    <x v="15"/>
    <x v="10"/>
    <x v="8"/>
  </r>
  <r>
    <x v="0"/>
    <x v="18"/>
    <x v="15"/>
    <x v="10"/>
    <x v="8"/>
  </r>
  <r>
    <x v="23"/>
    <x v="18"/>
    <x v="25"/>
    <x v="10"/>
    <x v="15"/>
  </r>
  <r>
    <x v="0"/>
    <x v="18"/>
    <x v="26"/>
    <x v="10"/>
    <x v="18"/>
  </r>
  <r>
    <x v="0"/>
    <x v="18"/>
    <x v="3"/>
    <x v="10"/>
    <x v="2"/>
  </r>
  <r>
    <x v="7"/>
    <x v="18"/>
    <x v="28"/>
    <x v="10"/>
    <x v="20"/>
  </r>
  <r>
    <x v="0"/>
    <x v="18"/>
    <x v="24"/>
    <x v="10"/>
    <x v="17"/>
  </r>
  <r>
    <x v="0"/>
    <x v="18"/>
    <x v="6"/>
    <x v="10"/>
    <x v="5"/>
  </r>
  <r>
    <x v="548"/>
    <x v="18"/>
    <x v="0"/>
    <x v="10"/>
    <x v="0"/>
  </r>
  <r>
    <x v="12"/>
    <x v="18"/>
    <x v="1"/>
    <x v="10"/>
    <x v="1"/>
  </r>
  <r>
    <x v="0"/>
    <x v="18"/>
    <x v="28"/>
    <x v="10"/>
    <x v="20"/>
  </r>
  <r>
    <x v="10"/>
    <x v="18"/>
    <x v="14"/>
    <x v="10"/>
    <x v="11"/>
  </r>
  <r>
    <x v="46"/>
    <x v="18"/>
    <x v="28"/>
    <x v="10"/>
    <x v="20"/>
  </r>
  <r>
    <x v="0"/>
    <x v="18"/>
    <x v="28"/>
    <x v="10"/>
    <x v="20"/>
  </r>
  <r>
    <x v="0"/>
    <x v="18"/>
    <x v="7"/>
    <x v="10"/>
    <x v="6"/>
  </r>
  <r>
    <x v="0"/>
    <x v="18"/>
    <x v="28"/>
    <x v="10"/>
    <x v="20"/>
  </r>
  <r>
    <x v="0"/>
    <x v="18"/>
    <x v="27"/>
    <x v="10"/>
    <x v="19"/>
  </r>
  <r>
    <x v="103"/>
    <x v="18"/>
    <x v="25"/>
    <x v="10"/>
    <x v="15"/>
  </r>
  <r>
    <x v="10"/>
    <x v="18"/>
    <x v="16"/>
    <x v="10"/>
    <x v="12"/>
  </r>
  <r>
    <x v="0"/>
    <x v="18"/>
    <x v="16"/>
    <x v="10"/>
    <x v="12"/>
  </r>
  <r>
    <x v="6"/>
    <x v="18"/>
    <x v="16"/>
    <x v="10"/>
    <x v="12"/>
  </r>
  <r>
    <x v="411"/>
    <x v="18"/>
    <x v="23"/>
    <x v="10"/>
    <x v="15"/>
  </r>
  <r>
    <x v="502"/>
    <x v="18"/>
    <x v="23"/>
    <x v="10"/>
    <x v="15"/>
  </r>
  <r>
    <x v="353"/>
    <x v="18"/>
    <x v="19"/>
    <x v="10"/>
    <x v="15"/>
  </r>
  <r>
    <x v="22"/>
    <x v="18"/>
    <x v="25"/>
    <x v="10"/>
    <x v="15"/>
  </r>
  <r>
    <x v="26"/>
    <x v="18"/>
    <x v="12"/>
    <x v="10"/>
    <x v="15"/>
  </r>
  <r>
    <x v="47"/>
    <x v="18"/>
    <x v="12"/>
    <x v="10"/>
    <x v="15"/>
  </r>
  <r>
    <x v="276"/>
    <x v="18"/>
    <x v="19"/>
    <x v="10"/>
    <x v="15"/>
  </r>
  <r>
    <x v="32"/>
    <x v="18"/>
    <x v="12"/>
    <x v="10"/>
    <x v="15"/>
  </r>
  <r>
    <x v="108"/>
    <x v="18"/>
    <x v="12"/>
    <x v="10"/>
    <x v="15"/>
  </r>
  <r>
    <x v="82"/>
    <x v="18"/>
    <x v="19"/>
    <x v="10"/>
    <x v="15"/>
  </r>
  <r>
    <x v="0"/>
    <x v="18"/>
    <x v="24"/>
    <x v="10"/>
    <x v="17"/>
  </r>
  <r>
    <x v="0"/>
    <x v="18"/>
    <x v="11"/>
    <x v="10"/>
    <x v="10"/>
  </r>
  <r>
    <x v="0"/>
    <x v="18"/>
    <x v="11"/>
    <x v="10"/>
    <x v="10"/>
  </r>
  <r>
    <x v="0"/>
    <x v="18"/>
    <x v="28"/>
    <x v="10"/>
    <x v="20"/>
  </r>
  <r>
    <x v="9"/>
    <x v="18"/>
    <x v="16"/>
    <x v="10"/>
    <x v="12"/>
  </r>
  <r>
    <x v="0"/>
    <x v="18"/>
    <x v="16"/>
    <x v="10"/>
    <x v="12"/>
  </r>
  <r>
    <x v="0"/>
    <x v="18"/>
    <x v="18"/>
    <x v="10"/>
    <x v="14"/>
  </r>
  <r>
    <x v="0"/>
    <x v="18"/>
    <x v="18"/>
    <x v="10"/>
    <x v="14"/>
  </r>
  <r>
    <x v="12"/>
    <x v="18"/>
    <x v="18"/>
    <x v="10"/>
    <x v="14"/>
  </r>
  <r>
    <x v="0"/>
    <x v="18"/>
    <x v="18"/>
    <x v="10"/>
    <x v="14"/>
  </r>
  <r>
    <x v="0"/>
    <x v="18"/>
    <x v="17"/>
    <x v="10"/>
    <x v="13"/>
  </r>
  <r>
    <x v="0"/>
    <x v="18"/>
    <x v="8"/>
    <x v="10"/>
    <x v="7"/>
  </r>
  <r>
    <x v="0"/>
    <x v="18"/>
    <x v="8"/>
    <x v="10"/>
    <x v="7"/>
  </r>
  <r>
    <x v="0"/>
    <x v="18"/>
    <x v="2"/>
    <x v="10"/>
    <x v="8"/>
  </r>
  <r>
    <x v="0"/>
    <x v="18"/>
    <x v="2"/>
    <x v="10"/>
    <x v="8"/>
  </r>
  <r>
    <x v="7"/>
    <x v="18"/>
    <x v="20"/>
    <x v="10"/>
    <x v="15"/>
  </r>
  <r>
    <x v="0"/>
    <x v="18"/>
    <x v="20"/>
    <x v="10"/>
    <x v="15"/>
  </r>
  <r>
    <x v="20"/>
    <x v="18"/>
    <x v="20"/>
    <x v="10"/>
    <x v="15"/>
  </r>
  <r>
    <x v="5"/>
    <x v="18"/>
    <x v="9"/>
    <x v="10"/>
    <x v="8"/>
  </r>
  <r>
    <x v="0"/>
    <x v="18"/>
    <x v="9"/>
    <x v="10"/>
    <x v="8"/>
  </r>
  <r>
    <x v="0"/>
    <x v="18"/>
    <x v="9"/>
    <x v="10"/>
    <x v="8"/>
  </r>
  <r>
    <x v="0"/>
    <x v="18"/>
    <x v="9"/>
    <x v="10"/>
    <x v="8"/>
  </r>
  <r>
    <x v="0"/>
    <x v="18"/>
    <x v="9"/>
    <x v="10"/>
    <x v="8"/>
  </r>
  <r>
    <x v="0"/>
    <x v="18"/>
    <x v="13"/>
    <x v="10"/>
    <x v="8"/>
  </r>
  <r>
    <x v="10"/>
    <x v="18"/>
    <x v="15"/>
    <x v="10"/>
    <x v="8"/>
  </r>
  <r>
    <x v="0"/>
    <x v="18"/>
    <x v="15"/>
    <x v="10"/>
    <x v="8"/>
  </r>
  <r>
    <x v="75"/>
    <x v="18"/>
    <x v="25"/>
    <x v="10"/>
    <x v="15"/>
  </r>
  <r>
    <x v="0"/>
    <x v="18"/>
    <x v="26"/>
    <x v="10"/>
    <x v="18"/>
  </r>
  <r>
    <x v="0"/>
    <x v="18"/>
    <x v="3"/>
    <x v="10"/>
    <x v="2"/>
  </r>
  <r>
    <x v="0"/>
    <x v="18"/>
    <x v="28"/>
    <x v="10"/>
    <x v="20"/>
  </r>
  <r>
    <x v="10"/>
    <x v="18"/>
    <x v="24"/>
    <x v="10"/>
    <x v="17"/>
  </r>
  <r>
    <x v="0"/>
    <x v="18"/>
    <x v="6"/>
    <x v="10"/>
    <x v="5"/>
  </r>
  <r>
    <x v="533"/>
    <x v="14"/>
    <x v="0"/>
    <x v="10"/>
    <x v="0"/>
  </r>
  <r>
    <x v="0"/>
    <x v="14"/>
    <x v="1"/>
    <x v="10"/>
    <x v="1"/>
  </r>
  <r>
    <x v="0"/>
    <x v="14"/>
    <x v="28"/>
    <x v="10"/>
    <x v="20"/>
  </r>
  <r>
    <x v="8"/>
    <x v="14"/>
    <x v="14"/>
    <x v="10"/>
    <x v="11"/>
  </r>
  <r>
    <x v="10"/>
    <x v="14"/>
    <x v="28"/>
    <x v="10"/>
    <x v="20"/>
  </r>
  <r>
    <x v="0"/>
    <x v="14"/>
    <x v="28"/>
    <x v="10"/>
    <x v="20"/>
  </r>
  <r>
    <x v="0"/>
    <x v="14"/>
    <x v="7"/>
    <x v="10"/>
    <x v="6"/>
  </r>
  <r>
    <x v="0"/>
    <x v="14"/>
    <x v="28"/>
    <x v="10"/>
    <x v="20"/>
  </r>
  <r>
    <x v="15"/>
    <x v="14"/>
    <x v="27"/>
    <x v="10"/>
    <x v="19"/>
  </r>
  <r>
    <x v="8"/>
    <x v="14"/>
    <x v="25"/>
    <x v="10"/>
    <x v="15"/>
  </r>
  <r>
    <x v="5"/>
    <x v="14"/>
    <x v="16"/>
    <x v="10"/>
    <x v="12"/>
  </r>
  <r>
    <x v="0"/>
    <x v="14"/>
    <x v="16"/>
    <x v="10"/>
    <x v="12"/>
  </r>
  <r>
    <x v="0"/>
    <x v="14"/>
    <x v="16"/>
    <x v="10"/>
    <x v="12"/>
  </r>
  <r>
    <x v="38"/>
    <x v="14"/>
    <x v="23"/>
    <x v="10"/>
    <x v="15"/>
  </r>
  <r>
    <x v="162"/>
    <x v="14"/>
    <x v="23"/>
    <x v="10"/>
    <x v="15"/>
  </r>
  <r>
    <x v="506"/>
    <x v="14"/>
    <x v="19"/>
    <x v="10"/>
    <x v="15"/>
  </r>
  <r>
    <x v="28"/>
    <x v="14"/>
    <x v="25"/>
    <x v="10"/>
    <x v="15"/>
  </r>
  <r>
    <x v="108"/>
    <x v="14"/>
    <x v="12"/>
    <x v="10"/>
    <x v="15"/>
  </r>
  <r>
    <x v="178"/>
    <x v="14"/>
    <x v="12"/>
    <x v="10"/>
    <x v="15"/>
  </r>
  <r>
    <x v="425"/>
    <x v="14"/>
    <x v="19"/>
    <x v="10"/>
    <x v="15"/>
  </r>
  <r>
    <x v="107"/>
    <x v="14"/>
    <x v="12"/>
    <x v="10"/>
    <x v="15"/>
  </r>
  <r>
    <x v="202"/>
    <x v="14"/>
    <x v="12"/>
    <x v="10"/>
    <x v="15"/>
  </r>
  <r>
    <x v="205"/>
    <x v="14"/>
    <x v="19"/>
    <x v="10"/>
    <x v="15"/>
  </r>
  <r>
    <x v="0"/>
    <x v="14"/>
    <x v="24"/>
    <x v="10"/>
    <x v="17"/>
  </r>
  <r>
    <x v="8"/>
    <x v="14"/>
    <x v="11"/>
    <x v="10"/>
    <x v="10"/>
  </r>
  <r>
    <x v="0"/>
    <x v="14"/>
    <x v="11"/>
    <x v="10"/>
    <x v="10"/>
  </r>
  <r>
    <x v="0"/>
    <x v="14"/>
    <x v="28"/>
    <x v="10"/>
    <x v="20"/>
  </r>
  <r>
    <x v="25"/>
    <x v="14"/>
    <x v="16"/>
    <x v="10"/>
    <x v="12"/>
  </r>
  <r>
    <x v="0"/>
    <x v="14"/>
    <x v="16"/>
    <x v="10"/>
    <x v="12"/>
  </r>
  <r>
    <x v="0"/>
    <x v="14"/>
    <x v="18"/>
    <x v="10"/>
    <x v="14"/>
  </r>
  <r>
    <x v="0"/>
    <x v="14"/>
    <x v="18"/>
    <x v="10"/>
    <x v="14"/>
  </r>
  <r>
    <x v="0"/>
    <x v="14"/>
    <x v="18"/>
    <x v="10"/>
    <x v="14"/>
  </r>
  <r>
    <x v="12"/>
    <x v="14"/>
    <x v="18"/>
    <x v="10"/>
    <x v="14"/>
  </r>
  <r>
    <x v="0"/>
    <x v="14"/>
    <x v="17"/>
    <x v="10"/>
    <x v="13"/>
  </r>
  <r>
    <x v="0"/>
    <x v="14"/>
    <x v="8"/>
    <x v="10"/>
    <x v="7"/>
  </r>
  <r>
    <x v="7"/>
    <x v="14"/>
    <x v="8"/>
    <x v="10"/>
    <x v="7"/>
  </r>
  <r>
    <x v="0"/>
    <x v="14"/>
    <x v="2"/>
    <x v="10"/>
    <x v="8"/>
  </r>
  <r>
    <x v="0"/>
    <x v="14"/>
    <x v="2"/>
    <x v="10"/>
    <x v="8"/>
  </r>
  <r>
    <x v="11"/>
    <x v="14"/>
    <x v="20"/>
    <x v="10"/>
    <x v="15"/>
  </r>
  <r>
    <x v="16"/>
    <x v="14"/>
    <x v="20"/>
    <x v="10"/>
    <x v="15"/>
  </r>
  <r>
    <x v="0"/>
    <x v="14"/>
    <x v="20"/>
    <x v="10"/>
    <x v="15"/>
  </r>
  <r>
    <x v="0"/>
    <x v="14"/>
    <x v="9"/>
    <x v="10"/>
    <x v="8"/>
  </r>
  <r>
    <x v="0"/>
    <x v="14"/>
    <x v="9"/>
    <x v="10"/>
    <x v="8"/>
  </r>
  <r>
    <x v="0"/>
    <x v="14"/>
    <x v="9"/>
    <x v="10"/>
    <x v="8"/>
  </r>
  <r>
    <x v="8"/>
    <x v="14"/>
    <x v="9"/>
    <x v="10"/>
    <x v="8"/>
  </r>
  <r>
    <x v="11"/>
    <x v="14"/>
    <x v="9"/>
    <x v="10"/>
    <x v="8"/>
  </r>
  <r>
    <x v="0"/>
    <x v="14"/>
    <x v="13"/>
    <x v="10"/>
    <x v="8"/>
  </r>
  <r>
    <x v="0"/>
    <x v="14"/>
    <x v="15"/>
    <x v="10"/>
    <x v="8"/>
  </r>
  <r>
    <x v="0"/>
    <x v="14"/>
    <x v="15"/>
    <x v="10"/>
    <x v="8"/>
  </r>
  <r>
    <x v="51"/>
    <x v="14"/>
    <x v="25"/>
    <x v="10"/>
    <x v="15"/>
  </r>
  <r>
    <x v="0"/>
    <x v="14"/>
    <x v="26"/>
    <x v="10"/>
    <x v="18"/>
  </r>
  <r>
    <x v="0"/>
    <x v="14"/>
    <x v="3"/>
    <x v="10"/>
    <x v="2"/>
  </r>
  <r>
    <x v="0"/>
    <x v="14"/>
    <x v="28"/>
    <x v="10"/>
    <x v="20"/>
  </r>
  <r>
    <x v="0"/>
    <x v="14"/>
    <x v="24"/>
    <x v="10"/>
    <x v="17"/>
  </r>
  <r>
    <x v="41"/>
    <x v="14"/>
    <x v="6"/>
    <x v="10"/>
    <x v="5"/>
  </r>
  <r>
    <x v="543"/>
    <x v="20"/>
    <x v="0"/>
    <x v="10"/>
    <x v="0"/>
  </r>
  <r>
    <x v="7"/>
    <x v="20"/>
    <x v="1"/>
    <x v="10"/>
    <x v="1"/>
  </r>
  <r>
    <x v="0"/>
    <x v="20"/>
    <x v="28"/>
    <x v="10"/>
    <x v="20"/>
  </r>
  <r>
    <x v="0"/>
    <x v="20"/>
    <x v="14"/>
    <x v="10"/>
    <x v="11"/>
  </r>
  <r>
    <x v="0"/>
    <x v="20"/>
    <x v="28"/>
    <x v="10"/>
    <x v="20"/>
  </r>
  <r>
    <x v="0"/>
    <x v="20"/>
    <x v="28"/>
    <x v="10"/>
    <x v="20"/>
  </r>
  <r>
    <x v="0"/>
    <x v="20"/>
    <x v="7"/>
    <x v="10"/>
    <x v="6"/>
  </r>
  <r>
    <x v="0"/>
    <x v="20"/>
    <x v="28"/>
    <x v="10"/>
    <x v="20"/>
  </r>
  <r>
    <x v="8"/>
    <x v="20"/>
    <x v="27"/>
    <x v="10"/>
    <x v="19"/>
  </r>
  <r>
    <x v="171"/>
    <x v="20"/>
    <x v="25"/>
    <x v="10"/>
    <x v="15"/>
  </r>
  <r>
    <x v="171"/>
    <x v="20"/>
    <x v="16"/>
    <x v="10"/>
    <x v="12"/>
  </r>
  <r>
    <x v="20"/>
    <x v="20"/>
    <x v="16"/>
    <x v="10"/>
    <x v="12"/>
  </r>
  <r>
    <x v="0"/>
    <x v="20"/>
    <x v="16"/>
    <x v="10"/>
    <x v="12"/>
  </r>
  <r>
    <x v="0"/>
    <x v="20"/>
    <x v="23"/>
    <x v="10"/>
    <x v="15"/>
  </r>
  <r>
    <x v="40"/>
    <x v="20"/>
    <x v="23"/>
    <x v="10"/>
    <x v="15"/>
  </r>
  <r>
    <x v="70"/>
    <x v="20"/>
    <x v="19"/>
    <x v="10"/>
    <x v="15"/>
  </r>
  <r>
    <x v="487"/>
    <x v="20"/>
    <x v="25"/>
    <x v="10"/>
    <x v="15"/>
  </r>
  <r>
    <x v="166"/>
    <x v="20"/>
    <x v="12"/>
    <x v="10"/>
    <x v="15"/>
  </r>
  <r>
    <x v="319"/>
    <x v="20"/>
    <x v="12"/>
    <x v="10"/>
    <x v="15"/>
  </r>
  <r>
    <x v="209"/>
    <x v="20"/>
    <x v="19"/>
    <x v="10"/>
    <x v="15"/>
  </r>
  <r>
    <x v="90"/>
    <x v="20"/>
    <x v="12"/>
    <x v="10"/>
    <x v="15"/>
  </r>
  <r>
    <x v="184"/>
    <x v="20"/>
    <x v="12"/>
    <x v="10"/>
    <x v="15"/>
  </r>
  <r>
    <x v="110"/>
    <x v="20"/>
    <x v="19"/>
    <x v="10"/>
    <x v="15"/>
  </r>
  <r>
    <x v="7"/>
    <x v="20"/>
    <x v="24"/>
    <x v="10"/>
    <x v="17"/>
  </r>
  <r>
    <x v="7"/>
    <x v="20"/>
    <x v="11"/>
    <x v="10"/>
    <x v="10"/>
  </r>
  <r>
    <x v="0"/>
    <x v="20"/>
    <x v="11"/>
    <x v="10"/>
    <x v="10"/>
  </r>
  <r>
    <x v="0"/>
    <x v="20"/>
    <x v="28"/>
    <x v="10"/>
    <x v="20"/>
  </r>
  <r>
    <x v="5"/>
    <x v="20"/>
    <x v="28"/>
    <x v="10"/>
    <x v="20"/>
  </r>
  <r>
    <x v="183"/>
    <x v="20"/>
    <x v="16"/>
    <x v="10"/>
    <x v="12"/>
  </r>
  <r>
    <x v="42"/>
    <x v="20"/>
    <x v="16"/>
    <x v="10"/>
    <x v="12"/>
  </r>
  <r>
    <x v="4"/>
    <x v="20"/>
    <x v="10"/>
    <x v="10"/>
    <x v="9"/>
  </r>
  <r>
    <x v="0"/>
    <x v="20"/>
    <x v="18"/>
    <x v="10"/>
    <x v="14"/>
  </r>
  <r>
    <x v="0"/>
    <x v="20"/>
    <x v="18"/>
    <x v="10"/>
    <x v="14"/>
  </r>
  <r>
    <x v="0"/>
    <x v="20"/>
    <x v="18"/>
    <x v="10"/>
    <x v="14"/>
  </r>
  <r>
    <x v="0"/>
    <x v="20"/>
    <x v="18"/>
    <x v="10"/>
    <x v="14"/>
  </r>
  <r>
    <x v="6"/>
    <x v="20"/>
    <x v="17"/>
    <x v="10"/>
    <x v="13"/>
  </r>
  <r>
    <x v="0"/>
    <x v="20"/>
    <x v="8"/>
    <x v="10"/>
    <x v="7"/>
  </r>
  <r>
    <x v="0"/>
    <x v="20"/>
    <x v="8"/>
    <x v="10"/>
    <x v="7"/>
  </r>
  <r>
    <x v="0"/>
    <x v="20"/>
    <x v="2"/>
    <x v="10"/>
    <x v="8"/>
  </r>
  <r>
    <x v="0"/>
    <x v="20"/>
    <x v="2"/>
    <x v="10"/>
    <x v="8"/>
  </r>
  <r>
    <x v="21"/>
    <x v="20"/>
    <x v="20"/>
    <x v="10"/>
    <x v="15"/>
  </r>
  <r>
    <x v="0"/>
    <x v="20"/>
    <x v="20"/>
    <x v="10"/>
    <x v="15"/>
  </r>
  <r>
    <x v="13"/>
    <x v="20"/>
    <x v="20"/>
    <x v="10"/>
    <x v="15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13"/>
    <x v="10"/>
    <x v="8"/>
  </r>
  <r>
    <x v="0"/>
    <x v="20"/>
    <x v="15"/>
    <x v="10"/>
    <x v="8"/>
  </r>
  <r>
    <x v="0"/>
    <x v="20"/>
    <x v="15"/>
    <x v="10"/>
    <x v="8"/>
  </r>
  <r>
    <x v="279"/>
    <x v="20"/>
    <x v="25"/>
    <x v="10"/>
    <x v="15"/>
  </r>
  <r>
    <x v="0"/>
    <x v="20"/>
    <x v="26"/>
    <x v="10"/>
    <x v="18"/>
  </r>
  <r>
    <x v="0"/>
    <x v="20"/>
    <x v="3"/>
    <x v="10"/>
    <x v="2"/>
  </r>
  <r>
    <x v="8"/>
    <x v="20"/>
    <x v="28"/>
    <x v="10"/>
    <x v="20"/>
  </r>
  <r>
    <x v="5"/>
    <x v="20"/>
    <x v="24"/>
    <x v="10"/>
    <x v="17"/>
  </r>
  <r>
    <x v="15"/>
    <x v="20"/>
    <x v="6"/>
    <x v="10"/>
    <x v="5"/>
  </r>
  <r>
    <x v="483"/>
    <x v="7"/>
    <x v="0"/>
    <x v="10"/>
    <x v="0"/>
  </r>
  <r>
    <x v="0"/>
    <x v="7"/>
    <x v="1"/>
    <x v="10"/>
    <x v="1"/>
  </r>
  <r>
    <x v="0"/>
    <x v="7"/>
    <x v="28"/>
    <x v="10"/>
    <x v="20"/>
  </r>
  <r>
    <x v="0"/>
    <x v="7"/>
    <x v="14"/>
    <x v="10"/>
    <x v="11"/>
  </r>
  <r>
    <x v="0"/>
    <x v="7"/>
    <x v="28"/>
    <x v="10"/>
    <x v="20"/>
  </r>
  <r>
    <x v="0"/>
    <x v="7"/>
    <x v="28"/>
    <x v="10"/>
    <x v="20"/>
  </r>
  <r>
    <x v="0"/>
    <x v="7"/>
    <x v="7"/>
    <x v="10"/>
    <x v="6"/>
  </r>
  <r>
    <x v="0"/>
    <x v="7"/>
    <x v="28"/>
    <x v="10"/>
    <x v="20"/>
  </r>
  <r>
    <x v="0"/>
    <x v="7"/>
    <x v="27"/>
    <x v="10"/>
    <x v="19"/>
  </r>
  <r>
    <x v="0"/>
    <x v="7"/>
    <x v="25"/>
    <x v="10"/>
    <x v="15"/>
  </r>
  <r>
    <x v="7"/>
    <x v="7"/>
    <x v="16"/>
    <x v="10"/>
    <x v="12"/>
  </r>
  <r>
    <x v="0"/>
    <x v="7"/>
    <x v="16"/>
    <x v="10"/>
    <x v="12"/>
  </r>
  <r>
    <x v="0"/>
    <x v="7"/>
    <x v="16"/>
    <x v="10"/>
    <x v="12"/>
  </r>
  <r>
    <x v="0"/>
    <x v="7"/>
    <x v="23"/>
    <x v="10"/>
    <x v="15"/>
  </r>
  <r>
    <x v="0"/>
    <x v="7"/>
    <x v="23"/>
    <x v="10"/>
    <x v="15"/>
  </r>
  <r>
    <x v="130"/>
    <x v="7"/>
    <x v="19"/>
    <x v="10"/>
    <x v="15"/>
  </r>
  <r>
    <x v="45"/>
    <x v="7"/>
    <x v="25"/>
    <x v="10"/>
    <x v="15"/>
  </r>
  <r>
    <x v="333"/>
    <x v="7"/>
    <x v="12"/>
    <x v="10"/>
    <x v="15"/>
  </r>
  <r>
    <x v="275"/>
    <x v="7"/>
    <x v="12"/>
    <x v="10"/>
    <x v="15"/>
  </r>
  <r>
    <x v="277"/>
    <x v="7"/>
    <x v="19"/>
    <x v="10"/>
    <x v="15"/>
  </r>
  <r>
    <x v="253"/>
    <x v="7"/>
    <x v="12"/>
    <x v="10"/>
    <x v="15"/>
  </r>
  <r>
    <x v="288"/>
    <x v="7"/>
    <x v="12"/>
    <x v="10"/>
    <x v="15"/>
  </r>
  <r>
    <x v="39"/>
    <x v="7"/>
    <x v="19"/>
    <x v="10"/>
    <x v="15"/>
  </r>
  <r>
    <x v="0"/>
    <x v="7"/>
    <x v="24"/>
    <x v="10"/>
    <x v="17"/>
  </r>
  <r>
    <x v="0"/>
    <x v="7"/>
    <x v="11"/>
    <x v="10"/>
    <x v="10"/>
  </r>
  <r>
    <x v="0"/>
    <x v="7"/>
    <x v="11"/>
    <x v="10"/>
    <x v="10"/>
  </r>
  <r>
    <x v="0"/>
    <x v="7"/>
    <x v="28"/>
    <x v="10"/>
    <x v="20"/>
  </r>
  <r>
    <x v="0"/>
    <x v="7"/>
    <x v="28"/>
    <x v="10"/>
    <x v="20"/>
  </r>
  <r>
    <x v="0"/>
    <x v="7"/>
    <x v="16"/>
    <x v="10"/>
    <x v="12"/>
  </r>
  <r>
    <x v="0"/>
    <x v="7"/>
    <x v="16"/>
    <x v="10"/>
    <x v="12"/>
  </r>
  <r>
    <x v="0"/>
    <x v="7"/>
    <x v="10"/>
    <x v="10"/>
    <x v="9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7"/>
    <x v="10"/>
    <x v="13"/>
  </r>
  <r>
    <x v="0"/>
    <x v="7"/>
    <x v="8"/>
    <x v="10"/>
    <x v="7"/>
  </r>
  <r>
    <x v="0"/>
    <x v="7"/>
    <x v="8"/>
    <x v="10"/>
    <x v="7"/>
  </r>
  <r>
    <x v="0"/>
    <x v="7"/>
    <x v="2"/>
    <x v="10"/>
    <x v="8"/>
  </r>
  <r>
    <x v="0"/>
    <x v="7"/>
    <x v="2"/>
    <x v="10"/>
    <x v="8"/>
  </r>
  <r>
    <x v="0"/>
    <x v="7"/>
    <x v="20"/>
    <x v="10"/>
    <x v="15"/>
  </r>
  <r>
    <x v="0"/>
    <x v="7"/>
    <x v="20"/>
    <x v="10"/>
    <x v="15"/>
  </r>
  <r>
    <x v="0"/>
    <x v="7"/>
    <x v="20"/>
    <x v="10"/>
    <x v="15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13"/>
    <x v="10"/>
    <x v="8"/>
  </r>
  <r>
    <x v="0"/>
    <x v="7"/>
    <x v="15"/>
    <x v="10"/>
    <x v="8"/>
  </r>
  <r>
    <x v="0"/>
    <x v="7"/>
    <x v="15"/>
    <x v="10"/>
    <x v="8"/>
  </r>
  <r>
    <x v="37"/>
    <x v="7"/>
    <x v="25"/>
    <x v="10"/>
    <x v="15"/>
  </r>
  <r>
    <x v="0"/>
    <x v="7"/>
    <x v="26"/>
    <x v="10"/>
    <x v="18"/>
  </r>
  <r>
    <x v="0"/>
    <x v="7"/>
    <x v="3"/>
    <x v="10"/>
    <x v="2"/>
  </r>
  <r>
    <x v="0"/>
    <x v="7"/>
    <x v="28"/>
    <x v="10"/>
    <x v="20"/>
  </r>
  <r>
    <x v="0"/>
    <x v="7"/>
    <x v="24"/>
    <x v="10"/>
    <x v="17"/>
  </r>
  <r>
    <x v="0"/>
    <x v="7"/>
    <x v="6"/>
    <x v="10"/>
    <x v="5"/>
  </r>
  <r>
    <x v="577"/>
    <x v="7"/>
    <x v="0"/>
    <x v="10"/>
    <x v="0"/>
  </r>
  <r>
    <x v="21"/>
    <x v="7"/>
    <x v="1"/>
    <x v="10"/>
    <x v="1"/>
  </r>
  <r>
    <x v="9"/>
    <x v="7"/>
    <x v="28"/>
    <x v="10"/>
    <x v="20"/>
  </r>
  <r>
    <x v="0"/>
    <x v="7"/>
    <x v="14"/>
    <x v="10"/>
    <x v="11"/>
  </r>
  <r>
    <x v="14"/>
    <x v="7"/>
    <x v="28"/>
    <x v="10"/>
    <x v="20"/>
  </r>
  <r>
    <x v="0"/>
    <x v="7"/>
    <x v="28"/>
    <x v="10"/>
    <x v="20"/>
  </r>
  <r>
    <x v="11"/>
    <x v="7"/>
    <x v="7"/>
    <x v="10"/>
    <x v="6"/>
  </r>
  <r>
    <x v="0"/>
    <x v="7"/>
    <x v="28"/>
    <x v="10"/>
    <x v="20"/>
  </r>
  <r>
    <x v="0"/>
    <x v="7"/>
    <x v="27"/>
    <x v="10"/>
    <x v="19"/>
  </r>
  <r>
    <x v="41"/>
    <x v="7"/>
    <x v="25"/>
    <x v="10"/>
    <x v="15"/>
  </r>
  <r>
    <x v="5"/>
    <x v="7"/>
    <x v="16"/>
    <x v="10"/>
    <x v="12"/>
  </r>
  <r>
    <x v="26"/>
    <x v="7"/>
    <x v="16"/>
    <x v="10"/>
    <x v="12"/>
  </r>
  <r>
    <x v="18"/>
    <x v="7"/>
    <x v="16"/>
    <x v="10"/>
    <x v="12"/>
  </r>
  <r>
    <x v="8"/>
    <x v="7"/>
    <x v="23"/>
    <x v="10"/>
    <x v="15"/>
  </r>
  <r>
    <x v="26"/>
    <x v="7"/>
    <x v="23"/>
    <x v="10"/>
    <x v="15"/>
  </r>
  <r>
    <x v="133"/>
    <x v="7"/>
    <x v="19"/>
    <x v="10"/>
    <x v="15"/>
  </r>
  <r>
    <x v="197"/>
    <x v="7"/>
    <x v="25"/>
    <x v="10"/>
    <x v="15"/>
  </r>
  <r>
    <x v="335"/>
    <x v="7"/>
    <x v="12"/>
    <x v="10"/>
    <x v="15"/>
  </r>
  <r>
    <x v="561"/>
    <x v="7"/>
    <x v="12"/>
    <x v="10"/>
    <x v="15"/>
  </r>
  <r>
    <x v="437"/>
    <x v="7"/>
    <x v="19"/>
    <x v="10"/>
    <x v="15"/>
  </r>
  <r>
    <x v="351"/>
    <x v="7"/>
    <x v="12"/>
    <x v="10"/>
    <x v="15"/>
  </r>
  <r>
    <x v="464"/>
    <x v="7"/>
    <x v="12"/>
    <x v="10"/>
    <x v="15"/>
  </r>
  <r>
    <x v="266"/>
    <x v="7"/>
    <x v="19"/>
    <x v="10"/>
    <x v="15"/>
  </r>
  <r>
    <x v="27"/>
    <x v="7"/>
    <x v="24"/>
    <x v="10"/>
    <x v="17"/>
  </r>
  <r>
    <x v="0"/>
    <x v="7"/>
    <x v="11"/>
    <x v="10"/>
    <x v="10"/>
  </r>
  <r>
    <x v="0"/>
    <x v="7"/>
    <x v="11"/>
    <x v="10"/>
    <x v="10"/>
  </r>
  <r>
    <x v="10"/>
    <x v="7"/>
    <x v="28"/>
    <x v="10"/>
    <x v="20"/>
  </r>
  <r>
    <x v="0"/>
    <x v="7"/>
    <x v="28"/>
    <x v="10"/>
    <x v="20"/>
  </r>
  <r>
    <x v="36"/>
    <x v="7"/>
    <x v="16"/>
    <x v="10"/>
    <x v="12"/>
  </r>
  <r>
    <x v="7"/>
    <x v="7"/>
    <x v="16"/>
    <x v="10"/>
    <x v="12"/>
  </r>
  <r>
    <x v="0"/>
    <x v="7"/>
    <x v="10"/>
    <x v="10"/>
    <x v="9"/>
  </r>
  <r>
    <x v="9"/>
    <x v="7"/>
    <x v="28"/>
    <x v="10"/>
    <x v="20"/>
  </r>
  <r>
    <x v="8"/>
    <x v="7"/>
    <x v="21"/>
    <x v="10"/>
    <x v="16"/>
  </r>
  <r>
    <x v="25"/>
    <x v="7"/>
    <x v="18"/>
    <x v="10"/>
    <x v="14"/>
  </r>
  <r>
    <x v="0"/>
    <x v="7"/>
    <x v="18"/>
    <x v="10"/>
    <x v="14"/>
  </r>
  <r>
    <x v="0"/>
    <x v="7"/>
    <x v="18"/>
    <x v="10"/>
    <x v="14"/>
  </r>
  <r>
    <x v="13"/>
    <x v="7"/>
    <x v="18"/>
    <x v="10"/>
    <x v="14"/>
  </r>
  <r>
    <x v="0"/>
    <x v="7"/>
    <x v="17"/>
    <x v="10"/>
    <x v="13"/>
  </r>
  <r>
    <x v="8"/>
    <x v="7"/>
    <x v="8"/>
    <x v="10"/>
    <x v="7"/>
  </r>
  <r>
    <x v="0"/>
    <x v="7"/>
    <x v="8"/>
    <x v="10"/>
    <x v="7"/>
  </r>
  <r>
    <x v="5"/>
    <x v="7"/>
    <x v="2"/>
    <x v="10"/>
    <x v="8"/>
  </r>
  <r>
    <x v="11"/>
    <x v="7"/>
    <x v="2"/>
    <x v="10"/>
    <x v="8"/>
  </r>
  <r>
    <x v="179"/>
    <x v="7"/>
    <x v="20"/>
    <x v="10"/>
    <x v="15"/>
  </r>
  <r>
    <x v="61"/>
    <x v="7"/>
    <x v="20"/>
    <x v="10"/>
    <x v="15"/>
  </r>
  <r>
    <x v="138"/>
    <x v="7"/>
    <x v="20"/>
    <x v="10"/>
    <x v="15"/>
  </r>
  <r>
    <x v="0"/>
    <x v="7"/>
    <x v="9"/>
    <x v="10"/>
    <x v="8"/>
  </r>
  <r>
    <x v="11"/>
    <x v="7"/>
    <x v="9"/>
    <x v="10"/>
    <x v="8"/>
  </r>
  <r>
    <x v="10"/>
    <x v="7"/>
    <x v="9"/>
    <x v="10"/>
    <x v="8"/>
  </r>
  <r>
    <x v="4"/>
    <x v="7"/>
    <x v="9"/>
    <x v="10"/>
    <x v="8"/>
  </r>
  <r>
    <x v="0"/>
    <x v="7"/>
    <x v="9"/>
    <x v="10"/>
    <x v="8"/>
  </r>
  <r>
    <x v="8"/>
    <x v="7"/>
    <x v="9"/>
    <x v="10"/>
    <x v="8"/>
  </r>
  <r>
    <x v="19"/>
    <x v="7"/>
    <x v="9"/>
    <x v="10"/>
    <x v="8"/>
  </r>
  <r>
    <x v="10"/>
    <x v="7"/>
    <x v="9"/>
    <x v="10"/>
    <x v="8"/>
  </r>
  <r>
    <x v="0"/>
    <x v="7"/>
    <x v="13"/>
    <x v="10"/>
    <x v="8"/>
  </r>
  <r>
    <x v="0"/>
    <x v="7"/>
    <x v="15"/>
    <x v="10"/>
    <x v="8"/>
  </r>
  <r>
    <x v="7"/>
    <x v="7"/>
    <x v="15"/>
    <x v="10"/>
    <x v="8"/>
  </r>
  <r>
    <x v="6"/>
    <x v="7"/>
    <x v="15"/>
    <x v="10"/>
    <x v="8"/>
  </r>
  <r>
    <x v="106"/>
    <x v="7"/>
    <x v="25"/>
    <x v="10"/>
    <x v="15"/>
  </r>
  <r>
    <x v="9"/>
    <x v="7"/>
    <x v="26"/>
    <x v="10"/>
    <x v="18"/>
  </r>
  <r>
    <x v="4"/>
    <x v="7"/>
    <x v="22"/>
    <x v="10"/>
    <x v="15"/>
  </r>
  <r>
    <x v="0"/>
    <x v="7"/>
    <x v="3"/>
    <x v="10"/>
    <x v="2"/>
  </r>
  <r>
    <x v="4"/>
    <x v="7"/>
    <x v="28"/>
    <x v="10"/>
    <x v="20"/>
  </r>
  <r>
    <x v="21"/>
    <x v="7"/>
    <x v="24"/>
    <x v="10"/>
    <x v="17"/>
  </r>
  <r>
    <x v="6"/>
    <x v="7"/>
    <x v="4"/>
    <x v="10"/>
    <x v="3"/>
  </r>
  <r>
    <x v="27"/>
    <x v="7"/>
    <x v="6"/>
    <x v="10"/>
    <x v="5"/>
  </r>
  <r>
    <x v="579"/>
    <x v="14"/>
    <x v="0"/>
    <x v="10"/>
    <x v="0"/>
  </r>
  <r>
    <x v="11"/>
    <x v="14"/>
    <x v="1"/>
    <x v="10"/>
    <x v="1"/>
  </r>
  <r>
    <x v="6"/>
    <x v="14"/>
    <x v="28"/>
    <x v="10"/>
    <x v="20"/>
  </r>
  <r>
    <x v="12"/>
    <x v="14"/>
    <x v="14"/>
    <x v="10"/>
    <x v="11"/>
  </r>
  <r>
    <x v="14"/>
    <x v="14"/>
    <x v="28"/>
    <x v="10"/>
    <x v="20"/>
  </r>
  <r>
    <x v="0"/>
    <x v="14"/>
    <x v="28"/>
    <x v="10"/>
    <x v="20"/>
  </r>
  <r>
    <x v="0"/>
    <x v="14"/>
    <x v="7"/>
    <x v="10"/>
    <x v="6"/>
  </r>
  <r>
    <x v="6"/>
    <x v="14"/>
    <x v="28"/>
    <x v="10"/>
    <x v="20"/>
  </r>
  <r>
    <x v="0"/>
    <x v="14"/>
    <x v="27"/>
    <x v="10"/>
    <x v="19"/>
  </r>
  <r>
    <x v="10"/>
    <x v="14"/>
    <x v="25"/>
    <x v="10"/>
    <x v="15"/>
  </r>
  <r>
    <x v="0"/>
    <x v="14"/>
    <x v="16"/>
    <x v="10"/>
    <x v="12"/>
  </r>
  <r>
    <x v="9"/>
    <x v="14"/>
    <x v="16"/>
    <x v="10"/>
    <x v="12"/>
  </r>
  <r>
    <x v="0"/>
    <x v="14"/>
    <x v="16"/>
    <x v="10"/>
    <x v="12"/>
  </r>
  <r>
    <x v="11"/>
    <x v="14"/>
    <x v="23"/>
    <x v="10"/>
    <x v="15"/>
  </r>
  <r>
    <x v="38"/>
    <x v="14"/>
    <x v="23"/>
    <x v="10"/>
    <x v="15"/>
  </r>
  <r>
    <x v="219"/>
    <x v="14"/>
    <x v="19"/>
    <x v="10"/>
    <x v="15"/>
  </r>
  <r>
    <x v="11"/>
    <x v="14"/>
    <x v="25"/>
    <x v="10"/>
    <x v="15"/>
  </r>
  <r>
    <x v="74"/>
    <x v="14"/>
    <x v="12"/>
    <x v="10"/>
    <x v="15"/>
  </r>
  <r>
    <x v="246"/>
    <x v="14"/>
    <x v="12"/>
    <x v="10"/>
    <x v="15"/>
  </r>
  <r>
    <x v="575"/>
    <x v="14"/>
    <x v="19"/>
    <x v="10"/>
    <x v="15"/>
  </r>
  <r>
    <x v="250"/>
    <x v="14"/>
    <x v="12"/>
    <x v="10"/>
    <x v="15"/>
  </r>
  <r>
    <x v="344"/>
    <x v="14"/>
    <x v="12"/>
    <x v="10"/>
    <x v="15"/>
  </r>
  <r>
    <x v="417"/>
    <x v="14"/>
    <x v="19"/>
    <x v="10"/>
    <x v="15"/>
  </r>
  <r>
    <x v="9"/>
    <x v="14"/>
    <x v="24"/>
    <x v="10"/>
    <x v="17"/>
  </r>
  <r>
    <x v="7"/>
    <x v="14"/>
    <x v="11"/>
    <x v="10"/>
    <x v="10"/>
  </r>
  <r>
    <x v="11"/>
    <x v="14"/>
    <x v="11"/>
    <x v="10"/>
    <x v="10"/>
  </r>
  <r>
    <x v="0"/>
    <x v="14"/>
    <x v="28"/>
    <x v="10"/>
    <x v="20"/>
  </r>
  <r>
    <x v="0"/>
    <x v="14"/>
    <x v="28"/>
    <x v="10"/>
    <x v="20"/>
  </r>
  <r>
    <x v="8"/>
    <x v="14"/>
    <x v="16"/>
    <x v="10"/>
    <x v="12"/>
  </r>
  <r>
    <x v="0"/>
    <x v="14"/>
    <x v="16"/>
    <x v="10"/>
    <x v="12"/>
  </r>
  <r>
    <x v="0"/>
    <x v="14"/>
    <x v="10"/>
    <x v="10"/>
    <x v="9"/>
  </r>
  <r>
    <x v="0"/>
    <x v="14"/>
    <x v="28"/>
    <x v="10"/>
    <x v="20"/>
  </r>
  <r>
    <x v="8"/>
    <x v="14"/>
    <x v="21"/>
    <x v="10"/>
    <x v="16"/>
  </r>
  <r>
    <x v="0"/>
    <x v="14"/>
    <x v="18"/>
    <x v="10"/>
    <x v="14"/>
  </r>
  <r>
    <x v="0"/>
    <x v="14"/>
    <x v="18"/>
    <x v="10"/>
    <x v="14"/>
  </r>
  <r>
    <x v="0"/>
    <x v="14"/>
    <x v="18"/>
    <x v="10"/>
    <x v="14"/>
  </r>
  <r>
    <x v="8"/>
    <x v="14"/>
    <x v="18"/>
    <x v="10"/>
    <x v="14"/>
  </r>
  <r>
    <x v="11"/>
    <x v="14"/>
    <x v="17"/>
    <x v="10"/>
    <x v="13"/>
  </r>
  <r>
    <x v="8"/>
    <x v="14"/>
    <x v="17"/>
    <x v="10"/>
    <x v="13"/>
  </r>
  <r>
    <x v="0"/>
    <x v="14"/>
    <x v="8"/>
    <x v="10"/>
    <x v="7"/>
  </r>
  <r>
    <x v="0"/>
    <x v="14"/>
    <x v="8"/>
    <x v="10"/>
    <x v="7"/>
  </r>
  <r>
    <x v="0"/>
    <x v="14"/>
    <x v="2"/>
    <x v="10"/>
    <x v="8"/>
  </r>
  <r>
    <x v="0"/>
    <x v="14"/>
    <x v="2"/>
    <x v="10"/>
    <x v="8"/>
  </r>
  <r>
    <x v="257"/>
    <x v="14"/>
    <x v="20"/>
    <x v="10"/>
    <x v="15"/>
  </r>
  <r>
    <x v="74"/>
    <x v="14"/>
    <x v="20"/>
    <x v="10"/>
    <x v="15"/>
  </r>
  <r>
    <x v="88"/>
    <x v="14"/>
    <x v="20"/>
    <x v="10"/>
    <x v="15"/>
  </r>
  <r>
    <x v="0"/>
    <x v="14"/>
    <x v="9"/>
    <x v="10"/>
    <x v="8"/>
  </r>
  <r>
    <x v="0"/>
    <x v="14"/>
    <x v="9"/>
    <x v="10"/>
    <x v="8"/>
  </r>
  <r>
    <x v="7"/>
    <x v="14"/>
    <x v="9"/>
    <x v="10"/>
    <x v="8"/>
  </r>
  <r>
    <x v="0"/>
    <x v="14"/>
    <x v="9"/>
    <x v="10"/>
    <x v="8"/>
  </r>
  <r>
    <x v="0"/>
    <x v="14"/>
    <x v="9"/>
    <x v="10"/>
    <x v="8"/>
  </r>
  <r>
    <x v="14"/>
    <x v="14"/>
    <x v="9"/>
    <x v="10"/>
    <x v="8"/>
  </r>
  <r>
    <x v="7"/>
    <x v="14"/>
    <x v="9"/>
    <x v="10"/>
    <x v="8"/>
  </r>
  <r>
    <x v="21"/>
    <x v="14"/>
    <x v="9"/>
    <x v="10"/>
    <x v="8"/>
  </r>
  <r>
    <x v="10"/>
    <x v="14"/>
    <x v="9"/>
    <x v="10"/>
    <x v="8"/>
  </r>
  <r>
    <x v="0"/>
    <x v="14"/>
    <x v="13"/>
    <x v="10"/>
    <x v="8"/>
  </r>
  <r>
    <x v="0"/>
    <x v="14"/>
    <x v="15"/>
    <x v="10"/>
    <x v="8"/>
  </r>
  <r>
    <x v="0"/>
    <x v="14"/>
    <x v="15"/>
    <x v="10"/>
    <x v="8"/>
  </r>
  <r>
    <x v="0"/>
    <x v="14"/>
    <x v="15"/>
    <x v="10"/>
    <x v="8"/>
  </r>
  <r>
    <x v="23"/>
    <x v="14"/>
    <x v="25"/>
    <x v="10"/>
    <x v="15"/>
  </r>
  <r>
    <x v="0"/>
    <x v="14"/>
    <x v="26"/>
    <x v="10"/>
    <x v="18"/>
  </r>
  <r>
    <x v="23"/>
    <x v="14"/>
    <x v="22"/>
    <x v="10"/>
    <x v="15"/>
  </r>
  <r>
    <x v="0"/>
    <x v="14"/>
    <x v="3"/>
    <x v="10"/>
    <x v="2"/>
  </r>
  <r>
    <x v="0"/>
    <x v="14"/>
    <x v="28"/>
    <x v="10"/>
    <x v="20"/>
  </r>
  <r>
    <x v="9"/>
    <x v="14"/>
    <x v="15"/>
    <x v="10"/>
    <x v="8"/>
  </r>
  <r>
    <x v="0"/>
    <x v="14"/>
    <x v="24"/>
    <x v="10"/>
    <x v="17"/>
  </r>
  <r>
    <x v="0"/>
    <x v="14"/>
    <x v="4"/>
    <x v="10"/>
    <x v="3"/>
  </r>
  <r>
    <x v="27"/>
    <x v="14"/>
    <x v="6"/>
    <x v="10"/>
    <x v="5"/>
  </r>
  <r>
    <x v="470"/>
    <x v="7"/>
    <x v="0"/>
    <x v="10"/>
    <x v="0"/>
  </r>
  <r>
    <x v="0"/>
    <x v="7"/>
    <x v="1"/>
    <x v="10"/>
    <x v="1"/>
  </r>
  <r>
    <x v="0"/>
    <x v="7"/>
    <x v="28"/>
    <x v="10"/>
    <x v="20"/>
  </r>
  <r>
    <x v="0"/>
    <x v="7"/>
    <x v="14"/>
    <x v="10"/>
    <x v="11"/>
  </r>
  <r>
    <x v="0"/>
    <x v="7"/>
    <x v="28"/>
    <x v="10"/>
    <x v="20"/>
  </r>
  <r>
    <x v="0"/>
    <x v="7"/>
    <x v="28"/>
    <x v="10"/>
    <x v="20"/>
  </r>
  <r>
    <x v="6"/>
    <x v="7"/>
    <x v="7"/>
    <x v="10"/>
    <x v="6"/>
  </r>
  <r>
    <x v="0"/>
    <x v="7"/>
    <x v="28"/>
    <x v="10"/>
    <x v="20"/>
  </r>
  <r>
    <x v="0"/>
    <x v="7"/>
    <x v="27"/>
    <x v="10"/>
    <x v="19"/>
  </r>
  <r>
    <x v="6"/>
    <x v="7"/>
    <x v="25"/>
    <x v="10"/>
    <x v="15"/>
  </r>
  <r>
    <x v="7"/>
    <x v="7"/>
    <x v="16"/>
    <x v="10"/>
    <x v="12"/>
  </r>
  <r>
    <x v="0"/>
    <x v="7"/>
    <x v="16"/>
    <x v="10"/>
    <x v="12"/>
  </r>
  <r>
    <x v="0"/>
    <x v="7"/>
    <x v="16"/>
    <x v="10"/>
    <x v="12"/>
  </r>
  <r>
    <x v="10"/>
    <x v="7"/>
    <x v="23"/>
    <x v="10"/>
    <x v="15"/>
  </r>
  <r>
    <x v="19"/>
    <x v="7"/>
    <x v="23"/>
    <x v="10"/>
    <x v="15"/>
  </r>
  <r>
    <x v="43"/>
    <x v="7"/>
    <x v="19"/>
    <x v="10"/>
    <x v="15"/>
  </r>
  <r>
    <x v="0"/>
    <x v="7"/>
    <x v="25"/>
    <x v="10"/>
    <x v="15"/>
  </r>
  <r>
    <x v="164"/>
    <x v="7"/>
    <x v="12"/>
    <x v="10"/>
    <x v="15"/>
  </r>
  <r>
    <x v="203"/>
    <x v="7"/>
    <x v="12"/>
    <x v="10"/>
    <x v="15"/>
  </r>
  <r>
    <x v="270"/>
    <x v="7"/>
    <x v="19"/>
    <x v="10"/>
    <x v="15"/>
  </r>
  <r>
    <x v="436"/>
    <x v="7"/>
    <x v="12"/>
    <x v="10"/>
    <x v="15"/>
  </r>
  <r>
    <x v="337"/>
    <x v="7"/>
    <x v="12"/>
    <x v="10"/>
    <x v="15"/>
  </r>
  <r>
    <x v="77"/>
    <x v="7"/>
    <x v="19"/>
    <x v="10"/>
    <x v="15"/>
  </r>
  <r>
    <x v="0"/>
    <x v="7"/>
    <x v="24"/>
    <x v="10"/>
    <x v="17"/>
  </r>
  <r>
    <x v="0"/>
    <x v="7"/>
    <x v="11"/>
    <x v="10"/>
    <x v="10"/>
  </r>
  <r>
    <x v="0"/>
    <x v="7"/>
    <x v="11"/>
    <x v="10"/>
    <x v="10"/>
  </r>
  <r>
    <x v="0"/>
    <x v="7"/>
    <x v="28"/>
    <x v="10"/>
    <x v="20"/>
  </r>
  <r>
    <x v="0"/>
    <x v="7"/>
    <x v="28"/>
    <x v="10"/>
    <x v="20"/>
  </r>
  <r>
    <x v="0"/>
    <x v="7"/>
    <x v="16"/>
    <x v="10"/>
    <x v="12"/>
  </r>
  <r>
    <x v="0"/>
    <x v="7"/>
    <x v="16"/>
    <x v="10"/>
    <x v="12"/>
  </r>
  <r>
    <x v="0"/>
    <x v="7"/>
    <x v="10"/>
    <x v="10"/>
    <x v="9"/>
  </r>
  <r>
    <x v="0"/>
    <x v="7"/>
    <x v="28"/>
    <x v="10"/>
    <x v="20"/>
  </r>
  <r>
    <x v="0"/>
    <x v="7"/>
    <x v="21"/>
    <x v="10"/>
    <x v="16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7"/>
    <x v="10"/>
    <x v="13"/>
  </r>
  <r>
    <x v="0"/>
    <x v="7"/>
    <x v="17"/>
    <x v="10"/>
    <x v="13"/>
  </r>
  <r>
    <x v="0"/>
    <x v="7"/>
    <x v="8"/>
    <x v="10"/>
    <x v="7"/>
  </r>
  <r>
    <x v="0"/>
    <x v="7"/>
    <x v="8"/>
    <x v="10"/>
    <x v="7"/>
  </r>
  <r>
    <x v="0"/>
    <x v="7"/>
    <x v="2"/>
    <x v="10"/>
    <x v="8"/>
  </r>
  <r>
    <x v="0"/>
    <x v="7"/>
    <x v="2"/>
    <x v="10"/>
    <x v="8"/>
  </r>
  <r>
    <x v="30"/>
    <x v="7"/>
    <x v="20"/>
    <x v="10"/>
    <x v="15"/>
  </r>
  <r>
    <x v="0"/>
    <x v="7"/>
    <x v="20"/>
    <x v="10"/>
    <x v="15"/>
  </r>
  <r>
    <x v="29"/>
    <x v="7"/>
    <x v="20"/>
    <x v="10"/>
    <x v="15"/>
  </r>
  <r>
    <x v="5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6"/>
    <x v="7"/>
    <x v="9"/>
    <x v="10"/>
    <x v="8"/>
  </r>
  <r>
    <x v="11"/>
    <x v="7"/>
    <x v="9"/>
    <x v="10"/>
    <x v="8"/>
  </r>
  <r>
    <x v="0"/>
    <x v="7"/>
    <x v="9"/>
    <x v="10"/>
    <x v="8"/>
  </r>
  <r>
    <x v="0"/>
    <x v="7"/>
    <x v="13"/>
    <x v="10"/>
    <x v="8"/>
  </r>
  <r>
    <x v="0"/>
    <x v="7"/>
    <x v="15"/>
    <x v="10"/>
    <x v="8"/>
  </r>
  <r>
    <x v="0"/>
    <x v="7"/>
    <x v="15"/>
    <x v="10"/>
    <x v="8"/>
  </r>
  <r>
    <x v="0"/>
    <x v="7"/>
    <x v="15"/>
    <x v="10"/>
    <x v="8"/>
  </r>
  <r>
    <x v="9"/>
    <x v="7"/>
    <x v="25"/>
    <x v="10"/>
    <x v="15"/>
  </r>
  <r>
    <x v="0"/>
    <x v="7"/>
    <x v="26"/>
    <x v="10"/>
    <x v="18"/>
  </r>
  <r>
    <x v="0"/>
    <x v="7"/>
    <x v="22"/>
    <x v="10"/>
    <x v="15"/>
  </r>
  <r>
    <x v="0"/>
    <x v="7"/>
    <x v="3"/>
    <x v="10"/>
    <x v="2"/>
  </r>
  <r>
    <x v="0"/>
    <x v="7"/>
    <x v="28"/>
    <x v="10"/>
    <x v="20"/>
  </r>
  <r>
    <x v="0"/>
    <x v="7"/>
    <x v="15"/>
    <x v="10"/>
    <x v="8"/>
  </r>
  <r>
    <x v="0"/>
    <x v="7"/>
    <x v="24"/>
    <x v="10"/>
    <x v="17"/>
  </r>
  <r>
    <x v="0"/>
    <x v="7"/>
    <x v="4"/>
    <x v="10"/>
    <x v="3"/>
  </r>
  <r>
    <x v="0"/>
    <x v="7"/>
    <x v="6"/>
    <x v="10"/>
    <x v="5"/>
  </r>
  <r>
    <x v="582"/>
    <x v="7"/>
    <x v="0"/>
    <x v="10"/>
    <x v="0"/>
  </r>
  <r>
    <x v="7"/>
    <x v="7"/>
    <x v="1"/>
    <x v="10"/>
    <x v="1"/>
  </r>
  <r>
    <x v="0"/>
    <x v="7"/>
    <x v="28"/>
    <x v="10"/>
    <x v="20"/>
  </r>
  <r>
    <x v="10"/>
    <x v="7"/>
    <x v="14"/>
    <x v="10"/>
    <x v="11"/>
  </r>
  <r>
    <x v="0"/>
    <x v="7"/>
    <x v="28"/>
    <x v="10"/>
    <x v="20"/>
  </r>
  <r>
    <x v="0"/>
    <x v="7"/>
    <x v="28"/>
    <x v="10"/>
    <x v="20"/>
  </r>
  <r>
    <x v="0"/>
    <x v="7"/>
    <x v="7"/>
    <x v="10"/>
    <x v="6"/>
  </r>
  <r>
    <x v="0"/>
    <x v="7"/>
    <x v="28"/>
    <x v="10"/>
    <x v="20"/>
  </r>
  <r>
    <x v="0"/>
    <x v="7"/>
    <x v="27"/>
    <x v="10"/>
    <x v="19"/>
  </r>
  <r>
    <x v="7"/>
    <x v="7"/>
    <x v="25"/>
    <x v="10"/>
    <x v="15"/>
  </r>
  <r>
    <x v="0"/>
    <x v="7"/>
    <x v="16"/>
    <x v="10"/>
    <x v="12"/>
  </r>
  <r>
    <x v="13"/>
    <x v="7"/>
    <x v="16"/>
    <x v="10"/>
    <x v="12"/>
  </r>
  <r>
    <x v="9"/>
    <x v="7"/>
    <x v="16"/>
    <x v="10"/>
    <x v="12"/>
  </r>
  <r>
    <x v="15"/>
    <x v="7"/>
    <x v="23"/>
    <x v="10"/>
    <x v="15"/>
  </r>
  <r>
    <x v="13"/>
    <x v="7"/>
    <x v="23"/>
    <x v="10"/>
    <x v="15"/>
  </r>
  <r>
    <x v="39"/>
    <x v="7"/>
    <x v="19"/>
    <x v="10"/>
    <x v="15"/>
  </r>
  <r>
    <x v="39"/>
    <x v="7"/>
    <x v="25"/>
    <x v="10"/>
    <x v="15"/>
  </r>
  <r>
    <x v="139"/>
    <x v="7"/>
    <x v="12"/>
    <x v="10"/>
    <x v="15"/>
  </r>
  <r>
    <x v="372"/>
    <x v="7"/>
    <x v="12"/>
    <x v="10"/>
    <x v="15"/>
  </r>
  <r>
    <x v="415"/>
    <x v="7"/>
    <x v="19"/>
    <x v="10"/>
    <x v="15"/>
  </r>
  <r>
    <x v="283"/>
    <x v="7"/>
    <x v="12"/>
    <x v="10"/>
    <x v="15"/>
  </r>
  <r>
    <x v="573"/>
    <x v="7"/>
    <x v="12"/>
    <x v="10"/>
    <x v="15"/>
  </r>
  <r>
    <x v="379"/>
    <x v="7"/>
    <x v="19"/>
    <x v="10"/>
    <x v="15"/>
  </r>
  <r>
    <x v="33"/>
    <x v="7"/>
    <x v="24"/>
    <x v="10"/>
    <x v="17"/>
  </r>
  <r>
    <x v="8"/>
    <x v="7"/>
    <x v="11"/>
    <x v="10"/>
    <x v="10"/>
  </r>
  <r>
    <x v="9"/>
    <x v="7"/>
    <x v="11"/>
    <x v="10"/>
    <x v="10"/>
  </r>
  <r>
    <x v="0"/>
    <x v="7"/>
    <x v="28"/>
    <x v="10"/>
    <x v="20"/>
  </r>
  <r>
    <x v="0"/>
    <x v="7"/>
    <x v="28"/>
    <x v="10"/>
    <x v="20"/>
  </r>
  <r>
    <x v="14"/>
    <x v="7"/>
    <x v="16"/>
    <x v="10"/>
    <x v="12"/>
  </r>
  <r>
    <x v="0"/>
    <x v="7"/>
    <x v="16"/>
    <x v="10"/>
    <x v="12"/>
  </r>
  <r>
    <x v="0"/>
    <x v="7"/>
    <x v="10"/>
    <x v="10"/>
    <x v="9"/>
  </r>
  <r>
    <x v="0"/>
    <x v="7"/>
    <x v="28"/>
    <x v="10"/>
    <x v="20"/>
  </r>
  <r>
    <x v="0"/>
    <x v="7"/>
    <x v="21"/>
    <x v="10"/>
    <x v="16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7"/>
    <x v="10"/>
    <x v="13"/>
  </r>
  <r>
    <x v="0"/>
    <x v="7"/>
    <x v="17"/>
    <x v="10"/>
    <x v="13"/>
  </r>
  <r>
    <x v="5"/>
    <x v="7"/>
    <x v="8"/>
    <x v="10"/>
    <x v="7"/>
  </r>
  <r>
    <x v="0"/>
    <x v="7"/>
    <x v="8"/>
    <x v="10"/>
    <x v="7"/>
  </r>
  <r>
    <x v="0"/>
    <x v="7"/>
    <x v="2"/>
    <x v="10"/>
    <x v="8"/>
  </r>
  <r>
    <x v="5"/>
    <x v="7"/>
    <x v="2"/>
    <x v="10"/>
    <x v="8"/>
  </r>
  <r>
    <x v="7"/>
    <x v="7"/>
    <x v="2"/>
    <x v="10"/>
    <x v="8"/>
  </r>
  <r>
    <x v="8"/>
    <x v="7"/>
    <x v="2"/>
    <x v="10"/>
    <x v="8"/>
  </r>
  <r>
    <x v="402"/>
    <x v="7"/>
    <x v="20"/>
    <x v="10"/>
    <x v="15"/>
  </r>
  <r>
    <x v="284"/>
    <x v="7"/>
    <x v="20"/>
    <x v="10"/>
    <x v="15"/>
  </r>
  <r>
    <x v="366"/>
    <x v="7"/>
    <x v="20"/>
    <x v="10"/>
    <x v="15"/>
  </r>
  <r>
    <x v="5"/>
    <x v="7"/>
    <x v="9"/>
    <x v="10"/>
    <x v="8"/>
  </r>
  <r>
    <x v="9"/>
    <x v="7"/>
    <x v="9"/>
    <x v="10"/>
    <x v="8"/>
  </r>
  <r>
    <x v="8"/>
    <x v="7"/>
    <x v="9"/>
    <x v="10"/>
    <x v="8"/>
  </r>
  <r>
    <x v="0"/>
    <x v="7"/>
    <x v="9"/>
    <x v="10"/>
    <x v="8"/>
  </r>
  <r>
    <x v="0"/>
    <x v="7"/>
    <x v="9"/>
    <x v="10"/>
    <x v="8"/>
  </r>
  <r>
    <x v="7"/>
    <x v="7"/>
    <x v="9"/>
    <x v="10"/>
    <x v="8"/>
  </r>
  <r>
    <x v="0"/>
    <x v="7"/>
    <x v="9"/>
    <x v="10"/>
    <x v="8"/>
  </r>
  <r>
    <x v="0"/>
    <x v="7"/>
    <x v="9"/>
    <x v="10"/>
    <x v="8"/>
  </r>
  <r>
    <x v="42"/>
    <x v="7"/>
    <x v="9"/>
    <x v="10"/>
    <x v="8"/>
  </r>
  <r>
    <x v="19"/>
    <x v="7"/>
    <x v="9"/>
    <x v="10"/>
    <x v="8"/>
  </r>
  <r>
    <x v="0"/>
    <x v="7"/>
    <x v="9"/>
    <x v="10"/>
    <x v="8"/>
  </r>
  <r>
    <x v="0"/>
    <x v="7"/>
    <x v="13"/>
    <x v="10"/>
    <x v="8"/>
  </r>
  <r>
    <x v="0"/>
    <x v="7"/>
    <x v="15"/>
    <x v="10"/>
    <x v="8"/>
  </r>
  <r>
    <x v="0"/>
    <x v="7"/>
    <x v="15"/>
    <x v="10"/>
    <x v="8"/>
  </r>
  <r>
    <x v="0"/>
    <x v="7"/>
    <x v="15"/>
    <x v="10"/>
    <x v="8"/>
  </r>
  <r>
    <x v="18"/>
    <x v="7"/>
    <x v="25"/>
    <x v="10"/>
    <x v="15"/>
  </r>
  <r>
    <x v="0"/>
    <x v="7"/>
    <x v="26"/>
    <x v="10"/>
    <x v="18"/>
  </r>
  <r>
    <x v="34"/>
    <x v="7"/>
    <x v="22"/>
    <x v="10"/>
    <x v="15"/>
  </r>
  <r>
    <x v="0"/>
    <x v="7"/>
    <x v="3"/>
    <x v="10"/>
    <x v="2"/>
  </r>
  <r>
    <x v="0"/>
    <x v="7"/>
    <x v="28"/>
    <x v="10"/>
    <x v="20"/>
  </r>
  <r>
    <x v="0"/>
    <x v="7"/>
    <x v="15"/>
    <x v="10"/>
    <x v="8"/>
  </r>
  <r>
    <x v="0"/>
    <x v="7"/>
    <x v="24"/>
    <x v="10"/>
    <x v="17"/>
  </r>
  <r>
    <x v="0"/>
    <x v="7"/>
    <x v="4"/>
    <x v="10"/>
    <x v="3"/>
  </r>
  <r>
    <x v="31"/>
    <x v="7"/>
    <x v="6"/>
    <x v="10"/>
    <x v="5"/>
  </r>
  <r>
    <x v="574"/>
    <x v="14"/>
    <x v="0"/>
    <x v="10"/>
    <x v="0"/>
  </r>
  <r>
    <x v="13"/>
    <x v="14"/>
    <x v="1"/>
    <x v="10"/>
    <x v="1"/>
  </r>
  <r>
    <x v="0"/>
    <x v="14"/>
    <x v="28"/>
    <x v="10"/>
    <x v="20"/>
  </r>
  <r>
    <x v="17"/>
    <x v="14"/>
    <x v="14"/>
    <x v="10"/>
    <x v="11"/>
  </r>
  <r>
    <x v="0"/>
    <x v="14"/>
    <x v="28"/>
    <x v="10"/>
    <x v="20"/>
  </r>
  <r>
    <x v="14"/>
    <x v="14"/>
    <x v="28"/>
    <x v="10"/>
    <x v="20"/>
  </r>
  <r>
    <x v="0"/>
    <x v="14"/>
    <x v="7"/>
    <x v="10"/>
    <x v="6"/>
  </r>
  <r>
    <x v="0"/>
    <x v="14"/>
    <x v="28"/>
    <x v="10"/>
    <x v="20"/>
  </r>
  <r>
    <x v="0"/>
    <x v="14"/>
    <x v="27"/>
    <x v="10"/>
    <x v="19"/>
  </r>
  <r>
    <x v="0"/>
    <x v="14"/>
    <x v="25"/>
    <x v="10"/>
    <x v="15"/>
  </r>
  <r>
    <x v="6"/>
    <x v="14"/>
    <x v="16"/>
    <x v="10"/>
    <x v="12"/>
  </r>
  <r>
    <x v="6"/>
    <x v="14"/>
    <x v="16"/>
    <x v="10"/>
    <x v="12"/>
  </r>
  <r>
    <x v="0"/>
    <x v="14"/>
    <x v="16"/>
    <x v="10"/>
    <x v="12"/>
  </r>
  <r>
    <x v="10"/>
    <x v="14"/>
    <x v="23"/>
    <x v="10"/>
    <x v="15"/>
  </r>
  <r>
    <x v="14"/>
    <x v="14"/>
    <x v="23"/>
    <x v="10"/>
    <x v="15"/>
  </r>
  <r>
    <x v="90"/>
    <x v="14"/>
    <x v="19"/>
    <x v="10"/>
    <x v="15"/>
  </r>
  <r>
    <x v="5"/>
    <x v="14"/>
    <x v="25"/>
    <x v="10"/>
    <x v="15"/>
  </r>
  <r>
    <x v="20"/>
    <x v="14"/>
    <x v="12"/>
    <x v="10"/>
    <x v="15"/>
  </r>
  <r>
    <x v="187"/>
    <x v="14"/>
    <x v="12"/>
    <x v="10"/>
    <x v="15"/>
  </r>
  <r>
    <x v="516"/>
    <x v="14"/>
    <x v="19"/>
    <x v="10"/>
    <x v="15"/>
  </r>
  <r>
    <x v="147"/>
    <x v="14"/>
    <x v="12"/>
    <x v="10"/>
    <x v="15"/>
  </r>
  <r>
    <x v="312"/>
    <x v="14"/>
    <x v="12"/>
    <x v="10"/>
    <x v="15"/>
  </r>
  <r>
    <x v="560"/>
    <x v="14"/>
    <x v="19"/>
    <x v="10"/>
    <x v="15"/>
  </r>
  <r>
    <x v="0"/>
    <x v="14"/>
    <x v="24"/>
    <x v="10"/>
    <x v="17"/>
  </r>
  <r>
    <x v="0"/>
    <x v="14"/>
    <x v="11"/>
    <x v="10"/>
    <x v="10"/>
  </r>
  <r>
    <x v="0"/>
    <x v="14"/>
    <x v="11"/>
    <x v="10"/>
    <x v="10"/>
  </r>
  <r>
    <x v="0"/>
    <x v="14"/>
    <x v="28"/>
    <x v="10"/>
    <x v="20"/>
  </r>
  <r>
    <x v="0"/>
    <x v="14"/>
    <x v="28"/>
    <x v="10"/>
    <x v="20"/>
  </r>
  <r>
    <x v="0"/>
    <x v="14"/>
    <x v="16"/>
    <x v="10"/>
    <x v="12"/>
  </r>
  <r>
    <x v="0"/>
    <x v="14"/>
    <x v="16"/>
    <x v="10"/>
    <x v="12"/>
  </r>
  <r>
    <x v="0"/>
    <x v="14"/>
    <x v="10"/>
    <x v="10"/>
    <x v="9"/>
  </r>
  <r>
    <x v="0"/>
    <x v="14"/>
    <x v="28"/>
    <x v="10"/>
    <x v="20"/>
  </r>
  <r>
    <x v="0"/>
    <x v="14"/>
    <x v="21"/>
    <x v="10"/>
    <x v="16"/>
  </r>
  <r>
    <x v="7"/>
    <x v="14"/>
    <x v="18"/>
    <x v="10"/>
    <x v="14"/>
  </r>
  <r>
    <x v="0"/>
    <x v="14"/>
    <x v="18"/>
    <x v="10"/>
    <x v="14"/>
  </r>
  <r>
    <x v="0"/>
    <x v="14"/>
    <x v="18"/>
    <x v="10"/>
    <x v="14"/>
  </r>
  <r>
    <x v="0"/>
    <x v="14"/>
    <x v="18"/>
    <x v="10"/>
    <x v="14"/>
  </r>
  <r>
    <x v="0"/>
    <x v="14"/>
    <x v="17"/>
    <x v="10"/>
    <x v="13"/>
  </r>
  <r>
    <x v="0"/>
    <x v="14"/>
    <x v="17"/>
    <x v="10"/>
    <x v="13"/>
  </r>
  <r>
    <x v="8"/>
    <x v="14"/>
    <x v="8"/>
    <x v="10"/>
    <x v="7"/>
  </r>
  <r>
    <x v="0"/>
    <x v="14"/>
    <x v="8"/>
    <x v="10"/>
    <x v="7"/>
  </r>
  <r>
    <x v="0"/>
    <x v="14"/>
    <x v="2"/>
    <x v="10"/>
    <x v="8"/>
  </r>
  <r>
    <x v="0"/>
    <x v="14"/>
    <x v="2"/>
    <x v="10"/>
    <x v="8"/>
  </r>
  <r>
    <x v="0"/>
    <x v="14"/>
    <x v="2"/>
    <x v="10"/>
    <x v="8"/>
  </r>
  <r>
    <x v="0"/>
    <x v="14"/>
    <x v="2"/>
    <x v="10"/>
    <x v="8"/>
  </r>
  <r>
    <x v="432"/>
    <x v="14"/>
    <x v="20"/>
    <x v="10"/>
    <x v="15"/>
  </r>
  <r>
    <x v="242"/>
    <x v="14"/>
    <x v="20"/>
    <x v="10"/>
    <x v="15"/>
  </r>
  <r>
    <x v="259"/>
    <x v="14"/>
    <x v="20"/>
    <x v="10"/>
    <x v="15"/>
  </r>
  <r>
    <x v="7"/>
    <x v="14"/>
    <x v="9"/>
    <x v="10"/>
    <x v="8"/>
  </r>
  <r>
    <x v="0"/>
    <x v="14"/>
    <x v="9"/>
    <x v="10"/>
    <x v="8"/>
  </r>
  <r>
    <x v="0"/>
    <x v="14"/>
    <x v="9"/>
    <x v="10"/>
    <x v="8"/>
  </r>
  <r>
    <x v="10"/>
    <x v="14"/>
    <x v="9"/>
    <x v="10"/>
    <x v="8"/>
  </r>
  <r>
    <x v="0"/>
    <x v="14"/>
    <x v="9"/>
    <x v="10"/>
    <x v="8"/>
  </r>
  <r>
    <x v="0"/>
    <x v="14"/>
    <x v="9"/>
    <x v="10"/>
    <x v="8"/>
  </r>
  <r>
    <x v="0"/>
    <x v="14"/>
    <x v="9"/>
    <x v="10"/>
    <x v="8"/>
  </r>
  <r>
    <x v="0"/>
    <x v="14"/>
    <x v="9"/>
    <x v="10"/>
    <x v="8"/>
  </r>
  <r>
    <x v="0"/>
    <x v="14"/>
    <x v="9"/>
    <x v="10"/>
    <x v="8"/>
  </r>
  <r>
    <x v="6"/>
    <x v="14"/>
    <x v="9"/>
    <x v="10"/>
    <x v="8"/>
  </r>
  <r>
    <x v="14"/>
    <x v="14"/>
    <x v="9"/>
    <x v="10"/>
    <x v="8"/>
  </r>
  <r>
    <x v="0"/>
    <x v="14"/>
    <x v="13"/>
    <x v="10"/>
    <x v="8"/>
  </r>
  <r>
    <x v="11"/>
    <x v="14"/>
    <x v="15"/>
    <x v="10"/>
    <x v="8"/>
  </r>
  <r>
    <x v="0"/>
    <x v="14"/>
    <x v="15"/>
    <x v="10"/>
    <x v="8"/>
  </r>
  <r>
    <x v="0"/>
    <x v="14"/>
    <x v="15"/>
    <x v="10"/>
    <x v="8"/>
  </r>
  <r>
    <x v="0"/>
    <x v="14"/>
    <x v="25"/>
    <x v="10"/>
    <x v="15"/>
  </r>
  <r>
    <x v="0"/>
    <x v="14"/>
    <x v="26"/>
    <x v="10"/>
    <x v="18"/>
  </r>
  <r>
    <x v="25"/>
    <x v="14"/>
    <x v="22"/>
    <x v="10"/>
    <x v="15"/>
  </r>
  <r>
    <x v="0"/>
    <x v="14"/>
    <x v="3"/>
    <x v="10"/>
    <x v="2"/>
  </r>
  <r>
    <x v="0"/>
    <x v="14"/>
    <x v="28"/>
    <x v="10"/>
    <x v="20"/>
  </r>
  <r>
    <x v="0"/>
    <x v="14"/>
    <x v="15"/>
    <x v="10"/>
    <x v="8"/>
  </r>
  <r>
    <x v="0"/>
    <x v="14"/>
    <x v="24"/>
    <x v="10"/>
    <x v="17"/>
  </r>
  <r>
    <x v="0"/>
    <x v="14"/>
    <x v="4"/>
    <x v="10"/>
    <x v="3"/>
  </r>
  <r>
    <x v="18"/>
    <x v="14"/>
    <x v="6"/>
    <x v="10"/>
    <x v="5"/>
  </r>
  <r>
    <x v="550"/>
    <x v="19"/>
    <x v="0"/>
    <x v="12"/>
    <x v="0"/>
  </r>
  <r>
    <x v="0"/>
    <x v="19"/>
    <x v="1"/>
    <x v="12"/>
    <x v="1"/>
  </r>
  <r>
    <x v="0"/>
    <x v="19"/>
    <x v="28"/>
    <x v="12"/>
    <x v="20"/>
  </r>
  <r>
    <x v="0"/>
    <x v="19"/>
    <x v="14"/>
    <x v="12"/>
    <x v="11"/>
  </r>
  <r>
    <x v="0"/>
    <x v="19"/>
    <x v="28"/>
    <x v="12"/>
    <x v="20"/>
  </r>
  <r>
    <x v="0"/>
    <x v="19"/>
    <x v="28"/>
    <x v="12"/>
    <x v="20"/>
  </r>
  <r>
    <x v="0"/>
    <x v="19"/>
    <x v="7"/>
    <x v="12"/>
    <x v="6"/>
  </r>
  <r>
    <x v="0"/>
    <x v="19"/>
    <x v="28"/>
    <x v="12"/>
    <x v="20"/>
  </r>
  <r>
    <x v="0"/>
    <x v="19"/>
    <x v="27"/>
    <x v="12"/>
    <x v="19"/>
  </r>
  <r>
    <x v="0"/>
    <x v="19"/>
    <x v="25"/>
    <x v="12"/>
    <x v="15"/>
  </r>
  <r>
    <x v="10"/>
    <x v="19"/>
    <x v="16"/>
    <x v="12"/>
    <x v="12"/>
  </r>
  <r>
    <x v="0"/>
    <x v="19"/>
    <x v="16"/>
    <x v="12"/>
    <x v="12"/>
  </r>
  <r>
    <x v="0"/>
    <x v="19"/>
    <x v="16"/>
    <x v="12"/>
    <x v="12"/>
  </r>
  <r>
    <x v="0"/>
    <x v="19"/>
    <x v="23"/>
    <x v="12"/>
    <x v="15"/>
  </r>
  <r>
    <x v="0"/>
    <x v="19"/>
    <x v="23"/>
    <x v="12"/>
    <x v="15"/>
  </r>
  <r>
    <x v="0"/>
    <x v="19"/>
    <x v="19"/>
    <x v="12"/>
    <x v="15"/>
  </r>
  <r>
    <x v="18"/>
    <x v="19"/>
    <x v="25"/>
    <x v="12"/>
    <x v="15"/>
  </r>
  <r>
    <x v="8"/>
    <x v="19"/>
    <x v="12"/>
    <x v="12"/>
    <x v="15"/>
  </r>
  <r>
    <x v="137"/>
    <x v="19"/>
    <x v="12"/>
    <x v="12"/>
    <x v="15"/>
  </r>
  <r>
    <x v="45"/>
    <x v="19"/>
    <x v="19"/>
    <x v="12"/>
    <x v="15"/>
  </r>
  <r>
    <x v="5"/>
    <x v="19"/>
    <x v="12"/>
    <x v="12"/>
    <x v="15"/>
  </r>
  <r>
    <x v="296"/>
    <x v="19"/>
    <x v="12"/>
    <x v="12"/>
    <x v="15"/>
  </r>
  <r>
    <x v="56"/>
    <x v="19"/>
    <x v="19"/>
    <x v="12"/>
    <x v="15"/>
  </r>
  <r>
    <x v="478"/>
    <x v="19"/>
    <x v="24"/>
    <x v="12"/>
    <x v="17"/>
  </r>
  <r>
    <x v="173"/>
    <x v="19"/>
    <x v="11"/>
    <x v="12"/>
    <x v="10"/>
  </r>
  <r>
    <x v="147"/>
    <x v="19"/>
    <x v="11"/>
    <x v="12"/>
    <x v="10"/>
  </r>
  <r>
    <x v="7"/>
    <x v="19"/>
    <x v="28"/>
    <x v="12"/>
    <x v="20"/>
  </r>
  <r>
    <x v="0"/>
    <x v="19"/>
    <x v="28"/>
    <x v="12"/>
    <x v="20"/>
  </r>
  <r>
    <x v="79"/>
    <x v="19"/>
    <x v="16"/>
    <x v="12"/>
    <x v="12"/>
  </r>
  <r>
    <x v="86"/>
    <x v="19"/>
    <x v="16"/>
    <x v="12"/>
    <x v="12"/>
  </r>
  <r>
    <x v="7"/>
    <x v="19"/>
    <x v="10"/>
    <x v="12"/>
    <x v="9"/>
  </r>
  <r>
    <x v="0"/>
    <x v="19"/>
    <x v="28"/>
    <x v="12"/>
    <x v="20"/>
  </r>
  <r>
    <x v="5"/>
    <x v="19"/>
    <x v="21"/>
    <x v="12"/>
    <x v="16"/>
  </r>
  <r>
    <x v="0"/>
    <x v="19"/>
    <x v="18"/>
    <x v="12"/>
    <x v="14"/>
  </r>
  <r>
    <x v="0"/>
    <x v="19"/>
    <x v="18"/>
    <x v="12"/>
    <x v="14"/>
  </r>
  <r>
    <x v="0"/>
    <x v="19"/>
    <x v="18"/>
    <x v="12"/>
    <x v="14"/>
  </r>
  <r>
    <x v="0"/>
    <x v="19"/>
    <x v="18"/>
    <x v="12"/>
    <x v="14"/>
  </r>
  <r>
    <x v="0"/>
    <x v="19"/>
    <x v="17"/>
    <x v="12"/>
    <x v="13"/>
  </r>
  <r>
    <x v="0"/>
    <x v="19"/>
    <x v="17"/>
    <x v="12"/>
    <x v="13"/>
  </r>
  <r>
    <x v="7"/>
    <x v="19"/>
    <x v="8"/>
    <x v="12"/>
    <x v="7"/>
  </r>
  <r>
    <x v="0"/>
    <x v="19"/>
    <x v="8"/>
    <x v="12"/>
    <x v="7"/>
  </r>
  <r>
    <x v="0"/>
    <x v="19"/>
    <x v="2"/>
    <x v="12"/>
    <x v="8"/>
  </r>
  <r>
    <x v="0"/>
    <x v="19"/>
    <x v="2"/>
    <x v="12"/>
    <x v="8"/>
  </r>
  <r>
    <x v="0"/>
    <x v="19"/>
    <x v="2"/>
    <x v="12"/>
    <x v="8"/>
  </r>
  <r>
    <x v="0"/>
    <x v="19"/>
    <x v="2"/>
    <x v="12"/>
    <x v="8"/>
  </r>
  <r>
    <x v="111"/>
    <x v="19"/>
    <x v="20"/>
    <x v="12"/>
    <x v="15"/>
  </r>
  <r>
    <x v="76"/>
    <x v="19"/>
    <x v="20"/>
    <x v="12"/>
    <x v="15"/>
  </r>
  <r>
    <x v="50"/>
    <x v="19"/>
    <x v="20"/>
    <x v="12"/>
    <x v="15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0"/>
    <x v="19"/>
    <x v="9"/>
    <x v="12"/>
    <x v="8"/>
  </r>
  <r>
    <x v="5"/>
    <x v="19"/>
    <x v="9"/>
    <x v="12"/>
    <x v="8"/>
  </r>
  <r>
    <x v="0"/>
    <x v="19"/>
    <x v="9"/>
    <x v="12"/>
    <x v="8"/>
  </r>
  <r>
    <x v="0"/>
    <x v="19"/>
    <x v="13"/>
    <x v="12"/>
    <x v="8"/>
  </r>
  <r>
    <x v="0"/>
    <x v="19"/>
    <x v="15"/>
    <x v="12"/>
    <x v="8"/>
  </r>
  <r>
    <x v="0"/>
    <x v="19"/>
    <x v="15"/>
    <x v="12"/>
    <x v="8"/>
  </r>
  <r>
    <x v="0"/>
    <x v="19"/>
    <x v="15"/>
    <x v="12"/>
    <x v="8"/>
  </r>
  <r>
    <x v="0"/>
    <x v="19"/>
    <x v="25"/>
    <x v="12"/>
    <x v="15"/>
  </r>
  <r>
    <x v="0"/>
    <x v="19"/>
    <x v="26"/>
    <x v="12"/>
    <x v="18"/>
  </r>
  <r>
    <x v="0"/>
    <x v="19"/>
    <x v="22"/>
    <x v="12"/>
    <x v="15"/>
  </r>
  <r>
    <x v="0"/>
    <x v="19"/>
    <x v="3"/>
    <x v="12"/>
    <x v="2"/>
  </r>
  <r>
    <x v="0"/>
    <x v="19"/>
    <x v="28"/>
    <x v="12"/>
    <x v="20"/>
  </r>
  <r>
    <x v="0"/>
    <x v="19"/>
    <x v="15"/>
    <x v="12"/>
    <x v="8"/>
  </r>
  <r>
    <x v="408"/>
    <x v="19"/>
    <x v="24"/>
    <x v="12"/>
    <x v="17"/>
  </r>
  <r>
    <x v="0"/>
    <x v="19"/>
    <x v="4"/>
    <x v="12"/>
    <x v="3"/>
  </r>
  <r>
    <x v="9"/>
    <x v="19"/>
    <x v="6"/>
    <x v="12"/>
    <x v="5"/>
  </r>
  <r>
    <x v="525"/>
    <x v="6"/>
    <x v="0"/>
    <x v="5"/>
    <x v="0"/>
  </r>
  <r>
    <x v="10"/>
    <x v="6"/>
    <x v="1"/>
    <x v="5"/>
    <x v="1"/>
  </r>
  <r>
    <x v="0"/>
    <x v="6"/>
    <x v="28"/>
    <x v="5"/>
    <x v="20"/>
  </r>
  <r>
    <x v="0"/>
    <x v="6"/>
    <x v="14"/>
    <x v="5"/>
    <x v="11"/>
  </r>
  <r>
    <x v="0"/>
    <x v="6"/>
    <x v="28"/>
    <x v="5"/>
    <x v="20"/>
  </r>
  <r>
    <x v="0"/>
    <x v="6"/>
    <x v="28"/>
    <x v="5"/>
    <x v="20"/>
  </r>
  <r>
    <x v="0"/>
    <x v="6"/>
    <x v="7"/>
    <x v="5"/>
    <x v="6"/>
  </r>
  <r>
    <x v="0"/>
    <x v="6"/>
    <x v="28"/>
    <x v="5"/>
    <x v="20"/>
  </r>
  <r>
    <x v="0"/>
    <x v="6"/>
    <x v="27"/>
    <x v="5"/>
    <x v="19"/>
  </r>
  <r>
    <x v="0"/>
    <x v="6"/>
    <x v="25"/>
    <x v="5"/>
    <x v="15"/>
  </r>
  <r>
    <x v="0"/>
    <x v="6"/>
    <x v="16"/>
    <x v="5"/>
    <x v="12"/>
  </r>
  <r>
    <x v="0"/>
    <x v="6"/>
    <x v="16"/>
    <x v="5"/>
    <x v="12"/>
  </r>
  <r>
    <x v="0"/>
    <x v="6"/>
    <x v="16"/>
    <x v="5"/>
    <x v="12"/>
  </r>
  <r>
    <x v="0"/>
    <x v="6"/>
    <x v="23"/>
    <x v="5"/>
    <x v="15"/>
  </r>
  <r>
    <x v="0"/>
    <x v="6"/>
    <x v="23"/>
    <x v="5"/>
    <x v="15"/>
  </r>
  <r>
    <x v="0"/>
    <x v="6"/>
    <x v="19"/>
    <x v="5"/>
    <x v="15"/>
  </r>
  <r>
    <x v="16"/>
    <x v="6"/>
    <x v="25"/>
    <x v="5"/>
    <x v="15"/>
  </r>
  <r>
    <x v="0"/>
    <x v="6"/>
    <x v="12"/>
    <x v="5"/>
    <x v="15"/>
  </r>
  <r>
    <x v="24"/>
    <x v="6"/>
    <x v="12"/>
    <x v="5"/>
    <x v="15"/>
  </r>
  <r>
    <x v="7"/>
    <x v="6"/>
    <x v="19"/>
    <x v="5"/>
    <x v="15"/>
  </r>
  <r>
    <x v="18"/>
    <x v="6"/>
    <x v="12"/>
    <x v="5"/>
    <x v="15"/>
  </r>
  <r>
    <x v="181"/>
    <x v="6"/>
    <x v="12"/>
    <x v="5"/>
    <x v="15"/>
  </r>
  <r>
    <x v="11"/>
    <x v="6"/>
    <x v="19"/>
    <x v="5"/>
    <x v="15"/>
  </r>
  <r>
    <x v="195"/>
    <x v="6"/>
    <x v="24"/>
    <x v="5"/>
    <x v="17"/>
  </r>
  <r>
    <x v="439"/>
    <x v="6"/>
    <x v="11"/>
    <x v="5"/>
    <x v="10"/>
  </r>
  <r>
    <x v="359"/>
    <x v="6"/>
    <x v="11"/>
    <x v="5"/>
    <x v="10"/>
  </r>
  <r>
    <x v="13"/>
    <x v="6"/>
    <x v="28"/>
    <x v="5"/>
    <x v="20"/>
  </r>
  <r>
    <x v="0"/>
    <x v="6"/>
    <x v="28"/>
    <x v="5"/>
    <x v="20"/>
  </r>
  <r>
    <x v="5"/>
    <x v="6"/>
    <x v="16"/>
    <x v="5"/>
    <x v="12"/>
  </r>
  <r>
    <x v="5"/>
    <x v="6"/>
    <x v="16"/>
    <x v="5"/>
    <x v="12"/>
  </r>
  <r>
    <x v="90"/>
    <x v="6"/>
    <x v="10"/>
    <x v="5"/>
    <x v="9"/>
  </r>
  <r>
    <x v="0"/>
    <x v="6"/>
    <x v="28"/>
    <x v="5"/>
    <x v="20"/>
  </r>
  <r>
    <x v="0"/>
    <x v="6"/>
    <x v="21"/>
    <x v="5"/>
    <x v="16"/>
  </r>
  <r>
    <x v="0"/>
    <x v="6"/>
    <x v="18"/>
    <x v="5"/>
    <x v="14"/>
  </r>
  <r>
    <x v="0"/>
    <x v="6"/>
    <x v="18"/>
    <x v="5"/>
    <x v="14"/>
  </r>
  <r>
    <x v="0"/>
    <x v="6"/>
    <x v="18"/>
    <x v="5"/>
    <x v="14"/>
  </r>
  <r>
    <x v="0"/>
    <x v="6"/>
    <x v="18"/>
    <x v="5"/>
    <x v="14"/>
  </r>
  <r>
    <x v="0"/>
    <x v="6"/>
    <x v="17"/>
    <x v="5"/>
    <x v="13"/>
  </r>
  <r>
    <x v="0"/>
    <x v="6"/>
    <x v="17"/>
    <x v="5"/>
    <x v="13"/>
  </r>
  <r>
    <x v="0"/>
    <x v="6"/>
    <x v="8"/>
    <x v="5"/>
    <x v="7"/>
  </r>
  <r>
    <x v="0"/>
    <x v="6"/>
    <x v="8"/>
    <x v="5"/>
    <x v="7"/>
  </r>
  <r>
    <x v="0"/>
    <x v="6"/>
    <x v="2"/>
    <x v="5"/>
    <x v="8"/>
  </r>
  <r>
    <x v="0"/>
    <x v="6"/>
    <x v="2"/>
    <x v="5"/>
    <x v="8"/>
  </r>
  <r>
    <x v="0"/>
    <x v="6"/>
    <x v="2"/>
    <x v="5"/>
    <x v="8"/>
  </r>
  <r>
    <x v="0"/>
    <x v="6"/>
    <x v="2"/>
    <x v="5"/>
    <x v="8"/>
  </r>
  <r>
    <x v="99"/>
    <x v="6"/>
    <x v="20"/>
    <x v="5"/>
    <x v="15"/>
  </r>
  <r>
    <x v="25"/>
    <x v="6"/>
    <x v="20"/>
    <x v="5"/>
    <x v="15"/>
  </r>
  <r>
    <x v="52"/>
    <x v="6"/>
    <x v="20"/>
    <x v="5"/>
    <x v="15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13"/>
    <x v="5"/>
    <x v="8"/>
  </r>
  <r>
    <x v="0"/>
    <x v="6"/>
    <x v="15"/>
    <x v="5"/>
    <x v="8"/>
  </r>
  <r>
    <x v="0"/>
    <x v="6"/>
    <x v="15"/>
    <x v="5"/>
    <x v="8"/>
  </r>
  <r>
    <x v="0"/>
    <x v="6"/>
    <x v="15"/>
    <x v="5"/>
    <x v="8"/>
  </r>
  <r>
    <x v="0"/>
    <x v="6"/>
    <x v="25"/>
    <x v="5"/>
    <x v="15"/>
  </r>
  <r>
    <x v="0"/>
    <x v="6"/>
    <x v="26"/>
    <x v="5"/>
    <x v="18"/>
  </r>
  <r>
    <x v="18"/>
    <x v="6"/>
    <x v="22"/>
    <x v="5"/>
    <x v="15"/>
  </r>
  <r>
    <x v="0"/>
    <x v="6"/>
    <x v="3"/>
    <x v="5"/>
    <x v="2"/>
  </r>
  <r>
    <x v="0"/>
    <x v="6"/>
    <x v="28"/>
    <x v="5"/>
    <x v="20"/>
  </r>
  <r>
    <x v="0"/>
    <x v="6"/>
    <x v="15"/>
    <x v="5"/>
    <x v="8"/>
  </r>
  <r>
    <x v="117"/>
    <x v="6"/>
    <x v="24"/>
    <x v="5"/>
    <x v="17"/>
  </r>
  <r>
    <x v="0"/>
    <x v="6"/>
    <x v="4"/>
    <x v="5"/>
    <x v="3"/>
  </r>
  <r>
    <x v="0"/>
    <x v="6"/>
    <x v="6"/>
    <x v="5"/>
    <x v="5"/>
  </r>
  <r>
    <x v="544"/>
    <x v="6"/>
    <x v="0"/>
    <x v="5"/>
    <x v="0"/>
  </r>
  <r>
    <x v="6"/>
    <x v="6"/>
    <x v="1"/>
    <x v="5"/>
    <x v="1"/>
  </r>
  <r>
    <x v="0"/>
    <x v="6"/>
    <x v="28"/>
    <x v="5"/>
    <x v="20"/>
  </r>
  <r>
    <x v="0"/>
    <x v="6"/>
    <x v="14"/>
    <x v="5"/>
    <x v="11"/>
  </r>
  <r>
    <x v="0"/>
    <x v="6"/>
    <x v="28"/>
    <x v="5"/>
    <x v="20"/>
  </r>
  <r>
    <x v="0"/>
    <x v="6"/>
    <x v="28"/>
    <x v="5"/>
    <x v="20"/>
  </r>
  <r>
    <x v="0"/>
    <x v="6"/>
    <x v="7"/>
    <x v="5"/>
    <x v="6"/>
  </r>
  <r>
    <x v="0"/>
    <x v="6"/>
    <x v="28"/>
    <x v="5"/>
    <x v="20"/>
  </r>
  <r>
    <x v="0"/>
    <x v="6"/>
    <x v="27"/>
    <x v="5"/>
    <x v="19"/>
  </r>
  <r>
    <x v="0"/>
    <x v="6"/>
    <x v="25"/>
    <x v="5"/>
    <x v="15"/>
  </r>
  <r>
    <x v="0"/>
    <x v="6"/>
    <x v="16"/>
    <x v="5"/>
    <x v="12"/>
  </r>
  <r>
    <x v="0"/>
    <x v="6"/>
    <x v="16"/>
    <x v="5"/>
    <x v="12"/>
  </r>
  <r>
    <x v="12"/>
    <x v="6"/>
    <x v="16"/>
    <x v="5"/>
    <x v="12"/>
  </r>
  <r>
    <x v="0"/>
    <x v="6"/>
    <x v="23"/>
    <x v="5"/>
    <x v="15"/>
  </r>
  <r>
    <x v="0"/>
    <x v="6"/>
    <x v="23"/>
    <x v="5"/>
    <x v="15"/>
  </r>
  <r>
    <x v="0"/>
    <x v="6"/>
    <x v="19"/>
    <x v="5"/>
    <x v="15"/>
  </r>
  <r>
    <x v="0"/>
    <x v="6"/>
    <x v="25"/>
    <x v="5"/>
    <x v="15"/>
  </r>
  <r>
    <x v="0"/>
    <x v="6"/>
    <x v="12"/>
    <x v="5"/>
    <x v="15"/>
  </r>
  <r>
    <x v="28"/>
    <x v="6"/>
    <x v="12"/>
    <x v="5"/>
    <x v="15"/>
  </r>
  <r>
    <x v="6"/>
    <x v="6"/>
    <x v="19"/>
    <x v="5"/>
    <x v="15"/>
  </r>
  <r>
    <x v="23"/>
    <x v="6"/>
    <x v="12"/>
    <x v="5"/>
    <x v="15"/>
  </r>
  <r>
    <x v="141"/>
    <x v="6"/>
    <x v="12"/>
    <x v="5"/>
    <x v="15"/>
  </r>
  <r>
    <x v="5"/>
    <x v="6"/>
    <x v="19"/>
    <x v="5"/>
    <x v="15"/>
  </r>
  <r>
    <x v="182"/>
    <x v="6"/>
    <x v="24"/>
    <x v="5"/>
    <x v="17"/>
  </r>
  <r>
    <x v="395"/>
    <x v="6"/>
    <x v="11"/>
    <x v="5"/>
    <x v="10"/>
  </r>
  <r>
    <x v="445"/>
    <x v="6"/>
    <x v="11"/>
    <x v="5"/>
    <x v="10"/>
  </r>
  <r>
    <x v="25"/>
    <x v="6"/>
    <x v="28"/>
    <x v="5"/>
    <x v="20"/>
  </r>
  <r>
    <x v="9"/>
    <x v="6"/>
    <x v="28"/>
    <x v="5"/>
    <x v="20"/>
  </r>
  <r>
    <x v="8"/>
    <x v="6"/>
    <x v="16"/>
    <x v="5"/>
    <x v="12"/>
  </r>
  <r>
    <x v="0"/>
    <x v="6"/>
    <x v="16"/>
    <x v="5"/>
    <x v="12"/>
  </r>
  <r>
    <x v="158"/>
    <x v="6"/>
    <x v="10"/>
    <x v="5"/>
    <x v="9"/>
  </r>
  <r>
    <x v="0"/>
    <x v="6"/>
    <x v="28"/>
    <x v="5"/>
    <x v="20"/>
  </r>
  <r>
    <x v="0"/>
    <x v="6"/>
    <x v="21"/>
    <x v="5"/>
    <x v="16"/>
  </r>
  <r>
    <x v="0"/>
    <x v="6"/>
    <x v="18"/>
    <x v="5"/>
    <x v="14"/>
  </r>
  <r>
    <x v="0"/>
    <x v="6"/>
    <x v="18"/>
    <x v="5"/>
    <x v="14"/>
  </r>
  <r>
    <x v="0"/>
    <x v="6"/>
    <x v="18"/>
    <x v="5"/>
    <x v="14"/>
  </r>
  <r>
    <x v="0"/>
    <x v="6"/>
    <x v="18"/>
    <x v="5"/>
    <x v="14"/>
  </r>
  <r>
    <x v="0"/>
    <x v="6"/>
    <x v="17"/>
    <x v="5"/>
    <x v="13"/>
  </r>
  <r>
    <x v="0"/>
    <x v="6"/>
    <x v="17"/>
    <x v="5"/>
    <x v="13"/>
  </r>
  <r>
    <x v="14"/>
    <x v="6"/>
    <x v="8"/>
    <x v="5"/>
    <x v="7"/>
  </r>
  <r>
    <x v="0"/>
    <x v="6"/>
    <x v="8"/>
    <x v="5"/>
    <x v="7"/>
  </r>
  <r>
    <x v="0"/>
    <x v="6"/>
    <x v="2"/>
    <x v="5"/>
    <x v="8"/>
  </r>
  <r>
    <x v="0"/>
    <x v="6"/>
    <x v="2"/>
    <x v="5"/>
    <x v="8"/>
  </r>
  <r>
    <x v="0"/>
    <x v="6"/>
    <x v="2"/>
    <x v="5"/>
    <x v="8"/>
  </r>
  <r>
    <x v="0"/>
    <x v="6"/>
    <x v="2"/>
    <x v="5"/>
    <x v="8"/>
  </r>
  <r>
    <x v="59"/>
    <x v="6"/>
    <x v="20"/>
    <x v="5"/>
    <x v="15"/>
  </r>
  <r>
    <x v="10"/>
    <x v="6"/>
    <x v="20"/>
    <x v="5"/>
    <x v="15"/>
  </r>
  <r>
    <x v="17"/>
    <x v="6"/>
    <x v="20"/>
    <x v="5"/>
    <x v="15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0"/>
    <x v="6"/>
    <x v="9"/>
    <x v="5"/>
    <x v="8"/>
  </r>
  <r>
    <x v="6"/>
    <x v="6"/>
    <x v="9"/>
    <x v="5"/>
    <x v="8"/>
  </r>
  <r>
    <x v="0"/>
    <x v="6"/>
    <x v="9"/>
    <x v="5"/>
    <x v="8"/>
  </r>
  <r>
    <x v="0"/>
    <x v="6"/>
    <x v="13"/>
    <x v="5"/>
    <x v="8"/>
  </r>
  <r>
    <x v="6"/>
    <x v="6"/>
    <x v="15"/>
    <x v="5"/>
    <x v="8"/>
  </r>
  <r>
    <x v="0"/>
    <x v="6"/>
    <x v="15"/>
    <x v="5"/>
    <x v="8"/>
  </r>
  <r>
    <x v="7"/>
    <x v="6"/>
    <x v="15"/>
    <x v="5"/>
    <x v="8"/>
  </r>
  <r>
    <x v="0"/>
    <x v="6"/>
    <x v="25"/>
    <x v="5"/>
    <x v="15"/>
  </r>
  <r>
    <x v="0"/>
    <x v="6"/>
    <x v="26"/>
    <x v="5"/>
    <x v="18"/>
  </r>
  <r>
    <x v="0"/>
    <x v="6"/>
    <x v="22"/>
    <x v="5"/>
    <x v="15"/>
  </r>
  <r>
    <x v="0"/>
    <x v="6"/>
    <x v="3"/>
    <x v="5"/>
    <x v="2"/>
  </r>
  <r>
    <x v="0"/>
    <x v="6"/>
    <x v="28"/>
    <x v="5"/>
    <x v="20"/>
  </r>
  <r>
    <x v="0"/>
    <x v="6"/>
    <x v="15"/>
    <x v="5"/>
    <x v="8"/>
  </r>
  <r>
    <x v="31"/>
    <x v="6"/>
    <x v="24"/>
    <x v="5"/>
    <x v="17"/>
  </r>
  <r>
    <x v="0"/>
    <x v="6"/>
    <x v="4"/>
    <x v="5"/>
    <x v="3"/>
  </r>
  <r>
    <x v="0"/>
    <x v="6"/>
    <x v="6"/>
    <x v="5"/>
    <x v="5"/>
  </r>
  <r>
    <x v="528"/>
    <x v="23"/>
    <x v="0"/>
    <x v="15"/>
    <x v="0"/>
  </r>
  <r>
    <x v="0"/>
    <x v="23"/>
    <x v="1"/>
    <x v="15"/>
    <x v="1"/>
  </r>
  <r>
    <x v="0"/>
    <x v="23"/>
    <x v="28"/>
    <x v="15"/>
    <x v="20"/>
  </r>
  <r>
    <x v="2"/>
    <x v="23"/>
    <x v="14"/>
    <x v="15"/>
    <x v="11"/>
  </r>
  <r>
    <x v="0"/>
    <x v="23"/>
    <x v="28"/>
    <x v="15"/>
    <x v="20"/>
  </r>
  <r>
    <x v="16"/>
    <x v="23"/>
    <x v="28"/>
    <x v="15"/>
    <x v="20"/>
  </r>
  <r>
    <x v="0"/>
    <x v="23"/>
    <x v="7"/>
    <x v="15"/>
    <x v="6"/>
  </r>
  <r>
    <x v="0"/>
    <x v="23"/>
    <x v="28"/>
    <x v="15"/>
    <x v="20"/>
  </r>
  <r>
    <x v="0"/>
    <x v="23"/>
    <x v="27"/>
    <x v="15"/>
    <x v="19"/>
  </r>
  <r>
    <x v="0"/>
    <x v="23"/>
    <x v="25"/>
    <x v="15"/>
    <x v="15"/>
  </r>
  <r>
    <x v="0"/>
    <x v="23"/>
    <x v="16"/>
    <x v="15"/>
    <x v="12"/>
  </r>
  <r>
    <x v="13"/>
    <x v="23"/>
    <x v="16"/>
    <x v="15"/>
    <x v="12"/>
  </r>
  <r>
    <x v="16"/>
    <x v="23"/>
    <x v="16"/>
    <x v="15"/>
    <x v="12"/>
  </r>
  <r>
    <x v="0"/>
    <x v="23"/>
    <x v="23"/>
    <x v="15"/>
    <x v="15"/>
  </r>
  <r>
    <x v="23"/>
    <x v="23"/>
    <x v="23"/>
    <x v="15"/>
    <x v="15"/>
  </r>
  <r>
    <x v="0"/>
    <x v="23"/>
    <x v="19"/>
    <x v="15"/>
    <x v="15"/>
  </r>
  <r>
    <x v="5"/>
    <x v="23"/>
    <x v="25"/>
    <x v="15"/>
    <x v="15"/>
  </r>
  <r>
    <x v="0"/>
    <x v="23"/>
    <x v="12"/>
    <x v="15"/>
    <x v="15"/>
  </r>
  <r>
    <x v="19"/>
    <x v="23"/>
    <x v="12"/>
    <x v="15"/>
    <x v="15"/>
  </r>
  <r>
    <x v="0"/>
    <x v="23"/>
    <x v="19"/>
    <x v="15"/>
    <x v="15"/>
  </r>
  <r>
    <x v="4"/>
    <x v="23"/>
    <x v="12"/>
    <x v="15"/>
    <x v="15"/>
  </r>
  <r>
    <x v="33"/>
    <x v="23"/>
    <x v="12"/>
    <x v="15"/>
    <x v="15"/>
  </r>
  <r>
    <x v="23"/>
    <x v="23"/>
    <x v="19"/>
    <x v="15"/>
    <x v="15"/>
  </r>
  <r>
    <x v="111"/>
    <x v="23"/>
    <x v="24"/>
    <x v="15"/>
    <x v="17"/>
  </r>
  <r>
    <x v="71"/>
    <x v="23"/>
    <x v="11"/>
    <x v="15"/>
    <x v="10"/>
  </r>
  <r>
    <x v="63"/>
    <x v="23"/>
    <x v="11"/>
    <x v="15"/>
    <x v="10"/>
  </r>
  <r>
    <x v="456"/>
    <x v="23"/>
    <x v="28"/>
    <x v="15"/>
    <x v="20"/>
  </r>
  <r>
    <x v="40"/>
    <x v="23"/>
    <x v="28"/>
    <x v="15"/>
    <x v="20"/>
  </r>
  <r>
    <x v="52"/>
    <x v="23"/>
    <x v="16"/>
    <x v="15"/>
    <x v="12"/>
  </r>
  <r>
    <x v="46"/>
    <x v="23"/>
    <x v="16"/>
    <x v="15"/>
    <x v="12"/>
  </r>
  <r>
    <x v="10"/>
    <x v="23"/>
    <x v="10"/>
    <x v="15"/>
    <x v="9"/>
  </r>
  <r>
    <x v="0"/>
    <x v="23"/>
    <x v="28"/>
    <x v="15"/>
    <x v="20"/>
  </r>
  <r>
    <x v="0"/>
    <x v="23"/>
    <x v="21"/>
    <x v="15"/>
    <x v="16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7"/>
    <x v="15"/>
    <x v="13"/>
  </r>
  <r>
    <x v="4"/>
    <x v="23"/>
    <x v="17"/>
    <x v="15"/>
    <x v="13"/>
  </r>
  <r>
    <x v="0"/>
    <x v="23"/>
    <x v="8"/>
    <x v="15"/>
    <x v="7"/>
  </r>
  <r>
    <x v="2"/>
    <x v="23"/>
    <x v="8"/>
    <x v="15"/>
    <x v="7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27"/>
    <x v="23"/>
    <x v="20"/>
    <x v="15"/>
    <x v="15"/>
  </r>
  <r>
    <x v="0"/>
    <x v="23"/>
    <x v="20"/>
    <x v="15"/>
    <x v="15"/>
  </r>
  <r>
    <x v="16"/>
    <x v="23"/>
    <x v="20"/>
    <x v="15"/>
    <x v="15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6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6"/>
    <x v="23"/>
    <x v="9"/>
    <x v="15"/>
    <x v="8"/>
  </r>
  <r>
    <x v="21"/>
    <x v="23"/>
    <x v="9"/>
    <x v="15"/>
    <x v="8"/>
  </r>
  <r>
    <x v="0"/>
    <x v="23"/>
    <x v="9"/>
    <x v="15"/>
    <x v="8"/>
  </r>
  <r>
    <x v="0"/>
    <x v="23"/>
    <x v="13"/>
    <x v="15"/>
    <x v="8"/>
  </r>
  <r>
    <x v="5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25"/>
    <x v="15"/>
    <x v="15"/>
  </r>
  <r>
    <x v="0"/>
    <x v="23"/>
    <x v="26"/>
    <x v="15"/>
    <x v="18"/>
  </r>
  <r>
    <x v="0"/>
    <x v="23"/>
    <x v="22"/>
    <x v="15"/>
    <x v="15"/>
  </r>
  <r>
    <x v="0"/>
    <x v="23"/>
    <x v="3"/>
    <x v="15"/>
    <x v="2"/>
  </r>
  <r>
    <x v="0"/>
    <x v="23"/>
    <x v="28"/>
    <x v="15"/>
    <x v="20"/>
  </r>
  <r>
    <x v="0"/>
    <x v="23"/>
    <x v="15"/>
    <x v="15"/>
    <x v="8"/>
  </r>
  <r>
    <x v="109"/>
    <x v="23"/>
    <x v="24"/>
    <x v="15"/>
    <x v="17"/>
  </r>
  <r>
    <x v="0"/>
    <x v="23"/>
    <x v="4"/>
    <x v="15"/>
    <x v="3"/>
  </r>
  <r>
    <x v="0"/>
    <x v="23"/>
    <x v="6"/>
    <x v="15"/>
    <x v="5"/>
  </r>
  <r>
    <x v="514"/>
    <x v="23"/>
    <x v="0"/>
    <x v="15"/>
    <x v="0"/>
  </r>
  <r>
    <x v="0"/>
    <x v="23"/>
    <x v="1"/>
    <x v="15"/>
    <x v="1"/>
  </r>
  <r>
    <x v="0"/>
    <x v="23"/>
    <x v="28"/>
    <x v="15"/>
    <x v="20"/>
  </r>
  <r>
    <x v="0"/>
    <x v="23"/>
    <x v="14"/>
    <x v="15"/>
    <x v="11"/>
  </r>
  <r>
    <x v="0"/>
    <x v="23"/>
    <x v="28"/>
    <x v="15"/>
    <x v="20"/>
  </r>
  <r>
    <x v="0"/>
    <x v="23"/>
    <x v="28"/>
    <x v="15"/>
    <x v="20"/>
  </r>
  <r>
    <x v="0"/>
    <x v="23"/>
    <x v="7"/>
    <x v="15"/>
    <x v="6"/>
  </r>
  <r>
    <x v="0"/>
    <x v="23"/>
    <x v="28"/>
    <x v="15"/>
    <x v="20"/>
  </r>
  <r>
    <x v="0"/>
    <x v="23"/>
    <x v="27"/>
    <x v="15"/>
    <x v="19"/>
  </r>
  <r>
    <x v="11"/>
    <x v="23"/>
    <x v="25"/>
    <x v="15"/>
    <x v="15"/>
  </r>
  <r>
    <x v="0"/>
    <x v="23"/>
    <x v="16"/>
    <x v="15"/>
    <x v="12"/>
  </r>
  <r>
    <x v="0"/>
    <x v="23"/>
    <x v="16"/>
    <x v="15"/>
    <x v="12"/>
  </r>
  <r>
    <x v="0"/>
    <x v="23"/>
    <x v="16"/>
    <x v="15"/>
    <x v="12"/>
  </r>
  <r>
    <x v="0"/>
    <x v="23"/>
    <x v="23"/>
    <x v="15"/>
    <x v="15"/>
  </r>
  <r>
    <x v="0"/>
    <x v="23"/>
    <x v="23"/>
    <x v="15"/>
    <x v="15"/>
  </r>
  <r>
    <x v="0"/>
    <x v="23"/>
    <x v="19"/>
    <x v="15"/>
    <x v="15"/>
  </r>
  <r>
    <x v="0"/>
    <x v="23"/>
    <x v="25"/>
    <x v="15"/>
    <x v="15"/>
  </r>
  <r>
    <x v="0"/>
    <x v="23"/>
    <x v="12"/>
    <x v="15"/>
    <x v="15"/>
  </r>
  <r>
    <x v="7"/>
    <x v="23"/>
    <x v="12"/>
    <x v="15"/>
    <x v="15"/>
  </r>
  <r>
    <x v="0"/>
    <x v="23"/>
    <x v="19"/>
    <x v="15"/>
    <x v="15"/>
  </r>
  <r>
    <x v="0"/>
    <x v="23"/>
    <x v="12"/>
    <x v="15"/>
    <x v="15"/>
  </r>
  <r>
    <x v="7"/>
    <x v="23"/>
    <x v="12"/>
    <x v="15"/>
    <x v="15"/>
  </r>
  <r>
    <x v="0"/>
    <x v="23"/>
    <x v="19"/>
    <x v="15"/>
    <x v="15"/>
  </r>
  <r>
    <x v="7"/>
    <x v="23"/>
    <x v="24"/>
    <x v="15"/>
    <x v="17"/>
  </r>
  <r>
    <x v="20"/>
    <x v="23"/>
    <x v="11"/>
    <x v="15"/>
    <x v="10"/>
  </r>
  <r>
    <x v="0"/>
    <x v="23"/>
    <x v="11"/>
    <x v="15"/>
    <x v="10"/>
  </r>
  <r>
    <x v="33"/>
    <x v="23"/>
    <x v="28"/>
    <x v="15"/>
    <x v="20"/>
  </r>
  <r>
    <x v="431"/>
    <x v="23"/>
    <x v="28"/>
    <x v="15"/>
    <x v="20"/>
  </r>
  <r>
    <x v="0"/>
    <x v="23"/>
    <x v="16"/>
    <x v="15"/>
    <x v="12"/>
  </r>
  <r>
    <x v="0"/>
    <x v="23"/>
    <x v="16"/>
    <x v="15"/>
    <x v="12"/>
  </r>
  <r>
    <x v="84"/>
    <x v="23"/>
    <x v="10"/>
    <x v="15"/>
    <x v="9"/>
  </r>
  <r>
    <x v="12"/>
    <x v="23"/>
    <x v="28"/>
    <x v="15"/>
    <x v="20"/>
  </r>
  <r>
    <x v="6"/>
    <x v="23"/>
    <x v="21"/>
    <x v="15"/>
    <x v="16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40"/>
    <x v="23"/>
    <x v="17"/>
    <x v="15"/>
    <x v="13"/>
  </r>
  <r>
    <x v="61"/>
    <x v="23"/>
    <x v="17"/>
    <x v="15"/>
    <x v="13"/>
  </r>
  <r>
    <x v="236"/>
    <x v="23"/>
    <x v="8"/>
    <x v="15"/>
    <x v="7"/>
  </r>
  <r>
    <x v="175"/>
    <x v="23"/>
    <x v="8"/>
    <x v="15"/>
    <x v="7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162"/>
    <x v="23"/>
    <x v="20"/>
    <x v="15"/>
    <x v="15"/>
  </r>
  <r>
    <x v="27"/>
    <x v="23"/>
    <x v="20"/>
    <x v="15"/>
    <x v="15"/>
  </r>
  <r>
    <x v="92"/>
    <x v="23"/>
    <x v="20"/>
    <x v="15"/>
    <x v="15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7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13"/>
    <x v="15"/>
    <x v="8"/>
  </r>
  <r>
    <x v="0"/>
    <x v="23"/>
    <x v="15"/>
    <x v="15"/>
    <x v="8"/>
  </r>
  <r>
    <x v="0"/>
    <x v="23"/>
    <x v="15"/>
    <x v="15"/>
    <x v="8"/>
  </r>
  <r>
    <x v="0"/>
    <x v="23"/>
    <x v="15"/>
    <x v="15"/>
    <x v="8"/>
  </r>
  <r>
    <x v="7"/>
    <x v="23"/>
    <x v="25"/>
    <x v="15"/>
    <x v="15"/>
  </r>
  <r>
    <x v="10"/>
    <x v="23"/>
    <x v="26"/>
    <x v="15"/>
    <x v="18"/>
  </r>
  <r>
    <x v="27"/>
    <x v="23"/>
    <x v="22"/>
    <x v="15"/>
    <x v="15"/>
  </r>
  <r>
    <x v="1"/>
    <x v="23"/>
    <x v="28"/>
    <x v="15"/>
    <x v="20"/>
  </r>
  <r>
    <x v="11"/>
    <x v="23"/>
    <x v="3"/>
    <x v="15"/>
    <x v="2"/>
  </r>
  <r>
    <x v="0"/>
    <x v="23"/>
    <x v="28"/>
    <x v="15"/>
    <x v="20"/>
  </r>
  <r>
    <x v="0"/>
    <x v="23"/>
    <x v="15"/>
    <x v="15"/>
    <x v="8"/>
  </r>
  <r>
    <x v="0"/>
    <x v="23"/>
    <x v="24"/>
    <x v="15"/>
    <x v="17"/>
  </r>
  <r>
    <x v="0"/>
    <x v="23"/>
    <x v="4"/>
    <x v="15"/>
    <x v="3"/>
  </r>
  <r>
    <x v="0"/>
    <x v="23"/>
    <x v="6"/>
    <x v="15"/>
    <x v="5"/>
  </r>
  <r>
    <x v="564"/>
    <x v="11"/>
    <x v="0"/>
    <x v="7"/>
    <x v="0"/>
  </r>
  <r>
    <x v="0"/>
    <x v="11"/>
    <x v="1"/>
    <x v="7"/>
    <x v="1"/>
  </r>
  <r>
    <x v="15"/>
    <x v="11"/>
    <x v="28"/>
    <x v="7"/>
    <x v="20"/>
  </r>
  <r>
    <x v="9"/>
    <x v="11"/>
    <x v="14"/>
    <x v="7"/>
    <x v="11"/>
  </r>
  <r>
    <x v="0"/>
    <x v="11"/>
    <x v="28"/>
    <x v="7"/>
    <x v="20"/>
  </r>
  <r>
    <x v="7"/>
    <x v="11"/>
    <x v="28"/>
    <x v="7"/>
    <x v="20"/>
  </r>
  <r>
    <x v="0"/>
    <x v="11"/>
    <x v="7"/>
    <x v="7"/>
    <x v="6"/>
  </r>
  <r>
    <x v="9"/>
    <x v="11"/>
    <x v="28"/>
    <x v="7"/>
    <x v="20"/>
  </r>
  <r>
    <x v="7"/>
    <x v="11"/>
    <x v="27"/>
    <x v="7"/>
    <x v="19"/>
  </r>
  <r>
    <x v="0"/>
    <x v="11"/>
    <x v="25"/>
    <x v="7"/>
    <x v="15"/>
  </r>
  <r>
    <x v="285"/>
    <x v="11"/>
    <x v="16"/>
    <x v="7"/>
    <x v="12"/>
  </r>
  <r>
    <x v="101"/>
    <x v="11"/>
    <x v="16"/>
    <x v="7"/>
    <x v="12"/>
  </r>
  <r>
    <x v="22"/>
    <x v="11"/>
    <x v="16"/>
    <x v="7"/>
    <x v="12"/>
  </r>
  <r>
    <x v="0"/>
    <x v="11"/>
    <x v="23"/>
    <x v="7"/>
    <x v="15"/>
  </r>
  <r>
    <x v="0"/>
    <x v="11"/>
    <x v="23"/>
    <x v="7"/>
    <x v="15"/>
  </r>
  <r>
    <x v="10"/>
    <x v="11"/>
    <x v="19"/>
    <x v="7"/>
    <x v="15"/>
  </r>
  <r>
    <x v="56"/>
    <x v="11"/>
    <x v="25"/>
    <x v="7"/>
    <x v="15"/>
  </r>
  <r>
    <x v="7"/>
    <x v="11"/>
    <x v="12"/>
    <x v="7"/>
    <x v="15"/>
  </r>
  <r>
    <x v="14"/>
    <x v="11"/>
    <x v="12"/>
    <x v="7"/>
    <x v="15"/>
  </r>
  <r>
    <x v="46"/>
    <x v="11"/>
    <x v="19"/>
    <x v="7"/>
    <x v="15"/>
  </r>
  <r>
    <x v="0"/>
    <x v="11"/>
    <x v="12"/>
    <x v="7"/>
    <x v="15"/>
  </r>
  <r>
    <x v="18"/>
    <x v="11"/>
    <x v="12"/>
    <x v="7"/>
    <x v="15"/>
  </r>
  <r>
    <x v="10"/>
    <x v="11"/>
    <x v="19"/>
    <x v="7"/>
    <x v="15"/>
  </r>
  <r>
    <x v="77"/>
    <x v="11"/>
    <x v="24"/>
    <x v="7"/>
    <x v="17"/>
  </r>
  <r>
    <x v="0"/>
    <x v="11"/>
    <x v="11"/>
    <x v="7"/>
    <x v="10"/>
  </r>
  <r>
    <x v="0"/>
    <x v="11"/>
    <x v="11"/>
    <x v="7"/>
    <x v="10"/>
  </r>
  <r>
    <x v="31"/>
    <x v="11"/>
    <x v="28"/>
    <x v="7"/>
    <x v="20"/>
  </r>
  <r>
    <x v="0"/>
    <x v="11"/>
    <x v="28"/>
    <x v="7"/>
    <x v="20"/>
  </r>
  <r>
    <x v="535"/>
    <x v="11"/>
    <x v="16"/>
    <x v="7"/>
    <x v="12"/>
  </r>
  <r>
    <x v="430"/>
    <x v="11"/>
    <x v="16"/>
    <x v="7"/>
    <x v="12"/>
  </r>
  <r>
    <x v="0"/>
    <x v="11"/>
    <x v="10"/>
    <x v="7"/>
    <x v="9"/>
  </r>
  <r>
    <x v="0"/>
    <x v="11"/>
    <x v="28"/>
    <x v="7"/>
    <x v="20"/>
  </r>
  <r>
    <x v="0"/>
    <x v="11"/>
    <x v="21"/>
    <x v="7"/>
    <x v="16"/>
  </r>
  <r>
    <x v="0"/>
    <x v="11"/>
    <x v="18"/>
    <x v="7"/>
    <x v="14"/>
  </r>
  <r>
    <x v="0"/>
    <x v="11"/>
    <x v="18"/>
    <x v="7"/>
    <x v="14"/>
  </r>
  <r>
    <x v="0"/>
    <x v="11"/>
    <x v="18"/>
    <x v="7"/>
    <x v="14"/>
  </r>
  <r>
    <x v="17"/>
    <x v="11"/>
    <x v="18"/>
    <x v="7"/>
    <x v="14"/>
  </r>
  <r>
    <x v="0"/>
    <x v="11"/>
    <x v="17"/>
    <x v="7"/>
    <x v="13"/>
  </r>
  <r>
    <x v="0"/>
    <x v="11"/>
    <x v="17"/>
    <x v="7"/>
    <x v="13"/>
  </r>
  <r>
    <x v="0"/>
    <x v="11"/>
    <x v="8"/>
    <x v="7"/>
    <x v="7"/>
  </r>
  <r>
    <x v="0"/>
    <x v="11"/>
    <x v="8"/>
    <x v="7"/>
    <x v="7"/>
  </r>
  <r>
    <x v="0"/>
    <x v="11"/>
    <x v="2"/>
    <x v="7"/>
    <x v="8"/>
  </r>
  <r>
    <x v="9"/>
    <x v="11"/>
    <x v="2"/>
    <x v="7"/>
    <x v="8"/>
  </r>
  <r>
    <x v="0"/>
    <x v="11"/>
    <x v="2"/>
    <x v="7"/>
    <x v="8"/>
  </r>
  <r>
    <x v="0"/>
    <x v="11"/>
    <x v="2"/>
    <x v="7"/>
    <x v="8"/>
  </r>
  <r>
    <x v="10"/>
    <x v="11"/>
    <x v="20"/>
    <x v="7"/>
    <x v="15"/>
  </r>
  <r>
    <x v="24"/>
    <x v="11"/>
    <x v="20"/>
    <x v="7"/>
    <x v="15"/>
  </r>
  <r>
    <x v="9"/>
    <x v="11"/>
    <x v="20"/>
    <x v="7"/>
    <x v="15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5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8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13"/>
    <x v="7"/>
    <x v="8"/>
  </r>
  <r>
    <x v="0"/>
    <x v="11"/>
    <x v="15"/>
    <x v="7"/>
    <x v="8"/>
  </r>
  <r>
    <x v="0"/>
    <x v="11"/>
    <x v="15"/>
    <x v="7"/>
    <x v="8"/>
  </r>
  <r>
    <x v="0"/>
    <x v="11"/>
    <x v="15"/>
    <x v="7"/>
    <x v="8"/>
  </r>
  <r>
    <x v="18"/>
    <x v="11"/>
    <x v="25"/>
    <x v="7"/>
    <x v="15"/>
  </r>
  <r>
    <x v="0"/>
    <x v="11"/>
    <x v="26"/>
    <x v="7"/>
    <x v="18"/>
  </r>
  <r>
    <x v="0"/>
    <x v="11"/>
    <x v="22"/>
    <x v="7"/>
    <x v="15"/>
  </r>
  <r>
    <x v="0"/>
    <x v="11"/>
    <x v="28"/>
    <x v="7"/>
    <x v="20"/>
  </r>
  <r>
    <x v="0"/>
    <x v="11"/>
    <x v="3"/>
    <x v="7"/>
    <x v="2"/>
  </r>
  <r>
    <x v="0"/>
    <x v="11"/>
    <x v="28"/>
    <x v="7"/>
    <x v="20"/>
  </r>
  <r>
    <x v="0"/>
    <x v="11"/>
    <x v="15"/>
    <x v="7"/>
    <x v="8"/>
  </r>
  <r>
    <x v="36"/>
    <x v="11"/>
    <x v="24"/>
    <x v="7"/>
    <x v="17"/>
  </r>
  <r>
    <x v="0"/>
    <x v="11"/>
    <x v="4"/>
    <x v="7"/>
    <x v="3"/>
  </r>
  <r>
    <x v="0"/>
    <x v="11"/>
    <x v="6"/>
    <x v="7"/>
    <x v="5"/>
  </r>
  <r>
    <x v="578"/>
    <x v="11"/>
    <x v="0"/>
    <x v="7"/>
    <x v="0"/>
  </r>
  <r>
    <x v="30"/>
    <x v="11"/>
    <x v="1"/>
    <x v="7"/>
    <x v="1"/>
  </r>
  <r>
    <x v="22"/>
    <x v="11"/>
    <x v="28"/>
    <x v="7"/>
    <x v="20"/>
  </r>
  <r>
    <x v="0"/>
    <x v="11"/>
    <x v="14"/>
    <x v="7"/>
    <x v="11"/>
  </r>
  <r>
    <x v="8"/>
    <x v="11"/>
    <x v="28"/>
    <x v="7"/>
    <x v="20"/>
  </r>
  <r>
    <x v="15"/>
    <x v="11"/>
    <x v="28"/>
    <x v="7"/>
    <x v="20"/>
  </r>
  <r>
    <x v="13"/>
    <x v="11"/>
    <x v="7"/>
    <x v="7"/>
    <x v="6"/>
  </r>
  <r>
    <x v="22"/>
    <x v="11"/>
    <x v="28"/>
    <x v="7"/>
    <x v="20"/>
  </r>
  <r>
    <x v="26"/>
    <x v="11"/>
    <x v="27"/>
    <x v="7"/>
    <x v="19"/>
  </r>
  <r>
    <x v="18"/>
    <x v="11"/>
    <x v="25"/>
    <x v="7"/>
    <x v="15"/>
  </r>
  <r>
    <x v="297"/>
    <x v="11"/>
    <x v="16"/>
    <x v="7"/>
    <x v="12"/>
  </r>
  <r>
    <x v="347"/>
    <x v="11"/>
    <x v="16"/>
    <x v="7"/>
    <x v="12"/>
  </r>
  <r>
    <x v="152"/>
    <x v="11"/>
    <x v="16"/>
    <x v="7"/>
    <x v="12"/>
  </r>
  <r>
    <x v="0"/>
    <x v="11"/>
    <x v="23"/>
    <x v="7"/>
    <x v="15"/>
  </r>
  <r>
    <x v="0"/>
    <x v="11"/>
    <x v="23"/>
    <x v="7"/>
    <x v="15"/>
  </r>
  <r>
    <x v="14"/>
    <x v="11"/>
    <x v="19"/>
    <x v="7"/>
    <x v="15"/>
  </r>
  <r>
    <x v="89"/>
    <x v="11"/>
    <x v="25"/>
    <x v="7"/>
    <x v="15"/>
  </r>
  <r>
    <x v="19"/>
    <x v="11"/>
    <x v="12"/>
    <x v="7"/>
    <x v="15"/>
  </r>
  <r>
    <x v="74"/>
    <x v="11"/>
    <x v="12"/>
    <x v="7"/>
    <x v="15"/>
  </r>
  <r>
    <x v="67"/>
    <x v="11"/>
    <x v="19"/>
    <x v="7"/>
    <x v="15"/>
  </r>
  <r>
    <x v="0"/>
    <x v="11"/>
    <x v="12"/>
    <x v="7"/>
    <x v="15"/>
  </r>
  <r>
    <x v="106"/>
    <x v="11"/>
    <x v="12"/>
    <x v="7"/>
    <x v="15"/>
  </r>
  <r>
    <x v="27"/>
    <x v="11"/>
    <x v="19"/>
    <x v="7"/>
    <x v="15"/>
  </r>
  <r>
    <x v="180"/>
    <x v="11"/>
    <x v="24"/>
    <x v="7"/>
    <x v="17"/>
  </r>
  <r>
    <x v="14"/>
    <x v="11"/>
    <x v="11"/>
    <x v="7"/>
    <x v="10"/>
  </r>
  <r>
    <x v="0"/>
    <x v="11"/>
    <x v="11"/>
    <x v="7"/>
    <x v="10"/>
  </r>
  <r>
    <x v="26"/>
    <x v="11"/>
    <x v="28"/>
    <x v="7"/>
    <x v="20"/>
  </r>
  <r>
    <x v="0"/>
    <x v="11"/>
    <x v="28"/>
    <x v="7"/>
    <x v="20"/>
  </r>
  <r>
    <x v="538"/>
    <x v="11"/>
    <x v="16"/>
    <x v="7"/>
    <x v="12"/>
  </r>
  <r>
    <x v="553"/>
    <x v="11"/>
    <x v="16"/>
    <x v="7"/>
    <x v="12"/>
  </r>
  <r>
    <x v="0"/>
    <x v="11"/>
    <x v="10"/>
    <x v="7"/>
    <x v="9"/>
  </r>
  <r>
    <x v="0"/>
    <x v="11"/>
    <x v="28"/>
    <x v="7"/>
    <x v="20"/>
  </r>
  <r>
    <x v="0"/>
    <x v="11"/>
    <x v="21"/>
    <x v="7"/>
    <x v="16"/>
  </r>
  <r>
    <x v="29"/>
    <x v="11"/>
    <x v="18"/>
    <x v="7"/>
    <x v="14"/>
  </r>
  <r>
    <x v="0"/>
    <x v="11"/>
    <x v="18"/>
    <x v="7"/>
    <x v="14"/>
  </r>
  <r>
    <x v="0"/>
    <x v="11"/>
    <x v="18"/>
    <x v="7"/>
    <x v="14"/>
  </r>
  <r>
    <x v="7"/>
    <x v="11"/>
    <x v="18"/>
    <x v="7"/>
    <x v="14"/>
  </r>
  <r>
    <x v="0"/>
    <x v="11"/>
    <x v="17"/>
    <x v="7"/>
    <x v="13"/>
  </r>
  <r>
    <x v="17"/>
    <x v="11"/>
    <x v="17"/>
    <x v="7"/>
    <x v="13"/>
  </r>
  <r>
    <x v="0"/>
    <x v="11"/>
    <x v="8"/>
    <x v="7"/>
    <x v="7"/>
  </r>
  <r>
    <x v="9"/>
    <x v="11"/>
    <x v="8"/>
    <x v="7"/>
    <x v="7"/>
  </r>
  <r>
    <x v="4"/>
    <x v="11"/>
    <x v="2"/>
    <x v="7"/>
    <x v="8"/>
  </r>
  <r>
    <x v="0"/>
    <x v="11"/>
    <x v="2"/>
    <x v="7"/>
    <x v="8"/>
  </r>
  <r>
    <x v="0"/>
    <x v="11"/>
    <x v="2"/>
    <x v="7"/>
    <x v="8"/>
  </r>
  <r>
    <x v="0"/>
    <x v="11"/>
    <x v="2"/>
    <x v="7"/>
    <x v="8"/>
  </r>
  <r>
    <x v="7"/>
    <x v="11"/>
    <x v="20"/>
    <x v="7"/>
    <x v="15"/>
  </r>
  <r>
    <x v="37"/>
    <x v="11"/>
    <x v="20"/>
    <x v="7"/>
    <x v="15"/>
  </r>
  <r>
    <x v="7"/>
    <x v="11"/>
    <x v="20"/>
    <x v="7"/>
    <x v="15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0"/>
    <x v="11"/>
    <x v="9"/>
    <x v="7"/>
    <x v="8"/>
  </r>
  <r>
    <x v="14"/>
    <x v="11"/>
    <x v="9"/>
    <x v="7"/>
    <x v="8"/>
  </r>
  <r>
    <x v="0"/>
    <x v="11"/>
    <x v="9"/>
    <x v="7"/>
    <x v="8"/>
  </r>
  <r>
    <x v="0"/>
    <x v="11"/>
    <x v="13"/>
    <x v="7"/>
    <x v="8"/>
  </r>
  <r>
    <x v="0"/>
    <x v="11"/>
    <x v="15"/>
    <x v="7"/>
    <x v="8"/>
  </r>
  <r>
    <x v="0"/>
    <x v="11"/>
    <x v="15"/>
    <x v="7"/>
    <x v="8"/>
  </r>
  <r>
    <x v="0"/>
    <x v="11"/>
    <x v="15"/>
    <x v="7"/>
    <x v="8"/>
  </r>
  <r>
    <x v="14"/>
    <x v="11"/>
    <x v="25"/>
    <x v="7"/>
    <x v="15"/>
  </r>
  <r>
    <x v="0"/>
    <x v="11"/>
    <x v="26"/>
    <x v="7"/>
    <x v="18"/>
  </r>
  <r>
    <x v="0"/>
    <x v="11"/>
    <x v="22"/>
    <x v="7"/>
    <x v="15"/>
  </r>
  <r>
    <x v="0"/>
    <x v="11"/>
    <x v="28"/>
    <x v="7"/>
    <x v="20"/>
  </r>
  <r>
    <x v="0"/>
    <x v="11"/>
    <x v="3"/>
    <x v="7"/>
    <x v="2"/>
  </r>
  <r>
    <x v="4"/>
    <x v="11"/>
    <x v="28"/>
    <x v="7"/>
    <x v="20"/>
  </r>
  <r>
    <x v="10"/>
    <x v="11"/>
    <x v="15"/>
    <x v="7"/>
    <x v="8"/>
  </r>
  <r>
    <x v="136"/>
    <x v="11"/>
    <x v="24"/>
    <x v="7"/>
    <x v="17"/>
  </r>
  <r>
    <x v="0"/>
    <x v="11"/>
    <x v="4"/>
    <x v="7"/>
    <x v="3"/>
  </r>
  <r>
    <x v="10"/>
    <x v="11"/>
    <x v="6"/>
    <x v="7"/>
    <x v="5"/>
  </r>
  <r>
    <x v="536"/>
    <x v="5"/>
    <x v="0"/>
    <x v="4"/>
    <x v="0"/>
  </r>
  <r>
    <x v="0"/>
    <x v="5"/>
    <x v="1"/>
    <x v="4"/>
    <x v="1"/>
  </r>
  <r>
    <x v="0"/>
    <x v="5"/>
    <x v="28"/>
    <x v="4"/>
    <x v="20"/>
  </r>
  <r>
    <x v="0"/>
    <x v="5"/>
    <x v="14"/>
    <x v="4"/>
    <x v="11"/>
  </r>
  <r>
    <x v="0"/>
    <x v="5"/>
    <x v="28"/>
    <x v="4"/>
    <x v="20"/>
  </r>
  <r>
    <x v="0"/>
    <x v="5"/>
    <x v="28"/>
    <x v="4"/>
    <x v="20"/>
  </r>
  <r>
    <x v="0"/>
    <x v="5"/>
    <x v="7"/>
    <x v="4"/>
    <x v="6"/>
  </r>
  <r>
    <x v="0"/>
    <x v="5"/>
    <x v="28"/>
    <x v="4"/>
    <x v="20"/>
  </r>
  <r>
    <x v="0"/>
    <x v="5"/>
    <x v="27"/>
    <x v="4"/>
    <x v="19"/>
  </r>
  <r>
    <x v="0"/>
    <x v="5"/>
    <x v="25"/>
    <x v="4"/>
    <x v="15"/>
  </r>
  <r>
    <x v="0"/>
    <x v="5"/>
    <x v="16"/>
    <x v="4"/>
    <x v="12"/>
  </r>
  <r>
    <x v="0"/>
    <x v="5"/>
    <x v="16"/>
    <x v="4"/>
    <x v="12"/>
  </r>
  <r>
    <x v="0"/>
    <x v="5"/>
    <x v="16"/>
    <x v="4"/>
    <x v="12"/>
  </r>
  <r>
    <x v="0"/>
    <x v="5"/>
    <x v="23"/>
    <x v="4"/>
    <x v="15"/>
  </r>
  <r>
    <x v="0"/>
    <x v="5"/>
    <x v="23"/>
    <x v="4"/>
    <x v="15"/>
  </r>
  <r>
    <x v="0"/>
    <x v="5"/>
    <x v="19"/>
    <x v="4"/>
    <x v="15"/>
  </r>
  <r>
    <x v="0"/>
    <x v="5"/>
    <x v="25"/>
    <x v="4"/>
    <x v="15"/>
  </r>
  <r>
    <x v="0"/>
    <x v="5"/>
    <x v="12"/>
    <x v="4"/>
    <x v="15"/>
  </r>
  <r>
    <x v="0"/>
    <x v="5"/>
    <x v="12"/>
    <x v="4"/>
    <x v="15"/>
  </r>
  <r>
    <x v="14"/>
    <x v="5"/>
    <x v="19"/>
    <x v="4"/>
    <x v="15"/>
  </r>
  <r>
    <x v="0"/>
    <x v="5"/>
    <x v="12"/>
    <x v="4"/>
    <x v="15"/>
  </r>
  <r>
    <x v="4"/>
    <x v="5"/>
    <x v="12"/>
    <x v="4"/>
    <x v="15"/>
  </r>
  <r>
    <x v="0"/>
    <x v="5"/>
    <x v="19"/>
    <x v="4"/>
    <x v="15"/>
  </r>
  <r>
    <x v="9"/>
    <x v="5"/>
    <x v="24"/>
    <x v="4"/>
    <x v="17"/>
  </r>
  <r>
    <x v="80"/>
    <x v="5"/>
    <x v="11"/>
    <x v="4"/>
    <x v="10"/>
  </r>
  <r>
    <x v="219"/>
    <x v="5"/>
    <x v="11"/>
    <x v="4"/>
    <x v="10"/>
  </r>
  <r>
    <x v="0"/>
    <x v="5"/>
    <x v="28"/>
    <x v="4"/>
    <x v="20"/>
  </r>
  <r>
    <x v="94"/>
    <x v="5"/>
    <x v="28"/>
    <x v="4"/>
    <x v="20"/>
  </r>
  <r>
    <x v="0"/>
    <x v="5"/>
    <x v="16"/>
    <x v="4"/>
    <x v="12"/>
  </r>
  <r>
    <x v="0"/>
    <x v="5"/>
    <x v="16"/>
    <x v="4"/>
    <x v="12"/>
  </r>
  <r>
    <x v="479"/>
    <x v="5"/>
    <x v="10"/>
    <x v="4"/>
    <x v="9"/>
  </r>
  <r>
    <x v="15"/>
    <x v="5"/>
    <x v="28"/>
    <x v="4"/>
    <x v="20"/>
  </r>
  <r>
    <x v="0"/>
    <x v="5"/>
    <x v="21"/>
    <x v="4"/>
    <x v="16"/>
  </r>
  <r>
    <x v="0"/>
    <x v="5"/>
    <x v="18"/>
    <x v="4"/>
    <x v="14"/>
  </r>
  <r>
    <x v="0"/>
    <x v="5"/>
    <x v="18"/>
    <x v="4"/>
    <x v="14"/>
  </r>
  <r>
    <x v="0"/>
    <x v="5"/>
    <x v="18"/>
    <x v="4"/>
    <x v="14"/>
  </r>
  <r>
    <x v="0"/>
    <x v="5"/>
    <x v="18"/>
    <x v="4"/>
    <x v="14"/>
  </r>
  <r>
    <x v="0"/>
    <x v="5"/>
    <x v="17"/>
    <x v="4"/>
    <x v="13"/>
  </r>
  <r>
    <x v="0"/>
    <x v="5"/>
    <x v="17"/>
    <x v="4"/>
    <x v="13"/>
  </r>
  <r>
    <x v="22"/>
    <x v="5"/>
    <x v="8"/>
    <x v="4"/>
    <x v="7"/>
  </r>
  <r>
    <x v="22"/>
    <x v="5"/>
    <x v="8"/>
    <x v="4"/>
    <x v="7"/>
  </r>
  <r>
    <x v="0"/>
    <x v="5"/>
    <x v="2"/>
    <x v="4"/>
    <x v="8"/>
  </r>
  <r>
    <x v="0"/>
    <x v="5"/>
    <x v="2"/>
    <x v="4"/>
    <x v="8"/>
  </r>
  <r>
    <x v="0"/>
    <x v="5"/>
    <x v="2"/>
    <x v="4"/>
    <x v="8"/>
  </r>
  <r>
    <x v="0"/>
    <x v="5"/>
    <x v="2"/>
    <x v="4"/>
    <x v="8"/>
  </r>
  <r>
    <x v="43"/>
    <x v="5"/>
    <x v="20"/>
    <x v="4"/>
    <x v="15"/>
  </r>
  <r>
    <x v="0"/>
    <x v="5"/>
    <x v="20"/>
    <x v="4"/>
    <x v="15"/>
  </r>
  <r>
    <x v="30"/>
    <x v="5"/>
    <x v="20"/>
    <x v="4"/>
    <x v="15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9"/>
    <x v="4"/>
    <x v="8"/>
  </r>
  <r>
    <x v="0"/>
    <x v="5"/>
    <x v="13"/>
    <x v="4"/>
    <x v="8"/>
  </r>
  <r>
    <x v="0"/>
    <x v="5"/>
    <x v="15"/>
    <x v="4"/>
    <x v="8"/>
  </r>
  <r>
    <x v="0"/>
    <x v="5"/>
    <x v="15"/>
    <x v="4"/>
    <x v="8"/>
  </r>
  <r>
    <x v="0"/>
    <x v="5"/>
    <x v="15"/>
    <x v="4"/>
    <x v="8"/>
  </r>
  <r>
    <x v="0"/>
    <x v="5"/>
    <x v="25"/>
    <x v="4"/>
    <x v="15"/>
  </r>
  <r>
    <x v="0"/>
    <x v="5"/>
    <x v="26"/>
    <x v="4"/>
    <x v="18"/>
  </r>
  <r>
    <x v="0"/>
    <x v="5"/>
    <x v="22"/>
    <x v="4"/>
    <x v="15"/>
  </r>
  <r>
    <x v="0"/>
    <x v="5"/>
    <x v="28"/>
    <x v="4"/>
    <x v="20"/>
  </r>
  <r>
    <x v="0"/>
    <x v="5"/>
    <x v="3"/>
    <x v="4"/>
    <x v="2"/>
  </r>
  <r>
    <x v="0"/>
    <x v="5"/>
    <x v="28"/>
    <x v="4"/>
    <x v="20"/>
  </r>
  <r>
    <x v="0"/>
    <x v="5"/>
    <x v="15"/>
    <x v="4"/>
    <x v="8"/>
  </r>
  <r>
    <x v="0"/>
    <x v="5"/>
    <x v="24"/>
    <x v="4"/>
    <x v="17"/>
  </r>
  <r>
    <x v="0"/>
    <x v="5"/>
    <x v="4"/>
    <x v="4"/>
    <x v="3"/>
  </r>
  <r>
    <x v="0"/>
    <x v="5"/>
    <x v="6"/>
    <x v="4"/>
    <x v="5"/>
  </r>
  <r>
    <x v="486"/>
    <x v="23"/>
    <x v="0"/>
    <x v="15"/>
    <x v="0"/>
  </r>
  <r>
    <x v="0"/>
    <x v="23"/>
    <x v="1"/>
    <x v="15"/>
    <x v="1"/>
  </r>
  <r>
    <x v="0"/>
    <x v="23"/>
    <x v="28"/>
    <x v="15"/>
    <x v="20"/>
  </r>
  <r>
    <x v="0"/>
    <x v="23"/>
    <x v="14"/>
    <x v="15"/>
    <x v="11"/>
  </r>
  <r>
    <x v="0"/>
    <x v="23"/>
    <x v="28"/>
    <x v="15"/>
    <x v="20"/>
  </r>
  <r>
    <x v="0"/>
    <x v="23"/>
    <x v="28"/>
    <x v="15"/>
    <x v="20"/>
  </r>
  <r>
    <x v="0"/>
    <x v="23"/>
    <x v="7"/>
    <x v="15"/>
    <x v="6"/>
  </r>
  <r>
    <x v="0"/>
    <x v="23"/>
    <x v="28"/>
    <x v="15"/>
    <x v="20"/>
  </r>
  <r>
    <x v="0"/>
    <x v="23"/>
    <x v="27"/>
    <x v="15"/>
    <x v="19"/>
  </r>
  <r>
    <x v="0"/>
    <x v="23"/>
    <x v="25"/>
    <x v="15"/>
    <x v="15"/>
  </r>
  <r>
    <x v="0"/>
    <x v="23"/>
    <x v="16"/>
    <x v="15"/>
    <x v="12"/>
  </r>
  <r>
    <x v="0"/>
    <x v="23"/>
    <x v="16"/>
    <x v="15"/>
    <x v="12"/>
  </r>
  <r>
    <x v="0"/>
    <x v="23"/>
    <x v="16"/>
    <x v="15"/>
    <x v="12"/>
  </r>
  <r>
    <x v="0"/>
    <x v="23"/>
    <x v="23"/>
    <x v="15"/>
    <x v="15"/>
  </r>
  <r>
    <x v="0"/>
    <x v="23"/>
    <x v="23"/>
    <x v="15"/>
    <x v="15"/>
  </r>
  <r>
    <x v="0"/>
    <x v="23"/>
    <x v="19"/>
    <x v="15"/>
    <x v="15"/>
  </r>
  <r>
    <x v="0"/>
    <x v="23"/>
    <x v="25"/>
    <x v="15"/>
    <x v="15"/>
  </r>
  <r>
    <x v="0"/>
    <x v="23"/>
    <x v="12"/>
    <x v="15"/>
    <x v="15"/>
  </r>
  <r>
    <x v="0"/>
    <x v="23"/>
    <x v="12"/>
    <x v="15"/>
    <x v="15"/>
  </r>
  <r>
    <x v="0"/>
    <x v="23"/>
    <x v="19"/>
    <x v="15"/>
    <x v="15"/>
  </r>
  <r>
    <x v="0"/>
    <x v="23"/>
    <x v="12"/>
    <x v="15"/>
    <x v="15"/>
  </r>
  <r>
    <x v="13"/>
    <x v="23"/>
    <x v="12"/>
    <x v="15"/>
    <x v="15"/>
  </r>
  <r>
    <x v="0"/>
    <x v="23"/>
    <x v="19"/>
    <x v="15"/>
    <x v="15"/>
  </r>
  <r>
    <x v="0"/>
    <x v="23"/>
    <x v="24"/>
    <x v="15"/>
    <x v="17"/>
  </r>
  <r>
    <x v="0"/>
    <x v="23"/>
    <x v="11"/>
    <x v="15"/>
    <x v="10"/>
  </r>
  <r>
    <x v="0"/>
    <x v="23"/>
    <x v="11"/>
    <x v="15"/>
    <x v="10"/>
  </r>
  <r>
    <x v="0"/>
    <x v="23"/>
    <x v="28"/>
    <x v="15"/>
    <x v="20"/>
  </r>
  <r>
    <x v="0"/>
    <x v="23"/>
    <x v="28"/>
    <x v="15"/>
    <x v="20"/>
  </r>
  <r>
    <x v="0"/>
    <x v="23"/>
    <x v="16"/>
    <x v="15"/>
    <x v="12"/>
  </r>
  <r>
    <x v="0"/>
    <x v="23"/>
    <x v="16"/>
    <x v="15"/>
    <x v="12"/>
  </r>
  <r>
    <x v="0"/>
    <x v="23"/>
    <x v="10"/>
    <x v="15"/>
    <x v="9"/>
  </r>
  <r>
    <x v="419"/>
    <x v="23"/>
    <x v="28"/>
    <x v="15"/>
    <x v="20"/>
  </r>
  <r>
    <x v="9"/>
    <x v="23"/>
    <x v="21"/>
    <x v="15"/>
    <x v="16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7"/>
    <x v="15"/>
    <x v="13"/>
  </r>
  <r>
    <x v="0"/>
    <x v="23"/>
    <x v="17"/>
    <x v="15"/>
    <x v="13"/>
  </r>
  <r>
    <x v="66"/>
    <x v="23"/>
    <x v="8"/>
    <x v="15"/>
    <x v="7"/>
  </r>
  <r>
    <x v="119"/>
    <x v="23"/>
    <x v="8"/>
    <x v="15"/>
    <x v="7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8"/>
    <x v="23"/>
    <x v="20"/>
    <x v="15"/>
    <x v="15"/>
  </r>
  <r>
    <x v="0"/>
    <x v="23"/>
    <x v="20"/>
    <x v="15"/>
    <x v="15"/>
  </r>
  <r>
    <x v="0"/>
    <x v="23"/>
    <x v="20"/>
    <x v="15"/>
    <x v="15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7"/>
    <x v="23"/>
    <x v="9"/>
    <x v="15"/>
    <x v="8"/>
  </r>
  <r>
    <x v="0"/>
    <x v="23"/>
    <x v="9"/>
    <x v="15"/>
    <x v="8"/>
  </r>
  <r>
    <x v="0"/>
    <x v="23"/>
    <x v="13"/>
    <x v="15"/>
    <x v="8"/>
  </r>
  <r>
    <x v="0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25"/>
    <x v="15"/>
    <x v="15"/>
  </r>
  <r>
    <x v="104"/>
    <x v="23"/>
    <x v="26"/>
    <x v="15"/>
    <x v="18"/>
  </r>
  <r>
    <x v="0"/>
    <x v="23"/>
    <x v="22"/>
    <x v="15"/>
    <x v="15"/>
  </r>
  <r>
    <x v="0"/>
    <x v="23"/>
    <x v="28"/>
    <x v="15"/>
    <x v="20"/>
  </r>
  <r>
    <x v="19"/>
    <x v="23"/>
    <x v="3"/>
    <x v="15"/>
    <x v="2"/>
  </r>
  <r>
    <x v="39"/>
    <x v="23"/>
    <x v="28"/>
    <x v="15"/>
    <x v="20"/>
  </r>
  <r>
    <x v="0"/>
    <x v="23"/>
    <x v="15"/>
    <x v="15"/>
    <x v="8"/>
  </r>
  <r>
    <x v="0"/>
    <x v="23"/>
    <x v="24"/>
    <x v="15"/>
    <x v="17"/>
  </r>
  <r>
    <x v="0"/>
    <x v="23"/>
    <x v="4"/>
    <x v="15"/>
    <x v="3"/>
  </r>
  <r>
    <x v="0"/>
    <x v="23"/>
    <x v="6"/>
    <x v="15"/>
    <x v="5"/>
  </r>
  <r>
    <x v="556"/>
    <x v="16"/>
    <x v="0"/>
    <x v="11"/>
    <x v="0"/>
  </r>
  <r>
    <x v="0"/>
    <x v="16"/>
    <x v="1"/>
    <x v="11"/>
    <x v="1"/>
  </r>
  <r>
    <x v="0"/>
    <x v="16"/>
    <x v="28"/>
    <x v="11"/>
    <x v="20"/>
  </r>
  <r>
    <x v="5"/>
    <x v="16"/>
    <x v="14"/>
    <x v="11"/>
    <x v="11"/>
  </r>
  <r>
    <x v="0"/>
    <x v="16"/>
    <x v="28"/>
    <x v="11"/>
    <x v="20"/>
  </r>
  <r>
    <x v="0"/>
    <x v="16"/>
    <x v="28"/>
    <x v="11"/>
    <x v="20"/>
  </r>
  <r>
    <x v="0"/>
    <x v="16"/>
    <x v="7"/>
    <x v="11"/>
    <x v="6"/>
  </r>
  <r>
    <x v="0"/>
    <x v="16"/>
    <x v="28"/>
    <x v="11"/>
    <x v="20"/>
  </r>
  <r>
    <x v="0"/>
    <x v="16"/>
    <x v="27"/>
    <x v="11"/>
    <x v="19"/>
  </r>
  <r>
    <x v="0"/>
    <x v="16"/>
    <x v="25"/>
    <x v="11"/>
    <x v="15"/>
  </r>
  <r>
    <x v="0"/>
    <x v="16"/>
    <x v="16"/>
    <x v="11"/>
    <x v="12"/>
  </r>
  <r>
    <x v="0"/>
    <x v="16"/>
    <x v="16"/>
    <x v="11"/>
    <x v="12"/>
  </r>
  <r>
    <x v="0"/>
    <x v="16"/>
    <x v="16"/>
    <x v="11"/>
    <x v="12"/>
  </r>
  <r>
    <x v="0"/>
    <x v="16"/>
    <x v="23"/>
    <x v="11"/>
    <x v="15"/>
  </r>
  <r>
    <x v="0"/>
    <x v="16"/>
    <x v="23"/>
    <x v="11"/>
    <x v="15"/>
  </r>
  <r>
    <x v="0"/>
    <x v="16"/>
    <x v="19"/>
    <x v="11"/>
    <x v="15"/>
  </r>
  <r>
    <x v="0"/>
    <x v="16"/>
    <x v="25"/>
    <x v="11"/>
    <x v="15"/>
  </r>
  <r>
    <x v="0"/>
    <x v="16"/>
    <x v="12"/>
    <x v="11"/>
    <x v="15"/>
  </r>
  <r>
    <x v="0"/>
    <x v="16"/>
    <x v="12"/>
    <x v="11"/>
    <x v="15"/>
  </r>
  <r>
    <x v="0"/>
    <x v="16"/>
    <x v="19"/>
    <x v="11"/>
    <x v="15"/>
  </r>
  <r>
    <x v="6"/>
    <x v="16"/>
    <x v="12"/>
    <x v="11"/>
    <x v="15"/>
  </r>
  <r>
    <x v="6"/>
    <x v="16"/>
    <x v="12"/>
    <x v="11"/>
    <x v="15"/>
  </r>
  <r>
    <x v="29"/>
    <x v="16"/>
    <x v="19"/>
    <x v="11"/>
    <x v="15"/>
  </r>
  <r>
    <x v="0"/>
    <x v="16"/>
    <x v="24"/>
    <x v="11"/>
    <x v="17"/>
  </r>
  <r>
    <x v="0"/>
    <x v="16"/>
    <x v="11"/>
    <x v="11"/>
    <x v="10"/>
  </r>
  <r>
    <x v="0"/>
    <x v="16"/>
    <x v="11"/>
    <x v="11"/>
    <x v="10"/>
  </r>
  <r>
    <x v="0"/>
    <x v="16"/>
    <x v="28"/>
    <x v="11"/>
    <x v="20"/>
  </r>
  <r>
    <x v="0"/>
    <x v="16"/>
    <x v="28"/>
    <x v="11"/>
    <x v="20"/>
  </r>
  <r>
    <x v="0"/>
    <x v="16"/>
    <x v="16"/>
    <x v="11"/>
    <x v="12"/>
  </r>
  <r>
    <x v="0"/>
    <x v="16"/>
    <x v="16"/>
    <x v="11"/>
    <x v="12"/>
  </r>
  <r>
    <x v="1"/>
    <x v="16"/>
    <x v="10"/>
    <x v="11"/>
    <x v="9"/>
  </r>
  <r>
    <x v="0"/>
    <x v="16"/>
    <x v="28"/>
    <x v="11"/>
    <x v="20"/>
  </r>
  <r>
    <x v="551"/>
    <x v="16"/>
    <x v="21"/>
    <x v="11"/>
    <x v="16"/>
  </r>
  <r>
    <x v="0"/>
    <x v="16"/>
    <x v="18"/>
    <x v="11"/>
    <x v="14"/>
  </r>
  <r>
    <x v="0"/>
    <x v="16"/>
    <x v="18"/>
    <x v="11"/>
    <x v="14"/>
  </r>
  <r>
    <x v="0"/>
    <x v="16"/>
    <x v="18"/>
    <x v="11"/>
    <x v="14"/>
  </r>
  <r>
    <x v="5"/>
    <x v="16"/>
    <x v="18"/>
    <x v="11"/>
    <x v="14"/>
  </r>
  <r>
    <x v="0"/>
    <x v="16"/>
    <x v="17"/>
    <x v="11"/>
    <x v="13"/>
  </r>
  <r>
    <x v="16"/>
    <x v="16"/>
    <x v="17"/>
    <x v="11"/>
    <x v="13"/>
  </r>
  <r>
    <x v="6"/>
    <x v="16"/>
    <x v="8"/>
    <x v="11"/>
    <x v="7"/>
  </r>
  <r>
    <x v="5"/>
    <x v="16"/>
    <x v="8"/>
    <x v="11"/>
    <x v="7"/>
  </r>
  <r>
    <x v="7"/>
    <x v="16"/>
    <x v="2"/>
    <x v="11"/>
    <x v="8"/>
  </r>
  <r>
    <x v="0"/>
    <x v="16"/>
    <x v="2"/>
    <x v="11"/>
    <x v="8"/>
  </r>
  <r>
    <x v="0"/>
    <x v="16"/>
    <x v="2"/>
    <x v="11"/>
    <x v="8"/>
  </r>
  <r>
    <x v="0"/>
    <x v="16"/>
    <x v="2"/>
    <x v="11"/>
    <x v="8"/>
  </r>
  <r>
    <x v="0"/>
    <x v="16"/>
    <x v="20"/>
    <x v="11"/>
    <x v="15"/>
  </r>
  <r>
    <x v="8"/>
    <x v="16"/>
    <x v="20"/>
    <x v="11"/>
    <x v="15"/>
  </r>
  <r>
    <x v="0"/>
    <x v="16"/>
    <x v="20"/>
    <x v="11"/>
    <x v="15"/>
  </r>
  <r>
    <x v="0"/>
    <x v="16"/>
    <x v="9"/>
    <x v="11"/>
    <x v="8"/>
  </r>
  <r>
    <x v="0"/>
    <x v="16"/>
    <x v="9"/>
    <x v="11"/>
    <x v="8"/>
  </r>
  <r>
    <x v="0"/>
    <x v="16"/>
    <x v="9"/>
    <x v="11"/>
    <x v="8"/>
  </r>
  <r>
    <x v="0"/>
    <x v="16"/>
    <x v="9"/>
    <x v="11"/>
    <x v="8"/>
  </r>
  <r>
    <x v="0"/>
    <x v="16"/>
    <x v="9"/>
    <x v="11"/>
    <x v="8"/>
  </r>
  <r>
    <x v="0"/>
    <x v="16"/>
    <x v="9"/>
    <x v="11"/>
    <x v="8"/>
  </r>
  <r>
    <x v="0"/>
    <x v="16"/>
    <x v="9"/>
    <x v="11"/>
    <x v="8"/>
  </r>
  <r>
    <x v="0"/>
    <x v="16"/>
    <x v="9"/>
    <x v="11"/>
    <x v="8"/>
  </r>
  <r>
    <x v="4"/>
    <x v="16"/>
    <x v="9"/>
    <x v="11"/>
    <x v="8"/>
  </r>
  <r>
    <x v="46"/>
    <x v="16"/>
    <x v="9"/>
    <x v="11"/>
    <x v="8"/>
  </r>
  <r>
    <x v="72"/>
    <x v="16"/>
    <x v="9"/>
    <x v="11"/>
    <x v="8"/>
  </r>
  <r>
    <x v="0"/>
    <x v="16"/>
    <x v="9"/>
    <x v="11"/>
    <x v="8"/>
  </r>
  <r>
    <x v="128"/>
    <x v="16"/>
    <x v="13"/>
    <x v="11"/>
    <x v="8"/>
  </r>
  <r>
    <x v="12"/>
    <x v="16"/>
    <x v="15"/>
    <x v="11"/>
    <x v="8"/>
  </r>
  <r>
    <x v="0"/>
    <x v="16"/>
    <x v="15"/>
    <x v="11"/>
    <x v="8"/>
  </r>
  <r>
    <x v="20"/>
    <x v="16"/>
    <x v="15"/>
    <x v="11"/>
    <x v="8"/>
  </r>
  <r>
    <x v="0"/>
    <x v="16"/>
    <x v="25"/>
    <x v="11"/>
    <x v="15"/>
  </r>
  <r>
    <x v="0"/>
    <x v="16"/>
    <x v="26"/>
    <x v="11"/>
    <x v="18"/>
  </r>
  <r>
    <x v="0"/>
    <x v="16"/>
    <x v="22"/>
    <x v="11"/>
    <x v="15"/>
  </r>
  <r>
    <x v="0"/>
    <x v="16"/>
    <x v="28"/>
    <x v="11"/>
    <x v="20"/>
  </r>
  <r>
    <x v="0"/>
    <x v="16"/>
    <x v="3"/>
    <x v="11"/>
    <x v="2"/>
  </r>
  <r>
    <x v="243"/>
    <x v="16"/>
    <x v="28"/>
    <x v="11"/>
    <x v="20"/>
  </r>
  <r>
    <x v="17"/>
    <x v="16"/>
    <x v="15"/>
    <x v="11"/>
    <x v="8"/>
  </r>
  <r>
    <x v="19"/>
    <x v="16"/>
    <x v="13"/>
    <x v="11"/>
    <x v="8"/>
  </r>
  <r>
    <x v="0"/>
    <x v="16"/>
    <x v="24"/>
    <x v="11"/>
    <x v="17"/>
  </r>
  <r>
    <x v="0"/>
    <x v="16"/>
    <x v="4"/>
    <x v="11"/>
    <x v="3"/>
  </r>
  <r>
    <x v="0"/>
    <x v="16"/>
    <x v="6"/>
    <x v="11"/>
    <x v="5"/>
  </r>
  <r>
    <x v="587"/>
    <x v="13"/>
    <x v="0"/>
    <x v="9"/>
    <x v="0"/>
  </r>
  <r>
    <x v="13"/>
    <x v="13"/>
    <x v="1"/>
    <x v="9"/>
    <x v="1"/>
  </r>
  <r>
    <x v="0"/>
    <x v="13"/>
    <x v="28"/>
    <x v="9"/>
    <x v="20"/>
  </r>
  <r>
    <x v="0"/>
    <x v="13"/>
    <x v="14"/>
    <x v="9"/>
    <x v="11"/>
  </r>
  <r>
    <x v="10"/>
    <x v="13"/>
    <x v="28"/>
    <x v="9"/>
    <x v="20"/>
  </r>
  <r>
    <x v="0"/>
    <x v="13"/>
    <x v="28"/>
    <x v="9"/>
    <x v="20"/>
  </r>
  <r>
    <x v="10"/>
    <x v="13"/>
    <x v="7"/>
    <x v="9"/>
    <x v="6"/>
  </r>
  <r>
    <x v="5"/>
    <x v="13"/>
    <x v="28"/>
    <x v="9"/>
    <x v="20"/>
  </r>
  <r>
    <x v="8"/>
    <x v="13"/>
    <x v="27"/>
    <x v="9"/>
    <x v="19"/>
  </r>
  <r>
    <x v="6"/>
    <x v="13"/>
    <x v="25"/>
    <x v="9"/>
    <x v="15"/>
  </r>
  <r>
    <x v="0"/>
    <x v="13"/>
    <x v="16"/>
    <x v="9"/>
    <x v="12"/>
  </r>
  <r>
    <x v="8"/>
    <x v="13"/>
    <x v="16"/>
    <x v="9"/>
    <x v="12"/>
  </r>
  <r>
    <x v="10"/>
    <x v="13"/>
    <x v="16"/>
    <x v="9"/>
    <x v="12"/>
  </r>
  <r>
    <x v="0"/>
    <x v="13"/>
    <x v="23"/>
    <x v="9"/>
    <x v="15"/>
  </r>
  <r>
    <x v="0"/>
    <x v="13"/>
    <x v="23"/>
    <x v="9"/>
    <x v="15"/>
  </r>
  <r>
    <x v="0"/>
    <x v="13"/>
    <x v="19"/>
    <x v="9"/>
    <x v="15"/>
  </r>
  <r>
    <x v="5"/>
    <x v="13"/>
    <x v="25"/>
    <x v="9"/>
    <x v="15"/>
  </r>
  <r>
    <x v="0"/>
    <x v="13"/>
    <x v="12"/>
    <x v="9"/>
    <x v="15"/>
  </r>
  <r>
    <x v="0"/>
    <x v="13"/>
    <x v="12"/>
    <x v="9"/>
    <x v="15"/>
  </r>
  <r>
    <x v="49"/>
    <x v="13"/>
    <x v="19"/>
    <x v="9"/>
    <x v="15"/>
  </r>
  <r>
    <x v="10"/>
    <x v="13"/>
    <x v="12"/>
    <x v="9"/>
    <x v="15"/>
  </r>
  <r>
    <x v="51"/>
    <x v="13"/>
    <x v="12"/>
    <x v="9"/>
    <x v="15"/>
  </r>
  <r>
    <x v="43"/>
    <x v="13"/>
    <x v="19"/>
    <x v="9"/>
    <x v="15"/>
  </r>
  <r>
    <x v="7"/>
    <x v="13"/>
    <x v="24"/>
    <x v="9"/>
    <x v="17"/>
  </r>
  <r>
    <x v="0"/>
    <x v="13"/>
    <x v="11"/>
    <x v="9"/>
    <x v="10"/>
  </r>
  <r>
    <x v="11"/>
    <x v="13"/>
    <x v="11"/>
    <x v="9"/>
    <x v="10"/>
  </r>
  <r>
    <x v="12"/>
    <x v="13"/>
    <x v="28"/>
    <x v="9"/>
    <x v="20"/>
  </r>
  <r>
    <x v="0"/>
    <x v="13"/>
    <x v="28"/>
    <x v="9"/>
    <x v="20"/>
  </r>
  <r>
    <x v="0"/>
    <x v="13"/>
    <x v="16"/>
    <x v="9"/>
    <x v="12"/>
  </r>
  <r>
    <x v="7"/>
    <x v="13"/>
    <x v="16"/>
    <x v="9"/>
    <x v="12"/>
  </r>
  <r>
    <x v="7"/>
    <x v="13"/>
    <x v="10"/>
    <x v="9"/>
    <x v="9"/>
  </r>
  <r>
    <x v="0"/>
    <x v="13"/>
    <x v="28"/>
    <x v="9"/>
    <x v="20"/>
  </r>
  <r>
    <x v="0"/>
    <x v="13"/>
    <x v="21"/>
    <x v="9"/>
    <x v="16"/>
  </r>
  <r>
    <x v="583"/>
    <x v="13"/>
    <x v="18"/>
    <x v="9"/>
    <x v="14"/>
  </r>
  <r>
    <x v="119"/>
    <x v="13"/>
    <x v="18"/>
    <x v="9"/>
    <x v="14"/>
  </r>
  <r>
    <x v="216"/>
    <x v="13"/>
    <x v="18"/>
    <x v="9"/>
    <x v="14"/>
  </r>
  <r>
    <x v="348"/>
    <x v="13"/>
    <x v="18"/>
    <x v="9"/>
    <x v="14"/>
  </r>
  <r>
    <x v="504"/>
    <x v="13"/>
    <x v="18"/>
    <x v="9"/>
    <x v="14"/>
  </r>
  <r>
    <x v="0"/>
    <x v="13"/>
    <x v="17"/>
    <x v="9"/>
    <x v="13"/>
  </r>
  <r>
    <x v="6"/>
    <x v="13"/>
    <x v="17"/>
    <x v="9"/>
    <x v="13"/>
  </r>
  <r>
    <x v="11"/>
    <x v="13"/>
    <x v="8"/>
    <x v="9"/>
    <x v="7"/>
  </r>
  <r>
    <x v="0"/>
    <x v="13"/>
    <x v="8"/>
    <x v="9"/>
    <x v="7"/>
  </r>
  <r>
    <x v="17"/>
    <x v="13"/>
    <x v="2"/>
    <x v="9"/>
    <x v="8"/>
  </r>
  <r>
    <x v="45"/>
    <x v="13"/>
    <x v="2"/>
    <x v="9"/>
    <x v="8"/>
  </r>
  <r>
    <x v="10"/>
    <x v="13"/>
    <x v="2"/>
    <x v="9"/>
    <x v="8"/>
  </r>
  <r>
    <x v="9"/>
    <x v="13"/>
    <x v="2"/>
    <x v="9"/>
    <x v="8"/>
  </r>
  <r>
    <x v="101"/>
    <x v="13"/>
    <x v="2"/>
    <x v="9"/>
    <x v="8"/>
  </r>
  <r>
    <x v="10"/>
    <x v="13"/>
    <x v="20"/>
    <x v="9"/>
    <x v="15"/>
  </r>
  <r>
    <x v="21"/>
    <x v="13"/>
    <x v="20"/>
    <x v="9"/>
    <x v="15"/>
  </r>
  <r>
    <x v="0"/>
    <x v="13"/>
    <x v="20"/>
    <x v="9"/>
    <x v="15"/>
  </r>
  <r>
    <x v="1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19"/>
    <x v="13"/>
    <x v="9"/>
    <x v="9"/>
    <x v="8"/>
  </r>
  <r>
    <x v="76"/>
    <x v="13"/>
    <x v="9"/>
    <x v="9"/>
    <x v="8"/>
  </r>
  <r>
    <x v="51"/>
    <x v="13"/>
    <x v="9"/>
    <x v="9"/>
    <x v="8"/>
  </r>
  <r>
    <x v="7"/>
    <x v="13"/>
    <x v="9"/>
    <x v="9"/>
    <x v="8"/>
  </r>
  <r>
    <x v="14"/>
    <x v="13"/>
    <x v="13"/>
    <x v="9"/>
    <x v="8"/>
  </r>
  <r>
    <x v="69"/>
    <x v="13"/>
    <x v="15"/>
    <x v="9"/>
    <x v="8"/>
  </r>
  <r>
    <x v="0"/>
    <x v="13"/>
    <x v="15"/>
    <x v="9"/>
    <x v="8"/>
  </r>
  <r>
    <x v="20"/>
    <x v="13"/>
    <x v="15"/>
    <x v="9"/>
    <x v="8"/>
  </r>
  <r>
    <x v="0"/>
    <x v="13"/>
    <x v="25"/>
    <x v="9"/>
    <x v="15"/>
  </r>
  <r>
    <x v="0"/>
    <x v="13"/>
    <x v="26"/>
    <x v="9"/>
    <x v="18"/>
  </r>
  <r>
    <x v="13"/>
    <x v="13"/>
    <x v="22"/>
    <x v="9"/>
    <x v="15"/>
  </r>
  <r>
    <x v="0"/>
    <x v="13"/>
    <x v="28"/>
    <x v="9"/>
    <x v="20"/>
  </r>
  <r>
    <x v="30"/>
    <x v="13"/>
    <x v="3"/>
    <x v="9"/>
    <x v="2"/>
  </r>
  <r>
    <x v="0"/>
    <x v="13"/>
    <x v="28"/>
    <x v="9"/>
    <x v="20"/>
  </r>
  <r>
    <x v="10"/>
    <x v="13"/>
    <x v="15"/>
    <x v="9"/>
    <x v="8"/>
  </r>
  <r>
    <x v="8"/>
    <x v="13"/>
    <x v="13"/>
    <x v="9"/>
    <x v="8"/>
  </r>
  <r>
    <x v="33"/>
    <x v="13"/>
    <x v="2"/>
    <x v="9"/>
    <x v="8"/>
  </r>
  <r>
    <x v="0"/>
    <x v="13"/>
    <x v="24"/>
    <x v="9"/>
    <x v="17"/>
  </r>
  <r>
    <x v="0"/>
    <x v="13"/>
    <x v="4"/>
    <x v="9"/>
    <x v="3"/>
  </r>
  <r>
    <x v="9"/>
    <x v="13"/>
    <x v="5"/>
    <x v="9"/>
    <x v="4"/>
  </r>
  <r>
    <x v="150"/>
    <x v="13"/>
    <x v="6"/>
    <x v="9"/>
    <x v="5"/>
  </r>
  <r>
    <x v="499"/>
    <x v="13"/>
    <x v="0"/>
    <x v="9"/>
    <x v="0"/>
  </r>
  <r>
    <x v="0"/>
    <x v="13"/>
    <x v="1"/>
    <x v="9"/>
    <x v="1"/>
  </r>
  <r>
    <x v="0"/>
    <x v="13"/>
    <x v="28"/>
    <x v="9"/>
    <x v="20"/>
  </r>
  <r>
    <x v="0"/>
    <x v="13"/>
    <x v="14"/>
    <x v="9"/>
    <x v="11"/>
  </r>
  <r>
    <x v="0"/>
    <x v="13"/>
    <x v="28"/>
    <x v="9"/>
    <x v="20"/>
  </r>
  <r>
    <x v="0"/>
    <x v="13"/>
    <x v="28"/>
    <x v="9"/>
    <x v="20"/>
  </r>
  <r>
    <x v="0"/>
    <x v="13"/>
    <x v="7"/>
    <x v="9"/>
    <x v="6"/>
  </r>
  <r>
    <x v="0"/>
    <x v="13"/>
    <x v="28"/>
    <x v="9"/>
    <x v="20"/>
  </r>
  <r>
    <x v="0"/>
    <x v="13"/>
    <x v="27"/>
    <x v="9"/>
    <x v="19"/>
  </r>
  <r>
    <x v="0"/>
    <x v="13"/>
    <x v="25"/>
    <x v="9"/>
    <x v="15"/>
  </r>
  <r>
    <x v="0"/>
    <x v="13"/>
    <x v="16"/>
    <x v="9"/>
    <x v="12"/>
  </r>
  <r>
    <x v="0"/>
    <x v="13"/>
    <x v="16"/>
    <x v="9"/>
    <x v="12"/>
  </r>
  <r>
    <x v="10"/>
    <x v="13"/>
    <x v="16"/>
    <x v="9"/>
    <x v="12"/>
  </r>
  <r>
    <x v="0"/>
    <x v="13"/>
    <x v="23"/>
    <x v="9"/>
    <x v="15"/>
  </r>
  <r>
    <x v="7"/>
    <x v="13"/>
    <x v="23"/>
    <x v="9"/>
    <x v="15"/>
  </r>
  <r>
    <x v="0"/>
    <x v="13"/>
    <x v="19"/>
    <x v="9"/>
    <x v="15"/>
  </r>
  <r>
    <x v="0"/>
    <x v="13"/>
    <x v="25"/>
    <x v="9"/>
    <x v="15"/>
  </r>
  <r>
    <x v="0"/>
    <x v="13"/>
    <x v="12"/>
    <x v="9"/>
    <x v="15"/>
  </r>
  <r>
    <x v="0"/>
    <x v="13"/>
    <x v="12"/>
    <x v="9"/>
    <x v="15"/>
  </r>
  <r>
    <x v="13"/>
    <x v="13"/>
    <x v="19"/>
    <x v="9"/>
    <x v="15"/>
  </r>
  <r>
    <x v="0"/>
    <x v="13"/>
    <x v="12"/>
    <x v="9"/>
    <x v="15"/>
  </r>
  <r>
    <x v="9"/>
    <x v="13"/>
    <x v="12"/>
    <x v="9"/>
    <x v="15"/>
  </r>
  <r>
    <x v="0"/>
    <x v="13"/>
    <x v="19"/>
    <x v="9"/>
    <x v="15"/>
  </r>
  <r>
    <x v="6"/>
    <x v="13"/>
    <x v="24"/>
    <x v="9"/>
    <x v="17"/>
  </r>
  <r>
    <x v="0"/>
    <x v="13"/>
    <x v="11"/>
    <x v="9"/>
    <x v="10"/>
  </r>
  <r>
    <x v="0"/>
    <x v="13"/>
    <x v="11"/>
    <x v="9"/>
    <x v="10"/>
  </r>
  <r>
    <x v="0"/>
    <x v="13"/>
    <x v="28"/>
    <x v="9"/>
    <x v="20"/>
  </r>
  <r>
    <x v="0"/>
    <x v="13"/>
    <x v="28"/>
    <x v="9"/>
    <x v="20"/>
  </r>
  <r>
    <x v="0"/>
    <x v="13"/>
    <x v="16"/>
    <x v="9"/>
    <x v="12"/>
  </r>
  <r>
    <x v="0"/>
    <x v="13"/>
    <x v="16"/>
    <x v="9"/>
    <x v="12"/>
  </r>
  <r>
    <x v="0"/>
    <x v="13"/>
    <x v="10"/>
    <x v="9"/>
    <x v="9"/>
  </r>
  <r>
    <x v="0"/>
    <x v="13"/>
    <x v="28"/>
    <x v="9"/>
    <x v="20"/>
  </r>
  <r>
    <x v="0"/>
    <x v="13"/>
    <x v="21"/>
    <x v="9"/>
    <x v="16"/>
  </r>
  <r>
    <x v="274"/>
    <x v="13"/>
    <x v="18"/>
    <x v="9"/>
    <x v="14"/>
  </r>
  <r>
    <x v="341"/>
    <x v="13"/>
    <x v="18"/>
    <x v="9"/>
    <x v="14"/>
  </r>
  <r>
    <x v="108"/>
    <x v="13"/>
    <x v="18"/>
    <x v="9"/>
    <x v="14"/>
  </r>
  <r>
    <x v="0"/>
    <x v="13"/>
    <x v="18"/>
    <x v="9"/>
    <x v="14"/>
  </r>
  <r>
    <x v="404"/>
    <x v="13"/>
    <x v="18"/>
    <x v="9"/>
    <x v="14"/>
  </r>
  <r>
    <x v="0"/>
    <x v="13"/>
    <x v="17"/>
    <x v="9"/>
    <x v="13"/>
  </r>
  <r>
    <x v="0"/>
    <x v="13"/>
    <x v="17"/>
    <x v="9"/>
    <x v="13"/>
  </r>
  <r>
    <x v="0"/>
    <x v="13"/>
    <x v="8"/>
    <x v="9"/>
    <x v="7"/>
  </r>
  <r>
    <x v="0"/>
    <x v="13"/>
    <x v="8"/>
    <x v="9"/>
    <x v="7"/>
  </r>
  <r>
    <x v="21"/>
    <x v="13"/>
    <x v="2"/>
    <x v="9"/>
    <x v="8"/>
  </r>
  <r>
    <x v="94"/>
    <x v="13"/>
    <x v="2"/>
    <x v="9"/>
    <x v="8"/>
  </r>
  <r>
    <x v="35"/>
    <x v="13"/>
    <x v="2"/>
    <x v="9"/>
    <x v="8"/>
  </r>
  <r>
    <x v="25"/>
    <x v="13"/>
    <x v="2"/>
    <x v="9"/>
    <x v="8"/>
  </r>
  <r>
    <x v="10"/>
    <x v="13"/>
    <x v="2"/>
    <x v="9"/>
    <x v="8"/>
  </r>
  <r>
    <x v="8"/>
    <x v="13"/>
    <x v="2"/>
    <x v="9"/>
    <x v="8"/>
  </r>
  <r>
    <x v="53"/>
    <x v="13"/>
    <x v="2"/>
    <x v="9"/>
    <x v="8"/>
  </r>
  <r>
    <x v="0"/>
    <x v="13"/>
    <x v="20"/>
    <x v="9"/>
    <x v="15"/>
  </r>
  <r>
    <x v="0"/>
    <x v="13"/>
    <x v="20"/>
    <x v="9"/>
    <x v="15"/>
  </r>
  <r>
    <x v="0"/>
    <x v="13"/>
    <x v="20"/>
    <x v="9"/>
    <x v="15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9"/>
    <x v="13"/>
    <x v="9"/>
    <x v="9"/>
    <x v="8"/>
  </r>
  <r>
    <x v="0"/>
    <x v="13"/>
    <x v="9"/>
    <x v="9"/>
    <x v="8"/>
  </r>
  <r>
    <x v="55"/>
    <x v="13"/>
    <x v="9"/>
    <x v="9"/>
    <x v="8"/>
  </r>
  <r>
    <x v="26"/>
    <x v="13"/>
    <x v="9"/>
    <x v="9"/>
    <x v="8"/>
  </r>
  <r>
    <x v="0"/>
    <x v="13"/>
    <x v="9"/>
    <x v="9"/>
    <x v="8"/>
  </r>
  <r>
    <x v="0"/>
    <x v="13"/>
    <x v="13"/>
    <x v="9"/>
    <x v="8"/>
  </r>
  <r>
    <x v="29"/>
    <x v="13"/>
    <x v="15"/>
    <x v="9"/>
    <x v="8"/>
  </r>
  <r>
    <x v="0"/>
    <x v="13"/>
    <x v="15"/>
    <x v="9"/>
    <x v="8"/>
  </r>
  <r>
    <x v="0"/>
    <x v="13"/>
    <x v="15"/>
    <x v="9"/>
    <x v="8"/>
  </r>
  <r>
    <x v="0"/>
    <x v="13"/>
    <x v="25"/>
    <x v="9"/>
    <x v="15"/>
  </r>
  <r>
    <x v="0"/>
    <x v="13"/>
    <x v="26"/>
    <x v="9"/>
    <x v="18"/>
  </r>
  <r>
    <x v="0"/>
    <x v="13"/>
    <x v="22"/>
    <x v="9"/>
    <x v="15"/>
  </r>
  <r>
    <x v="0"/>
    <x v="13"/>
    <x v="28"/>
    <x v="9"/>
    <x v="20"/>
  </r>
  <r>
    <x v="0"/>
    <x v="13"/>
    <x v="3"/>
    <x v="9"/>
    <x v="2"/>
  </r>
  <r>
    <x v="0"/>
    <x v="13"/>
    <x v="28"/>
    <x v="9"/>
    <x v="20"/>
  </r>
  <r>
    <x v="0"/>
    <x v="13"/>
    <x v="15"/>
    <x v="9"/>
    <x v="8"/>
  </r>
  <r>
    <x v="0"/>
    <x v="13"/>
    <x v="13"/>
    <x v="9"/>
    <x v="8"/>
  </r>
  <r>
    <x v="11"/>
    <x v="13"/>
    <x v="2"/>
    <x v="9"/>
    <x v="8"/>
  </r>
  <r>
    <x v="0"/>
    <x v="13"/>
    <x v="24"/>
    <x v="9"/>
    <x v="17"/>
  </r>
  <r>
    <x v="0"/>
    <x v="13"/>
    <x v="4"/>
    <x v="9"/>
    <x v="3"/>
  </r>
  <r>
    <x v="0"/>
    <x v="13"/>
    <x v="5"/>
    <x v="9"/>
    <x v="4"/>
  </r>
  <r>
    <x v="13"/>
    <x v="13"/>
    <x v="6"/>
    <x v="9"/>
    <x v="5"/>
  </r>
  <r>
    <x v="477"/>
    <x v="13"/>
    <x v="0"/>
    <x v="9"/>
    <x v="0"/>
  </r>
  <r>
    <x v="0"/>
    <x v="13"/>
    <x v="1"/>
    <x v="9"/>
    <x v="1"/>
  </r>
  <r>
    <x v="0"/>
    <x v="13"/>
    <x v="28"/>
    <x v="9"/>
    <x v="20"/>
  </r>
  <r>
    <x v="0"/>
    <x v="13"/>
    <x v="14"/>
    <x v="9"/>
    <x v="11"/>
  </r>
  <r>
    <x v="0"/>
    <x v="13"/>
    <x v="28"/>
    <x v="9"/>
    <x v="20"/>
  </r>
  <r>
    <x v="0"/>
    <x v="13"/>
    <x v="28"/>
    <x v="9"/>
    <x v="20"/>
  </r>
  <r>
    <x v="0"/>
    <x v="13"/>
    <x v="7"/>
    <x v="9"/>
    <x v="6"/>
  </r>
  <r>
    <x v="0"/>
    <x v="13"/>
    <x v="28"/>
    <x v="9"/>
    <x v="20"/>
  </r>
  <r>
    <x v="0"/>
    <x v="13"/>
    <x v="27"/>
    <x v="9"/>
    <x v="19"/>
  </r>
  <r>
    <x v="0"/>
    <x v="13"/>
    <x v="25"/>
    <x v="9"/>
    <x v="15"/>
  </r>
  <r>
    <x v="0"/>
    <x v="13"/>
    <x v="16"/>
    <x v="9"/>
    <x v="12"/>
  </r>
  <r>
    <x v="0"/>
    <x v="13"/>
    <x v="16"/>
    <x v="9"/>
    <x v="12"/>
  </r>
  <r>
    <x v="0"/>
    <x v="13"/>
    <x v="16"/>
    <x v="9"/>
    <x v="12"/>
  </r>
  <r>
    <x v="0"/>
    <x v="13"/>
    <x v="23"/>
    <x v="9"/>
    <x v="15"/>
  </r>
  <r>
    <x v="0"/>
    <x v="13"/>
    <x v="23"/>
    <x v="9"/>
    <x v="15"/>
  </r>
  <r>
    <x v="0"/>
    <x v="13"/>
    <x v="19"/>
    <x v="9"/>
    <x v="15"/>
  </r>
  <r>
    <x v="0"/>
    <x v="13"/>
    <x v="25"/>
    <x v="9"/>
    <x v="15"/>
  </r>
  <r>
    <x v="0"/>
    <x v="13"/>
    <x v="12"/>
    <x v="9"/>
    <x v="15"/>
  </r>
  <r>
    <x v="0"/>
    <x v="13"/>
    <x v="12"/>
    <x v="9"/>
    <x v="15"/>
  </r>
  <r>
    <x v="0"/>
    <x v="13"/>
    <x v="19"/>
    <x v="9"/>
    <x v="15"/>
  </r>
  <r>
    <x v="0"/>
    <x v="13"/>
    <x v="12"/>
    <x v="9"/>
    <x v="15"/>
  </r>
  <r>
    <x v="0"/>
    <x v="13"/>
    <x v="12"/>
    <x v="9"/>
    <x v="15"/>
  </r>
  <r>
    <x v="0"/>
    <x v="13"/>
    <x v="19"/>
    <x v="9"/>
    <x v="15"/>
  </r>
  <r>
    <x v="0"/>
    <x v="13"/>
    <x v="24"/>
    <x v="9"/>
    <x v="17"/>
  </r>
  <r>
    <x v="0"/>
    <x v="13"/>
    <x v="11"/>
    <x v="9"/>
    <x v="10"/>
  </r>
  <r>
    <x v="0"/>
    <x v="13"/>
    <x v="11"/>
    <x v="9"/>
    <x v="10"/>
  </r>
  <r>
    <x v="0"/>
    <x v="13"/>
    <x v="28"/>
    <x v="9"/>
    <x v="20"/>
  </r>
  <r>
    <x v="0"/>
    <x v="13"/>
    <x v="28"/>
    <x v="9"/>
    <x v="20"/>
  </r>
  <r>
    <x v="0"/>
    <x v="13"/>
    <x v="16"/>
    <x v="9"/>
    <x v="12"/>
  </r>
  <r>
    <x v="0"/>
    <x v="13"/>
    <x v="16"/>
    <x v="9"/>
    <x v="12"/>
  </r>
  <r>
    <x v="0"/>
    <x v="13"/>
    <x v="10"/>
    <x v="9"/>
    <x v="9"/>
  </r>
  <r>
    <x v="0"/>
    <x v="13"/>
    <x v="28"/>
    <x v="9"/>
    <x v="20"/>
  </r>
  <r>
    <x v="0"/>
    <x v="13"/>
    <x v="21"/>
    <x v="9"/>
    <x v="16"/>
  </r>
  <r>
    <x v="315"/>
    <x v="13"/>
    <x v="18"/>
    <x v="9"/>
    <x v="14"/>
  </r>
  <r>
    <x v="75"/>
    <x v="13"/>
    <x v="18"/>
    <x v="9"/>
    <x v="14"/>
  </r>
  <r>
    <x v="396"/>
    <x v="13"/>
    <x v="18"/>
    <x v="9"/>
    <x v="14"/>
  </r>
  <r>
    <x v="15"/>
    <x v="13"/>
    <x v="18"/>
    <x v="9"/>
    <x v="14"/>
  </r>
  <r>
    <x v="328"/>
    <x v="13"/>
    <x v="18"/>
    <x v="9"/>
    <x v="14"/>
  </r>
  <r>
    <x v="0"/>
    <x v="13"/>
    <x v="17"/>
    <x v="9"/>
    <x v="13"/>
  </r>
  <r>
    <x v="13"/>
    <x v="13"/>
    <x v="17"/>
    <x v="9"/>
    <x v="13"/>
  </r>
  <r>
    <x v="0"/>
    <x v="13"/>
    <x v="8"/>
    <x v="9"/>
    <x v="7"/>
  </r>
  <r>
    <x v="0"/>
    <x v="13"/>
    <x v="8"/>
    <x v="9"/>
    <x v="7"/>
  </r>
  <r>
    <x v="0"/>
    <x v="13"/>
    <x v="2"/>
    <x v="9"/>
    <x v="8"/>
  </r>
  <r>
    <x v="0"/>
    <x v="13"/>
    <x v="2"/>
    <x v="9"/>
    <x v="8"/>
  </r>
  <r>
    <x v="0"/>
    <x v="13"/>
    <x v="2"/>
    <x v="9"/>
    <x v="8"/>
  </r>
  <r>
    <x v="7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0"/>
    <x v="9"/>
    <x v="15"/>
  </r>
  <r>
    <x v="0"/>
    <x v="13"/>
    <x v="20"/>
    <x v="9"/>
    <x v="15"/>
  </r>
  <r>
    <x v="0"/>
    <x v="13"/>
    <x v="20"/>
    <x v="9"/>
    <x v="15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13"/>
    <x v="9"/>
    <x v="8"/>
  </r>
  <r>
    <x v="61"/>
    <x v="13"/>
    <x v="15"/>
    <x v="9"/>
    <x v="8"/>
  </r>
  <r>
    <x v="0"/>
    <x v="13"/>
    <x v="15"/>
    <x v="9"/>
    <x v="8"/>
  </r>
  <r>
    <x v="0"/>
    <x v="13"/>
    <x v="15"/>
    <x v="9"/>
    <x v="8"/>
  </r>
  <r>
    <x v="0"/>
    <x v="13"/>
    <x v="25"/>
    <x v="9"/>
    <x v="15"/>
  </r>
  <r>
    <x v="0"/>
    <x v="13"/>
    <x v="26"/>
    <x v="9"/>
    <x v="18"/>
  </r>
  <r>
    <x v="0"/>
    <x v="13"/>
    <x v="22"/>
    <x v="9"/>
    <x v="15"/>
  </r>
  <r>
    <x v="0"/>
    <x v="13"/>
    <x v="28"/>
    <x v="9"/>
    <x v="20"/>
  </r>
  <r>
    <x v="0"/>
    <x v="13"/>
    <x v="3"/>
    <x v="9"/>
    <x v="2"/>
  </r>
  <r>
    <x v="0"/>
    <x v="13"/>
    <x v="28"/>
    <x v="9"/>
    <x v="20"/>
  </r>
  <r>
    <x v="0"/>
    <x v="13"/>
    <x v="15"/>
    <x v="9"/>
    <x v="8"/>
  </r>
  <r>
    <x v="0"/>
    <x v="13"/>
    <x v="13"/>
    <x v="9"/>
    <x v="8"/>
  </r>
  <r>
    <x v="0"/>
    <x v="13"/>
    <x v="2"/>
    <x v="9"/>
    <x v="8"/>
  </r>
  <r>
    <x v="0"/>
    <x v="13"/>
    <x v="24"/>
    <x v="9"/>
    <x v="17"/>
  </r>
  <r>
    <x v="0"/>
    <x v="13"/>
    <x v="4"/>
    <x v="9"/>
    <x v="3"/>
  </r>
  <r>
    <x v="0"/>
    <x v="13"/>
    <x v="5"/>
    <x v="9"/>
    <x v="4"/>
  </r>
  <r>
    <x v="0"/>
    <x v="13"/>
    <x v="6"/>
    <x v="9"/>
    <x v="5"/>
  </r>
  <r>
    <x v="503"/>
    <x v="13"/>
    <x v="0"/>
    <x v="9"/>
    <x v="0"/>
  </r>
  <r>
    <x v="0"/>
    <x v="13"/>
    <x v="1"/>
    <x v="9"/>
    <x v="1"/>
  </r>
  <r>
    <x v="0"/>
    <x v="13"/>
    <x v="28"/>
    <x v="9"/>
    <x v="20"/>
  </r>
  <r>
    <x v="0"/>
    <x v="13"/>
    <x v="14"/>
    <x v="9"/>
    <x v="11"/>
  </r>
  <r>
    <x v="0"/>
    <x v="13"/>
    <x v="28"/>
    <x v="9"/>
    <x v="20"/>
  </r>
  <r>
    <x v="0"/>
    <x v="13"/>
    <x v="28"/>
    <x v="9"/>
    <x v="20"/>
  </r>
  <r>
    <x v="0"/>
    <x v="13"/>
    <x v="7"/>
    <x v="9"/>
    <x v="6"/>
  </r>
  <r>
    <x v="0"/>
    <x v="13"/>
    <x v="28"/>
    <x v="9"/>
    <x v="20"/>
  </r>
  <r>
    <x v="0"/>
    <x v="13"/>
    <x v="27"/>
    <x v="9"/>
    <x v="19"/>
  </r>
  <r>
    <x v="0"/>
    <x v="13"/>
    <x v="25"/>
    <x v="9"/>
    <x v="15"/>
  </r>
  <r>
    <x v="0"/>
    <x v="13"/>
    <x v="16"/>
    <x v="9"/>
    <x v="12"/>
  </r>
  <r>
    <x v="0"/>
    <x v="13"/>
    <x v="16"/>
    <x v="9"/>
    <x v="12"/>
  </r>
  <r>
    <x v="0"/>
    <x v="13"/>
    <x v="16"/>
    <x v="9"/>
    <x v="12"/>
  </r>
  <r>
    <x v="0"/>
    <x v="13"/>
    <x v="23"/>
    <x v="9"/>
    <x v="15"/>
  </r>
  <r>
    <x v="0"/>
    <x v="13"/>
    <x v="23"/>
    <x v="9"/>
    <x v="15"/>
  </r>
  <r>
    <x v="0"/>
    <x v="13"/>
    <x v="19"/>
    <x v="9"/>
    <x v="15"/>
  </r>
  <r>
    <x v="0"/>
    <x v="13"/>
    <x v="25"/>
    <x v="9"/>
    <x v="15"/>
  </r>
  <r>
    <x v="0"/>
    <x v="13"/>
    <x v="12"/>
    <x v="9"/>
    <x v="15"/>
  </r>
  <r>
    <x v="0"/>
    <x v="13"/>
    <x v="12"/>
    <x v="9"/>
    <x v="15"/>
  </r>
  <r>
    <x v="0"/>
    <x v="13"/>
    <x v="19"/>
    <x v="9"/>
    <x v="15"/>
  </r>
  <r>
    <x v="0"/>
    <x v="13"/>
    <x v="12"/>
    <x v="9"/>
    <x v="15"/>
  </r>
  <r>
    <x v="0"/>
    <x v="13"/>
    <x v="12"/>
    <x v="9"/>
    <x v="15"/>
  </r>
  <r>
    <x v="0"/>
    <x v="13"/>
    <x v="19"/>
    <x v="9"/>
    <x v="15"/>
  </r>
  <r>
    <x v="0"/>
    <x v="13"/>
    <x v="24"/>
    <x v="9"/>
    <x v="17"/>
  </r>
  <r>
    <x v="0"/>
    <x v="13"/>
    <x v="11"/>
    <x v="9"/>
    <x v="10"/>
  </r>
  <r>
    <x v="0"/>
    <x v="13"/>
    <x v="11"/>
    <x v="9"/>
    <x v="10"/>
  </r>
  <r>
    <x v="10"/>
    <x v="13"/>
    <x v="28"/>
    <x v="9"/>
    <x v="20"/>
  </r>
  <r>
    <x v="0"/>
    <x v="13"/>
    <x v="28"/>
    <x v="9"/>
    <x v="20"/>
  </r>
  <r>
    <x v="0"/>
    <x v="13"/>
    <x v="16"/>
    <x v="9"/>
    <x v="12"/>
  </r>
  <r>
    <x v="0"/>
    <x v="13"/>
    <x v="16"/>
    <x v="9"/>
    <x v="12"/>
  </r>
  <r>
    <x v="9"/>
    <x v="13"/>
    <x v="10"/>
    <x v="9"/>
    <x v="9"/>
  </r>
  <r>
    <x v="0"/>
    <x v="13"/>
    <x v="28"/>
    <x v="9"/>
    <x v="20"/>
  </r>
  <r>
    <x v="0"/>
    <x v="13"/>
    <x v="21"/>
    <x v="9"/>
    <x v="16"/>
  </r>
  <r>
    <x v="418"/>
    <x v="13"/>
    <x v="18"/>
    <x v="9"/>
    <x v="14"/>
  </r>
  <r>
    <x v="0"/>
    <x v="13"/>
    <x v="18"/>
    <x v="9"/>
    <x v="14"/>
  </r>
  <r>
    <x v="18"/>
    <x v="13"/>
    <x v="18"/>
    <x v="9"/>
    <x v="14"/>
  </r>
  <r>
    <x v="388"/>
    <x v="13"/>
    <x v="18"/>
    <x v="9"/>
    <x v="14"/>
  </r>
  <r>
    <x v="326"/>
    <x v="13"/>
    <x v="18"/>
    <x v="9"/>
    <x v="14"/>
  </r>
  <r>
    <x v="8"/>
    <x v="13"/>
    <x v="17"/>
    <x v="9"/>
    <x v="13"/>
  </r>
  <r>
    <x v="0"/>
    <x v="13"/>
    <x v="17"/>
    <x v="9"/>
    <x v="13"/>
  </r>
  <r>
    <x v="0"/>
    <x v="13"/>
    <x v="8"/>
    <x v="9"/>
    <x v="7"/>
  </r>
  <r>
    <x v="0"/>
    <x v="13"/>
    <x v="8"/>
    <x v="9"/>
    <x v="7"/>
  </r>
  <r>
    <x v="8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"/>
    <x v="9"/>
    <x v="8"/>
  </r>
  <r>
    <x v="0"/>
    <x v="13"/>
    <x v="20"/>
    <x v="9"/>
    <x v="15"/>
  </r>
  <r>
    <x v="0"/>
    <x v="13"/>
    <x v="20"/>
    <x v="9"/>
    <x v="15"/>
  </r>
  <r>
    <x v="0"/>
    <x v="13"/>
    <x v="20"/>
    <x v="9"/>
    <x v="15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3"/>
    <x v="13"/>
    <x v="9"/>
    <x v="9"/>
    <x v="8"/>
  </r>
  <r>
    <x v="0"/>
    <x v="13"/>
    <x v="9"/>
    <x v="9"/>
    <x v="8"/>
  </r>
  <r>
    <x v="13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13"/>
    <x v="9"/>
    <x v="8"/>
  </r>
  <r>
    <x v="0"/>
    <x v="13"/>
    <x v="15"/>
    <x v="9"/>
    <x v="8"/>
  </r>
  <r>
    <x v="0"/>
    <x v="13"/>
    <x v="15"/>
    <x v="9"/>
    <x v="8"/>
  </r>
  <r>
    <x v="0"/>
    <x v="13"/>
    <x v="15"/>
    <x v="9"/>
    <x v="8"/>
  </r>
  <r>
    <x v="0"/>
    <x v="13"/>
    <x v="25"/>
    <x v="9"/>
    <x v="15"/>
  </r>
  <r>
    <x v="0"/>
    <x v="13"/>
    <x v="26"/>
    <x v="9"/>
    <x v="18"/>
  </r>
  <r>
    <x v="0"/>
    <x v="13"/>
    <x v="22"/>
    <x v="9"/>
    <x v="15"/>
  </r>
  <r>
    <x v="0"/>
    <x v="13"/>
    <x v="28"/>
    <x v="9"/>
    <x v="20"/>
  </r>
  <r>
    <x v="0"/>
    <x v="13"/>
    <x v="3"/>
    <x v="9"/>
    <x v="2"/>
  </r>
  <r>
    <x v="0"/>
    <x v="13"/>
    <x v="28"/>
    <x v="9"/>
    <x v="20"/>
  </r>
  <r>
    <x v="0"/>
    <x v="13"/>
    <x v="15"/>
    <x v="9"/>
    <x v="8"/>
  </r>
  <r>
    <x v="0"/>
    <x v="13"/>
    <x v="13"/>
    <x v="9"/>
    <x v="8"/>
  </r>
  <r>
    <x v="0"/>
    <x v="13"/>
    <x v="2"/>
    <x v="9"/>
    <x v="8"/>
  </r>
  <r>
    <x v="0"/>
    <x v="13"/>
    <x v="24"/>
    <x v="9"/>
    <x v="17"/>
  </r>
  <r>
    <x v="0"/>
    <x v="13"/>
    <x v="4"/>
    <x v="9"/>
    <x v="3"/>
  </r>
  <r>
    <x v="0"/>
    <x v="13"/>
    <x v="5"/>
    <x v="9"/>
    <x v="4"/>
  </r>
  <r>
    <x v="56"/>
    <x v="13"/>
    <x v="6"/>
    <x v="9"/>
    <x v="5"/>
  </r>
  <r>
    <x v="585"/>
    <x v="13"/>
    <x v="0"/>
    <x v="9"/>
    <x v="0"/>
  </r>
  <r>
    <x v="31"/>
    <x v="13"/>
    <x v="1"/>
    <x v="9"/>
    <x v="1"/>
  </r>
  <r>
    <x v="13"/>
    <x v="13"/>
    <x v="28"/>
    <x v="9"/>
    <x v="20"/>
  </r>
  <r>
    <x v="10"/>
    <x v="13"/>
    <x v="14"/>
    <x v="9"/>
    <x v="11"/>
  </r>
  <r>
    <x v="20"/>
    <x v="13"/>
    <x v="28"/>
    <x v="9"/>
    <x v="20"/>
  </r>
  <r>
    <x v="6"/>
    <x v="13"/>
    <x v="28"/>
    <x v="9"/>
    <x v="20"/>
  </r>
  <r>
    <x v="0"/>
    <x v="13"/>
    <x v="7"/>
    <x v="9"/>
    <x v="6"/>
  </r>
  <r>
    <x v="11"/>
    <x v="13"/>
    <x v="28"/>
    <x v="9"/>
    <x v="20"/>
  </r>
  <r>
    <x v="12"/>
    <x v="13"/>
    <x v="27"/>
    <x v="9"/>
    <x v="19"/>
  </r>
  <r>
    <x v="0"/>
    <x v="13"/>
    <x v="25"/>
    <x v="9"/>
    <x v="15"/>
  </r>
  <r>
    <x v="0"/>
    <x v="13"/>
    <x v="16"/>
    <x v="9"/>
    <x v="12"/>
  </r>
  <r>
    <x v="5"/>
    <x v="13"/>
    <x v="16"/>
    <x v="9"/>
    <x v="12"/>
  </r>
  <r>
    <x v="0"/>
    <x v="13"/>
    <x v="16"/>
    <x v="9"/>
    <x v="12"/>
  </r>
  <r>
    <x v="0"/>
    <x v="13"/>
    <x v="23"/>
    <x v="9"/>
    <x v="15"/>
  </r>
  <r>
    <x v="0"/>
    <x v="13"/>
    <x v="23"/>
    <x v="9"/>
    <x v="15"/>
  </r>
  <r>
    <x v="11"/>
    <x v="13"/>
    <x v="19"/>
    <x v="9"/>
    <x v="15"/>
  </r>
  <r>
    <x v="0"/>
    <x v="13"/>
    <x v="25"/>
    <x v="9"/>
    <x v="15"/>
  </r>
  <r>
    <x v="7"/>
    <x v="13"/>
    <x v="12"/>
    <x v="9"/>
    <x v="15"/>
  </r>
  <r>
    <x v="7"/>
    <x v="13"/>
    <x v="12"/>
    <x v="9"/>
    <x v="15"/>
  </r>
  <r>
    <x v="31"/>
    <x v="13"/>
    <x v="19"/>
    <x v="9"/>
    <x v="15"/>
  </r>
  <r>
    <x v="0"/>
    <x v="13"/>
    <x v="12"/>
    <x v="9"/>
    <x v="15"/>
  </r>
  <r>
    <x v="29"/>
    <x v="13"/>
    <x v="12"/>
    <x v="9"/>
    <x v="15"/>
  </r>
  <r>
    <x v="30"/>
    <x v="13"/>
    <x v="19"/>
    <x v="9"/>
    <x v="15"/>
  </r>
  <r>
    <x v="0"/>
    <x v="13"/>
    <x v="24"/>
    <x v="9"/>
    <x v="17"/>
  </r>
  <r>
    <x v="0"/>
    <x v="13"/>
    <x v="11"/>
    <x v="9"/>
    <x v="10"/>
  </r>
  <r>
    <x v="7"/>
    <x v="13"/>
    <x v="11"/>
    <x v="9"/>
    <x v="10"/>
  </r>
  <r>
    <x v="0"/>
    <x v="13"/>
    <x v="28"/>
    <x v="9"/>
    <x v="20"/>
  </r>
  <r>
    <x v="0"/>
    <x v="13"/>
    <x v="28"/>
    <x v="9"/>
    <x v="20"/>
  </r>
  <r>
    <x v="10"/>
    <x v="13"/>
    <x v="16"/>
    <x v="9"/>
    <x v="12"/>
  </r>
  <r>
    <x v="0"/>
    <x v="13"/>
    <x v="16"/>
    <x v="9"/>
    <x v="12"/>
  </r>
  <r>
    <x v="0"/>
    <x v="13"/>
    <x v="10"/>
    <x v="9"/>
    <x v="9"/>
  </r>
  <r>
    <x v="5"/>
    <x v="13"/>
    <x v="28"/>
    <x v="9"/>
    <x v="20"/>
  </r>
  <r>
    <x v="7"/>
    <x v="13"/>
    <x v="21"/>
    <x v="9"/>
    <x v="16"/>
  </r>
  <r>
    <x v="554"/>
    <x v="13"/>
    <x v="18"/>
    <x v="9"/>
    <x v="14"/>
  </r>
  <r>
    <x v="310"/>
    <x v="13"/>
    <x v="18"/>
    <x v="9"/>
    <x v="14"/>
  </r>
  <r>
    <x v="346"/>
    <x v="13"/>
    <x v="18"/>
    <x v="9"/>
    <x v="14"/>
  </r>
  <r>
    <x v="307"/>
    <x v="13"/>
    <x v="18"/>
    <x v="9"/>
    <x v="14"/>
  </r>
  <r>
    <x v="571"/>
    <x v="13"/>
    <x v="18"/>
    <x v="9"/>
    <x v="14"/>
  </r>
  <r>
    <x v="0"/>
    <x v="13"/>
    <x v="17"/>
    <x v="9"/>
    <x v="13"/>
  </r>
  <r>
    <x v="0"/>
    <x v="13"/>
    <x v="17"/>
    <x v="9"/>
    <x v="13"/>
  </r>
  <r>
    <x v="0"/>
    <x v="13"/>
    <x v="8"/>
    <x v="9"/>
    <x v="7"/>
  </r>
  <r>
    <x v="0"/>
    <x v="13"/>
    <x v="8"/>
    <x v="9"/>
    <x v="7"/>
  </r>
  <r>
    <x v="48"/>
    <x v="13"/>
    <x v="2"/>
    <x v="9"/>
    <x v="8"/>
  </r>
  <r>
    <x v="102"/>
    <x v="13"/>
    <x v="2"/>
    <x v="9"/>
    <x v="8"/>
  </r>
  <r>
    <x v="49"/>
    <x v="13"/>
    <x v="2"/>
    <x v="9"/>
    <x v="8"/>
  </r>
  <r>
    <x v="63"/>
    <x v="13"/>
    <x v="2"/>
    <x v="9"/>
    <x v="8"/>
  </r>
  <r>
    <x v="0"/>
    <x v="13"/>
    <x v="2"/>
    <x v="9"/>
    <x v="8"/>
  </r>
  <r>
    <x v="0"/>
    <x v="13"/>
    <x v="2"/>
    <x v="9"/>
    <x v="8"/>
  </r>
  <r>
    <x v="163"/>
    <x v="13"/>
    <x v="2"/>
    <x v="9"/>
    <x v="8"/>
  </r>
  <r>
    <x v="0"/>
    <x v="13"/>
    <x v="20"/>
    <x v="9"/>
    <x v="15"/>
  </r>
  <r>
    <x v="0"/>
    <x v="13"/>
    <x v="20"/>
    <x v="9"/>
    <x v="15"/>
  </r>
  <r>
    <x v="0"/>
    <x v="13"/>
    <x v="20"/>
    <x v="9"/>
    <x v="15"/>
  </r>
  <r>
    <x v="11"/>
    <x v="13"/>
    <x v="9"/>
    <x v="9"/>
    <x v="8"/>
  </r>
  <r>
    <x v="0"/>
    <x v="13"/>
    <x v="9"/>
    <x v="9"/>
    <x v="8"/>
  </r>
  <r>
    <x v="0"/>
    <x v="13"/>
    <x v="9"/>
    <x v="9"/>
    <x v="8"/>
  </r>
  <r>
    <x v="8"/>
    <x v="13"/>
    <x v="9"/>
    <x v="9"/>
    <x v="8"/>
  </r>
  <r>
    <x v="0"/>
    <x v="13"/>
    <x v="9"/>
    <x v="9"/>
    <x v="8"/>
  </r>
  <r>
    <x v="9"/>
    <x v="13"/>
    <x v="9"/>
    <x v="9"/>
    <x v="8"/>
  </r>
  <r>
    <x v="0"/>
    <x v="13"/>
    <x v="9"/>
    <x v="9"/>
    <x v="8"/>
  </r>
  <r>
    <x v="0"/>
    <x v="13"/>
    <x v="9"/>
    <x v="9"/>
    <x v="8"/>
  </r>
  <r>
    <x v="0"/>
    <x v="13"/>
    <x v="9"/>
    <x v="9"/>
    <x v="8"/>
  </r>
  <r>
    <x v="16"/>
    <x v="13"/>
    <x v="9"/>
    <x v="9"/>
    <x v="8"/>
  </r>
  <r>
    <x v="144"/>
    <x v="13"/>
    <x v="9"/>
    <x v="9"/>
    <x v="8"/>
  </r>
  <r>
    <x v="95"/>
    <x v="13"/>
    <x v="9"/>
    <x v="9"/>
    <x v="8"/>
  </r>
  <r>
    <x v="17"/>
    <x v="13"/>
    <x v="9"/>
    <x v="9"/>
    <x v="8"/>
  </r>
  <r>
    <x v="11"/>
    <x v="13"/>
    <x v="13"/>
    <x v="9"/>
    <x v="8"/>
  </r>
  <r>
    <x v="194"/>
    <x v="13"/>
    <x v="15"/>
    <x v="9"/>
    <x v="8"/>
  </r>
  <r>
    <x v="0"/>
    <x v="13"/>
    <x v="15"/>
    <x v="9"/>
    <x v="8"/>
  </r>
  <r>
    <x v="81"/>
    <x v="13"/>
    <x v="15"/>
    <x v="9"/>
    <x v="8"/>
  </r>
  <r>
    <x v="0"/>
    <x v="13"/>
    <x v="25"/>
    <x v="9"/>
    <x v="15"/>
  </r>
  <r>
    <x v="3"/>
    <x v="13"/>
    <x v="26"/>
    <x v="9"/>
    <x v="18"/>
  </r>
  <r>
    <x v="0"/>
    <x v="13"/>
    <x v="22"/>
    <x v="9"/>
    <x v="15"/>
  </r>
  <r>
    <x v="14"/>
    <x v="13"/>
    <x v="28"/>
    <x v="9"/>
    <x v="20"/>
  </r>
  <r>
    <x v="0"/>
    <x v="13"/>
    <x v="3"/>
    <x v="9"/>
    <x v="2"/>
  </r>
  <r>
    <x v="0"/>
    <x v="13"/>
    <x v="28"/>
    <x v="9"/>
    <x v="20"/>
  </r>
  <r>
    <x v="9"/>
    <x v="13"/>
    <x v="15"/>
    <x v="9"/>
    <x v="8"/>
  </r>
  <r>
    <x v="0"/>
    <x v="13"/>
    <x v="15"/>
    <x v="9"/>
    <x v="8"/>
  </r>
  <r>
    <x v="0"/>
    <x v="13"/>
    <x v="13"/>
    <x v="9"/>
    <x v="8"/>
  </r>
  <r>
    <x v="47"/>
    <x v="13"/>
    <x v="2"/>
    <x v="9"/>
    <x v="8"/>
  </r>
  <r>
    <x v="0"/>
    <x v="13"/>
    <x v="24"/>
    <x v="9"/>
    <x v="17"/>
  </r>
  <r>
    <x v="0"/>
    <x v="13"/>
    <x v="4"/>
    <x v="9"/>
    <x v="3"/>
  </r>
  <r>
    <x v="0"/>
    <x v="13"/>
    <x v="5"/>
    <x v="9"/>
    <x v="4"/>
  </r>
  <r>
    <x v="83"/>
    <x v="13"/>
    <x v="6"/>
    <x v="9"/>
    <x v="5"/>
  </r>
  <r>
    <x v="484"/>
    <x v="12"/>
    <x v="0"/>
    <x v="8"/>
    <x v="0"/>
  </r>
  <r>
    <x v="7"/>
    <x v="12"/>
    <x v="1"/>
    <x v="8"/>
    <x v="1"/>
  </r>
  <r>
    <x v="0"/>
    <x v="12"/>
    <x v="28"/>
    <x v="8"/>
    <x v="20"/>
  </r>
  <r>
    <x v="0"/>
    <x v="12"/>
    <x v="14"/>
    <x v="8"/>
    <x v="11"/>
  </r>
  <r>
    <x v="6"/>
    <x v="12"/>
    <x v="28"/>
    <x v="8"/>
    <x v="20"/>
  </r>
  <r>
    <x v="0"/>
    <x v="12"/>
    <x v="28"/>
    <x v="8"/>
    <x v="20"/>
  </r>
  <r>
    <x v="0"/>
    <x v="12"/>
    <x v="7"/>
    <x v="8"/>
    <x v="6"/>
  </r>
  <r>
    <x v="0"/>
    <x v="12"/>
    <x v="28"/>
    <x v="8"/>
    <x v="20"/>
  </r>
  <r>
    <x v="0"/>
    <x v="12"/>
    <x v="27"/>
    <x v="8"/>
    <x v="19"/>
  </r>
  <r>
    <x v="0"/>
    <x v="12"/>
    <x v="25"/>
    <x v="8"/>
    <x v="15"/>
  </r>
  <r>
    <x v="0"/>
    <x v="12"/>
    <x v="16"/>
    <x v="8"/>
    <x v="12"/>
  </r>
  <r>
    <x v="0"/>
    <x v="12"/>
    <x v="16"/>
    <x v="8"/>
    <x v="12"/>
  </r>
  <r>
    <x v="0"/>
    <x v="12"/>
    <x v="16"/>
    <x v="8"/>
    <x v="12"/>
  </r>
  <r>
    <x v="0"/>
    <x v="12"/>
    <x v="23"/>
    <x v="8"/>
    <x v="15"/>
  </r>
  <r>
    <x v="0"/>
    <x v="12"/>
    <x v="23"/>
    <x v="8"/>
    <x v="15"/>
  </r>
  <r>
    <x v="0"/>
    <x v="12"/>
    <x v="19"/>
    <x v="8"/>
    <x v="15"/>
  </r>
  <r>
    <x v="0"/>
    <x v="12"/>
    <x v="25"/>
    <x v="8"/>
    <x v="15"/>
  </r>
  <r>
    <x v="0"/>
    <x v="12"/>
    <x v="12"/>
    <x v="8"/>
    <x v="15"/>
  </r>
  <r>
    <x v="0"/>
    <x v="12"/>
    <x v="12"/>
    <x v="8"/>
    <x v="15"/>
  </r>
  <r>
    <x v="0"/>
    <x v="12"/>
    <x v="19"/>
    <x v="8"/>
    <x v="15"/>
  </r>
  <r>
    <x v="0"/>
    <x v="12"/>
    <x v="12"/>
    <x v="8"/>
    <x v="15"/>
  </r>
  <r>
    <x v="0"/>
    <x v="12"/>
    <x v="12"/>
    <x v="8"/>
    <x v="15"/>
  </r>
  <r>
    <x v="0"/>
    <x v="12"/>
    <x v="19"/>
    <x v="8"/>
    <x v="15"/>
  </r>
  <r>
    <x v="0"/>
    <x v="12"/>
    <x v="24"/>
    <x v="8"/>
    <x v="17"/>
  </r>
  <r>
    <x v="0"/>
    <x v="12"/>
    <x v="11"/>
    <x v="8"/>
    <x v="10"/>
  </r>
  <r>
    <x v="0"/>
    <x v="12"/>
    <x v="11"/>
    <x v="8"/>
    <x v="10"/>
  </r>
  <r>
    <x v="0"/>
    <x v="12"/>
    <x v="28"/>
    <x v="8"/>
    <x v="20"/>
  </r>
  <r>
    <x v="11"/>
    <x v="12"/>
    <x v="28"/>
    <x v="8"/>
    <x v="20"/>
  </r>
  <r>
    <x v="0"/>
    <x v="12"/>
    <x v="16"/>
    <x v="8"/>
    <x v="12"/>
  </r>
  <r>
    <x v="0"/>
    <x v="12"/>
    <x v="16"/>
    <x v="8"/>
    <x v="12"/>
  </r>
  <r>
    <x v="0"/>
    <x v="12"/>
    <x v="10"/>
    <x v="8"/>
    <x v="9"/>
  </r>
  <r>
    <x v="0"/>
    <x v="12"/>
    <x v="28"/>
    <x v="8"/>
    <x v="20"/>
  </r>
  <r>
    <x v="5"/>
    <x v="12"/>
    <x v="21"/>
    <x v="8"/>
    <x v="16"/>
  </r>
  <r>
    <x v="0"/>
    <x v="12"/>
    <x v="18"/>
    <x v="8"/>
    <x v="14"/>
  </r>
  <r>
    <x v="0"/>
    <x v="12"/>
    <x v="18"/>
    <x v="8"/>
    <x v="14"/>
  </r>
  <r>
    <x v="0"/>
    <x v="12"/>
    <x v="18"/>
    <x v="8"/>
    <x v="14"/>
  </r>
  <r>
    <x v="0"/>
    <x v="12"/>
    <x v="18"/>
    <x v="8"/>
    <x v="14"/>
  </r>
  <r>
    <x v="0"/>
    <x v="12"/>
    <x v="18"/>
    <x v="8"/>
    <x v="14"/>
  </r>
  <r>
    <x v="421"/>
    <x v="12"/>
    <x v="17"/>
    <x v="8"/>
    <x v="13"/>
  </r>
  <r>
    <x v="321"/>
    <x v="12"/>
    <x v="17"/>
    <x v="8"/>
    <x v="13"/>
  </r>
  <r>
    <x v="0"/>
    <x v="12"/>
    <x v="8"/>
    <x v="8"/>
    <x v="7"/>
  </r>
  <r>
    <x v="7"/>
    <x v="12"/>
    <x v="8"/>
    <x v="8"/>
    <x v="7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39"/>
    <x v="12"/>
    <x v="20"/>
    <x v="8"/>
    <x v="15"/>
  </r>
  <r>
    <x v="0"/>
    <x v="12"/>
    <x v="20"/>
    <x v="8"/>
    <x v="15"/>
  </r>
  <r>
    <x v="20"/>
    <x v="12"/>
    <x v="20"/>
    <x v="8"/>
    <x v="15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5"/>
    <x v="12"/>
    <x v="9"/>
    <x v="8"/>
    <x v="8"/>
  </r>
  <r>
    <x v="0"/>
    <x v="12"/>
    <x v="9"/>
    <x v="8"/>
    <x v="8"/>
  </r>
  <r>
    <x v="0"/>
    <x v="12"/>
    <x v="9"/>
    <x v="8"/>
    <x v="8"/>
  </r>
  <r>
    <x v="11"/>
    <x v="12"/>
    <x v="13"/>
    <x v="8"/>
    <x v="8"/>
  </r>
  <r>
    <x v="0"/>
    <x v="12"/>
    <x v="15"/>
    <x v="8"/>
    <x v="8"/>
  </r>
  <r>
    <x v="0"/>
    <x v="12"/>
    <x v="15"/>
    <x v="8"/>
    <x v="8"/>
  </r>
  <r>
    <x v="0"/>
    <x v="12"/>
    <x v="15"/>
    <x v="8"/>
    <x v="8"/>
  </r>
  <r>
    <x v="0"/>
    <x v="12"/>
    <x v="25"/>
    <x v="8"/>
    <x v="15"/>
  </r>
  <r>
    <x v="0"/>
    <x v="12"/>
    <x v="26"/>
    <x v="8"/>
    <x v="18"/>
  </r>
  <r>
    <x v="95"/>
    <x v="12"/>
    <x v="22"/>
    <x v="8"/>
    <x v="15"/>
  </r>
  <r>
    <x v="7"/>
    <x v="12"/>
    <x v="28"/>
    <x v="8"/>
    <x v="20"/>
  </r>
  <r>
    <x v="0"/>
    <x v="12"/>
    <x v="3"/>
    <x v="8"/>
    <x v="2"/>
  </r>
  <r>
    <x v="0"/>
    <x v="12"/>
    <x v="28"/>
    <x v="8"/>
    <x v="20"/>
  </r>
  <r>
    <x v="0"/>
    <x v="12"/>
    <x v="15"/>
    <x v="8"/>
    <x v="8"/>
  </r>
  <r>
    <x v="0"/>
    <x v="12"/>
    <x v="15"/>
    <x v="8"/>
    <x v="8"/>
  </r>
  <r>
    <x v="0"/>
    <x v="12"/>
    <x v="13"/>
    <x v="8"/>
    <x v="8"/>
  </r>
  <r>
    <x v="0"/>
    <x v="12"/>
    <x v="2"/>
    <x v="8"/>
    <x v="8"/>
  </r>
  <r>
    <x v="0"/>
    <x v="12"/>
    <x v="24"/>
    <x v="8"/>
    <x v="17"/>
  </r>
  <r>
    <x v="0"/>
    <x v="12"/>
    <x v="4"/>
    <x v="8"/>
    <x v="3"/>
  </r>
  <r>
    <x v="0"/>
    <x v="12"/>
    <x v="5"/>
    <x v="8"/>
    <x v="4"/>
  </r>
  <r>
    <x v="0"/>
    <x v="12"/>
    <x v="6"/>
    <x v="8"/>
    <x v="5"/>
  </r>
  <r>
    <x v="547"/>
    <x v="12"/>
    <x v="0"/>
    <x v="8"/>
    <x v="0"/>
  </r>
  <r>
    <x v="0"/>
    <x v="12"/>
    <x v="1"/>
    <x v="8"/>
    <x v="1"/>
  </r>
  <r>
    <x v="0"/>
    <x v="12"/>
    <x v="28"/>
    <x v="8"/>
    <x v="20"/>
  </r>
  <r>
    <x v="10"/>
    <x v="12"/>
    <x v="14"/>
    <x v="8"/>
    <x v="11"/>
  </r>
  <r>
    <x v="0"/>
    <x v="12"/>
    <x v="28"/>
    <x v="8"/>
    <x v="20"/>
  </r>
  <r>
    <x v="0"/>
    <x v="12"/>
    <x v="28"/>
    <x v="8"/>
    <x v="20"/>
  </r>
  <r>
    <x v="0"/>
    <x v="12"/>
    <x v="7"/>
    <x v="8"/>
    <x v="6"/>
  </r>
  <r>
    <x v="0"/>
    <x v="12"/>
    <x v="28"/>
    <x v="8"/>
    <x v="20"/>
  </r>
  <r>
    <x v="10"/>
    <x v="12"/>
    <x v="27"/>
    <x v="8"/>
    <x v="19"/>
  </r>
  <r>
    <x v="0"/>
    <x v="12"/>
    <x v="25"/>
    <x v="8"/>
    <x v="15"/>
  </r>
  <r>
    <x v="0"/>
    <x v="12"/>
    <x v="16"/>
    <x v="8"/>
    <x v="12"/>
  </r>
  <r>
    <x v="0"/>
    <x v="12"/>
    <x v="16"/>
    <x v="8"/>
    <x v="12"/>
  </r>
  <r>
    <x v="0"/>
    <x v="12"/>
    <x v="16"/>
    <x v="8"/>
    <x v="12"/>
  </r>
  <r>
    <x v="0"/>
    <x v="12"/>
    <x v="23"/>
    <x v="8"/>
    <x v="15"/>
  </r>
  <r>
    <x v="0"/>
    <x v="12"/>
    <x v="23"/>
    <x v="8"/>
    <x v="15"/>
  </r>
  <r>
    <x v="0"/>
    <x v="12"/>
    <x v="19"/>
    <x v="8"/>
    <x v="15"/>
  </r>
  <r>
    <x v="0"/>
    <x v="12"/>
    <x v="25"/>
    <x v="8"/>
    <x v="15"/>
  </r>
  <r>
    <x v="10"/>
    <x v="12"/>
    <x v="12"/>
    <x v="8"/>
    <x v="15"/>
  </r>
  <r>
    <x v="0"/>
    <x v="12"/>
    <x v="12"/>
    <x v="8"/>
    <x v="15"/>
  </r>
  <r>
    <x v="0"/>
    <x v="12"/>
    <x v="19"/>
    <x v="8"/>
    <x v="15"/>
  </r>
  <r>
    <x v="0"/>
    <x v="12"/>
    <x v="12"/>
    <x v="8"/>
    <x v="15"/>
  </r>
  <r>
    <x v="16"/>
    <x v="12"/>
    <x v="12"/>
    <x v="8"/>
    <x v="15"/>
  </r>
  <r>
    <x v="19"/>
    <x v="12"/>
    <x v="19"/>
    <x v="8"/>
    <x v="15"/>
  </r>
  <r>
    <x v="0"/>
    <x v="12"/>
    <x v="24"/>
    <x v="8"/>
    <x v="17"/>
  </r>
  <r>
    <x v="0"/>
    <x v="12"/>
    <x v="11"/>
    <x v="8"/>
    <x v="10"/>
  </r>
  <r>
    <x v="0"/>
    <x v="12"/>
    <x v="11"/>
    <x v="8"/>
    <x v="10"/>
  </r>
  <r>
    <x v="0"/>
    <x v="12"/>
    <x v="28"/>
    <x v="8"/>
    <x v="20"/>
  </r>
  <r>
    <x v="19"/>
    <x v="12"/>
    <x v="28"/>
    <x v="8"/>
    <x v="20"/>
  </r>
  <r>
    <x v="0"/>
    <x v="12"/>
    <x v="16"/>
    <x v="8"/>
    <x v="12"/>
  </r>
  <r>
    <x v="0"/>
    <x v="12"/>
    <x v="16"/>
    <x v="8"/>
    <x v="12"/>
  </r>
  <r>
    <x v="0"/>
    <x v="12"/>
    <x v="10"/>
    <x v="8"/>
    <x v="9"/>
  </r>
  <r>
    <x v="0"/>
    <x v="12"/>
    <x v="28"/>
    <x v="8"/>
    <x v="20"/>
  </r>
  <r>
    <x v="0"/>
    <x v="12"/>
    <x v="21"/>
    <x v="8"/>
    <x v="16"/>
  </r>
  <r>
    <x v="0"/>
    <x v="12"/>
    <x v="18"/>
    <x v="8"/>
    <x v="14"/>
  </r>
  <r>
    <x v="0"/>
    <x v="12"/>
    <x v="18"/>
    <x v="8"/>
    <x v="14"/>
  </r>
  <r>
    <x v="0"/>
    <x v="12"/>
    <x v="18"/>
    <x v="8"/>
    <x v="14"/>
  </r>
  <r>
    <x v="0"/>
    <x v="12"/>
    <x v="18"/>
    <x v="8"/>
    <x v="14"/>
  </r>
  <r>
    <x v="0"/>
    <x v="12"/>
    <x v="18"/>
    <x v="8"/>
    <x v="14"/>
  </r>
  <r>
    <x v="343"/>
    <x v="12"/>
    <x v="17"/>
    <x v="8"/>
    <x v="13"/>
  </r>
  <r>
    <x v="527"/>
    <x v="12"/>
    <x v="17"/>
    <x v="8"/>
    <x v="13"/>
  </r>
  <r>
    <x v="0"/>
    <x v="12"/>
    <x v="8"/>
    <x v="8"/>
    <x v="7"/>
  </r>
  <r>
    <x v="0"/>
    <x v="12"/>
    <x v="8"/>
    <x v="8"/>
    <x v="7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0"/>
    <x v="12"/>
    <x v="2"/>
    <x v="8"/>
    <x v="8"/>
  </r>
  <r>
    <x v="46"/>
    <x v="12"/>
    <x v="20"/>
    <x v="8"/>
    <x v="15"/>
  </r>
  <r>
    <x v="0"/>
    <x v="12"/>
    <x v="20"/>
    <x v="8"/>
    <x v="15"/>
  </r>
  <r>
    <x v="69"/>
    <x v="12"/>
    <x v="20"/>
    <x v="8"/>
    <x v="15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6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9"/>
    <x v="8"/>
    <x v="8"/>
  </r>
  <r>
    <x v="9"/>
    <x v="12"/>
    <x v="9"/>
    <x v="8"/>
    <x v="8"/>
  </r>
  <r>
    <x v="0"/>
    <x v="12"/>
    <x v="9"/>
    <x v="8"/>
    <x v="8"/>
  </r>
  <r>
    <x v="0"/>
    <x v="12"/>
    <x v="9"/>
    <x v="8"/>
    <x v="8"/>
  </r>
  <r>
    <x v="0"/>
    <x v="12"/>
    <x v="13"/>
    <x v="8"/>
    <x v="8"/>
  </r>
  <r>
    <x v="0"/>
    <x v="12"/>
    <x v="15"/>
    <x v="8"/>
    <x v="8"/>
  </r>
  <r>
    <x v="0"/>
    <x v="12"/>
    <x v="15"/>
    <x v="8"/>
    <x v="8"/>
  </r>
  <r>
    <x v="11"/>
    <x v="12"/>
    <x v="15"/>
    <x v="8"/>
    <x v="8"/>
  </r>
  <r>
    <x v="0"/>
    <x v="12"/>
    <x v="25"/>
    <x v="8"/>
    <x v="15"/>
  </r>
  <r>
    <x v="0"/>
    <x v="12"/>
    <x v="26"/>
    <x v="8"/>
    <x v="18"/>
  </r>
  <r>
    <x v="249"/>
    <x v="12"/>
    <x v="22"/>
    <x v="8"/>
    <x v="15"/>
  </r>
  <r>
    <x v="0"/>
    <x v="12"/>
    <x v="28"/>
    <x v="8"/>
    <x v="20"/>
  </r>
  <r>
    <x v="0"/>
    <x v="12"/>
    <x v="3"/>
    <x v="8"/>
    <x v="2"/>
  </r>
  <r>
    <x v="38"/>
    <x v="12"/>
    <x v="28"/>
    <x v="8"/>
    <x v="20"/>
  </r>
  <r>
    <x v="0"/>
    <x v="12"/>
    <x v="15"/>
    <x v="8"/>
    <x v="8"/>
  </r>
  <r>
    <x v="0"/>
    <x v="12"/>
    <x v="15"/>
    <x v="8"/>
    <x v="8"/>
  </r>
  <r>
    <x v="0"/>
    <x v="12"/>
    <x v="13"/>
    <x v="8"/>
    <x v="8"/>
  </r>
  <r>
    <x v="0"/>
    <x v="12"/>
    <x v="2"/>
    <x v="8"/>
    <x v="8"/>
  </r>
  <r>
    <x v="0"/>
    <x v="12"/>
    <x v="24"/>
    <x v="8"/>
    <x v="17"/>
  </r>
  <r>
    <x v="0"/>
    <x v="12"/>
    <x v="4"/>
    <x v="8"/>
    <x v="3"/>
  </r>
  <r>
    <x v="0"/>
    <x v="12"/>
    <x v="5"/>
    <x v="8"/>
    <x v="4"/>
  </r>
  <r>
    <x v="15"/>
    <x v="12"/>
    <x v="6"/>
    <x v="8"/>
    <x v="5"/>
  </r>
  <r>
    <x v="563"/>
    <x v="3"/>
    <x v="0"/>
    <x v="2"/>
    <x v="0"/>
  </r>
  <r>
    <x v="0"/>
    <x v="3"/>
    <x v="1"/>
    <x v="2"/>
    <x v="1"/>
  </r>
  <r>
    <x v="9"/>
    <x v="3"/>
    <x v="28"/>
    <x v="2"/>
    <x v="20"/>
  </r>
  <r>
    <x v="0"/>
    <x v="3"/>
    <x v="14"/>
    <x v="2"/>
    <x v="11"/>
  </r>
  <r>
    <x v="19"/>
    <x v="3"/>
    <x v="28"/>
    <x v="2"/>
    <x v="20"/>
  </r>
  <r>
    <x v="11"/>
    <x v="3"/>
    <x v="28"/>
    <x v="2"/>
    <x v="20"/>
  </r>
  <r>
    <x v="0"/>
    <x v="3"/>
    <x v="7"/>
    <x v="2"/>
    <x v="6"/>
  </r>
  <r>
    <x v="0"/>
    <x v="3"/>
    <x v="28"/>
    <x v="2"/>
    <x v="20"/>
  </r>
  <r>
    <x v="0"/>
    <x v="3"/>
    <x v="27"/>
    <x v="2"/>
    <x v="19"/>
  </r>
  <r>
    <x v="0"/>
    <x v="3"/>
    <x v="25"/>
    <x v="2"/>
    <x v="15"/>
  </r>
  <r>
    <x v="0"/>
    <x v="3"/>
    <x v="16"/>
    <x v="2"/>
    <x v="12"/>
  </r>
  <r>
    <x v="8"/>
    <x v="3"/>
    <x v="16"/>
    <x v="2"/>
    <x v="12"/>
  </r>
  <r>
    <x v="0"/>
    <x v="3"/>
    <x v="16"/>
    <x v="2"/>
    <x v="12"/>
  </r>
  <r>
    <x v="0"/>
    <x v="3"/>
    <x v="23"/>
    <x v="2"/>
    <x v="15"/>
  </r>
  <r>
    <x v="0"/>
    <x v="3"/>
    <x v="23"/>
    <x v="2"/>
    <x v="15"/>
  </r>
  <r>
    <x v="0"/>
    <x v="3"/>
    <x v="19"/>
    <x v="2"/>
    <x v="15"/>
  </r>
  <r>
    <x v="0"/>
    <x v="3"/>
    <x v="25"/>
    <x v="2"/>
    <x v="15"/>
  </r>
  <r>
    <x v="0"/>
    <x v="3"/>
    <x v="12"/>
    <x v="2"/>
    <x v="15"/>
  </r>
  <r>
    <x v="13"/>
    <x v="3"/>
    <x v="12"/>
    <x v="2"/>
    <x v="15"/>
  </r>
  <r>
    <x v="14"/>
    <x v="3"/>
    <x v="19"/>
    <x v="2"/>
    <x v="15"/>
  </r>
  <r>
    <x v="0"/>
    <x v="3"/>
    <x v="12"/>
    <x v="2"/>
    <x v="15"/>
  </r>
  <r>
    <x v="16"/>
    <x v="3"/>
    <x v="12"/>
    <x v="2"/>
    <x v="15"/>
  </r>
  <r>
    <x v="23"/>
    <x v="3"/>
    <x v="19"/>
    <x v="2"/>
    <x v="15"/>
  </r>
  <r>
    <x v="0"/>
    <x v="3"/>
    <x v="24"/>
    <x v="2"/>
    <x v="17"/>
  </r>
  <r>
    <x v="8"/>
    <x v="3"/>
    <x v="11"/>
    <x v="2"/>
    <x v="10"/>
  </r>
  <r>
    <x v="0"/>
    <x v="3"/>
    <x v="11"/>
    <x v="2"/>
    <x v="10"/>
  </r>
  <r>
    <x v="0"/>
    <x v="3"/>
    <x v="28"/>
    <x v="2"/>
    <x v="20"/>
  </r>
  <r>
    <x v="196"/>
    <x v="3"/>
    <x v="28"/>
    <x v="2"/>
    <x v="20"/>
  </r>
  <r>
    <x v="11"/>
    <x v="3"/>
    <x v="16"/>
    <x v="2"/>
    <x v="12"/>
  </r>
  <r>
    <x v="0"/>
    <x v="3"/>
    <x v="16"/>
    <x v="2"/>
    <x v="12"/>
  </r>
  <r>
    <x v="36"/>
    <x v="3"/>
    <x v="10"/>
    <x v="2"/>
    <x v="9"/>
  </r>
  <r>
    <x v="79"/>
    <x v="3"/>
    <x v="28"/>
    <x v="2"/>
    <x v="20"/>
  </r>
  <r>
    <x v="7"/>
    <x v="3"/>
    <x v="21"/>
    <x v="2"/>
    <x v="16"/>
  </r>
  <r>
    <x v="8"/>
    <x v="3"/>
    <x v="18"/>
    <x v="2"/>
    <x v="14"/>
  </r>
  <r>
    <x v="0"/>
    <x v="3"/>
    <x v="18"/>
    <x v="2"/>
    <x v="14"/>
  </r>
  <r>
    <x v="0"/>
    <x v="3"/>
    <x v="18"/>
    <x v="2"/>
    <x v="14"/>
  </r>
  <r>
    <x v="0"/>
    <x v="3"/>
    <x v="18"/>
    <x v="2"/>
    <x v="14"/>
  </r>
  <r>
    <x v="0"/>
    <x v="3"/>
    <x v="18"/>
    <x v="2"/>
    <x v="14"/>
  </r>
  <r>
    <x v="0"/>
    <x v="3"/>
    <x v="17"/>
    <x v="2"/>
    <x v="13"/>
  </r>
  <r>
    <x v="25"/>
    <x v="3"/>
    <x v="17"/>
    <x v="2"/>
    <x v="13"/>
  </r>
  <r>
    <x v="539"/>
    <x v="3"/>
    <x v="8"/>
    <x v="2"/>
    <x v="7"/>
  </r>
  <r>
    <x v="360"/>
    <x v="3"/>
    <x v="8"/>
    <x v="2"/>
    <x v="7"/>
  </r>
  <r>
    <x v="9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7"/>
    <x v="3"/>
    <x v="20"/>
    <x v="2"/>
    <x v="15"/>
  </r>
  <r>
    <x v="0"/>
    <x v="3"/>
    <x v="20"/>
    <x v="2"/>
    <x v="15"/>
  </r>
  <r>
    <x v="0"/>
    <x v="3"/>
    <x v="20"/>
    <x v="2"/>
    <x v="15"/>
  </r>
  <r>
    <x v="8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12"/>
    <x v="3"/>
    <x v="9"/>
    <x v="2"/>
    <x v="8"/>
  </r>
  <r>
    <x v="0"/>
    <x v="3"/>
    <x v="9"/>
    <x v="2"/>
    <x v="8"/>
  </r>
  <r>
    <x v="29"/>
    <x v="3"/>
    <x v="13"/>
    <x v="2"/>
    <x v="8"/>
  </r>
  <r>
    <x v="0"/>
    <x v="3"/>
    <x v="15"/>
    <x v="2"/>
    <x v="8"/>
  </r>
  <r>
    <x v="0"/>
    <x v="3"/>
    <x v="15"/>
    <x v="2"/>
    <x v="8"/>
  </r>
  <r>
    <x v="0"/>
    <x v="3"/>
    <x v="15"/>
    <x v="2"/>
    <x v="8"/>
  </r>
  <r>
    <x v="0"/>
    <x v="3"/>
    <x v="25"/>
    <x v="2"/>
    <x v="15"/>
  </r>
  <r>
    <x v="40"/>
    <x v="3"/>
    <x v="26"/>
    <x v="2"/>
    <x v="18"/>
  </r>
  <r>
    <x v="6"/>
    <x v="3"/>
    <x v="22"/>
    <x v="2"/>
    <x v="15"/>
  </r>
  <r>
    <x v="0"/>
    <x v="3"/>
    <x v="28"/>
    <x v="2"/>
    <x v="20"/>
  </r>
  <r>
    <x v="0"/>
    <x v="3"/>
    <x v="3"/>
    <x v="2"/>
    <x v="2"/>
  </r>
  <r>
    <x v="0"/>
    <x v="3"/>
    <x v="28"/>
    <x v="2"/>
    <x v="20"/>
  </r>
  <r>
    <x v="0"/>
    <x v="3"/>
    <x v="15"/>
    <x v="2"/>
    <x v="8"/>
  </r>
  <r>
    <x v="0"/>
    <x v="3"/>
    <x v="15"/>
    <x v="2"/>
    <x v="8"/>
  </r>
  <r>
    <x v="0"/>
    <x v="3"/>
    <x v="13"/>
    <x v="2"/>
    <x v="8"/>
  </r>
  <r>
    <x v="0"/>
    <x v="3"/>
    <x v="2"/>
    <x v="2"/>
    <x v="8"/>
  </r>
  <r>
    <x v="0"/>
    <x v="3"/>
    <x v="24"/>
    <x v="2"/>
    <x v="17"/>
  </r>
  <r>
    <x v="0"/>
    <x v="3"/>
    <x v="4"/>
    <x v="2"/>
    <x v="3"/>
  </r>
  <r>
    <x v="0"/>
    <x v="3"/>
    <x v="5"/>
    <x v="2"/>
    <x v="4"/>
  </r>
  <r>
    <x v="0"/>
    <x v="3"/>
    <x v="6"/>
    <x v="2"/>
    <x v="5"/>
  </r>
  <r>
    <x v="557"/>
    <x v="3"/>
    <x v="0"/>
    <x v="2"/>
    <x v="0"/>
  </r>
  <r>
    <x v="0"/>
    <x v="3"/>
    <x v="1"/>
    <x v="2"/>
    <x v="1"/>
  </r>
  <r>
    <x v="0"/>
    <x v="3"/>
    <x v="28"/>
    <x v="2"/>
    <x v="20"/>
  </r>
  <r>
    <x v="0"/>
    <x v="3"/>
    <x v="14"/>
    <x v="2"/>
    <x v="11"/>
  </r>
  <r>
    <x v="8"/>
    <x v="3"/>
    <x v="28"/>
    <x v="2"/>
    <x v="20"/>
  </r>
  <r>
    <x v="4"/>
    <x v="3"/>
    <x v="28"/>
    <x v="2"/>
    <x v="20"/>
  </r>
  <r>
    <x v="14"/>
    <x v="3"/>
    <x v="7"/>
    <x v="2"/>
    <x v="6"/>
  </r>
  <r>
    <x v="0"/>
    <x v="3"/>
    <x v="28"/>
    <x v="2"/>
    <x v="20"/>
  </r>
  <r>
    <x v="7"/>
    <x v="3"/>
    <x v="27"/>
    <x v="2"/>
    <x v="19"/>
  </r>
  <r>
    <x v="0"/>
    <x v="3"/>
    <x v="25"/>
    <x v="2"/>
    <x v="15"/>
  </r>
  <r>
    <x v="0"/>
    <x v="3"/>
    <x v="16"/>
    <x v="2"/>
    <x v="12"/>
  </r>
  <r>
    <x v="7"/>
    <x v="3"/>
    <x v="16"/>
    <x v="2"/>
    <x v="12"/>
  </r>
  <r>
    <x v="0"/>
    <x v="3"/>
    <x v="16"/>
    <x v="2"/>
    <x v="12"/>
  </r>
  <r>
    <x v="0"/>
    <x v="3"/>
    <x v="23"/>
    <x v="2"/>
    <x v="15"/>
  </r>
  <r>
    <x v="0"/>
    <x v="3"/>
    <x v="23"/>
    <x v="2"/>
    <x v="15"/>
  </r>
  <r>
    <x v="0"/>
    <x v="3"/>
    <x v="19"/>
    <x v="2"/>
    <x v="15"/>
  </r>
  <r>
    <x v="0"/>
    <x v="3"/>
    <x v="25"/>
    <x v="2"/>
    <x v="15"/>
  </r>
  <r>
    <x v="0"/>
    <x v="3"/>
    <x v="12"/>
    <x v="2"/>
    <x v="15"/>
  </r>
  <r>
    <x v="0"/>
    <x v="3"/>
    <x v="12"/>
    <x v="2"/>
    <x v="15"/>
  </r>
  <r>
    <x v="14"/>
    <x v="3"/>
    <x v="19"/>
    <x v="2"/>
    <x v="15"/>
  </r>
  <r>
    <x v="0"/>
    <x v="3"/>
    <x v="12"/>
    <x v="2"/>
    <x v="15"/>
  </r>
  <r>
    <x v="0"/>
    <x v="3"/>
    <x v="12"/>
    <x v="2"/>
    <x v="15"/>
  </r>
  <r>
    <x v="6"/>
    <x v="3"/>
    <x v="19"/>
    <x v="2"/>
    <x v="15"/>
  </r>
  <r>
    <x v="11"/>
    <x v="3"/>
    <x v="24"/>
    <x v="2"/>
    <x v="17"/>
  </r>
  <r>
    <x v="0"/>
    <x v="3"/>
    <x v="11"/>
    <x v="2"/>
    <x v="10"/>
  </r>
  <r>
    <x v="7"/>
    <x v="3"/>
    <x v="11"/>
    <x v="2"/>
    <x v="10"/>
  </r>
  <r>
    <x v="0"/>
    <x v="3"/>
    <x v="28"/>
    <x v="2"/>
    <x v="20"/>
  </r>
  <r>
    <x v="88"/>
    <x v="3"/>
    <x v="28"/>
    <x v="2"/>
    <x v="20"/>
  </r>
  <r>
    <x v="0"/>
    <x v="3"/>
    <x v="16"/>
    <x v="2"/>
    <x v="12"/>
  </r>
  <r>
    <x v="0"/>
    <x v="3"/>
    <x v="16"/>
    <x v="2"/>
    <x v="12"/>
  </r>
  <r>
    <x v="64"/>
    <x v="3"/>
    <x v="10"/>
    <x v="2"/>
    <x v="9"/>
  </r>
  <r>
    <x v="137"/>
    <x v="3"/>
    <x v="28"/>
    <x v="2"/>
    <x v="20"/>
  </r>
  <r>
    <x v="0"/>
    <x v="3"/>
    <x v="21"/>
    <x v="2"/>
    <x v="16"/>
  </r>
  <r>
    <x v="0"/>
    <x v="3"/>
    <x v="18"/>
    <x v="2"/>
    <x v="14"/>
  </r>
  <r>
    <x v="0"/>
    <x v="3"/>
    <x v="18"/>
    <x v="2"/>
    <x v="14"/>
  </r>
  <r>
    <x v="0"/>
    <x v="3"/>
    <x v="18"/>
    <x v="2"/>
    <x v="14"/>
  </r>
  <r>
    <x v="0"/>
    <x v="3"/>
    <x v="18"/>
    <x v="2"/>
    <x v="14"/>
  </r>
  <r>
    <x v="0"/>
    <x v="3"/>
    <x v="18"/>
    <x v="2"/>
    <x v="14"/>
  </r>
  <r>
    <x v="15"/>
    <x v="3"/>
    <x v="17"/>
    <x v="2"/>
    <x v="13"/>
  </r>
  <r>
    <x v="0"/>
    <x v="3"/>
    <x v="17"/>
    <x v="2"/>
    <x v="13"/>
  </r>
  <r>
    <x v="467"/>
    <x v="3"/>
    <x v="8"/>
    <x v="2"/>
    <x v="7"/>
  </r>
  <r>
    <x v="496"/>
    <x v="3"/>
    <x v="8"/>
    <x v="2"/>
    <x v="7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"/>
    <x v="2"/>
    <x v="8"/>
  </r>
  <r>
    <x v="0"/>
    <x v="3"/>
    <x v="20"/>
    <x v="2"/>
    <x v="15"/>
  </r>
  <r>
    <x v="0"/>
    <x v="3"/>
    <x v="20"/>
    <x v="2"/>
    <x v="15"/>
  </r>
  <r>
    <x v="0"/>
    <x v="3"/>
    <x v="20"/>
    <x v="2"/>
    <x v="15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0"/>
    <x v="3"/>
    <x v="9"/>
    <x v="2"/>
    <x v="8"/>
  </r>
  <r>
    <x v="23"/>
    <x v="3"/>
    <x v="9"/>
    <x v="2"/>
    <x v="8"/>
  </r>
  <r>
    <x v="14"/>
    <x v="3"/>
    <x v="9"/>
    <x v="2"/>
    <x v="8"/>
  </r>
  <r>
    <x v="0"/>
    <x v="3"/>
    <x v="9"/>
    <x v="2"/>
    <x v="8"/>
  </r>
  <r>
    <x v="0"/>
    <x v="3"/>
    <x v="13"/>
    <x v="2"/>
    <x v="8"/>
  </r>
  <r>
    <x v="10"/>
    <x v="3"/>
    <x v="15"/>
    <x v="2"/>
    <x v="8"/>
  </r>
  <r>
    <x v="0"/>
    <x v="3"/>
    <x v="15"/>
    <x v="2"/>
    <x v="8"/>
  </r>
  <r>
    <x v="0"/>
    <x v="3"/>
    <x v="15"/>
    <x v="2"/>
    <x v="8"/>
  </r>
  <r>
    <x v="0"/>
    <x v="3"/>
    <x v="25"/>
    <x v="2"/>
    <x v="15"/>
  </r>
  <r>
    <x v="165"/>
    <x v="3"/>
    <x v="26"/>
    <x v="2"/>
    <x v="18"/>
  </r>
  <r>
    <x v="0"/>
    <x v="3"/>
    <x v="22"/>
    <x v="2"/>
    <x v="15"/>
  </r>
  <r>
    <x v="0"/>
    <x v="3"/>
    <x v="28"/>
    <x v="2"/>
    <x v="20"/>
  </r>
  <r>
    <x v="8"/>
    <x v="3"/>
    <x v="3"/>
    <x v="2"/>
    <x v="2"/>
  </r>
  <r>
    <x v="6"/>
    <x v="3"/>
    <x v="28"/>
    <x v="2"/>
    <x v="20"/>
  </r>
  <r>
    <x v="0"/>
    <x v="3"/>
    <x v="15"/>
    <x v="2"/>
    <x v="8"/>
  </r>
  <r>
    <x v="0"/>
    <x v="3"/>
    <x v="15"/>
    <x v="2"/>
    <x v="8"/>
  </r>
  <r>
    <x v="0"/>
    <x v="3"/>
    <x v="13"/>
    <x v="2"/>
    <x v="8"/>
  </r>
  <r>
    <x v="0"/>
    <x v="3"/>
    <x v="2"/>
    <x v="2"/>
    <x v="8"/>
  </r>
  <r>
    <x v="0"/>
    <x v="3"/>
    <x v="24"/>
    <x v="2"/>
    <x v="17"/>
  </r>
  <r>
    <x v="0"/>
    <x v="3"/>
    <x v="4"/>
    <x v="2"/>
    <x v="3"/>
  </r>
  <r>
    <x v="0"/>
    <x v="3"/>
    <x v="5"/>
    <x v="2"/>
    <x v="4"/>
  </r>
  <r>
    <x v="0"/>
    <x v="3"/>
    <x v="6"/>
    <x v="2"/>
    <x v="5"/>
  </r>
  <r>
    <x v="549"/>
    <x v="0"/>
    <x v="0"/>
    <x v="3"/>
    <x v="0"/>
  </r>
  <r>
    <x v="0"/>
    <x v="0"/>
    <x v="1"/>
    <x v="3"/>
    <x v="1"/>
  </r>
  <r>
    <x v="0"/>
    <x v="0"/>
    <x v="28"/>
    <x v="3"/>
    <x v="20"/>
  </r>
  <r>
    <x v="0"/>
    <x v="0"/>
    <x v="14"/>
    <x v="3"/>
    <x v="11"/>
  </r>
  <r>
    <x v="0"/>
    <x v="0"/>
    <x v="28"/>
    <x v="3"/>
    <x v="20"/>
  </r>
  <r>
    <x v="0"/>
    <x v="0"/>
    <x v="28"/>
    <x v="3"/>
    <x v="20"/>
  </r>
  <r>
    <x v="6"/>
    <x v="0"/>
    <x v="7"/>
    <x v="3"/>
    <x v="6"/>
  </r>
  <r>
    <x v="0"/>
    <x v="0"/>
    <x v="28"/>
    <x v="3"/>
    <x v="20"/>
  </r>
  <r>
    <x v="0"/>
    <x v="0"/>
    <x v="27"/>
    <x v="3"/>
    <x v="19"/>
  </r>
  <r>
    <x v="5"/>
    <x v="0"/>
    <x v="25"/>
    <x v="3"/>
    <x v="15"/>
  </r>
  <r>
    <x v="0"/>
    <x v="0"/>
    <x v="16"/>
    <x v="3"/>
    <x v="12"/>
  </r>
  <r>
    <x v="0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5"/>
    <x v="0"/>
    <x v="16"/>
    <x v="3"/>
    <x v="12"/>
  </r>
  <r>
    <x v="0"/>
    <x v="0"/>
    <x v="10"/>
    <x v="3"/>
    <x v="9"/>
  </r>
  <r>
    <x v="0"/>
    <x v="0"/>
    <x v="28"/>
    <x v="3"/>
    <x v="20"/>
  </r>
  <r>
    <x v="0"/>
    <x v="0"/>
    <x v="21"/>
    <x v="3"/>
    <x v="16"/>
  </r>
  <r>
    <x v="7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7"/>
    <x v="3"/>
    <x v="13"/>
  </r>
  <r>
    <x v="0"/>
    <x v="0"/>
    <x v="17"/>
    <x v="3"/>
    <x v="13"/>
  </r>
  <r>
    <x v="5"/>
    <x v="0"/>
    <x v="8"/>
    <x v="3"/>
    <x v="7"/>
  </r>
  <r>
    <x v="0"/>
    <x v="0"/>
    <x v="8"/>
    <x v="3"/>
    <x v="7"/>
  </r>
  <r>
    <x v="446"/>
    <x v="0"/>
    <x v="2"/>
    <x v="3"/>
    <x v="8"/>
  </r>
  <r>
    <x v="139"/>
    <x v="0"/>
    <x v="2"/>
    <x v="3"/>
    <x v="8"/>
  </r>
  <r>
    <x v="198"/>
    <x v="0"/>
    <x v="2"/>
    <x v="3"/>
    <x v="8"/>
  </r>
  <r>
    <x v="139"/>
    <x v="0"/>
    <x v="2"/>
    <x v="3"/>
    <x v="8"/>
  </r>
  <r>
    <x v="221"/>
    <x v="0"/>
    <x v="2"/>
    <x v="3"/>
    <x v="8"/>
  </r>
  <r>
    <x v="201"/>
    <x v="0"/>
    <x v="2"/>
    <x v="3"/>
    <x v="8"/>
  </r>
  <r>
    <x v="488"/>
    <x v="0"/>
    <x v="2"/>
    <x v="3"/>
    <x v="8"/>
  </r>
  <r>
    <x v="0"/>
    <x v="0"/>
    <x v="20"/>
    <x v="3"/>
    <x v="15"/>
  </r>
  <r>
    <x v="14"/>
    <x v="0"/>
    <x v="20"/>
    <x v="3"/>
    <x v="15"/>
  </r>
  <r>
    <x v="0"/>
    <x v="0"/>
    <x v="20"/>
    <x v="3"/>
    <x v="15"/>
  </r>
  <r>
    <x v="0"/>
    <x v="0"/>
    <x v="9"/>
    <x v="3"/>
    <x v="8"/>
  </r>
  <r>
    <x v="9"/>
    <x v="0"/>
    <x v="9"/>
    <x v="3"/>
    <x v="8"/>
  </r>
  <r>
    <x v="0"/>
    <x v="0"/>
    <x v="9"/>
    <x v="3"/>
    <x v="8"/>
  </r>
  <r>
    <x v="0"/>
    <x v="0"/>
    <x v="9"/>
    <x v="3"/>
    <x v="8"/>
  </r>
  <r>
    <x v="17"/>
    <x v="0"/>
    <x v="9"/>
    <x v="3"/>
    <x v="8"/>
  </r>
  <r>
    <x v="0"/>
    <x v="0"/>
    <x v="9"/>
    <x v="3"/>
    <x v="8"/>
  </r>
  <r>
    <x v="0"/>
    <x v="0"/>
    <x v="9"/>
    <x v="3"/>
    <x v="8"/>
  </r>
  <r>
    <x v="20"/>
    <x v="0"/>
    <x v="9"/>
    <x v="3"/>
    <x v="8"/>
  </r>
  <r>
    <x v="7"/>
    <x v="0"/>
    <x v="9"/>
    <x v="3"/>
    <x v="8"/>
  </r>
  <r>
    <x v="32"/>
    <x v="0"/>
    <x v="9"/>
    <x v="3"/>
    <x v="8"/>
  </r>
  <r>
    <x v="13"/>
    <x v="0"/>
    <x v="9"/>
    <x v="3"/>
    <x v="8"/>
  </r>
  <r>
    <x v="161"/>
    <x v="0"/>
    <x v="9"/>
    <x v="3"/>
    <x v="8"/>
  </r>
  <r>
    <x v="74"/>
    <x v="0"/>
    <x v="9"/>
    <x v="3"/>
    <x v="8"/>
  </r>
  <r>
    <x v="90"/>
    <x v="0"/>
    <x v="9"/>
    <x v="3"/>
    <x v="8"/>
  </r>
  <r>
    <x v="7"/>
    <x v="0"/>
    <x v="13"/>
    <x v="3"/>
    <x v="8"/>
  </r>
  <r>
    <x v="10"/>
    <x v="0"/>
    <x v="15"/>
    <x v="3"/>
    <x v="8"/>
  </r>
  <r>
    <x v="95"/>
    <x v="0"/>
    <x v="15"/>
    <x v="3"/>
    <x v="8"/>
  </r>
  <r>
    <x v="0"/>
    <x v="0"/>
    <x v="15"/>
    <x v="3"/>
    <x v="8"/>
  </r>
  <r>
    <x v="23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8"/>
    <x v="0"/>
    <x v="28"/>
    <x v="3"/>
    <x v="20"/>
  </r>
  <r>
    <x v="0"/>
    <x v="0"/>
    <x v="3"/>
    <x v="3"/>
    <x v="2"/>
  </r>
  <r>
    <x v="15"/>
    <x v="0"/>
    <x v="28"/>
    <x v="3"/>
    <x v="20"/>
  </r>
  <r>
    <x v="37"/>
    <x v="0"/>
    <x v="15"/>
    <x v="3"/>
    <x v="8"/>
  </r>
  <r>
    <x v="0"/>
    <x v="0"/>
    <x v="15"/>
    <x v="3"/>
    <x v="8"/>
  </r>
  <r>
    <x v="0"/>
    <x v="0"/>
    <x v="13"/>
    <x v="3"/>
    <x v="8"/>
  </r>
  <r>
    <x v="268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0"/>
    <x v="0"/>
    <x v="6"/>
    <x v="3"/>
    <x v="5"/>
  </r>
  <r>
    <x v="481"/>
    <x v="0"/>
    <x v="0"/>
    <x v="3"/>
    <x v="0"/>
  </r>
  <r>
    <x v="0"/>
    <x v="0"/>
    <x v="1"/>
    <x v="3"/>
    <x v="1"/>
  </r>
  <r>
    <x v="0"/>
    <x v="0"/>
    <x v="28"/>
    <x v="3"/>
    <x v="20"/>
  </r>
  <r>
    <x v="13"/>
    <x v="0"/>
    <x v="14"/>
    <x v="3"/>
    <x v="11"/>
  </r>
  <r>
    <x v="0"/>
    <x v="0"/>
    <x v="28"/>
    <x v="3"/>
    <x v="20"/>
  </r>
  <r>
    <x v="0"/>
    <x v="0"/>
    <x v="28"/>
    <x v="3"/>
    <x v="20"/>
  </r>
  <r>
    <x v="0"/>
    <x v="0"/>
    <x v="7"/>
    <x v="3"/>
    <x v="6"/>
  </r>
  <r>
    <x v="0"/>
    <x v="0"/>
    <x v="28"/>
    <x v="3"/>
    <x v="20"/>
  </r>
  <r>
    <x v="0"/>
    <x v="0"/>
    <x v="27"/>
    <x v="3"/>
    <x v="19"/>
  </r>
  <r>
    <x v="0"/>
    <x v="0"/>
    <x v="25"/>
    <x v="3"/>
    <x v="15"/>
  </r>
  <r>
    <x v="8"/>
    <x v="0"/>
    <x v="16"/>
    <x v="3"/>
    <x v="12"/>
  </r>
  <r>
    <x v="0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10"/>
    <x v="0"/>
    <x v="12"/>
    <x v="3"/>
    <x v="15"/>
  </r>
  <r>
    <x v="7"/>
    <x v="0"/>
    <x v="19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0"/>
    <x v="0"/>
    <x v="16"/>
    <x v="3"/>
    <x v="12"/>
  </r>
  <r>
    <x v="0"/>
    <x v="0"/>
    <x v="10"/>
    <x v="3"/>
    <x v="9"/>
  </r>
  <r>
    <x v="0"/>
    <x v="0"/>
    <x v="28"/>
    <x v="3"/>
    <x v="20"/>
  </r>
  <r>
    <x v="0"/>
    <x v="0"/>
    <x v="21"/>
    <x v="3"/>
    <x v="16"/>
  </r>
  <r>
    <x v="6"/>
    <x v="0"/>
    <x v="18"/>
    <x v="3"/>
    <x v="14"/>
  </r>
  <r>
    <x v="49"/>
    <x v="0"/>
    <x v="18"/>
    <x v="3"/>
    <x v="14"/>
  </r>
  <r>
    <x v="30"/>
    <x v="0"/>
    <x v="18"/>
    <x v="3"/>
    <x v="14"/>
  </r>
  <r>
    <x v="0"/>
    <x v="0"/>
    <x v="18"/>
    <x v="3"/>
    <x v="14"/>
  </r>
  <r>
    <x v="84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0"/>
    <x v="0"/>
    <x v="8"/>
    <x v="3"/>
    <x v="7"/>
  </r>
  <r>
    <x v="200"/>
    <x v="0"/>
    <x v="2"/>
    <x v="3"/>
    <x v="8"/>
  </r>
  <r>
    <x v="405"/>
    <x v="0"/>
    <x v="2"/>
    <x v="3"/>
    <x v="8"/>
  </r>
  <r>
    <x v="260"/>
    <x v="0"/>
    <x v="2"/>
    <x v="3"/>
    <x v="8"/>
  </r>
  <r>
    <x v="293"/>
    <x v="0"/>
    <x v="2"/>
    <x v="3"/>
    <x v="8"/>
  </r>
  <r>
    <x v="53"/>
    <x v="0"/>
    <x v="2"/>
    <x v="3"/>
    <x v="8"/>
  </r>
  <r>
    <x v="17"/>
    <x v="0"/>
    <x v="2"/>
    <x v="3"/>
    <x v="8"/>
  </r>
  <r>
    <x v="394"/>
    <x v="0"/>
    <x v="2"/>
    <x v="3"/>
    <x v="8"/>
  </r>
  <r>
    <x v="0"/>
    <x v="0"/>
    <x v="20"/>
    <x v="3"/>
    <x v="15"/>
  </r>
  <r>
    <x v="0"/>
    <x v="0"/>
    <x v="20"/>
    <x v="3"/>
    <x v="15"/>
  </r>
  <r>
    <x v="0"/>
    <x v="0"/>
    <x v="20"/>
    <x v="3"/>
    <x v="15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34"/>
    <x v="0"/>
    <x v="9"/>
    <x v="3"/>
    <x v="8"/>
  </r>
  <r>
    <x v="0"/>
    <x v="0"/>
    <x v="9"/>
    <x v="3"/>
    <x v="8"/>
  </r>
  <r>
    <x v="0"/>
    <x v="0"/>
    <x v="9"/>
    <x v="3"/>
    <x v="8"/>
  </r>
  <r>
    <x v="9"/>
    <x v="0"/>
    <x v="9"/>
    <x v="3"/>
    <x v="8"/>
  </r>
  <r>
    <x v="0"/>
    <x v="0"/>
    <x v="9"/>
    <x v="3"/>
    <x v="8"/>
  </r>
  <r>
    <x v="11"/>
    <x v="0"/>
    <x v="9"/>
    <x v="3"/>
    <x v="8"/>
  </r>
  <r>
    <x v="0"/>
    <x v="0"/>
    <x v="9"/>
    <x v="3"/>
    <x v="8"/>
  </r>
  <r>
    <x v="0"/>
    <x v="0"/>
    <x v="9"/>
    <x v="3"/>
    <x v="8"/>
  </r>
  <r>
    <x v="31"/>
    <x v="0"/>
    <x v="9"/>
    <x v="3"/>
    <x v="8"/>
  </r>
  <r>
    <x v="140"/>
    <x v="0"/>
    <x v="9"/>
    <x v="3"/>
    <x v="8"/>
  </r>
  <r>
    <x v="109"/>
    <x v="0"/>
    <x v="9"/>
    <x v="3"/>
    <x v="8"/>
  </r>
  <r>
    <x v="39"/>
    <x v="0"/>
    <x v="9"/>
    <x v="3"/>
    <x v="8"/>
  </r>
  <r>
    <x v="0"/>
    <x v="0"/>
    <x v="13"/>
    <x v="3"/>
    <x v="8"/>
  </r>
  <r>
    <x v="0"/>
    <x v="0"/>
    <x v="15"/>
    <x v="3"/>
    <x v="8"/>
  </r>
  <r>
    <x v="25"/>
    <x v="0"/>
    <x v="15"/>
    <x v="3"/>
    <x v="8"/>
  </r>
  <r>
    <x v="8"/>
    <x v="0"/>
    <x v="15"/>
    <x v="3"/>
    <x v="8"/>
  </r>
  <r>
    <x v="37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0"/>
    <x v="0"/>
    <x v="28"/>
    <x v="3"/>
    <x v="20"/>
  </r>
  <r>
    <x v="0"/>
    <x v="0"/>
    <x v="3"/>
    <x v="3"/>
    <x v="2"/>
  </r>
  <r>
    <x v="0"/>
    <x v="0"/>
    <x v="28"/>
    <x v="3"/>
    <x v="20"/>
  </r>
  <r>
    <x v="0"/>
    <x v="0"/>
    <x v="15"/>
    <x v="3"/>
    <x v="8"/>
  </r>
  <r>
    <x v="0"/>
    <x v="0"/>
    <x v="15"/>
    <x v="3"/>
    <x v="8"/>
  </r>
  <r>
    <x v="0"/>
    <x v="0"/>
    <x v="13"/>
    <x v="3"/>
    <x v="8"/>
  </r>
  <r>
    <x v="91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8"/>
    <x v="0"/>
    <x v="6"/>
    <x v="3"/>
    <x v="5"/>
  </r>
  <r>
    <x v="480"/>
    <x v="0"/>
    <x v="0"/>
    <x v="3"/>
    <x v="0"/>
  </r>
  <r>
    <x v="0"/>
    <x v="0"/>
    <x v="1"/>
    <x v="3"/>
    <x v="1"/>
  </r>
  <r>
    <x v="0"/>
    <x v="0"/>
    <x v="28"/>
    <x v="3"/>
    <x v="20"/>
  </r>
  <r>
    <x v="0"/>
    <x v="0"/>
    <x v="14"/>
    <x v="3"/>
    <x v="11"/>
  </r>
  <r>
    <x v="0"/>
    <x v="0"/>
    <x v="28"/>
    <x v="3"/>
    <x v="20"/>
  </r>
  <r>
    <x v="0"/>
    <x v="0"/>
    <x v="28"/>
    <x v="3"/>
    <x v="20"/>
  </r>
  <r>
    <x v="0"/>
    <x v="0"/>
    <x v="7"/>
    <x v="3"/>
    <x v="6"/>
  </r>
  <r>
    <x v="0"/>
    <x v="0"/>
    <x v="28"/>
    <x v="3"/>
    <x v="20"/>
  </r>
  <r>
    <x v="0"/>
    <x v="0"/>
    <x v="27"/>
    <x v="3"/>
    <x v="19"/>
  </r>
  <r>
    <x v="0"/>
    <x v="0"/>
    <x v="25"/>
    <x v="3"/>
    <x v="15"/>
  </r>
  <r>
    <x v="0"/>
    <x v="0"/>
    <x v="16"/>
    <x v="3"/>
    <x v="12"/>
  </r>
  <r>
    <x v="13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0"/>
    <x v="0"/>
    <x v="16"/>
    <x v="3"/>
    <x v="12"/>
  </r>
  <r>
    <x v="0"/>
    <x v="0"/>
    <x v="10"/>
    <x v="3"/>
    <x v="9"/>
  </r>
  <r>
    <x v="0"/>
    <x v="0"/>
    <x v="28"/>
    <x v="3"/>
    <x v="20"/>
  </r>
  <r>
    <x v="0"/>
    <x v="0"/>
    <x v="21"/>
    <x v="3"/>
    <x v="16"/>
  </r>
  <r>
    <x v="16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21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0"/>
    <x v="0"/>
    <x v="8"/>
    <x v="3"/>
    <x v="7"/>
  </r>
  <r>
    <x v="245"/>
    <x v="0"/>
    <x v="2"/>
    <x v="3"/>
    <x v="8"/>
  </r>
  <r>
    <x v="96"/>
    <x v="0"/>
    <x v="2"/>
    <x v="3"/>
    <x v="8"/>
  </r>
  <r>
    <x v="314"/>
    <x v="0"/>
    <x v="2"/>
    <x v="3"/>
    <x v="8"/>
  </r>
  <r>
    <x v="235"/>
    <x v="0"/>
    <x v="2"/>
    <x v="3"/>
    <x v="8"/>
  </r>
  <r>
    <x v="64"/>
    <x v="0"/>
    <x v="2"/>
    <x v="3"/>
    <x v="8"/>
  </r>
  <r>
    <x v="38"/>
    <x v="0"/>
    <x v="2"/>
    <x v="3"/>
    <x v="8"/>
  </r>
  <r>
    <x v="401"/>
    <x v="0"/>
    <x v="2"/>
    <x v="3"/>
    <x v="8"/>
  </r>
  <r>
    <x v="0"/>
    <x v="0"/>
    <x v="20"/>
    <x v="3"/>
    <x v="15"/>
  </r>
  <r>
    <x v="0"/>
    <x v="0"/>
    <x v="20"/>
    <x v="3"/>
    <x v="15"/>
  </r>
  <r>
    <x v="0"/>
    <x v="0"/>
    <x v="20"/>
    <x v="3"/>
    <x v="15"/>
  </r>
  <r>
    <x v="0"/>
    <x v="0"/>
    <x v="9"/>
    <x v="3"/>
    <x v="8"/>
  </r>
  <r>
    <x v="0"/>
    <x v="0"/>
    <x v="9"/>
    <x v="3"/>
    <x v="8"/>
  </r>
  <r>
    <x v="11"/>
    <x v="0"/>
    <x v="9"/>
    <x v="3"/>
    <x v="8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17"/>
    <x v="0"/>
    <x v="9"/>
    <x v="3"/>
    <x v="8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157"/>
    <x v="0"/>
    <x v="9"/>
    <x v="3"/>
    <x v="8"/>
  </r>
  <r>
    <x v="101"/>
    <x v="0"/>
    <x v="9"/>
    <x v="3"/>
    <x v="8"/>
  </r>
  <r>
    <x v="108"/>
    <x v="0"/>
    <x v="9"/>
    <x v="3"/>
    <x v="8"/>
  </r>
  <r>
    <x v="0"/>
    <x v="0"/>
    <x v="13"/>
    <x v="3"/>
    <x v="8"/>
  </r>
  <r>
    <x v="0"/>
    <x v="0"/>
    <x v="15"/>
    <x v="3"/>
    <x v="8"/>
  </r>
  <r>
    <x v="14"/>
    <x v="0"/>
    <x v="15"/>
    <x v="3"/>
    <x v="8"/>
  </r>
  <r>
    <x v="0"/>
    <x v="0"/>
    <x v="15"/>
    <x v="3"/>
    <x v="8"/>
  </r>
  <r>
    <x v="38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0"/>
    <x v="0"/>
    <x v="28"/>
    <x v="3"/>
    <x v="20"/>
  </r>
  <r>
    <x v="0"/>
    <x v="0"/>
    <x v="3"/>
    <x v="3"/>
    <x v="2"/>
  </r>
  <r>
    <x v="8"/>
    <x v="0"/>
    <x v="28"/>
    <x v="3"/>
    <x v="20"/>
  </r>
  <r>
    <x v="8"/>
    <x v="0"/>
    <x v="15"/>
    <x v="3"/>
    <x v="8"/>
  </r>
  <r>
    <x v="0"/>
    <x v="0"/>
    <x v="15"/>
    <x v="3"/>
    <x v="8"/>
  </r>
  <r>
    <x v="0"/>
    <x v="0"/>
    <x v="13"/>
    <x v="3"/>
    <x v="8"/>
  </r>
  <r>
    <x v="81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0"/>
    <x v="0"/>
    <x v="6"/>
    <x v="3"/>
    <x v="5"/>
  </r>
  <r>
    <x v="466"/>
    <x v="0"/>
    <x v="0"/>
    <x v="3"/>
    <x v="0"/>
  </r>
  <r>
    <x v="6"/>
    <x v="0"/>
    <x v="1"/>
    <x v="3"/>
    <x v="1"/>
  </r>
  <r>
    <x v="0"/>
    <x v="0"/>
    <x v="28"/>
    <x v="3"/>
    <x v="20"/>
  </r>
  <r>
    <x v="5"/>
    <x v="0"/>
    <x v="14"/>
    <x v="3"/>
    <x v="11"/>
  </r>
  <r>
    <x v="0"/>
    <x v="0"/>
    <x v="28"/>
    <x v="3"/>
    <x v="20"/>
  </r>
  <r>
    <x v="0"/>
    <x v="0"/>
    <x v="28"/>
    <x v="3"/>
    <x v="20"/>
  </r>
  <r>
    <x v="0"/>
    <x v="0"/>
    <x v="7"/>
    <x v="3"/>
    <x v="6"/>
  </r>
  <r>
    <x v="6"/>
    <x v="0"/>
    <x v="28"/>
    <x v="3"/>
    <x v="20"/>
  </r>
  <r>
    <x v="0"/>
    <x v="0"/>
    <x v="27"/>
    <x v="3"/>
    <x v="19"/>
  </r>
  <r>
    <x v="0"/>
    <x v="0"/>
    <x v="25"/>
    <x v="3"/>
    <x v="15"/>
  </r>
  <r>
    <x v="0"/>
    <x v="0"/>
    <x v="16"/>
    <x v="3"/>
    <x v="12"/>
  </r>
  <r>
    <x v="13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8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12"/>
    <x v="3"/>
    <x v="15"/>
  </r>
  <r>
    <x v="13"/>
    <x v="0"/>
    <x v="12"/>
    <x v="3"/>
    <x v="15"/>
  </r>
  <r>
    <x v="6"/>
    <x v="0"/>
    <x v="19"/>
    <x v="3"/>
    <x v="15"/>
  </r>
  <r>
    <x v="6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0"/>
    <x v="0"/>
    <x v="16"/>
    <x v="3"/>
    <x v="12"/>
  </r>
  <r>
    <x v="0"/>
    <x v="0"/>
    <x v="10"/>
    <x v="3"/>
    <x v="9"/>
  </r>
  <r>
    <x v="0"/>
    <x v="0"/>
    <x v="28"/>
    <x v="3"/>
    <x v="20"/>
  </r>
  <r>
    <x v="0"/>
    <x v="0"/>
    <x v="21"/>
    <x v="3"/>
    <x v="16"/>
  </r>
  <r>
    <x v="40"/>
    <x v="0"/>
    <x v="18"/>
    <x v="3"/>
    <x v="14"/>
  </r>
  <r>
    <x v="17"/>
    <x v="0"/>
    <x v="18"/>
    <x v="3"/>
    <x v="14"/>
  </r>
  <r>
    <x v="0"/>
    <x v="0"/>
    <x v="18"/>
    <x v="3"/>
    <x v="14"/>
  </r>
  <r>
    <x v="0"/>
    <x v="0"/>
    <x v="18"/>
    <x v="3"/>
    <x v="14"/>
  </r>
  <r>
    <x v="37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0"/>
    <x v="0"/>
    <x v="8"/>
    <x v="3"/>
    <x v="7"/>
  </r>
  <r>
    <x v="231"/>
    <x v="0"/>
    <x v="2"/>
    <x v="3"/>
    <x v="8"/>
  </r>
  <r>
    <x v="240"/>
    <x v="0"/>
    <x v="2"/>
    <x v="3"/>
    <x v="8"/>
  </r>
  <r>
    <x v="289"/>
    <x v="0"/>
    <x v="2"/>
    <x v="3"/>
    <x v="8"/>
  </r>
  <r>
    <x v="354"/>
    <x v="0"/>
    <x v="2"/>
    <x v="3"/>
    <x v="8"/>
  </r>
  <r>
    <x v="83"/>
    <x v="0"/>
    <x v="2"/>
    <x v="3"/>
    <x v="8"/>
  </r>
  <r>
    <x v="32"/>
    <x v="0"/>
    <x v="2"/>
    <x v="3"/>
    <x v="8"/>
  </r>
  <r>
    <x v="392"/>
    <x v="0"/>
    <x v="2"/>
    <x v="3"/>
    <x v="8"/>
  </r>
  <r>
    <x v="0"/>
    <x v="0"/>
    <x v="20"/>
    <x v="3"/>
    <x v="15"/>
  </r>
  <r>
    <x v="0"/>
    <x v="0"/>
    <x v="20"/>
    <x v="3"/>
    <x v="15"/>
  </r>
  <r>
    <x v="0"/>
    <x v="0"/>
    <x v="20"/>
    <x v="3"/>
    <x v="15"/>
  </r>
  <r>
    <x v="0"/>
    <x v="0"/>
    <x v="9"/>
    <x v="3"/>
    <x v="8"/>
  </r>
  <r>
    <x v="9"/>
    <x v="0"/>
    <x v="9"/>
    <x v="3"/>
    <x v="8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0"/>
    <x v="0"/>
    <x v="9"/>
    <x v="3"/>
    <x v="8"/>
  </r>
  <r>
    <x v="14"/>
    <x v="0"/>
    <x v="9"/>
    <x v="3"/>
    <x v="8"/>
  </r>
  <r>
    <x v="0"/>
    <x v="0"/>
    <x v="9"/>
    <x v="3"/>
    <x v="8"/>
  </r>
  <r>
    <x v="9"/>
    <x v="0"/>
    <x v="9"/>
    <x v="3"/>
    <x v="8"/>
  </r>
  <r>
    <x v="6"/>
    <x v="0"/>
    <x v="9"/>
    <x v="3"/>
    <x v="8"/>
  </r>
  <r>
    <x v="9"/>
    <x v="0"/>
    <x v="9"/>
    <x v="3"/>
    <x v="8"/>
  </r>
  <r>
    <x v="6"/>
    <x v="0"/>
    <x v="9"/>
    <x v="3"/>
    <x v="8"/>
  </r>
  <r>
    <x v="149"/>
    <x v="0"/>
    <x v="9"/>
    <x v="3"/>
    <x v="8"/>
  </r>
  <r>
    <x v="58"/>
    <x v="0"/>
    <x v="9"/>
    <x v="3"/>
    <x v="8"/>
  </r>
  <r>
    <x v="75"/>
    <x v="0"/>
    <x v="9"/>
    <x v="3"/>
    <x v="8"/>
  </r>
  <r>
    <x v="0"/>
    <x v="0"/>
    <x v="13"/>
    <x v="3"/>
    <x v="8"/>
  </r>
  <r>
    <x v="0"/>
    <x v="0"/>
    <x v="15"/>
    <x v="3"/>
    <x v="8"/>
  </r>
  <r>
    <x v="0"/>
    <x v="0"/>
    <x v="15"/>
    <x v="3"/>
    <x v="8"/>
  </r>
  <r>
    <x v="10"/>
    <x v="0"/>
    <x v="15"/>
    <x v="3"/>
    <x v="8"/>
  </r>
  <r>
    <x v="9"/>
    <x v="0"/>
    <x v="15"/>
    <x v="3"/>
    <x v="8"/>
  </r>
  <r>
    <x v="16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0"/>
    <x v="0"/>
    <x v="28"/>
    <x v="3"/>
    <x v="20"/>
  </r>
  <r>
    <x v="0"/>
    <x v="0"/>
    <x v="3"/>
    <x v="3"/>
    <x v="2"/>
  </r>
  <r>
    <x v="7"/>
    <x v="0"/>
    <x v="28"/>
    <x v="3"/>
    <x v="20"/>
  </r>
  <r>
    <x v="0"/>
    <x v="0"/>
    <x v="15"/>
    <x v="3"/>
    <x v="8"/>
  </r>
  <r>
    <x v="0"/>
    <x v="0"/>
    <x v="15"/>
    <x v="3"/>
    <x v="8"/>
  </r>
  <r>
    <x v="0"/>
    <x v="0"/>
    <x v="13"/>
    <x v="3"/>
    <x v="8"/>
  </r>
  <r>
    <x v="105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6"/>
    <x v="0"/>
    <x v="6"/>
    <x v="3"/>
    <x v="5"/>
  </r>
  <r>
    <x v="490"/>
    <x v="0"/>
    <x v="0"/>
    <x v="3"/>
    <x v="0"/>
  </r>
  <r>
    <x v="0"/>
    <x v="0"/>
    <x v="1"/>
    <x v="3"/>
    <x v="1"/>
  </r>
  <r>
    <x v="0"/>
    <x v="0"/>
    <x v="28"/>
    <x v="3"/>
    <x v="20"/>
  </r>
  <r>
    <x v="0"/>
    <x v="0"/>
    <x v="14"/>
    <x v="3"/>
    <x v="11"/>
  </r>
  <r>
    <x v="0"/>
    <x v="0"/>
    <x v="28"/>
    <x v="3"/>
    <x v="20"/>
  </r>
  <r>
    <x v="0"/>
    <x v="0"/>
    <x v="28"/>
    <x v="3"/>
    <x v="20"/>
  </r>
  <r>
    <x v="0"/>
    <x v="0"/>
    <x v="7"/>
    <x v="3"/>
    <x v="6"/>
  </r>
  <r>
    <x v="0"/>
    <x v="0"/>
    <x v="28"/>
    <x v="3"/>
    <x v="20"/>
  </r>
  <r>
    <x v="0"/>
    <x v="0"/>
    <x v="27"/>
    <x v="3"/>
    <x v="19"/>
  </r>
  <r>
    <x v="0"/>
    <x v="0"/>
    <x v="25"/>
    <x v="3"/>
    <x v="15"/>
  </r>
  <r>
    <x v="0"/>
    <x v="0"/>
    <x v="16"/>
    <x v="3"/>
    <x v="12"/>
  </r>
  <r>
    <x v="0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0"/>
    <x v="0"/>
    <x v="16"/>
    <x v="3"/>
    <x v="12"/>
  </r>
  <r>
    <x v="0"/>
    <x v="0"/>
    <x v="10"/>
    <x v="3"/>
    <x v="9"/>
  </r>
  <r>
    <x v="0"/>
    <x v="0"/>
    <x v="28"/>
    <x v="3"/>
    <x v="20"/>
  </r>
  <r>
    <x v="0"/>
    <x v="0"/>
    <x v="21"/>
    <x v="3"/>
    <x v="16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7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0"/>
    <x v="0"/>
    <x v="8"/>
    <x v="3"/>
    <x v="7"/>
  </r>
  <r>
    <x v="234"/>
    <x v="0"/>
    <x v="2"/>
    <x v="3"/>
    <x v="8"/>
  </r>
  <r>
    <x v="13"/>
    <x v="0"/>
    <x v="2"/>
    <x v="3"/>
    <x v="8"/>
  </r>
  <r>
    <x v="18"/>
    <x v="0"/>
    <x v="2"/>
    <x v="3"/>
    <x v="8"/>
  </r>
  <r>
    <x v="27"/>
    <x v="0"/>
    <x v="2"/>
    <x v="3"/>
    <x v="8"/>
  </r>
  <r>
    <x v="320"/>
    <x v="0"/>
    <x v="2"/>
    <x v="3"/>
    <x v="8"/>
  </r>
  <r>
    <x v="236"/>
    <x v="0"/>
    <x v="2"/>
    <x v="3"/>
    <x v="8"/>
  </r>
  <r>
    <x v="406"/>
    <x v="0"/>
    <x v="2"/>
    <x v="3"/>
    <x v="8"/>
  </r>
  <r>
    <x v="0"/>
    <x v="0"/>
    <x v="20"/>
    <x v="3"/>
    <x v="15"/>
  </r>
  <r>
    <x v="0"/>
    <x v="0"/>
    <x v="20"/>
    <x v="3"/>
    <x v="15"/>
  </r>
  <r>
    <x v="0"/>
    <x v="0"/>
    <x v="20"/>
    <x v="3"/>
    <x v="15"/>
  </r>
  <r>
    <x v="7"/>
    <x v="0"/>
    <x v="9"/>
    <x v="3"/>
    <x v="8"/>
  </r>
  <r>
    <x v="5"/>
    <x v="0"/>
    <x v="9"/>
    <x v="3"/>
    <x v="8"/>
  </r>
  <r>
    <x v="7"/>
    <x v="0"/>
    <x v="9"/>
    <x v="3"/>
    <x v="8"/>
  </r>
  <r>
    <x v="18"/>
    <x v="0"/>
    <x v="9"/>
    <x v="3"/>
    <x v="8"/>
  </r>
  <r>
    <x v="0"/>
    <x v="0"/>
    <x v="9"/>
    <x v="3"/>
    <x v="8"/>
  </r>
  <r>
    <x v="13"/>
    <x v="0"/>
    <x v="9"/>
    <x v="3"/>
    <x v="8"/>
  </r>
  <r>
    <x v="20"/>
    <x v="0"/>
    <x v="9"/>
    <x v="3"/>
    <x v="8"/>
  </r>
  <r>
    <x v="0"/>
    <x v="0"/>
    <x v="9"/>
    <x v="3"/>
    <x v="8"/>
  </r>
  <r>
    <x v="52"/>
    <x v="0"/>
    <x v="9"/>
    <x v="3"/>
    <x v="8"/>
  </r>
  <r>
    <x v="12"/>
    <x v="0"/>
    <x v="9"/>
    <x v="3"/>
    <x v="8"/>
  </r>
  <r>
    <x v="17"/>
    <x v="0"/>
    <x v="9"/>
    <x v="3"/>
    <x v="8"/>
  </r>
  <r>
    <x v="16"/>
    <x v="0"/>
    <x v="9"/>
    <x v="3"/>
    <x v="8"/>
  </r>
  <r>
    <x v="252"/>
    <x v="0"/>
    <x v="9"/>
    <x v="3"/>
    <x v="8"/>
  </r>
  <r>
    <x v="154"/>
    <x v="0"/>
    <x v="9"/>
    <x v="3"/>
    <x v="8"/>
  </r>
  <r>
    <x v="227"/>
    <x v="0"/>
    <x v="9"/>
    <x v="3"/>
    <x v="8"/>
  </r>
  <r>
    <x v="6"/>
    <x v="0"/>
    <x v="13"/>
    <x v="3"/>
    <x v="8"/>
  </r>
  <r>
    <x v="0"/>
    <x v="0"/>
    <x v="15"/>
    <x v="3"/>
    <x v="8"/>
  </r>
  <r>
    <x v="26"/>
    <x v="0"/>
    <x v="15"/>
    <x v="3"/>
    <x v="8"/>
  </r>
  <r>
    <x v="0"/>
    <x v="0"/>
    <x v="15"/>
    <x v="3"/>
    <x v="8"/>
  </r>
  <r>
    <x v="9"/>
    <x v="0"/>
    <x v="15"/>
    <x v="3"/>
    <x v="8"/>
  </r>
  <r>
    <x v="30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0"/>
    <x v="0"/>
    <x v="28"/>
    <x v="3"/>
    <x v="20"/>
  </r>
  <r>
    <x v="0"/>
    <x v="0"/>
    <x v="3"/>
    <x v="3"/>
    <x v="2"/>
  </r>
  <r>
    <x v="0"/>
    <x v="0"/>
    <x v="28"/>
    <x v="3"/>
    <x v="20"/>
  </r>
  <r>
    <x v="0"/>
    <x v="0"/>
    <x v="15"/>
    <x v="3"/>
    <x v="8"/>
  </r>
  <r>
    <x v="0"/>
    <x v="0"/>
    <x v="15"/>
    <x v="3"/>
    <x v="8"/>
  </r>
  <r>
    <x v="0"/>
    <x v="0"/>
    <x v="13"/>
    <x v="3"/>
    <x v="8"/>
  </r>
  <r>
    <x v="212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0"/>
    <x v="0"/>
    <x v="6"/>
    <x v="3"/>
    <x v="5"/>
  </r>
  <r>
    <x v="508"/>
    <x v="0"/>
    <x v="0"/>
    <x v="3"/>
    <x v="0"/>
  </r>
  <r>
    <x v="0"/>
    <x v="0"/>
    <x v="1"/>
    <x v="3"/>
    <x v="1"/>
  </r>
  <r>
    <x v="0"/>
    <x v="0"/>
    <x v="28"/>
    <x v="3"/>
    <x v="20"/>
  </r>
  <r>
    <x v="0"/>
    <x v="0"/>
    <x v="14"/>
    <x v="3"/>
    <x v="11"/>
  </r>
  <r>
    <x v="0"/>
    <x v="0"/>
    <x v="28"/>
    <x v="3"/>
    <x v="20"/>
  </r>
  <r>
    <x v="0"/>
    <x v="0"/>
    <x v="28"/>
    <x v="3"/>
    <x v="20"/>
  </r>
  <r>
    <x v="0"/>
    <x v="0"/>
    <x v="7"/>
    <x v="3"/>
    <x v="6"/>
  </r>
  <r>
    <x v="0"/>
    <x v="0"/>
    <x v="28"/>
    <x v="3"/>
    <x v="20"/>
  </r>
  <r>
    <x v="0"/>
    <x v="0"/>
    <x v="27"/>
    <x v="3"/>
    <x v="19"/>
  </r>
  <r>
    <x v="0"/>
    <x v="0"/>
    <x v="25"/>
    <x v="3"/>
    <x v="15"/>
  </r>
  <r>
    <x v="0"/>
    <x v="0"/>
    <x v="16"/>
    <x v="3"/>
    <x v="12"/>
  </r>
  <r>
    <x v="0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0"/>
    <x v="0"/>
    <x v="16"/>
    <x v="3"/>
    <x v="12"/>
  </r>
  <r>
    <x v="0"/>
    <x v="0"/>
    <x v="10"/>
    <x v="3"/>
    <x v="9"/>
  </r>
  <r>
    <x v="7"/>
    <x v="0"/>
    <x v="28"/>
    <x v="3"/>
    <x v="20"/>
  </r>
  <r>
    <x v="6"/>
    <x v="0"/>
    <x v="21"/>
    <x v="3"/>
    <x v="16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6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0"/>
    <x v="0"/>
    <x v="8"/>
    <x v="3"/>
    <x v="7"/>
  </r>
  <r>
    <x v="271"/>
    <x v="0"/>
    <x v="2"/>
    <x v="3"/>
    <x v="8"/>
  </r>
  <r>
    <x v="17"/>
    <x v="0"/>
    <x v="2"/>
    <x v="3"/>
    <x v="8"/>
  </r>
  <r>
    <x v="58"/>
    <x v="0"/>
    <x v="2"/>
    <x v="3"/>
    <x v="8"/>
  </r>
  <r>
    <x v="38"/>
    <x v="0"/>
    <x v="2"/>
    <x v="3"/>
    <x v="8"/>
  </r>
  <r>
    <x v="214"/>
    <x v="0"/>
    <x v="2"/>
    <x v="3"/>
    <x v="8"/>
  </r>
  <r>
    <x v="349"/>
    <x v="0"/>
    <x v="2"/>
    <x v="3"/>
    <x v="8"/>
  </r>
  <r>
    <x v="403"/>
    <x v="0"/>
    <x v="2"/>
    <x v="3"/>
    <x v="8"/>
  </r>
  <r>
    <x v="0"/>
    <x v="0"/>
    <x v="20"/>
    <x v="3"/>
    <x v="15"/>
  </r>
  <r>
    <x v="0"/>
    <x v="0"/>
    <x v="20"/>
    <x v="3"/>
    <x v="15"/>
  </r>
  <r>
    <x v="0"/>
    <x v="0"/>
    <x v="20"/>
    <x v="3"/>
    <x v="15"/>
  </r>
  <r>
    <x v="0"/>
    <x v="0"/>
    <x v="9"/>
    <x v="3"/>
    <x v="8"/>
  </r>
  <r>
    <x v="14"/>
    <x v="0"/>
    <x v="9"/>
    <x v="3"/>
    <x v="8"/>
  </r>
  <r>
    <x v="7"/>
    <x v="0"/>
    <x v="9"/>
    <x v="3"/>
    <x v="8"/>
  </r>
  <r>
    <x v="0"/>
    <x v="0"/>
    <x v="9"/>
    <x v="3"/>
    <x v="8"/>
  </r>
  <r>
    <x v="0"/>
    <x v="0"/>
    <x v="9"/>
    <x v="3"/>
    <x v="8"/>
  </r>
  <r>
    <x v="7"/>
    <x v="0"/>
    <x v="9"/>
    <x v="3"/>
    <x v="8"/>
  </r>
  <r>
    <x v="0"/>
    <x v="0"/>
    <x v="9"/>
    <x v="3"/>
    <x v="8"/>
  </r>
  <r>
    <x v="7"/>
    <x v="0"/>
    <x v="9"/>
    <x v="3"/>
    <x v="8"/>
  </r>
  <r>
    <x v="31"/>
    <x v="0"/>
    <x v="9"/>
    <x v="3"/>
    <x v="8"/>
  </r>
  <r>
    <x v="11"/>
    <x v="0"/>
    <x v="9"/>
    <x v="3"/>
    <x v="8"/>
  </r>
  <r>
    <x v="9"/>
    <x v="0"/>
    <x v="9"/>
    <x v="3"/>
    <x v="8"/>
  </r>
  <r>
    <x v="8"/>
    <x v="0"/>
    <x v="9"/>
    <x v="3"/>
    <x v="8"/>
  </r>
  <r>
    <x v="233"/>
    <x v="0"/>
    <x v="9"/>
    <x v="3"/>
    <x v="8"/>
  </r>
  <r>
    <x v="180"/>
    <x v="0"/>
    <x v="9"/>
    <x v="3"/>
    <x v="8"/>
  </r>
  <r>
    <x v="207"/>
    <x v="0"/>
    <x v="9"/>
    <x v="3"/>
    <x v="8"/>
  </r>
  <r>
    <x v="0"/>
    <x v="0"/>
    <x v="13"/>
    <x v="3"/>
    <x v="8"/>
  </r>
  <r>
    <x v="0"/>
    <x v="0"/>
    <x v="15"/>
    <x v="3"/>
    <x v="8"/>
  </r>
  <r>
    <x v="14"/>
    <x v="0"/>
    <x v="15"/>
    <x v="3"/>
    <x v="8"/>
  </r>
  <r>
    <x v="12"/>
    <x v="0"/>
    <x v="15"/>
    <x v="3"/>
    <x v="8"/>
  </r>
  <r>
    <x v="7"/>
    <x v="0"/>
    <x v="15"/>
    <x v="3"/>
    <x v="8"/>
  </r>
  <r>
    <x v="61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0"/>
    <x v="0"/>
    <x v="28"/>
    <x v="3"/>
    <x v="20"/>
  </r>
  <r>
    <x v="0"/>
    <x v="0"/>
    <x v="3"/>
    <x v="3"/>
    <x v="2"/>
  </r>
  <r>
    <x v="0"/>
    <x v="0"/>
    <x v="28"/>
    <x v="3"/>
    <x v="20"/>
  </r>
  <r>
    <x v="0"/>
    <x v="0"/>
    <x v="15"/>
    <x v="3"/>
    <x v="8"/>
  </r>
  <r>
    <x v="0"/>
    <x v="0"/>
    <x v="15"/>
    <x v="3"/>
    <x v="8"/>
  </r>
  <r>
    <x v="0"/>
    <x v="0"/>
    <x v="13"/>
    <x v="3"/>
    <x v="8"/>
  </r>
  <r>
    <x v="257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11"/>
    <x v="0"/>
    <x v="6"/>
    <x v="3"/>
    <x v="5"/>
  </r>
  <r>
    <x v="586"/>
    <x v="0"/>
    <x v="0"/>
    <x v="3"/>
    <x v="0"/>
  </r>
  <r>
    <x v="18"/>
    <x v="0"/>
    <x v="1"/>
    <x v="3"/>
    <x v="1"/>
  </r>
  <r>
    <x v="8"/>
    <x v="0"/>
    <x v="28"/>
    <x v="3"/>
    <x v="20"/>
  </r>
  <r>
    <x v="10"/>
    <x v="0"/>
    <x v="14"/>
    <x v="3"/>
    <x v="11"/>
  </r>
  <r>
    <x v="14"/>
    <x v="0"/>
    <x v="28"/>
    <x v="3"/>
    <x v="20"/>
  </r>
  <r>
    <x v="5"/>
    <x v="0"/>
    <x v="28"/>
    <x v="3"/>
    <x v="20"/>
  </r>
  <r>
    <x v="0"/>
    <x v="0"/>
    <x v="7"/>
    <x v="3"/>
    <x v="6"/>
  </r>
  <r>
    <x v="0"/>
    <x v="0"/>
    <x v="28"/>
    <x v="3"/>
    <x v="20"/>
  </r>
  <r>
    <x v="0"/>
    <x v="0"/>
    <x v="27"/>
    <x v="3"/>
    <x v="19"/>
  </r>
  <r>
    <x v="17"/>
    <x v="0"/>
    <x v="25"/>
    <x v="3"/>
    <x v="15"/>
  </r>
  <r>
    <x v="17"/>
    <x v="0"/>
    <x v="16"/>
    <x v="3"/>
    <x v="12"/>
  </r>
  <r>
    <x v="14"/>
    <x v="0"/>
    <x v="16"/>
    <x v="3"/>
    <x v="12"/>
  </r>
  <r>
    <x v="6"/>
    <x v="0"/>
    <x v="16"/>
    <x v="3"/>
    <x v="12"/>
  </r>
  <r>
    <x v="0"/>
    <x v="0"/>
    <x v="23"/>
    <x v="3"/>
    <x v="15"/>
  </r>
  <r>
    <x v="6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5"/>
    <x v="0"/>
    <x v="12"/>
    <x v="3"/>
    <x v="15"/>
  </r>
  <r>
    <x v="30"/>
    <x v="0"/>
    <x v="19"/>
    <x v="3"/>
    <x v="15"/>
  </r>
  <r>
    <x v="10"/>
    <x v="0"/>
    <x v="12"/>
    <x v="3"/>
    <x v="15"/>
  </r>
  <r>
    <x v="8"/>
    <x v="0"/>
    <x v="12"/>
    <x v="3"/>
    <x v="15"/>
  </r>
  <r>
    <x v="5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6"/>
    <x v="0"/>
    <x v="16"/>
    <x v="3"/>
    <x v="12"/>
  </r>
  <r>
    <x v="0"/>
    <x v="0"/>
    <x v="10"/>
    <x v="3"/>
    <x v="9"/>
  </r>
  <r>
    <x v="8"/>
    <x v="0"/>
    <x v="28"/>
    <x v="3"/>
    <x v="20"/>
  </r>
  <r>
    <x v="41"/>
    <x v="0"/>
    <x v="21"/>
    <x v="3"/>
    <x v="16"/>
  </r>
  <r>
    <x v="114"/>
    <x v="0"/>
    <x v="18"/>
    <x v="3"/>
    <x v="14"/>
  </r>
  <r>
    <x v="28"/>
    <x v="0"/>
    <x v="18"/>
    <x v="3"/>
    <x v="14"/>
  </r>
  <r>
    <x v="14"/>
    <x v="0"/>
    <x v="18"/>
    <x v="3"/>
    <x v="14"/>
  </r>
  <r>
    <x v="0"/>
    <x v="0"/>
    <x v="18"/>
    <x v="3"/>
    <x v="14"/>
  </r>
  <r>
    <x v="40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11"/>
    <x v="0"/>
    <x v="8"/>
    <x v="3"/>
    <x v="7"/>
  </r>
  <r>
    <x v="452"/>
    <x v="0"/>
    <x v="2"/>
    <x v="3"/>
    <x v="8"/>
  </r>
  <r>
    <x v="251"/>
    <x v="0"/>
    <x v="2"/>
    <x v="3"/>
    <x v="8"/>
  </r>
  <r>
    <x v="272"/>
    <x v="0"/>
    <x v="2"/>
    <x v="3"/>
    <x v="8"/>
  </r>
  <r>
    <x v="174"/>
    <x v="0"/>
    <x v="2"/>
    <x v="3"/>
    <x v="8"/>
  </r>
  <r>
    <x v="356"/>
    <x v="0"/>
    <x v="2"/>
    <x v="3"/>
    <x v="8"/>
  </r>
  <r>
    <x v="373"/>
    <x v="0"/>
    <x v="2"/>
    <x v="3"/>
    <x v="8"/>
  </r>
  <r>
    <x v="580"/>
    <x v="0"/>
    <x v="2"/>
    <x v="3"/>
    <x v="8"/>
  </r>
  <r>
    <x v="0"/>
    <x v="0"/>
    <x v="20"/>
    <x v="3"/>
    <x v="15"/>
  </r>
  <r>
    <x v="10"/>
    <x v="0"/>
    <x v="20"/>
    <x v="3"/>
    <x v="15"/>
  </r>
  <r>
    <x v="8"/>
    <x v="0"/>
    <x v="20"/>
    <x v="3"/>
    <x v="15"/>
  </r>
  <r>
    <x v="59"/>
    <x v="0"/>
    <x v="9"/>
    <x v="3"/>
    <x v="8"/>
  </r>
  <r>
    <x v="57"/>
    <x v="0"/>
    <x v="9"/>
    <x v="3"/>
    <x v="8"/>
  </r>
  <r>
    <x v="84"/>
    <x v="0"/>
    <x v="9"/>
    <x v="3"/>
    <x v="8"/>
  </r>
  <r>
    <x v="38"/>
    <x v="0"/>
    <x v="9"/>
    <x v="3"/>
    <x v="8"/>
  </r>
  <r>
    <x v="67"/>
    <x v="0"/>
    <x v="9"/>
    <x v="3"/>
    <x v="8"/>
  </r>
  <r>
    <x v="138"/>
    <x v="0"/>
    <x v="9"/>
    <x v="3"/>
    <x v="8"/>
  </r>
  <r>
    <x v="48"/>
    <x v="0"/>
    <x v="9"/>
    <x v="3"/>
    <x v="8"/>
  </r>
  <r>
    <x v="75"/>
    <x v="0"/>
    <x v="9"/>
    <x v="3"/>
    <x v="8"/>
  </r>
  <r>
    <x v="206"/>
    <x v="0"/>
    <x v="9"/>
    <x v="3"/>
    <x v="8"/>
  </r>
  <r>
    <x v="24"/>
    <x v="0"/>
    <x v="9"/>
    <x v="3"/>
    <x v="8"/>
  </r>
  <r>
    <x v="81"/>
    <x v="0"/>
    <x v="9"/>
    <x v="3"/>
    <x v="8"/>
  </r>
  <r>
    <x v="72"/>
    <x v="0"/>
    <x v="9"/>
    <x v="3"/>
    <x v="8"/>
  </r>
  <r>
    <x v="498"/>
    <x v="0"/>
    <x v="9"/>
    <x v="3"/>
    <x v="8"/>
  </r>
  <r>
    <x v="393"/>
    <x v="0"/>
    <x v="9"/>
    <x v="3"/>
    <x v="8"/>
  </r>
  <r>
    <x v="407"/>
    <x v="0"/>
    <x v="9"/>
    <x v="3"/>
    <x v="8"/>
  </r>
  <r>
    <x v="12"/>
    <x v="0"/>
    <x v="13"/>
    <x v="3"/>
    <x v="8"/>
  </r>
  <r>
    <x v="0"/>
    <x v="0"/>
    <x v="15"/>
    <x v="3"/>
    <x v="8"/>
  </r>
  <r>
    <x v="195"/>
    <x v="0"/>
    <x v="15"/>
    <x v="3"/>
    <x v="8"/>
  </r>
  <r>
    <x v="20"/>
    <x v="0"/>
    <x v="15"/>
    <x v="3"/>
    <x v="8"/>
  </r>
  <r>
    <x v="87"/>
    <x v="0"/>
    <x v="15"/>
    <x v="3"/>
    <x v="8"/>
  </r>
  <r>
    <x v="181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19"/>
    <x v="0"/>
    <x v="28"/>
    <x v="3"/>
    <x v="20"/>
  </r>
  <r>
    <x v="12"/>
    <x v="0"/>
    <x v="3"/>
    <x v="3"/>
    <x v="2"/>
  </r>
  <r>
    <x v="5"/>
    <x v="0"/>
    <x v="3"/>
    <x v="3"/>
    <x v="2"/>
  </r>
  <r>
    <x v="3"/>
    <x v="0"/>
    <x v="28"/>
    <x v="3"/>
    <x v="20"/>
  </r>
  <r>
    <x v="119"/>
    <x v="0"/>
    <x v="15"/>
    <x v="3"/>
    <x v="8"/>
  </r>
  <r>
    <x v="29"/>
    <x v="0"/>
    <x v="15"/>
    <x v="3"/>
    <x v="8"/>
  </r>
  <r>
    <x v="0"/>
    <x v="0"/>
    <x v="13"/>
    <x v="3"/>
    <x v="8"/>
  </r>
  <r>
    <x v="465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13"/>
    <x v="0"/>
    <x v="6"/>
    <x v="3"/>
    <x v="5"/>
  </r>
  <r>
    <x v="572"/>
    <x v="15"/>
    <x v="0"/>
    <x v="10"/>
    <x v="0"/>
  </r>
  <r>
    <x v="7"/>
    <x v="15"/>
    <x v="1"/>
    <x v="10"/>
    <x v="1"/>
  </r>
  <r>
    <x v="11"/>
    <x v="15"/>
    <x v="28"/>
    <x v="10"/>
    <x v="20"/>
  </r>
  <r>
    <x v="18"/>
    <x v="15"/>
    <x v="14"/>
    <x v="10"/>
    <x v="11"/>
  </r>
  <r>
    <x v="14"/>
    <x v="15"/>
    <x v="28"/>
    <x v="10"/>
    <x v="20"/>
  </r>
  <r>
    <x v="0"/>
    <x v="15"/>
    <x v="28"/>
    <x v="10"/>
    <x v="20"/>
  </r>
  <r>
    <x v="0"/>
    <x v="15"/>
    <x v="7"/>
    <x v="10"/>
    <x v="6"/>
  </r>
  <r>
    <x v="0"/>
    <x v="15"/>
    <x v="28"/>
    <x v="10"/>
    <x v="20"/>
  </r>
  <r>
    <x v="0"/>
    <x v="15"/>
    <x v="27"/>
    <x v="10"/>
    <x v="19"/>
  </r>
  <r>
    <x v="0"/>
    <x v="15"/>
    <x v="25"/>
    <x v="10"/>
    <x v="15"/>
  </r>
  <r>
    <x v="0"/>
    <x v="15"/>
    <x v="16"/>
    <x v="10"/>
    <x v="12"/>
  </r>
  <r>
    <x v="6"/>
    <x v="15"/>
    <x v="16"/>
    <x v="10"/>
    <x v="12"/>
  </r>
  <r>
    <x v="4"/>
    <x v="15"/>
    <x v="16"/>
    <x v="10"/>
    <x v="12"/>
  </r>
  <r>
    <x v="21"/>
    <x v="15"/>
    <x v="23"/>
    <x v="10"/>
    <x v="15"/>
  </r>
  <r>
    <x v="0"/>
    <x v="15"/>
    <x v="23"/>
    <x v="10"/>
    <x v="15"/>
  </r>
  <r>
    <x v="30"/>
    <x v="15"/>
    <x v="19"/>
    <x v="10"/>
    <x v="15"/>
  </r>
  <r>
    <x v="0"/>
    <x v="15"/>
    <x v="25"/>
    <x v="10"/>
    <x v="15"/>
  </r>
  <r>
    <x v="6"/>
    <x v="15"/>
    <x v="12"/>
    <x v="10"/>
    <x v="15"/>
  </r>
  <r>
    <x v="258"/>
    <x v="15"/>
    <x v="12"/>
    <x v="10"/>
    <x v="15"/>
  </r>
  <r>
    <x v="188"/>
    <x v="15"/>
    <x v="19"/>
    <x v="10"/>
    <x v="15"/>
  </r>
  <r>
    <x v="44"/>
    <x v="15"/>
    <x v="12"/>
    <x v="10"/>
    <x v="15"/>
  </r>
  <r>
    <x v="282"/>
    <x v="15"/>
    <x v="12"/>
    <x v="10"/>
    <x v="15"/>
  </r>
  <r>
    <x v="376"/>
    <x v="15"/>
    <x v="19"/>
    <x v="10"/>
    <x v="15"/>
  </r>
  <r>
    <x v="10"/>
    <x v="15"/>
    <x v="24"/>
    <x v="10"/>
    <x v="17"/>
  </r>
  <r>
    <x v="0"/>
    <x v="15"/>
    <x v="11"/>
    <x v="10"/>
    <x v="10"/>
  </r>
  <r>
    <x v="12"/>
    <x v="15"/>
    <x v="11"/>
    <x v="10"/>
    <x v="10"/>
  </r>
  <r>
    <x v="0"/>
    <x v="15"/>
    <x v="28"/>
    <x v="10"/>
    <x v="20"/>
  </r>
  <r>
    <x v="82"/>
    <x v="15"/>
    <x v="28"/>
    <x v="10"/>
    <x v="20"/>
  </r>
  <r>
    <x v="11"/>
    <x v="15"/>
    <x v="16"/>
    <x v="10"/>
    <x v="12"/>
  </r>
  <r>
    <x v="0"/>
    <x v="15"/>
    <x v="16"/>
    <x v="10"/>
    <x v="12"/>
  </r>
  <r>
    <x v="0"/>
    <x v="15"/>
    <x v="10"/>
    <x v="10"/>
    <x v="9"/>
  </r>
  <r>
    <x v="0"/>
    <x v="15"/>
    <x v="28"/>
    <x v="10"/>
    <x v="20"/>
  </r>
  <r>
    <x v="0"/>
    <x v="15"/>
    <x v="21"/>
    <x v="10"/>
    <x v="16"/>
  </r>
  <r>
    <x v="6"/>
    <x v="15"/>
    <x v="18"/>
    <x v="10"/>
    <x v="14"/>
  </r>
  <r>
    <x v="0"/>
    <x v="15"/>
    <x v="18"/>
    <x v="10"/>
    <x v="14"/>
  </r>
  <r>
    <x v="0"/>
    <x v="15"/>
    <x v="18"/>
    <x v="10"/>
    <x v="14"/>
  </r>
  <r>
    <x v="5"/>
    <x v="15"/>
    <x v="18"/>
    <x v="10"/>
    <x v="14"/>
  </r>
  <r>
    <x v="0"/>
    <x v="15"/>
    <x v="18"/>
    <x v="10"/>
    <x v="14"/>
  </r>
  <r>
    <x v="6"/>
    <x v="15"/>
    <x v="17"/>
    <x v="10"/>
    <x v="13"/>
  </r>
  <r>
    <x v="21"/>
    <x v="15"/>
    <x v="17"/>
    <x v="10"/>
    <x v="13"/>
  </r>
  <r>
    <x v="0"/>
    <x v="15"/>
    <x v="8"/>
    <x v="10"/>
    <x v="7"/>
  </r>
  <r>
    <x v="0"/>
    <x v="15"/>
    <x v="8"/>
    <x v="10"/>
    <x v="7"/>
  </r>
  <r>
    <x v="0"/>
    <x v="15"/>
    <x v="2"/>
    <x v="10"/>
    <x v="8"/>
  </r>
  <r>
    <x v="0"/>
    <x v="15"/>
    <x v="2"/>
    <x v="10"/>
    <x v="8"/>
  </r>
  <r>
    <x v="7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555"/>
    <x v="15"/>
    <x v="20"/>
    <x v="10"/>
    <x v="15"/>
  </r>
  <r>
    <x v="434"/>
    <x v="15"/>
    <x v="20"/>
    <x v="10"/>
    <x v="15"/>
  </r>
  <r>
    <x v="505"/>
    <x v="15"/>
    <x v="20"/>
    <x v="10"/>
    <x v="15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35"/>
    <x v="15"/>
    <x v="9"/>
    <x v="10"/>
    <x v="8"/>
  </r>
  <r>
    <x v="6"/>
    <x v="15"/>
    <x v="9"/>
    <x v="10"/>
    <x v="8"/>
  </r>
  <r>
    <x v="6"/>
    <x v="15"/>
    <x v="9"/>
    <x v="10"/>
    <x v="8"/>
  </r>
  <r>
    <x v="0"/>
    <x v="15"/>
    <x v="9"/>
    <x v="10"/>
    <x v="8"/>
  </r>
  <r>
    <x v="10"/>
    <x v="15"/>
    <x v="13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25"/>
    <x v="10"/>
    <x v="15"/>
  </r>
  <r>
    <x v="0"/>
    <x v="15"/>
    <x v="26"/>
    <x v="10"/>
    <x v="18"/>
  </r>
  <r>
    <x v="156"/>
    <x v="15"/>
    <x v="22"/>
    <x v="10"/>
    <x v="15"/>
  </r>
  <r>
    <x v="0"/>
    <x v="15"/>
    <x v="28"/>
    <x v="10"/>
    <x v="20"/>
  </r>
  <r>
    <x v="5"/>
    <x v="15"/>
    <x v="3"/>
    <x v="10"/>
    <x v="2"/>
  </r>
  <r>
    <x v="10"/>
    <x v="15"/>
    <x v="3"/>
    <x v="10"/>
    <x v="2"/>
  </r>
  <r>
    <x v="10"/>
    <x v="15"/>
    <x v="28"/>
    <x v="10"/>
    <x v="20"/>
  </r>
  <r>
    <x v="0"/>
    <x v="15"/>
    <x v="15"/>
    <x v="10"/>
    <x v="8"/>
  </r>
  <r>
    <x v="0"/>
    <x v="15"/>
    <x v="15"/>
    <x v="10"/>
    <x v="8"/>
  </r>
  <r>
    <x v="0"/>
    <x v="15"/>
    <x v="13"/>
    <x v="10"/>
    <x v="8"/>
  </r>
  <r>
    <x v="0"/>
    <x v="15"/>
    <x v="2"/>
    <x v="10"/>
    <x v="8"/>
  </r>
  <r>
    <x v="0"/>
    <x v="15"/>
    <x v="24"/>
    <x v="10"/>
    <x v="17"/>
  </r>
  <r>
    <x v="0"/>
    <x v="15"/>
    <x v="4"/>
    <x v="10"/>
    <x v="3"/>
  </r>
  <r>
    <x v="0"/>
    <x v="15"/>
    <x v="5"/>
    <x v="10"/>
    <x v="4"/>
  </r>
  <r>
    <x v="14"/>
    <x v="15"/>
    <x v="6"/>
    <x v="10"/>
    <x v="5"/>
  </r>
  <r>
    <x v="448"/>
    <x v="15"/>
    <x v="0"/>
    <x v="10"/>
    <x v="0"/>
  </r>
  <r>
    <x v="0"/>
    <x v="15"/>
    <x v="1"/>
    <x v="10"/>
    <x v="1"/>
  </r>
  <r>
    <x v="0"/>
    <x v="15"/>
    <x v="28"/>
    <x v="10"/>
    <x v="20"/>
  </r>
  <r>
    <x v="0"/>
    <x v="15"/>
    <x v="14"/>
    <x v="10"/>
    <x v="11"/>
  </r>
  <r>
    <x v="0"/>
    <x v="15"/>
    <x v="28"/>
    <x v="10"/>
    <x v="20"/>
  </r>
  <r>
    <x v="0"/>
    <x v="15"/>
    <x v="28"/>
    <x v="10"/>
    <x v="20"/>
  </r>
  <r>
    <x v="0"/>
    <x v="15"/>
    <x v="7"/>
    <x v="10"/>
    <x v="6"/>
  </r>
  <r>
    <x v="0"/>
    <x v="15"/>
    <x v="28"/>
    <x v="10"/>
    <x v="20"/>
  </r>
  <r>
    <x v="0"/>
    <x v="15"/>
    <x v="27"/>
    <x v="10"/>
    <x v="19"/>
  </r>
  <r>
    <x v="0"/>
    <x v="15"/>
    <x v="25"/>
    <x v="10"/>
    <x v="15"/>
  </r>
  <r>
    <x v="9"/>
    <x v="15"/>
    <x v="16"/>
    <x v="10"/>
    <x v="12"/>
  </r>
  <r>
    <x v="0"/>
    <x v="15"/>
    <x v="16"/>
    <x v="10"/>
    <x v="12"/>
  </r>
  <r>
    <x v="0"/>
    <x v="15"/>
    <x v="16"/>
    <x v="10"/>
    <x v="12"/>
  </r>
  <r>
    <x v="0"/>
    <x v="15"/>
    <x v="23"/>
    <x v="10"/>
    <x v="15"/>
  </r>
  <r>
    <x v="0"/>
    <x v="15"/>
    <x v="23"/>
    <x v="10"/>
    <x v="15"/>
  </r>
  <r>
    <x v="0"/>
    <x v="15"/>
    <x v="19"/>
    <x v="10"/>
    <x v="15"/>
  </r>
  <r>
    <x v="0"/>
    <x v="15"/>
    <x v="25"/>
    <x v="10"/>
    <x v="15"/>
  </r>
  <r>
    <x v="7"/>
    <x v="15"/>
    <x v="12"/>
    <x v="10"/>
    <x v="15"/>
  </r>
  <r>
    <x v="126"/>
    <x v="15"/>
    <x v="12"/>
    <x v="10"/>
    <x v="15"/>
  </r>
  <r>
    <x v="62"/>
    <x v="15"/>
    <x v="19"/>
    <x v="10"/>
    <x v="15"/>
  </r>
  <r>
    <x v="9"/>
    <x v="15"/>
    <x v="12"/>
    <x v="10"/>
    <x v="15"/>
  </r>
  <r>
    <x v="130"/>
    <x v="15"/>
    <x v="12"/>
    <x v="10"/>
    <x v="15"/>
  </r>
  <r>
    <x v="206"/>
    <x v="15"/>
    <x v="19"/>
    <x v="10"/>
    <x v="15"/>
  </r>
  <r>
    <x v="0"/>
    <x v="15"/>
    <x v="24"/>
    <x v="10"/>
    <x v="17"/>
  </r>
  <r>
    <x v="0"/>
    <x v="15"/>
    <x v="11"/>
    <x v="10"/>
    <x v="10"/>
  </r>
  <r>
    <x v="0"/>
    <x v="15"/>
    <x v="11"/>
    <x v="10"/>
    <x v="10"/>
  </r>
  <r>
    <x v="0"/>
    <x v="15"/>
    <x v="28"/>
    <x v="10"/>
    <x v="20"/>
  </r>
  <r>
    <x v="0"/>
    <x v="15"/>
    <x v="28"/>
    <x v="10"/>
    <x v="20"/>
  </r>
  <r>
    <x v="0"/>
    <x v="15"/>
    <x v="16"/>
    <x v="10"/>
    <x v="12"/>
  </r>
  <r>
    <x v="0"/>
    <x v="15"/>
    <x v="16"/>
    <x v="10"/>
    <x v="12"/>
  </r>
  <r>
    <x v="0"/>
    <x v="15"/>
    <x v="10"/>
    <x v="10"/>
    <x v="9"/>
  </r>
  <r>
    <x v="0"/>
    <x v="15"/>
    <x v="28"/>
    <x v="10"/>
    <x v="20"/>
  </r>
  <r>
    <x v="0"/>
    <x v="15"/>
    <x v="21"/>
    <x v="10"/>
    <x v="16"/>
  </r>
  <r>
    <x v="0"/>
    <x v="15"/>
    <x v="18"/>
    <x v="10"/>
    <x v="14"/>
  </r>
  <r>
    <x v="0"/>
    <x v="15"/>
    <x v="18"/>
    <x v="10"/>
    <x v="14"/>
  </r>
  <r>
    <x v="0"/>
    <x v="15"/>
    <x v="18"/>
    <x v="10"/>
    <x v="14"/>
  </r>
  <r>
    <x v="0"/>
    <x v="15"/>
    <x v="18"/>
    <x v="10"/>
    <x v="14"/>
  </r>
  <r>
    <x v="0"/>
    <x v="15"/>
    <x v="18"/>
    <x v="10"/>
    <x v="14"/>
  </r>
  <r>
    <x v="0"/>
    <x v="15"/>
    <x v="17"/>
    <x v="10"/>
    <x v="13"/>
  </r>
  <r>
    <x v="0"/>
    <x v="15"/>
    <x v="17"/>
    <x v="10"/>
    <x v="13"/>
  </r>
  <r>
    <x v="0"/>
    <x v="15"/>
    <x v="8"/>
    <x v="10"/>
    <x v="7"/>
  </r>
  <r>
    <x v="0"/>
    <x v="15"/>
    <x v="8"/>
    <x v="10"/>
    <x v="7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410"/>
    <x v="15"/>
    <x v="20"/>
    <x v="10"/>
    <x v="15"/>
  </r>
  <r>
    <x v="397"/>
    <x v="15"/>
    <x v="20"/>
    <x v="10"/>
    <x v="15"/>
  </r>
  <r>
    <x v="281"/>
    <x v="15"/>
    <x v="20"/>
    <x v="10"/>
    <x v="15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13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25"/>
    <x v="10"/>
    <x v="15"/>
  </r>
  <r>
    <x v="0"/>
    <x v="15"/>
    <x v="26"/>
    <x v="10"/>
    <x v="18"/>
  </r>
  <r>
    <x v="0"/>
    <x v="15"/>
    <x v="22"/>
    <x v="10"/>
    <x v="15"/>
  </r>
  <r>
    <x v="0"/>
    <x v="15"/>
    <x v="28"/>
    <x v="10"/>
    <x v="20"/>
  </r>
  <r>
    <x v="0"/>
    <x v="15"/>
    <x v="3"/>
    <x v="10"/>
    <x v="2"/>
  </r>
  <r>
    <x v="0"/>
    <x v="15"/>
    <x v="3"/>
    <x v="10"/>
    <x v="2"/>
  </r>
  <r>
    <x v="0"/>
    <x v="15"/>
    <x v="28"/>
    <x v="10"/>
    <x v="20"/>
  </r>
  <r>
    <x v="0"/>
    <x v="15"/>
    <x v="15"/>
    <x v="10"/>
    <x v="8"/>
  </r>
  <r>
    <x v="0"/>
    <x v="15"/>
    <x v="15"/>
    <x v="10"/>
    <x v="8"/>
  </r>
  <r>
    <x v="0"/>
    <x v="15"/>
    <x v="13"/>
    <x v="10"/>
    <x v="8"/>
  </r>
  <r>
    <x v="0"/>
    <x v="15"/>
    <x v="2"/>
    <x v="10"/>
    <x v="8"/>
  </r>
  <r>
    <x v="7"/>
    <x v="15"/>
    <x v="24"/>
    <x v="10"/>
    <x v="17"/>
  </r>
  <r>
    <x v="0"/>
    <x v="15"/>
    <x v="4"/>
    <x v="10"/>
    <x v="3"/>
  </r>
  <r>
    <x v="0"/>
    <x v="15"/>
    <x v="5"/>
    <x v="10"/>
    <x v="4"/>
  </r>
  <r>
    <x v="0"/>
    <x v="15"/>
    <x v="6"/>
    <x v="10"/>
    <x v="5"/>
  </r>
  <r>
    <x v="581"/>
    <x v="15"/>
    <x v="0"/>
    <x v="10"/>
    <x v="0"/>
  </r>
  <r>
    <x v="0"/>
    <x v="15"/>
    <x v="1"/>
    <x v="10"/>
    <x v="1"/>
  </r>
  <r>
    <x v="0"/>
    <x v="15"/>
    <x v="28"/>
    <x v="10"/>
    <x v="20"/>
  </r>
  <r>
    <x v="0"/>
    <x v="15"/>
    <x v="14"/>
    <x v="10"/>
    <x v="11"/>
  </r>
  <r>
    <x v="0"/>
    <x v="15"/>
    <x v="28"/>
    <x v="10"/>
    <x v="20"/>
  </r>
  <r>
    <x v="0"/>
    <x v="15"/>
    <x v="28"/>
    <x v="10"/>
    <x v="20"/>
  </r>
  <r>
    <x v="0"/>
    <x v="15"/>
    <x v="7"/>
    <x v="10"/>
    <x v="6"/>
  </r>
  <r>
    <x v="0"/>
    <x v="15"/>
    <x v="28"/>
    <x v="10"/>
    <x v="20"/>
  </r>
  <r>
    <x v="0"/>
    <x v="15"/>
    <x v="27"/>
    <x v="10"/>
    <x v="19"/>
  </r>
  <r>
    <x v="0"/>
    <x v="15"/>
    <x v="25"/>
    <x v="10"/>
    <x v="15"/>
  </r>
  <r>
    <x v="17"/>
    <x v="15"/>
    <x v="16"/>
    <x v="10"/>
    <x v="12"/>
  </r>
  <r>
    <x v="6"/>
    <x v="15"/>
    <x v="16"/>
    <x v="10"/>
    <x v="12"/>
  </r>
  <r>
    <x v="0"/>
    <x v="15"/>
    <x v="16"/>
    <x v="10"/>
    <x v="12"/>
  </r>
  <r>
    <x v="0"/>
    <x v="15"/>
    <x v="23"/>
    <x v="10"/>
    <x v="15"/>
  </r>
  <r>
    <x v="0"/>
    <x v="15"/>
    <x v="23"/>
    <x v="10"/>
    <x v="15"/>
  </r>
  <r>
    <x v="6"/>
    <x v="15"/>
    <x v="19"/>
    <x v="10"/>
    <x v="15"/>
  </r>
  <r>
    <x v="21"/>
    <x v="15"/>
    <x v="25"/>
    <x v="10"/>
    <x v="15"/>
  </r>
  <r>
    <x v="5"/>
    <x v="15"/>
    <x v="12"/>
    <x v="10"/>
    <x v="15"/>
  </r>
  <r>
    <x v="220"/>
    <x v="15"/>
    <x v="12"/>
    <x v="10"/>
    <x v="15"/>
  </r>
  <r>
    <x v="217"/>
    <x v="15"/>
    <x v="19"/>
    <x v="10"/>
    <x v="15"/>
  </r>
  <r>
    <x v="19"/>
    <x v="15"/>
    <x v="12"/>
    <x v="10"/>
    <x v="15"/>
  </r>
  <r>
    <x v="323"/>
    <x v="15"/>
    <x v="12"/>
    <x v="10"/>
    <x v="15"/>
  </r>
  <r>
    <x v="301"/>
    <x v="15"/>
    <x v="19"/>
    <x v="10"/>
    <x v="15"/>
  </r>
  <r>
    <x v="0"/>
    <x v="15"/>
    <x v="24"/>
    <x v="10"/>
    <x v="17"/>
  </r>
  <r>
    <x v="0"/>
    <x v="15"/>
    <x v="11"/>
    <x v="10"/>
    <x v="10"/>
  </r>
  <r>
    <x v="0"/>
    <x v="15"/>
    <x v="11"/>
    <x v="10"/>
    <x v="10"/>
  </r>
  <r>
    <x v="0"/>
    <x v="15"/>
    <x v="28"/>
    <x v="10"/>
    <x v="20"/>
  </r>
  <r>
    <x v="8"/>
    <x v="15"/>
    <x v="28"/>
    <x v="10"/>
    <x v="20"/>
  </r>
  <r>
    <x v="10"/>
    <x v="15"/>
    <x v="16"/>
    <x v="10"/>
    <x v="12"/>
  </r>
  <r>
    <x v="36"/>
    <x v="15"/>
    <x v="16"/>
    <x v="10"/>
    <x v="12"/>
  </r>
  <r>
    <x v="0"/>
    <x v="15"/>
    <x v="10"/>
    <x v="10"/>
    <x v="9"/>
  </r>
  <r>
    <x v="0"/>
    <x v="15"/>
    <x v="28"/>
    <x v="10"/>
    <x v="20"/>
  </r>
  <r>
    <x v="5"/>
    <x v="15"/>
    <x v="21"/>
    <x v="10"/>
    <x v="16"/>
  </r>
  <r>
    <x v="0"/>
    <x v="15"/>
    <x v="18"/>
    <x v="10"/>
    <x v="14"/>
  </r>
  <r>
    <x v="0"/>
    <x v="15"/>
    <x v="18"/>
    <x v="10"/>
    <x v="14"/>
  </r>
  <r>
    <x v="0"/>
    <x v="15"/>
    <x v="18"/>
    <x v="10"/>
    <x v="14"/>
  </r>
  <r>
    <x v="0"/>
    <x v="15"/>
    <x v="18"/>
    <x v="10"/>
    <x v="14"/>
  </r>
  <r>
    <x v="6"/>
    <x v="15"/>
    <x v="18"/>
    <x v="10"/>
    <x v="14"/>
  </r>
  <r>
    <x v="7"/>
    <x v="15"/>
    <x v="17"/>
    <x v="10"/>
    <x v="13"/>
  </r>
  <r>
    <x v="21"/>
    <x v="15"/>
    <x v="17"/>
    <x v="10"/>
    <x v="13"/>
  </r>
  <r>
    <x v="0"/>
    <x v="15"/>
    <x v="8"/>
    <x v="10"/>
    <x v="7"/>
  </r>
  <r>
    <x v="0"/>
    <x v="15"/>
    <x v="8"/>
    <x v="10"/>
    <x v="7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0"/>
    <x v="15"/>
    <x v="2"/>
    <x v="10"/>
    <x v="8"/>
  </r>
  <r>
    <x v="5"/>
    <x v="15"/>
    <x v="2"/>
    <x v="10"/>
    <x v="8"/>
  </r>
  <r>
    <x v="545"/>
    <x v="15"/>
    <x v="20"/>
    <x v="10"/>
    <x v="15"/>
  </r>
  <r>
    <x v="428"/>
    <x v="15"/>
    <x v="20"/>
    <x v="10"/>
    <x v="15"/>
  </r>
  <r>
    <x v="562"/>
    <x v="15"/>
    <x v="20"/>
    <x v="10"/>
    <x v="15"/>
  </r>
  <r>
    <x v="6"/>
    <x v="15"/>
    <x v="9"/>
    <x v="10"/>
    <x v="8"/>
  </r>
  <r>
    <x v="0"/>
    <x v="15"/>
    <x v="9"/>
    <x v="10"/>
    <x v="8"/>
  </r>
  <r>
    <x v="0"/>
    <x v="15"/>
    <x v="9"/>
    <x v="10"/>
    <x v="8"/>
  </r>
  <r>
    <x v="4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0"/>
    <x v="15"/>
    <x v="9"/>
    <x v="10"/>
    <x v="8"/>
  </r>
  <r>
    <x v="18"/>
    <x v="15"/>
    <x v="9"/>
    <x v="10"/>
    <x v="8"/>
  </r>
  <r>
    <x v="0"/>
    <x v="15"/>
    <x v="9"/>
    <x v="10"/>
    <x v="8"/>
  </r>
  <r>
    <x v="0"/>
    <x v="15"/>
    <x v="13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0"/>
    <x v="15"/>
    <x v="15"/>
    <x v="10"/>
    <x v="8"/>
  </r>
  <r>
    <x v="10"/>
    <x v="15"/>
    <x v="25"/>
    <x v="10"/>
    <x v="15"/>
  </r>
  <r>
    <x v="0"/>
    <x v="15"/>
    <x v="26"/>
    <x v="10"/>
    <x v="18"/>
  </r>
  <r>
    <x v="159"/>
    <x v="15"/>
    <x v="22"/>
    <x v="10"/>
    <x v="15"/>
  </r>
  <r>
    <x v="0"/>
    <x v="15"/>
    <x v="28"/>
    <x v="10"/>
    <x v="20"/>
  </r>
  <r>
    <x v="0"/>
    <x v="15"/>
    <x v="3"/>
    <x v="10"/>
    <x v="2"/>
  </r>
  <r>
    <x v="0"/>
    <x v="15"/>
    <x v="3"/>
    <x v="10"/>
    <x v="2"/>
  </r>
  <r>
    <x v="0"/>
    <x v="15"/>
    <x v="28"/>
    <x v="10"/>
    <x v="20"/>
  </r>
  <r>
    <x v="0"/>
    <x v="15"/>
    <x v="15"/>
    <x v="10"/>
    <x v="8"/>
  </r>
  <r>
    <x v="0"/>
    <x v="15"/>
    <x v="15"/>
    <x v="10"/>
    <x v="8"/>
  </r>
  <r>
    <x v="0"/>
    <x v="15"/>
    <x v="13"/>
    <x v="10"/>
    <x v="8"/>
  </r>
  <r>
    <x v="0"/>
    <x v="15"/>
    <x v="2"/>
    <x v="10"/>
    <x v="8"/>
  </r>
  <r>
    <x v="43"/>
    <x v="15"/>
    <x v="24"/>
    <x v="10"/>
    <x v="17"/>
  </r>
  <r>
    <x v="0"/>
    <x v="15"/>
    <x v="4"/>
    <x v="10"/>
    <x v="3"/>
  </r>
  <r>
    <x v="0"/>
    <x v="15"/>
    <x v="5"/>
    <x v="10"/>
    <x v="4"/>
  </r>
  <r>
    <x v="0"/>
    <x v="15"/>
    <x v="6"/>
    <x v="10"/>
    <x v="5"/>
  </r>
  <r>
    <x v="475"/>
    <x v="4"/>
    <x v="0"/>
    <x v="3"/>
    <x v="0"/>
  </r>
  <r>
    <x v="0"/>
    <x v="4"/>
    <x v="1"/>
    <x v="3"/>
    <x v="1"/>
  </r>
  <r>
    <x v="8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18"/>
    <x v="4"/>
    <x v="19"/>
    <x v="3"/>
    <x v="15"/>
  </r>
  <r>
    <x v="0"/>
    <x v="4"/>
    <x v="12"/>
    <x v="3"/>
    <x v="15"/>
  </r>
  <r>
    <x v="12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8"/>
    <x v="4"/>
    <x v="16"/>
    <x v="3"/>
    <x v="12"/>
  </r>
  <r>
    <x v="0"/>
    <x v="4"/>
    <x v="16"/>
    <x v="3"/>
    <x v="12"/>
  </r>
  <r>
    <x v="0"/>
    <x v="4"/>
    <x v="10"/>
    <x v="3"/>
    <x v="9"/>
  </r>
  <r>
    <x v="12"/>
    <x v="4"/>
    <x v="28"/>
    <x v="3"/>
    <x v="20"/>
  </r>
  <r>
    <x v="0"/>
    <x v="4"/>
    <x v="21"/>
    <x v="3"/>
    <x v="16"/>
  </r>
  <r>
    <x v="4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8"/>
    <x v="4"/>
    <x v="2"/>
    <x v="3"/>
    <x v="8"/>
  </r>
  <r>
    <x v="0"/>
    <x v="4"/>
    <x v="2"/>
    <x v="3"/>
    <x v="8"/>
  </r>
  <r>
    <x v="26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391"/>
    <x v="4"/>
    <x v="9"/>
    <x v="3"/>
    <x v="8"/>
  </r>
  <r>
    <x v="247"/>
    <x v="4"/>
    <x v="9"/>
    <x v="3"/>
    <x v="8"/>
  </r>
  <r>
    <x v="7"/>
    <x v="4"/>
    <x v="9"/>
    <x v="3"/>
    <x v="8"/>
  </r>
  <r>
    <x v="6"/>
    <x v="4"/>
    <x v="9"/>
    <x v="3"/>
    <x v="8"/>
  </r>
  <r>
    <x v="46"/>
    <x v="4"/>
    <x v="9"/>
    <x v="3"/>
    <x v="8"/>
  </r>
  <r>
    <x v="9"/>
    <x v="4"/>
    <x v="9"/>
    <x v="3"/>
    <x v="8"/>
  </r>
  <r>
    <x v="9"/>
    <x v="4"/>
    <x v="9"/>
    <x v="3"/>
    <x v="8"/>
  </r>
  <r>
    <x v="12"/>
    <x v="4"/>
    <x v="9"/>
    <x v="3"/>
    <x v="8"/>
  </r>
  <r>
    <x v="0"/>
    <x v="4"/>
    <x v="9"/>
    <x v="3"/>
    <x v="8"/>
  </r>
  <r>
    <x v="33"/>
    <x v="4"/>
    <x v="9"/>
    <x v="3"/>
    <x v="8"/>
  </r>
  <r>
    <x v="46"/>
    <x v="4"/>
    <x v="9"/>
    <x v="3"/>
    <x v="8"/>
  </r>
  <r>
    <x v="80"/>
    <x v="4"/>
    <x v="9"/>
    <x v="3"/>
    <x v="8"/>
  </r>
  <r>
    <x v="199"/>
    <x v="4"/>
    <x v="9"/>
    <x v="3"/>
    <x v="8"/>
  </r>
  <r>
    <x v="409"/>
    <x v="4"/>
    <x v="9"/>
    <x v="3"/>
    <x v="8"/>
  </r>
  <r>
    <x v="4"/>
    <x v="4"/>
    <x v="9"/>
    <x v="3"/>
    <x v="8"/>
  </r>
  <r>
    <x v="20"/>
    <x v="4"/>
    <x v="13"/>
    <x v="3"/>
    <x v="8"/>
  </r>
  <r>
    <x v="14"/>
    <x v="4"/>
    <x v="15"/>
    <x v="3"/>
    <x v="8"/>
  </r>
  <r>
    <x v="9"/>
    <x v="4"/>
    <x v="15"/>
    <x v="3"/>
    <x v="8"/>
  </r>
  <r>
    <x v="0"/>
    <x v="4"/>
    <x v="15"/>
    <x v="3"/>
    <x v="8"/>
  </r>
  <r>
    <x v="5"/>
    <x v="4"/>
    <x v="15"/>
    <x v="3"/>
    <x v="8"/>
  </r>
  <r>
    <x v="5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6"/>
    <x v="4"/>
    <x v="13"/>
    <x v="3"/>
    <x v="8"/>
  </r>
  <r>
    <x v="13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526"/>
    <x v="4"/>
    <x v="0"/>
    <x v="3"/>
    <x v="0"/>
  </r>
  <r>
    <x v="0"/>
    <x v="4"/>
    <x v="1"/>
    <x v="3"/>
    <x v="1"/>
  </r>
  <r>
    <x v="16"/>
    <x v="4"/>
    <x v="28"/>
    <x v="3"/>
    <x v="20"/>
  </r>
  <r>
    <x v="0"/>
    <x v="4"/>
    <x v="14"/>
    <x v="3"/>
    <x v="11"/>
  </r>
  <r>
    <x v="11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7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13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7"/>
    <x v="4"/>
    <x v="17"/>
    <x v="3"/>
    <x v="13"/>
  </r>
  <r>
    <x v="0"/>
    <x v="4"/>
    <x v="8"/>
    <x v="3"/>
    <x v="7"/>
  </r>
  <r>
    <x v="0"/>
    <x v="4"/>
    <x v="8"/>
    <x v="3"/>
    <x v="7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10"/>
    <x v="4"/>
    <x v="2"/>
    <x v="3"/>
    <x v="8"/>
  </r>
  <r>
    <x v="51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255"/>
    <x v="4"/>
    <x v="9"/>
    <x v="3"/>
    <x v="8"/>
  </r>
  <r>
    <x v="412"/>
    <x v="4"/>
    <x v="9"/>
    <x v="3"/>
    <x v="8"/>
  </r>
  <r>
    <x v="6"/>
    <x v="4"/>
    <x v="9"/>
    <x v="3"/>
    <x v="8"/>
  </r>
  <r>
    <x v="11"/>
    <x v="4"/>
    <x v="9"/>
    <x v="3"/>
    <x v="8"/>
  </r>
  <r>
    <x v="5"/>
    <x v="4"/>
    <x v="9"/>
    <x v="3"/>
    <x v="8"/>
  </r>
  <r>
    <x v="19"/>
    <x v="4"/>
    <x v="9"/>
    <x v="3"/>
    <x v="8"/>
  </r>
  <r>
    <x v="42"/>
    <x v="4"/>
    <x v="9"/>
    <x v="3"/>
    <x v="8"/>
  </r>
  <r>
    <x v="36"/>
    <x v="4"/>
    <x v="9"/>
    <x v="3"/>
    <x v="8"/>
  </r>
  <r>
    <x v="42"/>
    <x v="4"/>
    <x v="9"/>
    <x v="3"/>
    <x v="8"/>
  </r>
  <r>
    <x v="9"/>
    <x v="4"/>
    <x v="9"/>
    <x v="3"/>
    <x v="8"/>
  </r>
  <r>
    <x v="100"/>
    <x v="4"/>
    <x v="9"/>
    <x v="3"/>
    <x v="8"/>
  </r>
  <r>
    <x v="168"/>
    <x v="4"/>
    <x v="9"/>
    <x v="3"/>
    <x v="8"/>
  </r>
  <r>
    <x v="303"/>
    <x v="4"/>
    <x v="9"/>
    <x v="3"/>
    <x v="8"/>
  </r>
  <r>
    <x v="422"/>
    <x v="4"/>
    <x v="9"/>
    <x v="3"/>
    <x v="8"/>
  </r>
  <r>
    <x v="47"/>
    <x v="4"/>
    <x v="9"/>
    <x v="3"/>
    <x v="8"/>
  </r>
  <r>
    <x v="12"/>
    <x v="4"/>
    <x v="13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8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491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5"/>
    <x v="4"/>
    <x v="19"/>
    <x v="3"/>
    <x v="15"/>
  </r>
  <r>
    <x v="0"/>
    <x v="4"/>
    <x v="12"/>
    <x v="3"/>
    <x v="15"/>
  </r>
  <r>
    <x v="5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1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48"/>
    <x v="4"/>
    <x v="2"/>
    <x v="3"/>
    <x v="8"/>
  </r>
  <r>
    <x v="0"/>
    <x v="4"/>
    <x v="2"/>
    <x v="3"/>
    <x v="8"/>
  </r>
  <r>
    <x v="7"/>
    <x v="4"/>
    <x v="2"/>
    <x v="3"/>
    <x v="8"/>
  </r>
  <r>
    <x v="0"/>
    <x v="4"/>
    <x v="2"/>
    <x v="3"/>
    <x v="8"/>
  </r>
  <r>
    <x v="0"/>
    <x v="4"/>
    <x v="2"/>
    <x v="3"/>
    <x v="8"/>
  </r>
  <r>
    <x v="8"/>
    <x v="4"/>
    <x v="2"/>
    <x v="3"/>
    <x v="8"/>
  </r>
  <r>
    <x v="42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36"/>
    <x v="4"/>
    <x v="9"/>
    <x v="3"/>
    <x v="8"/>
  </r>
  <r>
    <x v="23"/>
    <x v="4"/>
    <x v="9"/>
    <x v="3"/>
    <x v="8"/>
  </r>
  <r>
    <x v="286"/>
    <x v="4"/>
    <x v="9"/>
    <x v="3"/>
    <x v="8"/>
  </r>
  <r>
    <x v="59"/>
    <x v="4"/>
    <x v="9"/>
    <x v="3"/>
    <x v="8"/>
  </r>
  <r>
    <x v="19"/>
    <x v="4"/>
    <x v="9"/>
    <x v="3"/>
    <x v="8"/>
  </r>
  <r>
    <x v="26"/>
    <x v="4"/>
    <x v="9"/>
    <x v="3"/>
    <x v="8"/>
  </r>
  <r>
    <x v="116"/>
    <x v="4"/>
    <x v="9"/>
    <x v="3"/>
    <x v="8"/>
  </r>
  <r>
    <x v="8"/>
    <x v="4"/>
    <x v="9"/>
    <x v="3"/>
    <x v="8"/>
  </r>
  <r>
    <x v="29"/>
    <x v="4"/>
    <x v="9"/>
    <x v="3"/>
    <x v="8"/>
  </r>
  <r>
    <x v="0"/>
    <x v="4"/>
    <x v="9"/>
    <x v="3"/>
    <x v="8"/>
  </r>
  <r>
    <x v="37"/>
    <x v="4"/>
    <x v="9"/>
    <x v="3"/>
    <x v="8"/>
  </r>
  <r>
    <x v="98"/>
    <x v="4"/>
    <x v="9"/>
    <x v="3"/>
    <x v="8"/>
  </r>
  <r>
    <x v="380"/>
    <x v="4"/>
    <x v="9"/>
    <x v="3"/>
    <x v="8"/>
  </r>
  <r>
    <x v="362"/>
    <x v="4"/>
    <x v="9"/>
    <x v="3"/>
    <x v="8"/>
  </r>
  <r>
    <x v="33"/>
    <x v="4"/>
    <x v="9"/>
    <x v="3"/>
    <x v="8"/>
  </r>
  <r>
    <x v="11"/>
    <x v="4"/>
    <x v="13"/>
    <x v="3"/>
    <x v="8"/>
  </r>
  <r>
    <x v="0"/>
    <x v="4"/>
    <x v="15"/>
    <x v="3"/>
    <x v="8"/>
  </r>
  <r>
    <x v="4"/>
    <x v="4"/>
    <x v="15"/>
    <x v="3"/>
    <x v="8"/>
  </r>
  <r>
    <x v="0"/>
    <x v="4"/>
    <x v="15"/>
    <x v="3"/>
    <x v="8"/>
  </r>
  <r>
    <x v="16"/>
    <x v="4"/>
    <x v="15"/>
    <x v="3"/>
    <x v="8"/>
  </r>
  <r>
    <x v="21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40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519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6"/>
    <x v="4"/>
    <x v="2"/>
    <x v="3"/>
    <x v="8"/>
  </r>
  <r>
    <x v="5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8"/>
    <x v="4"/>
    <x v="2"/>
    <x v="3"/>
    <x v="8"/>
  </r>
  <r>
    <x v="50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27"/>
    <x v="4"/>
    <x v="9"/>
    <x v="3"/>
    <x v="8"/>
  </r>
  <r>
    <x v="38"/>
    <x v="4"/>
    <x v="9"/>
    <x v="3"/>
    <x v="8"/>
  </r>
  <r>
    <x v="50"/>
    <x v="4"/>
    <x v="9"/>
    <x v="3"/>
    <x v="8"/>
  </r>
  <r>
    <x v="265"/>
    <x v="4"/>
    <x v="9"/>
    <x v="3"/>
    <x v="8"/>
  </r>
  <r>
    <x v="37"/>
    <x v="4"/>
    <x v="9"/>
    <x v="3"/>
    <x v="8"/>
  </r>
  <r>
    <x v="26"/>
    <x v="4"/>
    <x v="9"/>
    <x v="3"/>
    <x v="8"/>
  </r>
  <r>
    <x v="30"/>
    <x v="4"/>
    <x v="9"/>
    <x v="3"/>
    <x v="8"/>
  </r>
  <r>
    <x v="0"/>
    <x v="4"/>
    <x v="9"/>
    <x v="3"/>
    <x v="8"/>
  </r>
  <r>
    <x v="8"/>
    <x v="4"/>
    <x v="9"/>
    <x v="3"/>
    <x v="8"/>
  </r>
  <r>
    <x v="21"/>
    <x v="4"/>
    <x v="9"/>
    <x v="3"/>
    <x v="8"/>
  </r>
  <r>
    <x v="0"/>
    <x v="4"/>
    <x v="9"/>
    <x v="3"/>
    <x v="8"/>
  </r>
  <r>
    <x v="18"/>
    <x v="4"/>
    <x v="9"/>
    <x v="3"/>
    <x v="8"/>
  </r>
  <r>
    <x v="330"/>
    <x v="4"/>
    <x v="9"/>
    <x v="3"/>
    <x v="8"/>
  </r>
  <r>
    <x v="383"/>
    <x v="4"/>
    <x v="9"/>
    <x v="3"/>
    <x v="8"/>
  </r>
  <r>
    <x v="18"/>
    <x v="4"/>
    <x v="9"/>
    <x v="3"/>
    <x v="8"/>
  </r>
  <r>
    <x v="0"/>
    <x v="4"/>
    <x v="13"/>
    <x v="3"/>
    <x v="8"/>
  </r>
  <r>
    <x v="0"/>
    <x v="4"/>
    <x v="15"/>
    <x v="3"/>
    <x v="8"/>
  </r>
  <r>
    <x v="6"/>
    <x v="4"/>
    <x v="15"/>
    <x v="3"/>
    <x v="8"/>
  </r>
  <r>
    <x v="0"/>
    <x v="4"/>
    <x v="15"/>
    <x v="3"/>
    <x v="8"/>
  </r>
  <r>
    <x v="5"/>
    <x v="4"/>
    <x v="15"/>
    <x v="3"/>
    <x v="8"/>
  </r>
  <r>
    <x v="25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12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517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7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17"/>
    <x v="4"/>
    <x v="2"/>
    <x v="3"/>
    <x v="8"/>
  </r>
  <r>
    <x v="25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10"/>
    <x v="4"/>
    <x v="9"/>
    <x v="3"/>
    <x v="8"/>
  </r>
  <r>
    <x v="18"/>
    <x v="4"/>
    <x v="9"/>
    <x v="3"/>
    <x v="8"/>
  </r>
  <r>
    <x v="19"/>
    <x v="4"/>
    <x v="9"/>
    <x v="3"/>
    <x v="8"/>
  </r>
  <r>
    <x v="18"/>
    <x v="4"/>
    <x v="9"/>
    <x v="3"/>
    <x v="8"/>
  </r>
  <r>
    <x v="248"/>
    <x v="4"/>
    <x v="9"/>
    <x v="3"/>
    <x v="8"/>
  </r>
  <r>
    <x v="106"/>
    <x v="4"/>
    <x v="9"/>
    <x v="3"/>
    <x v="8"/>
  </r>
  <r>
    <x v="6"/>
    <x v="4"/>
    <x v="9"/>
    <x v="3"/>
    <x v="8"/>
  </r>
  <r>
    <x v="0"/>
    <x v="4"/>
    <x v="9"/>
    <x v="3"/>
    <x v="8"/>
  </r>
  <r>
    <x v="47"/>
    <x v="4"/>
    <x v="9"/>
    <x v="3"/>
    <x v="8"/>
  </r>
  <r>
    <x v="9"/>
    <x v="4"/>
    <x v="9"/>
    <x v="3"/>
    <x v="8"/>
  </r>
  <r>
    <x v="78"/>
    <x v="4"/>
    <x v="9"/>
    <x v="3"/>
    <x v="8"/>
  </r>
  <r>
    <x v="0"/>
    <x v="4"/>
    <x v="9"/>
    <x v="3"/>
    <x v="8"/>
  </r>
  <r>
    <x v="324"/>
    <x v="4"/>
    <x v="9"/>
    <x v="3"/>
    <x v="8"/>
  </r>
  <r>
    <x v="363"/>
    <x v="4"/>
    <x v="9"/>
    <x v="3"/>
    <x v="8"/>
  </r>
  <r>
    <x v="61"/>
    <x v="4"/>
    <x v="9"/>
    <x v="3"/>
    <x v="8"/>
  </r>
  <r>
    <x v="0"/>
    <x v="4"/>
    <x v="13"/>
    <x v="3"/>
    <x v="8"/>
  </r>
  <r>
    <x v="0"/>
    <x v="4"/>
    <x v="15"/>
    <x v="3"/>
    <x v="8"/>
  </r>
  <r>
    <x v="0"/>
    <x v="4"/>
    <x v="15"/>
    <x v="3"/>
    <x v="8"/>
  </r>
  <r>
    <x v="9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0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524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6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8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36"/>
    <x v="4"/>
    <x v="2"/>
    <x v="3"/>
    <x v="8"/>
  </r>
  <r>
    <x v="6"/>
    <x v="4"/>
    <x v="2"/>
    <x v="3"/>
    <x v="8"/>
  </r>
  <r>
    <x v="11"/>
    <x v="4"/>
    <x v="2"/>
    <x v="3"/>
    <x v="8"/>
  </r>
  <r>
    <x v="0"/>
    <x v="4"/>
    <x v="2"/>
    <x v="3"/>
    <x v="8"/>
  </r>
  <r>
    <x v="0"/>
    <x v="4"/>
    <x v="2"/>
    <x v="3"/>
    <x v="8"/>
  </r>
  <r>
    <x v="49"/>
    <x v="4"/>
    <x v="2"/>
    <x v="3"/>
    <x v="8"/>
  </r>
  <r>
    <x v="104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9"/>
    <x v="4"/>
    <x v="9"/>
    <x v="3"/>
    <x v="8"/>
  </r>
  <r>
    <x v="24"/>
    <x v="4"/>
    <x v="9"/>
    <x v="3"/>
    <x v="8"/>
  </r>
  <r>
    <x v="7"/>
    <x v="4"/>
    <x v="9"/>
    <x v="3"/>
    <x v="8"/>
  </r>
  <r>
    <x v="67"/>
    <x v="4"/>
    <x v="9"/>
    <x v="3"/>
    <x v="8"/>
  </r>
  <r>
    <x v="146"/>
    <x v="4"/>
    <x v="9"/>
    <x v="3"/>
    <x v="8"/>
  </r>
  <r>
    <x v="283"/>
    <x v="4"/>
    <x v="9"/>
    <x v="3"/>
    <x v="8"/>
  </r>
  <r>
    <x v="14"/>
    <x v="4"/>
    <x v="9"/>
    <x v="3"/>
    <x v="8"/>
  </r>
  <r>
    <x v="29"/>
    <x v="4"/>
    <x v="9"/>
    <x v="3"/>
    <x v="8"/>
  </r>
  <r>
    <x v="95"/>
    <x v="4"/>
    <x v="9"/>
    <x v="3"/>
    <x v="8"/>
  </r>
  <r>
    <x v="7"/>
    <x v="4"/>
    <x v="9"/>
    <x v="3"/>
    <x v="8"/>
  </r>
  <r>
    <x v="72"/>
    <x v="4"/>
    <x v="9"/>
    <x v="3"/>
    <x v="8"/>
  </r>
  <r>
    <x v="30"/>
    <x v="4"/>
    <x v="9"/>
    <x v="3"/>
    <x v="8"/>
  </r>
  <r>
    <x v="389"/>
    <x v="4"/>
    <x v="9"/>
    <x v="3"/>
    <x v="8"/>
  </r>
  <r>
    <x v="336"/>
    <x v="4"/>
    <x v="9"/>
    <x v="3"/>
    <x v="8"/>
  </r>
  <r>
    <x v="120"/>
    <x v="4"/>
    <x v="9"/>
    <x v="3"/>
    <x v="8"/>
  </r>
  <r>
    <x v="0"/>
    <x v="4"/>
    <x v="13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7"/>
    <x v="4"/>
    <x v="15"/>
    <x v="3"/>
    <x v="8"/>
  </r>
  <r>
    <x v="0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8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493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5"/>
    <x v="4"/>
    <x v="2"/>
    <x v="3"/>
    <x v="8"/>
  </r>
  <r>
    <x v="0"/>
    <x v="4"/>
    <x v="2"/>
    <x v="3"/>
    <x v="8"/>
  </r>
  <r>
    <x v="0"/>
    <x v="4"/>
    <x v="2"/>
    <x v="3"/>
    <x v="8"/>
  </r>
  <r>
    <x v="11"/>
    <x v="4"/>
    <x v="2"/>
    <x v="3"/>
    <x v="8"/>
  </r>
  <r>
    <x v="0"/>
    <x v="4"/>
    <x v="2"/>
    <x v="3"/>
    <x v="8"/>
  </r>
  <r>
    <x v="0"/>
    <x v="4"/>
    <x v="2"/>
    <x v="3"/>
    <x v="8"/>
  </r>
  <r>
    <x v="54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20"/>
    <x v="4"/>
    <x v="9"/>
    <x v="3"/>
    <x v="8"/>
  </r>
  <r>
    <x v="20"/>
    <x v="4"/>
    <x v="9"/>
    <x v="3"/>
    <x v="8"/>
  </r>
  <r>
    <x v="152"/>
    <x v="4"/>
    <x v="9"/>
    <x v="3"/>
    <x v="8"/>
  </r>
  <r>
    <x v="26"/>
    <x v="4"/>
    <x v="9"/>
    <x v="3"/>
    <x v="8"/>
  </r>
  <r>
    <x v="21"/>
    <x v="4"/>
    <x v="9"/>
    <x v="3"/>
    <x v="8"/>
  </r>
  <r>
    <x v="18"/>
    <x v="4"/>
    <x v="9"/>
    <x v="3"/>
    <x v="8"/>
  </r>
  <r>
    <x v="278"/>
    <x v="4"/>
    <x v="9"/>
    <x v="3"/>
    <x v="8"/>
  </r>
  <r>
    <x v="7"/>
    <x v="4"/>
    <x v="9"/>
    <x v="3"/>
    <x v="8"/>
  </r>
  <r>
    <x v="10"/>
    <x v="4"/>
    <x v="9"/>
    <x v="3"/>
    <x v="8"/>
  </r>
  <r>
    <x v="20"/>
    <x v="4"/>
    <x v="9"/>
    <x v="3"/>
    <x v="8"/>
  </r>
  <r>
    <x v="28"/>
    <x v="4"/>
    <x v="9"/>
    <x v="3"/>
    <x v="8"/>
  </r>
  <r>
    <x v="59"/>
    <x v="4"/>
    <x v="9"/>
    <x v="3"/>
    <x v="8"/>
  </r>
  <r>
    <x v="368"/>
    <x v="4"/>
    <x v="9"/>
    <x v="3"/>
    <x v="8"/>
  </r>
  <r>
    <x v="262"/>
    <x v="4"/>
    <x v="9"/>
    <x v="3"/>
    <x v="8"/>
  </r>
  <r>
    <x v="22"/>
    <x v="4"/>
    <x v="9"/>
    <x v="3"/>
    <x v="8"/>
  </r>
  <r>
    <x v="0"/>
    <x v="4"/>
    <x v="13"/>
    <x v="3"/>
    <x v="8"/>
  </r>
  <r>
    <x v="8"/>
    <x v="4"/>
    <x v="15"/>
    <x v="3"/>
    <x v="8"/>
  </r>
  <r>
    <x v="15"/>
    <x v="4"/>
    <x v="15"/>
    <x v="3"/>
    <x v="8"/>
  </r>
  <r>
    <x v="0"/>
    <x v="4"/>
    <x v="15"/>
    <x v="3"/>
    <x v="8"/>
  </r>
  <r>
    <x v="15"/>
    <x v="4"/>
    <x v="15"/>
    <x v="3"/>
    <x v="8"/>
  </r>
  <r>
    <x v="27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9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509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4"/>
    <x v="4"/>
    <x v="18"/>
    <x v="3"/>
    <x v="14"/>
  </r>
  <r>
    <x v="0"/>
    <x v="4"/>
    <x v="18"/>
    <x v="3"/>
    <x v="14"/>
  </r>
  <r>
    <x v="11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7"/>
    <x v="4"/>
    <x v="8"/>
    <x v="3"/>
    <x v="7"/>
  </r>
  <r>
    <x v="64"/>
    <x v="4"/>
    <x v="2"/>
    <x v="3"/>
    <x v="8"/>
  </r>
  <r>
    <x v="0"/>
    <x v="4"/>
    <x v="2"/>
    <x v="3"/>
    <x v="8"/>
  </r>
  <r>
    <x v="8"/>
    <x v="4"/>
    <x v="2"/>
    <x v="3"/>
    <x v="8"/>
  </r>
  <r>
    <x v="0"/>
    <x v="4"/>
    <x v="2"/>
    <x v="3"/>
    <x v="8"/>
  </r>
  <r>
    <x v="10"/>
    <x v="4"/>
    <x v="2"/>
    <x v="3"/>
    <x v="8"/>
  </r>
  <r>
    <x v="10"/>
    <x v="4"/>
    <x v="2"/>
    <x v="3"/>
    <x v="8"/>
  </r>
  <r>
    <x v="156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5"/>
    <x v="4"/>
    <x v="9"/>
    <x v="3"/>
    <x v="8"/>
  </r>
  <r>
    <x v="13"/>
    <x v="4"/>
    <x v="9"/>
    <x v="3"/>
    <x v="8"/>
  </r>
  <r>
    <x v="20"/>
    <x v="4"/>
    <x v="9"/>
    <x v="3"/>
    <x v="8"/>
  </r>
  <r>
    <x v="4"/>
    <x v="4"/>
    <x v="9"/>
    <x v="3"/>
    <x v="8"/>
  </r>
  <r>
    <x v="14"/>
    <x v="4"/>
    <x v="9"/>
    <x v="3"/>
    <x v="8"/>
  </r>
  <r>
    <x v="8"/>
    <x v="4"/>
    <x v="9"/>
    <x v="3"/>
    <x v="8"/>
  </r>
  <r>
    <x v="18"/>
    <x v="4"/>
    <x v="9"/>
    <x v="3"/>
    <x v="8"/>
  </r>
  <r>
    <x v="318"/>
    <x v="4"/>
    <x v="9"/>
    <x v="3"/>
    <x v="8"/>
  </r>
  <r>
    <x v="0"/>
    <x v="4"/>
    <x v="9"/>
    <x v="3"/>
    <x v="8"/>
  </r>
  <r>
    <x v="6"/>
    <x v="4"/>
    <x v="9"/>
    <x v="3"/>
    <x v="8"/>
  </r>
  <r>
    <x v="10"/>
    <x v="4"/>
    <x v="9"/>
    <x v="3"/>
    <x v="8"/>
  </r>
  <r>
    <x v="53"/>
    <x v="4"/>
    <x v="9"/>
    <x v="3"/>
    <x v="8"/>
  </r>
  <r>
    <x v="371"/>
    <x v="4"/>
    <x v="9"/>
    <x v="3"/>
    <x v="8"/>
  </r>
  <r>
    <x v="237"/>
    <x v="4"/>
    <x v="9"/>
    <x v="3"/>
    <x v="8"/>
  </r>
  <r>
    <x v="55"/>
    <x v="4"/>
    <x v="9"/>
    <x v="3"/>
    <x v="8"/>
  </r>
  <r>
    <x v="9"/>
    <x v="4"/>
    <x v="13"/>
    <x v="3"/>
    <x v="8"/>
  </r>
  <r>
    <x v="0"/>
    <x v="4"/>
    <x v="15"/>
    <x v="3"/>
    <x v="8"/>
  </r>
  <r>
    <x v="64"/>
    <x v="4"/>
    <x v="15"/>
    <x v="3"/>
    <x v="8"/>
  </r>
  <r>
    <x v="44"/>
    <x v="4"/>
    <x v="15"/>
    <x v="3"/>
    <x v="8"/>
  </r>
  <r>
    <x v="145"/>
    <x v="4"/>
    <x v="15"/>
    <x v="3"/>
    <x v="8"/>
  </r>
  <r>
    <x v="276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30"/>
    <x v="4"/>
    <x v="15"/>
    <x v="3"/>
    <x v="8"/>
  </r>
  <r>
    <x v="10"/>
    <x v="4"/>
    <x v="15"/>
    <x v="3"/>
    <x v="8"/>
  </r>
  <r>
    <x v="0"/>
    <x v="4"/>
    <x v="13"/>
    <x v="3"/>
    <x v="8"/>
  </r>
  <r>
    <x v="88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455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9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7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5"/>
    <x v="4"/>
    <x v="17"/>
    <x v="3"/>
    <x v="13"/>
  </r>
  <r>
    <x v="0"/>
    <x v="4"/>
    <x v="8"/>
    <x v="3"/>
    <x v="7"/>
  </r>
  <r>
    <x v="0"/>
    <x v="4"/>
    <x v="8"/>
    <x v="3"/>
    <x v="7"/>
  </r>
  <r>
    <x v="14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15"/>
    <x v="4"/>
    <x v="2"/>
    <x v="3"/>
    <x v="8"/>
  </r>
  <r>
    <x v="10"/>
    <x v="4"/>
    <x v="2"/>
    <x v="3"/>
    <x v="8"/>
  </r>
  <r>
    <x v="96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7"/>
    <x v="4"/>
    <x v="9"/>
    <x v="3"/>
    <x v="8"/>
  </r>
  <r>
    <x v="13"/>
    <x v="4"/>
    <x v="9"/>
    <x v="3"/>
    <x v="8"/>
  </r>
  <r>
    <x v="0"/>
    <x v="4"/>
    <x v="9"/>
    <x v="3"/>
    <x v="8"/>
  </r>
  <r>
    <x v="7"/>
    <x v="4"/>
    <x v="9"/>
    <x v="3"/>
    <x v="8"/>
  </r>
  <r>
    <x v="28"/>
    <x v="4"/>
    <x v="9"/>
    <x v="3"/>
    <x v="8"/>
  </r>
  <r>
    <x v="8"/>
    <x v="4"/>
    <x v="9"/>
    <x v="3"/>
    <x v="8"/>
  </r>
  <r>
    <x v="0"/>
    <x v="4"/>
    <x v="9"/>
    <x v="3"/>
    <x v="8"/>
  </r>
  <r>
    <x v="0"/>
    <x v="4"/>
    <x v="9"/>
    <x v="3"/>
    <x v="8"/>
  </r>
  <r>
    <x v="294"/>
    <x v="4"/>
    <x v="9"/>
    <x v="3"/>
    <x v="8"/>
  </r>
  <r>
    <x v="69"/>
    <x v="4"/>
    <x v="9"/>
    <x v="3"/>
    <x v="8"/>
  </r>
  <r>
    <x v="40"/>
    <x v="4"/>
    <x v="9"/>
    <x v="3"/>
    <x v="8"/>
  </r>
  <r>
    <x v="0"/>
    <x v="4"/>
    <x v="9"/>
    <x v="3"/>
    <x v="8"/>
  </r>
  <r>
    <x v="386"/>
    <x v="4"/>
    <x v="9"/>
    <x v="3"/>
    <x v="8"/>
  </r>
  <r>
    <x v="313"/>
    <x v="4"/>
    <x v="9"/>
    <x v="3"/>
    <x v="8"/>
  </r>
  <r>
    <x v="228"/>
    <x v="4"/>
    <x v="9"/>
    <x v="3"/>
    <x v="8"/>
  </r>
  <r>
    <x v="0"/>
    <x v="4"/>
    <x v="13"/>
    <x v="3"/>
    <x v="8"/>
  </r>
  <r>
    <x v="0"/>
    <x v="4"/>
    <x v="15"/>
    <x v="3"/>
    <x v="8"/>
  </r>
  <r>
    <x v="5"/>
    <x v="4"/>
    <x v="15"/>
    <x v="3"/>
    <x v="8"/>
  </r>
  <r>
    <x v="0"/>
    <x v="4"/>
    <x v="15"/>
    <x v="3"/>
    <x v="8"/>
  </r>
  <r>
    <x v="14"/>
    <x v="4"/>
    <x v="15"/>
    <x v="3"/>
    <x v="8"/>
  </r>
  <r>
    <x v="0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53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7"/>
    <x v="4"/>
    <x v="6"/>
    <x v="3"/>
    <x v="5"/>
  </r>
  <r>
    <x v="472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29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10"/>
    <x v="4"/>
    <x v="17"/>
    <x v="3"/>
    <x v="13"/>
  </r>
  <r>
    <x v="0"/>
    <x v="4"/>
    <x v="8"/>
    <x v="3"/>
    <x v="7"/>
  </r>
  <r>
    <x v="0"/>
    <x v="4"/>
    <x v="8"/>
    <x v="3"/>
    <x v="7"/>
  </r>
  <r>
    <x v="4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5"/>
    <x v="4"/>
    <x v="2"/>
    <x v="3"/>
    <x v="8"/>
  </r>
  <r>
    <x v="19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21"/>
    <x v="4"/>
    <x v="9"/>
    <x v="3"/>
    <x v="8"/>
  </r>
  <r>
    <x v="0"/>
    <x v="4"/>
    <x v="9"/>
    <x v="3"/>
    <x v="8"/>
  </r>
  <r>
    <x v="20"/>
    <x v="4"/>
    <x v="9"/>
    <x v="3"/>
    <x v="8"/>
  </r>
  <r>
    <x v="0"/>
    <x v="4"/>
    <x v="9"/>
    <x v="3"/>
    <x v="8"/>
  </r>
  <r>
    <x v="62"/>
    <x v="4"/>
    <x v="9"/>
    <x v="3"/>
    <x v="8"/>
  </r>
  <r>
    <x v="37"/>
    <x v="4"/>
    <x v="9"/>
    <x v="3"/>
    <x v="8"/>
  </r>
  <r>
    <x v="3"/>
    <x v="4"/>
    <x v="9"/>
    <x v="3"/>
    <x v="8"/>
  </r>
  <r>
    <x v="0"/>
    <x v="4"/>
    <x v="9"/>
    <x v="3"/>
    <x v="8"/>
  </r>
  <r>
    <x v="47"/>
    <x v="4"/>
    <x v="9"/>
    <x v="3"/>
    <x v="8"/>
  </r>
  <r>
    <x v="292"/>
    <x v="4"/>
    <x v="9"/>
    <x v="3"/>
    <x v="8"/>
  </r>
  <r>
    <x v="178"/>
    <x v="4"/>
    <x v="9"/>
    <x v="3"/>
    <x v="8"/>
  </r>
  <r>
    <x v="33"/>
    <x v="4"/>
    <x v="9"/>
    <x v="3"/>
    <x v="8"/>
  </r>
  <r>
    <x v="336"/>
    <x v="4"/>
    <x v="9"/>
    <x v="3"/>
    <x v="8"/>
  </r>
  <r>
    <x v="382"/>
    <x v="4"/>
    <x v="9"/>
    <x v="3"/>
    <x v="8"/>
  </r>
  <r>
    <x v="97"/>
    <x v="4"/>
    <x v="9"/>
    <x v="3"/>
    <x v="8"/>
  </r>
  <r>
    <x v="15"/>
    <x v="4"/>
    <x v="13"/>
    <x v="3"/>
    <x v="8"/>
  </r>
  <r>
    <x v="0"/>
    <x v="4"/>
    <x v="15"/>
    <x v="3"/>
    <x v="8"/>
  </r>
  <r>
    <x v="12"/>
    <x v="4"/>
    <x v="15"/>
    <x v="3"/>
    <x v="8"/>
  </r>
  <r>
    <x v="0"/>
    <x v="4"/>
    <x v="15"/>
    <x v="3"/>
    <x v="8"/>
  </r>
  <r>
    <x v="23"/>
    <x v="4"/>
    <x v="15"/>
    <x v="3"/>
    <x v="8"/>
  </r>
  <r>
    <x v="0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9"/>
    <x v="4"/>
    <x v="15"/>
    <x v="3"/>
    <x v="8"/>
  </r>
  <r>
    <x v="0"/>
    <x v="4"/>
    <x v="15"/>
    <x v="3"/>
    <x v="8"/>
  </r>
  <r>
    <x v="0"/>
    <x v="4"/>
    <x v="13"/>
    <x v="3"/>
    <x v="8"/>
  </r>
  <r>
    <x v="9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0"/>
    <x v="4"/>
    <x v="6"/>
    <x v="3"/>
    <x v="5"/>
  </r>
  <r>
    <x v="469"/>
    <x v="4"/>
    <x v="0"/>
    <x v="3"/>
    <x v="0"/>
  </r>
  <r>
    <x v="12"/>
    <x v="4"/>
    <x v="1"/>
    <x v="3"/>
    <x v="1"/>
  </r>
  <r>
    <x v="8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0"/>
    <x v="4"/>
    <x v="18"/>
    <x v="3"/>
    <x v="14"/>
  </r>
  <r>
    <x v="9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11"/>
    <x v="4"/>
    <x v="2"/>
    <x v="3"/>
    <x v="8"/>
  </r>
  <r>
    <x v="0"/>
    <x v="4"/>
    <x v="2"/>
    <x v="3"/>
    <x v="8"/>
  </r>
  <r>
    <x v="50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115"/>
    <x v="4"/>
    <x v="9"/>
    <x v="3"/>
    <x v="8"/>
  </r>
  <r>
    <x v="11"/>
    <x v="4"/>
    <x v="9"/>
    <x v="3"/>
    <x v="8"/>
  </r>
  <r>
    <x v="5"/>
    <x v="4"/>
    <x v="9"/>
    <x v="3"/>
    <x v="8"/>
  </r>
  <r>
    <x v="0"/>
    <x v="4"/>
    <x v="9"/>
    <x v="3"/>
    <x v="8"/>
  </r>
  <r>
    <x v="8"/>
    <x v="4"/>
    <x v="9"/>
    <x v="3"/>
    <x v="8"/>
  </r>
  <r>
    <x v="15"/>
    <x v="4"/>
    <x v="9"/>
    <x v="3"/>
    <x v="8"/>
  </r>
  <r>
    <x v="9"/>
    <x v="4"/>
    <x v="9"/>
    <x v="3"/>
    <x v="8"/>
  </r>
  <r>
    <x v="20"/>
    <x v="4"/>
    <x v="9"/>
    <x v="3"/>
    <x v="8"/>
  </r>
  <r>
    <x v="26"/>
    <x v="4"/>
    <x v="9"/>
    <x v="3"/>
    <x v="8"/>
  </r>
  <r>
    <x v="61"/>
    <x v="4"/>
    <x v="9"/>
    <x v="3"/>
    <x v="8"/>
  </r>
  <r>
    <x v="385"/>
    <x v="4"/>
    <x v="9"/>
    <x v="3"/>
    <x v="8"/>
  </r>
  <r>
    <x v="24"/>
    <x v="4"/>
    <x v="9"/>
    <x v="3"/>
    <x v="8"/>
  </r>
  <r>
    <x v="296"/>
    <x v="4"/>
    <x v="9"/>
    <x v="3"/>
    <x v="8"/>
  </r>
  <r>
    <x v="441"/>
    <x v="4"/>
    <x v="9"/>
    <x v="3"/>
    <x v="8"/>
  </r>
  <r>
    <x v="29"/>
    <x v="4"/>
    <x v="9"/>
    <x v="3"/>
    <x v="8"/>
  </r>
  <r>
    <x v="3"/>
    <x v="4"/>
    <x v="13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0"/>
    <x v="4"/>
    <x v="13"/>
    <x v="3"/>
    <x v="8"/>
  </r>
  <r>
    <x v="0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8"/>
    <x v="4"/>
    <x v="6"/>
    <x v="3"/>
    <x v="5"/>
  </r>
  <r>
    <x v="497"/>
    <x v="4"/>
    <x v="0"/>
    <x v="3"/>
    <x v="0"/>
  </r>
  <r>
    <x v="0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12"/>
    <x v="3"/>
    <x v="15"/>
  </r>
  <r>
    <x v="0"/>
    <x v="4"/>
    <x v="12"/>
    <x v="3"/>
    <x v="15"/>
  </r>
  <r>
    <x v="0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0"/>
    <x v="4"/>
    <x v="21"/>
    <x v="3"/>
    <x v="16"/>
  </r>
  <r>
    <x v="3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11"/>
    <x v="4"/>
    <x v="18"/>
    <x v="3"/>
    <x v="14"/>
  </r>
  <r>
    <x v="0"/>
    <x v="4"/>
    <x v="17"/>
    <x v="3"/>
    <x v="13"/>
  </r>
  <r>
    <x v="0"/>
    <x v="4"/>
    <x v="17"/>
    <x v="3"/>
    <x v="13"/>
  </r>
  <r>
    <x v="0"/>
    <x v="4"/>
    <x v="8"/>
    <x v="3"/>
    <x v="7"/>
  </r>
  <r>
    <x v="0"/>
    <x v="4"/>
    <x v="8"/>
    <x v="3"/>
    <x v="7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0"/>
    <x v="4"/>
    <x v="2"/>
    <x v="3"/>
    <x v="8"/>
  </r>
  <r>
    <x v="12"/>
    <x v="4"/>
    <x v="2"/>
    <x v="3"/>
    <x v="8"/>
  </r>
  <r>
    <x v="19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71"/>
    <x v="4"/>
    <x v="9"/>
    <x v="3"/>
    <x v="8"/>
  </r>
  <r>
    <x v="169"/>
    <x v="4"/>
    <x v="9"/>
    <x v="3"/>
    <x v="8"/>
  </r>
  <r>
    <x v="48"/>
    <x v="4"/>
    <x v="9"/>
    <x v="3"/>
    <x v="8"/>
  </r>
  <r>
    <x v="17"/>
    <x v="4"/>
    <x v="9"/>
    <x v="3"/>
    <x v="8"/>
  </r>
  <r>
    <x v="8"/>
    <x v="4"/>
    <x v="9"/>
    <x v="3"/>
    <x v="8"/>
  </r>
  <r>
    <x v="0"/>
    <x v="4"/>
    <x v="9"/>
    <x v="3"/>
    <x v="8"/>
  </r>
  <r>
    <x v="44"/>
    <x v="4"/>
    <x v="9"/>
    <x v="3"/>
    <x v="8"/>
  </r>
  <r>
    <x v="15"/>
    <x v="4"/>
    <x v="9"/>
    <x v="3"/>
    <x v="8"/>
  </r>
  <r>
    <x v="5"/>
    <x v="4"/>
    <x v="9"/>
    <x v="3"/>
    <x v="8"/>
  </r>
  <r>
    <x v="0"/>
    <x v="4"/>
    <x v="9"/>
    <x v="3"/>
    <x v="8"/>
  </r>
  <r>
    <x v="22"/>
    <x v="4"/>
    <x v="9"/>
    <x v="3"/>
    <x v="8"/>
  </r>
  <r>
    <x v="398"/>
    <x v="4"/>
    <x v="9"/>
    <x v="3"/>
    <x v="8"/>
  </r>
  <r>
    <x v="331"/>
    <x v="4"/>
    <x v="9"/>
    <x v="3"/>
    <x v="8"/>
  </r>
  <r>
    <x v="367"/>
    <x v="4"/>
    <x v="9"/>
    <x v="3"/>
    <x v="8"/>
  </r>
  <r>
    <x v="14"/>
    <x v="4"/>
    <x v="9"/>
    <x v="3"/>
    <x v="8"/>
  </r>
  <r>
    <x v="0"/>
    <x v="4"/>
    <x v="13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0"/>
    <x v="4"/>
    <x v="15"/>
    <x v="3"/>
    <x v="8"/>
  </r>
  <r>
    <x v="23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8"/>
    <x v="4"/>
    <x v="13"/>
    <x v="3"/>
    <x v="8"/>
  </r>
  <r>
    <x v="4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6"/>
    <x v="4"/>
    <x v="6"/>
    <x v="3"/>
    <x v="5"/>
  </r>
  <r>
    <x v="591"/>
    <x v="4"/>
    <x v="0"/>
    <x v="3"/>
    <x v="0"/>
  </r>
  <r>
    <x v="79"/>
    <x v="4"/>
    <x v="1"/>
    <x v="3"/>
    <x v="1"/>
  </r>
  <r>
    <x v="67"/>
    <x v="4"/>
    <x v="28"/>
    <x v="3"/>
    <x v="20"/>
  </r>
  <r>
    <x v="56"/>
    <x v="4"/>
    <x v="14"/>
    <x v="3"/>
    <x v="11"/>
  </r>
  <r>
    <x v="16"/>
    <x v="4"/>
    <x v="28"/>
    <x v="3"/>
    <x v="20"/>
  </r>
  <r>
    <x v="12"/>
    <x v="4"/>
    <x v="28"/>
    <x v="3"/>
    <x v="20"/>
  </r>
  <r>
    <x v="11"/>
    <x v="4"/>
    <x v="7"/>
    <x v="3"/>
    <x v="6"/>
  </r>
  <r>
    <x v="16"/>
    <x v="4"/>
    <x v="28"/>
    <x v="3"/>
    <x v="20"/>
  </r>
  <r>
    <x v="0"/>
    <x v="4"/>
    <x v="27"/>
    <x v="3"/>
    <x v="19"/>
  </r>
  <r>
    <x v="0"/>
    <x v="4"/>
    <x v="25"/>
    <x v="3"/>
    <x v="15"/>
  </r>
  <r>
    <x v="12"/>
    <x v="4"/>
    <x v="16"/>
    <x v="3"/>
    <x v="12"/>
  </r>
  <r>
    <x v="22"/>
    <x v="4"/>
    <x v="16"/>
    <x v="3"/>
    <x v="12"/>
  </r>
  <r>
    <x v="7"/>
    <x v="4"/>
    <x v="16"/>
    <x v="3"/>
    <x v="12"/>
  </r>
  <r>
    <x v="0"/>
    <x v="4"/>
    <x v="23"/>
    <x v="3"/>
    <x v="15"/>
  </r>
  <r>
    <x v="0"/>
    <x v="4"/>
    <x v="23"/>
    <x v="3"/>
    <x v="15"/>
  </r>
  <r>
    <x v="5"/>
    <x v="4"/>
    <x v="19"/>
    <x v="3"/>
    <x v="15"/>
  </r>
  <r>
    <x v="11"/>
    <x v="4"/>
    <x v="25"/>
    <x v="3"/>
    <x v="15"/>
  </r>
  <r>
    <x v="10"/>
    <x v="4"/>
    <x v="12"/>
    <x v="3"/>
    <x v="15"/>
  </r>
  <r>
    <x v="27"/>
    <x v="4"/>
    <x v="12"/>
    <x v="3"/>
    <x v="15"/>
  </r>
  <r>
    <x v="34"/>
    <x v="4"/>
    <x v="19"/>
    <x v="3"/>
    <x v="15"/>
  </r>
  <r>
    <x v="0"/>
    <x v="4"/>
    <x v="12"/>
    <x v="3"/>
    <x v="15"/>
  </r>
  <r>
    <x v="45"/>
    <x v="4"/>
    <x v="12"/>
    <x v="3"/>
    <x v="15"/>
  </r>
  <r>
    <x v="22"/>
    <x v="4"/>
    <x v="19"/>
    <x v="3"/>
    <x v="15"/>
  </r>
  <r>
    <x v="12"/>
    <x v="4"/>
    <x v="24"/>
    <x v="3"/>
    <x v="17"/>
  </r>
  <r>
    <x v="0"/>
    <x v="4"/>
    <x v="11"/>
    <x v="3"/>
    <x v="10"/>
  </r>
  <r>
    <x v="6"/>
    <x v="4"/>
    <x v="11"/>
    <x v="3"/>
    <x v="10"/>
  </r>
  <r>
    <x v="14"/>
    <x v="4"/>
    <x v="28"/>
    <x v="3"/>
    <x v="20"/>
  </r>
  <r>
    <x v="7"/>
    <x v="4"/>
    <x v="28"/>
    <x v="3"/>
    <x v="20"/>
  </r>
  <r>
    <x v="5"/>
    <x v="4"/>
    <x v="16"/>
    <x v="3"/>
    <x v="12"/>
  </r>
  <r>
    <x v="23"/>
    <x v="4"/>
    <x v="16"/>
    <x v="3"/>
    <x v="12"/>
  </r>
  <r>
    <x v="0"/>
    <x v="4"/>
    <x v="10"/>
    <x v="3"/>
    <x v="9"/>
  </r>
  <r>
    <x v="48"/>
    <x v="4"/>
    <x v="28"/>
    <x v="3"/>
    <x v="20"/>
  </r>
  <r>
    <x v="23"/>
    <x v="4"/>
    <x v="21"/>
    <x v="3"/>
    <x v="16"/>
  </r>
  <r>
    <x v="53"/>
    <x v="4"/>
    <x v="18"/>
    <x v="3"/>
    <x v="14"/>
  </r>
  <r>
    <x v="0"/>
    <x v="4"/>
    <x v="18"/>
    <x v="3"/>
    <x v="14"/>
  </r>
  <r>
    <x v="4"/>
    <x v="4"/>
    <x v="18"/>
    <x v="3"/>
    <x v="14"/>
  </r>
  <r>
    <x v="0"/>
    <x v="4"/>
    <x v="18"/>
    <x v="3"/>
    <x v="14"/>
  </r>
  <r>
    <x v="21"/>
    <x v="4"/>
    <x v="18"/>
    <x v="3"/>
    <x v="14"/>
  </r>
  <r>
    <x v="0"/>
    <x v="4"/>
    <x v="17"/>
    <x v="3"/>
    <x v="13"/>
  </r>
  <r>
    <x v="9"/>
    <x v="4"/>
    <x v="17"/>
    <x v="3"/>
    <x v="13"/>
  </r>
  <r>
    <x v="17"/>
    <x v="4"/>
    <x v="8"/>
    <x v="3"/>
    <x v="7"/>
  </r>
  <r>
    <x v="5"/>
    <x v="4"/>
    <x v="8"/>
    <x v="3"/>
    <x v="7"/>
  </r>
  <r>
    <x v="230"/>
    <x v="4"/>
    <x v="2"/>
    <x v="3"/>
    <x v="8"/>
  </r>
  <r>
    <x v="85"/>
    <x v="4"/>
    <x v="2"/>
    <x v="3"/>
    <x v="8"/>
  </r>
  <r>
    <x v="33"/>
    <x v="4"/>
    <x v="2"/>
    <x v="3"/>
    <x v="8"/>
  </r>
  <r>
    <x v="7"/>
    <x v="4"/>
    <x v="2"/>
    <x v="3"/>
    <x v="8"/>
  </r>
  <r>
    <x v="139"/>
    <x v="4"/>
    <x v="2"/>
    <x v="3"/>
    <x v="8"/>
  </r>
  <r>
    <x v="219"/>
    <x v="4"/>
    <x v="2"/>
    <x v="3"/>
    <x v="8"/>
  </r>
  <r>
    <x v="458"/>
    <x v="4"/>
    <x v="2"/>
    <x v="3"/>
    <x v="8"/>
  </r>
  <r>
    <x v="5"/>
    <x v="4"/>
    <x v="20"/>
    <x v="3"/>
    <x v="15"/>
  </r>
  <r>
    <x v="5"/>
    <x v="4"/>
    <x v="20"/>
    <x v="3"/>
    <x v="15"/>
  </r>
  <r>
    <x v="13"/>
    <x v="4"/>
    <x v="20"/>
    <x v="3"/>
    <x v="15"/>
  </r>
  <r>
    <x v="367"/>
    <x v="4"/>
    <x v="9"/>
    <x v="3"/>
    <x v="8"/>
  </r>
  <r>
    <x v="352"/>
    <x v="4"/>
    <x v="9"/>
    <x v="3"/>
    <x v="8"/>
  </r>
  <r>
    <x v="381"/>
    <x v="4"/>
    <x v="9"/>
    <x v="3"/>
    <x v="8"/>
  </r>
  <r>
    <x v="264"/>
    <x v="4"/>
    <x v="9"/>
    <x v="3"/>
    <x v="8"/>
  </r>
  <r>
    <x v="267"/>
    <x v="4"/>
    <x v="9"/>
    <x v="3"/>
    <x v="8"/>
  </r>
  <r>
    <x v="329"/>
    <x v="4"/>
    <x v="9"/>
    <x v="3"/>
    <x v="8"/>
  </r>
  <r>
    <x v="345"/>
    <x v="4"/>
    <x v="9"/>
    <x v="3"/>
    <x v="8"/>
  </r>
  <r>
    <x v="337"/>
    <x v="4"/>
    <x v="9"/>
    <x v="3"/>
    <x v="8"/>
  </r>
  <r>
    <x v="377"/>
    <x v="4"/>
    <x v="9"/>
    <x v="3"/>
    <x v="8"/>
  </r>
  <r>
    <x v="311"/>
    <x v="4"/>
    <x v="9"/>
    <x v="3"/>
    <x v="8"/>
  </r>
  <r>
    <x v="370"/>
    <x v="4"/>
    <x v="9"/>
    <x v="3"/>
    <x v="8"/>
  </r>
  <r>
    <x v="440"/>
    <x v="4"/>
    <x v="9"/>
    <x v="3"/>
    <x v="8"/>
  </r>
  <r>
    <x v="589"/>
    <x v="4"/>
    <x v="9"/>
    <x v="3"/>
    <x v="8"/>
  </r>
  <r>
    <x v="576"/>
    <x v="4"/>
    <x v="9"/>
    <x v="3"/>
    <x v="8"/>
  </r>
  <r>
    <x v="454"/>
    <x v="4"/>
    <x v="9"/>
    <x v="3"/>
    <x v="8"/>
  </r>
  <r>
    <x v="246"/>
    <x v="4"/>
    <x v="13"/>
    <x v="3"/>
    <x v="8"/>
  </r>
  <r>
    <x v="17"/>
    <x v="4"/>
    <x v="15"/>
    <x v="3"/>
    <x v="8"/>
  </r>
  <r>
    <x v="131"/>
    <x v="4"/>
    <x v="15"/>
    <x v="3"/>
    <x v="8"/>
  </r>
  <r>
    <x v="80"/>
    <x v="4"/>
    <x v="15"/>
    <x v="3"/>
    <x v="8"/>
  </r>
  <r>
    <x v="219"/>
    <x v="4"/>
    <x v="15"/>
    <x v="3"/>
    <x v="8"/>
  </r>
  <r>
    <x v="298"/>
    <x v="4"/>
    <x v="15"/>
    <x v="3"/>
    <x v="8"/>
  </r>
  <r>
    <x v="5"/>
    <x v="4"/>
    <x v="25"/>
    <x v="3"/>
    <x v="15"/>
  </r>
  <r>
    <x v="0"/>
    <x v="4"/>
    <x v="26"/>
    <x v="3"/>
    <x v="18"/>
  </r>
  <r>
    <x v="0"/>
    <x v="4"/>
    <x v="22"/>
    <x v="3"/>
    <x v="15"/>
  </r>
  <r>
    <x v="9"/>
    <x v="4"/>
    <x v="28"/>
    <x v="3"/>
    <x v="20"/>
  </r>
  <r>
    <x v="50"/>
    <x v="4"/>
    <x v="3"/>
    <x v="3"/>
    <x v="2"/>
  </r>
  <r>
    <x v="280"/>
    <x v="4"/>
    <x v="3"/>
    <x v="3"/>
    <x v="2"/>
  </r>
  <r>
    <x v="14"/>
    <x v="4"/>
    <x v="28"/>
    <x v="3"/>
    <x v="20"/>
  </r>
  <r>
    <x v="101"/>
    <x v="4"/>
    <x v="15"/>
    <x v="3"/>
    <x v="8"/>
  </r>
  <r>
    <x v="67"/>
    <x v="4"/>
    <x v="15"/>
    <x v="3"/>
    <x v="8"/>
  </r>
  <r>
    <x v="26"/>
    <x v="4"/>
    <x v="13"/>
    <x v="3"/>
    <x v="8"/>
  </r>
  <r>
    <x v="338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51"/>
    <x v="4"/>
    <x v="6"/>
    <x v="3"/>
    <x v="5"/>
  </r>
  <r>
    <x v="592"/>
    <x v="4"/>
    <x v="0"/>
    <x v="3"/>
    <x v="0"/>
  </r>
  <r>
    <x v="23"/>
    <x v="4"/>
    <x v="1"/>
    <x v="3"/>
    <x v="1"/>
  </r>
  <r>
    <x v="93"/>
    <x v="4"/>
    <x v="28"/>
    <x v="3"/>
    <x v="20"/>
  </r>
  <r>
    <x v="27"/>
    <x v="4"/>
    <x v="14"/>
    <x v="3"/>
    <x v="11"/>
  </r>
  <r>
    <x v="5"/>
    <x v="4"/>
    <x v="28"/>
    <x v="3"/>
    <x v="20"/>
  </r>
  <r>
    <x v="12"/>
    <x v="4"/>
    <x v="28"/>
    <x v="3"/>
    <x v="20"/>
  </r>
  <r>
    <x v="10"/>
    <x v="4"/>
    <x v="7"/>
    <x v="3"/>
    <x v="6"/>
  </r>
  <r>
    <x v="5"/>
    <x v="4"/>
    <x v="28"/>
    <x v="3"/>
    <x v="20"/>
  </r>
  <r>
    <x v="28"/>
    <x v="4"/>
    <x v="27"/>
    <x v="3"/>
    <x v="19"/>
  </r>
  <r>
    <x v="12"/>
    <x v="4"/>
    <x v="25"/>
    <x v="3"/>
    <x v="15"/>
  </r>
  <r>
    <x v="0"/>
    <x v="4"/>
    <x v="16"/>
    <x v="3"/>
    <x v="12"/>
  </r>
  <r>
    <x v="18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19"/>
    <x v="4"/>
    <x v="25"/>
    <x v="3"/>
    <x v="15"/>
  </r>
  <r>
    <x v="7"/>
    <x v="4"/>
    <x v="12"/>
    <x v="3"/>
    <x v="15"/>
  </r>
  <r>
    <x v="43"/>
    <x v="4"/>
    <x v="12"/>
    <x v="3"/>
    <x v="15"/>
  </r>
  <r>
    <x v="61"/>
    <x v="4"/>
    <x v="19"/>
    <x v="3"/>
    <x v="15"/>
  </r>
  <r>
    <x v="0"/>
    <x v="4"/>
    <x v="12"/>
    <x v="3"/>
    <x v="15"/>
  </r>
  <r>
    <x v="35"/>
    <x v="4"/>
    <x v="12"/>
    <x v="3"/>
    <x v="15"/>
  </r>
  <r>
    <x v="111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39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6"/>
    <x v="4"/>
    <x v="28"/>
    <x v="3"/>
    <x v="20"/>
  </r>
  <r>
    <x v="57"/>
    <x v="4"/>
    <x v="21"/>
    <x v="3"/>
    <x v="16"/>
  </r>
  <r>
    <x v="52"/>
    <x v="4"/>
    <x v="18"/>
    <x v="3"/>
    <x v="14"/>
  </r>
  <r>
    <x v="0"/>
    <x v="4"/>
    <x v="18"/>
    <x v="3"/>
    <x v="14"/>
  </r>
  <r>
    <x v="10"/>
    <x v="4"/>
    <x v="18"/>
    <x v="3"/>
    <x v="14"/>
  </r>
  <r>
    <x v="8"/>
    <x v="4"/>
    <x v="18"/>
    <x v="3"/>
    <x v="14"/>
  </r>
  <r>
    <x v="39"/>
    <x v="4"/>
    <x v="18"/>
    <x v="3"/>
    <x v="14"/>
  </r>
  <r>
    <x v="0"/>
    <x v="4"/>
    <x v="17"/>
    <x v="3"/>
    <x v="13"/>
  </r>
  <r>
    <x v="30"/>
    <x v="4"/>
    <x v="17"/>
    <x v="3"/>
    <x v="13"/>
  </r>
  <r>
    <x v="11"/>
    <x v="4"/>
    <x v="8"/>
    <x v="3"/>
    <x v="7"/>
  </r>
  <r>
    <x v="0"/>
    <x v="4"/>
    <x v="8"/>
    <x v="3"/>
    <x v="7"/>
  </r>
  <r>
    <x v="46"/>
    <x v="4"/>
    <x v="2"/>
    <x v="3"/>
    <x v="8"/>
  </r>
  <r>
    <x v="9"/>
    <x v="4"/>
    <x v="2"/>
    <x v="3"/>
    <x v="8"/>
  </r>
  <r>
    <x v="0"/>
    <x v="4"/>
    <x v="2"/>
    <x v="3"/>
    <x v="8"/>
  </r>
  <r>
    <x v="5"/>
    <x v="4"/>
    <x v="2"/>
    <x v="3"/>
    <x v="8"/>
  </r>
  <r>
    <x v="91"/>
    <x v="4"/>
    <x v="2"/>
    <x v="3"/>
    <x v="8"/>
  </r>
  <r>
    <x v="5"/>
    <x v="4"/>
    <x v="2"/>
    <x v="3"/>
    <x v="8"/>
  </r>
  <r>
    <x v="300"/>
    <x v="4"/>
    <x v="2"/>
    <x v="3"/>
    <x v="8"/>
  </r>
  <r>
    <x v="0"/>
    <x v="4"/>
    <x v="20"/>
    <x v="3"/>
    <x v="15"/>
  </r>
  <r>
    <x v="8"/>
    <x v="4"/>
    <x v="20"/>
    <x v="3"/>
    <x v="15"/>
  </r>
  <r>
    <x v="9"/>
    <x v="4"/>
    <x v="20"/>
    <x v="3"/>
    <x v="15"/>
  </r>
  <r>
    <x v="463"/>
    <x v="4"/>
    <x v="9"/>
    <x v="3"/>
    <x v="8"/>
  </r>
  <r>
    <x v="414"/>
    <x v="4"/>
    <x v="9"/>
    <x v="3"/>
    <x v="8"/>
  </r>
  <r>
    <x v="226"/>
    <x v="4"/>
    <x v="9"/>
    <x v="3"/>
    <x v="8"/>
  </r>
  <r>
    <x v="269"/>
    <x v="4"/>
    <x v="9"/>
    <x v="3"/>
    <x v="8"/>
  </r>
  <r>
    <x v="244"/>
    <x v="4"/>
    <x v="9"/>
    <x v="3"/>
    <x v="8"/>
  </r>
  <r>
    <x v="216"/>
    <x v="4"/>
    <x v="9"/>
    <x v="3"/>
    <x v="8"/>
  </r>
  <r>
    <x v="144"/>
    <x v="4"/>
    <x v="9"/>
    <x v="3"/>
    <x v="8"/>
  </r>
  <r>
    <x v="144"/>
    <x v="4"/>
    <x v="9"/>
    <x v="3"/>
    <x v="8"/>
  </r>
  <r>
    <x v="332"/>
    <x v="4"/>
    <x v="9"/>
    <x v="3"/>
    <x v="8"/>
  </r>
  <r>
    <x v="304"/>
    <x v="4"/>
    <x v="9"/>
    <x v="3"/>
    <x v="8"/>
  </r>
  <r>
    <x v="494"/>
    <x v="4"/>
    <x v="9"/>
    <x v="3"/>
    <x v="8"/>
  </r>
  <r>
    <x v="350"/>
    <x v="4"/>
    <x v="9"/>
    <x v="3"/>
    <x v="8"/>
  </r>
  <r>
    <x v="569"/>
    <x v="4"/>
    <x v="9"/>
    <x v="3"/>
    <x v="8"/>
  </r>
  <r>
    <x v="590"/>
    <x v="4"/>
    <x v="9"/>
    <x v="3"/>
    <x v="8"/>
  </r>
  <r>
    <x v="357"/>
    <x v="4"/>
    <x v="9"/>
    <x v="3"/>
    <x v="8"/>
  </r>
  <r>
    <x v="342"/>
    <x v="4"/>
    <x v="13"/>
    <x v="3"/>
    <x v="8"/>
  </r>
  <r>
    <x v="0"/>
    <x v="4"/>
    <x v="15"/>
    <x v="3"/>
    <x v="8"/>
  </r>
  <r>
    <x v="34"/>
    <x v="4"/>
    <x v="15"/>
    <x v="3"/>
    <x v="8"/>
  </r>
  <r>
    <x v="0"/>
    <x v="4"/>
    <x v="15"/>
    <x v="3"/>
    <x v="8"/>
  </r>
  <r>
    <x v="107"/>
    <x v="4"/>
    <x v="15"/>
    <x v="3"/>
    <x v="8"/>
  </r>
  <r>
    <x v="132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7"/>
    <x v="4"/>
    <x v="28"/>
    <x v="3"/>
    <x v="20"/>
  </r>
  <r>
    <x v="0"/>
    <x v="4"/>
    <x v="3"/>
    <x v="3"/>
    <x v="2"/>
  </r>
  <r>
    <x v="60"/>
    <x v="4"/>
    <x v="3"/>
    <x v="3"/>
    <x v="2"/>
  </r>
  <r>
    <x v="19"/>
    <x v="4"/>
    <x v="28"/>
    <x v="3"/>
    <x v="20"/>
  </r>
  <r>
    <x v="19"/>
    <x v="4"/>
    <x v="15"/>
    <x v="3"/>
    <x v="8"/>
  </r>
  <r>
    <x v="4"/>
    <x v="4"/>
    <x v="15"/>
    <x v="3"/>
    <x v="8"/>
  </r>
  <r>
    <x v="33"/>
    <x v="4"/>
    <x v="13"/>
    <x v="3"/>
    <x v="8"/>
  </r>
  <r>
    <x v="120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91"/>
    <x v="4"/>
    <x v="6"/>
    <x v="3"/>
    <x v="5"/>
  </r>
  <r>
    <x v="567"/>
    <x v="4"/>
    <x v="0"/>
    <x v="3"/>
    <x v="0"/>
  </r>
  <r>
    <x v="6"/>
    <x v="4"/>
    <x v="1"/>
    <x v="3"/>
    <x v="1"/>
  </r>
  <r>
    <x v="0"/>
    <x v="4"/>
    <x v="28"/>
    <x v="3"/>
    <x v="20"/>
  </r>
  <r>
    <x v="0"/>
    <x v="4"/>
    <x v="14"/>
    <x v="3"/>
    <x v="11"/>
  </r>
  <r>
    <x v="0"/>
    <x v="4"/>
    <x v="28"/>
    <x v="3"/>
    <x v="20"/>
  </r>
  <r>
    <x v="0"/>
    <x v="4"/>
    <x v="28"/>
    <x v="3"/>
    <x v="20"/>
  </r>
  <r>
    <x v="0"/>
    <x v="4"/>
    <x v="7"/>
    <x v="3"/>
    <x v="6"/>
  </r>
  <r>
    <x v="0"/>
    <x v="4"/>
    <x v="28"/>
    <x v="3"/>
    <x v="20"/>
  </r>
  <r>
    <x v="0"/>
    <x v="4"/>
    <x v="27"/>
    <x v="3"/>
    <x v="19"/>
  </r>
  <r>
    <x v="0"/>
    <x v="4"/>
    <x v="25"/>
    <x v="3"/>
    <x v="15"/>
  </r>
  <r>
    <x v="0"/>
    <x v="4"/>
    <x v="16"/>
    <x v="3"/>
    <x v="12"/>
  </r>
  <r>
    <x v="0"/>
    <x v="4"/>
    <x v="16"/>
    <x v="3"/>
    <x v="12"/>
  </r>
  <r>
    <x v="0"/>
    <x v="4"/>
    <x v="16"/>
    <x v="3"/>
    <x v="12"/>
  </r>
  <r>
    <x v="0"/>
    <x v="4"/>
    <x v="23"/>
    <x v="3"/>
    <x v="15"/>
  </r>
  <r>
    <x v="0"/>
    <x v="4"/>
    <x v="23"/>
    <x v="3"/>
    <x v="15"/>
  </r>
  <r>
    <x v="0"/>
    <x v="4"/>
    <x v="19"/>
    <x v="3"/>
    <x v="15"/>
  </r>
  <r>
    <x v="0"/>
    <x v="4"/>
    <x v="25"/>
    <x v="3"/>
    <x v="15"/>
  </r>
  <r>
    <x v="0"/>
    <x v="4"/>
    <x v="12"/>
    <x v="3"/>
    <x v="15"/>
  </r>
  <r>
    <x v="13"/>
    <x v="4"/>
    <x v="12"/>
    <x v="3"/>
    <x v="15"/>
  </r>
  <r>
    <x v="16"/>
    <x v="4"/>
    <x v="19"/>
    <x v="3"/>
    <x v="15"/>
  </r>
  <r>
    <x v="0"/>
    <x v="4"/>
    <x v="12"/>
    <x v="3"/>
    <x v="15"/>
  </r>
  <r>
    <x v="0"/>
    <x v="4"/>
    <x v="12"/>
    <x v="3"/>
    <x v="15"/>
  </r>
  <r>
    <x v="14"/>
    <x v="4"/>
    <x v="19"/>
    <x v="3"/>
    <x v="15"/>
  </r>
  <r>
    <x v="0"/>
    <x v="4"/>
    <x v="24"/>
    <x v="3"/>
    <x v="17"/>
  </r>
  <r>
    <x v="0"/>
    <x v="4"/>
    <x v="11"/>
    <x v="3"/>
    <x v="10"/>
  </r>
  <r>
    <x v="0"/>
    <x v="4"/>
    <x v="11"/>
    <x v="3"/>
    <x v="10"/>
  </r>
  <r>
    <x v="0"/>
    <x v="4"/>
    <x v="28"/>
    <x v="3"/>
    <x v="20"/>
  </r>
  <r>
    <x v="0"/>
    <x v="4"/>
    <x v="28"/>
    <x v="3"/>
    <x v="20"/>
  </r>
  <r>
    <x v="0"/>
    <x v="4"/>
    <x v="16"/>
    <x v="3"/>
    <x v="12"/>
  </r>
  <r>
    <x v="0"/>
    <x v="4"/>
    <x v="16"/>
    <x v="3"/>
    <x v="12"/>
  </r>
  <r>
    <x v="0"/>
    <x v="4"/>
    <x v="10"/>
    <x v="3"/>
    <x v="9"/>
  </r>
  <r>
    <x v="0"/>
    <x v="4"/>
    <x v="28"/>
    <x v="3"/>
    <x v="20"/>
  </r>
  <r>
    <x v="6"/>
    <x v="4"/>
    <x v="21"/>
    <x v="3"/>
    <x v="16"/>
  </r>
  <r>
    <x v="17"/>
    <x v="4"/>
    <x v="18"/>
    <x v="3"/>
    <x v="14"/>
  </r>
  <r>
    <x v="0"/>
    <x v="4"/>
    <x v="18"/>
    <x v="3"/>
    <x v="14"/>
  </r>
  <r>
    <x v="0"/>
    <x v="4"/>
    <x v="18"/>
    <x v="3"/>
    <x v="14"/>
  </r>
  <r>
    <x v="0"/>
    <x v="4"/>
    <x v="18"/>
    <x v="3"/>
    <x v="14"/>
  </r>
  <r>
    <x v="7"/>
    <x v="4"/>
    <x v="18"/>
    <x v="3"/>
    <x v="14"/>
  </r>
  <r>
    <x v="0"/>
    <x v="4"/>
    <x v="17"/>
    <x v="3"/>
    <x v="13"/>
  </r>
  <r>
    <x v="0"/>
    <x v="4"/>
    <x v="17"/>
    <x v="3"/>
    <x v="13"/>
  </r>
  <r>
    <x v="10"/>
    <x v="4"/>
    <x v="8"/>
    <x v="3"/>
    <x v="7"/>
  </r>
  <r>
    <x v="0"/>
    <x v="4"/>
    <x v="8"/>
    <x v="3"/>
    <x v="7"/>
  </r>
  <r>
    <x v="172"/>
    <x v="4"/>
    <x v="2"/>
    <x v="3"/>
    <x v="8"/>
  </r>
  <r>
    <x v="36"/>
    <x v="4"/>
    <x v="2"/>
    <x v="3"/>
    <x v="8"/>
  </r>
  <r>
    <x v="42"/>
    <x v="4"/>
    <x v="2"/>
    <x v="3"/>
    <x v="8"/>
  </r>
  <r>
    <x v="0"/>
    <x v="4"/>
    <x v="2"/>
    <x v="3"/>
    <x v="8"/>
  </r>
  <r>
    <x v="93"/>
    <x v="4"/>
    <x v="2"/>
    <x v="3"/>
    <x v="8"/>
  </r>
  <r>
    <x v="167"/>
    <x v="4"/>
    <x v="2"/>
    <x v="3"/>
    <x v="8"/>
  </r>
  <r>
    <x v="374"/>
    <x v="4"/>
    <x v="2"/>
    <x v="3"/>
    <x v="8"/>
  </r>
  <r>
    <x v="0"/>
    <x v="4"/>
    <x v="20"/>
    <x v="3"/>
    <x v="15"/>
  </r>
  <r>
    <x v="0"/>
    <x v="4"/>
    <x v="20"/>
    <x v="3"/>
    <x v="15"/>
  </r>
  <r>
    <x v="0"/>
    <x v="4"/>
    <x v="20"/>
    <x v="3"/>
    <x v="15"/>
  </r>
  <r>
    <x v="89"/>
    <x v="4"/>
    <x v="9"/>
    <x v="3"/>
    <x v="8"/>
  </r>
  <r>
    <x v="51"/>
    <x v="4"/>
    <x v="9"/>
    <x v="3"/>
    <x v="8"/>
  </r>
  <r>
    <x v="25"/>
    <x v="4"/>
    <x v="9"/>
    <x v="3"/>
    <x v="8"/>
  </r>
  <r>
    <x v="19"/>
    <x v="4"/>
    <x v="9"/>
    <x v="3"/>
    <x v="8"/>
  </r>
  <r>
    <x v="85"/>
    <x v="4"/>
    <x v="9"/>
    <x v="3"/>
    <x v="8"/>
  </r>
  <r>
    <x v="129"/>
    <x v="4"/>
    <x v="9"/>
    <x v="3"/>
    <x v="8"/>
  </r>
  <r>
    <x v="11"/>
    <x v="4"/>
    <x v="9"/>
    <x v="3"/>
    <x v="8"/>
  </r>
  <r>
    <x v="18"/>
    <x v="4"/>
    <x v="9"/>
    <x v="3"/>
    <x v="8"/>
  </r>
  <r>
    <x v="290"/>
    <x v="4"/>
    <x v="9"/>
    <x v="3"/>
    <x v="8"/>
  </r>
  <r>
    <x v="33"/>
    <x v="4"/>
    <x v="9"/>
    <x v="3"/>
    <x v="8"/>
  </r>
  <r>
    <x v="34"/>
    <x v="4"/>
    <x v="9"/>
    <x v="3"/>
    <x v="8"/>
  </r>
  <r>
    <x v="69"/>
    <x v="4"/>
    <x v="9"/>
    <x v="3"/>
    <x v="8"/>
  </r>
  <r>
    <x v="461"/>
    <x v="4"/>
    <x v="9"/>
    <x v="3"/>
    <x v="8"/>
  </r>
  <r>
    <x v="400"/>
    <x v="4"/>
    <x v="9"/>
    <x v="3"/>
    <x v="8"/>
  </r>
  <r>
    <x v="520"/>
    <x v="4"/>
    <x v="9"/>
    <x v="3"/>
    <x v="8"/>
  </r>
  <r>
    <x v="21"/>
    <x v="4"/>
    <x v="13"/>
    <x v="3"/>
    <x v="8"/>
  </r>
  <r>
    <x v="0"/>
    <x v="4"/>
    <x v="15"/>
    <x v="3"/>
    <x v="8"/>
  </r>
  <r>
    <x v="18"/>
    <x v="4"/>
    <x v="15"/>
    <x v="3"/>
    <x v="8"/>
  </r>
  <r>
    <x v="0"/>
    <x v="4"/>
    <x v="15"/>
    <x v="3"/>
    <x v="8"/>
  </r>
  <r>
    <x v="9"/>
    <x v="4"/>
    <x v="15"/>
    <x v="3"/>
    <x v="8"/>
  </r>
  <r>
    <x v="11"/>
    <x v="4"/>
    <x v="15"/>
    <x v="3"/>
    <x v="8"/>
  </r>
  <r>
    <x v="0"/>
    <x v="4"/>
    <x v="25"/>
    <x v="3"/>
    <x v="15"/>
  </r>
  <r>
    <x v="0"/>
    <x v="4"/>
    <x v="26"/>
    <x v="3"/>
    <x v="18"/>
  </r>
  <r>
    <x v="0"/>
    <x v="4"/>
    <x v="22"/>
    <x v="3"/>
    <x v="15"/>
  </r>
  <r>
    <x v="0"/>
    <x v="4"/>
    <x v="28"/>
    <x v="3"/>
    <x v="20"/>
  </r>
  <r>
    <x v="0"/>
    <x v="4"/>
    <x v="3"/>
    <x v="3"/>
    <x v="2"/>
  </r>
  <r>
    <x v="0"/>
    <x v="4"/>
    <x v="3"/>
    <x v="3"/>
    <x v="2"/>
  </r>
  <r>
    <x v="0"/>
    <x v="4"/>
    <x v="28"/>
    <x v="3"/>
    <x v="20"/>
  </r>
  <r>
    <x v="0"/>
    <x v="4"/>
    <x v="15"/>
    <x v="3"/>
    <x v="8"/>
  </r>
  <r>
    <x v="0"/>
    <x v="4"/>
    <x v="15"/>
    <x v="3"/>
    <x v="8"/>
  </r>
  <r>
    <x v="21"/>
    <x v="4"/>
    <x v="13"/>
    <x v="3"/>
    <x v="8"/>
  </r>
  <r>
    <x v="151"/>
    <x v="4"/>
    <x v="2"/>
    <x v="3"/>
    <x v="8"/>
  </r>
  <r>
    <x v="0"/>
    <x v="4"/>
    <x v="24"/>
    <x v="3"/>
    <x v="17"/>
  </r>
  <r>
    <x v="0"/>
    <x v="4"/>
    <x v="4"/>
    <x v="3"/>
    <x v="3"/>
  </r>
  <r>
    <x v="0"/>
    <x v="4"/>
    <x v="5"/>
    <x v="3"/>
    <x v="4"/>
  </r>
  <r>
    <x v="12"/>
    <x v="4"/>
    <x v="6"/>
    <x v="3"/>
    <x v="5"/>
  </r>
  <r>
    <x v="570"/>
    <x v="8"/>
    <x v="0"/>
    <x v="3"/>
    <x v="0"/>
  </r>
  <r>
    <x v="5"/>
    <x v="8"/>
    <x v="1"/>
    <x v="3"/>
    <x v="1"/>
  </r>
  <r>
    <x v="0"/>
    <x v="8"/>
    <x v="28"/>
    <x v="3"/>
    <x v="20"/>
  </r>
  <r>
    <x v="4"/>
    <x v="8"/>
    <x v="14"/>
    <x v="3"/>
    <x v="11"/>
  </r>
  <r>
    <x v="9"/>
    <x v="8"/>
    <x v="28"/>
    <x v="3"/>
    <x v="20"/>
  </r>
  <r>
    <x v="0"/>
    <x v="8"/>
    <x v="28"/>
    <x v="3"/>
    <x v="20"/>
  </r>
  <r>
    <x v="8"/>
    <x v="8"/>
    <x v="7"/>
    <x v="3"/>
    <x v="6"/>
  </r>
  <r>
    <x v="0"/>
    <x v="8"/>
    <x v="28"/>
    <x v="3"/>
    <x v="20"/>
  </r>
  <r>
    <x v="0"/>
    <x v="8"/>
    <x v="27"/>
    <x v="3"/>
    <x v="19"/>
  </r>
  <r>
    <x v="0"/>
    <x v="8"/>
    <x v="25"/>
    <x v="3"/>
    <x v="15"/>
  </r>
  <r>
    <x v="0"/>
    <x v="8"/>
    <x v="16"/>
    <x v="3"/>
    <x v="12"/>
  </r>
  <r>
    <x v="0"/>
    <x v="8"/>
    <x v="16"/>
    <x v="3"/>
    <x v="12"/>
  </r>
  <r>
    <x v="0"/>
    <x v="8"/>
    <x v="16"/>
    <x v="3"/>
    <x v="12"/>
  </r>
  <r>
    <x v="0"/>
    <x v="8"/>
    <x v="23"/>
    <x v="3"/>
    <x v="15"/>
  </r>
  <r>
    <x v="0"/>
    <x v="8"/>
    <x v="23"/>
    <x v="3"/>
    <x v="15"/>
  </r>
  <r>
    <x v="7"/>
    <x v="8"/>
    <x v="19"/>
    <x v="3"/>
    <x v="15"/>
  </r>
  <r>
    <x v="0"/>
    <x v="8"/>
    <x v="25"/>
    <x v="3"/>
    <x v="15"/>
  </r>
  <r>
    <x v="0"/>
    <x v="8"/>
    <x v="12"/>
    <x v="3"/>
    <x v="15"/>
  </r>
  <r>
    <x v="17"/>
    <x v="8"/>
    <x v="12"/>
    <x v="3"/>
    <x v="15"/>
  </r>
  <r>
    <x v="9"/>
    <x v="8"/>
    <x v="19"/>
    <x v="3"/>
    <x v="15"/>
  </r>
  <r>
    <x v="0"/>
    <x v="8"/>
    <x v="12"/>
    <x v="3"/>
    <x v="15"/>
  </r>
  <r>
    <x v="9"/>
    <x v="8"/>
    <x v="12"/>
    <x v="3"/>
    <x v="15"/>
  </r>
  <r>
    <x v="125"/>
    <x v="8"/>
    <x v="19"/>
    <x v="3"/>
    <x v="15"/>
  </r>
  <r>
    <x v="7"/>
    <x v="8"/>
    <x v="24"/>
    <x v="3"/>
    <x v="17"/>
  </r>
  <r>
    <x v="0"/>
    <x v="8"/>
    <x v="11"/>
    <x v="3"/>
    <x v="10"/>
  </r>
  <r>
    <x v="0"/>
    <x v="8"/>
    <x v="11"/>
    <x v="3"/>
    <x v="10"/>
  </r>
  <r>
    <x v="0"/>
    <x v="8"/>
    <x v="28"/>
    <x v="3"/>
    <x v="20"/>
  </r>
  <r>
    <x v="0"/>
    <x v="8"/>
    <x v="28"/>
    <x v="3"/>
    <x v="20"/>
  </r>
  <r>
    <x v="0"/>
    <x v="8"/>
    <x v="16"/>
    <x v="3"/>
    <x v="12"/>
  </r>
  <r>
    <x v="8"/>
    <x v="8"/>
    <x v="16"/>
    <x v="3"/>
    <x v="12"/>
  </r>
  <r>
    <x v="0"/>
    <x v="8"/>
    <x v="10"/>
    <x v="3"/>
    <x v="9"/>
  </r>
  <r>
    <x v="0"/>
    <x v="8"/>
    <x v="28"/>
    <x v="3"/>
    <x v="20"/>
  </r>
  <r>
    <x v="210"/>
    <x v="8"/>
    <x v="21"/>
    <x v="3"/>
    <x v="16"/>
  </r>
  <r>
    <x v="26"/>
    <x v="8"/>
    <x v="18"/>
    <x v="3"/>
    <x v="14"/>
  </r>
  <r>
    <x v="0"/>
    <x v="8"/>
    <x v="18"/>
    <x v="3"/>
    <x v="14"/>
  </r>
  <r>
    <x v="0"/>
    <x v="8"/>
    <x v="18"/>
    <x v="3"/>
    <x v="14"/>
  </r>
  <r>
    <x v="0"/>
    <x v="8"/>
    <x v="18"/>
    <x v="3"/>
    <x v="14"/>
  </r>
  <r>
    <x v="8"/>
    <x v="8"/>
    <x v="18"/>
    <x v="3"/>
    <x v="14"/>
  </r>
  <r>
    <x v="0"/>
    <x v="8"/>
    <x v="17"/>
    <x v="3"/>
    <x v="13"/>
  </r>
  <r>
    <x v="13"/>
    <x v="8"/>
    <x v="17"/>
    <x v="3"/>
    <x v="13"/>
  </r>
  <r>
    <x v="0"/>
    <x v="8"/>
    <x v="8"/>
    <x v="3"/>
    <x v="7"/>
  </r>
  <r>
    <x v="0"/>
    <x v="8"/>
    <x v="8"/>
    <x v="3"/>
    <x v="7"/>
  </r>
  <r>
    <x v="6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"/>
    <x v="3"/>
    <x v="8"/>
  </r>
  <r>
    <x v="8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0"/>
    <x v="3"/>
    <x v="15"/>
  </r>
  <r>
    <x v="5"/>
    <x v="8"/>
    <x v="20"/>
    <x v="3"/>
    <x v="15"/>
  </r>
  <r>
    <x v="0"/>
    <x v="8"/>
    <x v="20"/>
    <x v="3"/>
    <x v="15"/>
  </r>
  <r>
    <x v="177"/>
    <x v="8"/>
    <x v="9"/>
    <x v="3"/>
    <x v="8"/>
  </r>
  <r>
    <x v="77"/>
    <x v="8"/>
    <x v="9"/>
    <x v="3"/>
    <x v="8"/>
  </r>
  <r>
    <x v="7"/>
    <x v="8"/>
    <x v="9"/>
    <x v="3"/>
    <x v="8"/>
  </r>
  <r>
    <x v="7"/>
    <x v="8"/>
    <x v="9"/>
    <x v="3"/>
    <x v="8"/>
  </r>
  <r>
    <x v="0"/>
    <x v="8"/>
    <x v="9"/>
    <x v="3"/>
    <x v="8"/>
  </r>
  <r>
    <x v="6"/>
    <x v="8"/>
    <x v="9"/>
    <x v="3"/>
    <x v="8"/>
  </r>
  <r>
    <x v="0"/>
    <x v="8"/>
    <x v="9"/>
    <x v="3"/>
    <x v="8"/>
  </r>
  <r>
    <x v="16"/>
    <x v="8"/>
    <x v="9"/>
    <x v="3"/>
    <x v="8"/>
  </r>
  <r>
    <x v="0"/>
    <x v="8"/>
    <x v="9"/>
    <x v="3"/>
    <x v="8"/>
  </r>
  <r>
    <x v="10"/>
    <x v="8"/>
    <x v="9"/>
    <x v="3"/>
    <x v="8"/>
  </r>
  <r>
    <x v="115"/>
    <x v="8"/>
    <x v="9"/>
    <x v="3"/>
    <x v="8"/>
  </r>
  <r>
    <x v="27"/>
    <x v="8"/>
    <x v="9"/>
    <x v="3"/>
    <x v="8"/>
  </r>
  <r>
    <x v="387"/>
    <x v="8"/>
    <x v="9"/>
    <x v="3"/>
    <x v="8"/>
  </r>
  <r>
    <x v="449"/>
    <x v="8"/>
    <x v="9"/>
    <x v="3"/>
    <x v="8"/>
  </r>
  <r>
    <x v="25"/>
    <x v="8"/>
    <x v="9"/>
    <x v="3"/>
    <x v="8"/>
  </r>
  <r>
    <x v="552"/>
    <x v="8"/>
    <x v="13"/>
    <x v="3"/>
    <x v="8"/>
  </r>
  <r>
    <x v="0"/>
    <x v="8"/>
    <x v="15"/>
    <x v="3"/>
    <x v="8"/>
  </r>
  <r>
    <x v="4"/>
    <x v="8"/>
    <x v="15"/>
    <x v="3"/>
    <x v="8"/>
  </r>
  <r>
    <x v="0"/>
    <x v="8"/>
    <x v="15"/>
    <x v="3"/>
    <x v="8"/>
  </r>
  <r>
    <x v="17"/>
    <x v="8"/>
    <x v="15"/>
    <x v="3"/>
    <x v="8"/>
  </r>
  <r>
    <x v="15"/>
    <x v="8"/>
    <x v="15"/>
    <x v="3"/>
    <x v="8"/>
  </r>
  <r>
    <x v="0"/>
    <x v="8"/>
    <x v="25"/>
    <x v="3"/>
    <x v="15"/>
  </r>
  <r>
    <x v="0"/>
    <x v="8"/>
    <x v="26"/>
    <x v="3"/>
    <x v="18"/>
  </r>
  <r>
    <x v="0"/>
    <x v="8"/>
    <x v="22"/>
    <x v="3"/>
    <x v="15"/>
  </r>
  <r>
    <x v="0"/>
    <x v="8"/>
    <x v="28"/>
    <x v="3"/>
    <x v="20"/>
  </r>
  <r>
    <x v="22"/>
    <x v="8"/>
    <x v="3"/>
    <x v="3"/>
    <x v="2"/>
  </r>
  <r>
    <x v="15"/>
    <x v="8"/>
    <x v="3"/>
    <x v="3"/>
    <x v="2"/>
  </r>
  <r>
    <x v="26"/>
    <x v="8"/>
    <x v="28"/>
    <x v="3"/>
    <x v="20"/>
  </r>
  <r>
    <x v="7"/>
    <x v="8"/>
    <x v="15"/>
    <x v="3"/>
    <x v="8"/>
  </r>
  <r>
    <x v="0"/>
    <x v="8"/>
    <x v="15"/>
    <x v="3"/>
    <x v="8"/>
  </r>
  <r>
    <x v="369"/>
    <x v="8"/>
    <x v="13"/>
    <x v="3"/>
    <x v="8"/>
  </r>
  <r>
    <x v="0"/>
    <x v="8"/>
    <x v="2"/>
    <x v="3"/>
    <x v="8"/>
  </r>
  <r>
    <x v="0"/>
    <x v="8"/>
    <x v="24"/>
    <x v="3"/>
    <x v="17"/>
  </r>
  <r>
    <x v="0"/>
    <x v="8"/>
    <x v="4"/>
    <x v="3"/>
    <x v="3"/>
  </r>
  <r>
    <x v="0"/>
    <x v="8"/>
    <x v="5"/>
    <x v="3"/>
    <x v="4"/>
  </r>
  <r>
    <x v="0"/>
    <x v="8"/>
    <x v="6"/>
    <x v="3"/>
    <x v="5"/>
  </r>
  <r>
    <x v="495"/>
    <x v="10"/>
    <x v="0"/>
    <x v="3"/>
    <x v="0"/>
  </r>
  <r>
    <x v="0"/>
    <x v="10"/>
    <x v="1"/>
    <x v="3"/>
    <x v="1"/>
  </r>
  <r>
    <x v="0"/>
    <x v="10"/>
    <x v="28"/>
    <x v="3"/>
    <x v="20"/>
  </r>
  <r>
    <x v="0"/>
    <x v="10"/>
    <x v="14"/>
    <x v="3"/>
    <x v="11"/>
  </r>
  <r>
    <x v="0"/>
    <x v="10"/>
    <x v="28"/>
    <x v="3"/>
    <x v="20"/>
  </r>
  <r>
    <x v="0"/>
    <x v="10"/>
    <x v="28"/>
    <x v="3"/>
    <x v="20"/>
  </r>
  <r>
    <x v="0"/>
    <x v="10"/>
    <x v="7"/>
    <x v="3"/>
    <x v="6"/>
  </r>
  <r>
    <x v="0"/>
    <x v="10"/>
    <x v="28"/>
    <x v="3"/>
    <x v="20"/>
  </r>
  <r>
    <x v="0"/>
    <x v="10"/>
    <x v="27"/>
    <x v="3"/>
    <x v="19"/>
  </r>
  <r>
    <x v="0"/>
    <x v="10"/>
    <x v="25"/>
    <x v="3"/>
    <x v="15"/>
  </r>
  <r>
    <x v="0"/>
    <x v="10"/>
    <x v="16"/>
    <x v="3"/>
    <x v="12"/>
  </r>
  <r>
    <x v="7"/>
    <x v="10"/>
    <x v="16"/>
    <x v="3"/>
    <x v="12"/>
  </r>
  <r>
    <x v="0"/>
    <x v="10"/>
    <x v="16"/>
    <x v="3"/>
    <x v="12"/>
  </r>
  <r>
    <x v="0"/>
    <x v="10"/>
    <x v="23"/>
    <x v="3"/>
    <x v="15"/>
  </r>
  <r>
    <x v="0"/>
    <x v="10"/>
    <x v="23"/>
    <x v="3"/>
    <x v="15"/>
  </r>
  <r>
    <x v="0"/>
    <x v="10"/>
    <x v="19"/>
    <x v="3"/>
    <x v="15"/>
  </r>
  <r>
    <x v="0"/>
    <x v="10"/>
    <x v="25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24"/>
    <x v="3"/>
    <x v="17"/>
  </r>
  <r>
    <x v="0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0"/>
    <x v="10"/>
    <x v="16"/>
    <x v="3"/>
    <x v="12"/>
  </r>
  <r>
    <x v="0"/>
    <x v="10"/>
    <x v="10"/>
    <x v="3"/>
    <x v="9"/>
  </r>
  <r>
    <x v="0"/>
    <x v="10"/>
    <x v="28"/>
    <x v="3"/>
    <x v="20"/>
  </r>
  <r>
    <x v="0"/>
    <x v="10"/>
    <x v="21"/>
    <x v="3"/>
    <x v="16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7"/>
    <x v="3"/>
    <x v="13"/>
  </r>
  <r>
    <x v="0"/>
    <x v="10"/>
    <x v="17"/>
    <x v="3"/>
    <x v="13"/>
  </r>
  <r>
    <x v="0"/>
    <x v="10"/>
    <x v="8"/>
    <x v="3"/>
    <x v="7"/>
  </r>
  <r>
    <x v="0"/>
    <x v="10"/>
    <x v="8"/>
    <x v="3"/>
    <x v="7"/>
  </r>
  <r>
    <x v="47"/>
    <x v="10"/>
    <x v="2"/>
    <x v="3"/>
    <x v="8"/>
  </r>
  <r>
    <x v="0"/>
    <x v="10"/>
    <x v="2"/>
    <x v="3"/>
    <x v="8"/>
  </r>
  <r>
    <x v="0"/>
    <x v="10"/>
    <x v="2"/>
    <x v="3"/>
    <x v="8"/>
  </r>
  <r>
    <x v="0"/>
    <x v="10"/>
    <x v="2"/>
    <x v="3"/>
    <x v="8"/>
  </r>
  <r>
    <x v="10"/>
    <x v="10"/>
    <x v="2"/>
    <x v="3"/>
    <x v="8"/>
  </r>
  <r>
    <x v="0"/>
    <x v="10"/>
    <x v="2"/>
    <x v="3"/>
    <x v="8"/>
  </r>
  <r>
    <x v="204"/>
    <x v="10"/>
    <x v="2"/>
    <x v="3"/>
    <x v="8"/>
  </r>
  <r>
    <x v="0"/>
    <x v="10"/>
    <x v="20"/>
    <x v="3"/>
    <x v="15"/>
  </r>
  <r>
    <x v="0"/>
    <x v="10"/>
    <x v="20"/>
    <x v="3"/>
    <x v="15"/>
  </r>
  <r>
    <x v="0"/>
    <x v="10"/>
    <x v="20"/>
    <x v="3"/>
    <x v="15"/>
  </r>
  <r>
    <x v="0"/>
    <x v="10"/>
    <x v="9"/>
    <x v="3"/>
    <x v="8"/>
  </r>
  <r>
    <x v="9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35"/>
    <x v="10"/>
    <x v="9"/>
    <x v="3"/>
    <x v="8"/>
  </r>
  <r>
    <x v="19"/>
    <x v="10"/>
    <x v="9"/>
    <x v="3"/>
    <x v="8"/>
  </r>
  <r>
    <x v="0"/>
    <x v="10"/>
    <x v="9"/>
    <x v="3"/>
    <x v="8"/>
  </r>
  <r>
    <x v="19"/>
    <x v="10"/>
    <x v="9"/>
    <x v="3"/>
    <x v="8"/>
  </r>
  <r>
    <x v="0"/>
    <x v="10"/>
    <x v="9"/>
    <x v="3"/>
    <x v="8"/>
  </r>
  <r>
    <x v="185"/>
    <x v="10"/>
    <x v="9"/>
    <x v="3"/>
    <x v="8"/>
  </r>
  <r>
    <x v="135"/>
    <x v="10"/>
    <x v="9"/>
    <x v="3"/>
    <x v="8"/>
  </r>
  <r>
    <x v="110"/>
    <x v="10"/>
    <x v="9"/>
    <x v="3"/>
    <x v="8"/>
  </r>
  <r>
    <x v="0"/>
    <x v="10"/>
    <x v="13"/>
    <x v="3"/>
    <x v="8"/>
  </r>
  <r>
    <x v="325"/>
    <x v="10"/>
    <x v="15"/>
    <x v="3"/>
    <x v="8"/>
  </r>
  <r>
    <x v="285"/>
    <x v="10"/>
    <x v="15"/>
    <x v="3"/>
    <x v="8"/>
  </r>
  <r>
    <x v="26"/>
    <x v="10"/>
    <x v="15"/>
    <x v="3"/>
    <x v="8"/>
  </r>
  <r>
    <x v="92"/>
    <x v="10"/>
    <x v="15"/>
    <x v="3"/>
    <x v="8"/>
  </r>
  <r>
    <x v="206"/>
    <x v="10"/>
    <x v="15"/>
    <x v="3"/>
    <x v="8"/>
  </r>
  <r>
    <x v="0"/>
    <x v="10"/>
    <x v="25"/>
    <x v="3"/>
    <x v="15"/>
  </r>
  <r>
    <x v="0"/>
    <x v="10"/>
    <x v="26"/>
    <x v="3"/>
    <x v="18"/>
  </r>
  <r>
    <x v="0"/>
    <x v="10"/>
    <x v="22"/>
    <x v="3"/>
    <x v="15"/>
  </r>
  <r>
    <x v="0"/>
    <x v="10"/>
    <x v="28"/>
    <x v="3"/>
    <x v="20"/>
  </r>
  <r>
    <x v="0"/>
    <x v="10"/>
    <x v="3"/>
    <x v="3"/>
    <x v="2"/>
  </r>
  <r>
    <x v="0"/>
    <x v="10"/>
    <x v="3"/>
    <x v="3"/>
    <x v="2"/>
  </r>
  <r>
    <x v="0"/>
    <x v="10"/>
    <x v="28"/>
    <x v="3"/>
    <x v="20"/>
  </r>
  <r>
    <x v="287"/>
    <x v="10"/>
    <x v="15"/>
    <x v="3"/>
    <x v="8"/>
  </r>
  <r>
    <x v="153"/>
    <x v="10"/>
    <x v="15"/>
    <x v="3"/>
    <x v="8"/>
  </r>
  <r>
    <x v="0"/>
    <x v="10"/>
    <x v="13"/>
    <x v="3"/>
    <x v="8"/>
  </r>
  <r>
    <x v="73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9"/>
    <x v="10"/>
    <x v="6"/>
    <x v="3"/>
    <x v="5"/>
  </r>
  <r>
    <x v="584"/>
    <x v="10"/>
    <x v="0"/>
    <x v="3"/>
    <x v="0"/>
  </r>
  <r>
    <x v="19"/>
    <x v="10"/>
    <x v="1"/>
    <x v="3"/>
    <x v="1"/>
  </r>
  <r>
    <x v="19"/>
    <x v="10"/>
    <x v="28"/>
    <x v="3"/>
    <x v="20"/>
  </r>
  <r>
    <x v="20"/>
    <x v="10"/>
    <x v="14"/>
    <x v="3"/>
    <x v="11"/>
  </r>
  <r>
    <x v="3"/>
    <x v="10"/>
    <x v="28"/>
    <x v="3"/>
    <x v="20"/>
  </r>
  <r>
    <x v="0"/>
    <x v="10"/>
    <x v="28"/>
    <x v="3"/>
    <x v="20"/>
  </r>
  <r>
    <x v="0"/>
    <x v="10"/>
    <x v="7"/>
    <x v="3"/>
    <x v="6"/>
  </r>
  <r>
    <x v="8"/>
    <x v="10"/>
    <x v="28"/>
    <x v="3"/>
    <x v="20"/>
  </r>
  <r>
    <x v="0"/>
    <x v="10"/>
    <x v="27"/>
    <x v="3"/>
    <x v="19"/>
  </r>
  <r>
    <x v="8"/>
    <x v="10"/>
    <x v="25"/>
    <x v="3"/>
    <x v="15"/>
  </r>
  <r>
    <x v="10"/>
    <x v="10"/>
    <x v="16"/>
    <x v="3"/>
    <x v="12"/>
  </r>
  <r>
    <x v="0"/>
    <x v="10"/>
    <x v="16"/>
    <x v="3"/>
    <x v="12"/>
  </r>
  <r>
    <x v="0"/>
    <x v="10"/>
    <x v="16"/>
    <x v="3"/>
    <x v="12"/>
  </r>
  <r>
    <x v="0"/>
    <x v="10"/>
    <x v="23"/>
    <x v="3"/>
    <x v="15"/>
  </r>
  <r>
    <x v="0"/>
    <x v="10"/>
    <x v="23"/>
    <x v="3"/>
    <x v="15"/>
  </r>
  <r>
    <x v="0"/>
    <x v="10"/>
    <x v="19"/>
    <x v="3"/>
    <x v="15"/>
  </r>
  <r>
    <x v="0"/>
    <x v="10"/>
    <x v="25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12"/>
    <x v="3"/>
    <x v="15"/>
  </r>
  <r>
    <x v="11"/>
    <x v="10"/>
    <x v="12"/>
    <x v="3"/>
    <x v="15"/>
  </r>
  <r>
    <x v="8"/>
    <x v="10"/>
    <x v="19"/>
    <x v="3"/>
    <x v="15"/>
  </r>
  <r>
    <x v="0"/>
    <x v="10"/>
    <x v="24"/>
    <x v="3"/>
    <x v="17"/>
  </r>
  <r>
    <x v="0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8"/>
    <x v="10"/>
    <x v="16"/>
    <x v="3"/>
    <x v="12"/>
  </r>
  <r>
    <x v="0"/>
    <x v="10"/>
    <x v="10"/>
    <x v="3"/>
    <x v="9"/>
  </r>
  <r>
    <x v="8"/>
    <x v="10"/>
    <x v="28"/>
    <x v="3"/>
    <x v="20"/>
  </r>
  <r>
    <x v="8"/>
    <x v="10"/>
    <x v="21"/>
    <x v="3"/>
    <x v="16"/>
  </r>
  <r>
    <x v="170"/>
    <x v="10"/>
    <x v="18"/>
    <x v="3"/>
    <x v="14"/>
  </r>
  <r>
    <x v="31"/>
    <x v="10"/>
    <x v="18"/>
    <x v="3"/>
    <x v="14"/>
  </r>
  <r>
    <x v="47"/>
    <x v="10"/>
    <x v="18"/>
    <x v="3"/>
    <x v="14"/>
  </r>
  <r>
    <x v="0"/>
    <x v="10"/>
    <x v="18"/>
    <x v="3"/>
    <x v="14"/>
  </r>
  <r>
    <x v="192"/>
    <x v="10"/>
    <x v="18"/>
    <x v="3"/>
    <x v="14"/>
  </r>
  <r>
    <x v="0"/>
    <x v="10"/>
    <x v="17"/>
    <x v="3"/>
    <x v="13"/>
  </r>
  <r>
    <x v="12"/>
    <x v="10"/>
    <x v="17"/>
    <x v="3"/>
    <x v="13"/>
  </r>
  <r>
    <x v="0"/>
    <x v="10"/>
    <x v="8"/>
    <x v="3"/>
    <x v="7"/>
  </r>
  <r>
    <x v="7"/>
    <x v="10"/>
    <x v="8"/>
    <x v="3"/>
    <x v="7"/>
  </r>
  <r>
    <x v="207"/>
    <x v="10"/>
    <x v="2"/>
    <x v="3"/>
    <x v="8"/>
  </r>
  <r>
    <x v="20"/>
    <x v="10"/>
    <x v="2"/>
    <x v="3"/>
    <x v="8"/>
  </r>
  <r>
    <x v="43"/>
    <x v="10"/>
    <x v="2"/>
    <x v="3"/>
    <x v="8"/>
  </r>
  <r>
    <x v="68"/>
    <x v="10"/>
    <x v="2"/>
    <x v="3"/>
    <x v="8"/>
  </r>
  <r>
    <x v="86"/>
    <x v="10"/>
    <x v="2"/>
    <x v="3"/>
    <x v="8"/>
  </r>
  <r>
    <x v="61"/>
    <x v="10"/>
    <x v="2"/>
    <x v="3"/>
    <x v="8"/>
  </r>
  <r>
    <x v="364"/>
    <x v="10"/>
    <x v="2"/>
    <x v="3"/>
    <x v="8"/>
  </r>
  <r>
    <x v="0"/>
    <x v="10"/>
    <x v="20"/>
    <x v="3"/>
    <x v="15"/>
  </r>
  <r>
    <x v="0"/>
    <x v="10"/>
    <x v="20"/>
    <x v="3"/>
    <x v="15"/>
  </r>
  <r>
    <x v="0"/>
    <x v="10"/>
    <x v="20"/>
    <x v="3"/>
    <x v="15"/>
  </r>
  <r>
    <x v="19"/>
    <x v="10"/>
    <x v="9"/>
    <x v="3"/>
    <x v="8"/>
  </r>
  <r>
    <x v="40"/>
    <x v="10"/>
    <x v="9"/>
    <x v="3"/>
    <x v="8"/>
  </r>
  <r>
    <x v="0"/>
    <x v="10"/>
    <x v="9"/>
    <x v="3"/>
    <x v="8"/>
  </r>
  <r>
    <x v="14"/>
    <x v="10"/>
    <x v="9"/>
    <x v="3"/>
    <x v="8"/>
  </r>
  <r>
    <x v="5"/>
    <x v="10"/>
    <x v="9"/>
    <x v="3"/>
    <x v="8"/>
  </r>
  <r>
    <x v="37"/>
    <x v="10"/>
    <x v="9"/>
    <x v="3"/>
    <x v="8"/>
  </r>
  <r>
    <x v="19"/>
    <x v="10"/>
    <x v="9"/>
    <x v="3"/>
    <x v="8"/>
  </r>
  <r>
    <x v="108"/>
    <x v="10"/>
    <x v="9"/>
    <x v="3"/>
    <x v="8"/>
  </r>
  <r>
    <x v="56"/>
    <x v="10"/>
    <x v="9"/>
    <x v="3"/>
    <x v="8"/>
  </r>
  <r>
    <x v="11"/>
    <x v="10"/>
    <x v="9"/>
    <x v="3"/>
    <x v="8"/>
  </r>
  <r>
    <x v="35"/>
    <x v="10"/>
    <x v="9"/>
    <x v="3"/>
    <x v="8"/>
  </r>
  <r>
    <x v="49"/>
    <x v="10"/>
    <x v="9"/>
    <x v="3"/>
    <x v="8"/>
  </r>
  <r>
    <x v="309"/>
    <x v="10"/>
    <x v="9"/>
    <x v="3"/>
    <x v="8"/>
  </r>
  <r>
    <x v="239"/>
    <x v="10"/>
    <x v="9"/>
    <x v="3"/>
    <x v="8"/>
  </r>
  <r>
    <x v="160"/>
    <x v="10"/>
    <x v="9"/>
    <x v="3"/>
    <x v="8"/>
  </r>
  <r>
    <x v="9"/>
    <x v="10"/>
    <x v="13"/>
    <x v="3"/>
    <x v="8"/>
  </r>
  <r>
    <x v="191"/>
    <x v="10"/>
    <x v="15"/>
    <x v="3"/>
    <x v="8"/>
  </r>
  <r>
    <x v="565"/>
    <x v="10"/>
    <x v="15"/>
    <x v="3"/>
    <x v="8"/>
  </r>
  <r>
    <x v="96"/>
    <x v="10"/>
    <x v="15"/>
    <x v="3"/>
    <x v="8"/>
  </r>
  <r>
    <x v="186"/>
    <x v="10"/>
    <x v="15"/>
    <x v="3"/>
    <x v="8"/>
  </r>
  <r>
    <x v="322"/>
    <x v="10"/>
    <x v="15"/>
    <x v="3"/>
    <x v="8"/>
  </r>
  <r>
    <x v="0"/>
    <x v="10"/>
    <x v="25"/>
    <x v="3"/>
    <x v="15"/>
  </r>
  <r>
    <x v="0"/>
    <x v="10"/>
    <x v="26"/>
    <x v="3"/>
    <x v="18"/>
  </r>
  <r>
    <x v="8"/>
    <x v="10"/>
    <x v="22"/>
    <x v="3"/>
    <x v="15"/>
  </r>
  <r>
    <x v="11"/>
    <x v="10"/>
    <x v="28"/>
    <x v="3"/>
    <x v="20"/>
  </r>
  <r>
    <x v="0"/>
    <x v="10"/>
    <x v="3"/>
    <x v="3"/>
    <x v="2"/>
  </r>
  <r>
    <x v="0"/>
    <x v="10"/>
    <x v="3"/>
    <x v="3"/>
    <x v="2"/>
  </r>
  <r>
    <x v="8"/>
    <x v="10"/>
    <x v="28"/>
    <x v="3"/>
    <x v="20"/>
  </r>
  <r>
    <x v="399"/>
    <x v="10"/>
    <x v="15"/>
    <x v="3"/>
    <x v="8"/>
  </r>
  <r>
    <x v="219"/>
    <x v="10"/>
    <x v="15"/>
    <x v="3"/>
    <x v="8"/>
  </r>
  <r>
    <x v="0"/>
    <x v="10"/>
    <x v="13"/>
    <x v="3"/>
    <x v="8"/>
  </r>
  <r>
    <x v="291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0"/>
    <x v="10"/>
    <x v="6"/>
    <x v="3"/>
    <x v="5"/>
  </r>
  <r>
    <x v="460"/>
    <x v="10"/>
    <x v="0"/>
    <x v="3"/>
    <x v="0"/>
  </r>
  <r>
    <x v="0"/>
    <x v="10"/>
    <x v="1"/>
    <x v="3"/>
    <x v="1"/>
  </r>
  <r>
    <x v="8"/>
    <x v="10"/>
    <x v="28"/>
    <x v="3"/>
    <x v="20"/>
  </r>
  <r>
    <x v="9"/>
    <x v="10"/>
    <x v="14"/>
    <x v="3"/>
    <x v="11"/>
  </r>
  <r>
    <x v="0"/>
    <x v="10"/>
    <x v="28"/>
    <x v="3"/>
    <x v="20"/>
  </r>
  <r>
    <x v="0"/>
    <x v="10"/>
    <x v="28"/>
    <x v="3"/>
    <x v="20"/>
  </r>
  <r>
    <x v="0"/>
    <x v="10"/>
    <x v="7"/>
    <x v="3"/>
    <x v="6"/>
  </r>
  <r>
    <x v="0"/>
    <x v="10"/>
    <x v="28"/>
    <x v="3"/>
    <x v="20"/>
  </r>
  <r>
    <x v="0"/>
    <x v="10"/>
    <x v="27"/>
    <x v="3"/>
    <x v="19"/>
  </r>
  <r>
    <x v="0"/>
    <x v="10"/>
    <x v="25"/>
    <x v="3"/>
    <x v="15"/>
  </r>
  <r>
    <x v="0"/>
    <x v="10"/>
    <x v="16"/>
    <x v="3"/>
    <x v="12"/>
  </r>
  <r>
    <x v="0"/>
    <x v="10"/>
    <x v="16"/>
    <x v="3"/>
    <x v="12"/>
  </r>
  <r>
    <x v="0"/>
    <x v="10"/>
    <x v="16"/>
    <x v="3"/>
    <x v="12"/>
  </r>
  <r>
    <x v="0"/>
    <x v="10"/>
    <x v="23"/>
    <x v="3"/>
    <x v="15"/>
  </r>
  <r>
    <x v="0"/>
    <x v="10"/>
    <x v="23"/>
    <x v="3"/>
    <x v="15"/>
  </r>
  <r>
    <x v="0"/>
    <x v="10"/>
    <x v="19"/>
    <x v="3"/>
    <x v="15"/>
  </r>
  <r>
    <x v="0"/>
    <x v="10"/>
    <x v="25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24"/>
    <x v="3"/>
    <x v="17"/>
  </r>
  <r>
    <x v="0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0"/>
    <x v="10"/>
    <x v="16"/>
    <x v="3"/>
    <x v="12"/>
  </r>
  <r>
    <x v="0"/>
    <x v="10"/>
    <x v="10"/>
    <x v="3"/>
    <x v="9"/>
  </r>
  <r>
    <x v="0"/>
    <x v="10"/>
    <x v="28"/>
    <x v="3"/>
    <x v="20"/>
  </r>
  <r>
    <x v="0"/>
    <x v="10"/>
    <x v="21"/>
    <x v="3"/>
    <x v="16"/>
  </r>
  <r>
    <x v="4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7"/>
    <x v="3"/>
    <x v="13"/>
  </r>
  <r>
    <x v="0"/>
    <x v="10"/>
    <x v="17"/>
    <x v="3"/>
    <x v="13"/>
  </r>
  <r>
    <x v="0"/>
    <x v="10"/>
    <x v="8"/>
    <x v="3"/>
    <x v="7"/>
  </r>
  <r>
    <x v="0"/>
    <x v="10"/>
    <x v="8"/>
    <x v="3"/>
    <x v="7"/>
  </r>
  <r>
    <x v="6"/>
    <x v="10"/>
    <x v="2"/>
    <x v="3"/>
    <x v="8"/>
  </r>
  <r>
    <x v="0"/>
    <x v="10"/>
    <x v="2"/>
    <x v="3"/>
    <x v="8"/>
  </r>
  <r>
    <x v="0"/>
    <x v="10"/>
    <x v="2"/>
    <x v="3"/>
    <x v="8"/>
  </r>
  <r>
    <x v="0"/>
    <x v="10"/>
    <x v="2"/>
    <x v="3"/>
    <x v="8"/>
  </r>
  <r>
    <x v="0"/>
    <x v="10"/>
    <x v="2"/>
    <x v="3"/>
    <x v="8"/>
  </r>
  <r>
    <x v="0"/>
    <x v="10"/>
    <x v="2"/>
    <x v="3"/>
    <x v="8"/>
  </r>
  <r>
    <x v="120"/>
    <x v="10"/>
    <x v="2"/>
    <x v="3"/>
    <x v="8"/>
  </r>
  <r>
    <x v="0"/>
    <x v="10"/>
    <x v="20"/>
    <x v="3"/>
    <x v="15"/>
  </r>
  <r>
    <x v="0"/>
    <x v="10"/>
    <x v="20"/>
    <x v="3"/>
    <x v="15"/>
  </r>
  <r>
    <x v="0"/>
    <x v="10"/>
    <x v="20"/>
    <x v="3"/>
    <x v="15"/>
  </r>
  <r>
    <x v="7"/>
    <x v="10"/>
    <x v="9"/>
    <x v="3"/>
    <x v="8"/>
  </r>
  <r>
    <x v="22"/>
    <x v="10"/>
    <x v="9"/>
    <x v="3"/>
    <x v="8"/>
  </r>
  <r>
    <x v="39"/>
    <x v="10"/>
    <x v="9"/>
    <x v="3"/>
    <x v="8"/>
  </r>
  <r>
    <x v="18"/>
    <x v="10"/>
    <x v="9"/>
    <x v="3"/>
    <x v="8"/>
  </r>
  <r>
    <x v="0"/>
    <x v="10"/>
    <x v="9"/>
    <x v="3"/>
    <x v="8"/>
  </r>
  <r>
    <x v="0"/>
    <x v="10"/>
    <x v="9"/>
    <x v="3"/>
    <x v="8"/>
  </r>
  <r>
    <x v="59"/>
    <x v="10"/>
    <x v="9"/>
    <x v="3"/>
    <x v="8"/>
  </r>
  <r>
    <x v="185"/>
    <x v="10"/>
    <x v="9"/>
    <x v="3"/>
    <x v="8"/>
  </r>
  <r>
    <x v="0"/>
    <x v="10"/>
    <x v="9"/>
    <x v="3"/>
    <x v="8"/>
  </r>
  <r>
    <x v="22"/>
    <x v="10"/>
    <x v="9"/>
    <x v="3"/>
    <x v="8"/>
  </r>
  <r>
    <x v="20"/>
    <x v="10"/>
    <x v="9"/>
    <x v="3"/>
    <x v="8"/>
  </r>
  <r>
    <x v="71"/>
    <x v="10"/>
    <x v="9"/>
    <x v="3"/>
    <x v="8"/>
  </r>
  <r>
    <x v="277"/>
    <x v="10"/>
    <x v="9"/>
    <x v="3"/>
    <x v="8"/>
  </r>
  <r>
    <x v="164"/>
    <x v="10"/>
    <x v="9"/>
    <x v="3"/>
    <x v="8"/>
  </r>
  <r>
    <x v="8"/>
    <x v="10"/>
    <x v="9"/>
    <x v="3"/>
    <x v="8"/>
  </r>
  <r>
    <x v="0"/>
    <x v="10"/>
    <x v="13"/>
    <x v="3"/>
    <x v="8"/>
  </r>
  <r>
    <x v="0"/>
    <x v="10"/>
    <x v="15"/>
    <x v="3"/>
    <x v="8"/>
  </r>
  <r>
    <x v="107"/>
    <x v="10"/>
    <x v="15"/>
    <x v="3"/>
    <x v="8"/>
  </r>
  <r>
    <x v="302"/>
    <x v="10"/>
    <x v="15"/>
    <x v="3"/>
    <x v="8"/>
  </r>
  <r>
    <x v="232"/>
    <x v="10"/>
    <x v="15"/>
    <x v="3"/>
    <x v="8"/>
  </r>
  <r>
    <x v="306"/>
    <x v="10"/>
    <x v="15"/>
    <x v="3"/>
    <x v="8"/>
  </r>
  <r>
    <x v="0"/>
    <x v="10"/>
    <x v="25"/>
    <x v="3"/>
    <x v="15"/>
  </r>
  <r>
    <x v="0"/>
    <x v="10"/>
    <x v="26"/>
    <x v="3"/>
    <x v="18"/>
  </r>
  <r>
    <x v="0"/>
    <x v="10"/>
    <x v="22"/>
    <x v="3"/>
    <x v="15"/>
  </r>
  <r>
    <x v="0"/>
    <x v="10"/>
    <x v="28"/>
    <x v="3"/>
    <x v="20"/>
  </r>
  <r>
    <x v="0"/>
    <x v="10"/>
    <x v="3"/>
    <x v="3"/>
    <x v="2"/>
  </r>
  <r>
    <x v="0"/>
    <x v="10"/>
    <x v="3"/>
    <x v="3"/>
    <x v="2"/>
  </r>
  <r>
    <x v="0"/>
    <x v="10"/>
    <x v="28"/>
    <x v="3"/>
    <x v="20"/>
  </r>
  <r>
    <x v="51"/>
    <x v="10"/>
    <x v="15"/>
    <x v="3"/>
    <x v="8"/>
  </r>
  <r>
    <x v="64"/>
    <x v="10"/>
    <x v="15"/>
    <x v="3"/>
    <x v="8"/>
  </r>
  <r>
    <x v="0"/>
    <x v="10"/>
    <x v="13"/>
    <x v="3"/>
    <x v="8"/>
  </r>
  <r>
    <x v="6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0"/>
    <x v="10"/>
    <x v="6"/>
    <x v="3"/>
    <x v="5"/>
  </r>
  <r>
    <x v="512"/>
    <x v="10"/>
    <x v="0"/>
    <x v="3"/>
    <x v="0"/>
  </r>
  <r>
    <x v="0"/>
    <x v="10"/>
    <x v="1"/>
    <x v="3"/>
    <x v="1"/>
  </r>
  <r>
    <x v="0"/>
    <x v="10"/>
    <x v="28"/>
    <x v="3"/>
    <x v="20"/>
  </r>
  <r>
    <x v="0"/>
    <x v="10"/>
    <x v="14"/>
    <x v="3"/>
    <x v="11"/>
  </r>
  <r>
    <x v="0"/>
    <x v="10"/>
    <x v="28"/>
    <x v="3"/>
    <x v="20"/>
  </r>
  <r>
    <x v="0"/>
    <x v="10"/>
    <x v="28"/>
    <x v="3"/>
    <x v="20"/>
  </r>
  <r>
    <x v="0"/>
    <x v="10"/>
    <x v="7"/>
    <x v="3"/>
    <x v="6"/>
  </r>
  <r>
    <x v="0"/>
    <x v="10"/>
    <x v="28"/>
    <x v="3"/>
    <x v="20"/>
  </r>
  <r>
    <x v="0"/>
    <x v="10"/>
    <x v="27"/>
    <x v="3"/>
    <x v="19"/>
  </r>
  <r>
    <x v="0"/>
    <x v="10"/>
    <x v="25"/>
    <x v="3"/>
    <x v="15"/>
  </r>
  <r>
    <x v="0"/>
    <x v="10"/>
    <x v="16"/>
    <x v="3"/>
    <x v="12"/>
  </r>
  <r>
    <x v="0"/>
    <x v="10"/>
    <x v="16"/>
    <x v="3"/>
    <x v="12"/>
  </r>
  <r>
    <x v="0"/>
    <x v="10"/>
    <x v="16"/>
    <x v="3"/>
    <x v="12"/>
  </r>
  <r>
    <x v="0"/>
    <x v="10"/>
    <x v="23"/>
    <x v="3"/>
    <x v="15"/>
  </r>
  <r>
    <x v="0"/>
    <x v="10"/>
    <x v="23"/>
    <x v="3"/>
    <x v="15"/>
  </r>
  <r>
    <x v="12"/>
    <x v="10"/>
    <x v="19"/>
    <x v="3"/>
    <x v="15"/>
  </r>
  <r>
    <x v="0"/>
    <x v="10"/>
    <x v="25"/>
    <x v="3"/>
    <x v="15"/>
  </r>
  <r>
    <x v="0"/>
    <x v="10"/>
    <x v="12"/>
    <x v="3"/>
    <x v="15"/>
  </r>
  <r>
    <x v="0"/>
    <x v="10"/>
    <x v="12"/>
    <x v="3"/>
    <x v="15"/>
  </r>
  <r>
    <x v="19"/>
    <x v="10"/>
    <x v="19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10"/>
    <x v="10"/>
    <x v="24"/>
    <x v="3"/>
    <x v="17"/>
  </r>
  <r>
    <x v="0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0"/>
    <x v="10"/>
    <x v="16"/>
    <x v="3"/>
    <x v="12"/>
  </r>
  <r>
    <x v="0"/>
    <x v="10"/>
    <x v="10"/>
    <x v="3"/>
    <x v="9"/>
  </r>
  <r>
    <x v="0"/>
    <x v="10"/>
    <x v="28"/>
    <x v="3"/>
    <x v="20"/>
  </r>
  <r>
    <x v="0"/>
    <x v="10"/>
    <x v="21"/>
    <x v="3"/>
    <x v="16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7"/>
    <x v="3"/>
    <x v="13"/>
  </r>
  <r>
    <x v="0"/>
    <x v="10"/>
    <x v="17"/>
    <x v="3"/>
    <x v="13"/>
  </r>
  <r>
    <x v="0"/>
    <x v="10"/>
    <x v="8"/>
    <x v="3"/>
    <x v="7"/>
  </r>
  <r>
    <x v="0"/>
    <x v="10"/>
    <x v="8"/>
    <x v="3"/>
    <x v="7"/>
  </r>
  <r>
    <x v="38"/>
    <x v="10"/>
    <x v="2"/>
    <x v="3"/>
    <x v="8"/>
  </r>
  <r>
    <x v="11"/>
    <x v="10"/>
    <x v="2"/>
    <x v="3"/>
    <x v="8"/>
  </r>
  <r>
    <x v="17"/>
    <x v="10"/>
    <x v="2"/>
    <x v="3"/>
    <x v="8"/>
  </r>
  <r>
    <x v="0"/>
    <x v="10"/>
    <x v="2"/>
    <x v="3"/>
    <x v="8"/>
  </r>
  <r>
    <x v="6"/>
    <x v="10"/>
    <x v="2"/>
    <x v="3"/>
    <x v="8"/>
  </r>
  <r>
    <x v="0"/>
    <x v="10"/>
    <x v="2"/>
    <x v="3"/>
    <x v="8"/>
  </r>
  <r>
    <x v="187"/>
    <x v="10"/>
    <x v="2"/>
    <x v="3"/>
    <x v="8"/>
  </r>
  <r>
    <x v="0"/>
    <x v="10"/>
    <x v="20"/>
    <x v="3"/>
    <x v="15"/>
  </r>
  <r>
    <x v="0"/>
    <x v="10"/>
    <x v="20"/>
    <x v="3"/>
    <x v="15"/>
  </r>
  <r>
    <x v="0"/>
    <x v="10"/>
    <x v="20"/>
    <x v="3"/>
    <x v="15"/>
  </r>
  <r>
    <x v="7"/>
    <x v="10"/>
    <x v="9"/>
    <x v="3"/>
    <x v="8"/>
  </r>
  <r>
    <x v="0"/>
    <x v="10"/>
    <x v="9"/>
    <x v="3"/>
    <x v="8"/>
  </r>
  <r>
    <x v="51"/>
    <x v="10"/>
    <x v="9"/>
    <x v="3"/>
    <x v="8"/>
  </r>
  <r>
    <x v="5"/>
    <x v="10"/>
    <x v="9"/>
    <x v="3"/>
    <x v="8"/>
  </r>
  <r>
    <x v="11"/>
    <x v="10"/>
    <x v="9"/>
    <x v="3"/>
    <x v="8"/>
  </r>
  <r>
    <x v="0"/>
    <x v="10"/>
    <x v="9"/>
    <x v="3"/>
    <x v="8"/>
  </r>
  <r>
    <x v="42"/>
    <x v="10"/>
    <x v="9"/>
    <x v="3"/>
    <x v="8"/>
  </r>
  <r>
    <x v="190"/>
    <x v="10"/>
    <x v="9"/>
    <x v="3"/>
    <x v="8"/>
  </r>
  <r>
    <x v="7"/>
    <x v="10"/>
    <x v="9"/>
    <x v="3"/>
    <x v="8"/>
  </r>
  <r>
    <x v="0"/>
    <x v="10"/>
    <x v="9"/>
    <x v="3"/>
    <x v="8"/>
  </r>
  <r>
    <x v="0"/>
    <x v="10"/>
    <x v="9"/>
    <x v="3"/>
    <x v="8"/>
  </r>
  <r>
    <x v="11"/>
    <x v="10"/>
    <x v="9"/>
    <x v="3"/>
    <x v="8"/>
  </r>
  <r>
    <x v="295"/>
    <x v="10"/>
    <x v="9"/>
    <x v="3"/>
    <x v="8"/>
  </r>
  <r>
    <x v="181"/>
    <x v="10"/>
    <x v="9"/>
    <x v="3"/>
    <x v="8"/>
  </r>
  <r>
    <x v="24"/>
    <x v="10"/>
    <x v="9"/>
    <x v="3"/>
    <x v="8"/>
  </r>
  <r>
    <x v="0"/>
    <x v="10"/>
    <x v="13"/>
    <x v="3"/>
    <x v="8"/>
  </r>
  <r>
    <x v="0"/>
    <x v="10"/>
    <x v="15"/>
    <x v="3"/>
    <x v="8"/>
  </r>
  <r>
    <x v="126"/>
    <x v="10"/>
    <x v="15"/>
    <x v="3"/>
    <x v="8"/>
  </r>
  <r>
    <x v="193"/>
    <x v="10"/>
    <x v="15"/>
    <x v="3"/>
    <x v="8"/>
  </r>
  <r>
    <x v="329"/>
    <x v="10"/>
    <x v="15"/>
    <x v="3"/>
    <x v="8"/>
  </r>
  <r>
    <x v="355"/>
    <x v="10"/>
    <x v="15"/>
    <x v="3"/>
    <x v="8"/>
  </r>
  <r>
    <x v="0"/>
    <x v="10"/>
    <x v="25"/>
    <x v="3"/>
    <x v="15"/>
  </r>
  <r>
    <x v="0"/>
    <x v="10"/>
    <x v="26"/>
    <x v="3"/>
    <x v="18"/>
  </r>
  <r>
    <x v="0"/>
    <x v="10"/>
    <x v="22"/>
    <x v="3"/>
    <x v="15"/>
  </r>
  <r>
    <x v="0"/>
    <x v="10"/>
    <x v="28"/>
    <x v="3"/>
    <x v="20"/>
  </r>
  <r>
    <x v="0"/>
    <x v="10"/>
    <x v="3"/>
    <x v="3"/>
    <x v="2"/>
  </r>
  <r>
    <x v="0"/>
    <x v="10"/>
    <x v="3"/>
    <x v="3"/>
    <x v="2"/>
  </r>
  <r>
    <x v="0"/>
    <x v="10"/>
    <x v="28"/>
    <x v="3"/>
    <x v="20"/>
  </r>
  <r>
    <x v="76"/>
    <x v="10"/>
    <x v="15"/>
    <x v="3"/>
    <x v="8"/>
  </r>
  <r>
    <x v="18"/>
    <x v="10"/>
    <x v="15"/>
    <x v="3"/>
    <x v="8"/>
  </r>
  <r>
    <x v="0"/>
    <x v="10"/>
    <x v="13"/>
    <x v="3"/>
    <x v="8"/>
  </r>
  <r>
    <x v="35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0"/>
    <x v="10"/>
    <x v="6"/>
    <x v="3"/>
    <x v="5"/>
  </r>
  <r>
    <x v="588"/>
    <x v="10"/>
    <x v="0"/>
    <x v="3"/>
    <x v="0"/>
  </r>
  <r>
    <x v="15"/>
    <x v="10"/>
    <x v="1"/>
    <x v="3"/>
    <x v="1"/>
  </r>
  <r>
    <x v="34"/>
    <x v="10"/>
    <x v="28"/>
    <x v="3"/>
    <x v="20"/>
  </r>
  <r>
    <x v="26"/>
    <x v="10"/>
    <x v="14"/>
    <x v="3"/>
    <x v="11"/>
  </r>
  <r>
    <x v="16"/>
    <x v="10"/>
    <x v="28"/>
    <x v="3"/>
    <x v="20"/>
  </r>
  <r>
    <x v="0"/>
    <x v="10"/>
    <x v="28"/>
    <x v="3"/>
    <x v="20"/>
  </r>
  <r>
    <x v="0"/>
    <x v="10"/>
    <x v="7"/>
    <x v="3"/>
    <x v="6"/>
  </r>
  <r>
    <x v="0"/>
    <x v="10"/>
    <x v="28"/>
    <x v="3"/>
    <x v="20"/>
  </r>
  <r>
    <x v="0"/>
    <x v="10"/>
    <x v="27"/>
    <x v="3"/>
    <x v="19"/>
  </r>
  <r>
    <x v="0"/>
    <x v="10"/>
    <x v="25"/>
    <x v="3"/>
    <x v="15"/>
  </r>
  <r>
    <x v="8"/>
    <x v="10"/>
    <x v="16"/>
    <x v="3"/>
    <x v="12"/>
  </r>
  <r>
    <x v="6"/>
    <x v="10"/>
    <x v="16"/>
    <x v="3"/>
    <x v="12"/>
  </r>
  <r>
    <x v="20"/>
    <x v="10"/>
    <x v="16"/>
    <x v="3"/>
    <x v="12"/>
  </r>
  <r>
    <x v="0"/>
    <x v="10"/>
    <x v="23"/>
    <x v="3"/>
    <x v="15"/>
  </r>
  <r>
    <x v="9"/>
    <x v="10"/>
    <x v="23"/>
    <x v="3"/>
    <x v="15"/>
  </r>
  <r>
    <x v="0"/>
    <x v="10"/>
    <x v="19"/>
    <x v="3"/>
    <x v="15"/>
  </r>
  <r>
    <x v="0"/>
    <x v="10"/>
    <x v="25"/>
    <x v="3"/>
    <x v="15"/>
  </r>
  <r>
    <x v="0"/>
    <x v="10"/>
    <x v="12"/>
    <x v="3"/>
    <x v="15"/>
  </r>
  <r>
    <x v="4"/>
    <x v="10"/>
    <x v="12"/>
    <x v="3"/>
    <x v="15"/>
  </r>
  <r>
    <x v="2"/>
    <x v="10"/>
    <x v="19"/>
    <x v="3"/>
    <x v="15"/>
  </r>
  <r>
    <x v="0"/>
    <x v="10"/>
    <x v="12"/>
    <x v="3"/>
    <x v="15"/>
  </r>
  <r>
    <x v="6"/>
    <x v="10"/>
    <x v="12"/>
    <x v="3"/>
    <x v="15"/>
  </r>
  <r>
    <x v="0"/>
    <x v="10"/>
    <x v="19"/>
    <x v="3"/>
    <x v="15"/>
  </r>
  <r>
    <x v="0"/>
    <x v="10"/>
    <x v="24"/>
    <x v="3"/>
    <x v="17"/>
  </r>
  <r>
    <x v="5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0"/>
    <x v="10"/>
    <x v="16"/>
    <x v="3"/>
    <x v="12"/>
  </r>
  <r>
    <x v="9"/>
    <x v="10"/>
    <x v="10"/>
    <x v="3"/>
    <x v="9"/>
  </r>
  <r>
    <x v="0"/>
    <x v="10"/>
    <x v="28"/>
    <x v="3"/>
    <x v="20"/>
  </r>
  <r>
    <x v="17"/>
    <x v="10"/>
    <x v="21"/>
    <x v="3"/>
    <x v="16"/>
  </r>
  <r>
    <x v="21"/>
    <x v="10"/>
    <x v="18"/>
    <x v="3"/>
    <x v="14"/>
  </r>
  <r>
    <x v="0"/>
    <x v="10"/>
    <x v="18"/>
    <x v="3"/>
    <x v="14"/>
  </r>
  <r>
    <x v="0"/>
    <x v="10"/>
    <x v="18"/>
    <x v="3"/>
    <x v="14"/>
  </r>
  <r>
    <x v="27"/>
    <x v="10"/>
    <x v="18"/>
    <x v="3"/>
    <x v="14"/>
  </r>
  <r>
    <x v="7"/>
    <x v="10"/>
    <x v="18"/>
    <x v="3"/>
    <x v="14"/>
  </r>
  <r>
    <x v="0"/>
    <x v="10"/>
    <x v="17"/>
    <x v="3"/>
    <x v="13"/>
  </r>
  <r>
    <x v="16"/>
    <x v="10"/>
    <x v="17"/>
    <x v="3"/>
    <x v="13"/>
  </r>
  <r>
    <x v="0"/>
    <x v="10"/>
    <x v="8"/>
    <x v="3"/>
    <x v="7"/>
  </r>
  <r>
    <x v="0"/>
    <x v="10"/>
    <x v="8"/>
    <x v="3"/>
    <x v="7"/>
  </r>
  <r>
    <x v="112"/>
    <x v="10"/>
    <x v="2"/>
    <x v="3"/>
    <x v="8"/>
  </r>
  <r>
    <x v="27"/>
    <x v="10"/>
    <x v="2"/>
    <x v="3"/>
    <x v="8"/>
  </r>
  <r>
    <x v="31"/>
    <x v="10"/>
    <x v="2"/>
    <x v="3"/>
    <x v="8"/>
  </r>
  <r>
    <x v="0"/>
    <x v="10"/>
    <x v="2"/>
    <x v="3"/>
    <x v="8"/>
  </r>
  <r>
    <x v="58"/>
    <x v="10"/>
    <x v="2"/>
    <x v="3"/>
    <x v="8"/>
  </r>
  <r>
    <x v="19"/>
    <x v="10"/>
    <x v="2"/>
    <x v="3"/>
    <x v="8"/>
  </r>
  <r>
    <x v="339"/>
    <x v="10"/>
    <x v="2"/>
    <x v="3"/>
    <x v="8"/>
  </r>
  <r>
    <x v="5"/>
    <x v="10"/>
    <x v="20"/>
    <x v="3"/>
    <x v="15"/>
  </r>
  <r>
    <x v="0"/>
    <x v="10"/>
    <x v="20"/>
    <x v="3"/>
    <x v="15"/>
  </r>
  <r>
    <x v="0"/>
    <x v="10"/>
    <x v="20"/>
    <x v="3"/>
    <x v="15"/>
  </r>
  <r>
    <x v="60"/>
    <x v="10"/>
    <x v="9"/>
    <x v="3"/>
    <x v="8"/>
  </r>
  <r>
    <x v="120"/>
    <x v="10"/>
    <x v="9"/>
    <x v="3"/>
    <x v="8"/>
  </r>
  <r>
    <x v="132"/>
    <x v="10"/>
    <x v="9"/>
    <x v="3"/>
    <x v="8"/>
  </r>
  <r>
    <x v="72"/>
    <x v="10"/>
    <x v="9"/>
    <x v="3"/>
    <x v="8"/>
  </r>
  <r>
    <x v="27"/>
    <x v="10"/>
    <x v="9"/>
    <x v="3"/>
    <x v="8"/>
  </r>
  <r>
    <x v="48"/>
    <x v="10"/>
    <x v="9"/>
    <x v="3"/>
    <x v="8"/>
  </r>
  <r>
    <x v="138"/>
    <x v="10"/>
    <x v="9"/>
    <x v="3"/>
    <x v="8"/>
  </r>
  <r>
    <x v="299"/>
    <x v="10"/>
    <x v="9"/>
    <x v="3"/>
    <x v="8"/>
  </r>
  <r>
    <x v="46"/>
    <x v="10"/>
    <x v="9"/>
    <x v="3"/>
    <x v="8"/>
  </r>
  <r>
    <x v="0"/>
    <x v="10"/>
    <x v="9"/>
    <x v="3"/>
    <x v="8"/>
  </r>
  <r>
    <x v="30"/>
    <x v="10"/>
    <x v="9"/>
    <x v="3"/>
    <x v="8"/>
  </r>
  <r>
    <x v="118"/>
    <x v="10"/>
    <x v="9"/>
    <x v="3"/>
    <x v="8"/>
  </r>
  <r>
    <x v="443"/>
    <x v="10"/>
    <x v="9"/>
    <x v="3"/>
    <x v="8"/>
  </r>
  <r>
    <x v="365"/>
    <x v="10"/>
    <x v="9"/>
    <x v="3"/>
    <x v="8"/>
  </r>
  <r>
    <x v="153"/>
    <x v="10"/>
    <x v="9"/>
    <x v="3"/>
    <x v="8"/>
  </r>
  <r>
    <x v="17"/>
    <x v="10"/>
    <x v="13"/>
    <x v="3"/>
    <x v="8"/>
  </r>
  <r>
    <x v="78"/>
    <x v="10"/>
    <x v="15"/>
    <x v="3"/>
    <x v="8"/>
  </r>
  <r>
    <x v="340"/>
    <x v="10"/>
    <x v="15"/>
    <x v="3"/>
    <x v="8"/>
  </r>
  <r>
    <x v="316"/>
    <x v="10"/>
    <x v="15"/>
    <x v="3"/>
    <x v="8"/>
  </r>
  <r>
    <x v="384"/>
    <x v="10"/>
    <x v="15"/>
    <x v="3"/>
    <x v="8"/>
  </r>
  <r>
    <x v="568"/>
    <x v="10"/>
    <x v="15"/>
    <x v="3"/>
    <x v="8"/>
  </r>
  <r>
    <x v="0"/>
    <x v="10"/>
    <x v="25"/>
    <x v="3"/>
    <x v="15"/>
  </r>
  <r>
    <x v="0"/>
    <x v="10"/>
    <x v="26"/>
    <x v="3"/>
    <x v="18"/>
  </r>
  <r>
    <x v="0"/>
    <x v="10"/>
    <x v="22"/>
    <x v="3"/>
    <x v="15"/>
  </r>
  <r>
    <x v="24"/>
    <x v="10"/>
    <x v="28"/>
    <x v="3"/>
    <x v="20"/>
  </r>
  <r>
    <x v="19"/>
    <x v="10"/>
    <x v="3"/>
    <x v="3"/>
    <x v="2"/>
  </r>
  <r>
    <x v="102"/>
    <x v="10"/>
    <x v="3"/>
    <x v="3"/>
    <x v="2"/>
  </r>
  <r>
    <x v="0"/>
    <x v="10"/>
    <x v="28"/>
    <x v="3"/>
    <x v="20"/>
  </r>
  <r>
    <x v="317"/>
    <x v="10"/>
    <x v="15"/>
    <x v="3"/>
    <x v="8"/>
  </r>
  <r>
    <x v="444"/>
    <x v="10"/>
    <x v="15"/>
    <x v="3"/>
    <x v="8"/>
  </r>
  <r>
    <x v="8"/>
    <x v="10"/>
    <x v="13"/>
    <x v="3"/>
    <x v="8"/>
  </r>
  <r>
    <x v="215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0"/>
    <x v="10"/>
    <x v="6"/>
    <x v="3"/>
    <x v="5"/>
  </r>
  <r>
    <x v="476"/>
    <x v="20"/>
    <x v="0"/>
    <x v="10"/>
    <x v="0"/>
  </r>
  <r>
    <x v="3"/>
    <x v="20"/>
    <x v="1"/>
    <x v="10"/>
    <x v="1"/>
  </r>
  <r>
    <x v="0"/>
    <x v="20"/>
    <x v="28"/>
    <x v="10"/>
    <x v="20"/>
  </r>
  <r>
    <x v="0"/>
    <x v="20"/>
    <x v="14"/>
    <x v="10"/>
    <x v="11"/>
  </r>
  <r>
    <x v="0"/>
    <x v="20"/>
    <x v="28"/>
    <x v="10"/>
    <x v="20"/>
  </r>
  <r>
    <x v="0"/>
    <x v="20"/>
    <x v="28"/>
    <x v="10"/>
    <x v="20"/>
  </r>
  <r>
    <x v="0"/>
    <x v="20"/>
    <x v="7"/>
    <x v="10"/>
    <x v="6"/>
  </r>
  <r>
    <x v="0"/>
    <x v="20"/>
    <x v="28"/>
    <x v="10"/>
    <x v="20"/>
  </r>
  <r>
    <x v="0"/>
    <x v="20"/>
    <x v="27"/>
    <x v="10"/>
    <x v="19"/>
  </r>
  <r>
    <x v="112"/>
    <x v="20"/>
    <x v="25"/>
    <x v="10"/>
    <x v="15"/>
  </r>
  <r>
    <x v="0"/>
    <x v="20"/>
    <x v="16"/>
    <x v="10"/>
    <x v="12"/>
  </r>
  <r>
    <x v="0"/>
    <x v="20"/>
    <x v="16"/>
    <x v="10"/>
    <x v="12"/>
  </r>
  <r>
    <x v="7"/>
    <x v="20"/>
    <x v="16"/>
    <x v="10"/>
    <x v="12"/>
  </r>
  <r>
    <x v="0"/>
    <x v="20"/>
    <x v="23"/>
    <x v="10"/>
    <x v="15"/>
  </r>
  <r>
    <x v="46"/>
    <x v="20"/>
    <x v="23"/>
    <x v="10"/>
    <x v="15"/>
  </r>
  <r>
    <x v="45"/>
    <x v="20"/>
    <x v="19"/>
    <x v="10"/>
    <x v="15"/>
  </r>
  <r>
    <x v="244"/>
    <x v="20"/>
    <x v="25"/>
    <x v="10"/>
    <x v="15"/>
  </r>
  <r>
    <x v="155"/>
    <x v="20"/>
    <x v="12"/>
    <x v="10"/>
    <x v="15"/>
  </r>
  <r>
    <x v="261"/>
    <x v="20"/>
    <x v="12"/>
    <x v="10"/>
    <x v="15"/>
  </r>
  <r>
    <x v="229"/>
    <x v="20"/>
    <x v="19"/>
    <x v="10"/>
    <x v="15"/>
  </r>
  <r>
    <x v="99"/>
    <x v="20"/>
    <x v="12"/>
    <x v="10"/>
    <x v="15"/>
  </r>
  <r>
    <x v="211"/>
    <x v="20"/>
    <x v="12"/>
    <x v="10"/>
    <x v="15"/>
  </r>
  <r>
    <x v="79"/>
    <x v="20"/>
    <x v="19"/>
    <x v="10"/>
    <x v="15"/>
  </r>
  <r>
    <x v="0"/>
    <x v="20"/>
    <x v="24"/>
    <x v="10"/>
    <x v="17"/>
  </r>
  <r>
    <x v="0"/>
    <x v="20"/>
    <x v="11"/>
    <x v="10"/>
    <x v="10"/>
  </r>
  <r>
    <x v="0"/>
    <x v="20"/>
    <x v="11"/>
    <x v="10"/>
    <x v="10"/>
  </r>
  <r>
    <x v="0"/>
    <x v="20"/>
    <x v="28"/>
    <x v="10"/>
    <x v="20"/>
  </r>
  <r>
    <x v="0"/>
    <x v="20"/>
    <x v="28"/>
    <x v="10"/>
    <x v="20"/>
  </r>
  <r>
    <x v="4"/>
    <x v="20"/>
    <x v="16"/>
    <x v="10"/>
    <x v="12"/>
  </r>
  <r>
    <x v="8"/>
    <x v="20"/>
    <x v="16"/>
    <x v="10"/>
    <x v="12"/>
  </r>
  <r>
    <x v="0"/>
    <x v="20"/>
    <x v="10"/>
    <x v="10"/>
    <x v="9"/>
  </r>
  <r>
    <x v="0"/>
    <x v="20"/>
    <x v="28"/>
    <x v="10"/>
    <x v="20"/>
  </r>
  <r>
    <x v="0"/>
    <x v="20"/>
    <x v="21"/>
    <x v="10"/>
    <x v="16"/>
  </r>
  <r>
    <x v="0"/>
    <x v="20"/>
    <x v="18"/>
    <x v="10"/>
    <x v="14"/>
  </r>
  <r>
    <x v="0"/>
    <x v="20"/>
    <x v="18"/>
    <x v="10"/>
    <x v="14"/>
  </r>
  <r>
    <x v="0"/>
    <x v="20"/>
    <x v="18"/>
    <x v="10"/>
    <x v="14"/>
  </r>
  <r>
    <x v="0"/>
    <x v="20"/>
    <x v="18"/>
    <x v="10"/>
    <x v="14"/>
  </r>
  <r>
    <x v="0"/>
    <x v="20"/>
    <x v="18"/>
    <x v="10"/>
    <x v="14"/>
  </r>
  <r>
    <x v="0"/>
    <x v="20"/>
    <x v="17"/>
    <x v="10"/>
    <x v="13"/>
  </r>
  <r>
    <x v="0"/>
    <x v="20"/>
    <x v="17"/>
    <x v="10"/>
    <x v="13"/>
  </r>
  <r>
    <x v="0"/>
    <x v="20"/>
    <x v="8"/>
    <x v="10"/>
    <x v="7"/>
  </r>
  <r>
    <x v="0"/>
    <x v="20"/>
    <x v="8"/>
    <x v="10"/>
    <x v="7"/>
  </r>
  <r>
    <x v="0"/>
    <x v="20"/>
    <x v="2"/>
    <x v="10"/>
    <x v="8"/>
  </r>
  <r>
    <x v="0"/>
    <x v="20"/>
    <x v="2"/>
    <x v="10"/>
    <x v="8"/>
  </r>
  <r>
    <x v="0"/>
    <x v="20"/>
    <x v="2"/>
    <x v="10"/>
    <x v="8"/>
  </r>
  <r>
    <x v="0"/>
    <x v="20"/>
    <x v="2"/>
    <x v="10"/>
    <x v="8"/>
  </r>
  <r>
    <x v="0"/>
    <x v="20"/>
    <x v="2"/>
    <x v="10"/>
    <x v="8"/>
  </r>
  <r>
    <x v="0"/>
    <x v="20"/>
    <x v="2"/>
    <x v="10"/>
    <x v="8"/>
  </r>
  <r>
    <x v="13"/>
    <x v="20"/>
    <x v="2"/>
    <x v="10"/>
    <x v="8"/>
  </r>
  <r>
    <x v="9"/>
    <x v="20"/>
    <x v="20"/>
    <x v="10"/>
    <x v="15"/>
  </r>
  <r>
    <x v="7"/>
    <x v="20"/>
    <x v="20"/>
    <x v="10"/>
    <x v="15"/>
  </r>
  <r>
    <x v="22"/>
    <x v="20"/>
    <x v="20"/>
    <x v="10"/>
    <x v="15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6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9"/>
    <x v="10"/>
    <x v="8"/>
  </r>
  <r>
    <x v="0"/>
    <x v="20"/>
    <x v="13"/>
    <x v="10"/>
    <x v="8"/>
  </r>
  <r>
    <x v="0"/>
    <x v="20"/>
    <x v="15"/>
    <x v="10"/>
    <x v="8"/>
  </r>
  <r>
    <x v="0"/>
    <x v="20"/>
    <x v="15"/>
    <x v="10"/>
    <x v="8"/>
  </r>
  <r>
    <x v="0"/>
    <x v="20"/>
    <x v="15"/>
    <x v="10"/>
    <x v="8"/>
  </r>
  <r>
    <x v="0"/>
    <x v="20"/>
    <x v="15"/>
    <x v="10"/>
    <x v="8"/>
  </r>
  <r>
    <x v="0"/>
    <x v="20"/>
    <x v="15"/>
    <x v="10"/>
    <x v="8"/>
  </r>
  <r>
    <x v="390"/>
    <x v="20"/>
    <x v="25"/>
    <x v="10"/>
    <x v="15"/>
  </r>
  <r>
    <x v="0"/>
    <x v="20"/>
    <x v="26"/>
    <x v="10"/>
    <x v="18"/>
  </r>
  <r>
    <x v="0"/>
    <x v="20"/>
    <x v="22"/>
    <x v="10"/>
    <x v="15"/>
  </r>
  <r>
    <x v="0"/>
    <x v="20"/>
    <x v="28"/>
    <x v="10"/>
    <x v="20"/>
  </r>
  <r>
    <x v="0"/>
    <x v="20"/>
    <x v="3"/>
    <x v="10"/>
    <x v="2"/>
  </r>
  <r>
    <x v="0"/>
    <x v="20"/>
    <x v="3"/>
    <x v="10"/>
    <x v="2"/>
  </r>
  <r>
    <x v="0"/>
    <x v="20"/>
    <x v="28"/>
    <x v="10"/>
    <x v="20"/>
  </r>
  <r>
    <x v="0"/>
    <x v="20"/>
    <x v="15"/>
    <x v="10"/>
    <x v="8"/>
  </r>
  <r>
    <x v="0"/>
    <x v="20"/>
    <x v="15"/>
    <x v="10"/>
    <x v="8"/>
  </r>
  <r>
    <x v="0"/>
    <x v="20"/>
    <x v="13"/>
    <x v="10"/>
    <x v="8"/>
  </r>
  <r>
    <x v="0"/>
    <x v="20"/>
    <x v="2"/>
    <x v="10"/>
    <x v="8"/>
  </r>
  <r>
    <x v="0"/>
    <x v="20"/>
    <x v="24"/>
    <x v="10"/>
    <x v="17"/>
  </r>
  <r>
    <x v="0"/>
    <x v="20"/>
    <x v="4"/>
    <x v="10"/>
    <x v="3"/>
  </r>
  <r>
    <x v="0"/>
    <x v="20"/>
    <x v="5"/>
    <x v="10"/>
    <x v="4"/>
  </r>
  <r>
    <x v="23"/>
    <x v="20"/>
    <x v="6"/>
    <x v="10"/>
    <x v="5"/>
  </r>
  <r>
    <x v="559"/>
    <x v="7"/>
    <x v="0"/>
    <x v="10"/>
    <x v="0"/>
  </r>
  <r>
    <x v="0"/>
    <x v="7"/>
    <x v="1"/>
    <x v="10"/>
    <x v="1"/>
  </r>
  <r>
    <x v="6"/>
    <x v="7"/>
    <x v="28"/>
    <x v="10"/>
    <x v="20"/>
  </r>
  <r>
    <x v="0"/>
    <x v="7"/>
    <x v="14"/>
    <x v="10"/>
    <x v="11"/>
  </r>
  <r>
    <x v="0"/>
    <x v="7"/>
    <x v="28"/>
    <x v="10"/>
    <x v="20"/>
  </r>
  <r>
    <x v="0"/>
    <x v="7"/>
    <x v="28"/>
    <x v="10"/>
    <x v="20"/>
  </r>
  <r>
    <x v="5"/>
    <x v="7"/>
    <x v="7"/>
    <x v="10"/>
    <x v="6"/>
  </r>
  <r>
    <x v="0"/>
    <x v="7"/>
    <x v="28"/>
    <x v="10"/>
    <x v="20"/>
  </r>
  <r>
    <x v="0"/>
    <x v="7"/>
    <x v="27"/>
    <x v="10"/>
    <x v="19"/>
  </r>
  <r>
    <x v="0"/>
    <x v="7"/>
    <x v="25"/>
    <x v="10"/>
    <x v="15"/>
  </r>
  <r>
    <x v="0"/>
    <x v="7"/>
    <x v="16"/>
    <x v="10"/>
    <x v="12"/>
  </r>
  <r>
    <x v="9"/>
    <x v="7"/>
    <x v="16"/>
    <x v="10"/>
    <x v="12"/>
  </r>
  <r>
    <x v="6"/>
    <x v="7"/>
    <x v="16"/>
    <x v="10"/>
    <x v="12"/>
  </r>
  <r>
    <x v="9"/>
    <x v="7"/>
    <x v="23"/>
    <x v="10"/>
    <x v="15"/>
  </r>
  <r>
    <x v="13"/>
    <x v="7"/>
    <x v="23"/>
    <x v="10"/>
    <x v="15"/>
  </r>
  <r>
    <x v="73"/>
    <x v="7"/>
    <x v="19"/>
    <x v="10"/>
    <x v="15"/>
  </r>
  <r>
    <x v="16"/>
    <x v="7"/>
    <x v="25"/>
    <x v="10"/>
    <x v="15"/>
  </r>
  <r>
    <x v="121"/>
    <x v="7"/>
    <x v="12"/>
    <x v="10"/>
    <x v="15"/>
  </r>
  <r>
    <x v="280"/>
    <x v="7"/>
    <x v="12"/>
    <x v="10"/>
    <x v="15"/>
  </r>
  <r>
    <x v="413"/>
    <x v="7"/>
    <x v="19"/>
    <x v="10"/>
    <x v="15"/>
  </r>
  <r>
    <x v="375"/>
    <x v="7"/>
    <x v="12"/>
    <x v="10"/>
    <x v="15"/>
  </r>
  <r>
    <x v="530"/>
    <x v="7"/>
    <x v="12"/>
    <x v="10"/>
    <x v="15"/>
  </r>
  <r>
    <x v="224"/>
    <x v="7"/>
    <x v="19"/>
    <x v="10"/>
    <x v="15"/>
  </r>
  <r>
    <x v="18"/>
    <x v="7"/>
    <x v="24"/>
    <x v="10"/>
    <x v="17"/>
  </r>
  <r>
    <x v="6"/>
    <x v="7"/>
    <x v="11"/>
    <x v="10"/>
    <x v="10"/>
  </r>
  <r>
    <x v="0"/>
    <x v="7"/>
    <x v="11"/>
    <x v="10"/>
    <x v="10"/>
  </r>
  <r>
    <x v="0"/>
    <x v="7"/>
    <x v="28"/>
    <x v="10"/>
    <x v="20"/>
  </r>
  <r>
    <x v="0"/>
    <x v="7"/>
    <x v="28"/>
    <x v="10"/>
    <x v="20"/>
  </r>
  <r>
    <x v="13"/>
    <x v="7"/>
    <x v="16"/>
    <x v="10"/>
    <x v="12"/>
  </r>
  <r>
    <x v="10"/>
    <x v="7"/>
    <x v="16"/>
    <x v="10"/>
    <x v="12"/>
  </r>
  <r>
    <x v="0"/>
    <x v="7"/>
    <x v="10"/>
    <x v="10"/>
    <x v="9"/>
  </r>
  <r>
    <x v="0"/>
    <x v="7"/>
    <x v="28"/>
    <x v="10"/>
    <x v="20"/>
  </r>
  <r>
    <x v="0"/>
    <x v="7"/>
    <x v="21"/>
    <x v="10"/>
    <x v="16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8"/>
    <x v="10"/>
    <x v="14"/>
  </r>
  <r>
    <x v="0"/>
    <x v="7"/>
    <x v="17"/>
    <x v="10"/>
    <x v="13"/>
  </r>
  <r>
    <x v="0"/>
    <x v="7"/>
    <x v="17"/>
    <x v="10"/>
    <x v="13"/>
  </r>
  <r>
    <x v="0"/>
    <x v="7"/>
    <x v="8"/>
    <x v="10"/>
    <x v="7"/>
  </r>
  <r>
    <x v="0"/>
    <x v="7"/>
    <x v="8"/>
    <x v="10"/>
    <x v="7"/>
  </r>
  <r>
    <x v="0"/>
    <x v="7"/>
    <x v="2"/>
    <x v="10"/>
    <x v="8"/>
  </r>
  <r>
    <x v="0"/>
    <x v="7"/>
    <x v="2"/>
    <x v="10"/>
    <x v="8"/>
  </r>
  <r>
    <x v="0"/>
    <x v="7"/>
    <x v="2"/>
    <x v="10"/>
    <x v="8"/>
  </r>
  <r>
    <x v="0"/>
    <x v="7"/>
    <x v="2"/>
    <x v="10"/>
    <x v="8"/>
  </r>
  <r>
    <x v="0"/>
    <x v="7"/>
    <x v="2"/>
    <x v="10"/>
    <x v="8"/>
  </r>
  <r>
    <x v="0"/>
    <x v="7"/>
    <x v="2"/>
    <x v="10"/>
    <x v="8"/>
  </r>
  <r>
    <x v="0"/>
    <x v="7"/>
    <x v="2"/>
    <x v="10"/>
    <x v="8"/>
  </r>
  <r>
    <x v="65"/>
    <x v="7"/>
    <x v="20"/>
    <x v="10"/>
    <x v="15"/>
  </r>
  <r>
    <x v="25"/>
    <x v="7"/>
    <x v="20"/>
    <x v="10"/>
    <x v="15"/>
  </r>
  <r>
    <x v="64"/>
    <x v="7"/>
    <x v="20"/>
    <x v="10"/>
    <x v="15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6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0"/>
    <x v="7"/>
    <x v="9"/>
    <x v="10"/>
    <x v="8"/>
  </r>
  <r>
    <x v="18"/>
    <x v="7"/>
    <x v="9"/>
    <x v="10"/>
    <x v="8"/>
  </r>
  <r>
    <x v="0"/>
    <x v="7"/>
    <x v="9"/>
    <x v="10"/>
    <x v="8"/>
  </r>
  <r>
    <x v="0"/>
    <x v="7"/>
    <x v="13"/>
    <x v="10"/>
    <x v="8"/>
  </r>
  <r>
    <x v="0"/>
    <x v="7"/>
    <x v="15"/>
    <x v="10"/>
    <x v="8"/>
  </r>
  <r>
    <x v="0"/>
    <x v="7"/>
    <x v="15"/>
    <x v="10"/>
    <x v="8"/>
  </r>
  <r>
    <x v="0"/>
    <x v="7"/>
    <x v="15"/>
    <x v="10"/>
    <x v="8"/>
  </r>
  <r>
    <x v="0"/>
    <x v="7"/>
    <x v="15"/>
    <x v="10"/>
    <x v="8"/>
  </r>
  <r>
    <x v="0"/>
    <x v="7"/>
    <x v="15"/>
    <x v="10"/>
    <x v="8"/>
  </r>
  <r>
    <x v="26"/>
    <x v="7"/>
    <x v="25"/>
    <x v="10"/>
    <x v="15"/>
  </r>
  <r>
    <x v="0"/>
    <x v="7"/>
    <x v="26"/>
    <x v="10"/>
    <x v="18"/>
  </r>
  <r>
    <x v="0"/>
    <x v="7"/>
    <x v="22"/>
    <x v="10"/>
    <x v="15"/>
  </r>
  <r>
    <x v="0"/>
    <x v="7"/>
    <x v="28"/>
    <x v="10"/>
    <x v="20"/>
  </r>
  <r>
    <x v="0"/>
    <x v="7"/>
    <x v="3"/>
    <x v="10"/>
    <x v="2"/>
  </r>
  <r>
    <x v="0"/>
    <x v="7"/>
    <x v="3"/>
    <x v="10"/>
    <x v="2"/>
  </r>
  <r>
    <x v="0"/>
    <x v="7"/>
    <x v="28"/>
    <x v="10"/>
    <x v="20"/>
  </r>
  <r>
    <x v="0"/>
    <x v="7"/>
    <x v="15"/>
    <x v="10"/>
    <x v="8"/>
  </r>
  <r>
    <x v="0"/>
    <x v="7"/>
    <x v="15"/>
    <x v="10"/>
    <x v="8"/>
  </r>
  <r>
    <x v="0"/>
    <x v="7"/>
    <x v="13"/>
    <x v="10"/>
    <x v="8"/>
  </r>
  <r>
    <x v="0"/>
    <x v="7"/>
    <x v="2"/>
    <x v="10"/>
    <x v="8"/>
  </r>
  <r>
    <x v="10"/>
    <x v="7"/>
    <x v="24"/>
    <x v="10"/>
    <x v="17"/>
  </r>
  <r>
    <x v="0"/>
    <x v="7"/>
    <x v="4"/>
    <x v="10"/>
    <x v="3"/>
  </r>
  <r>
    <x v="0"/>
    <x v="7"/>
    <x v="5"/>
    <x v="10"/>
    <x v="4"/>
  </r>
  <r>
    <x v="0"/>
    <x v="7"/>
    <x v="6"/>
    <x v="10"/>
    <x v="5"/>
  </r>
  <r>
    <x v="558"/>
    <x v="21"/>
    <x v="0"/>
    <x v="13"/>
    <x v="0"/>
  </r>
  <r>
    <x v="0"/>
    <x v="21"/>
    <x v="1"/>
    <x v="13"/>
    <x v="1"/>
  </r>
  <r>
    <x v="8"/>
    <x v="21"/>
    <x v="28"/>
    <x v="13"/>
    <x v="20"/>
  </r>
  <r>
    <x v="0"/>
    <x v="21"/>
    <x v="14"/>
    <x v="13"/>
    <x v="11"/>
  </r>
  <r>
    <x v="0"/>
    <x v="21"/>
    <x v="28"/>
    <x v="13"/>
    <x v="20"/>
  </r>
  <r>
    <x v="0"/>
    <x v="21"/>
    <x v="28"/>
    <x v="13"/>
    <x v="20"/>
  </r>
  <r>
    <x v="0"/>
    <x v="21"/>
    <x v="7"/>
    <x v="13"/>
    <x v="6"/>
  </r>
  <r>
    <x v="0"/>
    <x v="21"/>
    <x v="28"/>
    <x v="13"/>
    <x v="20"/>
  </r>
  <r>
    <x v="0"/>
    <x v="21"/>
    <x v="27"/>
    <x v="13"/>
    <x v="19"/>
  </r>
  <r>
    <x v="0"/>
    <x v="21"/>
    <x v="25"/>
    <x v="13"/>
    <x v="15"/>
  </r>
  <r>
    <x v="0"/>
    <x v="21"/>
    <x v="16"/>
    <x v="13"/>
    <x v="12"/>
  </r>
  <r>
    <x v="0"/>
    <x v="21"/>
    <x v="16"/>
    <x v="13"/>
    <x v="12"/>
  </r>
  <r>
    <x v="0"/>
    <x v="21"/>
    <x v="16"/>
    <x v="13"/>
    <x v="12"/>
  </r>
  <r>
    <x v="0"/>
    <x v="21"/>
    <x v="23"/>
    <x v="13"/>
    <x v="15"/>
  </r>
  <r>
    <x v="0"/>
    <x v="21"/>
    <x v="23"/>
    <x v="13"/>
    <x v="15"/>
  </r>
  <r>
    <x v="0"/>
    <x v="21"/>
    <x v="19"/>
    <x v="13"/>
    <x v="15"/>
  </r>
  <r>
    <x v="0"/>
    <x v="21"/>
    <x v="25"/>
    <x v="13"/>
    <x v="15"/>
  </r>
  <r>
    <x v="0"/>
    <x v="21"/>
    <x v="12"/>
    <x v="13"/>
    <x v="15"/>
  </r>
  <r>
    <x v="7"/>
    <x v="21"/>
    <x v="12"/>
    <x v="13"/>
    <x v="15"/>
  </r>
  <r>
    <x v="7"/>
    <x v="21"/>
    <x v="19"/>
    <x v="13"/>
    <x v="15"/>
  </r>
  <r>
    <x v="0"/>
    <x v="21"/>
    <x v="12"/>
    <x v="13"/>
    <x v="15"/>
  </r>
  <r>
    <x v="0"/>
    <x v="21"/>
    <x v="12"/>
    <x v="13"/>
    <x v="15"/>
  </r>
  <r>
    <x v="0"/>
    <x v="21"/>
    <x v="19"/>
    <x v="13"/>
    <x v="15"/>
  </r>
  <r>
    <x v="9"/>
    <x v="21"/>
    <x v="24"/>
    <x v="13"/>
    <x v="17"/>
  </r>
  <r>
    <x v="0"/>
    <x v="21"/>
    <x v="11"/>
    <x v="13"/>
    <x v="10"/>
  </r>
  <r>
    <x v="0"/>
    <x v="21"/>
    <x v="11"/>
    <x v="13"/>
    <x v="10"/>
  </r>
  <r>
    <x v="0"/>
    <x v="21"/>
    <x v="28"/>
    <x v="13"/>
    <x v="20"/>
  </r>
  <r>
    <x v="0"/>
    <x v="21"/>
    <x v="28"/>
    <x v="13"/>
    <x v="20"/>
  </r>
  <r>
    <x v="0"/>
    <x v="21"/>
    <x v="16"/>
    <x v="13"/>
    <x v="12"/>
  </r>
  <r>
    <x v="0"/>
    <x v="21"/>
    <x v="16"/>
    <x v="13"/>
    <x v="12"/>
  </r>
  <r>
    <x v="0"/>
    <x v="21"/>
    <x v="10"/>
    <x v="13"/>
    <x v="9"/>
  </r>
  <r>
    <x v="148"/>
    <x v="21"/>
    <x v="28"/>
    <x v="13"/>
    <x v="20"/>
  </r>
  <r>
    <x v="0"/>
    <x v="21"/>
    <x v="21"/>
    <x v="13"/>
    <x v="16"/>
  </r>
  <r>
    <x v="0"/>
    <x v="21"/>
    <x v="18"/>
    <x v="13"/>
    <x v="14"/>
  </r>
  <r>
    <x v="0"/>
    <x v="21"/>
    <x v="18"/>
    <x v="13"/>
    <x v="14"/>
  </r>
  <r>
    <x v="0"/>
    <x v="21"/>
    <x v="18"/>
    <x v="13"/>
    <x v="14"/>
  </r>
  <r>
    <x v="0"/>
    <x v="21"/>
    <x v="18"/>
    <x v="13"/>
    <x v="14"/>
  </r>
  <r>
    <x v="0"/>
    <x v="21"/>
    <x v="18"/>
    <x v="13"/>
    <x v="14"/>
  </r>
  <r>
    <x v="5"/>
    <x v="21"/>
    <x v="17"/>
    <x v="13"/>
    <x v="13"/>
  </r>
  <r>
    <x v="0"/>
    <x v="21"/>
    <x v="17"/>
    <x v="13"/>
    <x v="13"/>
  </r>
  <r>
    <x v="97"/>
    <x v="21"/>
    <x v="8"/>
    <x v="13"/>
    <x v="7"/>
  </r>
  <r>
    <x v="225"/>
    <x v="21"/>
    <x v="8"/>
    <x v="13"/>
    <x v="7"/>
  </r>
  <r>
    <x v="0"/>
    <x v="21"/>
    <x v="2"/>
    <x v="13"/>
    <x v="8"/>
  </r>
  <r>
    <x v="10"/>
    <x v="21"/>
    <x v="2"/>
    <x v="13"/>
    <x v="8"/>
  </r>
  <r>
    <x v="0"/>
    <x v="21"/>
    <x v="2"/>
    <x v="13"/>
    <x v="8"/>
  </r>
  <r>
    <x v="0"/>
    <x v="21"/>
    <x v="2"/>
    <x v="13"/>
    <x v="8"/>
  </r>
  <r>
    <x v="0"/>
    <x v="21"/>
    <x v="2"/>
    <x v="13"/>
    <x v="8"/>
  </r>
  <r>
    <x v="0"/>
    <x v="21"/>
    <x v="2"/>
    <x v="13"/>
    <x v="8"/>
  </r>
  <r>
    <x v="0"/>
    <x v="21"/>
    <x v="2"/>
    <x v="13"/>
    <x v="8"/>
  </r>
  <r>
    <x v="7"/>
    <x v="21"/>
    <x v="20"/>
    <x v="13"/>
    <x v="15"/>
  </r>
  <r>
    <x v="0"/>
    <x v="21"/>
    <x v="20"/>
    <x v="13"/>
    <x v="15"/>
  </r>
  <r>
    <x v="0"/>
    <x v="21"/>
    <x v="20"/>
    <x v="13"/>
    <x v="15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0"/>
    <x v="21"/>
    <x v="9"/>
    <x v="13"/>
    <x v="8"/>
  </r>
  <r>
    <x v="18"/>
    <x v="21"/>
    <x v="9"/>
    <x v="13"/>
    <x v="8"/>
  </r>
  <r>
    <x v="20"/>
    <x v="21"/>
    <x v="9"/>
    <x v="13"/>
    <x v="8"/>
  </r>
  <r>
    <x v="0"/>
    <x v="21"/>
    <x v="9"/>
    <x v="13"/>
    <x v="8"/>
  </r>
  <r>
    <x v="0"/>
    <x v="21"/>
    <x v="13"/>
    <x v="13"/>
    <x v="8"/>
  </r>
  <r>
    <x v="0"/>
    <x v="21"/>
    <x v="15"/>
    <x v="13"/>
    <x v="8"/>
  </r>
  <r>
    <x v="10"/>
    <x v="21"/>
    <x v="15"/>
    <x v="13"/>
    <x v="8"/>
  </r>
  <r>
    <x v="0"/>
    <x v="21"/>
    <x v="15"/>
    <x v="13"/>
    <x v="8"/>
  </r>
  <r>
    <x v="0"/>
    <x v="21"/>
    <x v="15"/>
    <x v="13"/>
    <x v="8"/>
  </r>
  <r>
    <x v="0"/>
    <x v="21"/>
    <x v="15"/>
    <x v="13"/>
    <x v="8"/>
  </r>
  <r>
    <x v="0"/>
    <x v="21"/>
    <x v="25"/>
    <x v="13"/>
    <x v="15"/>
  </r>
  <r>
    <x v="534"/>
    <x v="21"/>
    <x v="26"/>
    <x v="13"/>
    <x v="18"/>
  </r>
  <r>
    <x v="0"/>
    <x v="21"/>
    <x v="22"/>
    <x v="13"/>
    <x v="15"/>
  </r>
  <r>
    <x v="0"/>
    <x v="21"/>
    <x v="28"/>
    <x v="13"/>
    <x v="20"/>
  </r>
  <r>
    <x v="7"/>
    <x v="21"/>
    <x v="3"/>
    <x v="13"/>
    <x v="2"/>
  </r>
  <r>
    <x v="162"/>
    <x v="21"/>
    <x v="3"/>
    <x v="13"/>
    <x v="2"/>
  </r>
  <r>
    <x v="5"/>
    <x v="21"/>
    <x v="28"/>
    <x v="13"/>
    <x v="20"/>
  </r>
  <r>
    <x v="0"/>
    <x v="21"/>
    <x v="15"/>
    <x v="13"/>
    <x v="8"/>
  </r>
  <r>
    <x v="0"/>
    <x v="21"/>
    <x v="15"/>
    <x v="13"/>
    <x v="8"/>
  </r>
  <r>
    <x v="0"/>
    <x v="21"/>
    <x v="13"/>
    <x v="13"/>
    <x v="8"/>
  </r>
  <r>
    <x v="11"/>
    <x v="21"/>
    <x v="2"/>
    <x v="13"/>
    <x v="8"/>
  </r>
  <r>
    <x v="0"/>
    <x v="21"/>
    <x v="24"/>
    <x v="13"/>
    <x v="17"/>
  </r>
  <r>
    <x v="0"/>
    <x v="21"/>
    <x v="4"/>
    <x v="13"/>
    <x v="3"/>
  </r>
  <r>
    <x v="0"/>
    <x v="21"/>
    <x v="5"/>
    <x v="13"/>
    <x v="4"/>
  </r>
  <r>
    <x v="7"/>
    <x v="21"/>
    <x v="6"/>
    <x v="13"/>
    <x v="5"/>
  </r>
  <r>
    <x v="540"/>
    <x v="17"/>
    <x v="0"/>
    <x v="10"/>
    <x v="0"/>
  </r>
  <r>
    <x v="0"/>
    <x v="17"/>
    <x v="1"/>
    <x v="10"/>
    <x v="1"/>
  </r>
  <r>
    <x v="0"/>
    <x v="17"/>
    <x v="28"/>
    <x v="10"/>
    <x v="20"/>
  </r>
  <r>
    <x v="0"/>
    <x v="17"/>
    <x v="14"/>
    <x v="10"/>
    <x v="11"/>
  </r>
  <r>
    <x v="11"/>
    <x v="17"/>
    <x v="28"/>
    <x v="10"/>
    <x v="20"/>
  </r>
  <r>
    <x v="0"/>
    <x v="17"/>
    <x v="28"/>
    <x v="10"/>
    <x v="20"/>
  </r>
  <r>
    <x v="0"/>
    <x v="17"/>
    <x v="7"/>
    <x v="10"/>
    <x v="6"/>
  </r>
  <r>
    <x v="0"/>
    <x v="17"/>
    <x v="28"/>
    <x v="10"/>
    <x v="20"/>
  </r>
  <r>
    <x v="0"/>
    <x v="17"/>
    <x v="27"/>
    <x v="10"/>
    <x v="19"/>
  </r>
  <r>
    <x v="0"/>
    <x v="17"/>
    <x v="25"/>
    <x v="10"/>
    <x v="15"/>
  </r>
  <r>
    <x v="0"/>
    <x v="17"/>
    <x v="16"/>
    <x v="10"/>
    <x v="12"/>
  </r>
  <r>
    <x v="0"/>
    <x v="17"/>
    <x v="16"/>
    <x v="10"/>
    <x v="12"/>
  </r>
  <r>
    <x v="0"/>
    <x v="17"/>
    <x v="16"/>
    <x v="10"/>
    <x v="12"/>
  </r>
  <r>
    <x v="0"/>
    <x v="17"/>
    <x v="23"/>
    <x v="10"/>
    <x v="15"/>
  </r>
  <r>
    <x v="0"/>
    <x v="17"/>
    <x v="23"/>
    <x v="10"/>
    <x v="15"/>
  </r>
  <r>
    <x v="0"/>
    <x v="17"/>
    <x v="19"/>
    <x v="10"/>
    <x v="15"/>
  </r>
  <r>
    <x v="0"/>
    <x v="17"/>
    <x v="25"/>
    <x v="10"/>
    <x v="15"/>
  </r>
  <r>
    <x v="0"/>
    <x v="17"/>
    <x v="12"/>
    <x v="10"/>
    <x v="15"/>
  </r>
  <r>
    <x v="14"/>
    <x v="17"/>
    <x v="12"/>
    <x v="10"/>
    <x v="15"/>
  </r>
  <r>
    <x v="44"/>
    <x v="17"/>
    <x v="19"/>
    <x v="10"/>
    <x v="15"/>
  </r>
  <r>
    <x v="7"/>
    <x v="17"/>
    <x v="12"/>
    <x v="10"/>
    <x v="15"/>
  </r>
  <r>
    <x v="59"/>
    <x v="17"/>
    <x v="12"/>
    <x v="10"/>
    <x v="15"/>
  </r>
  <r>
    <x v="113"/>
    <x v="17"/>
    <x v="19"/>
    <x v="10"/>
    <x v="15"/>
  </r>
  <r>
    <x v="0"/>
    <x v="17"/>
    <x v="24"/>
    <x v="10"/>
    <x v="17"/>
  </r>
  <r>
    <x v="0"/>
    <x v="17"/>
    <x v="11"/>
    <x v="10"/>
    <x v="10"/>
  </r>
  <r>
    <x v="8"/>
    <x v="17"/>
    <x v="11"/>
    <x v="10"/>
    <x v="10"/>
  </r>
  <r>
    <x v="0"/>
    <x v="17"/>
    <x v="28"/>
    <x v="10"/>
    <x v="20"/>
  </r>
  <r>
    <x v="8"/>
    <x v="17"/>
    <x v="28"/>
    <x v="10"/>
    <x v="20"/>
  </r>
  <r>
    <x v="0"/>
    <x v="17"/>
    <x v="16"/>
    <x v="10"/>
    <x v="12"/>
  </r>
  <r>
    <x v="0"/>
    <x v="17"/>
    <x v="16"/>
    <x v="10"/>
    <x v="12"/>
  </r>
  <r>
    <x v="0"/>
    <x v="17"/>
    <x v="10"/>
    <x v="10"/>
    <x v="9"/>
  </r>
  <r>
    <x v="0"/>
    <x v="17"/>
    <x v="28"/>
    <x v="10"/>
    <x v="20"/>
  </r>
  <r>
    <x v="0"/>
    <x v="17"/>
    <x v="21"/>
    <x v="10"/>
    <x v="16"/>
  </r>
  <r>
    <x v="7"/>
    <x v="17"/>
    <x v="18"/>
    <x v="10"/>
    <x v="14"/>
  </r>
  <r>
    <x v="0"/>
    <x v="17"/>
    <x v="18"/>
    <x v="10"/>
    <x v="14"/>
  </r>
  <r>
    <x v="0"/>
    <x v="17"/>
    <x v="18"/>
    <x v="10"/>
    <x v="14"/>
  </r>
  <r>
    <x v="0"/>
    <x v="17"/>
    <x v="18"/>
    <x v="10"/>
    <x v="14"/>
  </r>
  <r>
    <x v="0"/>
    <x v="17"/>
    <x v="18"/>
    <x v="10"/>
    <x v="14"/>
  </r>
  <r>
    <x v="87"/>
    <x v="17"/>
    <x v="17"/>
    <x v="10"/>
    <x v="13"/>
  </r>
  <r>
    <x v="189"/>
    <x v="17"/>
    <x v="17"/>
    <x v="10"/>
    <x v="13"/>
  </r>
  <r>
    <x v="0"/>
    <x v="17"/>
    <x v="8"/>
    <x v="10"/>
    <x v="7"/>
  </r>
  <r>
    <x v="4"/>
    <x v="17"/>
    <x v="8"/>
    <x v="10"/>
    <x v="7"/>
  </r>
  <r>
    <x v="0"/>
    <x v="17"/>
    <x v="2"/>
    <x v="10"/>
    <x v="8"/>
  </r>
  <r>
    <x v="0"/>
    <x v="17"/>
    <x v="2"/>
    <x v="10"/>
    <x v="8"/>
  </r>
  <r>
    <x v="0"/>
    <x v="17"/>
    <x v="2"/>
    <x v="10"/>
    <x v="8"/>
  </r>
  <r>
    <x v="0"/>
    <x v="17"/>
    <x v="2"/>
    <x v="10"/>
    <x v="8"/>
  </r>
  <r>
    <x v="0"/>
    <x v="17"/>
    <x v="2"/>
    <x v="10"/>
    <x v="8"/>
  </r>
  <r>
    <x v="0"/>
    <x v="17"/>
    <x v="2"/>
    <x v="10"/>
    <x v="8"/>
  </r>
  <r>
    <x v="0"/>
    <x v="17"/>
    <x v="2"/>
    <x v="10"/>
    <x v="8"/>
  </r>
  <r>
    <x v="273"/>
    <x v="17"/>
    <x v="20"/>
    <x v="10"/>
    <x v="15"/>
  </r>
  <r>
    <x v="109"/>
    <x v="17"/>
    <x v="20"/>
    <x v="10"/>
    <x v="15"/>
  </r>
  <r>
    <x v="263"/>
    <x v="17"/>
    <x v="20"/>
    <x v="10"/>
    <x v="15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0"/>
    <x v="17"/>
    <x v="9"/>
    <x v="10"/>
    <x v="8"/>
  </r>
  <r>
    <x v="19"/>
    <x v="17"/>
    <x v="9"/>
    <x v="10"/>
    <x v="8"/>
  </r>
  <r>
    <x v="0"/>
    <x v="17"/>
    <x v="9"/>
    <x v="10"/>
    <x v="8"/>
  </r>
  <r>
    <x v="0"/>
    <x v="17"/>
    <x v="13"/>
    <x v="10"/>
    <x v="8"/>
  </r>
  <r>
    <x v="0"/>
    <x v="17"/>
    <x v="15"/>
    <x v="10"/>
    <x v="8"/>
  </r>
  <r>
    <x v="0"/>
    <x v="17"/>
    <x v="15"/>
    <x v="10"/>
    <x v="8"/>
  </r>
  <r>
    <x v="0"/>
    <x v="17"/>
    <x v="15"/>
    <x v="10"/>
    <x v="8"/>
  </r>
  <r>
    <x v="0"/>
    <x v="17"/>
    <x v="15"/>
    <x v="10"/>
    <x v="8"/>
  </r>
  <r>
    <x v="0"/>
    <x v="17"/>
    <x v="15"/>
    <x v="10"/>
    <x v="8"/>
  </r>
  <r>
    <x v="0"/>
    <x v="17"/>
    <x v="25"/>
    <x v="10"/>
    <x v="15"/>
  </r>
  <r>
    <x v="0"/>
    <x v="17"/>
    <x v="26"/>
    <x v="10"/>
    <x v="18"/>
  </r>
  <r>
    <x v="521"/>
    <x v="17"/>
    <x v="22"/>
    <x v="10"/>
    <x v="15"/>
  </r>
  <r>
    <x v="0"/>
    <x v="17"/>
    <x v="28"/>
    <x v="10"/>
    <x v="20"/>
  </r>
  <r>
    <x v="5"/>
    <x v="17"/>
    <x v="3"/>
    <x v="10"/>
    <x v="2"/>
  </r>
  <r>
    <x v="16"/>
    <x v="17"/>
    <x v="3"/>
    <x v="10"/>
    <x v="2"/>
  </r>
  <r>
    <x v="0"/>
    <x v="17"/>
    <x v="28"/>
    <x v="10"/>
    <x v="20"/>
  </r>
  <r>
    <x v="0"/>
    <x v="17"/>
    <x v="15"/>
    <x v="10"/>
    <x v="8"/>
  </r>
  <r>
    <x v="0"/>
    <x v="17"/>
    <x v="15"/>
    <x v="10"/>
    <x v="8"/>
  </r>
  <r>
    <x v="7"/>
    <x v="17"/>
    <x v="13"/>
    <x v="10"/>
    <x v="8"/>
  </r>
  <r>
    <x v="0"/>
    <x v="17"/>
    <x v="2"/>
    <x v="10"/>
    <x v="8"/>
  </r>
  <r>
    <x v="0"/>
    <x v="17"/>
    <x v="24"/>
    <x v="10"/>
    <x v="17"/>
  </r>
  <r>
    <x v="0"/>
    <x v="17"/>
    <x v="4"/>
    <x v="10"/>
    <x v="3"/>
  </r>
  <r>
    <x v="0"/>
    <x v="17"/>
    <x v="5"/>
    <x v="10"/>
    <x v="4"/>
  </r>
  <r>
    <x v="16"/>
    <x v="17"/>
    <x v="6"/>
    <x v="10"/>
    <x v="5"/>
  </r>
  <r>
    <x v="507"/>
    <x v="23"/>
    <x v="0"/>
    <x v="15"/>
    <x v="0"/>
  </r>
  <r>
    <x v="0"/>
    <x v="23"/>
    <x v="1"/>
    <x v="15"/>
    <x v="1"/>
  </r>
  <r>
    <x v="0"/>
    <x v="23"/>
    <x v="28"/>
    <x v="15"/>
    <x v="20"/>
  </r>
  <r>
    <x v="0"/>
    <x v="23"/>
    <x v="14"/>
    <x v="15"/>
    <x v="11"/>
  </r>
  <r>
    <x v="29"/>
    <x v="23"/>
    <x v="28"/>
    <x v="15"/>
    <x v="20"/>
  </r>
  <r>
    <x v="0"/>
    <x v="23"/>
    <x v="28"/>
    <x v="15"/>
    <x v="20"/>
  </r>
  <r>
    <x v="0"/>
    <x v="23"/>
    <x v="7"/>
    <x v="15"/>
    <x v="6"/>
  </r>
  <r>
    <x v="0"/>
    <x v="23"/>
    <x v="28"/>
    <x v="15"/>
    <x v="20"/>
  </r>
  <r>
    <x v="0"/>
    <x v="23"/>
    <x v="27"/>
    <x v="15"/>
    <x v="19"/>
  </r>
  <r>
    <x v="0"/>
    <x v="23"/>
    <x v="25"/>
    <x v="15"/>
    <x v="15"/>
  </r>
  <r>
    <x v="0"/>
    <x v="23"/>
    <x v="16"/>
    <x v="15"/>
    <x v="12"/>
  </r>
  <r>
    <x v="0"/>
    <x v="23"/>
    <x v="16"/>
    <x v="15"/>
    <x v="12"/>
  </r>
  <r>
    <x v="0"/>
    <x v="23"/>
    <x v="16"/>
    <x v="15"/>
    <x v="12"/>
  </r>
  <r>
    <x v="0"/>
    <x v="23"/>
    <x v="23"/>
    <x v="15"/>
    <x v="15"/>
  </r>
  <r>
    <x v="0"/>
    <x v="23"/>
    <x v="23"/>
    <x v="15"/>
    <x v="15"/>
  </r>
  <r>
    <x v="3"/>
    <x v="23"/>
    <x v="19"/>
    <x v="15"/>
    <x v="15"/>
  </r>
  <r>
    <x v="0"/>
    <x v="23"/>
    <x v="25"/>
    <x v="15"/>
    <x v="15"/>
  </r>
  <r>
    <x v="0"/>
    <x v="23"/>
    <x v="12"/>
    <x v="15"/>
    <x v="15"/>
  </r>
  <r>
    <x v="0"/>
    <x v="23"/>
    <x v="12"/>
    <x v="15"/>
    <x v="15"/>
  </r>
  <r>
    <x v="0"/>
    <x v="23"/>
    <x v="19"/>
    <x v="15"/>
    <x v="15"/>
  </r>
  <r>
    <x v="0"/>
    <x v="23"/>
    <x v="12"/>
    <x v="15"/>
    <x v="15"/>
  </r>
  <r>
    <x v="6"/>
    <x v="23"/>
    <x v="12"/>
    <x v="15"/>
    <x v="15"/>
  </r>
  <r>
    <x v="0"/>
    <x v="23"/>
    <x v="19"/>
    <x v="15"/>
    <x v="15"/>
  </r>
  <r>
    <x v="0"/>
    <x v="23"/>
    <x v="24"/>
    <x v="15"/>
    <x v="17"/>
  </r>
  <r>
    <x v="0"/>
    <x v="23"/>
    <x v="11"/>
    <x v="15"/>
    <x v="10"/>
  </r>
  <r>
    <x v="0"/>
    <x v="23"/>
    <x v="11"/>
    <x v="15"/>
    <x v="10"/>
  </r>
  <r>
    <x v="0"/>
    <x v="23"/>
    <x v="28"/>
    <x v="15"/>
    <x v="20"/>
  </r>
  <r>
    <x v="0"/>
    <x v="23"/>
    <x v="28"/>
    <x v="15"/>
    <x v="20"/>
  </r>
  <r>
    <x v="6"/>
    <x v="23"/>
    <x v="16"/>
    <x v="15"/>
    <x v="12"/>
  </r>
  <r>
    <x v="0"/>
    <x v="23"/>
    <x v="16"/>
    <x v="15"/>
    <x v="12"/>
  </r>
  <r>
    <x v="0"/>
    <x v="23"/>
    <x v="10"/>
    <x v="15"/>
    <x v="9"/>
  </r>
  <r>
    <x v="0"/>
    <x v="23"/>
    <x v="28"/>
    <x v="15"/>
    <x v="20"/>
  </r>
  <r>
    <x v="0"/>
    <x v="23"/>
    <x v="21"/>
    <x v="15"/>
    <x v="16"/>
  </r>
  <r>
    <x v="11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4"/>
    <x v="23"/>
    <x v="18"/>
    <x v="15"/>
    <x v="14"/>
  </r>
  <r>
    <x v="0"/>
    <x v="23"/>
    <x v="17"/>
    <x v="15"/>
    <x v="13"/>
  </r>
  <r>
    <x v="0"/>
    <x v="23"/>
    <x v="17"/>
    <x v="15"/>
    <x v="13"/>
  </r>
  <r>
    <x v="0"/>
    <x v="23"/>
    <x v="8"/>
    <x v="15"/>
    <x v="7"/>
  </r>
  <r>
    <x v="0"/>
    <x v="23"/>
    <x v="8"/>
    <x v="15"/>
    <x v="7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0"/>
    <x v="15"/>
    <x v="15"/>
  </r>
  <r>
    <x v="0"/>
    <x v="23"/>
    <x v="20"/>
    <x v="15"/>
    <x v="15"/>
  </r>
  <r>
    <x v="0"/>
    <x v="23"/>
    <x v="20"/>
    <x v="15"/>
    <x v="15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12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13"/>
    <x v="15"/>
    <x v="8"/>
  </r>
  <r>
    <x v="0"/>
    <x v="23"/>
    <x v="15"/>
    <x v="15"/>
    <x v="8"/>
  </r>
  <r>
    <x v="48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25"/>
    <x v="15"/>
    <x v="15"/>
  </r>
  <r>
    <x v="0"/>
    <x v="23"/>
    <x v="26"/>
    <x v="15"/>
    <x v="18"/>
  </r>
  <r>
    <x v="0"/>
    <x v="23"/>
    <x v="22"/>
    <x v="15"/>
    <x v="15"/>
  </r>
  <r>
    <x v="427"/>
    <x v="23"/>
    <x v="28"/>
    <x v="15"/>
    <x v="20"/>
  </r>
  <r>
    <x v="0"/>
    <x v="23"/>
    <x v="3"/>
    <x v="15"/>
    <x v="2"/>
  </r>
  <r>
    <x v="0"/>
    <x v="23"/>
    <x v="3"/>
    <x v="15"/>
    <x v="2"/>
  </r>
  <r>
    <x v="0"/>
    <x v="23"/>
    <x v="28"/>
    <x v="15"/>
    <x v="20"/>
  </r>
  <r>
    <x v="0"/>
    <x v="23"/>
    <x v="15"/>
    <x v="15"/>
    <x v="8"/>
  </r>
  <r>
    <x v="0"/>
    <x v="23"/>
    <x v="15"/>
    <x v="15"/>
    <x v="8"/>
  </r>
  <r>
    <x v="0"/>
    <x v="23"/>
    <x v="13"/>
    <x v="15"/>
    <x v="8"/>
  </r>
  <r>
    <x v="0"/>
    <x v="23"/>
    <x v="2"/>
    <x v="15"/>
    <x v="8"/>
  </r>
  <r>
    <x v="0"/>
    <x v="23"/>
    <x v="24"/>
    <x v="15"/>
    <x v="17"/>
  </r>
  <r>
    <x v="0"/>
    <x v="23"/>
    <x v="4"/>
    <x v="15"/>
    <x v="3"/>
  </r>
  <r>
    <x v="0"/>
    <x v="23"/>
    <x v="5"/>
    <x v="15"/>
    <x v="4"/>
  </r>
  <r>
    <x v="5"/>
    <x v="23"/>
    <x v="6"/>
    <x v="15"/>
    <x v="5"/>
  </r>
  <r>
    <x v="532"/>
    <x v="1"/>
    <x v="0"/>
    <x v="0"/>
    <x v="0"/>
  </r>
  <r>
    <x v="8"/>
    <x v="1"/>
    <x v="1"/>
    <x v="0"/>
    <x v="1"/>
  </r>
  <r>
    <x v="0"/>
    <x v="1"/>
    <x v="28"/>
    <x v="0"/>
    <x v="20"/>
  </r>
  <r>
    <x v="0"/>
    <x v="1"/>
    <x v="14"/>
    <x v="0"/>
    <x v="11"/>
  </r>
  <r>
    <x v="0"/>
    <x v="1"/>
    <x v="28"/>
    <x v="0"/>
    <x v="20"/>
  </r>
  <r>
    <x v="0"/>
    <x v="1"/>
    <x v="28"/>
    <x v="0"/>
    <x v="20"/>
  </r>
  <r>
    <x v="0"/>
    <x v="1"/>
    <x v="7"/>
    <x v="0"/>
    <x v="6"/>
  </r>
  <r>
    <x v="0"/>
    <x v="1"/>
    <x v="28"/>
    <x v="0"/>
    <x v="20"/>
  </r>
  <r>
    <x v="0"/>
    <x v="1"/>
    <x v="27"/>
    <x v="0"/>
    <x v="19"/>
  </r>
  <r>
    <x v="0"/>
    <x v="1"/>
    <x v="25"/>
    <x v="0"/>
    <x v="15"/>
  </r>
  <r>
    <x v="0"/>
    <x v="1"/>
    <x v="16"/>
    <x v="0"/>
    <x v="12"/>
  </r>
  <r>
    <x v="0"/>
    <x v="1"/>
    <x v="16"/>
    <x v="0"/>
    <x v="12"/>
  </r>
  <r>
    <x v="0"/>
    <x v="1"/>
    <x v="16"/>
    <x v="0"/>
    <x v="12"/>
  </r>
  <r>
    <x v="0"/>
    <x v="1"/>
    <x v="23"/>
    <x v="0"/>
    <x v="15"/>
  </r>
  <r>
    <x v="0"/>
    <x v="1"/>
    <x v="23"/>
    <x v="0"/>
    <x v="15"/>
  </r>
  <r>
    <x v="7"/>
    <x v="1"/>
    <x v="19"/>
    <x v="0"/>
    <x v="15"/>
  </r>
  <r>
    <x v="0"/>
    <x v="1"/>
    <x v="25"/>
    <x v="0"/>
    <x v="15"/>
  </r>
  <r>
    <x v="0"/>
    <x v="1"/>
    <x v="12"/>
    <x v="0"/>
    <x v="15"/>
  </r>
  <r>
    <x v="0"/>
    <x v="1"/>
    <x v="12"/>
    <x v="0"/>
    <x v="15"/>
  </r>
  <r>
    <x v="0"/>
    <x v="1"/>
    <x v="19"/>
    <x v="0"/>
    <x v="15"/>
  </r>
  <r>
    <x v="8"/>
    <x v="1"/>
    <x v="12"/>
    <x v="0"/>
    <x v="15"/>
  </r>
  <r>
    <x v="0"/>
    <x v="1"/>
    <x v="12"/>
    <x v="0"/>
    <x v="15"/>
  </r>
  <r>
    <x v="0"/>
    <x v="1"/>
    <x v="19"/>
    <x v="0"/>
    <x v="15"/>
  </r>
  <r>
    <x v="7"/>
    <x v="1"/>
    <x v="24"/>
    <x v="0"/>
    <x v="17"/>
  </r>
  <r>
    <x v="0"/>
    <x v="1"/>
    <x v="11"/>
    <x v="0"/>
    <x v="10"/>
  </r>
  <r>
    <x v="0"/>
    <x v="1"/>
    <x v="11"/>
    <x v="0"/>
    <x v="10"/>
  </r>
  <r>
    <x v="0"/>
    <x v="1"/>
    <x v="28"/>
    <x v="0"/>
    <x v="20"/>
  </r>
  <r>
    <x v="0"/>
    <x v="1"/>
    <x v="28"/>
    <x v="0"/>
    <x v="20"/>
  </r>
  <r>
    <x v="0"/>
    <x v="1"/>
    <x v="16"/>
    <x v="0"/>
    <x v="12"/>
  </r>
  <r>
    <x v="0"/>
    <x v="1"/>
    <x v="16"/>
    <x v="0"/>
    <x v="12"/>
  </r>
  <r>
    <x v="0"/>
    <x v="1"/>
    <x v="10"/>
    <x v="0"/>
    <x v="9"/>
  </r>
  <r>
    <x v="8"/>
    <x v="1"/>
    <x v="28"/>
    <x v="0"/>
    <x v="20"/>
  </r>
  <r>
    <x v="11"/>
    <x v="1"/>
    <x v="21"/>
    <x v="0"/>
    <x v="16"/>
  </r>
  <r>
    <x v="0"/>
    <x v="1"/>
    <x v="18"/>
    <x v="0"/>
    <x v="14"/>
  </r>
  <r>
    <x v="0"/>
    <x v="1"/>
    <x v="18"/>
    <x v="0"/>
    <x v="14"/>
  </r>
  <r>
    <x v="0"/>
    <x v="1"/>
    <x v="18"/>
    <x v="0"/>
    <x v="14"/>
  </r>
  <r>
    <x v="0"/>
    <x v="1"/>
    <x v="18"/>
    <x v="0"/>
    <x v="14"/>
  </r>
  <r>
    <x v="0"/>
    <x v="1"/>
    <x v="18"/>
    <x v="0"/>
    <x v="14"/>
  </r>
  <r>
    <x v="0"/>
    <x v="1"/>
    <x v="17"/>
    <x v="0"/>
    <x v="13"/>
  </r>
  <r>
    <x v="0"/>
    <x v="1"/>
    <x v="17"/>
    <x v="0"/>
    <x v="13"/>
  </r>
  <r>
    <x v="7"/>
    <x v="1"/>
    <x v="8"/>
    <x v="0"/>
    <x v="7"/>
  </r>
  <r>
    <x v="0"/>
    <x v="1"/>
    <x v="8"/>
    <x v="0"/>
    <x v="7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0"/>
    <x v="0"/>
    <x v="15"/>
  </r>
  <r>
    <x v="0"/>
    <x v="1"/>
    <x v="20"/>
    <x v="0"/>
    <x v="15"/>
  </r>
  <r>
    <x v="0"/>
    <x v="1"/>
    <x v="20"/>
    <x v="0"/>
    <x v="15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45"/>
    <x v="1"/>
    <x v="9"/>
    <x v="0"/>
    <x v="8"/>
  </r>
  <r>
    <x v="18"/>
    <x v="1"/>
    <x v="9"/>
    <x v="0"/>
    <x v="8"/>
  </r>
  <r>
    <x v="0"/>
    <x v="1"/>
    <x v="9"/>
    <x v="0"/>
    <x v="8"/>
  </r>
  <r>
    <x v="7"/>
    <x v="1"/>
    <x v="13"/>
    <x v="0"/>
    <x v="8"/>
  </r>
  <r>
    <x v="0"/>
    <x v="1"/>
    <x v="15"/>
    <x v="0"/>
    <x v="8"/>
  </r>
  <r>
    <x v="0"/>
    <x v="1"/>
    <x v="15"/>
    <x v="0"/>
    <x v="8"/>
  </r>
  <r>
    <x v="0"/>
    <x v="1"/>
    <x v="15"/>
    <x v="0"/>
    <x v="8"/>
  </r>
  <r>
    <x v="0"/>
    <x v="1"/>
    <x v="15"/>
    <x v="0"/>
    <x v="8"/>
  </r>
  <r>
    <x v="19"/>
    <x v="1"/>
    <x v="15"/>
    <x v="0"/>
    <x v="8"/>
  </r>
  <r>
    <x v="0"/>
    <x v="1"/>
    <x v="25"/>
    <x v="0"/>
    <x v="15"/>
  </r>
  <r>
    <x v="0"/>
    <x v="1"/>
    <x v="26"/>
    <x v="0"/>
    <x v="18"/>
  </r>
  <r>
    <x v="0"/>
    <x v="1"/>
    <x v="22"/>
    <x v="0"/>
    <x v="15"/>
  </r>
  <r>
    <x v="11"/>
    <x v="1"/>
    <x v="28"/>
    <x v="0"/>
    <x v="20"/>
  </r>
  <r>
    <x v="471"/>
    <x v="1"/>
    <x v="3"/>
    <x v="0"/>
    <x v="2"/>
  </r>
  <r>
    <x v="378"/>
    <x v="1"/>
    <x v="3"/>
    <x v="0"/>
    <x v="2"/>
  </r>
  <r>
    <x v="0"/>
    <x v="1"/>
    <x v="28"/>
    <x v="0"/>
    <x v="20"/>
  </r>
  <r>
    <x v="0"/>
    <x v="1"/>
    <x v="15"/>
    <x v="0"/>
    <x v="8"/>
  </r>
  <r>
    <x v="0"/>
    <x v="1"/>
    <x v="15"/>
    <x v="0"/>
    <x v="8"/>
  </r>
  <r>
    <x v="0"/>
    <x v="1"/>
    <x v="13"/>
    <x v="0"/>
    <x v="8"/>
  </r>
  <r>
    <x v="0"/>
    <x v="1"/>
    <x v="2"/>
    <x v="0"/>
    <x v="8"/>
  </r>
  <r>
    <x v="0"/>
    <x v="1"/>
    <x v="24"/>
    <x v="0"/>
    <x v="17"/>
  </r>
  <r>
    <x v="0"/>
    <x v="1"/>
    <x v="4"/>
    <x v="0"/>
    <x v="3"/>
  </r>
  <r>
    <x v="0"/>
    <x v="1"/>
    <x v="5"/>
    <x v="0"/>
    <x v="4"/>
  </r>
  <r>
    <x v="0"/>
    <x v="1"/>
    <x v="6"/>
    <x v="0"/>
    <x v="5"/>
  </r>
  <r>
    <x v="566"/>
    <x v="1"/>
    <x v="0"/>
    <x v="0"/>
    <x v="0"/>
  </r>
  <r>
    <x v="0"/>
    <x v="1"/>
    <x v="1"/>
    <x v="0"/>
    <x v="1"/>
  </r>
  <r>
    <x v="0"/>
    <x v="1"/>
    <x v="28"/>
    <x v="0"/>
    <x v="20"/>
  </r>
  <r>
    <x v="0"/>
    <x v="1"/>
    <x v="14"/>
    <x v="0"/>
    <x v="11"/>
  </r>
  <r>
    <x v="14"/>
    <x v="1"/>
    <x v="28"/>
    <x v="0"/>
    <x v="20"/>
  </r>
  <r>
    <x v="0"/>
    <x v="1"/>
    <x v="28"/>
    <x v="0"/>
    <x v="20"/>
  </r>
  <r>
    <x v="0"/>
    <x v="1"/>
    <x v="7"/>
    <x v="0"/>
    <x v="6"/>
  </r>
  <r>
    <x v="0"/>
    <x v="1"/>
    <x v="28"/>
    <x v="0"/>
    <x v="20"/>
  </r>
  <r>
    <x v="0"/>
    <x v="1"/>
    <x v="27"/>
    <x v="0"/>
    <x v="19"/>
  </r>
  <r>
    <x v="0"/>
    <x v="1"/>
    <x v="25"/>
    <x v="0"/>
    <x v="15"/>
  </r>
  <r>
    <x v="0"/>
    <x v="1"/>
    <x v="16"/>
    <x v="0"/>
    <x v="12"/>
  </r>
  <r>
    <x v="0"/>
    <x v="1"/>
    <x v="16"/>
    <x v="0"/>
    <x v="12"/>
  </r>
  <r>
    <x v="0"/>
    <x v="1"/>
    <x v="16"/>
    <x v="0"/>
    <x v="12"/>
  </r>
  <r>
    <x v="0"/>
    <x v="1"/>
    <x v="23"/>
    <x v="0"/>
    <x v="15"/>
  </r>
  <r>
    <x v="0"/>
    <x v="1"/>
    <x v="23"/>
    <x v="0"/>
    <x v="15"/>
  </r>
  <r>
    <x v="0"/>
    <x v="1"/>
    <x v="19"/>
    <x v="0"/>
    <x v="15"/>
  </r>
  <r>
    <x v="0"/>
    <x v="1"/>
    <x v="25"/>
    <x v="0"/>
    <x v="15"/>
  </r>
  <r>
    <x v="0"/>
    <x v="1"/>
    <x v="12"/>
    <x v="0"/>
    <x v="15"/>
  </r>
  <r>
    <x v="0"/>
    <x v="1"/>
    <x v="12"/>
    <x v="0"/>
    <x v="15"/>
  </r>
  <r>
    <x v="6"/>
    <x v="1"/>
    <x v="19"/>
    <x v="0"/>
    <x v="15"/>
  </r>
  <r>
    <x v="0"/>
    <x v="1"/>
    <x v="12"/>
    <x v="0"/>
    <x v="15"/>
  </r>
  <r>
    <x v="0"/>
    <x v="1"/>
    <x v="12"/>
    <x v="0"/>
    <x v="15"/>
  </r>
  <r>
    <x v="0"/>
    <x v="1"/>
    <x v="19"/>
    <x v="0"/>
    <x v="15"/>
  </r>
  <r>
    <x v="0"/>
    <x v="1"/>
    <x v="24"/>
    <x v="0"/>
    <x v="17"/>
  </r>
  <r>
    <x v="0"/>
    <x v="1"/>
    <x v="11"/>
    <x v="0"/>
    <x v="10"/>
  </r>
  <r>
    <x v="0"/>
    <x v="1"/>
    <x v="11"/>
    <x v="0"/>
    <x v="10"/>
  </r>
  <r>
    <x v="23"/>
    <x v="1"/>
    <x v="28"/>
    <x v="0"/>
    <x v="20"/>
  </r>
  <r>
    <x v="16"/>
    <x v="1"/>
    <x v="28"/>
    <x v="0"/>
    <x v="20"/>
  </r>
  <r>
    <x v="0"/>
    <x v="1"/>
    <x v="16"/>
    <x v="0"/>
    <x v="12"/>
  </r>
  <r>
    <x v="0"/>
    <x v="1"/>
    <x v="16"/>
    <x v="0"/>
    <x v="12"/>
  </r>
  <r>
    <x v="0"/>
    <x v="1"/>
    <x v="10"/>
    <x v="0"/>
    <x v="9"/>
  </r>
  <r>
    <x v="6"/>
    <x v="1"/>
    <x v="28"/>
    <x v="0"/>
    <x v="20"/>
  </r>
  <r>
    <x v="16"/>
    <x v="1"/>
    <x v="21"/>
    <x v="0"/>
    <x v="16"/>
  </r>
  <r>
    <x v="0"/>
    <x v="1"/>
    <x v="18"/>
    <x v="0"/>
    <x v="14"/>
  </r>
  <r>
    <x v="0"/>
    <x v="1"/>
    <x v="18"/>
    <x v="0"/>
    <x v="14"/>
  </r>
  <r>
    <x v="0"/>
    <x v="1"/>
    <x v="18"/>
    <x v="0"/>
    <x v="14"/>
  </r>
  <r>
    <x v="0"/>
    <x v="1"/>
    <x v="18"/>
    <x v="0"/>
    <x v="14"/>
  </r>
  <r>
    <x v="0"/>
    <x v="1"/>
    <x v="18"/>
    <x v="0"/>
    <x v="14"/>
  </r>
  <r>
    <x v="9"/>
    <x v="1"/>
    <x v="17"/>
    <x v="0"/>
    <x v="13"/>
  </r>
  <r>
    <x v="7"/>
    <x v="1"/>
    <x v="17"/>
    <x v="0"/>
    <x v="13"/>
  </r>
  <r>
    <x v="0"/>
    <x v="1"/>
    <x v="8"/>
    <x v="0"/>
    <x v="7"/>
  </r>
  <r>
    <x v="5"/>
    <x v="1"/>
    <x v="8"/>
    <x v="0"/>
    <x v="7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0"/>
    <x v="1"/>
    <x v="2"/>
    <x v="0"/>
    <x v="8"/>
  </r>
  <r>
    <x v="13"/>
    <x v="1"/>
    <x v="2"/>
    <x v="0"/>
    <x v="8"/>
  </r>
  <r>
    <x v="0"/>
    <x v="1"/>
    <x v="20"/>
    <x v="0"/>
    <x v="15"/>
  </r>
  <r>
    <x v="0"/>
    <x v="1"/>
    <x v="20"/>
    <x v="0"/>
    <x v="15"/>
  </r>
  <r>
    <x v="0"/>
    <x v="1"/>
    <x v="20"/>
    <x v="0"/>
    <x v="15"/>
  </r>
  <r>
    <x v="5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0"/>
    <x v="1"/>
    <x v="9"/>
    <x v="0"/>
    <x v="8"/>
  </r>
  <r>
    <x v="241"/>
    <x v="1"/>
    <x v="9"/>
    <x v="0"/>
    <x v="8"/>
  </r>
  <r>
    <x v="86"/>
    <x v="1"/>
    <x v="9"/>
    <x v="0"/>
    <x v="8"/>
  </r>
  <r>
    <x v="0"/>
    <x v="1"/>
    <x v="9"/>
    <x v="0"/>
    <x v="8"/>
  </r>
  <r>
    <x v="9"/>
    <x v="1"/>
    <x v="13"/>
    <x v="0"/>
    <x v="8"/>
  </r>
  <r>
    <x v="0"/>
    <x v="1"/>
    <x v="15"/>
    <x v="0"/>
    <x v="8"/>
  </r>
  <r>
    <x v="7"/>
    <x v="1"/>
    <x v="15"/>
    <x v="0"/>
    <x v="8"/>
  </r>
  <r>
    <x v="0"/>
    <x v="1"/>
    <x v="15"/>
    <x v="0"/>
    <x v="8"/>
  </r>
  <r>
    <x v="0"/>
    <x v="1"/>
    <x v="15"/>
    <x v="0"/>
    <x v="8"/>
  </r>
  <r>
    <x v="104"/>
    <x v="1"/>
    <x v="15"/>
    <x v="0"/>
    <x v="8"/>
  </r>
  <r>
    <x v="0"/>
    <x v="1"/>
    <x v="25"/>
    <x v="0"/>
    <x v="15"/>
  </r>
  <r>
    <x v="108"/>
    <x v="1"/>
    <x v="26"/>
    <x v="0"/>
    <x v="18"/>
  </r>
  <r>
    <x v="0"/>
    <x v="1"/>
    <x v="22"/>
    <x v="0"/>
    <x v="15"/>
  </r>
  <r>
    <x v="0"/>
    <x v="1"/>
    <x v="28"/>
    <x v="0"/>
    <x v="20"/>
  </r>
  <r>
    <x v="435"/>
    <x v="1"/>
    <x v="3"/>
    <x v="0"/>
    <x v="2"/>
  </r>
  <r>
    <x v="529"/>
    <x v="1"/>
    <x v="3"/>
    <x v="0"/>
    <x v="2"/>
  </r>
  <r>
    <x v="16"/>
    <x v="1"/>
    <x v="28"/>
    <x v="0"/>
    <x v="20"/>
  </r>
  <r>
    <x v="0"/>
    <x v="1"/>
    <x v="15"/>
    <x v="0"/>
    <x v="8"/>
  </r>
  <r>
    <x v="0"/>
    <x v="1"/>
    <x v="15"/>
    <x v="0"/>
    <x v="8"/>
  </r>
  <r>
    <x v="0"/>
    <x v="1"/>
    <x v="13"/>
    <x v="0"/>
    <x v="8"/>
  </r>
  <r>
    <x v="0"/>
    <x v="1"/>
    <x v="2"/>
    <x v="0"/>
    <x v="8"/>
  </r>
  <r>
    <x v="0"/>
    <x v="1"/>
    <x v="24"/>
    <x v="0"/>
    <x v="17"/>
  </r>
  <r>
    <x v="0"/>
    <x v="1"/>
    <x v="4"/>
    <x v="0"/>
    <x v="3"/>
  </r>
  <r>
    <x v="0"/>
    <x v="1"/>
    <x v="5"/>
    <x v="0"/>
    <x v="4"/>
  </r>
  <r>
    <x v="0"/>
    <x v="1"/>
    <x v="6"/>
    <x v="0"/>
    <x v="5"/>
  </r>
  <r>
    <x v="541"/>
    <x v="23"/>
    <x v="0"/>
    <x v="15"/>
    <x v="0"/>
  </r>
  <r>
    <x v="0"/>
    <x v="23"/>
    <x v="1"/>
    <x v="15"/>
    <x v="1"/>
  </r>
  <r>
    <x v="19"/>
    <x v="23"/>
    <x v="28"/>
    <x v="15"/>
    <x v="20"/>
  </r>
  <r>
    <x v="0"/>
    <x v="23"/>
    <x v="14"/>
    <x v="15"/>
    <x v="11"/>
  </r>
  <r>
    <x v="0"/>
    <x v="23"/>
    <x v="28"/>
    <x v="15"/>
    <x v="20"/>
  </r>
  <r>
    <x v="0"/>
    <x v="23"/>
    <x v="28"/>
    <x v="15"/>
    <x v="20"/>
  </r>
  <r>
    <x v="0"/>
    <x v="23"/>
    <x v="7"/>
    <x v="15"/>
    <x v="6"/>
  </r>
  <r>
    <x v="0"/>
    <x v="23"/>
    <x v="28"/>
    <x v="15"/>
    <x v="20"/>
  </r>
  <r>
    <x v="0"/>
    <x v="23"/>
    <x v="27"/>
    <x v="15"/>
    <x v="19"/>
  </r>
  <r>
    <x v="0"/>
    <x v="23"/>
    <x v="25"/>
    <x v="15"/>
    <x v="15"/>
  </r>
  <r>
    <x v="0"/>
    <x v="23"/>
    <x v="16"/>
    <x v="15"/>
    <x v="12"/>
  </r>
  <r>
    <x v="0"/>
    <x v="23"/>
    <x v="16"/>
    <x v="15"/>
    <x v="12"/>
  </r>
  <r>
    <x v="0"/>
    <x v="23"/>
    <x v="16"/>
    <x v="15"/>
    <x v="12"/>
  </r>
  <r>
    <x v="0"/>
    <x v="23"/>
    <x v="23"/>
    <x v="15"/>
    <x v="15"/>
  </r>
  <r>
    <x v="0"/>
    <x v="23"/>
    <x v="23"/>
    <x v="15"/>
    <x v="15"/>
  </r>
  <r>
    <x v="0"/>
    <x v="23"/>
    <x v="19"/>
    <x v="15"/>
    <x v="15"/>
  </r>
  <r>
    <x v="0"/>
    <x v="23"/>
    <x v="25"/>
    <x v="15"/>
    <x v="15"/>
  </r>
  <r>
    <x v="0"/>
    <x v="23"/>
    <x v="12"/>
    <x v="15"/>
    <x v="15"/>
  </r>
  <r>
    <x v="6"/>
    <x v="23"/>
    <x v="12"/>
    <x v="15"/>
    <x v="15"/>
  </r>
  <r>
    <x v="8"/>
    <x v="23"/>
    <x v="19"/>
    <x v="15"/>
    <x v="15"/>
  </r>
  <r>
    <x v="0"/>
    <x v="23"/>
    <x v="12"/>
    <x v="15"/>
    <x v="15"/>
  </r>
  <r>
    <x v="0"/>
    <x v="23"/>
    <x v="12"/>
    <x v="15"/>
    <x v="15"/>
  </r>
  <r>
    <x v="7"/>
    <x v="23"/>
    <x v="19"/>
    <x v="15"/>
    <x v="15"/>
  </r>
  <r>
    <x v="0"/>
    <x v="23"/>
    <x v="24"/>
    <x v="15"/>
    <x v="17"/>
  </r>
  <r>
    <x v="0"/>
    <x v="23"/>
    <x v="11"/>
    <x v="15"/>
    <x v="10"/>
  </r>
  <r>
    <x v="7"/>
    <x v="23"/>
    <x v="11"/>
    <x v="15"/>
    <x v="10"/>
  </r>
  <r>
    <x v="0"/>
    <x v="23"/>
    <x v="28"/>
    <x v="15"/>
    <x v="20"/>
  </r>
  <r>
    <x v="0"/>
    <x v="23"/>
    <x v="28"/>
    <x v="15"/>
    <x v="20"/>
  </r>
  <r>
    <x v="8"/>
    <x v="23"/>
    <x v="16"/>
    <x v="15"/>
    <x v="12"/>
  </r>
  <r>
    <x v="9"/>
    <x v="23"/>
    <x v="16"/>
    <x v="15"/>
    <x v="12"/>
  </r>
  <r>
    <x v="0"/>
    <x v="23"/>
    <x v="10"/>
    <x v="15"/>
    <x v="9"/>
  </r>
  <r>
    <x v="13"/>
    <x v="23"/>
    <x v="28"/>
    <x v="15"/>
    <x v="20"/>
  </r>
  <r>
    <x v="256"/>
    <x v="23"/>
    <x v="21"/>
    <x v="15"/>
    <x v="16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0"/>
    <x v="23"/>
    <x v="18"/>
    <x v="15"/>
    <x v="14"/>
  </r>
  <r>
    <x v="13"/>
    <x v="23"/>
    <x v="18"/>
    <x v="15"/>
    <x v="14"/>
  </r>
  <r>
    <x v="8"/>
    <x v="23"/>
    <x v="17"/>
    <x v="15"/>
    <x v="13"/>
  </r>
  <r>
    <x v="0"/>
    <x v="23"/>
    <x v="17"/>
    <x v="15"/>
    <x v="13"/>
  </r>
  <r>
    <x v="0"/>
    <x v="23"/>
    <x v="8"/>
    <x v="15"/>
    <x v="7"/>
  </r>
  <r>
    <x v="0"/>
    <x v="23"/>
    <x v="8"/>
    <x v="15"/>
    <x v="7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"/>
    <x v="15"/>
    <x v="8"/>
  </r>
  <r>
    <x v="0"/>
    <x v="23"/>
    <x v="20"/>
    <x v="15"/>
    <x v="15"/>
  </r>
  <r>
    <x v="0"/>
    <x v="23"/>
    <x v="20"/>
    <x v="15"/>
    <x v="15"/>
  </r>
  <r>
    <x v="19"/>
    <x v="23"/>
    <x v="20"/>
    <x v="15"/>
    <x v="15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0"/>
    <x v="23"/>
    <x v="9"/>
    <x v="15"/>
    <x v="8"/>
  </r>
  <r>
    <x v="38"/>
    <x v="23"/>
    <x v="9"/>
    <x v="15"/>
    <x v="8"/>
  </r>
  <r>
    <x v="8"/>
    <x v="23"/>
    <x v="9"/>
    <x v="15"/>
    <x v="8"/>
  </r>
  <r>
    <x v="0"/>
    <x v="23"/>
    <x v="9"/>
    <x v="15"/>
    <x v="8"/>
  </r>
  <r>
    <x v="14"/>
    <x v="23"/>
    <x v="13"/>
    <x v="15"/>
    <x v="8"/>
  </r>
  <r>
    <x v="0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15"/>
    <x v="15"/>
    <x v="8"/>
  </r>
  <r>
    <x v="0"/>
    <x v="23"/>
    <x v="25"/>
    <x v="15"/>
    <x v="15"/>
  </r>
  <r>
    <x v="0"/>
    <x v="23"/>
    <x v="26"/>
    <x v="15"/>
    <x v="18"/>
  </r>
  <r>
    <x v="0"/>
    <x v="23"/>
    <x v="22"/>
    <x v="15"/>
    <x v="15"/>
  </r>
  <r>
    <x v="0"/>
    <x v="23"/>
    <x v="28"/>
    <x v="15"/>
    <x v="20"/>
  </r>
  <r>
    <x v="7"/>
    <x v="23"/>
    <x v="3"/>
    <x v="15"/>
    <x v="2"/>
  </r>
  <r>
    <x v="13"/>
    <x v="23"/>
    <x v="3"/>
    <x v="15"/>
    <x v="2"/>
  </r>
  <r>
    <x v="518"/>
    <x v="23"/>
    <x v="28"/>
    <x v="15"/>
    <x v="20"/>
  </r>
  <r>
    <x v="0"/>
    <x v="23"/>
    <x v="15"/>
    <x v="15"/>
    <x v="8"/>
  </r>
  <r>
    <x v="0"/>
    <x v="23"/>
    <x v="15"/>
    <x v="15"/>
    <x v="8"/>
  </r>
  <r>
    <x v="10"/>
    <x v="23"/>
    <x v="13"/>
    <x v="15"/>
    <x v="8"/>
  </r>
  <r>
    <x v="0"/>
    <x v="23"/>
    <x v="2"/>
    <x v="15"/>
    <x v="8"/>
  </r>
  <r>
    <x v="0"/>
    <x v="23"/>
    <x v="24"/>
    <x v="15"/>
    <x v="17"/>
  </r>
  <r>
    <x v="0"/>
    <x v="23"/>
    <x v="4"/>
    <x v="15"/>
    <x v="3"/>
  </r>
  <r>
    <x v="0"/>
    <x v="23"/>
    <x v="5"/>
    <x v="15"/>
    <x v="4"/>
  </r>
  <r>
    <x v="0"/>
    <x v="23"/>
    <x v="6"/>
    <x v="15"/>
    <x v="5"/>
  </r>
  <r>
    <x v="542"/>
    <x v="10"/>
    <x v="0"/>
    <x v="3"/>
    <x v="0"/>
  </r>
  <r>
    <x v="9"/>
    <x v="10"/>
    <x v="1"/>
    <x v="3"/>
    <x v="1"/>
  </r>
  <r>
    <x v="8"/>
    <x v="10"/>
    <x v="28"/>
    <x v="3"/>
    <x v="20"/>
  </r>
  <r>
    <x v="0"/>
    <x v="10"/>
    <x v="14"/>
    <x v="3"/>
    <x v="11"/>
  </r>
  <r>
    <x v="0"/>
    <x v="10"/>
    <x v="28"/>
    <x v="3"/>
    <x v="20"/>
  </r>
  <r>
    <x v="0"/>
    <x v="10"/>
    <x v="28"/>
    <x v="3"/>
    <x v="20"/>
  </r>
  <r>
    <x v="9"/>
    <x v="10"/>
    <x v="7"/>
    <x v="3"/>
    <x v="6"/>
  </r>
  <r>
    <x v="0"/>
    <x v="10"/>
    <x v="28"/>
    <x v="3"/>
    <x v="20"/>
  </r>
  <r>
    <x v="0"/>
    <x v="10"/>
    <x v="27"/>
    <x v="3"/>
    <x v="19"/>
  </r>
  <r>
    <x v="0"/>
    <x v="10"/>
    <x v="25"/>
    <x v="3"/>
    <x v="15"/>
  </r>
  <r>
    <x v="0"/>
    <x v="10"/>
    <x v="16"/>
    <x v="3"/>
    <x v="12"/>
  </r>
  <r>
    <x v="0"/>
    <x v="10"/>
    <x v="16"/>
    <x v="3"/>
    <x v="12"/>
  </r>
  <r>
    <x v="0"/>
    <x v="10"/>
    <x v="16"/>
    <x v="3"/>
    <x v="12"/>
  </r>
  <r>
    <x v="0"/>
    <x v="10"/>
    <x v="23"/>
    <x v="3"/>
    <x v="15"/>
  </r>
  <r>
    <x v="0"/>
    <x v="10"/>
    <x v="23"/>
    <x v="3"/>
    <x v="15"/>
  </r>
  <r>
    <x v="0"/>
    <x v="10"/>
    <x v="19"/>
    <x v="3"/>
    <x v="15"/>
  </r>
  <r>
    <x v="0"/>
    <x v="10"/>
    <x v="25"/>
    <x v="3"/>
    <x v="15"/>
  </r>
  <r>
    <x v="0"/>
    <x v="10"/>
    <x v="12"/>
    <x v="3"/>
    <x v="15"/>
  </r>
  <r>
    <x v="0"/>
    <x v="10"/>
    <x v="12"/>
    <x v="3"/>
    <x v="15"/>
  </r>
  <r>
    <x v="10"/>
    <x v="10"/>
    <x v="19"/>
    <x v="3"/>
    <x v="15"/>
  </r>
  <r>
    <x v="0"/>
    <x v="10"/>
    <x v="12"/>
    <x v="3"/>
    <x v="15"/>
  </r>
  <r>
    <x v="8"/>
    <x v="10"/>
    <x v="12"/>
    <x v="3"/>
    <x v="15"/>
  </r>
  <r>
    <x v="0"/>
    <x v="10"/>
    <x v="19"/>
    <x v="3"/>
    <x v="15"/>
  </r>
  <r>
    <x v="0"/>
    <x v="10"/>
    <x v="24"/>
    <x v="3"/>
    <x v="17"/>
  </r>
  <r>
    <x v="0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0"/>
    <x v="10"/>
    <x v="16"/>
    <x v="3"/>
    <x v="12"/>
  </r>
  <r>
    <x v="0"/>
    <x v="10"/>
    <x v="10"/>
    <x v="3"/>
    <x v="9"/>
  </r>
  <r>
    <x v="0"/>
    <x v="10"/>
    <x v="28"/>
    <x v="3"/>
    <x v="20"/>
  </r>
  <r>
    <x v="0"/>
    <x v="10"/>
    <x v="21"/>
    <x v="3"/>
    <x v="16"/>
  </r>
  <r>
    <x v="0"/>
    <x v="10"/>
    <x v="18"/>
    <x v="3"/>
    <x v="14"/>
  </r>
  <r>
    <x v="11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6"/>
    <x v="10"/>
    <x v="17"/>
    <x v="3"/>
    <x v="13"/>
  </r>
  <r>
    <x v="0"/>
    <x v="10"/>
    <x v="17"/>
    <x v="3"/>
    <x v="13"/>
  </r>
  <r>
    <x v="0"/>
    <x v="10"/>
    <x v="8"/>
    <x v="3"/>
    <x v="7"/>
  </r>
  <r>
    <x v="0"/>
    <x v="10"/>
    <x v="8"/>
    <x v="3"/>
    <x v="7"/>
  </r>
  <r>
    <x v="108"/>
    <x v="10"/>
    <x v="2"/>
    <x v="3"/>
    <x v="8"/>
  </r>
  <r>
    <x v="12"/>
    <x v="10"/>
    <x v="2"/>
    <x v="3"/>
    <x v="8"/>
  </r>
  <r>
    <x v="0"/>
    <x v="10"/>
    <x v="2"/>
    <x v="3"/>
    <x v="8"/>
  </r>
  <r>
    <x v="11"/>
    <x v="10"/>
    <x v="2"/>
    <x v="3"/>
    <x v="8"/>
  </r>
  <r>
    <x v="25"/>
    <x v="10"/>
    <x v="2"/>
    <x v="3"/>
    <x v="8"/>
  </r>
  <r>
    <x v="49"/>
    <x v="10"/>
    <x v="2"/>
    <x v="3"/>
    <x v="8"/>
  </r>
  <r>
    <x v="222"/>
    <x v="10"/>
    <x v="2"/>
    <x v="3"/>
    <x v="8"/>
  </r>
  <r>
    <x v="0"/>
    <x v="10"/>
    <x v="20"/>
    <x v="3"/>
    <x v="15"/>
  </r>
  <r>
    <x v="0"/>
    <x v="10"/>
    <x v="20"/>
    <x v="3"/>
    <x v="15"/>
  </r>
  <r>
    <x v="0"/>
    <x v="10"/>
    <x v="20"/>
    <x v="3"/>
    <x v="15"/>
  </r>
  <r>
    <x v="8"/>
    <x v="10"/>
    <x v="9"/>
    <x v="3"/>
    <x v="8"/>
  </r>
  <r>
    <x v="10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7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11"/>
    <x v="10"/>
    <x v="9"/>
    <x v="3"/>
    <x v="8"/>
  </r>
  <r>
    <x v="223"/>
    <x v="10"/>
    <x v="9"/>
    <x v="3"/>
    <x v="8"/>
  </r>
  <r>
    <x v="74"/>
    <x v="10"/>
    <x v="9"/>
    <x v="3"/>
    <x v="8"/>
  </r>
  <r>
    <x v="32"/>
    <x v="10"/>
    <x v="9"/>
    <x v="3"/>
    <x v="8"/>
  </r>
  <r>
    <x v="0"/>
    <x v="10"/>
    <x v="13"/>
    <x v="3"/>
    <x v="8"/>
  </r>
  <r>
    <x v="157"/>
    <x v="10"/>
    <x v="15"/>
    <x v="3"/>
    <x v="8"/>
  </r>
  <r>
    <x v="358"/>
    <x v="10"/>
    <x v="15"/>
    <x v="3"/>
    <x v="8"/>
  </r>
  <r>
    <x v="32"/>
    <x v="10"/>
    <x v="15"/>
    <x v="3"/>
    <x v="8"/>
  </r>
  <r>
    <x v="117"/>
    <x v="10"/>
    <x v="15"/>
    <x v="3"/>
    <x v="8"/>
  </r>
  <r>
    <x v="256"/>
    <x v="10"/>
    <x v="15"/>
    <x v="3"/>
    <x v="8"/>
  </r>
  <r>
    <x v="0"/>
    <x v="10"/>
    <x v="25"/>
    <x v="3"/>
    <x v="15"/>
  </r>
  <r>
    <x v="0"/>
    <x v="10"/>
    <x v="26"/>
    <x v="3"/>
    <x v="18"/>
  </r>
  <r>
    <x v="0"/>
    <x v="10"/>
    <x v="22"/>
    <x v="3"/>
    <x v="15"/>
  </r>
  <r>
    <x v="0"/>
    <x v="10"/>
    <x v="28"/>
    <x v="3"/>
    <x v="20"/>
  </r>
  <r>
    <x v="0"/>
    <x v="10"/>
    <x v="3"/>
    <x v="3"/>
    <x v="2"/>
  </r>
  <r>
    <x v="0"/>
    <x v="10"/>
    <x v="3"/>
    <x v="3"/>
    <x v="2"/>
  </r>
  <r>
    <x v="8"/>
    <x v="10"/>
    <x v="28"/>
    <x v="3"/>
    <x v="20"/>
  </r>
  <r>
    <x v="462"/>
    <x v="10"/>
    <x v="15"/>
    <x v="3"/>
    <x v="8"/>
  </r>
  <r>
    <x v="209"/>
    <x v="10"/>
    <x v="15"/>
    <x v="3"/>
    <x v="8"/>
  </r>
  <r>
    <x v="0"/>
    <x v="10"/>
    <x v="13"/>
    <x v="3"/>
    <x v="8"/>
  </r>
  <r>
    <x v="190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0"/>
    <x v="10"/>
    <x v="6"/>
    <x v="3"/>
    <x v="5"/>
  </r>
  <r>
    <x v="531"/>
    <x v="10"/>
    <x v="0"/>
    <x v="3"/>
    <x v="0"/>
  </r>
  <r>
    <x v="15"/>
    <x v="10"/>
    <x v="1"/>
    <x v="3"/>
    <x v="1"/>
  </r>
  <r>
    <x v="10"/>
    <x v="10"/>
    <x v="28"/>
    <x v="3"/>
    <x v="20"/>
  </r>
  <r>
    <x v="7"/>
    <x v="10"/>
    <x v="14"/>
    <x v="3"/>
    <x v="11"/>
  </r>
  <r>
    <x v="0"/>
    <x v="10"/>
    <x v="28"/>
    <x v="3"/>
    <x v="20"/>
  </r>
  <r>
    <x v="0"/>
    <x v="10"/>
    <x v="28"/>
    <x v="3"/>
    <x v="20"/>
  </r>
  <r>
    <x v="0"/>
    <x v="10"/>
    <x v="7"/>
    <x v="3"/>
    <x v="6"/>
  </r>
  <r>
    <x v="0"/>
    <x v="10"/>
    <x v="28"/>
    <x v="3"/>
    <x v="20"/>
  </r>
  <r>
    <x v="0"/>
    <x v="10"/>
    <x v="27"/>
    <x v="3"/>
    <x v="19"/>
  </r>
  <r>
    <x v="0"/>
    <x v="10"/>
    <x v="25"/>
    <x v="3"/>
    <x v="15"/>
  </r>
  <r>
    <x v="0"/>
    <x v="10"/>
    <x v="16"/>
    <x v="3"/>
    <x v="12"/>
  </r>
  <r>
    <x v="0"/>
    <x v="10"/>
    <x v="16"/>
    <x v="3"/>
    <x v="12"/>
  </r>
  <r>
    <x v="0"/>
    <x v="10"/>
    <x v="16"/>
    <x v="3"/>
    <x v="12"/>
  </r>
  <r>
    <x v="0"/>
    <x v="10"/>
    <x v="23"/>
    <x v="3"/>
    <x v="15"/>
  </r>
  <r>
    <x v="0"/>
    <x v="10"/>
    <x v="23"/>
    <x v="3"/>
    <x v="15"/>
  </r>
  <r>
    <x v="0"/>
    <x v="10"/>
    <x v="19"/>
    <x v="3"/>
    <x v="15"/>
  </r>
  <r>
    <x v="0"/>
    <x v="10"/>
    <x v="25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12"/>
    <x v="3"/>
    <x v="15"/>
  </r>
  <r>
    <x v="0"/>
    <x v="10"/>
    <x v="12"/>
    <x v="3"/>
    <x v="15"/>
  </r>
  <r>
    <x v="0"/>
    <x v="10"/>
    <x v="19"/>
    <x v="3"/>
    <x v="15"/>
  </r>
  <r>
    <x v="0"/>
    <x v="10"/>
    <x v="24"/>
    <x v="3"/>
    <x v="17"/>
  </r>
  <r>
    <x v="0"/>
    <x v="10"/>
    <x v="11"/>
    <x v="3"/>
    <x v="10"/>
  </r>
  <r>
    <x v="0"/>
    <x v="10"/>
    <x v="11"/>
    <x v="3"/>
    <x v="10"/>
  </r>
  <r>
    <x v="0"/>
    <x v="10"/>
    <x v="28"/>
    <x v="3"/>
    <x v="20"/>
  </r>
  <r>
    <x v="0"/>
    <x v="10"/>
    <x v="28"/>
    <x v="3"/>
    <x v="20"/>
  </r>
  <r>
    <x v="0"/>
    <x v="10"/>
    <x v="16"/>
    <x v="3"/>
    <x v="12"/>
  </r>
  <r>
    <x v="0"/>
    <x v="10"/>
    <x v="16"/>
    <x v="3"/>
    <x v="12"/>
  </r>
  <r>
    <x v="0"/>
    <x v="10"/>
    <x v="10"/>
    <x v="3"/>
    <x v="9"/>
  </r>
  <r>
    <x v="0"/>
    <x v="10"/>
    <x v="28"/>
    <x v="3"/>
    <x v="20"/>
  </r>
  <r>
    <x v="0"/>
    <x v="10"/>
    <x v="21"/>
    <x v="3"/>
    <x v="16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8"/>
    <x v="3"/>
    <x v="14"/>
  </r>
  <r>
    <x v="0"/>
    <x v="10"/>
    <x v="17"/>
    <x v="3"/>
    <x v="13"/>
  </r>
  <r>
    <x v="7"/>
    <x v="10"/>
    <x v="17"/>
    <x v="3"/>
    <x v="13"/>
  </r>
  <r>
    <x v="0"/>
    <x v="10"/>
    <x v="8"/>
    <x v="3"/>
    <x v="7"/>
  </r>
  <r>
    <x v="0"/>
    <x v="10"/>
    <x v="8"/>
    <x v="3"/>
    <x v="7"/>
  </r>
  <r>
    <x v="23"/>
    <x v="10"/>
    <x v="2"/>
    <x v="3"/>
    <x v="8"/>
  </r>
  <r>
    <x v="0"/>
    <x v="10"/>
    <x v="2"/>
    <x v="3"/>
    <x v="8"/>
  </r>
  <r>
    <x v="0"/>
    <x v="10"/>
    <x v="2"/>
    <x v="3"/>
    <x v="8"/>
  </r>
  <r>
    <x v="0"/>
    <x v="10"/>
    <x v="2"/>
    <x v="3"/>
    <x v="8"/>
  </r>
  <r>
    <x v="0"/>
    <x v="10"/>
    <x v="2"/>
    <x v="3"/>
    <x v="8"/>
  </r>
  <r>
    <x v="8"/>
    <x v="10"/>
    <x v="2"/>
    <x v="3"/>
    <x v="8"/>
  </r>
  <r>
    <x v="96"/>
    <x v="10"/>
    <x v="2"/>
    <x v="3"/>
    <x v="8"/>
  </r>
  <r>
    <x v="12"/>
    <x v="10"/>
    <x v="20"/>
    <x v="3"/>
    <x v="15"/>
  </r>
  <r>
    <x v="0"/>
    <x v="10"/>
    <x v="20"/>
    <x v="3"/>
    <x v="15"/>
  </r>
  <r>
    <x v="0"/>
    <x v="10"/>
    <x v="20"/>
    <x v="3"/>
    <x v="15"/>
  </r>
  <r>
    <x v="28"/>
    <x v="10"/>
    <x v="9"/>
    <x v="3"/>
    <x v="8"/>
  </r>
  <r>
    <x v="11"/>
    <x v="10"/>
    <x v="9"/>
    <x v="3"/>
    <x v="8"/>
  </r>
  <r>
    <x v="0"/>
    <x v="10"/>
    <x v="9"/>
    <x v="3"/>
    <x v="8"/>
  </r>
  <r>
    <x v="11"/>
    <x v="10"/>
    <x v="9"/>
    <x v="3"/>
    <x v="8"/>
  </r>
  <r>
    <x v="0"/>
    <x v="10"/>
    <x v="9"/>
    <x v="3"/>
    <x v="8"/>
  </r>
  <r>
    <x v="0"/>
    <x v="10"/>
    <x v="9"/>
    <x v="3"/>
    <x v="8"/>
  </r>
  <r>
    <x v="0"/>
    <x v="10"/>
    <x v="9"/>
    <x v="3"/>
    <x v="8"/>
  </r>
  <r>
    <x v="45"/>
    <x v="10"/>
    <x v="9"/>
    <x v="3"/>
    <x v="8"/>
  </r>
  <r>
    <x v="0"/>
    <x v="10"/>
    <x v="9"/>
    <x v="3"/>
    <x v="8"/>
  </r>
  <r>
    <x v="0"/>
    <x v="10"/>
    <x v="9"/>
    <x v="3"/>
    <x v="8"/>
  </r>
  <r>
    <x v="6"/>
    <x v="10"/>
    <x v="9"/>
    <x v="3"/>
    <x v="8"/>
  </r>
  <r>
    <x v="16"/>
    <x v="10"/>
    <x v="9"/>
    <x v="3"/>
    <x v="8"/>
  </r>
  <r>
    <x v="112"/>
    <x v="10"/>
    <x v="9"/>
    <x v="3"/>
    <x v="8"/>
  </r>
  <r>
    <x v="72"/>
    <x v="10"/>
    <x v="9"/>
    <x v="3"/>
    <x v="8"/>
  </r>
  <r>
    <x v="16"/>
    <x v="10"/>
    <x v="9"/>
    <x v="3"/>
    <x v="8"/>
  </r>
  <r>
    <x v="0"/>
    <x v="10"/>
    <x v="13"/>
    <x v="3"/>
    <x v="8"/>
  </r>
  <r>
    <x v="36"/>
    <x v="10"/>
    <x v="15"/>
    <x v="3"/>
    <x v="8"/>
  </r>
  <r>
    <x v="127"/>
    <x v="10"/>
    <x v="15"/>
    <x v="3"/>
    <x v="8"/>
  </r>
  <r>
    <x v="84"/>
    <x v="10"/>
    <x v="15"/>
    <x v="3"/>
    <x v="8"/>
  </r>
  <r>
    <x v="127"/>
    <x v="10"/>
    <x v="15"/>
    <x v="3"/>
    <x v="8"/>
  </r>
  <r>
    <x v="361"/>
    <x v="10"/>
    <x v="15"/>
    <x v="3"/>
    <x v="8"/>
  </r>
  <r>
    <x v="0"/>
    <x v="10"/>
    <x v="25"/>
    <x v="3"/>
    <x v="15"/>
  </r>
  <r>
    <x v="0"/>
    <x v="10"/>
    <x v="26"/>
    <x v="3"/>
    <x v="18"/>
  </r>
  <r>
    <x v="0"/>
    <x v="10"/>
    <x v="22"/>
    <x v="3"/>
    <x v="15"/>
  </r>
  <r>
    <x v="0"/>
    <x v="10"/>
    <x v="28"/>
    <x v="3"/>
    <x v="20"/>
  </r>
  <r>
    <x v="0"/>
    <x v="10"/>
    <x v="3"/>
    <x v="3"/>
    <x v="2"/>
  </r>
  <r>
    <x v="0"/>
    <x v="10"/>
    <x v="3"/>
    <x v="3"/>
    <x v="2"/>
  </r>
  <r>
    <x v="0"/>
    <x v="10"/>
    <x v="28"/>
    <x v="3"/>
    <x v="20"/>
  </r>
  <r>
    <x v="176"/>
    <x v="10"/>
    <x v="15"/>
    <x v="3"/>
    <x v="8"/>
  </r>
  <r>
    <x v="429"/>
    <x v="10"/>
    <x v="15"/>
    <x v="3"/>
    <x v="8"/>
  </r>
  <r>
    <x v="0"/>
    <x v="10"/>
    <x v="13"/>
    <x v="3"/>
    <x v="8"/>
  </r>
  <r>
    <x v="35"/>
    <x v="10"/>
    <x v="2"/>
    <x v="3"/>
    <x v="8"/>
  </r>
  <r>
    <x v="0"/>
    <x v="10"/>
    <x v="24"/>
    <x v="3"/>
    <x v="17"/>
  </r>
  <r>
    <x v="0"/>
    <x v="10"/>
    <x v="4"/>
    <x v="3"/>
    <x v="3"/>
  </r>
  <r>
    <x v="0"/>
    <x v="10"/>
    <x v="5"/>
    <x v="3"/>
    <x v="4"/>
  </r>
  <r>
    <x v="9"/>
    <x v="10"/>
    <x v="6"/>
    <x v="3"/>
    <x v="5"/>
  </r>
  <r>
    <x v="513"/>
    <x v="8"/>
    <x v="0"/>
    <x v="3"/>
    <x v="0"/>
  </r>
  <r>
    <x v="0"/>
    <x v="8"/>
    <x v="1"/>
    <x v="3"/>
    <x v="1"/>
  </r>
  <r>
    <x v="9"/>
    <x v="8"/>
    <x v="28"/>
    <x v="3"/>
    <x v="20"/>
  </r>
  <r>
    <x v="0"/>
    <x v="8"/>
    <x v="14"/>
    <x v="3"/>
    <x v="11"/>
  </r>
  <r>
    <x v="0"/>
    <x v="8"/>
    <x v="28"/>
    <x v="3"/>
    <x v="20"/>
  </r>
  <r>
    <x v="0"/>
    <x v="8"/>
    <x v="28"/>
    <x v="3"/>
    <x v="20"/>
  </r>
  <r>
    <x v="0"/>
    <x v="8"/>
    <x v="7"/>
    <x v="3"/>
    <x v="6"/>
  </r>
  <r>
    <x v="0"/>
    <x v="8"/>
    <x v="28"/>
    <x v="3"/>
    <x v="20"/>
  </r>
  <r>
    <x v="0"/>
    <x v="8"/>
    <x v="27"/>
    <x v="3"/>
    <x v="19"/>
  </r>
  <r>
    <x v="0"/>
    <x v="8"/>
    <x v="25"/>
    <x v="3"/>
    <x v="15"/>
  </r>
  <r>
    <x v="0"/>
    <x v="8"/>
    <x v="16"/>
    <x v="3"/>
    <x v="12"/>
  </r>
  <r>
    <x v="0"/>
    <x v="8"/>
    <x v="16"/>
    <x v="3"/>
    <x v="12"/>
  </r>
  <r>
    <x v="0"/>
    <x v="8"/>
    <x v="16"/>
    <x v="3"/>
    <x v="12"/>
  </r>
  <r>
    <x v="0"/>
    <x v="8"/>
    <x v="23"/>
    <x v="3"/>
    <x v="15"/>
  </r>
  <r>
    <x v="0"/>
    <x v="8"/>
    <x v="23"/>
    <x v="3"/>
    <x v="15"/>
  </r>
  <r>
    <x v="0"/>
    <x v="8"/>
    <x v="19"/>
    <x v="3"/>
    <x v="15"/>
  </r>
  <r>
    <x v="0"/>
    <x v="8"/>
    <x v="25"/>
    <x v="3"/>
    <x v="15"/>
  </r>
  <r>
    <x v="0"/>
    <x v="8"/>
    <x v="12"/>
    <x v="3"/>
    <x v="15"/>
  </r>
  <r>
    <x v="0"/>
    <x v="8"/>
    <x v="12"/>
    <x v="3"/>
    <x v="15"/>
  </r>
  <r>
    <x v="0"/>
    <x v="8"/>
    <x v="19"/>
    <x v="3"/>
    <x v="15"/>
  </r>
  <r>
    <x v="0"/>
    <x v="8"/>
    <x v="12"/>
    <x v="3"/>
    <x v="15"/>
  </r>
  <r>
    <x v="0"/>
    <x v="8"/>
    <x v="12"/>
    <x v="3"/>
    <x v="15"/>
  </r>
  <r>
    <x v="6"/>
    <x v="8"/>
    <x v="19"/>
    <x v="3"/>
    <x v="15"/>
  </r>
  <r>
    <x v="0"/>
    <x v="8"/>
    <x v="24"/>
    <x v="3"/>
    <x v="17"/>
  </r>
  <r>
    <x v="0"/>
    <x v="8"/>
    <x v="11"/>
    <x v="3"/>
    <x v="10"/>
  </r>
  <r>
    <x v="0"/>
    <x v="8"/>
    <x v="11"/>
    <x v="3"/>
    <x v="10"/>
  </r>
  <r>
    <x v="0"/>
    <x v="8"/>
    <x v="28"/>
    <x v="3"/>
    <x v="20"/>
  </r>
  <r>
    <x v="0"/>
    <x v="8"/>
    <x v="28"/>
    <x v="3"/>
    <x v="20"/>
  </r>
  <r>
    <x v="0"/>
    <x v="8"/>
    <x v="16"/>
    <x v="3"/>
    <x v="12"/>
  </r>
  <r>
    <x v="0"/>
    <x v="8"/>
    <x v="16"/>
    <x v="3"/>
    <x v="12"/>
  </r>
  <r>
    <x v="0"/>
    <x v="8"/>
    <x v="10"/>
    <x v="3"/>
    <x v="9"/>
  </r>
  <r>
    <x v="0"/>
    <x v="8"/>
    <x v="28"/>
    <x v="3"/>
    <x v="20"/>
  </r>
  <r>
    <x v="40"/>
    <x v="8"/>
    <x v="21"/>
    <x v="3"/>
    <x v="16"/>
  </r>
  <r>
    <x v="7"/>
    <x v="8"/>
    <x v="18"/>
    <x v="3"/>
    <x v="14"/>
  </r>
  <r>
    <x v="0"/>
    <x v="8"/>
    <x v="18"/>
    <x v="3"/>
    <x v="14"/>
  </r>
  <r>
    <x v="0"/>
    <x v="8"/>
    <x v="18"/>
    <x v="3"/>
    <x v="14"/>
  </r>
  <r>
    <x v="0"/>
    <x v="8"/>
    <x v="18"/>
    <x v="3"/>
    <x v="14"/>
  </r>
  <r>
    <x v="0"/>
    <x v="8"/>
    <x v="18"/>
    <x v="3"/>
    <x v="14"/>
  </r>
  <r>
    <x v="0"/>
    <x v="8"/>
    <x v="17"/>
    <x v="3"/>
    <x v="13"/>
  </r>
  <r>
    <x v="0"/>
    <x v="8"/>
    <x v="17"/>
    <x v="3"/>
    <x v="13"/>
  </r>
  <r>
    <x v="0"/>
    <x v="8"/>
    <x v="8"/>
    <x v="3"/>
    <x v="7"/>
  </r>
  <r>
    <x v="0"/>
    <x v="8"/>
    <x v="8"/>
    <x v="3"/>
    <x v="7"/>
  </r>
  <r>
    <x v="0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"/>
    <x v="3"/>
    <x v="8"/>
  </r>
  <r>
    <x v="0"/>
    <x v="8"/>
    <x v="20"/>
    <x v="3"/>
    <x v="15"/>
  </r>
  <r>
    <x v="0"/>
    <x v="8"/>
    <x v="20"/>
    <x v="3"/>
    <x v="15"/>
  </r>
  <r>
    <x v="0"/>
    <x v="8"/>
    <x v="20"/>
    <x v="3"/>
    <x v="15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0"/>
    <x v="8"/>
    <x v="9"/>
    <x v="3"/>
    <x v="8"/>
  </r>
  <r>
    <x v="5"/>
    <x v="8"/>
    <x v="9"/>
    <x v="3"/>
    <x v="8"/>
  </r>
  <r>
    <x v="143"/>
    <x v="8"/>
    <x v="9"/>
    <x v="3"/>
    <x v="8"/>
  </r>
  <r>
    <x v="123"/>
    <x v="8"/>
    <x v="9"/>
    <x v="3"/>
    <x v="8"/>
  </r>
  <r>
    <x v="18"/>
    <x v="8"/>
    <x v="9"/>
    <x v="3"/>
    <x v="8"/>
  </r>
  <r>
    <x v="426"/>
    <x v="8"/>
    <x v="13"/>
    <x v="3"/>
    <x v="8"/>
  </r>
  <r>
    <x v="0"/>
    <x v="8"/>
    <x v="15"/>
    <x v="3"/>
    <x v="8"/>
  </r>
  <r>
    <x v="0"/>
    <x v="8"/>
    <x v="15"/>
    <x v="3"/>
    <x v="8"/>
  </r>
  <r>
    <x v="0"/>
    <x v="8"/>
    <x v="15"/>
    <x v="3"/>
    <x v="8"/>
  </r>
  <r>
    <x v="0"/>
    <x v="8"/>
    <x v="15"/>
    <x v="3"/>
    <x v="8"/>
  </r>
  <r>
    <x v="9"/>
    <x v="8"/>
    <x v="15"/>
    <x v="3"/>
    <x v="8"/>
  </r>
  <r>
    <x v="0"/>
    <x v="8"/>
    <x v="25"/>
    <x v="3"/>
    <x v="15"/>
  </r>
  <r>
    <x v="0"/>
    <x v="8"/>
    <x v="26"/>
    <x v="3"/>
    <x v="18"/>
  </r>
  <r>
    <x v="0"/>
    <x v="8"/>
    <x v="22"/>
    <x v="3"/>
    <x v="15"/>
  </r>
  <r>
    <x v="0"/>
    <x v="8"/>
    <x v="28"/>
    <x v="3"/>
    <x v="20"/>
  </r>
  <r>
    <x v="0"/>
    <x v="8"/>
    <x v="3"/>
    <x v="3"/>
    <x v="2"/>
  </r>
  <r>
    <x v="0"/>
    <x v="8"/>
    <x v="3"/>
    <x v="3"/>
    <x v="2"/>
  </r>
  <r>
    <x v="7"/>
    <x v="8"/>
    <x v="28"/>
    <x v="3"/>
    <x v="20"/>
  </r>
  <r>
    <x v="0"/>
    <x v="8"/>
    <x v="15"/>
    <x v="3"/>
    <x v="8"/>
  </r>
  <r>
    <x v="0"/>
    <x v="8"/>
    <x v="15"/>
    <x v="3"/>
    <x v="8"/>
  </r>
  <r>
    <x v="411"/>
    <x v="8"/>
    <x v="13"/>
    <x v="3"/>
    <x v="8"/>
  </r>
  <r>
    <x v="9"/>
    <x v="8"/>
    <x v="2"/>
    <x v="3"/>
    <x v="8"/>
  </r>
  <r>
    <x v="0"/>
    <x v="8"/>
    <x v="24"/>
    <x v="3"/>
    <x v="17"/>
  </r>
  <r>
    <x v="0"/>
    <x v="8"/>
    <x v="4"/>
    <x v="3"/>
    <x v="3"/>
  </r>
  <r>
    <x v="0"/>
    <x v="8"/>
    <x v="5"/>
    <x v="3"/>
    <x v="4"/>
  </r>
  <r>
    <x v="0"/>
    <x v="8"/>
    <x v="6"/>
    <x v="3"/>
    <x v="5"/>
  </r>
  <r>
    <x v="546"/>
    <x v="0"/>
    <x v="0"/>
    <x v="3"/>
    <x v="0"/>
  </r>
  <r>
    <x v="6"/>
    <x v="0"/>
    <x v="1"/>
    <x v="3"/>
    <x v="1"/>
  </r>
  <r>
    <x v="0"/>
    <x v="0"/>
    <x v="28"/>
    <x v="3"/>
    <x v="20"/>
  </r>
  <r>
    <x v="0"/>
    <x v="0"/>
    <x v="14"/>
    <x v="3"/>
    <x v="11"/>
  </r>
  <r>
    <x v="0"/>
    <x v="0"/>
    <x v="28"/>
    <x v="3"/>
    <x v="20"/>
  </r>
  <r>
    <x v="0"/>
    <x v="0"/>
    <x v="28"/>
    <x v="3"/>
    <x v="20"/>
  </r>
  <r>
    <x v="0"/>
    <x v="0"/>
    <x v="7"/>
    <x v="3"/>
    <x v="6"/>
  </r>
  <r>
    <x v="0"/>
    <x v="0"/>
    <x v="28"/>
    <x v="3"/>
    <x v="20"/>
  </r>
  <r>
    <x v="0"/>
    <x v="0"/>
    <x v="27"/>
    <x v="3"/>
    <x v="19"/>
  </r>
  <r>
    <x v="0"/>
    <x v="0"/>
    <x v="25"/>
    <x v="3"/>
    <x v="15"/>
  </r>
  <r>
    <x v="0"/>
    <x v="0"/>
    <x v="16"/>
    <x v="3"/>
    <x v="12"/>
  </r>
  <r>
    <x v="6"/>
    <x v="0"/>
    <x v="16"/>
    <x v="3"/>
    <x v="12"/>
  </r>
  <r>
    <x v="0"/>
    <x v="0"/>
    <x v="16"/>
    <x v="3"/>
    <x v="12"/>
  </r>
  <r>
    <x v="0"/>
    <x v="0"/>
    <x v="23"/>
    <x v="3"/>
    <x v="15"/>
  </r>
  <r>
    <x v="0"/>
    <x v="0"/>
    <x v="23"/>
    <x v="3"/>
    <x v="15"/>
  </r>
  <r>
    <x v="0"/>
    <x v="0"/>
    <x v="19"/>
    <x v="3"/>
    <x v="15"/>
  </r>
  <r>
    <x v="0"/>
    <x v="0"/>
    <x v="25"/>
    <x v="3"/>
    <x v="15"/>
  </r>
  <r>
    <x v="0"/>
    <x v="0"/>
    <x v="12"/>
    <x v="3"/>
    <x v="15"/>
  </r>
  <r>
    <x v="8"/>
    <x v="0"/>
    <x v="12"/>
    <x v="3"/>
    <x v="15"/>
  </r>
  <r>
    <x v="0"/>
    <x v="0"/>
    <x v="19"/>
    <x v="3"/>
    <x v="15"/>
  </r>
  <r>
    <x v="0"/>
    <x v="0"/>
    <x v="12"/>
    <x v="3"/>
    <x v="15"/>
  </r>
  <r>
    <x v="0"/>
    <x v="0"/>
    <x v="12"/>
    <x v="3"/>
    <x v="15"/>
  </r>
  <r>
    <x v="0"/>
    <x v="0"/>
    <x v="19"/>
    <x v="3"/>
    <x v="15"/>
  </r>
  <r>
    <x v="0"/>
    <x v="0"/>
    <x v="24"/>
    <x v="3"/>
    <x v="17"/>
  </r>
  <r>
    <x v="0"/>
    <x v="0"/>
    <x v="11"/>
    <x v="3"/>
    <x v="10"/>
  </r>
  <r>
    <x v="0"/>
    <x v="0"/>
    <x v="11"/>
    <x v="3"/>
    <x v="10"/>
  </r>
  <r>
    <x v="0"/>
    <x v="0"/>
    <x v="28"/>
    <x v="3"/>
    <x v="20"/>
  </r>
  <r>
    <x v="0"/>
    <x v="0"/>
    <x v="28"/>
    <x v="3"/>
    <x v="20"/>
  </r>
  <r>
    <x v="0"/>
    <x v="0"/>
    <x v="16"/>
    <x v="3"/>
    <x v="12"/>
  </r>
  <r>
    <x v="0"/>
    <x v="0"/>
    <x v="16"/>
    <x v="3"/>
    <x v="12"/>
  </r>
  <r>
    <x v="0"/>
    <x v="0"/>
    <x v="10"/>
    <x v="3"/>
    <x v="9"/>
  </r>
  <r>
    <x v="0"/>
    <x v="0"/>
    <x v="28"/>
    <x v="3"/>
    <x v="20"/>
  </r>
  <r>
    <x v="0"/>
    <x v="0"/>
    <x v="21"/>
    <x v="3"/>
    <x v="16"/>
  </r>
  <r>
    <x v="7"/>
    <x v="0"/>
    <x v="18"/>
    <x v="3"/>
    <x v="14"/>
  </r>
  <r>
    <x v="17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8"/>
    <x v="3"/>
    <x v="14"/>
  </r>
  <r>
    <x v="0"/>
    <x v="0"/>
    <x v="17"/>
    <x v="3"/>
    <x v="13"/>
  </r>
  <r>
    <x v="0"/>
    <x v="0"/>
    <x v="17"/>
    <x v="3"/>
    <x v="13"/>
  </r>
  <r>
    <x v="0"/>
    <x v="0"/>
    <x v="8"/>
    <x v="3"/>
    <x v="7"/>
  </r>
  <r>
    <x v="0"/>
    <x v="0"/>
    <x v="8"/>
    <x v="3"/>
    <x v="7"/>
  </r>
  <r>
    <x v="305"/>
    <x v="0"/>
    <x v="2"/>
    <x v="3"/>
    <x v="8"/>
  </r>
  <r>
    <x v="35"/>
    <x v="0"/>
    <x v="2"/>
    <x v="3"/>
    <x v="8"/>
  </r>
  <r>
    <x v="43"/>
    <x v="0"/>
    <x v="2"/>
    <x v="3"/>
    <x v="8"/>
  </r>
  <r>
    <x v="52"/>
    <x v="0"/>
    <x v="2"/>
    <x v="3"/>
    <x v="8"/>
  </r>
  <r>
    <x v="97"/>
    <x v="0"/>
    <x v="2"/>
    <x v="3"/>
    <x v="8"/>
  </r>
  <r>
    <x v="235"/>
    <x v="0"/>
    <x v="2"/>
    <x v="3"/>
    <x v="8"/>
  </r>
  <r>
    <x v="459"/>
    <x v="0"/>
    <x v="2"/>
    <x v="3"/>
    <x v="8"/>
  </r>
  <r>
    <x v="0"/>
    <x v="0"/>
    <x v="20"/>
    <x v="3"/>
    <x v="15"/>
  </r>
  <r>
    <x v="0"/>
    <x v="0"/>
    <x v="20"/>
    <x v="3"/>
    <x v="15"/>
  </r>
  <r>
    <x v="0"/>
    <x v="0"/>
    <x v="20"/>
    <x v="3"/>
    <x v="15"/>
  </r>
  <r>
    <x v="5"/>
    <x v="0"/>
    <x v="9"/>
    <x v="3"/>
    <x v="8"/>
  </r>
  <r>
    <x v="7"/>
    <x v="0"/>
    <x v="9"/>
    <x v="3"/>
    <x v="8"/>
  </r>
  <r>
    <x v="19"/>
    <x v="0"/>
    <x v="9"/>
    <x v="3"/>
    <x v="8"/>
  </r>
  <r>
    <x v="40"/>
    <x v="0"/>
    <x v="9"/>
    <x v="3"/>
    <x v="8"/>
  </r>
  <r>
    <x v="8"/>
    <x v="0"/>
    <x v="9"/>
    <x v="3"/>
    <x v="8"/>
  </r>
  <r>
    <x v="25"/>
    <x v="0"/>
    <x v="9"/>
    <x v="3"/>
    <x v="8"/>
  </r>
  <r>
    <x v="6"/>
    <x v="0"/>
    <x v="9"/>
    <x v="3"/>
    <x v="8"/>
  </r>
  <r>
    <x v="18"/>
    <x v="0"/>
    <x v="9"/>
    <x v="3"/>
    <x v="8"/>
  </r>
  <r>
    <x v="27"/>
    <x v="0"/>
    <x v="9"/>
    <x v="3"/>
    <x v="8"/>
  </r>
  <r>
    <x v="14"/>
    <x v="0"/>
    <x v="9"/>
    <x v="3"/>
    <x v="8"/>
  </r>
  <r>
    <x v="0"/>
    <x v="0"/>
    <x v="9"/>
    <x v="3"/>
    <x v="8"/>
  </r>
  <r>
    <x v="0"/>
    <x v="0"/>
    <x v="9"/>
    <x v="3"/>
    <x v="8"/>
  </r>
  <r>
    <x v="311"/>
    <x v="0"/>
    <x v="9"/>
    <x v="3"/>
    <x v="8"/>
  </r>
  <r>
    <x v="213"/>
    <x v="0"/>
    <x v="9"/>
    <x v="3"/>
    <x v="8"/>
  </r>
  <r>
    <x v="185"/>
    <x v="0"/>
    <x v="9"/>
    <x v="3"/>
    <x v="8"/>
  </r>
  <r>
    <x v="11"/>
    <x v="0"/>
    <x v="13"/>
    <x v="3"/>
    <x v="8"/>
  </r>
  <r>
    <x v="0"/>
    <x v="0"/>
    <x v="15"/>
    <x v="3"/>
    <x v="8"/>
  </r>
  <r>
    <x v="47"/>
    <x v="0"/>
    <x v="15"/>
    <x v="3"/>
    <x v="8"/>
  </r>
  <r>
    <x v="0"/>
    <x v="0"/>
    <x v="15"/>
    <x v="3"/>
    <x v="8"/>
  </r>
  <r>
    <x v="34"/>
    <x v="0"/>
    <x v="15"/>
    <x v="3"/>
    <x v="8"/>
  </r>
  <r>
    <x v="51"/>
    <x v="0"/>
    <x v="15"/>
    <x v="3"/>
    <x v="8"/>
  </r>
  <r>
    <x v="0"/>
    <x v="0"/>
    <x v="25"/>
    <x v="3"/>
    <x v="15"/>
  </r>
  <r>
    <x v="0"/>
    <x v="0"/>
    <x v="26"/>
    <x v="3"/>
    <x v="18"/>
  </r>
  <r>
    <x v="0"/>
    <x v="0"/>
    <x v="22"/>
    <x v="3"/>
    <x v="15"/>
  </r>
  <r>
    <x v="0"/>
    <x v="0"/>
    <x v="28"/>
    <x v="3"/>
    <x v="20"/>
  </r>
  <r>
    <x v="0"/>
    <x v="0"/>
    <x v="3"/>
    <x v="3"/>
    <x v="2"/>
  </r>
  <r>
    <x v="0"/>
    <x v="0"/>
    <x v="3"/>
    <x v="3"/>
    <x v="2"/>
  </r>
  <r>
    <x v="0"/>
    <x v="0"/>
    <x v="28"/>
    <x v="3"/>
    <x v="20"/>
  </r>
  <r>
    <x v="33"/>
    <x v="0"/>
    <x v="15"/>
    <x v="3"/>
    <x v="8"/>
  </r>
  <r>
    <x v="19"/>
    <x v="0"/>
    <x v="15"/>
    <x v="3"/>
    <x v="8"/>
  </r>
  <r>
    <x v="0"/>
    <x v="0"/>
    <x v="13"/>
    <x v="3"/>
    <x v="8"/>
  </r>
  <r>
    <x v="451"/>
    <x v="0"/>
    <x v="2"/>
    <x v="3"/>
    <x v="8"/>
  </r>
  <r>
    <x v="0"/>
    <x v="0"/>
    <x v="24"/>
    <x v="3"/>
    <x v="17"/>
  </r>
  <r>
    <x v="0"/>
    <x v="0"/>
    <x v="4"/>
    <x v="3"/>
    <x v="3"/>
  </r>
  <r>
    <x v="0"/>
    <x v="0"/>
    <x v="5"/>
    <x v="3"/>
    <x v="4"/>
  </r>
  <r>
    <x v="11"/>
    <x v="0"/>
    <x v="6"/>
    <x v="3"/>
    <x v="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AE27" firstHeaderRow="1" firstDataRow="2" firstDataCol="1"/>
  <pivotFields count="3">
    <pivotField dataField="1" compact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Sum of TRIPS" fld="0" subtotal="sum" numFmtId="168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4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W19" firstHeaderRow="1" firstDataRow="2" firstDataCol="1"/>
  <pivotFields count="5">
    <pivotField dataField="1" compact="0" showAll="0"/>
    <pivotField compact="0" outline="0" showAll="0"/>
    <pivotField compact="0" outline="0" showAll="0"/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TRIPS" fld="0" subtotal="sum" numFmtId="16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4" min="44" style="0" width="11.56"/>
  </cols>
  <sheetData>
    <row r="1" customFormat="false" ht="12.75" hidden="false" customHeight="false" outlineLevel="0" collapsed="false">
      <c r="A1" s="0" t="s">
        <v>0</v>
      </c>
      <c r="B1" s="0" t="s">
        <v>1</v>
      </c>
      <c r="AP1" s="0" t="s">
        <v>2</v>
      </c>
    </row>
    <row r="2" customFormat="false" ht="12.75" hidden="false" customHeight="false" outlineLevel="0" collapsed="false">
      <c r="A2" s="0" t="s">
        <v>3</v>
      </c>
      <c r="B2" s="0" t="n">
        <v>0</v>
      </c>
      <c r="C2" s="0" t="n">
        <v>360</v>
      </c>
      <c r="D2" s="0" t="n">
        <v>680</v>
      </c>
      <c r="E2" s="0" t="n">
        <v>1620</v>
      </c>
      <c r="F2" s="0" t="n">
        <v>2840</v>
      </c>
      <c r="G2" s="0" t="n">
        <v>4480</v>
      </c>
      <c r="H2" s="0" t="n">
        <v>4940</v>
      </c>
      <c r="I2" s="0" t="n">
        <v>5170</v>
      </c>
      <c r="J2" s="0" t="n">
        <v>5775</v>
      </c>
      <c r="K2" s="0" t="n">
        <v>6000</v>
      </c>
      <c r="L2" s="0" t="n">
        <v>6690</v>
      </c>
      <c r="M2" s="0" t="n">
        <v>6780</v>
      </c>
      <c r="N2" s="0" t="n">
        <v>6920</v>
      </c>
      <c r="O2" s="0" t="n">
        <v>7120</v>
      </c>
      <c r="P2" s="0" t="n">
        <v>7320</v>
      </c>
      <c r="Q2" s="0" t="n">
        <v>7360</v>
      </c>
      <c r="R2" s="0" t="n">
        <v>7400</v>
      </c>
      <c r="S2" s="0" t="n">
        <v>7480</v>
      </c>
      <c r="T2" s="0" t="n">
        <v>7485</v>
      </c>
      <c r="U2" s="0" t="n">
        <v>7500</v>
      </c>
      <c r="V2" s="0" t="n">
        <v>8120</v>
      </c>
      <c r="W2" s="0" t="n">
        <v>8720</v>
      </c>
      <c r="X2" s="0" t="n">
        <v>8780</v>
      </c>
      <c r="Y2" s="0" t="n">
        <v>9340</v>
      </c>
      <c r="Z2" s="0" t="n">
        <v>9999</v>
      </c>
      <c r="AA2" s="0" t="s">
        <v>4</v>
      </c>
      <c r="AC2" s="0" t="s">
        <v>3</v>
      </c>
      <c r="AD2" s="0" t="s">
        <v>5</v>
      </c>
      <c r="AE2" s="0" t="s">
        <v>6</v>
      </c>
      <c r="AF2" s="0" t="s">
        <v>7</v>
      </c>
      <c r="AG2" s="0" t="s">
        <v>8</v>
      </c>
      <c r="AH2" s="0" t="s">
        <v>9</v>
      </c>
      <c r="AI2" s="0" t="s">
        <v>10</v>
      </c>
      <c r="AK2" s="0" t="s">
        <v>11</v>
      </c>
      <c r="AL2" s="0" t="s">
        <v>12</v>
      </c>
      <c r="AM2" s="0" t="s">
        <v>8</v>
      </c>
      <c r="AN2" s="0" t="s">
        <v>13</v>
      </c>
      <c r="AO2" s="0" t="str">
        <f aca="false">AC2</f>
        <v>O-MSA</v>
      </c>
      <c r="AP2" s="0" t="s">
        <v>14</v>
      </c>
      <c r="AR2" s="0" t="s">
        <v>15</v>
      </c>
    </row>
    <row r="3" customFormat="false" ht="12.75" hidden="false" customHeight="false" outlineLevel="0" collapsed="false">
      <c r="A3" s="0" t="n">
        <v>360</v>
      </c>
      <c r="B3" s="0" t="n">
        <v>1138865</v>
      </c>
      <c r="C3" s="0" t="n">
        <v>1047085</v>
      </c>
      <c r="D3" s="0" t="n">
        <v>221</v>
      </c>
      <c r="E3" s="0" t="n">
        <v>78</v>
      </c>
      <c r="F3" s="0" t="n">
        <v>208</v>
      </c>
      <c r="G3" s="0" t="n">
        <v>198133</v>
      </c>
      <c r="H3" s="0" t="n">
        <v>0</v>
      </c>
      <c r="I3" s="0" t="n">
        <v>0</v>
      </c>
      <c r="J3" s="0" t="n">
        <v>806</v>
      </c>
      <c r="K3" s="0" t="n">
        <v>468</v>
      </c>
      <c r="L3" s="0" t="n">
        <v>364</v>
      </c>
      <c r="M3" s="0" t="n">
        <v>18707</v>
      </c>
      <c r="N3" s="0" t="n">
        <v>1144</v>
      </c>
      <c r="O3" s="0" t="n">
        <v>0</v>
      </c>
      <c r="P3" s="0" t="n">
        <v>7098</v>
      </c>
      <c r="Q3" s="0" t="n">
        <v>624</v>
      </c>
      <c r="R3" s="0" t="n">
        <v>416</v>
      </c>
      <c r="S3" s="0" t="n">
        <v>611</v>
      </c>
      <c r="T3" s="0" t="n">
        <v>0</v>
      </c>
      <c r="U3" s="0" t="n">
        <v>78</v>
      </c>
      <c r="V3" s="0" t="n">
        <v>78</v>
      </c>
      <c r="W3" s="0" t="n">
        <v>286</v>
      </c>
      <c r="X3" s="0" t="n">
        <v>0</v>
      </c>
      <c r="Y3" s="0" t="n">
        <v>0</v>
      </c>
      <c r="Z3" s="0" t="n">
        <v>1404</v>
      </c>
      <c r="AA3" s="0" t="n">
        <v>2417701</v>
      </c>
      <c r="AC3" s="0" t="n">
        <f aca="false">A3</f>
        <v>360</v>
      </c>
      <c r="AD3" s="0" t="s">
        <v>16</v>
      </c>
      <c r="AE3" s="0" t="n">
        <f aca="false">SUM(C3:Z3)-MAX(C3:Z3)</f>
        <v>230724</v>
      </c>
      <c r="AF3" s="0" t="n">
        <f aca="false">MAX(C3:Z3)</f>
        <v>1047085</v>
      </c>
      <c r="AG3" s="0" t="n">
        <f aca="false">SUM(C3:Z3)</f>
        <v>1277809</v>
      </c>
      <c r="AH3" s="0" t="n">
        <f aca="false">SUM(B3:Z3)</f>
        <v>2416674</v>
      </c>
      <c r="AI3" s="1" t="n">
        <f aca="false">AE3/AG3</f>
        <v>0.180562196697629</v>
      </c>
      <c r="AK3" s="0" t="n">
        <v>1047085</v>
      </c>
      <c r="AL3" s="0" t="n">
        <v>230425</v>
      </c>
      <c r="AM3" s="0" t="n">
        <v>1277510</v>
      </c>
      <c r="AN3" s="1" t="n">
        <v>0.180370408059428</v>
      </c>
      <c r="AO3" s="0" t="n">
        <f aca="false">AC3</f>
        <v>360</v>
      </c>
      <c r="AP3" s="2" t="n">
        <f aca="false">-0.0364+0.00000000386*$AH3+0.844*$AN3</f>
        <v>0.125160986042157</v>
      </c>
      <c r="AR3" s="3" t="n">
        <f aca="false">AH3*AP3</f>
        <v>302473.300782445</v>
      </c>
      <c r="AT3" s="2"/>
      <c r="AV3" s="2"/>
      <c r="AX3" s="2"/>
    </row>
    <row r="4" customFormat="false" ht="12.75" hidden="false" customHeight="false" outlineLevel="0" collapsed="false">
      <c r="A4" s="0" t="n">
        <v>680</v>
      </c>
      <c r="B4" s="0" t="n">
        <v>320827</v>
      </c>
      <c r="C4" s="0" t="n">
        <v>169</v>
      </c>
      <c r="D4" s="0" t="n">
        <v>207935</v>
      </c>
      <c r="E4" s="0" t="n">
        <v>0</v>
      </c>
      <c r="F4" s="0" t="n">
        <v>156</v>
      </c>
      <c r="G4" s="0" t="n">
        <v>7618</v>
      </c>
      <c r="H4" s="0" t="n">
        <v>0</v>
      </c>
      <c r="I4" s="0" t="n">
        <v>0</v>
      </c>
      <c r="J4" s="0" t="n">
        <v>104</v>
      </c>
      <c r="K4" s="0" t="n">
        <v>208</v>
      </c>
      <c r="L4" s="0" t="n">
        <v>0</v>
      </c>
      <c r="M4" s="0" t="n">
        <v>1755</v>
      </c>
      <c r="N4" s="0" t="n">
        <v>0</v>
      </c>
      <c r="O4" s="0" t="n">
        <v>208</v>
      </c>
      <c r="P4" s="0" t="n">
        <v>0</v>
      </c>
      <c r="Q4" s="0" t="n">
        <v>169</v>
      </c>
      <c r="R4" s="0" t="n">
        <v>0</v>
      </c>
      <c r="S4" s="0" t="n">
        <v>351</v>
      </c>
      <c r="T4" s="0" t="n">
        <v>0</v>
      </c>
      <c r="U4" s="0" t="n">
        <v>0</v>
      </c>
      <c r="V4" s="0" t="n">
        <v>91</v>
      </c>
      <c r="W4" s="0" t="n">
        <v>0</v>
      </c>
      <c r="X4" s="0" t="n">
        <v>1469</v>
      </c>
      <c r="Y4" s="0" t="n">
        <v>0</v>
      </c>
      <c r="Z4" s="0" t="n">
        <v>1222</v>
      </c>
      <c r="AA4" s="0" t="n">
        <v>542386</v>
      </c>
      <c r="AC4" s="0" t="n">
        <f aca="false">A4</f>
        <v>680</v>
      </c>
      <c r="AD4" s="0" t="s">
        <v>17</v>
      </c>
      <c r="AE4" s="0" t="n">
        <f aca="false">SUM(C4:Z4)-MAX(C4:Z4)</f>
        <v>13520</v>
      </c>
      <c r="AF4" s="0" t="n">
        <f aca="false">MAX(C4:Z4)</f>
        <v>207935</v>
      </c>
      <c r="AG4" s="0" t="n">
        <f aca="false">SUM(C4:Z4)</f>
        <v>221455</v>
      </c>
      <c r="AH4" s="0" t="n">
        <f aca="false">SUM(B4:Z4)</f>
        <v>542282</v>
      </c>
      <c r="AI4" s="1" t="n">
        <f aca="false">AE4/AG4</f>
        <v>0.0610507778103904</v>
      </c>
      <c r="AK4" s="0" t="n">
        <v>207935</v>
      </c>
      <c r="AL4" s="0" t="n">
        <v>16198</v>
      </c>
      <c r="AM4" s="0" t="n">
        <v>224133</v>
      </c>
      <c r="AN4" s="1" t="n">
        <v>0.0722695899309785</v>
      </c>
      <c r="AO4" s="0" t="n">
        <f aca="false">AC4</f>
        <v>680</v>
      </c>
      <c r="AP4" s="2" t="n">
        <f aca="false">-0.0364+0.00000000386*$AH4+0.844*$AN4</f>
        <v>0.0266887424217458</v>
      </c>
      <c r="AR4" s="3" t="n">
        <f aca="false">AH4*AP4</f>
        <v>14472.8246179492</v>
      </c>
      <c r="AT4" s="2"/>
      <c r="AV4" s="2"/>
      <c r="AX4" s="2"/>
    </row>
    <row r="5" customFormat="false" ht="12.75" hidden="false" customHeight="false" outlineLevel="0" collapsed="false">
      <c r="A5" s="0" t="n">
        <v>1620</v>
      </c>
      <c r="B5" s="0" t="n">
        <v>111722</v>
      </c>
      <c r="C5" s="0" t="n">
        <v>0</v>
      </c>
      <c r="D5" s="0" t="n">
        <v>0</v>
      </c>
      <c r="E5" s="0" t="n">
        <v>62647</v>
      </c>
      <c r="F5" s="0" t="n">
        <v>78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65</v>
      </c>
      <c r="M5" s="0" t="n">
        <v>0</v>
      </c>
      <c r="N5" s="0" t="n">
        <v>247</v>
      </c>
      <c r="O5" s="0" t="n">
        <v>117</v>
      </c>
      <c r="P5" s="0" t="n">
        <v>117</v>
      </c>
      <c r="Q5" s="0" t="n">
        <v>0</v>
      </c>
      <c r="R5" s="0" t="n">
        <v>156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234</v>
      </c>
      <c r="X5" s="0" t="n">
        <v>0</v>
      </c>
      <c r="Y5" s="0" t="n">
        <v>1651</v>
      </c>
      <c r="Z5" s="0" t="n">
        <v>1911</v>
      </c>
      <c r="AA5" s="0" t="n">
        <v>179322</v>
      </c>
      <c r="AC5" s="0" t="n">
        <f aca="false">A5</f>
        <v>1620</v>
      </c>
      <c r="AD5" s="0" t="s">
        <v>18</v>
      </c>
      <c r="AE5" s="0" t="n">
        <f aca="false">SUM(C5:Z5)-MAX(C5:Z5)</f>
        <v>4576</v>
      </c>
      <c r="AF5" s="0" t="n">
        <f aca="false">MAX(C5:Z5)</f>
        <v>62647</v>
      </c>
      <c r="AG5" s="0" t="n">
        <f aca="false">SUM(C5:Z5)</f>
        <v>67223</v>
      </c>
      <c r="AH5" s="0" t="n">
        <f aca="false">SUM(B5:Z5)</f>
        <v>178945</v>
      </c>
      <c r="AI5" s="1" t="n">
        <f aca="false">AE5/AG5</f>
        <v>0.068071939663508</v>
      </c>
      <c r="AK5" s="0" t="n">
        <v>62647</v>
      </c>
      <c r="AL5" s="0" t="n">
        <v>3887</v>
      </c>
      <c r="AM5" s="0" t="n">
        <v>66534</v>
      </c>
      <c r="AN5" s="1" t="n">
        <v>0.058421258304025</v>
      </c>
      <c r="AO5" s="0" t="n">
        <f aca="false">AC5</f>
        <v>1620</v>
      </c>
      <c r="AP5" s="2" t="n">
        <f aca="false">-0.0364+0.00000000386*$AH5+0.844*$AN5</f>
        <v>0.0135982697085971</v>
      </c>
      <c r="AR5" s="3" t="n">
        <f aca="false">AH5*AP5</f>
        <v>2433.34237300491</v>
      </c>
      <c r="AT5" s="2"/>
      <c r="AV5" s="2"/>
      <c r="AX5" s="2"/>
    </row>
    <row r="6" customFormat="false" ht="12.75" hidden="false" customHeight="false" outlineLevel="0" collapsed="false">
      <c r="A6" s="0" t="n">
        <v>2840</v>
      </c>
      <c r="B6" s="0" t="n">
        <v>405808</v>
      </c>
      <c r="C6" s="0" t="n">
        <v>117</v>
      </c>
      <c r="D6" s="0" t="n">
        <v>104</v>
      </c>
      <c r="E6" s="0" t="n">
        <v>182</v>
      </c>
      <c r="F6" s="0" t="n">
        <v>250822</v>
      </c>
      <c r="G6" s="0" t="n">
        <v>741</v>
      </c>
      <c r="H6" s="0" t="n">
        <v>1313</v>
      </c>
      <c r="I6" s="0" t="n">
        <v>195</v>
      </c>
      <c r="J6" s="0" t="n">
        <v>377</v>
      </c>
      <c r="K6" s="0" t="n">
        <v>377</v>
      </c>
      <c r="L6" s="0" t="n">
        <v>0</v>
      </c>
      <c r="M6" s="0" t="n">
        <v>130</v>
      </c>
      <c r="N6" s="0" t="n">
        <v>338</v>
      </c>
      <c r="O6" s="0" t="n">
        <v>520</v>
      </c>
      <c r="P6" s="0" t="n">
        <v>104</v>
      </c>
      <c r="Q6" s="0" t="n">
        <v>741</v>
      </c>
      <c r="R6" s="0" t="n">
        <v>91</v>
      </c>
      <c r="S6" s="0" t="n">
        <v>91</v>
      </c>
      <c r="T6" s="0" t="n">
        <v>78</v>
      </c>
      <c r="U6" s="0" t="n">
        <v>0</v>
      </c>
      <c r="V6" s="0" t="n">
        <v>143</v>
      </c>
      <c r="W6" s="0" t="n">
        <v>0</v>
      </c>
      <c r="X6" s="0" t="n">
        <v>3107</v>
      </c>
      <c r="Y6" s="0" t="n">
        <v>91</v>
      </c>
      <c r="Z6" s="0" t="n">
        <v>8398</v>
      </c>
      <c r="AA6" s="0" t="n">
        <v>673868</v>
      </c>
      <c r="AC6" s="0" t="n">
        <f aca="false">A6</f>
        <v>2840</v>
      </c>
      <c r="AD6" s="0" t="s">
        <v>19</v>
      </c>
      <c r="AE6" s="0" t="n">
        <f aca="false">SUM(C6:Z6)-MAX(C6:Z6)</f>
        <v>17238</v>
      </c>
      <c r="AF6" s="0" t="n">
        <f aca="false">MAX(C6:Z6)</f>
        <v>250822</v>
      </c>
      <c r="AG6" s="0" t="n">
        <f aca="false">SUM(C6:Z6)</f>
        <v>268060</v>
      </c>
      <c r="AH6" s="0" t="n">
        <f aca="false">SUM(B6:Z6)</f>
        <v>673868</v>
      </c>
      <c r="AI6" s="1" t="n">
        <f aca="false">AE6/AG6</f>
        <v>0.0643064985451018</v>
      </c>
      <c r="AK6" s="0" t="n">
        <v>250822</v>
      </c>
      <c r="AL6" s="0" t="n">
        <v>18941</v>
      </c>
      <c r="AM6" s="0" t="n">
        <v>269763</v>
      </c>
      <c r="AN6" s="1" t="n">
        <v>0.0702134836875331</v>
      </c>
      <c r="AO6" s="0" t="n">
        <f aca="false">AC6</f>
        <v>2840</v>
      </c>
      <c r="AP6" s="2" t="n">
        <f aca="false">-0.0364+0.00000000386*$AH6+0.844*$AN6</f>
        <v>0.025461310712278</v>
      </c>
      <c r="AR6" s="3" t="n">
        <f aca="false">AH6*AP6</f>
        <v>17157.5625270613</v>
      </c>
      <c r="AT6" s="2"/>
      <c r="AV6" s="2"/>
      <c r="AX6" s="2"/>
    </row>
    <row r="7" customFormat="false" ht="12.75" hidden="false" customHeight="false" outlineLevel="0" collapsed="false">
      <c r="A7" s="0" t="n">
        <v>4480</v>
      </c>
      <c r="B7" s="0" t="n">
        <v>4714869</v>
      </c>
      <c r="C7" s="0" t="n">
        <v>136591</v>
      </c>
      <c r="D7" s="0" t="n">
        <v>9503</v>
      </c>
      <c r="E7" s="0" t="n">
        <v>273</v>
      </c>
      <c r="F7" s="0" t="n">
        <v>650</v>
      </c>
      <c r="G7" s="0" t="n">
        <v>3859648</v>
      </c>
      <c r="H7" s="0" t="n">
        <v>0</v>
      </c>
      <c r="I7" s="0" t="n">
        <v>156</v>
      </c>
      <c r="J7" s="0" t="n">
        <v>2743</v>
      </c>
      <c r="K7" s="0" t="n">
        <v>21801</v>
      </c>
      <c r="L7" s="0" t="n">
        <v>1079</v>
      </c>
      <c r="M7" s="0" t="n">
        <v>38948</v>
      </c>
      <c r="N7" s="0" t="n">
        <v>1235</v>
      </c>
      <c r="O7" s="0" t="n">
        <v>793</v>
      </c>
      <c r="P7" s="0" t="n">
        <v>3419</v>
      </c>
      <c r="Q7" s="0" t="n">
        <v>4173</v>
      </c>
      <c r="R7" s="0" t="n">
        <v>520</v>
      </c>
      <c r="S7" s="0" t="n">
        <v>1131</v>
      </c>
      <c r="T7" s="0" t="n">
        <v>0</v>
      </c>
      <c r="U7" s="0" t="n">
        <v>0</v>
      </c>
      <c r="V7" s="0" t="n">
        <v>156</v>
      </c>
      <c r="W7" s="0" t="n">
        <v>611</v>
      </c>
      <c r="X7" s="0" t="n">
        <v>0</v>
      </c>
      <c r="Y7" s="0" t="n">
        <v>364</v>
      </c>
      <c r="Z7" s="0" t="n">
        <v>6201</v>
      </c>
      <c r="AA7" s="0" t="n">
        <v>8808738</v>
      </c>
      <c r="AC7" s="0" t="n">
        <f aca="false">A7</f>
        <v>4480</v>
      </c>
      <c r="AD7" s="0" t="s">
        <v>20</v>
      </c>
      <c r="AE7" s="0" t="n">
        <f aca="false">SUM(C7:Z7)-MAX(C7:Z7)</f>
        <v>230347</v>
      </c>
      <c r="AF7" s="0" t="n">
        <f aca="false">MAX(C7:Z7)</f>
        <v>3859648</v>
      </c>
      <c r="AG7" s="0" t="n">
        <f aca="false">SUM(C7:Z7)</f>
        <v>4089995</v>
      </c>
      <c r="AH7" s="0" t="n">
        <f aca="false">SUM(B7:Z7)</f>
        <v>8804864</v>
      </c>
      <c r="AI7" s="1" t="n">
        <f aca="false">AE7/AG7</f>
        <v>0.0563196287526024</v>
      </c>
      <c r="AK7" s="0" t="n">
        <v>3859648</v>
      </c>
      <c r="AL7" s="0" t="n">
        <v>458328</v>
      </c>
      <c r="AM7" s="0" t="n">
        <v>4317976</v>
      </c>
      <c r="AN7" s="1" t="n">
        <v>0.106144174956044</v>
      </c>
      <c r="AO7" s="0" t="n">
        <f aca="false">AC7</f>
        <v>4480</v>
      </c>
      <c r="AP7" s="2" t="n">
        <f aca="false">-0.0364+0.00000000386*$AH7+0.844*$AN7</f>
        <v>0.0871724587029013</v>
      </c>
      <c r="AR7" s="3" t="n">
        <f aca="false">AH7*AP7</f>
        <v>767541.643424663</v>
      </c>
      <c r="AT7" s="2"/>
      <c r="AV7" s="2"/>
      <c r="AX7" s="2"/>
    </row>
    <row r="8" customFormat="false" ht="12.75" hidden="false" customHeight="false" outlineLevel="0" collapsed="false">
      <c r="A8" s="0" t="n">
        <v>4940</v>
      </c>
      <c r="B8" s="0" t="n">
        <v>108225</v>
      </c>
      <c r="C8" s="0" t="n">
        <v>0</v>
      </c>
      <c r="D8" s="0" t="n">
        <v>0</v>
      </c>
      <c r="E8" s="0" t="n">
        <v>0</v>
      </c>
      <c r="F8" s="0" t="n">
        <v>572</v>
      </c>
      <c r="G8" s="0" t="n">
        <v>0</v>
      </c>
      <c r="H8" s="0" t="n">
        <v>59956</v>
      </c>
      <c r="I8" s="0" t="n">
        <v>5148</v>
      </c>
      <c r="J8" s="0" t="n">
        <v>52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182</v>
      </c>
      <c r="R8" s="0" t="n">
        <v>949</v>
      </c>
      <c r="S8" s="0" t="n">
        <v>0</v>
      </c>
      <c r="T8" s="0" t="n">
        <v>0</v>
      </c>
      <c r="U8" s="0" t="n">
        <v>0</v>
      </c>
      <c r="V8" s="0" t="n">
        <v>117</v>
      </c>
      <c r="W8" s="0" t="n">
        <v>0</v>
      </c>
      <c r="X8" s="0" t="n">
        <v>0</v>
      </c>
      <c r="Y8" s="0" t="n">
        <v>0</v>
      </c>
      <c r="Z8" s="0" t="n">
        <v>1456</v>
      </c>
      <c r="AA8" s="0" t="n">
        <v>176657</v>
      </c>
      <c r="AC8" s="0" t="n">
        <f aca="false">A8</f>
        <v>4940</v>
      </c>
      <c r="AD8" s="0" t="s">
        <v>21</v>
      </c>
      <c r="AE8" s="0" t="n">
        <f aca="false">SUM(C8:Z8)-MAX(C8:Z8)</f>
        <v>8476</v>
      </c>
      <c r="AF8" s="0" t="n">
        <f aca="false">MAX(C8:Z8)</f>
        <v>59956</v>
      </c>
      <c r="AG8" s="0" t="n">
        <f aca="false">SUM(C8:Z8)</f>
        <v>68432</v>
      </c>
      <c r="AH8" s="0" t="n">
        <f aca="false">SUM(B8:Z8)</f>
        <v>176657</v>
      </c>
      <c r="AI8" s="1" t="n">
        <f aca="false">AE8/AG8</f>
        <v>0.123860182370821</v>
      </c>
      <c r="AK8" s="0" t="n">
        <v>59956</v>
      </c>
      <c r="AL8" s="0" t="n">
        <v>6682</v>
      </c>
      <c r="AM8" s="0" t="n">
        <v>66638</v>
      </c>
      <c r="AN8" s="1" t="n">
        <v>0.100273117440499</v>
      </c>
      <c r="AO8" s="0" t="n">
        <f aca="false">AC8</f>
        <v>4940</v>
      </c>
      <c r="AP8" s="2" t="n">
        <f aca="false">-0.0364+0.00000000386*$AH8+0.844*$AN8</f>
        <v>0.0489124071397815</v>
      </c>
      <c r="AR8" s="3" t="n">
        <f aca="false">AH8*AP8</f>
        <v>8640.71910809238</v>
      </c>
      <c r="AT8" s="2"/>
      <c r="AV8" s="2"/>
      <c r="AX8" s="2"/>
    </row>
    <row r="9" customFormat="false" ht="12.75" hidden="false" customHeight="false" outlineLevel="0" collapsed="false">
      <c r="A9" s="0" t="n">
        <v>5170</v>
      </c>
      <c r="B9" s="0" t="n">
        <v>219609</v>
      </c>
      <c r="C9" s="0" t="n">
        <v>0</v>
      </c>
      <c r="D9" s="0" t="n">
        <v>0</v>
      </c>
      <c r="E9" s="0" t="n">
        <v>0</v>
      </c>
      <c r="F9" s="0" t="n">
        <v>182</v>
      </c>
      <c r="G9" s="0" t="n">
        <v>78</v>
      </c>
      <c r="H9" s="0" t="n">
        <v>3653</v>
      </c>
      <c r="I9" s="0" t="n">
        <v>119210</v>
      </c>
      <c r="J9" s="0" t="n">
        <v>6175</v>
      </c>
      <c r="K9" s="0" t="n">
        <v>0</v>
      </c>
      <c r="L9" s="0" t="n">
        <v>0</v>
      </c>
      <c r="M9" s="0" t="n">
        <v>169</v>
      </c>
      <c r="N9" s="0" t="n">
        <v>390</v>
      </c>
      <c r="O9" s="0" t="n">
        <v>0</v>
      </c>
      <c r="P9" s="0" t="n">
        <v>0</v>
      </c>
      <c r="Q9" s="0" t="n">
        <v>377</v>
      </c>
      <c r="R9" s="0" t="n">
        <v>3458</v>
      </c>
      <c r="S9" s="0" t="n">
        <v>0</v>
      </c>
      <c r="T9" s="0" t="n">
        <v>234</v>
      </c>
      <c r="U9" s="0" t="n">
        <v>0</v>
      </c>
      <c r="V9" s="0" t="n">
        <v>8528</v>
      </c>
      <c r="W9" s="0" t="n">
        <v>208</v>
      </c>
      <c r="X9" s="0" t="n">
        <v>0</v>
      </c>
      <c r="Y9" s="0" t="n">
        <v>0</v>
      </c>
      <c r="Z9" s="0" t="n">
        <v>611</v>
      </c>
      <c r="AA9" s="0" t="n">
        <v>363090</v>
      </c>
      <c r="AC9" s="0" t="n">
        <f aca="false">A9</f>
        <v>5170</v>
      </c>
      <c r="AD9" s="0" t="s">
        <v>22</v>
      </c>
      <c r="AE9" s="0" t="n">
        <f aca="false">SUM(C9:Z9)-MAX(C9:Z9)</f>
        <v>24063</v>
      </c>
      <c r="AF9" s="0" t="n">
        <f aca="false">MAX(C9:Z9)</f>
        <v>119210</v>
      </c>
      <c r="AG9" s="0" t="n">
        <f aca="false">SUM(C9:Z9)</f>
        <v>143273</v>
      </c>
      <c r="AH9" s="0" t="n">
        <f aca="false">SUM(B9:Z9)</f>
        <v>362882</v>
      </c>
      <c r="AI9" s="1" t="n">
        <f aca="false">AE9/AG9</f>
        <v>0.167952091461755</v>
      </c>
      <c r="AK9" s="0" t="n">
        <v>119210</v>
      </c>
      <c r="AL9" s="0" t="n">
        <v>14547</v>
      </c>
      <c r="AM9" s="0" t="n">
        <v>133757</v>
      </c>
      <c r="AN9" s="1" t="n">
        <v>0.108756924871222</v>
      </c>
      <c r="AO9" s="0" t="n">
        <f aca="false">AC9</f>
        <v>5170</v>
      </c>
      <c r="AP9" s="2" t="n">
        <f aca="false">-0.0364+0.00000000386*$AH9+0.844*$AN9</f>
        <v>0.0567915691113111</v>
      </c>
      <c r="AR9" s="3" t="n">
        <f aca="false">AH9*AP9</f>
        <v>20608.6381822508</v>
      </c>
      <c r="AT9" s="2"/>
      <c r="AV9" s="2"/>
      <c r="AX9" s="2"/>
    </row>
    <row r="10" customFormat="false" ht="12.75" hidden="false" customHeight="false" outlineLevel="0" collapsed="false">
      <c r="A10" s="0" t="n">
        <v>5775</v>
      </c>
      <c r="B10" s="0" t="n">
        <v>1036776</v>
      </c>
      <c r="C10" s="0" t="n">
        <v>468</v>
      </c>
      <c r="D10" s="0" t="n">
        <v>0</v>
      </c>
      <c r="E10" s="0" t="n">
        <v>286</v>
      </c>
      <c r="F10" s="0" t="n">
        <v>169</v>
      </c>
      <c r="G10" s="0" t="n">
        <v>2574</v>
      </c>
      <c r="H10" s="0" t="n">
        <v>0</v>
      </c>
      <c r="I10" s="0" t="n">
        <v>299</v>
      </c>
      <c r="J10" s="0" t="n">
        <v>811031</v>
      </c>
      <c r="K10" s="0" t="n">
        <v>0</v>
      </c>
      <c r="L10" s="0" t="n">
        <v>130</v>
      </c>
      <c r="M10" s="0" t="n">
        <v>169</v>
      </c>
      <c r="N10" s="0" t="n">
        <v>2340</v>
      </c>
      <c r="O10" s="0" t="n">
        <v>0</v>
      </c>
      <c r="P10" s="0" t="n">
        <v>494</v>
      </c>
      <c r="Q10" s="0" t="n">
        <v>144573</v>
      </c>
      <c r="R10" s="0" t="n">
        <v>57941</v>
      </c>
      <c r="S10" s="0" t="n">
        <v>104</v>
      </c>
      <c r="T10" s="0" t="n">
        <v>494</v>
      </c>
      <c r="U10" s="0" t="n">
        <v>1469</v>
      </c>
      <c r="V10" s="0" t="n">
        <v>1417</v>
      </c>
      <c r="W10" s="0" t="n">
        <v>8164</v>
      </c>
      <c r="X10" s="0" t="n">
        <v>117</v>
      </c>
      <c r="Y10" s="0" t="n">
        <v>0</v>
      </c>
      <c r="Z10" s="0" t="n">
        <v>676</v>
      </c>
      <c r="AA10" s="0" t="n">
        <v>2070887</v>
      </c>
      <c r="AC10" s="0" t="n">
        <f aca="false">A10</f>
        <v>5775</v>
      </c>
      <c r="AD10" s="0" t="s">
        <v>23</v>
      </c>
      <c r="AE10" s="0" t="n">
        <f aca="false">SUM(C10:Z10)-MAX(C10:Z10)</f>
        <v>221884</v>
      </c>
      <c r="AF10" s="0" t="n">
        <f aca="false">MAX(C10:Z10)</f>
        <v>811031</v>
      </c>
      <c r="AG10" s="0" t="n">
        <f aca="false">SUM(C10:Z10)</f>
        <v>1032915</v>
      </c>
      <c r="AH10" s="0" t="n">
        <f aca="false">SUM(B10:Z10)</f>
        <v>2069691</v>
      </c>
      <c r="AI10" s="1" t="n">
        <f aca="false">AE10/AG10</f>
        <v>0.21481341639922</v>
      </c>
      <c r="AK10" s="0" t="n">
        <v>811031</v>
      </c>
      <c r="AL10" s="0" t="n">
        <v>161356</v>
      </c>
      <c r="AM10" s="0" t="n">
        <v>972387</v>
      </c>
      <c r="AN10" s="1" t="n">
        <v>0.165938047300098</v>
      </c>
      <c r="AO10" s="0" t="n">
        <f aca="false">AC10</f>
        <v>5775</v>
      </c>
      <c r="AP10" s="2" t="n">
        <f aca="false">-0.0364+0.00000000386*$AH10+0.844*$AN10</f>
        <v>0.111640719181282</v>
      </c>
      <c r="AR10" s="3" t="n">
        <f aca="false">AH10*AP10</f>
        <v>231061.791723027</v>
      </c>
      <c r="AT10" s="2"/>
      <c r="AV10" s="2"/>
      <c r="AX10" s="2"/>
    </row>
    <row r="11" customFormat="false" ht="12.75" hidden="false" customHeight="false" outlineLevel="0" collapsed="false">
      <c r="A11" s="0" t="n">
        <v>6000</v>
      </c>
      <c r="B11" s="0" t="n">
        <v>331552</v>
      </c>
      <c r="C11" s="0" t="n">
        <v>299</v>
      </c>
      <c r="D11" s="0" t="n">
        <v>481</v>
      </c>
      <c r="E11" s="0" t="n">
        <v>104</v>
      </c>
      <c r="F11" s="0" t="n">
        <v>0</v>
      </c>
      <c r="G11" s="0" t="n">
        <v>76375</v>
      </c>
      <c r="H11" s="0" t="n">
        <v>0</v>
      </c>
      <c r="I11" s="0" t="n">
        <v>0</v>
      </c>
      <c r="J11" s="0" t="n">
        <v>338</v>
      </c>
      <c r="K11" s="0" t="n">
        <v>249158</v>
      </c>
      <c r="L11" s="0" t="n">
        <v>52</v>
      </c>
      <c r="M11" s="0" t="n">
        <v>676</v>
      </c>
      <c r="N11" s="0" t="n">
        <v>104</v>
      </c>
      <c r="O11" s="0" t="n">
        <v>169</v>
      </c>
      <c r="P11" s="0" t="n">
        <v>533</v>
      </c>
      <c r="Q11" s="0" t="n">
        <v>2002</v>
      </c>
      <c r="R11" s="0" t="n">
        <v>65</v>
      </c>
      <c r="S11" s="0" t="n">
        <v>4381</v>
      </c>
      <c r="T11" s="0" t="n">
        <v>0</v>
      </c>
      <c r="U11" s="0" t="n">
        <v>0</v>
      </c>
      <c r="V11" s="0" t="n">
        <v>91</v>
      </c>
      <c r="W11" s="0" t="n">
        <v>0</v>
      </c>
      <c r="X11" s="0" t="n">
        <v>0</v>
      </c>
      <c r="Y11" s="0" t="n">
        <v>0</v>
      </c>
      <c r="Z11" s="0" t="n">
        <v>663</v>
      </c>
      <c r="AA11" s="0" t="n">
        <v>667108</v>
      </c>
      <c r="AC11" s="0" t="n">
        <f aca="false">A11</f>
        <v>6000</v>
      </c>
      <c r="AD11" s="0" t="s">
        <v>24</v>
      </c>
      <c r="AE11" s="0" t="n">
        <f aca="false">SUM(C11:Z11)-MAX(C11:Z11)</f>
        <v>86333</v>
      </c>
      <c r="AF11" s="0" t="n">
        <f aca="false">MAX(C11:Z11)</f>
        <v>249158</v>
      </c>
      <c r="AG11" s="0" t="n">
        <f aca="false">SUM(C11:Z11)</f>
        <v>335491</v>
      </c>
      <c r="AH11" s="0" t="n">
        <f aca="false">SUM(B11:Z11)</f>
        <v>667043</v>
      </c>
      <c r="AI11" s="1" t="n">
        <f aca="false">AE11/AG11</f>
        <v>0.257333281667765</v>
      </c>
      <c r="AK11" s="0" t="n">
        <v>249158</v>
      </c>
      <c r="AL11" s="0" t="n">
        <v>26650</v>
      </c>
      <c r="AM11" s="0" t="n">
        <v>275808</v>
      </c>
      <c r="AN11" s="1" t="n">
        <v>0.0966251885369533</v>
      </c>
      <c r="AO11" s="0" t="n">
        <f aca="false">AC11</f>
        <v>6000</v>
      </c>
      <c r="AP11" s="2" t="n">
        <f aca="false">-0.0364+0.00000000386*$AH11+0.844*$AN11</f>
        <v>0.0477264451051885</v>
      </c>
      <c r="AR11" s="3" t="n">
        <f aca="false">AH11*AP11</f>
        <v>31835.5911223003</v>
      </c>
      <c r="AT11" s="2"/>
      <c r="AV11" s="2"/>
      <c r="AX11" s="2"/>
    </row>
    <row r="12" customFormat="false" ht="12.75" hidden="false" customHeight="false" outlineLevel="0" collapsed="false">
      <c r="A12" s="0" t="n">
        <v>6690</v>
      </c>
      <c r="B12" s="0" t="n">
        <v>93327</v>
      </c>
      <c r="C12" s="0" t="n">
        <v>0</v>
      </c>
      <c r="D12" s="0" t="n">
        <v>117</v>
      </c>
      <c r="E12" s="0" t="n">
        <v>91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520</v>
      </c>
      <c r="K12" s="0" t="n">
        <v>0</v>
      </c>
      <c r="L12" s="0" t="n">
        <v>55562</v>
      </c>
      <c r="M12" s="0" t="n">
        <v>78</v>
      </c>
      <c r="N12" s="0" t="n">
        <v>260</v>
      </c>
      <c r="O12" s="0" t="n">
        <v>0</v>
      </c>
      <c r="P12" s="0" t="n">
        <v>52</v>
      </c>
      <c r="Q12" s="0" t="n">
        <v>91</v>
      </c>
      <c r="R12" s="0" t="n">
        <v>286</v>
      </c>
      <c r="S12" s="0" t="n">
        <v>0</v>
      </c>
      <c r="T12" s="0" t="n">
        <v>0</v>
      </c>
      <c r="U12" s="0" t="n">
        <v>52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1404</v>
      </c>
      <c r="AA12" s="0" t="n">
        <v>152490</v>
      </c>
      <c r="AC12" s="0" t="n">
        <f aca="false">A12</f>
        <v>6690</v>
      </c>
      <c r="AD12" s="0" t="s">
        <v>25</v>
      </c>
      <c r="AE12" s="0" t="n">
        <f aca="false">SUM(C12:Z12)-MAX(C12:Z12)</f>
        <v>2951</v>
      </c>
      <c r="AF12" s="0" t="n">
        <f aca="false">MAX(C12:Z12)</f>
        <v>55562</v>
      </c>
      <c r="AG12" s="0" t="n">
        <f aca="false">SUM(C12:Z12)</f>
        <v>58513</v>
      </c>
      <c r="AH12" s="0" t="n">
        <f aca="false">SUM(B12:Z12)</f>
        <v>151840</v>
      </c>
      <c r="AI12" s="1" t="n">
        <f aca="false">AE12/AG12</f>
        <v>0.0504332370584315</v>
      </c>
      <c r="AK12" s="0" t="n">
        <v>55562</v>
      </c>
      <c r="AL12" s="0" t="n">
        <v>8437</v>
      </c>
      <c r="AM12" s="0" t="n">
        <v>63999</v>
      </c>
      <c r="AN12" s="1" t="n">
        <v>0.131830184846638</v>
      </c>
      <c r="AO12" s="0" t="n">
        <f aca="false">AC12</f>
        <v>6690</v>
      </c>
      <c r="AP12" s="2" t="n">
        <f aca="false">-0.0364+0.00000000386*$AH12+0.844*$AN12</f>
        <v>0.0754507784105627</v>
      </c>
      <c r="AR12" s="3" t="n">
        <f aca="false">AH12*AP12</f>
        <v>11456.4461938598</v>
      </c>
      <c r="AT12" s="2"/>
      <c r="AV12" s="2"/>
      <c r="AX12" s="2"/>
    </row>
    <row r="13" customFormat="false" ht="12.75" hidden="false" customHeight="false" outlineLevel="0" collapsed="false">
      <c r="A13" s="0" t="n">
        <v>6780</v>
      </c>
      <c r="B13" s="0" t="n">
        <v>1509872</v>
      </c>
      <c r="C13" s="0" t="n">
        <v>78507</v>
      </c>
      <c r="D13" s="0" t="n">
        <v>1638</v>
      </c>
      <c r="E13" s="0" t="n">
        <v>117</v>
      </c>
      <c r="F13" s="0" t="n">
        <v>91</v>
      </c>
      <c r="G13" s="0" t="n">
        <v>157287</v>
      </c>
      <c r="H13" s="0" t="n">
        <v>117</v>
      </c>
      <c r="I13" s="0" t="n">
        <v>65</v>
      </c>
      <c r="J13" s="0" t="n">
        <v>377</v>
      </c>
      <c r="K13" s="0" t="n">
        <v>442</v>
      </c>
      <c r="L13" s="0" t="n">
        <v>806</v>
      </c>
      <c r="M13" s="0" t="n">
        <v>837356</v>
      </c>
      <c r="N13" s="0" t="n">
        <v>767</v>
      </c>
      <c r="O13" s="0" t="n">
        <v>533</v>
      </c>
      <c r="P13" s="0" t="n">
        <v>7917</v>
      </c>
      <c r="Q13" s="0" t="n">
        <v>663</v>
      </c>
      <c r="R13" s="0" t="n">
        <v>221</v>
      </c>
      <c r="S13" s="0" t="n">
        <v>325</v>
      </c>
      <c r="T13" s="0" t="n">
        <v>104</v>
      </c>
      <c r="U13" s="0" t="n">
        <v>117</v>
      </c>
      <c r="V13" s="0" t="n">
        <v>130</v>
      </c>
      <c r="W13" s="0" t="n">
        <v>104</v>
      </c>
      <c r="X13" s="0" t="n">
        <v>0</v>
      </c>
      <c r="Y13" s="0" t="n">
        <v>0</v>
      </c>
      <c r="Z13" s="0" t="n">
        <v>2145</v>
      </c>
      <c r="AA13" s="0" t="n">
        <v>2600689</v>
      </c>
      <c r="AC13" s="0" t="n">
        <f aca="false">A13</f>
        <v>6780</v>
      </c>
      <c r="AD13" s="0" t="s">
        <v>26</v>
      </c>
      <c r="AE13" s="0" t="n">
        <f aca="false">SUM(C13:Z13)-MAX(C13:Z13)</f>
        <v>252473</v>
      </c>
      <c r="AF13" s="0" t="n">
        <f aca="false">MAX(C13:Z13)</f>
        <v>837356</v>
      </c>
      <c r="AG13" s="0" t="n">
        <f aca="false">SUM(C13:Z13)</f>
        <v>1089829</v>
      </c>
      <c r="AH13" s="0" t="n">
        <f aca="false">SUM(B13:Z13)</f>
        <v>2599701</v>
      </c>
      <c r="AI13" s="1" t="n">
        <f aca="false">AE13/AG13</f>
        <v>0.231662948958048</v>
      </c>
      <c r="AK13" s="0" t="n">
        <v>837356</v>
      </c>
      <c r="AL13" s="0" t="n">
        <v>70083</v>
      </c>
      <c r="AM13" s="0" t="n">
        <v>907439</v>
      </c>
      <c r="AN13" s="1" t="n">
        <v>0.0772316376086988</v>
      </c>
      <c r="AO13" s="0" t="n">
        <f aca="false">AC13</f>
        <v>6780</v>
      </c>
      <c r="AP13" s="2" t="n">
        <f aca="false">-0.0364+0.00000000386*$AH13+0.844*$AN13</f>
        <v>0.0388183480017418</v>
      </c>
      <c r="AR13" s="3" t="n">
        <f aca="false">AH13*AP13</f>
        <v>100916.098118476</v>
      </c>
      <c r="AT13" s="2"/>
      <c r="AV13" s="2"/>
      <c r="AX13" s="2"/>
    </row>
    <row r="14" customFormat="false" ht="12.75" hidden="false" customHeight="false" outlineLevel="0" collapsed="false">
      <c r="A14" s="0" t="n">
        <v>6920</v>
      </c>
      <c r="B14" s="0" t="n">
        <v>792038</v>
      </c>
      <c r="C14" s="0" t="n">
        <v>520</v>
      </c>
      <c r="D14" s="0" t="n">
        <v>0</v>
      </c>
      <c r="E14" s="0" t="n">
        <v>533</v>
      </c>
      <c r="F14" s="0" t="n">
        <v>234</v>
      </c>
      <c r="G14" s="0" t="n">
        <v>728</v>
      </c>
      <c r="H14" s="0" t="n">
        <v>0</v>
      </c>
      <c r="I14" s="0" t="n">
        <v>494</v>
      </c>
      <c r="J14" s="0" t="n">
        <v>4628</v>
      </c>
      <c r="K14" s="0" t="n">
        <v>234</v>
      </c>
      <c r="L14" s="0" t="n">
        <v>1066</v>
      </c>
      <c r="M14" s="0" t="n">
        <v>299</v>
      </c>
      <c r="N14" s="0" t="n">
        <v>644345</v>
      </c>
      <c r="O14" s="0" t="n">
        <v>221</v>
      </c>
      <c r="P14" s="0" t="n">
        <v>949</v>
      </c>
      <c r="Q14" s="0" t="n">
        <v>2808</v>
      </c>
      <c r="R14" s="0" t="n">
        <v>1820</v>
      </c>
      <c r="S14" s="0" t="n">
        <v>0</v>
      </c>
      <c r="T14" s="0" t="n">
        <v>0</v>
      </c>
      <c r="U14" s="0" t="n">
        <v>117</v>
      </c>
      <c r="V14" s="0" t="n">
        <v>7085</v>
      </c>
      <c r="W14" s="0" t="n">
        <v>5408</v>
      </c>
      <c r="X14" s="0" t="n">
        <v>0</v>
      </c>
      <c r="Y14" s="0" t="n">
        <v>1183</v>
      </c>
      <c r="Z14" s="0" t="n">
        <v>12818</v>
      </c>
      <c r="AA14" s="0" t="n">
        <v>1478230</v>
      </c>
      <c r="AC14" s="0" t="n">
        <f aca="false">A14</f>
        <v>6920</v>
      </c>
      <c r="AD14" s="0" t="s">
        <v>27</v>
      </c>
      <c r="AE14" s="0" t="n">
        <f aca="false">SUM(C14:Z14)-MAX(C14:Z14)</f>
        <v>41145</v>
      </c>
      <c r="AF14" s="0" t="n">
        <f aca="false">MAX(C14:Z14)</f>
        <v>644345</v>
      </c>
      <c r="AG14" s="0" t="n">
        <f aca="false">SUM(C14:Z14)</f>
        <v>685490</v>
      </c>
      <c r="AH14" s="0" t="n">
        <f aca="false">SUM(B14:Z14)</f>
        <v>1477528</v>
      </c>
      <c r="AI14" s="1" t="n">
        <f aca="false">AE14/AG14</f>
        <v>0.0600227574435805</v>
      </c>
      <c r="AK14" s="0" t="n">
        <v>644345</v>
      </c>
      <c r="AL14" s="0" t="n">
        <v>32994</v>
      </c>
      <c r="AM14" s="0" t="n">
        <v>677339</v>
      </c>
      <c r="AN14" s="1" t="n">
        <v>0.0487112066483696</v>
      </c>
      <c r="AO14" s="0" t="n">
        <f aca="false">AC14</f>
        <v>6920</v>
      </c>
      <c r="AP14" s="2" t="n">
        <f aca="false">-0.0364+0.00000000386*$AH14+0.844*$AN14</f>
        <v>0.0104155164912239</v>
      </c>
      <c r="AR14" s="3" t="n">
        <f aca="false">AH14*AP14</f>
        <v>15389.2172502451</v>
      </c>
      <c r="AT14" s="2"/>
      <c r="AV14" s="2"/>
      <c r="AX14" s="2"/>
    </row>
    <row r="15" customFormat="false" ht="12.75" hidden="false" customHeight="false" outlineLevel="0" collapsed="false">
      <c r="A15" s="0" t="n">
        <v>7120</v>
      </c>
      <c r="B15" s="0" t="n">
        <v>195273</v>
      </c>
      <c r="C15" s="0" t="n">
        <v>0</v>
      </c>
      <c r="D15" s="0" t="n">
        <v>0</v>
      </c>
      <c r="E15" s="0" t="n">
        <v>0</v>
      </c>
      <c r="F15" s="0" t="n">
        <v>91</v>
      </c>
      <c r="G15" s="0" t="n">
        <v>260</v>
      </c>
      <c r="H15" s="0" t="n">
        <v>0</v>
      </c>
      <c r="I15" s="0" t="n">
        <v>0</v>
      </c>
      <c r="J15" s="0" t="n">
        <v>338</v>
      </c>
      <c r="K15" s="0" t="n">
        <v>143</v>
      </c>
      <c r="L15" s="0" t="n">
        <v>130</v>
      </c>
      <c r="M15" s="0" t="n">
        <v>143</v>
      </c>
      <c r="N15" s="0" t="n">
        <v>0</v>
      </c>
      <c r="O15" s="0" t="n">
        <v>152750</v>
      </c>
      <c r="P15" s="0" t="n">
        <v>0</v>
      </c>
      <c r="Q15" s="0" t="n">
        <v>247</v>
      </c>
      <c r="R15" s="0" t="n">
        <v>2275</v>
      </c>
      <c r="S15" s="0" t="n">
        <v>65</v>
      </c>
      <c r="T15" s="0" t="n">
        <v>6643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130</v>
      </c>
      <c r="Z15" s="0" t="n">
        <v>1053</v>
      </c>
      <c r="AA15" s="0" t="n">
        <v>359827</v>
      </c>
      <c r="AC15" s="0" t="n">
        <f aca="false">A15</f>
        <v>7120</v>
      </c>
      <c r="AD15" s="0" t="s">
        <v>28</v>
      </c>
      <c r="AE15" s="0" t="n">
        <f aca="false">SUM(C15:Z15)-MAX(C15:Z15)</f>
        <v>11518</v>
      </c>
      <c r="AF15" s="0" t="n">
        <f aca="false">MAX(C15:Z15)</f>
        <v>152750</v>
      </c>
      <c r="AG15" s="0" t="n">
        <f aca="false">SUM(C15:Z15)</f>
        <v>164268</v>
      </c>
      <c r="AH15" s="0" t="n">
        <f aca="false">SUM(B15:Z15)</f>
        <v>359541</v>
      </c>
      <c r="AI15" s="1" t="n">
        <f aca="false">AE15/AG15</f>
        <v>0.0701171256726812</v>
      </c>
      <c r="AK15" s="0" t="n">
        <v>152750</v>
      </c>
      <c r="AL15" s="0" t="n">
        <v>10127</v>
      </c>
      <c r="AM15" s="0" t="n">
        <v>162877</v>
      </c>
      <c r="AN15" s="1" t="n">
        <v>0.0621757522547689</v>
      </c>
      <c r="AO15" s="0" t="n">
        <f aca="false">AC15</f>
        <v>7120</v>
      </c>
      <c r="AP15" s="2" t="n">
        <f aca="false">-0.0364+0.00000000386*$AH15+0.844*$AN15</f>
        <v>0.017464163163025</v>
      </c>
      <c r="AR15" s="3" t="n">
        <f aca="false">AH15*AP15</f>
        <v>6279.08268779716</v>
      </c>
      <c r="AT15" s="2"/>
      <c r="AV15" s="2"/>
      <c r="AX15" s="2"/>
    </row>
    <row r="16" customFormat="false" ht="12.75" hidden="false" customHeight="false" outlineLevel="0" collapsed="false">
      <c r="A16" s="0" t="n">
        <v>7320</v>
      </c>
      <c r="B16" s="0" t="n">
        <v>1264757</v>
      </c>
      <c r="C16" s="0" t="n">
        <v>13065</v>
      </c>
      <c r="D16" s="0" t="n">
        <v>390</v>
      </c>
      <c r="E16" s="0" t="n">
        <v>130</v>
      </c>
      <c r="F16" s="0" t="n">
        <v>143</v>
      </c>
      <c r="G16" s="0" t="n">
        <v>7631</v>
      </c>
      <c r="H16" s="0" t="n">
        <v>208</v>
      </c>
      <c r="I16" s="0" t="n">
        <v>234</v>
      </c>
      <c r="J16" s="0" t="n">
        <v>1469</v>
      </c>
      <c r="K16" s="0" t="n">
        <v>429</v>
      </c>
      <c r="L16" s="0" t="n">
        <v>130</v>
      </c>
      <c r="M16" s="0" t="n">
        <v>7046</v>
      </c>
      <c r="N16" s="0" t="n">
        <v>650</v>
      </c>
      <c r="O16" s="0" t="n">
        <v>351</v>
      </c>
      <c r="P16" s="0" t="n">
        <v>1184040</v>
      </c>
      <c r="Q16" s="0" t="n">
        <v>2301</v>
      </c>
      <c r="R16" s="0" t="n">
        <v>403</v>
      </c>
      <c r="S16" s="0" t="n">
        <v>91</v>
      </c>
      <c r="T16" s="0" t="n">
        <v>169</v>
      </c>
      <c r="U16" s="0" t="n">
        <v>91</v>
      </c>
      <c r="V16" s="0" t="n">
        <v>169</v>
      </c>
      <c r="W16" s="0" t="n">
        <v>143</v>
      </c>
      <c r="X16" s="0" t="n">
        <v>39</v>
      </c>
      <c r="Y16" s="0" t="n">
        <v>260</v>
      </c>
      <c r="Z16" s="0" t="n">
        <v>1378</v>
      </c>
      <c r="AA16" s="0" t="n">
        <v>2490657</v>
      </c>
      <c r="AC16" s="0" t="n">
        <f aca="false">A16</f>
        <v>7320</v>
      </c>
      <c r="AD16" s="0" t="s">
        <v>29</v>
      </c>
      <c r="AE16" s="0" t="n">
        <f aca="false">SUM(C16:Z16)-MAX(C16:Z16)</f>
        <v>36920</v>
      </c>
      <c r="AF16" s="0" t="n">
        <f aca="false">MAX(C16:Z16)</f>
        <v>1184040</v>
      </c>
      <c r="AG16" s="0" t="n">
        <f aca="false">SUM(C16:Z16)</f>
        <v>1220960</v>
      </c>
      <c r="AH16" s="0" t="n">
        <f aca="false">SUM(B16:Z16)</f>
        <v>2485717</v>
      </c>
      <c r="AI16" s="1" t="n">
        <f aca="false">AE16/AG16</f>
        <v>0.0302385008517888</v>
      </c>
      <c r="AK16" s="0" t="n">
        <v>1184040</v>
      </c>
      <c r="AL16" s="0" t="n">
        <v>22412</v>
      </c>
      <c r="AM16" s="0" t="n">
        <v>1206452</v>
      </c>
      <c r="AN16" s="1" t="n">
        <v>0.0185767854833843</v>
      </c>
      <c r="AO16" s="0" t="n">
        <f aca="false">AC16</f>
        <v>7320</v>
      </c>
      <c r="AP16" s="2" t="n">
        <f aca="false">-0.0364+0.00000000386*$AH16+0.844*$AN16</f>
        <v>-0.0111263254320236</v>
      </c>
      <c r="AR16" s="3" t="n">
        <f aca="false">AH16*AP16</f>
        <v>-27656.8962739135</v>
      </c>
      <c r="AT16" s="2"/>
      <c r="AV16" s="2"/>
      <c r="AX16" s="2"/>
    </row>
    <row r="17" customFormat="false" ht="12.75" hidden="false" customHeight="false" outlineLevel="0" collapsed="false">
      <c r="A17" s="0" t="n">
        <v>7360</v>
      </c>
      <c r="B17" s="0" t="n">
        <v>764140</v>
      </c>
      <c r="C17" s="0" t="n">
        <v>0</v>
      </c>
      <c r="D17" s="0" t="n">
        <v>0</v>
      </c>
      <c r="E17" s="0" t="n">
        <v>0</v>
      </c>
      <c r="F17" s="0" t="n">
        <v>195</v>
      </c>
      <c r="G17" s="0" t="n">
        <v>1495</v>
      </c>
      <c r="H17" s="0" t="n">
        <v>0</v>
      </c>
      <c r="I17" s="0" t="n">
        <v>338</v>
      </c>
      <c r="J17" s="0" t="n">
        <v>52572</v>
      </c>
      <c r="K17" s="0" t="n">
        <v>0</v>
      </c>
      <c r="L17" s="0" t="n">
        <v>481</v>
      </c>
      <c r="M17" s="0" t="n">
        <v>260</v>
      </c>
      <c r="N17" s="0" t="n">
        <v>767</v>
      </c>
      <c r="O17" s="0" t="n">
        <v>247</v>
      </c>
      <c r="P17" s="0" t="n">
        <v>351</v>
      </c>
      <c r="Q17" s="0" t="n">
        <v>742391</v>
      </c>
      <c r="R17" s="0" t="n">
        <v>54431</v>
      </c>
      <c r="S17" s="0" t="n">
        <v>104</v>
      </c>
      <c r="T17" s="0" t="n">
        <v>624</v>
      </c>
      <c r="U17" s="0" t="n">
        <v>3978</v>
      </c>
      <c r="V17" s="0" t="n">
        <v>117</v>
      </c>
      <c r="W17" s="0" t="n">
        <v>1768</v>
      </c>
      <c r="X17" s="0" t="n">
        <v>0</v>
      </c>
      <c r="Y17" s="0" t="n">
        <v>195</v>
      </c>
      <c r="Z17" s="0" t="n">
        <v>650</v>
      </c>
      <c r="AA17" s="0" t="n">
        <v>1626534</v>
      </c>
      <c r="AC17" s="0" t="n">
        <f aca="false">A17</f>
        <v>7360</v>
      </c>
      <c r="AD17" s="0" t="s">
        <v>30</v>
      </c>
      <c r="AE17" s="0" t="n">
        <f aca="false">SUM(C17:Z17)-MAX(C17:Z17)</f>
        <v>118573</v>
      </c>
      <c r="AF17" s="0" t="n">
        <f aca="false">MAX(C17:Z17)</f>
        <v>742391</v>
      </c>
      <c r="AG17" s="0" t="n">
        <f aca="false">SUM(C17:Z17)</f>
        <v>860964</v>
      </c>
      <c r="AH17" s="0" t="n">
        <f aca="false">SUM(B17:Z17)</f>
        <v>1625104</v>
      </c>
      <c r="AI17" s="1" t="n">
        <f aca="false">AE17/AG17</f>
        <v>0.137721205532403</v>
      </c>
      <c r="AK17" s="0" t="n">
        <v>742391</v>
      </c>
      <c r="AL17" s="0" t="n">
        <v>246558</v>
      </c>
      <c r="AM17" s="0" t="n">
        <v>988949</v>
      </c>
      <c r="AN17" s="1" t="n">
        <v>0.249313159728156</v>
      </c>
      <c r="AO17" s="0" t="n">
        <f aca="false">AC17</f>
        <v>7360</v>
      </c>
      <c r="AP17" s="2" t="n">
        <f aca="false">-0.0364+0.00000000386*$AH17+0.844*$AN17</f>
        <v>0.180293208250564</v>
      </c>
      <c r="AR17" s="3" t="n">
        <f aca="false">AH17*AP17</f>
        <v>292995.213900824</v>
      </c>
      <c r="AT17" s="2"/>
      <c r="AV17" s="2"/>
      <c r="AX17" s="2"/>
    </row>
    <row r="18" customFormat="false" ht="12.75" hidden="false" customHeight="false" outlineLevel="0" collapsed="false">
      <c r="A18" s="0" t="n">
        <v>7400</v>
      </c>
      <c r="B18" s="0" t="n">
        <v>686517</v>
      </c>
      <c r="C18" s="0" t="n">
        <v>156</v>
      </c>
      <c r="D18" s="0" t="n">
        <v>195</v>
      </c>
      <c r="E18" s="0" t="n">
        <v>0</v>
      </c>
      <c r="F18" s="0" t="n">
        <v>0</v>
      </c>
      <c r="G18" s="0" t="n">
        <v>975</v>
      </c>
      <c r="H18" s="0" t="n">
        <v>0</v>
      </c>
      <c r="I18" s="0" t="n">
        <v>156</v>
      </c>
      <c r="J18" s="0" t="n">
        <v>36153</v>
      </c>
      <c r="K18" s="0" t="n">
        <v>130</v>
      </c>
      <c r="L18" s="0" t="n">
        <v>234</v>
      </c>
      <c r="M18" s="0" t="n">
        <v>0</v>
      </c>
      <c r="N18" s="0" t="n">
        <v>1287</v>
      </c>
      <c r="O18" s="0" t="n">
        <v>715</v>
      </c>
      <c r="P18" s="0" t="n">
        <v>221</v>
      </c>
      <c r="Q18" s="0" t="n">
        <v>40768</v>
      </c>
      <c r="R18" s="0" t="n">
        <v>714948</v>
      </c>
      <c r="S18" s="0" t="n">
        <v>65</v>
      </c>
      <c r="T18" s="0" t="n">
        <v>4875</v>
      </c>
      <c r="U18" s="0" t="n">
        <v>273</v>
      </c>
      <c r="V18" s="0" t="n">
        <v>780</v>
      </c>
      <c r="W18" s="0" t="n">
        <v>403</v>
      </c>
      <c r="X18" s="0" t="n">
        <v>0</v>
      </c>
      <c r="Y18" s="0" t="n">
        <v>0</v>
      </c>
      <c r="Z18" s="0" t="n">
        <v>1638</v>
      </c>
      <c r="AA18" s="0" t="n">
        <v>1490762</v>
      </c>
      <c r="AC18" s="0" t="n">
        <f aca="false">A18</f>
        <v>7400</v>
      </c>
      <c r="AD18" s="0" t="s">
        <v>31</v>
      </c>
      <c r="AE18" s="0" t="n">
        <f aca="false">SUM(C18:Z18)-MAX(C18:Z18)</f>
        <v>89024</v>
      </c>
      <c r="AF18" s="0" t="n">
        <f aca="false">MAX(C18:Z18)</f>
        <v>714948</v>
      </c>
      <c r="AG18" s="0" t="n">
        <f aca="false">SUM(C18:Z18)</f>
        <v>803972</v>
      </c>
      <c r="AH18" s="0" t="n">
        <f aca="false">SUM(B18:Z18)</f>
        <v>1490489</v>
      </c>
      <c r="AI18" s="1" t="n">
        <f aca="false">AE18/AG18</f>
        <v>0.110730224435677</v>
      </c>
      <c r="AK18" s="0" t="n">
        <v>714948</v>
      </c>
      <c r="AL18" s="0" t="n">
        <v>149006</v>
      </c>
      <c r="AM18" s="0" t="n">
        <v>863954</v>
      </c>
      <c r="AN18" s="1" t="n">
        <v>0.172469830569683</v>
      </c>
      <c r="AO18" s="0" t="n">
        <f aca="false">AC18</f>
        <v>7400</v>
      </c>
      <c r="AP18" s="2" t="n">
        <f aca="false">-0.0364+0.00000000386*$AH18+0.844*$AN18</f>
        <v>0.114917824540813</v>
      </c>
      <c r="AR18" s="3" t="n">
        <f aca="false">AH18*AP18</f>
        <v>171283.753382011</v>
      </c>
      <c r="AT18" s="2"/>
      <c r="AV18" s="2"/>
      <c r="AX18" s="2"/>
    </row>
    <row r="19" customFormat="false" ht="12.75" hidden="false" customHeight="false" outlineLevel="0" collapsed="false">
      <c r="A19" s="0" t="n">
        <v>7480</v>
      </c>
      <c r="B19" s="0" t="n">
        <v>187317</v>
      </c>
      <c r="C19" s="0" t="n">
        <v>91</v>
      </c>
      <c r="D19" s="0" t="n">
        <v>0</v>
      </c>
      <c r="E19" s="0" t="n">
        <v>0</v>
      </c>
      <c r="F19" s="0" t="n">
        <v>143</v>
      </c>
      <c r="G19" s="0" t="n">
        <v>1599</v>
      </c>
      <c r="H19" s="0" t="n">
        <v>13</v>
      </c>
      <c r="I19" s="0" t="n">
        <v>0</v>
      </c>
      <c r="J19" s="0" t="n">
        <v>156</v>
      </c>
      <c r="K19" s="0" t="n">
        <v>2015</v>
      </c>
      <c r="L19" s="0" t="n">
        <v>65</v>
      </c>
      <c r="M19" s="0" t="n">
        <v>637</v>
      </c>
      <c r="N19" s="0" t="n">
        <v>0</v>
      </c>
      <c r="O19" s="0" t="n">
        <v>208</v>
      </c>
      <c r="P19" s="0" t="n">
        <v>65</v>
      </c>
      <c r="Q19" s="0" t="n">
        <v>377</v>
      </c>
      <c r="R19" s="0" t="n">
        <v>104</v>
      </c>
      <c r="S19" s="0" t="n">
        <v>169559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5109</v>
      </c>
      <c r="AA19" s="0" t="n">
        <v>367458</v>
      </c>
      <c r="AC19" s="0" t="n">
        <f aca="false">A19</f>
        <v>7480</v>
      </c>
      <c r="AD19" s="0" t="s">
        <v>32</v>
      </c>
      <c r="AE19" s="0" t="n">
        <f aca="false">SUM(C19:Z19)-MAX(C19:Z19)</f>
        <v>10582</v>
      </c>
      <c r="AF19" s="0" t="n">
        <f aca="false">MAX(C19:Z19)</f>
        <v>169559</v>
      </c>
      <c r="AG19" s="0" t="n">
        <f aca="false">SUM(C19:Z19)</f>
        <v>180141</v>
      </c>
      <c r="AH19" s="0" t="n">
        <f aca="false">SUM(B19:Z19)</f>
        <v>367458</v>
      </c>
      <c r="AI19" s="1" t="n">
        <f aca="false">AE19/AG19</f>
        <v>0.0587428736378726</v>
      </c>
      <c r="AK19" s="0" t="n">
        <v>169559</v>
      </c>
      <c r="AL19" s="0" t="n">
        <v>13559</v>
      </c>
      <c r="AM19" s="0" t="n">
        <v>183118</v>
      </c>
      <c r="AN19" s="1" t="n">
        <v>0.0740451512139713</v>
      </c>
      <c r="AO19" s="0" t="n">
        <f aca="false">AC19</f>
        <v>7480</v>
      </c>
      <c r="AP19" s="2" t="n">
        <f aca="false">-0.0364+0.00000000386*$AH19+0.844*$AN19</f>
        <v>0.0275124955045918</v>
      </c>
      <c r="AR19" s="3" t="n">
        <f aca="false">AH19*AP19</f>
        <v>10109.6865731263</v>
      </c>
      <c r="AT19" s="2"/>
      <c r="AV19" s="2"/>
      <c r="AX19" s="2"/>
    </row>
    <row r="20" customFormat="false" ht="12.75" hidden="false" customHeight="false" outlineLevel="0" collapsed="false">
      <c r="A20" s="0" t="n">
        <v>7485</v>
      </c>
      <c r="B20" s="0" t="n">
        <v>116324</v>
      </c>
      <c r="C20" s="0" t="n">
        <v>0</v>
      </c>
      <c r="D20" s="0" t="n">
        <v>273</v>
      </c>
      <c r="E20" s="0" t="n">
        <v>0</v>
      </c>
      <c r="F20" s="0" t="n">
        <v>52</v>
      </c>
      <c r="G20" s="0" t="n">
        <v>247</v>
      </c>
      <c r="H20" s="0" t="n">
        <v>0</v>
      </c>
      <c r="I20" s="0" t="n">
        <v>104</v>
      </c>
      <c r="J20" s="0" t="n">
        <v>1053</v>
      </c>
      <c r="K20" s="0" t="n">
        <v>91</v>
      </c>
      <c r="L20" s="0" t="n">
        <v>0</v>
      </c>
      <c r="M20" s="0" t="n">
        <v>0</v>
      </c>
      <c r="N20" s="0" t="n">
        <v>0</v>
      </c>
      <c r="O20" s="0" t="n">
        <v>4420</v>
      </c>
      <c r="P20" s="0" t="n">
        <v>91</v>
      </c>
      <c r="Q20" s="0" t="n">
        <v>2106</v>
      </c>
      <c r="R20" s="0" t="n">
        <v>15444</v>
      </c>
      <c r="S20" s="0" t="n">
        <v>0</v>
      </c>
      <c r="T20" s="0" t="n">
        <v>88868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247</v>
      </c>
      <c r="AA20" s="0" t="n">
        <v>229528</v>
      </c>
      <c r="AC20" s="0" t="n">
        <f aca="false">A20</f>
        <v>7485</v>
      </c>
      <c r="AD20" s="0" t="s">
        <v>33</v>
      </c>
      <c r="AE20" s="0" t="n">
        <f aca="false">SUM(C20:Z20)-MAX(C20:Z20)</f>
        <v>24128</v>
      </c>
      <c r="AF20" s="0" t="n">
        <f aca="false">MAX(C20:Z20)</f>
        <v>88868</v>
      </c>
      <c r="AG20" s="0" t="n">
        <f aca="false">SUM(C20:Z20)</f>
        <v>112996</v>
      </c>
      <c r="AH20" s="0" t="n">
        <f aca="false">SUM(B20:Z20)</f>
        <v>229320</v>
      </c>
      <c r="AI20" s="1" t="n">
        <f aca="false">AE20/AG20</f>
        <v>0.213529682466636</v>
      </c>
      <c r="AK20" s="0" t="n">
        <v>88868</v>
      </c>
      <c r="AL20" s="0" t="n">
        <v>13572</v>
      </c>
      <c r="AM20" s="0" t="n">
        <v>102440</v>
      </c>
      <c r="AN20" s="1" t="n">
        <v>0.13248730964467</v>
      </c>
      <c r="AO20" s="0" t="n">
        <f aca="false">AC20</f>
        <v>7485</v>
      </c>
      <c r="AP20" s="2" t="n">
        <f aca="false">-0.0364+0.00000000386*$AH20+0.844*$AN20</f>
        <v>0.0763044645401015</v>
      </c>
      <c r="AR20" s="3" t="n">
        <f aca="false">AH20*AP20</f>
        <v>17498.1398083361</v>
      </c>
      <c r="AT20" s="2"/>
      <c r="AV20" s="2"/>
      <c r="AX20" s="2"/>
    </row>
    <row r="21" customFormat="false" ht="12.75" hidden="false" customHeight="false" outlineLevel="0" collapsed="false">
      <c r="A21" s="0" t="n">
        <v>7500</v>
      </c>
      <c r="B21" s="0" t="n">
        <v>195936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156</v>
      </c>
      <c r="H21" s="0" t="n">
        <v>0</v>
      </c>
      <c r="I21" s="0" t="n">
        <v>0</v>
      </c>
      <c r="J21" s="0" t="n">
        <v>3536</v>
      </c>
      <c r="K21" s="0" t="n">
        <v>0</v>
      </c>
      <c r="L21" s="0" t="n">
        <v>130</v>
      </c>
      <c r="M21" s="0" t="n">
        <v>130</v>
      </c>
      <c r="N21" s="0" t="n">
        <v>325</v>
      </c>
      <c r="O21" s="0" t="n">
        <v>0</v>
      </c>
      <c r="P21" s="0" t="n">
        <v>273</v>
      </c>
      <c r="Q21" s="0" t="n">
        <v>27222</v>
      </c>
      <c r="R21" s="0" t="n">
        <v>351</v>
      </c>
      <c r="S21" s="0" t="n">
        <v>0</v>
      </c>
      <c r="T21" s="0" t="n">
        <v>0</v>
      </c>
      <c r="U21" s="0" t="n">
        <v>146120</v>
      </c>
      <c r="V21" s="0" t="n">
        <v>130</v>
      </c>
      <c r="W21" s="0" t="n">
        <v>3393</v>
      </c>
      <c r="X21" s="0" t="n">
        <v>0</v>
      </c>
      <c r="Y21" s="0" t="n">
        <v>0</v>
      </c>
      <c r="Z21" s="0" t="n">
        <v>780</v>
      </c>
      <c r="AA21" s="0" t="n">
        <v>378638</v>
      </c>
      <c r="AC21" s="0" t="n">
        <f aca="false">A21</f>
        <v>7500</v>
      </c>
      <c r="AD21" s="0" t="s">
        <v>34</v>
      </c>
      <c r="AE21" s="0" t="n">
        <f aca="false">SUM(C21:Z21)-MAX(C21:Z21)</f>
        <v>36426</v>
      </c>
      <c r="AF21" s="0" t="n">
        <f aca="false">MAX(C21:Z21)</f>
        <v>146120</v>
      </c>
      <c r="AG21" s="0" t="n">
        <f aca="false">SUM(C21:Z21)</f>
        <v>182546</v>
      </c>
      <c r="AH21" s="0" t="n">
        <f aca="false">SUM(B21:Z21)</f>
        <v>378482</v>
      </c>
      <c r="AI21" s="1" t="n">
        <f aca="false">AE21/AG21</f>
        <v>0.199544224469449</v>
      </c>
      <c r="AK21" s="0" t="n">
        <v>146120</v>
      </c>
      <c r="AL21" s="0" t="n">
        <v>11063</v>
      </c>
      <c r="AM21" s="0" t="n">
        <v>157183</v>
      </c>
      <c r="AN21" s="1" t="n">
        <v>0.0703829294516583</v>
      </c>
      <c r="AO21" s="0" t="n">
        <f aca="false">AC21</f>
        <v>7500</v>
      </c>
      <c r="AP21" s="2" t="n">
        <f aca="false">-0.0364+0.00000000386*$AH21+0.844*$AN21</f>
        <v>0.0244641329771996</v>
      </c>
      <c r="AR21" s="3" t="n">
        <f aca="false">AH21*AP21</f>
        <v>9259.23397747645</v>
      </c>
      <c r="AT21" s="2"/>
      <c r="AV21" s="2"/>
      <c r="AX21" s="2"/>
    </row>
    <row r="22" customFormat="false" ht="12.75" hidden="false" customHeight="false" outlineLevel="0" collapsed="false">
      <c r="A22" s="0" t="n">
        <v>8120</v>
      </c>
      <c r="B22" s="0" t="n">
        <v>154115</v>
      </c>
      <c r="C22" s="0" t="n">
        <v>0</v>
      </c>
      <c r="D22" s="0" t="n">
        <v>0</v>
      </c>
      <c r="E22" s="0" t="n">
        <v>0</v>
      </c>
      <c r="F22" s="0" t="n">
        <v>91</v>
      </c>
      <c r="G22" s="0" t="n">
        <v>65</v>
      </c>
      <c r="H22" s="0" t="n">
        <v>91</v>
      </c>
      <c r="I22" s="0" t="n">
        <v>4927</v>
      </c>
      <c r="J22" s="0" t="n">
        <v>11791</v>
      </c>
      <c r="K22" s="0" t="n">
        <v>0</v>
      </c>
      <c r="L22" s="0" t="n">
        <v>0</v>
      </c>
      <c r="M22" s="0" t="n">
        <v>0</v>
      </c>
      <c r="N22" s="0" t="n">
        <v>2301</v>
      </c>
      <c r="O22" s="0" t="n">
        <v>0</v>
      </c>
      <c r="P22" s="0" t="n">
        <v>0</v>
      </c>
      <c r="Q22" s="0" t="n">
        <v>1313</v>
      </c>
      <c r="R22" s="0" t="n">
        <v>3159</v>
      </c>
      <c r="S22" s="0" t="n">
        <v>65</v>
      </c>
      <c r="T22" s="0" t="n">
        <v>0</v>
      </c>
      <c r="U22" s="0" t="n">
        <v>0</v>
      </c>
      <c r="V22" s="0" t="n">
        <v>85462</v>
      </c>
      <c r="W22" s="0" t="n">
        <v>234</v>
      </c>
      <c r="X22" s="0" t="n">
        <v>0</v>
      </c>
      <c r="Y22" s="0" t="n">
        <v>0</v>
      </c>
      <c r="Z22" s="0" t="n">
        <v>91</v>
      </c>
      <c r="AA22" s="0" t="n">
        <v>263822</v>
      </c>
      <c r="AC22" s="0" t="n">
        <f aca="false">A22</f>
        <v>8120</v>
      </c>
      <c r="AD22" s="0" t="s">
        <v>35</v>
      </c>
      <c r="AE22" s="0" t="n">
        <f aca="false">SUM(C22:Z22)-MAX(C22:Z22)</f>
        <v>24128</v>
      </c>
      <c r="AF22" s="0" t="n">
        <f aca="false">MAX(C22:Z22)</f>
        <v>85462</v>
      </c>
      <c r="AG22" s="0" t="n">
        <f aca="false">SUM(C22:Z22)</f>
        <v>109590</v>
      </c>
      <c r="AH22" s="0" t="n">
        <f aca="false">SUM(B22:Z22)</f>
        <v>263705</v>
      </c>
      <c r="AI22" s="1" t="n">
        <f aca="false">AE22/AG22</f>
        <v>0.220166073546856</v>
      </c>
      <c r="AK22" s="0" t="n">
        <v>85462</v>
      </c>
      <c r="AL22" s="0" t="n">
        <v>22607</v>
      </c>
      <c r="AM22" s="0" t="n">
        <v>108069</v>
      </c>
      <c r="AN22" s="1" t="n">
        <v>0.209190424636112</v>
      </c>
      <c r="AO22" s="0" t="n">
        <f aca="false">AC22</f>
        <v>8120</v>
      </c>
      <c r="AP22" s="2" t="n">
        <f aca="false">-0.0364+0.00000000386*$AH22+0.844*$AN22</f>
        <v>0.141174619692879</v>
      </c>
      <c r="AR22" s="3" t="n">
        <f aca="false">AH22*AP22</f>
        <v>37228.4530861106</v>
      </c>
      <c r="AT22" s="2"/>
      <c r="AV22" s="2"/>
      <c r="AX22" s="2"/>
    </row>
    <row r="23" customFormat="false" ht="12.75" hidden="false" customHeight="false" outlineLevel="0" collapsed="false">
      <c r="A23" s="0" t="n">
        <v>8720</v>
      </c>
      <c r="B23" s="0" t="n">
        <v>240682</v>
      </c>
      <c r="C23" s="0" t="n">
        <v>169</v>
      </c>
      <c r="D23" s="0" t="n">
        <v>0</v>
      </c>
      <c r="E23" s="0" t="n">
        <v>0</v>
      </c>
      <c r="F23" s="0" t="n">
        <v>0</v>
      </c>
      <c r="G23" s="0" t="n">
        <v>182</v>
      </c>
      <c r="H23" s="0" t="n">
        <v>52</v>
      </c>
      <c r="I23" s="0" t="n">
        <v>91</v>
      </c>
      <c r="J23" s="0" t="n">
        <v>36062</v>
      </c>
      <c r="K23" s="0" t="n">
        <v>0</v>
      </c>
      <c r="L23" s="0" t="n">
        <v>0</v>
      </c>
      <c r="M23" s="0" t="n">
        <v>0</v>
      </c>
      <c r="N23" s="0" t="n">
        <v>7215</v>
      </c>
      <c r="O23" s="0" t="n">
        <v>78</v>
      </c>
      <c r="P23" s="0" t="n">
        <v>91</v>
      </c>
      <c r="Q23" s="0" t="n">
        <v>13832</v>
      </c>
      <c r="R23" s="0" t="n">
        <v>1326</v>
      </c>
      <c r="S23" s="0" t="n">
        <v>0</v>
      </c>
      <c r="T23" s="0" t="n">
        <v>0</v>
      </c>
      <c r="U23" s="0" t="n">
        <v>2899</v>
      </c>
      <c r="V23" s="0" t="n">
        <v>156</v>
      </c>
      <c r="W23" s="0" t="n">
        <v>147940</v>
      </c>
      <c r="X23" s="0" t="n">
        <v>0</v>
      </c>
      <c r="Y23" s="0" t="n">
        <v>104</v>
      </c>
      <c r="Z23" s="0" t="n">
        <v>377</v>
      </c>
      <c r="AA23" s="0" t="n">
        <v>452023</v>
      </c>
      <c r="AC23" s="0" t="n">
        <f aca="false">A23</f>
        <v>8720</v>
      </c>
      <c r="AD23" s="0" t="s">
        <v>36</v>
      </c>
      <c r="AE23" s="0" t="n">
        <f aca="false">SUM(C23:Z23)-MAX(C23:Z23)</f>
        <v>62634</v>
      </c>
      <c r="AF23" s="0" t="n">
        <f aca="false">MAX(C23:Z23)</f>
        <v>147940</v>
      </c>
      <c r="AG23" s="0" t="n">
        <f aca="false">SUM(C23:Z23)</f>
        <v>210574</v>
      </c>
      <c r="AH23" s="0" t="n">
        <f aca="false">SUM(B23:Z23)</f>
        <v>451256</v>
      </c>
      <c r="AI23" s="1" t="n">
        <f aca="false">AE23/AG23</f>
        <v>0.297444128904803</v>
      </c>
      <c r="AK23" s="0" t="n">
        <v>147940</v>
      </c>
      <c r="AL23" s="0" t="n">
        <v>22321</v>
      </c>
      <c r="AM23" s="0" t="n">
        <v>170261</v>
      </c>
      <c r="AN23" s="1" t="n">
        <v>0.131098724898832</v>
      </c>
      <c r="AO23" s="0" t="n">
        <f aca="false">AC23</f>
        <v>8720</v>
      </c>
      <c r="AP23" s="2" t="n">
        <f aca="false">-0.0364+0.00000000386*$AH23+0.844*$AN23</f>
        <v>0.075989171974614</v>
      </c>
      <c r="AR23" s="3" t="n">
        <f aca="false">AH23*AP23</f>
        <v>34290.5697885764</v>
      </c>
      <c r="AT23" s="2"/>
      <c r="AV23" s="2"/>
      <c r="AX23" s="2"/>
    </row>
    <row r="24" customFormat="false" ht="12.75" hidden="false" customHeight="false" outlineLevel="0" collapsed="false">
      <c r="A24" s="0" t="n">
        <v>8780</v>
      </c>
      <c r="B24" s="0" t="n">
        <v>192426</v>
      </c>
      <c r="C24" s="0" t="n">
        <v>273</v>
      </c>
      <c r="D24" s="0" t="n">
        <v>2626</v>
      </c>
      <c r="E24" s="0" t="n">
        <v>0</v>
      </c>
      <c r="F24" s="0" t="n">
        <v>5629</v>
      </c>
      <c r="G24" s="0" t="n">
        <v>494</v>
      </c>
      <c r="H24" s="0" t="n">
        <v>0</v>
      </c>
      <c r="I24" s="0" t="n">
        <v>0</v>
      </c>
      <c r="J24" s="0" t="n">
        <v>91</v>
      </c>
      <c r="K24" s="0" t="n">
        <v>0</v>
      </c>
      <c r="L24" s="0" t="n">
        <v>0</v>
      </c>
      <c r="M24" s="0" t="n">
        <v>130</v>
      </c>
      <c r="N24" s="0" t="n">
        <v>0</v>
      </c>
      <c r="O24" s="0" t="n">
        <v>65</v>
      </c>
      <c r="P24" s="0" t="n">
        <v>0</v>
      </c>
      <c r="Q24" s="0" t="n">
        <v>91</v>
      </c>
      <c r="R24" s="0" t="n">
        <v>91</v>
      </c>
      <c r="S24" s="0" t="n">
        <v>0</v>
      </c>
      <c r="T24" s="0" t="n">
        <v>0</v>
      </c>
      <c r="U24" s="0" t="n">
        <v>0</v>
      </c>
      <c r="V24" s="0" t="n">
        <v>117</v>
      </c>
      <c r="W24" s="0" t="n">
        <v>0</v>
      </c>
      <c r="X24" s="0" t="n">
        <v>106184</v>
      </c>
      <c r="Y24" s="0" t="n">
        <v>0</v>
      </c>
      <c r="Z24" s="0" t="n">
        <v>2379</v>
      </c>
      <c r="AA24" s="0" t="n">
        <v>310687</v>
      </c>
      <c r="AC24" s="0" t="n">
        <f aca="false">A24</f>
        <v>8780</v>
      </c>
      <c r="AD24" s="0" t="s">
        <v>37</v>
      </c>
      <c r="AE24" s="0" t="n">
        <f aca="false">SUM(C24:Z24)-MAX(C24:Z24)</f>
        <v>11986</v>
      </c>
      <c r="AF24" s="0" t="n">
        <f aca="false">MAX(C24:Z24)</f>
        <v>106184</v>
      </c>
      <c r="AG24" s="0" t="n">
        <f aca="false">SUM(C24:Z24)</f>
        <v>118170</v>
      </c>
      <c r="AH24" s="0" t="n">
        <f aca="false">SUM(B24:Z24)</f>
        <v>310596</v>
      </c>
      <c r="AI24" s="1" t="n">
        <f aca="false">AE24/AG24</f>
        <v>0.101430143014301</v>
      </c>
      <c r="AK24" s="0" t="n">
        <v>106184</v>
      </c>
      <c r="AL24" s="0" t="n">
        <v>6331</v>
      </c>
      <c r="AM24" s="0" t="n">
        <v>112515</v>
      </c>
      <c r="AN24" s="1" t="n">
        <v>0.0562680531484691</v>
      </c>
      <c r="AO24" s="0" t="n">
        <f aca="false">AC24</f>
        <v>8780</v>
      </c>
      <c r="AP24" s="2" t="n">
        <f aca="false">-0.0364+0.00000000386*$AH24+0.844*$AN24</f>
        <v>0.0122891374173079</v>
      </c>
      <c r="AR24" s="3" t="n">
        <f aca="false">AH24*AP24</f>
        <v>3816.95692526617</v>
      </c>
      <c r="AT24" s="2"/>
      <c r="AV24" s="2"/>
      <c r="AX24" s="2"/>
    </row>
    <row r="25" customFormat="false" ht="12.75" hidden="false" customHeight="false" outlineLevel="0" collapsed="false">
      <c r="A25" s="0" t="n">
        <v>9340</v>
      </c>
      <c r="B25" s="0" t="n">
        <v>74074</v>
      </c>
      <c r="C25" s="0" t="n">
        <v>0</v>
      </c>
      <c r="D25" s="0" t="n">
        <v>0</v>
      </c>
      <c r="E25" s="0" t="n">
        <v>663</v>
      </c>
      <c r="F25" s="0" t="n">
        <v>0</v>
      </c>
      <c r="G25" s="0" t="n">
        <v>0</v>
      </c>
      <c r="H25" s="0" t="n">
        <v>0</v>
      </c>
      <c r="I25" s="0" t="n">
        <v>78</v>
      </c>
      <c r="J25" s="0" t="n">
        <v>91</v>
      </c>
      <c r="K25" s="0" t="n">
        <v>0</v>
      </c>
      <c r="L25" s="0" t="n">
        <v>0</v>
      </c>
      <c r="M25" s="0" t="n">
        <v>0</v>
      </c>
      <c r="N25" s="0" t="n">
        <v>6357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78</v>
      </c>
      <c r="W25" s="0" t="n">
        <v>364</v>
      </c>
      <c r="X25" s="0" t="n">
        <v>0</v>
      </c>
      <c r="Y25" s="0" t="n">
        <v>38493</v>
      </c>
      <c r="Z25" s="0" t="n">
        <v>715</v>
      </c>
      <c r="AA25" s="0" t="n">
        <v>120913</v>
      </c>
      <c r="AC25" s="0" t="n">
        <f aca="false">A25</f>
        <v>9340</v>
      </c>
      <c r="AD25" s="0" t="s">
        <v>38</v>
      </c>
      <c r="AE25" s="0" t="n">
        <f aca="false">SUM(C25:Z25)-MAX(C25:Z25)</f>
        <v>8346</v>
      </c>
      <c r="AF25" s="0" t="n">
        <f aca="false">MAX(C25:Z25)</f>
        <v>38493</v>
      </c>
      <c r="AG25" s="0" t="n">
        <f aca="false">SUM(C25:Z25)</f>
        <v>46839</v>
      </c>
      <c r="AH25" s="0" t="n">
        <f aca="false">SUM(B25:Z25)</f>
        <v>120913</v>
      </c>
      <c r="AI25" s="1" t="n">
        <f aca="false">AE25/AG25</f>
        <v>0.178184845961699</v>
      </c>
      <c r="AK25" s="0" t="n">
        <v>38493</v>
      </c>
      <c r="AL25" s="0" t="n">
        <v>4745</v>
      </c>
      <c r="AM25" s="0" t="n">
        <v>43238</v>
      </c>
      <c r="AN25" s="1" t="n">
        <v>0.109741431148527</v>
      </c>
      <c r="AO25" s="0" t="n">
        <f aca="false">AC25</f>
        <v>9340</v>
      </c>
      <c r="AP25" s="2" t="n">
        <f aca="false">-0.0364+0.00000000386*$AH25+0.844*$AN25</f>
        <v>0.0566884920693566</v>
      </c>
      <c r="AR25" s="3" t="n">
        <f aca="false">AH25*AP25</f>
        <v>6854.37564158211</v>
      </c>
      <c r="AT25" s="2"/>
      <c r="AV25" s="2"/>
      <c r="AX25" s="2"/>
    </row>
    <row r="26" customFormat="false" ht="12.75" hidden="false" customHeight="false" outlineLevel="0" collapsed="false">
      <c r="A26" s="0" t="n">
        <v>9999</v>
      </c>
      <c r="B26" s="0" t="n">
        <v>776880</v>
      </c>
      <c r="C26" s="0" t="n">
        <v>0</v>
      </c>
      <c r="D26" s="0" t="n">
        <v>650</v>
      </c>
      <c r="E26" s="0" t="n">
        <v>1430</v>
      </c>
      <c r="F26" s="0" t="n">
        <v>10257</v>
      </c>
      <c r="G26" s="0" t="n">
        <v>1690</v>
      </c>
      <c r="H26" s="0" t="n">
        <v>1235</v>
      </c>
      <c r="I26" s="0" t="n">
        <v>2262</v>
      </c>
      <c r="J26" s="0" t="n">
        <v>1924</v>
      </c>
      <c r="K26" s="0" t="n">
        <v>312</v>
      </c>
      <c r="L26" s="0" t="n">
        <v>3705</v>
      </c>
      <c r="M26" s="0" t="n">
        <v>806</v>
      </c>
      <c r="N26" s="0" t="n">
        <v>7267</v>
      </c>
      <c r="O26" s="0" t="n">
        <v>1482</v>
      </c>
      <c r="P26" s="0" t="n">
        <v>637</v>
      </c>
      <c r="Q26" s="0" t="n">
        <v>1898</v>
      </c>
      <c r="R26" s="0" t="n">
        <v>5499</v>
      </c>
      <c r="S26" s="0" t="n">
        <v>6175</v>
      </c>
      <c r="T26" s="0" t="n">
        <v>351</v>
      </c>
      <c r="U26" s="0" t="n">
        <v>1989</v>
      </c>
      <c r="V26" s="0" t="n">
        <v>3224</v>
      </c>
      <c r="W26" s="0" t="n">
        <v>1001</v>
      </c>
      <c r="X26" s="0" t="n">
        <v>1599</v>
      </c>
      <c r="Y26" s="0" t="n">
        <v>767</v>
      </c>
      <c r="Z26" s="0" t="n">
        <v>394589</v>
      </c>
      <c r="AA26" s="0" t="n">
        <v>1261052</v>
      </c>
      <c r="AC26" s="0" t="n">
        <f aca="false">A26</f>
        <v>9999</v>
      </c>
      <c r="AD26" s="0" t="s">
        <v>39</v>
      </c>
      <c r="AE26" s="0" t="n">
        <f aca="false">SUM(C26:Z26)-MAX(C26:Z26)</f>
        <v>56160</v>
      </c>
      <c r="AF26" s="0" t="n">
        <f aca="false">MAX(C26:Z26)</f>
        <v>394589</v>
      </c>
      <c r="AG26" s="0" t="n">
        <f aca="false">SUM(C26:Z26)</f>
        <v>450749</v>
      </c>
      <c r="AH26" s="0" t="n">
        <f aca="false">SUM(B26:Z26)</f>
        <v>1227629</v>
      </c>
      <c r="AI26" s="1" t="n">
        <f aca="false">AE26/AG26</f>
        <v>0.124592622501658</v>
      </c>
      <c r="AK26" s="0" t="n">
        <v>394589</v>
      </c>
      <c r="AL26" s="0" t="n">
        <v>53326</v>
      </c>
      <c r="AM26" s="0" t="n">
        <v>447915</v>
      </c>
      <c r="AN26" s="1" t="n">
        <v>0.119053838339864</v>
      </c>
      <c r="AO26" s="0" t="n">
        <f aca="false">AC26</f>
        <v>9999</v>
      </c>
      <c r="AP26" s="2" t="n">
        <f aca="false">-0.0364+0.00000000386*$AH26+0.844*$AN26</f>
        <v>0.0688200874988449</v>
      </c>
      <c r="AR26" s="3" t="n">
        <f aca="false">AH26*AP26</f>
        <v>84485.5351961194</v>
      </c>
      <c r="AT26" s="2"/>
      <c r="AV26" s="2"/>
      <c r="AX26" s="2"/>
    </row>
    <row r="27" customFormat="false" ht="12.75" hidden="false" customHeight="false" outlineLevel="0" collapsed="false">
      <c r="A27" s="0" t="s">
        <v>4</v>
      </c>
      <c r="B27" s="0" t="n">
        <v>15631931</v>
      </c>
      <c r="C27" s="0" t="n">
        <v>1277510</v>
      </c>
      <c r="D27" s="0" t="n">
        <v>224133</v>
      </c>
      <c r="E27" s="0" t="n">
        <v>66534</v>
      </c>
      <c r="F27" s="0" t="n">
        <v>269763</v>
      </c>
      <c r="G27" s="0" t="n">
        <v>4317976</v>
      </c>
      <c r="H27" s="0" t="n">
        <v>66638</v>
      </c>
      <c r="I27" s="0" t="n">
        <v>133757</v>
      </c>
      <c r="J27" s="0" t="n">
        <v>972387</v>
      </c>
      <c r="K27" s="0" t="n">
        <v>275808</v>
      </c>
      <c r="L27" s="0" t="n">
        <v>63999</v>
      </c>
      <c r="M27" s="0" t="n">
        <v>907439</v>
      </c>
      <c r="N27" s="0" t="n">
        <v>677339</v>
      </c>
      <c r="O27" s="0" t="n">
        <v>162877</v>
      </c>
      <c r="P27" s="0" t="n">
        <v>1206452</v>
      </c>
      <c r="Q27" s="0" t="n">
        <v>988949</v>
      </c>
      <c r="R27" s="0" t="n">
        <v>863954</v>
      </c>
      <c r="S27" s="0" t="n">
        <v>183118</v>
      </c>
      <c r="T27" s="0" t="n">
        <v>102440</v>
      </c>
      <c r="U27" s="0" t="n">
        <v>157183</v>
      </c>
      <c r="V27" s="0" t="n">
        <v>108069</v>
      </c>
      <c r="W27" s="0" t="n">
        <v>170261</v>
      </c>
      <c r="X27" s="0" t="n">
        <v>112515</v>
      </c>
      <c r="Y27" s="0" t="n">
        <v>43238</v>
      </c>
      <c r="Z27" s="0" t="n">
        <v>447915</v>
      </c>
      <c r="AA27" s="0" t="n">
        <v>29483067</v>
      </c>
      <c r="AC27" s="0" t="str">
        <f aca="false">A27</f>
        <v>Grand Total</v>
      </c>
      <c r="AE27" s="0" t="n">
        <f aca="false">SUM(C27:Z27)-MAX(C27:Z27)</f>
        <v>9482278</v>
      </c>
      <c r="AF27" s="0" t="n">
        <f aca="false">MAX(C27:Z27)</f>
        <v>4317976</v>
      </c>
      <c r="AG27" s="0" t="n">
        <f aca="false">SUM(C27:Z27)</f>
        <v>13800254</v>
      </c>
      <c r="AH27" s="0" t="n">
        <f aca="false">SUM(B27:Z27)</f>
        <v>29432185</v>
      </c>
      <c r="AI27" s="1"/>
      <c r="AK27" s="0" t="n">
        <f aca="false">SUM(I27:AF27)-MAX(I27:AF27)</f>
        <v>21377954</v>
      </c>
      <c r="AL27" s="0" t="n">
        <f aca="false">SUM(J27:AG27)-MAX(J27:AG27)</f>
        <v>35044451</v>
      </c>
      <c r="AM27" s="0" t="n">
        <f aca="false">SUM(K27:AH27)-MAX(K27:AH27)</f>
        <v>63504249</v>
      </c>
      <c r="AN27" s="1"/>
      <c r="AP27" s="2"/>
      <c r="AR27" s="2"/>
      <c r="AT27" s="2"/>
      <c r="AV27" s="2"/>
      <c r="AX27" s="2"/>
    </row>
    <row r="28" customFormat="false" ht="12.75" hidden="false" customHeight="false" outlineLevel="0" collapsed="false">
      <c r="B28" s="0" t="s">
        <v>11</v>
      </c>
      <c r="C28" s="0" t="n">
        <f aca="false">MAX(C3:C26)</f>
        <v>1047085</v>
      </c>
      <c r="D28" s="0" t="n">
        <f aca="false">MAX(D3:D26)</f>
        <v>207935</v>
      </c>
      <c r="E28" s="0" t="n">
        <f aca="false">MAX(E3:E26)</f>
        <v>62647</v>
      </c>
      <c r="F28" s="0" t="n">
        <f aca="false">MAX(F3:F26)</f>
        <v>250822</v>
      </c>
      <c r="G28" s="0" t="n">
        <f aca="false">MAX(G3:G26)</f>
        <v>3859648</v>
      </c>
      <c r="H28" s="0" t="n">
        <f aca="false">MAX(H3:H26)</f>
        <v>59956</v>
      </c>
      <c r="I28" s="0" t="n">
        <f aca="false">MAX(I3:I26)</f>
        <v>119210</v>
      </c>
      <c r="J28" s="0" t="n">
        <f aca="false">MAX(J3:J26)</f>
        <v>811031</v>
      </c>
      <c r="K28" s="0" t="n">
        <f aca="false">MAX(K3:K26)</f>
        <v>249158</v>
      </c>
      <c r="L28" s="0" t="n">
        <f aca="false">MAX(L3:L26)</f>
        <v>55562</v>
      </c>
      <c r="M28" s="0" t="n">
        <f aca="false">MAX(M3:M26)</f>
        <v>837356</v>
      </c>
      <c r="N28" s="0" t="n">
        <f aca="false">MAX(N3:N26)</f>
        <v>644345</v>
      </c>
      <c r="O28" s="0" t="n">
        <f aca="false">MAX(O3:O26)</f>
        <v>152750</v>
      </c>
      <c r="P28" s="0" t="n">
        <f aca="false">MAX(P3:P26)</f>
        <v>1184040</v>
      </c>
      <c r="Q28" s="0" t="n">
        <f aca="false">MAX(Q3:Q26)</f>
        <v>742391</v>
      </c>
      <c r="R28" s="0" t="n">
        <f aca="false">MAX(R3:R26)</f>
        <v>714948</v>
      </c>
      <c r="S28" s="0" t="n">
        <f aca="false">MAX(S3:S26)</f>
        <v>169559</v>
      </c>
      <c r="T28" s="0" t="n">
        <f aca="false">MAX(T3:T26)</f>
        <v>88868</v>
      </c>
      <c r="U28" s="0" t="n">
        <f aca="false">MAX(U3:U26)</f>
        <v>146120</v>
      </c>
      <c r="V28" s="0" t="n">
        <f aca="false">MAX(V3:V26)</f>
        <v>85462</v>
      </c>
      <c r="W28" s="0" t="n">
        <f aca="false">MAX(W3:W26)</f>
        <v>147940</v>
      </c>
      <c r="X28" s="0" t="n">
        <f aca="false">MAX(X3:X26)</f>
        <v>106184</v>
      </c>
      <c r="Y28" s="0" t="n">
        <f aca="false">MAX(Y3:Y26)</f>
        <v>38493</v>
      </c>
      <c r="Z28" s="0" t="n">
        <f aca="false">MAX(Z3:Z26)</f>
        <v>394589</v>
      </c>
      <c r="AA28" s="0" t="n">
        <f aca="false">MAX(AA3:AA26)</f>
        <v>8808738</v>
      </c>
      <c r="AI28" s="1"/>
      <c r="AN28" s="1"/>
      <c r="AQ28" s="0" t="s">
        <v>40</v>
      </c>
      <c r="AR28" s="3" t="n">
        <f aca="false">SUM(AR3:AR26)</f>
        <v>2170431.28011669</v>
      </c>
    </row>
    <row r="29" customFormat="false" ht="12.75" hidden="false" customHeight="false" outlineLevel="0" collapsed="false">
      <c r="B29" s="0" t="s">
        <v>12</v>
      </c>
      <c r="C29" s="0" t="n">
        <f aca="false">SUM(C3:C26)-MAX(C3:C26)</f>
        <v>230425</v>
      </c>
      <c r="D29" s="0" t="n">
        <f aca="false">SUM(D3:D26)-MAX(D3:D26)</f>
        <v>16198</v>
      </c>
      <c r="E29" s="0" t="n">
        <f aca="false">SUM(E3:E26)-MAX(E3:E26)</f>
        <v>3887</v>
      </c>
      <c r="F29" s="0" t="n">
        <f aca="false">SUM(F3:F26)-MAX(F3:F26)</f>
        <v>18941</v>
      </c>
      <c r="G29" s="0" t="n">
        <f aca="false">SUM(G3:G26)-MAX(G3:G26)</f>
        <v>458328</v>
      </c>
      <c r="H29" s="0" t="n">
        <f aca="false">SUM(H3:H26)-MAX(H3:H26)</f>
        <v>6682</v>
      </c>
      <c r="I29" s="0" t="n">
        <f aca="false">SUM(I3:I26)-MAX(I3:I26)</f>
        <v>14547</v>
      </c>
      <c r="J29" s="0" t="n">
        <f aca="false">SUM(J3:J26)-MAX(J3:J26)</f>
        <v>161356</v>
      </c>
      <c r="K29" s="0" t="n">
        <f aca="false">SUM(K3:K26)-MAX(K3:K26)</f>
        <v>26650</v>
      </c>
      <c r="L29" s="0" t="n">
        <f aca="false">SUM(L3:L26)-MAX(L3:L26)</f>
        <v>8437</v>
      </c>
      <c r="M29" s="0" t="n">
        <f aca="false">SUM(M3:M26)-MAX(M3:M26)</f>
        <v>70083</v>
      </c>
      <c r="N29" s="0" t="n">
        <f aca="false">SUM(N3:N26)-MAX(N3:N26)</f>
        <v>32994</v>
      </c>
      <c r="O29" s="0" t="n">
        <f aca="false">SUM(O3:O26)-MAX(O3:O26)</f>
        <v>10127</v>
      </c>
      <c r="P29" s="0" t="n">
        <f aca="false">SUM(P3:P26)-MAX(P3:P26)</f>
        <v>22412</v>
      </c>
      <c r="Q29" s="0" t="n">
        <f aca="false">SUM(Q3:Q26)-MAX(Q3:Q26)</f>
        <v>246558</v>
      </c>
      <c r="R29" s="0" t="n">
        <f aca="false">SUM(R3:R26)-MAX(R3:R26)</f>
        <v>149006</v>
      </c>
      <c r="S29" s="0" t="n">
        <f aca="false">SUM(S3:S26)-MAX(S3:S26)</f>
        <v>13559</v>
      </c>
      <c r="T29" s="0" t="n">
        <f aca="false">SUM(T3:T26)-MAX(T3:T26)</f>
        <v>13572</v>
      </c>
      <c r="U29" s="0" t="n">
        <f aca="false">SUM(U3:U26)-MAX(U3:U26)</f>
        <v>11063</v>
      </c>
      <c r="V29" s="0" t="n">
        <f aca="false">SUM(V3:V26)-MAX(V3:V26)</f>
        <v>22607</v>
      </c>
      <c r="W29" s="0" t="n">
        <f aca="false">SUM(W3:W26)-MAX(W3:W26)</f>
        <v>22321</v>
      </c>
      <c r="X29" s="0" t="n">
        <f aca="false">SUM(X3:X26)-MAX(X3:X26)</f>
        <v>6331</v>
      </c>
      <c r="Y29" s="0" t="n">
        <f aca="false">SUM(Y3:Y26)-MAX(Y3:Y26)</f>
        <v>4745</v>
      </c>
      <c r="Z29" s="0" t="n">
        <f aca="false">SUM(Z3:Z26)-MAX(Z3:Z26)</f>
        <v>53326</v>
      </c>
      <c r="AA29" s="0" t="n">
        <f aca="false">SUM(AA3:AA26)-MAX(AA3:AA26)</f>
        <v>20674329</v>
      </c>
      <c r="AI29" s="1"/>
      <c r="AN29" s="1"/>
      <c r="AQ29" s="0" t="s">
        <v>41</v>
      </c>
      <c r="AR29" s="2" t="n">
        <f aca="false">AR28/AH27</f>
        <v>0.0737434641742258</v>
      </c>
    </row>
    <row r="30" customFormat="false" ht="12.75" hidden="false" customHeight="false" outlineLevel="0" collapsed="false">
      <c r="B30" s="0" t="s">
        <v>8</v>
      </c>
      <c r="C30" s="0" t="n">
        <f aca="false">SUM(C3:C26)</f>
        <v>1277510</v>
      </c>
      <c r="D30" s="0" t="n">
        <f aca="false">SUM(D3:D26)</f>
        <v>224133</v>
      </c>
      <c r="E30" s="0" t="n">
        <f aca="false">SUM(E3:E26)</f>
        <v>66534</v>
      </c>
      <c r="F30" s="0" t="n">
        <f aca="false">SUM(F3:F26)</f>
        <v>269763</v>
      </c>
      <c r="G30" s="0" t="n">
        <f aca="false">SUM(G3:G26)</f>
        <v>4317976</v>
      </c>
      <c r="H30" s="0" t="n">
        <f aca="false">SUM(H3:H26)</f>
        <v>66638</v>
      </c>
      <c r="I30" s="0" t="n">
        <f aca="false">SUM(I3:I26)</f>
        <v>133757</v>
      </c>
      <c r="J30" s="0" t="n">
        <f aca="false">SUM(J3:J26)</f>
        <v>972387</v>
      </c>
      <c r="K30" s="0" t="n">
        <f aca="false">SUM(K3:K26)</f>
        <v>275808</v>
      </c>
      <c r="L30" s="0" t="n">
        <f aca="false">SUM(L3:L26)</f>
        <v>63999</v>
      </c>
      <c r="M30" s="0" t="n">
        <f aca="false">SUM(M3:M26)</f>
        <v>907439</v>
      </c>
      <c r="N30" s="0" t="n">
        <f aca="false">SUM(N3:N26)</f>
        <v>677339</v>
      </c>
      <c r="O30" s="0" t="n">
        <f aca="false">SUM(O3:O26)</f>
        <v>162877</v>
      </c>
      <c r="P30" s="0" t="n">
        <f aca="false">SUM(P3:P26)</f>
        <v>1206452</v>
      </c>
      <c r="Q30" s="0" t="n">
        <f aca="false">SUM(Q3:Q26)</f>
        <v>988949</v>
      </c>
      <c r="R30" s="0" t="n">
        <f aca="false">SUM(R3:R26)</f>
        <v>863954</v>
      </c>
      <c r="S30" s="0" t="n">
        <f aca="false">SUM(S3:S26)</f>
        <v>183118</v>
      </c>
      <c r="T30" s="0" t="n">
        <f aca="false">SUM(T3:T26)</f>
        <v>102440</v>
      </c>
      <c r="U30" s="0" t="n">
        <f aca="false">SUM(U3:U26)</f>
        <v>157183</v>
      </c>
      <c r="V30" s="0" t="n">
        <f aca="false">SUM(V3:V26)</f>
        <v>108069</v>
      </c>
      <c r="W30" s="0" t="n">
        <f aca="false">SUM(W3:W26)</f>
        <v>170261</v>
      </c>
      <c r="X30" s="0" t="n">
        <f aca="false">SUM(X3:X26)</f>
        <v>112515</v>
      </c>
      <c r="Y30" s="0" t="n">
        <f aca="false">SUM(Y3:Y26)</f>
        <v>43238</v>
      </c>
      <c r="Z30" s="0" t="n">
        <f aca="false">SUM(Z3:Z26)</f>
        <v>447915</v>
      </c>
      <c r="AA30" s="0" t="n">
        <f aca="false">SUM(AA3:AA26)</f>
        <v>29483067</v>
      </c>
      <c r="AI30" s="1"/>
      <c r="AN30" s="1"/>
    </row>
    <row r="31" customFormat="false" ht="12.75" hidden="false" customHeight="false" outlineLevel="0" collapsed="false">
      <c r="B31" s="0" t="s">
        <v>13</v>
      </c>
      <c r="C31" s="0" t="n">
        <f aca="false">C29/C30</f>
        <v>0.180370408059428</v>
      </c>
      <c r="D31" s="0" t="n">
        <f aca="false">D29/D30</f>
        <v>0.0722695899309785</v>
      </c>
      <c r="E31" s="0" t="n">
        <f aca="false">E29/E30</f>
        <v>0.058421258304025</v>
      </c>
      <c r="F31" s="0" t="n">
        <f aca="false">F29/F30</f>
        <v>0.0702134836875331</v>
      </c>
      <c r="G31" s="0" t="n">
        <f aca="false">G29/G30</f>
        <v>0.106144174956044</v>
      </c>
      <c r="H31" s="0" t="n">
        <f aca="false">H29/H30</f>
        <v>0.100273117440499</v>
      </c>
      <c r="I31" s="0" t="n">
        <f aca="false">I29/I30</f>
        <v>0.108756924871222</v>
      </c>
      <c r="J31" s="0" t="n">
        <f aca="false">J29/J30</f>
        <v>0.165938047300098</v>
      </c>
      <c r="K31" s="0" t="n">
        <f aca="false">K29/K30</f>
        <v>0.0966251885369533</v>
      </c>
      <c r="L31" s="0" t="n">
        <f aca="false">L29/L30</f>
        <v>0.131830184846638</v>
      </c>
      <c r="M31" s="0" t="n">
        <f aca="false">M29/M30</f>
        <v>0.0772316376086988</v>
      </c>
      <c r="N31" s="0" t="n">
        <f aca="false">N29/N30</f>
        <v>0.0487112066483696</v>
      </c>
      <c r="O31" s="0" t="n">
        <f aca="false">O29/O30</f>
        <v>0.0621757522547689</v>
      </c>
      <c r="P31" s="0" t="n">
        <f aca="false">P29/P30</f>
        <v>0.0185767854833843</v>
      </c>
      <c r="Q31" s="0" t="n">
        <f aca="false">Q29/Q30</f>
        <v>0.249313159728156</v>
      </c>
      <c r="R31" s="0" t="n">
        <f aca="false">R29/R30</f>
        <v>0.172469830569683</v>
      </c>
      <c r="S31" s="0" t="n">
        <f aca="false">S29/S30</f>
        <v>0.0740451512139713</v>
      </c>
      <c r="T31" s="0" t="n">
        <f aca="false">T29/T30</f>
        <v>0.13248730964467</v>
      </c>
      <c r="U31" s="0" t="n">
        <f aca="false">U29/U30</f>
        <v>0.0703829294516583</v>
      </c>
      <c r="V31" s="0" t="n">
        <f aca="false">V29/V30</f>
        <v>0.209190424636112</v>
      </c>
      <c r="W31" s="0" t="n">
        <f aca="false">W29/W30</f>
        <v>0.131098724898832</v>
      </c>
      <c r="X31" s="0" t="n">
        <f aca="false">X29/X30</f>
        <v>0.0562680531484691</v>
      </c>
      <c r="Y31" s="0" t="n">
        <f aca="false">Y29/Y30</f>
        <v>0.109741431148527</v>
      </c>
      <c r="Z31" s="0" t="n">
        <f aca="false">Z29/Z30</f>
        <v>0.119053838339864</v>
      </c>
      <c r="AA31" s="0" t="n">
        <f aca="false">AA29/AA30</f>
        <v>0.701227216286555</v>
      </c>
    </row>
    <row r="33" customFormat="false" ht="12.75" hidden="false" customHeight="false" outlineLevel="0" collapsed="false">
      <c r="B33" s="0" t="s">
        <v>14</v>
      </c>
      <c r="C33" s="0" t="n">
        <v>0.0627067784012448</v>
      </c>
      <c r="D33" s="0" t="n">
        <v>0.0776565534580743</v>
      </c>
      <c r="E33" s="0" t="n">
        <v>0.0765912916755982</v>
      </c>
      <c r="F33" s="0" t="n">
        <v>0.0588511785699158</v>
      </c>
      <c r="G33" s="0" t="n">
        <v>0.116840384106275</v>
      </c>
      <c r="H33" s="0" t="n">
        <v>0.276787771588761</v>
      </c>
      <c r="I33" s="0" t="n">
        <v>0.27416957653</v>
      </c>
      <c r="J33" s="0" t="n">
        <v>0.0757798317846554</v>
      </c>
      <c r="K33" s="0" t="n">
        <v>0.22497610058192</v>
      </c>
      <c r="L33" s="0" t="n">
        <v>0.348125639506712</v>
      </c>
      <c r="M33" s="0" t="n">
        <v>0.267309863118129</v>
      </c>
      <c r="N33" s="0" t="n">
        <v>0.0369300328780188</v>
      </c>
      <c r="O33" s="0" t="n">
        <v>0.136150791506843</v>
      </c>
      <c r="P33" s="0" t="n">
        <v>0.0510556208905696</v>
      </c>
      <c r="Q33" s="0" t="n">
        <v>0.129134496170453</v>
      </c>
      <c r="R33" s="0" t="n">
        <v>0.0296006766488741</v>
      </c>
      <c r="S33" s="0" t="n">
        <v>0.014345952007227</v>
      </c>
      <c r="T33" s="0" t="n">
        <v>0.0785074577222335</v>
      </c>
      <c r="U33" s="0" t="n">
        <v>0.00101002984955224</v>
      </c>
      <c r="V33" s="0" t="n">
        <v>0.0443733207596311</v>
      </c>
      <c r="W33" s="0" t="n">
        <v>0.215141327042973</v>
      </c>
      <c r="X33" s="0" t="n">
        <v>0.210965320067288</v>
      </c>
      <c r="Y33" s="0" t="n">
        <v>0.0275330960216105</v>
      </c>
      <c r="Z33" s="0" t="n">
        <v>0.0287687391108161</v>
      </c>
      <c r="AA33" s="0" t="n">
        <v>0.0890827012518187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E2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30" min="2" style="0" width="8.99"/>
    <col collapsed="false" customWidth="true" hidden="false" outlineLevel="0" max="31" min="31" style="0" width="10.56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</row>
    <row r="2" customFormat="false" ht="12.75" hidden="false" customHeight="false" outlineLevel="0" collapsed="false">
      <c r="A2" s="5" t="s">
        <v>3</v>
      </c>
      <c r="B2" s="4" t="n">
        <v>0</v>
      </c>
      <c r="C2" s="6" t="n">
        <v>1</v>
      </c>
      <c r="D2" s="6" t="n">
        <v>360</v>
      </c>
      <c r="E2" s="6" t="n">
        <v>680</v>
      </c>
      <c r="F2" s="6" t="n">
        <v>858</v>
      </c>
      <c r="G2" s="6" t="n">
        <v>983</v>
      </c>
      <c r="H2" s="6" t="n">
        <v>999</v>
      </c>
      <c r="I2" s="6" t="n">
        <v>1620</v>
      </c>
      <c r="J2" s="6" t="n">
        <v>2840</v>
      </c>
      <c r="K2" s="6" t="n">
        <v>4480</v>
      </c>
      <c r="L2" s="6" t="n">
        <v>4940</v>
      </c>
      <c r="M2" s="6" t="n">
        <v>5170</v>
      </c>
      <c r="N2" s="6" t="n">
        <v>5775</v>
      </c>
      <c r="O2" s="6" t="n">
        <v>6000</v>
      </c>
      <c r="P2" s="6" t="n">
        <v>6690</v>
      </c>
      <c r="Q2" s="6" t="n">
        <v>6780</v>
      </c>
      <c r="R2" s="6" t="n">
        <v>6920</v>
      </c>
      <c r="S2" s="6" t="n">
        <v>7120</v>
      </c>
      <c r="T2" s="6" t="n">
        <v>7320</v>
      </c>
      <c r="U2" s="6" t="n">
        <v>7360</v>
      </c>
      <c r="V2" s="6" t="n">
        <v>7400</v>
      </c>
      <c r="W2" s="6" t="n">
        <v>7480</v>
      </c>
      <c r="X2" s="6" t="n">
        <v>7485</v>
      </c>
      <c r="Y2" s="6" t="n">
        <v>7500</v>
      </c>
      <c r="Z2" s="6" t="n">
        <v>8120</v>
      </c>
      <c r="AA2" s="6" t="n">
        <v>8720</v>
      </c>
      <c r="AB2" s="6" t="n">
        <v>8780</v>
      </c>
      <c r="AC2" s="6" t="n">
        <v>9340</v>
      </c>
      <c r="AD2" s="6" t="n">
        <v>9999</v>
      </c>
      <c r="AE2" s="8" t="s">
        <v>4</v>
      </c>
    </row>
    <row r="3" customFormat="false" ht="12.75" hidden="false" customHeight="false" outlineLevel="0" collapsed="false">
      <c r="A3" s="4" t="n">
        <v>360</v>
      </c>
      <c r="B3" s="9" t="n">
        <v>1138865</v>
      </c>
      <c r="C3" s="10" t="n">
        <v>390</v>
      </c>
      <c r="D3" s="10" t="n">
        <v>1047085</v>
      </c>
      <c r="E3" s="10" t="n">
        <v>221</v>
      </c>
      <c r="F3" s="10" t="n">
        <v>0</v>
      </c>
      <c r="G3" s="10" t="n">
        <v>0</v>
      </c>
      <c r="H3" s="10" t="n">
        <v>637</v>
      </c>
      <c r="I3" s="10" t="n">
        <v>78</v>
      </c>
      <c r="J3" s="10" t="n">
        <v>208</v>
      </c>
      <c r="K3" s="10" t="n">
        <v>198133</v>
      </c>
      <c r="L3" s="10" t="n">
        <v>0</v>
      </c>
      <c r="M3" s="10" t="n">
        <v>0</v>
      </c>
      <c r="N3" s="10" t="n">
        <v>806</v>
      </c>
      <c r="O3" s="10" t="n">
        <v>468</v>
      </c>
      <c r="P3" s="10" t="n">
        <v>364</v>
      </c>
      <c r="Q3" s="10" t="n">
        <v>18707</v>
      </c>
      <c r="R3" s="10" t="n">
        <v>1144</v>
      </c>
      <c r="S3" s="10" t="n">
        <v>0</v>
      </c>
      <c r="T3" s="10" t="n">
        <v>7098</v>
      </c>
      <c r="U3" s="10" t="n">
        <v>624</v>
      </c>
      <c r="V3" s="10" t="n">
        <v>416</v>
      </c>
      <c r="W3" s="10" t="n">
        <v>611</v>
      </c>
      <c r="X3" s="10" t="n">
        <v>0</v>
      </c>
      <c r="Y3" s="10" t="n">
        <v>78</v>
      </c>
      <c r="Z3" s="10" t="n">
        <v>78</v>
      </c>
      <c r="AA3" s="10" t="n">
        <v>286</v>
      </c>
      <c r="AB3" s="10" t="n">
        <v>0</v>
      </c>
      <c r="AC3" s="10" t="n">
        <v>0</v>
      </c>
      <c r="AD3" s="10" t="n">
        <v>1404</v>
      </c>
      <c r="AE3" s="11" t="n">
        <v>2417701</v>
      </c>
    </row>
    <row r="4" customFormat="false" ht="12.75" hidden="false" customHeight="false" outlineLevel="0" collapsed="false">
      <c r="A4" s="12" t="n">
        <v>680</v>
      </c>
      <c r="B4" s="13" t="n">
        <v>320827</v>
      </c>
      <c r="C4" s="14" t="n">
        <v>104</v>
      </c>
      <c r="D4" s="14" t="n">
        <v>169</v>
      </c>
      <c r="E4" s="14" t="n">
        <v>207935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156</v>
      </c>
      <c r="K4" s="14" t="n">
        <v>7618</v>
      </c>
      <c r="L4" s="14" t="n">
        <v>0</v>
      </c>
      <c r="M4" s="14" t="n">
        <v>0</v>
      </c>
      <c r="N4" s="14" t="n">
        <v>104</v>
      </c>
      <c r="O4" s="14" t="n">
        <v>208</v>
      </c>
      <c r="P4" s="14" t="n">
        <v>0</v>
      </c>
      <c r="Q4" s="14" t="n">
        <v>1755</v>
      </c>
      <c r="R4" s="14" t="n">
        <v>0</v>
      </c>
      <c r="S4" s="14" t="n">
        <v>208</v>
      </c>
      <c r="T4" s="14" t="n">
        <v>0</v>
      </c>
      <c r="U4" s="14" t="n">
        <v>169</v>
      </c>
      <c r="V4" s="14" t="n">
        <v>0</v>
      </c>
      <c r="W4" s="14" t="n">
        <v>351</v>
      </c>
      <c r="X4" s="14" t="n">
        <v>0</v>
      </c>
      <c r="Y4" s="14" t="n">
        <v>0</v>
      </c>
      <c r="Z4" s="14" t="n">
        <v>91</v>
      </c>
      <c r="AA4" s="14" t="n">
        <v>0</v>
      </c>
      <c r="AB4" s="14" t="n">
        <v>1469</v>
      </c>
      <c r="AC4" s="14" t="n">
        <v>0</v>
      </c>
      <c r="AD4" s="14" t="n">
        <v>1222</v>
      </c>
      <c r="AE4" s="15" t="n">
        <v>542386</v>
      </c>
    </row>
    <row r="5" customFormat="false" ht="12.75" hidden="false" customHeight="false" outlineLevel="0" collapsed="false">
      <c r="A5" s="12" t="n">
        <v>1620</v>
      </c>
      <c r="B5" s="13" t="n">
        <v>111722</v>
      </c>
      <c r="C5" s="14" t="n">
        <v>299</v>
      </c>
      <c r="D5" s="14"/>
      <c r="E5" s="14" t="n">
        <v>0</v>
      </c>
      <c r="F5" s="14"/>
      <c r="G5" s="14"/>
      <c r="H5" s="14" t="n">
        <v>78</v>
      </c>
      <c r="I5" s="14" t="n">
        <v>62647</v>
      </c>
      <c r="J5" s="14" t="n">
        <v>78</v>
      </c>
      <c r="K5" s="14" t="n">
        <v>0</v>
      </c>
      <c r="L5" s="14"/>
      <c r="M5" s="14"/>
      <c r="N5" s="14" t="n">
        <v>0</v>
      </c>
      <c r="O5" s="14"/>
      <c r="P5" s="14" t="n">
        <v>65</v>
      </c>
      <c r="Q5" s="14" t="n">
        <v>0</v>
      </c>
      <c r="R5" s="14" t="n">
        <v>247</v>
      </c>
      <c r="S5" s="14" t="n">
        <v>117</v>
      </c>
      <c r="T5" s="14" t="n">
        <v>117</v>
      </c>
      <c r="U5" s="14" t="n">
        <v>0</v>
      </c>
      <c r="V5" s="14" t="n">
        <v>156</v>
      </c>
      <c r="W5" s="14"/>
      <c r="X5" s="14"/>
      <c r="Y5" s="14" t="n">
        <v>0</v>
      </c>
      <c r="Z5" s="14"/>
      <c r="AA5" s="14" t="n">
        <v>234</v>
      </c>
      <c r="AB5" s="14" t="n">
        <v>0</v>
      </c>
      <c r="AC5" s="14" t="n">
        <v>1651</v>
      </c>
      <c r="AD5" s="14" t="n">
        <v>1911</v>
      </c>
      <c r="AE5" s="15" t="n">
        <v>179322</v>
      </c>
    </row>
    <row r="6" customFormat="false" ht="12.75" hidden="false" customHeight="false" outlineLevel="0" collapsed="false">
      <c r="A6" s="12" t="n">
        <v>2840</v>
      </c>
      <c r="B6" s="13" t="n">
        <v>405808</v>
      </c>
      <c r="C6" s="14" t="n">
        <v>0</v>
      </c>
      <c r="D6" s="14" t="n">
        <v>117</v>
      </c>
      <c r="E6" s="14" t="n">
        <v>104</v>
      </c>
      <c r="F6" s="14" t="n">
        <v>0</v>
      </c>
      <c r="G6" s="14" t="n">
        <v>0</v>
      </c>
      <c r="H6" s="14" t="n">
        <v>0</v>
      </c>
      <c r="I6" s="14" t="n">
        <v>182</v>
      </c>
      <c r="J6" s="14" t="n">
        <v>250822</v>
      </c>
      <c r="K6" s="14" t="n">
        <v>741</v>
      </c>
      <c r="L6" s="14" t="n">
        <v>1313</v>
      </c>
      <c r="M6" s="14" t="n">
        <v>195</v>
      </c>
      <c r="N6" s="14" t="n">
        <v>377</v>
      </c>
      <c r="O6" s="14" t="n">
        <v>377</v>
      </c>
      <c r="P6" s="14" t="n">
        <v>0</v>
      </c>
      <c r="Q6" s="14" t="n">
        <v>130</v>
      </c>
      <c r="R6" s="14" t="n">
        <v>338</v>
      </c>
      <c r="S6" s="14" t="n">
        <v>520</v>
      </c>
      <c r="T6" s="14" t="n">
        <v>104</v>
      </c>
      <c r="U6" s="14" t="n">
        <v>741</v>
      </c>
      <c r="V6" s="14" t="n">
        <v>91</v>
      </c>
      <c r="W6" s="14" t="n">
        <v>91</v>
      </c>
      <c r="X6" s="14" t="n">
        <v>78</v>
      </c>
      <c r="Y6" s="14" t="n">
        <v>0</v>
      </c>
      <c r="Z6" s="14" t="n">
        <v>143</v>
      </c>
      <c r="AA6" s="14" t="n">
        <v>0</v>
      </c>
      <c r="AB6" s="14" t="n">
        <v>3107</v>
      </c>
      <c r="AC6" s="14" t="n">
        <v>91</v>
      </c>
      <c r="AD6" s="14" t="n">
        <v>8398</v>
      </c>
      <c r="AE6" s="15" t="n">
        <v>673868</v>
      </c>
    </row>
    <row r="7" customFormat="false" ht="12.75" hidden="false" customHeight="false" outlineLevel="0" collapsed="false">
      <c r="A7" s="12" t="n">
        <v>4480</v>
      </c>
      <c r="B7" s="13" t="n">
        <v>4714869</v>
      </c>
      <c r="C7" s="14" t="n">
        <v>1573</v>
      </c>
      <c r="D7" s="14" t="n">
        <v>136591</v>
      </c>
      <c r="E7" s="14" t="n">
        <v>9503</v>
      </c>
      <c r="F7" s="14" t="n">
        <v>0</v>
      </c>
      <c r="G7" s="14" t="n">
        <v>0</v>
      </c>
      <c r="H7" s="14" t="n">
        <v>2301</v>
      </c>
      <c r="I7" s="14" t="n">
        <v>273</v>
      </c>
      <c r="J7" s="14" t="n">
        <v>650</v>
      </c>
      <c r="K7" s="14" t="n">
        <v>3859648</v>
      </c>
      <c r="L7" s="14" t="n">
        <v>0</v>
      </c>
      <c r="M7" s="14" t="n">
        <v>156</v>
      </c>
      <c r="N7" s="14" t="n">
        <v>2743</v>
      </c>
      <c r="O7" s="14" t="n">
        <v>21801</v>
      </c>
      <c r="P7" s="14" t="n">
        <v>1079</v>
      </c>
      <c r="Q7" s="14" t="n">
        <v>38948</v>
      </c>
      <c r="R7" s="14" t="n">
        <v>1235</v>
      </c>
      <c r="S7" s="14" t="n">
        <v>793</v>
      </c>
      <c r="T7" s="14" t="n">
        <v>3419</v>
      </c>
      <c r="U7" s="14" t="n">
        <v>4173</v>
      </c>
      <c r="V7" s="14" t="n">
        <v>520</v>
      </c>
      <c r="W7" s="14" t="n">
        <v>1131</v>
      </c>
      <c r="X7" s="14" t="n">
        <v>0</v>
      </c>
      <c r="Y7" s="14" t="n">
        <v>0</v>
      </c>
      <c r="Z7" s="14" t="n">
        <v>156</v>
      </c>
      <c r="AA7" s="14" t="n">
        <v>611</v>
      </c>
      <c r="AB7" s="14" t="n">
        <v>0</v>
      </c>
      <c r="AC7" s="14" t="n">
        <v>364</v>
      </c>
      <c r="AD7" s="14" t="n">
        <v>6201</v>
      </c>
      <c r="AE7" s="15" t="n">
        <v>8808738</v>
      </c>
    </row>
    <row r="8" customFormat="false" ht="12.75" hidden="false" customHeight="false" outlineLevel="0" collapsed="false">
      <c r="A8" s="12" t="n">
        <v>4940</v>
      </c>
      <c r="B8" s="13" t="n">
        <v>108225</v>
      </c>
      <c r="C8" s="14" t="n">
        <v>0</v>
      </c>
      <c r="D8" s="14" t="n">
        <v>0</v>
      </c>
      <c r="E8" s="14" t="n">
        <v>0</v>
      </c>
      <c r="F8" s="14" t="n">
        <v>0</v>
      </c>
      <c r="G8" s="14"/>
      <c r="H8" s="14" t="n">
        <v>0</v>
      </c>
      <c r="I8" s="14" t="n">
        <v>0</v>
      </c>
      <c r="J8" s="14" t="n">
        <v>572</v>
      </c>
      <c r="K8" s="14" t="n">
        <v>0</v>
      </c>
      <c r="L8" s="14" t="n">
        <v>59956</v>
      </c>
      <c r="M8" s="14" t="n">
        <v>5148</v>
      </c>
      <c r="N8" s="14" t="n">
        <v>52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182</v>
      </c>
      <c r="V8" s="14" t="n">
        <v>949</v>
      </c>
      <c r="W8" s="14" t="n">
        <v>0</v>
      </c>
      <c r="X8" s="14" t="n">
        <v>0</v>
      </c>
      <c r="Y8" s="14" t="n">
        <v>0</v>
      </c>
      <c r="Z8" s="14" t="n">
        <v>117</v>
      </c>
      <c r="AA8" s="14" t="n">
        <v>0</v>
      </c>
      <c r="AB8" s="14" t="n">
        <v>0</v>
      </c>
      <c r="AC8" s="14" t="n">
        <v>0</v>
      </c>
      <c r="AD8" s="14" t="n">
        <v>1456</v>
      </c>
      <c r="AE8" s="15" t="n">
        <v>176657</v>
      </c>
    </row>
    <row r="9" customFormat="false" ht="12.75" hidden="false" customHeight="false" outlineLevel="0" collapsed="false">
      <c r="A9" s="12" t="n">
        <v>5170</v>
      </c>
      <c r="B9" s="13" t="n">
        <v>219609</v>
      </c>
      <c r="C9" s="14" t="n">
        <v>208</v>
      </c>
      <c r="D9" s="14" t="n">
        <v>0</v>
      </c>
      <c r="E9" s="14" t="n">
        <v>0</v>
      </c>
      <c r="F9" s="14" t="n">
        <v>0</v>
      </c>
      <c r="G9" s="14"/>
      <c r="H9" s="14" t="n">
        <v>0</v>
      </c>
      <c r="I9" s="14" t="n">
        <v>0</v>
      </c>
      <c r="J9" s="14" t="n">
        <v>182</v>
      </c>
      <c r="K9" s="14" t="n">
        <v>78</v>
      </c>
      <c r="L9" s="14" t="n">
        <v>3653</v>
      </c>
      <c r="M9" s="14" t="n">
        <v>119210</v>
      </c>
      <c r="N9" s="14" t="n">
        <v>6175</v>
      </c>
      <c r="O9" s="14" t="n">
        <v>0</v>
      </c>
      <c r="P9" s="14" t="n">
        <v>0</v>
      </c>
      <c r="Q9" s="14" t="n">
        <v>169</v>
      </c>
      <c r="R9" s="14" t="n">
        <v>390</v>
      </c>
      <c r="S9" s="14" t="n">
        <v>0</v>
      </c>
      <c r="T9" s="14" t="n">
        <v>0</v>
      </c>
      <c r="U9" s="14" t="n">
        <v>377</v>
      </c>
      <c r="V9" s="14" t="n">
        <v>3458</v>
      </c>
      <c r="W9" s="14" t="n">
        <v>0</v>
      </c>
      <c r="X9" s="14" t="n">
        <v>234</v>
      </c>
      <c r="Y9" s="14" t="n">
        <v>0</v>
      </c>
      <c r="Z9" s="14" t="n">
        <v>8528</v>
      </c>
      <c r="AA9" s="14" t="n">
        <v>208</v>
      </c>
      <c r="AB9" s="14" t="n">
        <v>0</v>
      </c>
      <c r="AC9" s="14" t="n">
        <v>0</v>
      </c>
      <c r="AD9" s="14" t="n">
        <v>611</v>
      </c>
      <c r="AE9" s="15" t="n">
        <v>363090</v>
      </c>
    </row>
    <row r="10" customFormat="false" ht="12.75" hidden="false" customHeight="false" outlineLevel="0" collapsed="false">
      <c r="A10" s="12" t="n">
        <v>5775</v>
      </c>
      <c r="B10" s="13" t="n">
        <v>1036776</v>
      </c>
      <c r="C10" s="14" t="n">
        <v>364</v>
      </c>
      <c r="D10" s="14" t="n">
        <v>468</v>
      </c>
      <c r="E10" s="14" t="n">
        <v>0</v>
      </c>
      <c r="F10" s="14" t="n">
        <v>78</v>
      </c>
      <c r="G10" s="14" t="n">
        <v>0</v>
      </c>
      <c r="H10" s="14" t="n">
        <v>754</v>
      </c>
      <c r="I10" s="14" t="n">
        <v>286</v>
      </c>
      <c r="J10" s="14" t="n">
        <v>169</v>
      </c>
      <c r="K10" s="14" t="n">
        <v>2574</v>
      </c>
      <c r="L10" s="14" t="n">
        <v>0</v>
      </c>
      <c r="M10" s="14" t="n">
        <v>299</v>
      </c>
      <c r="N10" s="14" t="n">
        <v>811031</v>
      </c>
      <c r="O10" s="14" t="n">
        <v>0</v>
      </c>
      <c r="P10" s="14" t="n">
        <v>130</v>
      </c>
      <c r="Q10" s="14" t="n">
        <v>169</v>
      </c>
      <c r="R10" s="14" t="n">
        <v>2340</v>
      </c>
      <c r="S10" s="14" t="n">
        <v>0</v>
      </c>
      <c r="T10" s="14" t="n">
        <v>494</v>
      </c>
      <c r="U10" s="14" t="n">
        <v>144573</v>
      </c>
      <c r="V10" s="14" t="n">
        <v>57941</v>
      </c>
      <c r="W10" s="14" t="n">
        <v>104</v>
      </c>
      <c r="X10" s="14" t="n">
        <v>494</v>
      </c>
      <c r="Y10" s="14" t="n">
        <v>1469</v>
      </c>
      <c r="Z10" s="14" t="n">
        <v>1417</v>
      </c>
      <c r="AA10" s="14" t="n">
        <v>8164</v>
      </c>
      <c r="AB10" s="14" t="n">
        <v>117</v>
      </c>
      <c r="AC10" s="14" t="n">
        <v>0</v>
      </c>
      <c r="AD10" s="14" t="n">
        <v>676</v>
      </c>
      <c r="AE10" s="15" t="n">
        <v>2070887</v>
      </c>
    </row>
    <row r="11" customFormat="false" ht="12.75" hidden="false" customHeight="false" outlineLevel="0" collapsed="false">
      <c r="A11" s="12" t="n">
        <v>6000</v>
      </c>
      <c r="B11" s="13" t="n">
        <v>331552</v>
      </c>
      <c r="C11" s="14" t="n">
        <v>65</v>
      </c>
      <c r="D11" s="14" t="n">
        <v>299</v>
      </c>
      <c r="E11" s="14" t="n">
        <v>481</v>
      </c>
      <c r="F11" s="14" t="n">
        <v>0</v>
      </c>
      <c r="G11" s="14" t="n">
        <v>0</v>
      </c>
      <c r="H11" s="14" t="n">
        <v>0</v>
      </c>
      <c r="I11" s="14" t="n">
        <v>104</v>
      </c>
      <c r="J11" s="14" t="n">
        <v>0</v>
      </c>
      <c r="K11" s="14" t="n">
        <v>76375</v>
      </c>
      <c r="L11" s="14" t="n">
        <v>0</v>
      </c>
      <c r="M11" s="14" t="n">
        <v>0</v>
      </c>
      <c r="N11" s="14" t="n">
        <v>338</v>
      </c>
      <c r="O11" s="14" t="n">
        <v>249158</v>
      </c>
      <c r="P11" s="14" t="n">
        <v>52</v>
      </c>
      <c r="Q11" s="14" t="n">
        <v>676</v>
      </c>
      <c r="R11" s="14" t="n">
        <v>104</v>
      </c>
      <c r="S11" s="14" t="n">
        <v>169</v>
      </c>
      <c r="T11" s="14" t="n">
        <v>533</v>
      </c>
      <c r="U11" s="14" t="n">
        <v>2002</v>
      </c>
      <c r="V11" s="14" t="n">
        <v>65</v>
      </c>
      <c r="W11" s="14" t="n">
        <v>4381</v>
      </c>
      <c r="X11" s="14" t="n">
        <v>0</v>
      </c>
      <c r="Y11" s="14" t="n">
        <v>0</v>
      </c>
      <c r="Z11" s="14" t="n">
        <v>91</v>
      </c>
      <c r="AA11" s="14" t="n">
        <v>0</v>
      </c>
      <c r="AB11" s="14" t="n">
        <v>0</v>
      </c>
      <c r="AC11" s="14" t="n">
        <v>0</v>
      </c>
      <c r="AD11" s="14" t="n">
        <v>663</v>
      </c>
      <c r="AE11" s="15" t="n">
        <v>667108</v>
      </c>
    </row>
    <row r="12" customFormat="false" ht="12.75" hidden="false" customHeight="false" outlineLevel="0" collapsed="false">
      <c r="A12" s="12" t="n">
        <v>6690</v>
      </c>
      <c r="B12" s="13" t="n">
        <v>93327</v>
      </c>
      <c r="C12" s="14" t="n">
        <v>650</v>
      </c>
      <c r="D12" s="14"/>
      <c r="E12" s="14" t="n">
        <v>117</v>
      </c>
      <c r="F12" s="14"/>
      <c r="G12" s="14"/>
      <c r="H12" s="14"/>
      <c r="I12" s="14" t="n">
        <v>91</v>
      </c>
      <c r="J12" s="14" t="n">
        <v>0</v>
      </c>
      <c r="K12" s="14" t="n">
        <v>0</v>
      </c>
      <c r="L12" s="14"/>
      <c r="M12" s="14"/>
      <c r="N12" s="14" t="n">
        <v>520</v>
      </c>
      <c r="O12" s="14"/>
      <c r="P12" s="14" t="n">
        <v>55562</v>
      </c>
      <c r="Q12" s="14" t="n">
        <v>78</v>
      </c>
      <c r="R12" s="14" t="n">
        <v>260</v>
      </c>
      <c r="S12" s="14"/>
      <c r="T12" s="14" t="n">
        <v>52</v>
      </c>
      <c r="U12" s="14" t="n">
        <v>91</v>
      </c>
      <c r="V12" s="14" t="n">
        <v>286</v>
      </c>
      <c r="W12" s="14"/>
      <c r="X12" s="14"/>
      <c r="Y12" s="14" t="n">
        <v>52</v>
      </c>
      <c r="Z12" s="14"/>
      <c r="AA12" s="14" t="n">
        <v>0</v>
      </c>
      <c r="AB12" s="14" t="n">
        <v>0</v>
      </c>
      <c r="AC12" s="14"/>
      <c r="AD12" s="14" t="n">
        <v>1404</v>
      </c>
      <c r="AE12" s="15" t="n">
        <v>152490</v>
      </c>
    </row>
    <row r="13" customFormat="false" ht="12.75" hidden="false" customHeight="false" outlineLevel="0" collapsed="false">
      <c r="A13" s="12" t="n">
        <v>6780</v>
      </c>
      <c r="B13" s="13" t="n">
        <v>1509872</v>
      </c>
      <c r="C13" s="14" t="n">
        <v>754</v>
      </c>
      <c r="D13" s="14" t="n">
        <v>78507</v>
      </c>
      <c r="E13" s="14" t="n">
        <v>1638</v>
      </c>
      <c r="F13" s="14" t="n">
        <v>0</v>
      </c>
      <c r="G13" s="14" t="n">
        <v>0</v>
      </c>
      <c r="H13" s="14" t="n">
        <v>234</v>
      </c>
      <c r="I13" s="14" t="n">
        <v>117</v>
      </c>
      <c r="J13" s="14" t="n">
        <v>91</v>
      </c>
      <c r="K13" s="14" t="n">
        <v>157287</v>
      </c>
      <c r="L13" s="14" t="n">
        <v>117</v>
      </c>
      <c r="M13" s="14" t="n">
        <v>65</v>
      </c>
      <c r="N13" s="14" t="n">
        <v>377</v>
      </c>
      <c r="O13" s="14" t="n">
        <v>442</v>
      </c>
      <c r="P13" s="14" t="n">
        <v>806</v>
      </c>
      <c r="Q13" s="14" t="n">
        <v>837356</v>
      </c>
      <c r="R13" s="14" t="n">
        <v>767</v>
      </c>
      <c r="S13" s="14" t="n">
        <v>533</v>
      </c>
      <c r="T13" s="14" t="n">
        <v>7917</v>
      </c>
      <c r="U13" s="14" t="n">
        <v>663</v>
      </c>
      <c r="V13" s="14" t="n">
        <v>221</v>
      </c>
      <c r="W13" s="14" t="n">
        <v>325</v>
      </c>
      <c r="X13" s="14" t="n">
        <v>104</v>
      </c>
      <c r="Y13" s="14" t="n">
        <v>117</v>
      </c>
      <c r="Z13" s="14" t="n">
        <v>130</v>
      </c>
      <c r="AA13" s="14" t="n">
        <v>104</v>
      </c>
      <c r="AB13" s="14" t="n">
        <v>0</v>
      </c>
      <c r="AC13" s="14" t="n">
        <v>0</v>
      </c>
      <c r="AD13" s="14" t="n">
        <v>2145</v>
      </c>
      <c r="AE13" s="15" t="n">
        <v>2600689</v>
      </c>
    </row>
    <row r="14" customFormat="false" ht="12.75" hidden="false" customHeight="false" outlineLevel="0" collapsed="false">
      <c r="A14" s="12" t="n">
        <v>6920</v>
      </c>
      <c r="B14" s="13" t="n">
        <v>792038</v>
      </c>
      <c r="C14" s="14" t="n">
        <v>455</v>
      </c>
      <c r="D14" s="14" t="n">
        <v>520</v>
      </c>
      <c r="E14" s="14" t="n">
        <v>0</v>
      </c>
      <c r="F14" s="14" t="n">
        <v>0</v>
      </c>
      <c r="G14" s="14"/>
      <c r="H14" s="14" t="n">
        <v>247</v>
      </c>
      <c r="I14" s="14" t="n">
        <v>533</v>
      </c>
      <c r="J14" s="14" t="n">
        <v>234</v>
      </c>
      <c r="K14" s="14" t="n">
        <v>728</v>
      </c>
      <c r="L14" s="14" t="n">
        <v>0</v>
      </c>
      <c r="M14" s="14" t="n">
        <v>494</v>
      </c>
      <c r="N14" s="14" t="n">
        <v>4628</v>
      </c>
      <c r="O14" s="14" t="n">
        <v>234</v>
      </c>
      <c r="P14" s="14" t="n">
        <v>1066</v>
      </c>
      <c r="Q14" s="14" t="n">
        <v>299</v>
      </c>
      <c r="R14" s="14" t="n">
        <v>644345</v>
      </c>
      <c r="S14" s="14" t="n">
        <v>221</v>
      </c>
      <c r="T14" s="14" t="n">
        <v>949</v>
      </c>
      <c r="U14" s="14" t="n">
        <v>2808</v>
      </c>
      <c r="V14" s="14" t="n">
        <v>1820</v>
      </c>
      <c r="W14" s="14" t="n">
        <v>0</v>
      </c>
      <c r="X14" s="14" t="n">
        <v>0</v>
      </c>
      <c r="Y14" s="14" t="n">
        <v>117</v>
      </c>
      <c r="Z14" s="14" t="n">
        <v>7085</v>
      </c>
      <c r="AA14" s="14" t="n">
        <v>5408</v>
      </c>
      <c r="AB14" s="14" t="n">
        <v>0</v>
      </c>
      <c r="AC14" s="14" t="n">
        <v>1183</v>
      </c>
      <c r="AD14" s="14" t="n">
        <v>12818</v>
      </c>
      <c r="AE14" s="15" t="n">
        <v>1478230</v>
      </c>
    </row>
    <row r="15" customFormat="false" ht="12.75" hidden="false" customHeight="false" outlineLevel="0" collapsed="false">
      <c r="A15" s="12" t="n">
        <v>7120</v>
      </c>
      <c r="B15" s="13" t="n">
        <v>195273</v>
      </c>
      <c r="C15" s="14" t="n">
        <v>91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195</v>
      </c>
      <c r="I15" s="14" t="n">
        <v>0</v>
      </c>
      <c r="J15" s="14" t="n">
        <v>91</v>
      </c>
      <c r="K15" s="14" t="n">
        <v>260</v>
      </c>
      <c r="L15" s="14" t="n">
        <v>0</v>
      </c>
      <c r="M15" s="14" t="n">
        <v>0</v>
      </c>
      <c r="N15" s="14" t="n">
        <v>338</v>
      </c>
      <c r="O15" s="14" t="n">
        <v>143</v>
      </c>
      <c r="P15" s="14" t="n">
        <v>130</v>
      </c>
      <c r="Q15" s="14" t="n">
        <v>143</v>
      </c>
      <c r="R15" s="14" t="n">
        <v>0</v>
      </c>
      <c r="S15" s="14" t="n">
        <v>152750</v>
      </c>
      <c r="T15" s="14" t="n">
        <v>0</v>
      </c>
      <c r="U15" s="14" t="n">
        <v>247</v>
      </c>
      <c r="V15" s="14" t="n">
        <v>2275</v>
      </c>
      <c r="W15" s="14" t="n">
        <v>65</v>
      </c>
      <c r="X15" s="14" t="n">
        <v>6643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130</v>
      </c>
      <c r="AD15" s="14" t="n">
        <v>1053</v>
      </c>
      <c r="AE15" s="15" t="n">
        <v>359827</v>
      </c>
    </row>
    <row r="16" customFormat="false" ht="12.75" hidden="false" customHeight="false" outlineLevel="0" collapsed="false">
      <c r="A16" s="12" t="n">
        <v>7320</v>
      </c>
      <c r="B16" s="13" t="n">
        <v>1264757</v>
      </c>
      <c r="C16" s="14" t="n">
        <v>572</v>
      </c>
      <c r="D16" s="14" t="n">
        <v>13065</v>
      </c>
      <c r="E16" s="14" t="n">
        <v>390</v>
      </c>
      <c r="F16" s="14" t="n">
        <v>0</v>
      </c>
      <c r="G16" s="14" t="n">
        <v>117</v>
      </c>
      <c r="H16" s="14" t="n">
        <v>4251</v>
      </c>
      <c r="I16" s="14" t="n">
        <v>130</v>
      </c>
      <c r="J16" s="14" t="n">
        <v>143</v>
      </c>
      <c r="K16" s="14" t="n">
        <v>7631</v>
      </c>
      <c r="L16" s="14" t="n">
        <v>208</v>
      </c>
      <c r="M16" s="14" t="n">
        <v>234</v>
      </c>
      <c r="N16" s="14" t="n">
        <v>1469</v>
      </c>
      <c r="O16" s="14" t="n">
        <v>429</v>
      </c>
      <c r="P16" s="14" t="n">
        <v>130</v>
      </c>
      <c r="Q16" s="14" t="n">
        <v>7046</v>
      </c>
      <c r="R16" s="14" t="n">
        <v>650</v>
      </c>
      <c r="S16" s="14" t="n">
        <v>351</v>
      </c>
      <c r="T16" s="14" t="n">
        <v>1184040</v>
      </c>
      <c r="U16" s="14" t="n">
        <v>2301</v>
      </c>
      <c r="V16" s="14" t="n">
        <v>403</v>
      </c>
      <c r="W16" s="14" t="n">
        <v>91</v>
      </c>
      <c r="X16" s="14" t="n">
        <v>169</v>
      </c>
      <c r="Y16" s="14" t="n">
        <v>91</v>
      </c>
      <c r="Z16" s="14" t="n">
        <v>169</v>
      </c>
      <c r="AA16" s="14" t="n">
        <v>143</v>
      </c>
      <c r="AB16" s="14" t="n">
        <v>39</v>
      </c>
      <c r="AC16" s="14" t="n">
        <v>260</v>
      </c>
      <c r="AD16" s="14" t="n">
        <v>1378</v>
      </c>
      <c r="AE16" s="15" t="n">
        <v>2490657</v>
      </c>
    </row>
    <row r="17" customFormat="false" ht="12.75" hidden="false" customHeight="false" outlineLevel="0" collapsed="false">
      <c r="A17" s="12" t="n">
        <v>7360</v>
      </c>
      <c r="B17" s="13" t="n">
        <v>764140</v>
      </c>
      <c r="C17" s="14" t="n">
        <v>312</v>
      </c>
      <c r="D17" s="14" t="n">
        <v>0</v>
      </c>
      <c r="E17" s="14" t="n">
        <v>0</v>
      </c>
      <c r="F17" s="14" t="n">
        <v>0</v>
      </c>
      <c r="G17" s="14"/>
      <c r="H17" s="14" t="n">
        <v>1118</v>
      </c>
      <c r="I17" s="14" t="n">
        <v>0</v>
      </c>
      <c r="J17" s="14" t="n">
        <v>195</v>
      </c>
      <c r="K17" s="14" t="n">
        <v>1495</v>
      </c>
      <c r="L17" s="14" t="n">
        <v>0</v>
      </c>
      <c r="M17" s="14" t="n">
        <v>338</v>
      </c>
      <c r="N17" s="14" t="n">
        <v>52572</v>
      </c>
      <c r="O17" s="14" t="n">
        <v>0</v>
      </c>
      <c r="P17" s="14" t="n">
        <v>481</v>
      </c>
      <c r="Q17" s="14" t="n">
        <v>260</v>
      </c>
      <c r="R17" s="14" t="n">
        <v>767</v>
      </c>
      <c r="S17" s="14" t="n">
        <v>247</v>
      </c>
      <c r="T17" s="14" t="n">
        <v>351</v>
      </c>
      <c r="U17" s="14" t="n">
        <v>742391</v>
      </c>
      <c r="V17" s="14" t="n">
        <v>54431</v>
      </c>
      <c r="W17" s="14" t="n">
        <v>104</v>
      </c>
      <c r="X17" s="14" t="n">
        <v>624</v>
      </c>
      <c r="Y17" s="14" t="n">
        <v>3978</v>
      </c>
      <c r="Z17" s="14" t="n">
        <v>117</v>
      </c>
      <c r="AA17" s="14" t="n">
        <v>1768</v>
      </c>
      <c r="AB17" s="14" t="n">
        <v>0</v>
      </c>
      <c r="AC17" s="14" t="n">
        <v>195</v>
      </c>
      <c r="AD17" s="14" t="n">
        <v>650</v>
      </c>
      <c r="AE17" s="15" t="n">
        <v>1626534</v>
      </c>
    </row>
    <row r="18" customFormat="false" ht="12.75" hidden="false" customHeight="false" outlineLevel="0" collapsed="false">
      <c r="A18" s="12" t="n">
        <v>7400</v>
      </c>
      <c r="B18" s="13" t="n">
        <v>686517</v>
      </c>
      <c r="C18" s="14" t="n">
        <v>91</v>
      </c>
      <c r="D18" s="14" t="n">
        <v>156</v>
      </c>
      <c r="E18" s="14" t="n">
        <v>195</v>
      </c>
      <c r="F18" s="14" t="n">
        <v>0</v>
      </c>
      <c r="G18" s="14" t="n">
        <v>0</v>
      </c>
      <c r="H18" s="14" t="n">
        <v>182</v>
      </c>
      <c r="I18" s="14" t="n">
        <v>0</v>
      </c>
      <c r="J18" s="14" t="n">
        <v>0</v>
      </c>
      <c r="K18" s="14" t="n">
        <v>975</v>
      </c>
      <c r="L18" s="14" t="n">
        <v>0</v>
      </c>
      <c r="M18" s="14" t="n">
        <v>156</v>
      </c>
      <c r="N18" s="14" t="n">
        <v>36153</v>
      </c>
      <c r="O18" s="14" t="n">
        <v>130</v>
      </c>
      <c r="P18" s="14" t="n">
        <v>234</v>
      </c>
      <c r="Q18" s="14" t="n">
        <v>0</v>
      </c>
      <c r="R18" s="14" t="n">
        <v>1287</v>
      </c>
      <c r="S18" s="14" t="n">
        <v>715</v>
      </c>
      <c r="T18" s="14" t="n">
        <v>221</v>
      </c>
      <c r="U18" s="14" t="n">
        <v>40768</v>
      </c>
      <c r="V18" s="14" t="n">
        <v>714948</v>
      </c>
      <c r="W18" s="14" t="n">
        <v>65</v>
      </c>
      <c r="X18" s="14" t="n">
        <v>4875</v>
      </c>
      <c r="Y18" s="14" t="n">
        <v>273</v>
      </c>
      <c r="Z18" s="14" t="n">
        <v>780</v>
      </c>
      <c r="AA18" s="14" t="n">
        <v>403</v>
      </c>
      <c r="AB18" s="14" t="n">
        <v>0</v>
      </c>
      <c r="AC18" s="14" t="n">
        <v>0</v>
      </c>
      <c r="AD18" s="14" t="n">
        <v>1638</v>
      </c>
      <c r="AE18" s="15" t="n">
        <v>1490762</v>
      </c>
    </row>
    <row r="19" customFormat="false" ht="12.75" hidden="false" customHeight="false" outlineLevel="0" collapsed="false">
      <c r="A19" s="12" t="n">
        <v>7480</v>
      </c>
      <c r="B19" s="13" t="n">
        <v>187317</v>
      </c>
      <c r="C19" s="14" t="n">
        <v>0</v>
      </c>
      <c r="D19" s="14" t="n">
        <v>91</v>
      </c>
      <c r="E19" s="14" t="n">
        <v>0</v>
      </c>
      <c r="F19" s="14" t="n">
        <v>0</v>
      </c>
      <c r="G19" s="14"/>
      <c r="H19" s="14" t="n">
        <v>0</v>
      </c>
      <c r="I19" s="14" t="n">
        <v>0</v>
      </c>
      <c r="J19" s="14" t="n">
        <v>143</v>
      </c>
      <c r="K19" s="14" t="n">
        <v>1599</v>
      </c>
      <c r="L19" s="14" t="n">
        <v>13</v>
      </c>
      <c r="M19" s="14" t="n">
        <v>0</v>
      </c>
      <c r="N19" s="14" t="n">
        <v>156</v>
      </c>
      <c r="O19" s="14" t="n">
        <v>2015</v>
      </c>
      <c r="P19" s="14" t="n">
        <v>65</v>
      </c>
      <c r="Q19" s="14" t="n">
        <v>637</v>
      </c>
      <c r="R19" s="14" t="n">
        <v>0</v>
      </c>
      <c r="S19" s="14" t="n">
        <v>208</v>
      </c>
      <c r="T19" s="14" t="n">
        <v>65</v>
      </c>
      <c r="U19" s="14" t="n">
        <v>377</v>
      </c>
      <c r="V19" s="14" t="n">
        <v>104</v>
      </c>
      <c r="W19" s="14" t="n">
        <v>169559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5109</v>
      </c>
      <c r="AE19" s="15" t="n">
        <v>367458</v>
      </c>
    </row>
    <row r="20" customFormat="false" ht="12.75" hidden="false" customHeight="false" outlineLevel="0" collapsed="false">
      <c r="A20" s="12" t="n">
        <v>7485</v>
      </c>
      <c r="B20" s="13" t="n">
        <v>116324</v>
      </c>
      <c r="C20" s="14" t="n">
        <v>0</v>
      </c>
      <c r="D20" s="14" t="n">
        <v>0</v>
      </c>
      <c r="E20" s="14" t="n">
        <v>273</v>
      </c>
      <c r="F20" s="14" t="n">
        <v>0</v>
      </c>
      <c r="G20" s="14" t="n">
        <v>0</v>
      </c>
      <c r="H20" s="14" t="n">
        <v>208</v>
      </c>
      <c r="I20" s="14" t="n">
        <v>0</v>
      </c>
      <c r="J20" s="14" t="n">
        <v>52</v>
      </c>
      <c r="K20" s="14" t="n">
        <v>247</v>
      </c>
      <c r="L20" s="14" t="n">
        <v>0</v>
      </c>
      <c r="M20" s="14" t="n">
        <v>104</v>
      </c>
      <c r="N20" s="14" t="n">
        <v>1053</v>
      </c>
      <c r="O20" s="14" t="n">
        <v>91</v>
      </c>
      <c r="P20" s="14" t="n">
        <v>0</v>
      </c>
      <c r="Q20" s="14" t="n">
        <v>0</v>
      </c>
      <c r="R20" s="14" t="n">
        <v>0</v>
      </c>
      <c r="S20" s="14" t="n">
        <v>4420</v>
      </c>
      <c r="T20" s="14" t="n">
        <v>91</v>
      </c>
      <c r="U20" s="14" t="n">
        <v>2106</v>
      </c>
      <c r="V20" s="14" t="n">
        <v>15444</v>
      </c>
      <c r="W20" s="14" t="n">
        <v>0</v>
      </c>
      <c r="X20" s="14" t="n">
        <v>88868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247</v>
      </c>
      <c r="AE20" s="15" t="n">
        <v>229528</v>
      </c>
    </row>
    <row r="21" customFormat="false" ht="12.75" hidden="false" customHeight="false" outlineLevel="0" collapsed="false">
      <c r="A21" s="12" t="n">
        <v>7500</v>
      </c>
      <c r="B21" s="13" t="n">
        <v>195936</v>
      </c>
      <c r="C21" s="14" t="n">
        <v>156</v>
      </c>
      <c r="D21" s="14" t="n">
        <v>0</v>
      </c>
      <c r="E21" s="14" t="n">
        <v>0</v>
      </c>
      <c r="F21" s="14"/>
      <c r="G21" s="14"/>
      <c r="H21" s="14" t="n">
        <v>0</v>
      </c>
      <c r="I21" s="14" t="n">
        <v>0</v>
      </c>
      <c r="J21" s="14" t="n">
        <v>0</v>
      </c>
      <c r="K21" s="14" t="n">
        <v>156</v>
      </c>
      <c r="L21" s="14"/>
      <c r="M21" s="14" t="n">
        <v>0</v>
      </c>
      <c r="N21" s="14" t="n">
        <v>3536</v>
      </c>
      <c r="O21" s="14" t="n">
        <v>0</v>
      </c>
      <c r="P21" s="14" t="n">
        <v>130</v>
      </c>
      <c r="Q21" s="14" t="n">
        <v>130</v>
      </c>
      <c r="R21" s="14" t="n">
        <v>325</v>
      </c>
      <c r="S21" s="14" t="n">
        <v>0</v>
      </c>
      <c r="T21" s="14" t="n">
        <v>273</v>
      </c>
      <c r="U21" s="14" t="n">
        <v>27222</v>
      </c>
      <c r="V21" s="14" t="n">
        <v>351</v>
      </c>
      <c r="W21" s="14"/>
      <c r="X21" s="14"/>
      <c r="Y21" s="14" t="n">
        <v>146120</v>
      </c>
      <c r="Z21" s="14" t="n">
        <v>130</v>
      </c>
      <c r="AA21" s="14" t="n">
        <v>3393</v>
      </c>
      <c r="AB21" s="14" t="n">
        <v>0</v>
      </c>
      <c r="AC21" s="14" t="n">
        <v>0</v>
      </c>
      <c r="AD21" s="14" t="n">
        <v>780</v>
      </c>
      <c r="AE21" s="15" t="n">
        <v>378638</v>
      </c>
    </row>
    <row r="22" customFormat="false" ht="12.75" hidden="false" customHeight="false" outlineLevel="0" collapsed="false">
      <c r="A22" s="12" t="n">
        <v>8120</v>
      </c>
      <c r="B22" s="13" t="n">
        <v>154115</v>
      </c>
      <c r="C22" s="14" t="n">
        <v>0</v>
      </c>
      <c r="D22" s="14" t="n">
        <v>0</v>
      </c>
      <c r="E22" s="14" t="n">
        <v>0</v>
      </c>
      <c r="F22" s="14" t="n">
        <v>0</v>
      </c>
      <c r="G22" s="14"/>
      <c r="H22" s="14" t="n">
        <v>117</v>
      </c>
      <c r="I22" s="14" t="n">
        <v>0</v>
      </c>
      <c r="J22" s="14" t="n">
        <v>91</v>
      </c>
      <c r="K22" s="14" t="n">
        <v>65</v>
      </c>
      <c r="L22" s="14" t="n">
        <v>91</v>
      </c>
      <c r="M22" s="14" t="n">
        <v>4927</v>
      </c>
      <c r="N22" s="14" t="n">
        <v>11791</v>
      </c>
      <c r="O22" s="14" t="n">
        <v>0</v>
      </c>
      <c r="P22" s="14" t="n">
        <v>0</v>
      </c>
      <c r="Q22" s="14" t="n">
        <v>0</v>
      </c>
      <c r="R22" s="14" t="n">
        <v>2301</v>
      </c>
      <c r="S22" s="14" t="n">
        <v>0</v>
      </c>
      <c r="T22" s="14" t="n">
        <v>0</v>
      </c>
      <c r="U22" s="14" t="n">
        <v>1313</v>
      </c>
      <c r="V22" s="14" t="n">
        <v>3159</v>
      </c>
      <c r="W22" s="14" t="n">
        <v>65</v>
      </c>
      <c r="X22" s="14" t="n">
        <v>0</v>
      </c>
      <c r="Y22" s="14" t="n">
        <v>0</v>
      </c>
      <c r="Z22" s="14" t="n">
        <v>85462</v>
      </c>
      <c r="AA22" s="14" t="n">
        <v>234</v>
      </c>
      <c r="AB22" s="14" t="n">
        <v>0</v>
      </c>
      <c r="AC22" s="14" t="n">
        <v>0</v>
      </c>
      <c r="AD22" s="14" t="n">
        <v>91</v>
      </c>
      <c r="AE22" s="15" t="n">
        <v>263822</v>
      </c>
    </row>
    <row r="23" customFormat="false" ht="12.75" hidden="false" customHeight="false" outlineLevel="0" collapsed="false">
      <c r="A23" s="12" t="n">
        <v>8720</v>
      </c>
      <c r="B23" s="13" t="n">
        <v>240682</v>
      </c>
      <c r="C23" s="14" t="n">
        <v>273</v>
      </c>
      <c r="D23" s="14" t="n">
        <v>169</v>
      </c>
      <c r="E23" s="14" t="n">
        <v>0</v>
      </c>
      <c r="F23" s="14" t="n">
        <v>0</v>
      </c>
      <c r="G23" s="14" t="n">
        <v>0</v>
      </c>
      <c r="H23" s="14" t="n">
        <v>494</v>
      </c>
      <c r="I23" s="14" t="n">
        <v>0</v>
      </c>
      <c r="J23" s="14" t="n">
        <v>0</v>
      </c>
      <c r="K23" s="14" t="n">
        <v>182</v>
      </c>
      <c r="L23" s="14" t="n">
        <v>52</v>
      </c>
      <c r="M23" s="14" t="n">
        <v>91</v>
      </c>
      <c r="N23" s="14" t="n">
        <v>36062</v>
      </c>
      <c r="O23" s="14" t="n">
        <v>0</v>
      </c>
      <c r="P23" s="14" t="n">
        <v>0</v>
      </c>
      <c r="Q23" s="14" t="n">
        <v>0</v>
      </c>
      <c r="R23" s="14" t="n">
        <v>7215</v>
      </c>
      <c r="S23" s="14" t="n">
        <v>78</v>
      </c>
      <c r="T23" s="14" t="n">
        <v>91</v>
      </c>
      <c r="U23" s="14" t="n">
        <v>13832</v>
      </c>
      <c r="V23" s="14" t="n">
        <v>1326</v>
      </c>
      <c r="W23" s="14" t="n">
        <v>0</v>
      </c>
      <c r="X23" s="14" t="n">
        <v>0</v>
      </c>
      <c r="Y23" s="14" t="n">
        <v>2899</v>
      </c>
      <c r="Z23" s="14" t="n">
        <v>156</v>
      </c>
      <c r="AA23" s="14" t="n">
        <v>147940</v>
      </c>
      <c r="AB23" s="14" t="n">
        <v>0</v>
      </c>
      <c r="AC23" s="14" t="n">
        <v>104</v>
      </c>
      <c r="AD23" s="14" t="n">
        <v>377</v>
      </c>
      <c r="AE23" s="15" t="n">
        <v>452023</v>
      </c>
    </row>
    <row r="24" customFormat="false" ht="12.75" hidden="false" customHeight="false" outlineLevel="0" collapsed="false">
      <c r="A24" s="12" t="n">
        <v>8780</v>
      </c>
      <c r="B24" s="13" t="n">
        <v>192426</v>
      </c>
      <c r="C24" s="14" t="n">
        <v>0</v>
      </c>
      <c r="D24" s="14" t="n">
        <v>273</v>
      </c>
      <c r="E24" s="14" t="n">
        <v>2626</v>
      </c>
      <c r="F24" s="14" t="n">
        <v>0</v>
      </c>
      <c r="G24" s="14" t="n">
        <v>0</v>
      </c>
      <c r="H24" s="14" t="n">
        <v>91</v>
      </c>
      <c r="I24" s="14" t="n">
        <v>0</v>
      </c>
      <c r="J24" s="14" t="n">
        <v>5629</v>
      </c>
      <c r="K24" s="14" t="n">
        <v>494</v>
      </c>
      <c r="L24" s="14" t="n">
        <v>0</v>
      </c>
      <c r="M24" s="14" t="n">
        <v>0</v>
      </c>
      <c r="N24" s="14" t="n">
        <v>91</v>
      </c>
      <c r="O24" s="14" t="n">
        <v>0</v>
      </c>
      <c r="P24" s="14" t="n">
        <v>0</v>
      </c>
      <c r="Q24" s="14" t="n">
        <v>130</v>
      </c>
      <c r="R24" s="14" t="n">
        <v>0</v>
      </c>
      <c r="S24" s="14" t="n">
        <v>65</v>
      </c>
      <c r="T24" s="14" t="n">
        <v>0</v>
      </c>
      <c r="U24" s="14" t="n">
        <v>91</v>
      </c>
      <c r="V24" s="14" t="n">
        <v>91</v>
      </c>
      <c r="W24" s="14" t="n">
        <v>0</v>
      </c>
      <c r="X24" s="14" t="n">
        <v>0</v>
      </c>
      <c r="Y24" s="14" t="n">
        <v>0</v>
      </c>
      <c r="Z24" s="14" t="n">
        <v>117</v>
      </c>
      <c r="AA24" s="14" t="n">
        <v>0</v>
      </c>
      <c r="AB24" s="14" t="n">
        <v>106184</v>
      </c>
      <c r="AC24" s="14" t="n">
        <v>0</v>
      </c>
      <c r="AD24" s="14" t="n">
        <v>2379</v>
      </c>
      <c r="AE24" s="15" t="n">
        <v>310687</v>
      </c>
    </row>
    <row r="25" customFormat="false" ht="12.75" hidden="false" customHeight="false" outlineLevel="0" collapsed="false">
      <c r="A25" s="12" t="n">
        <v>9340</v>
      </c>
      <c r="B25" s="13" t="n">
        <v>74074</v>
      </c>
      <c r="C25" s="14" t="n">
        <v>0</v>
      </c>
      <c r="D25" s="14"/>
      <c r="E25" s="14" t="n">
        <v>0</v>
      </c>
      <c r="F25" s="14"/>
      <c r="G25" s="14"/>
      <c r="H25" s="14" t="n">
        <v>0</v>
      </c>
      <c r="I25" s="14" t="n">
        <v>663</v>
      </c>
      <c r="J25" s="14" t="n">
        <v>0</v>
      </c>
      <c r="K25" s="14" t="n">
        <v>0</v>
      </c>
      <c r="L25" s="14"/>
      <c r="M25" s="14" t="n">
        <v>78</v>
      </c>
      <c r="N25" s="14" t="n">
        <v>91</v>
      </c>
      <c r="O25" s="14"/>
      <c r="P25" s="14" t="n">
        <v>0</v>
      </c>
      <c r="Q25" s="14" t="n">
        <v>0</v>
      </c>
      <c r="R25" s="14" t="n">
        <v>6357</v>
      </c>
      <c r="S25" s="14" t="n">
        <v>0</v>
      </c>
      <c r="T25" s="14" t="n">
        <v>0</v>
      </c>
      <c r="U25" s="14" t="n">
        <v>0</v>
      </c>
      <c r="V25" s="14" t="n">
        <v>0</v>
      </c>
      <c r="W25" s="14"/>
      <c r="X25" s="14"/>
      <c r="Y25" s="14" t="n">
        <v>0</v>
      </c>
      <c r="Z25" s="14" t="n">
        <v>78</v>
      </c>
      <c r="AA25" s="14" t="n">
        <v>364</v>
      </c>
      <c r="AB25" s="14" t="n">
        <v>0</v>
      </c>
      <c r="AC25" s="14" t="n">
        <v>38493</v>
      </c>
      <c r="AD25" s="14" t="n">
        <v>715</v>
      </c>
      <c r="AE25" s="15" t="n">
        <v>120913</v>
      </c>
    </row>
    <row r="26" customFormat="false" ht="12.75" hidden="false" customHeight="false" outlineLevel="0" collapsed="false">
      <c r="A26" s="12" t="n">
        <v>9999</v>
      </c>
      <c r="B26" s="13" t="n">
        <v>776880</v>
      </c>
      <c r="C26" s="14" t="n">
        <v>33280</v>
      </c>
      <c r="D26" s="14" t="n">
        <v>0</v>
      </c>
      <c r="E26" s="14" t="n">
        <v>650</v>
      </c>
      <c r="F26" s="14" t="n">
        <v>0</v>
      </c>
      <c r="G26" s="14" t="n">
        <v>0</v>
      </c>
      <c r="H26" s="14" t="n">
        <v>143</v>
      </c>
      <c r="I26" s="14" t="n">
        <v>1430</v>
      </c>
      <c r="J26" s="14" t="n">
        <v>10257</v>
      </c>
      <c r="K26" s="14" t="n">
        <v>1690</v>
      </c>
      <c r="L26" s="14" t="n">
        <v>1235</v>
      </c>
      <c r="M26" s="14" t="n">
        <v>2262</v>
      </c>
      <c r="N26" s="14" t="n">
        <v>1924</v>
      </c>
      <c r="O26" s="14" t="n">
        <v>312</v>
      </c>
      <c r="P26" s="14" t="n">
        <v>3705</v>
      </c>
      <c r="Q26" s="14" t="n">
        <v>806</v>
      </c>
      <c r="R26" s="14" t="n">
        <v>7267</v>
      </c>
      <c r="S26" s="14" t="n">
        <v>1482</v>
      </c>
      <c r="T26" s="14" t="n">
        <v>637</v>
      </c>
      <c r="U26" s="14" t="n">
        <v>1898</v>
      </c>
      <c r="V26" s="14" t="n">
        <v>5499</v>
      </c>
      <c r="W26" s="14" t="n">
        <v>6175</v>
      </c>
      <c r="X26" s="14" t="n">
        <v>351</v>
      </c>
      <c r="Y26" s="14" t="n">
        <v>1989</v>
      </c>
      <c r="Z26" s="14" t="n">
        <v>3224</v>
      </c>
      <c r="AA26" s="14" t="n">
        <v>1001</v>
      </c>
      <c r="AB26" s="14" t="n">
        <v>1599</v>
      </c>
      <c r="AC26" s="14" t="n">
        <v>767</v>
      </c>
      <c r="AD26" s="14" t="n">
        <v>394589</v>
      </c>
      <c r="AE26" s="15" t="n">
        <v>1261052</v>
      </c>
    </row>
    <row r="27" customFormat="false" ht="12.75" hidden="false" customHeight="false" outlineLevel="0" collapsed="false">
      <c r="A27" s="16" t="s">
        <v>4</v>
      </c>
      <c r="B27" s="17" t="n">
        <v>15631931</v>
      </c>
      <c r="C27" s="18" t="n">
        <v>39637</v>
      </c>
      <c r="D27" s="18" t="n">
        <v>1277510</v>
      </c>
      <c r="E27" s="18" t="n">
        <v>224133</v>
      </c>
      <c r="F27" s="18" t="n">
        <v>78</v>
      </c>
      <c r="G27" s="18" t="n">
        <v>117</v>
      </c>
      <c r="H27" s="18" t="n">
        <v>11050</v>
      </c>
      <c r="I27" s="18" t="n">
        <v>66534</v>
      </c>
      <c r="J27" s="18" t="n">
        <v>269763</v>
      </c>
      <c r="K27" s="18" t="n">
        <v>4317976</v>
      </c>
      <c r="L27" s="18" t="n">
        <v>66638</v>
      </c>
      <c r="M27" s="18" t="n">
        <v>133757</v>
      </c>
      <c r="N27" s="18" t="n">
        <v>972387</v>
      </c>
      <c r="O27" s="18" t="n">
        <v>275808</v>
      </c>
      <c r="P27" s="18" t="n">
        <v>63999</v>
      </c>
      <c r="Q27" s="18" t="n">
        <v>907439</v>
      </c>
      <c r="R27" s="18" t="n">
        <v>677339</v>
      </c>
      <c r="S27" s="18" t="n">
        <v>162877</v>
      </c>
      <c r="T27" s="18" t="n">
        <v>1206452</v>
      </c>
      <c r="U27" s="18" t="n">
        <v>988949</v>
      </c>
      <c r="V27" s="18" t="n">
        <v>863954</v>
      </c>
      <c r="W27" s="18" t="n">
        <v>183118</v>
      </c>
      <c r="X27" s="18" t="n">
        <v>102440</v>
      </c>
      <c r="Y27" s="18" t="n">
        <v>157183</v>
      </c>
      <c r="Z27" s="18" t="n">
        <v>108069</v>
      </c>
      <c r="AA27" s="18" t="n">
        <v>170261</v>
      </c>
      <c r="AB27" s="18" t="n">
        <v>112515</v>
      </c>
      <c r="AC27" s="18" t="n">
        <v>43238</v>
      </c>
      <c r="AD27" s="18" t="n">
        <v>447915</v>
      </c>
      <c r="AE27" s="19" t="n">
        <v>29483067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6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AG2" activeCellId="0" sqref="AG2:AH18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42</v>
      </c>
      <c r="U1" s="0" t="s">
        <v>43</v>
      </c>
    </row>
    <row r="2" customFormat="false" ht="12.75" hidden="false" customHeight="false" outlineLevel="0" collapsed="false">
      <c r="A2" s="0" t="s">
        <v>44</v>
      </c>
      <c r="B2" s="0" t="n">
        <v>0</v>
      </c>
      <c r="C2" s="0" t="n">
        <v>680</v>
      </c>
      <c r="D2" s="0" t="n">
        <v>1620</v>
      </c>
      <c r="E2" s="0" t="n">
        <v>2840</v>
      </c>
      <c r="F2" s="0" t="n">
        <v>4472</v>
      </c>
      <c r="G2" s="0" t="n">
        <v>4940</v>
      </c>
      <c r="H2" s="0" t="n">
        <v>5170</v>
      </c>
      <c r="I2" s="0" t="n">
        <v>6690</v>
      </c>
      <c r="J2" s="0" t="n">
        <v>6920</v>
      </c>
      <c r="K2" s="0" t="n">
        <v>7120</v>
      </c>
      <c r="L2" s="0" t="n">
        <v>7320</v>
      </c>
      <c r="M2" s="0" t="n">
        <v>7362</v>
      </c>
      <c r="N2" s="0" t="n">
        <v>7480</v>
      </c>
      <c r="O2" s="0" t="n">
        <v>8120</v>
      </c>
      <c r="P2" s="0" t="n">
        <v>8780</v>
      </c>
      <c r="Q2" s="0" t="n">
        <v>9340</v>
      </c>
      <c r="R2" s="0" t="n">
        <v>9999</v>
      </c>
      <c r="S2" s="0" t="s">
        <v>4</v>
      </c>
      <c r="U2" s="0" t="str">
        <f aca="false">A2</f>
        <v>O-CMSA</v>
      </c>
      <c r="V2" s="0" t="s">
        <v>5</v>
      </c>
      <c r="W2" s="0" t="s">
        <v>6</v>
      </c>
      <c r="X2" s="0" t="s">
        <v>7</v>
      </c>
      <c r="Y2" s="0" t="s">
        <v>8</v>
      </c>
      <c r="Z2" s="0" t="s">
        <v>9</v>
      </c>
      <c r="AA2" s="0" t="s">
        <v>10</v>
      </c>
      <c r="AC2" s="0" t="s">
        <v>45</v>
      </c>
      <c r="AD2" s="0" t="s">
        <v>46</v>
      </c>
      <c r="AE2" s="0" t="s">
        <v>47</v>
      </c>
      <c r="AF2" s="0" t="s">
        <v>48</v>
      </c>
      <c r="AG2" s="0" t="str">
        <f aca="false">U2</f>
        <v>O-CMSA</v>
      </c>
      <c r="AH2" s="0" t="s">
        <v>49</v>
      </c>
      <c r="AJ2" s="0" t="s">
        <v>15</v>
      </c>
    </row>
    <row r="3" customFormat="false" ht="12.75" hidden="false" customHeight="false" outlineLevel="0" collapsed="false">
      <c r="A3" s="0" t="n">
        <v>680</v>
      </c>
      <c r="B3" s="0" t="n">
        <v>320827</v>
      </c>
      <c r="C3" s="0" t="n">
        <v>207935</v>
      </c>
      <c r="D3" s="0" t="n">
        <v>0</v>
      </c>
      <c r="E3" s="0" t="n">
        <v>156</v>
      </c>
      <c r="F3" s="0" t="n">
        <v>9750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208</v>
      </c>
      <c r="L3" s="0" t="n">
        <v>0</v>
      </c>
      <c r="M3" s="0" t="n">
        <v>273</v>
      </c>
      <c r="N3" s="0" t="n">
        <v>351</v>
      </c>
      <c r="O3" s="0" t="n">
        <v>91</v>
      </c>
      <c r="P3" s="0" t="n">
        <v>1469</v>
      </c>
      <c r="Q3" s="0" t="n">
        <v>0</v>
      </c>
      <c r="R3" s="0" t="n">
        <v>1222</v>
      </c>
      <c r="S3" s="0" t="n">
        <v>542386</v>
      </c>
      <c r="U3" s="0" t="n">
        <f aca="false">A3</f>
        <v>680</v>
      </c>
      <c r="V3" s="0" t="s">
        <v>17</v>
      </c>
      <c r="W3" s="0" t="n">
        <f aca="false">SUM(C3:R3)-MAX(C3:R3)</f>
        <v>13520</v>
      </c>
      <c r="X3" s="0" t="n">
        <f aca="false">MAX(C3:R3)</f>
        <v>207935</v>
      </c>
      <c r="Y3" s="0" t="n">
        <f aca="false">SUM(C3:R3)</f>
        <v>221455</v>
      </c>
      <c r="Z3" s="0" t="n">
        <f aca="false">S3</f>
        <v>542386</v>
      </c>
      <c r="AA3" s="1" t="n">
        <f aca="false">W3/Y3</f>
        <v>0.0610507778103904</v>
      </c>
      <c r="AC3" s="0" t="n">
        <v>224133</v>
      </c>
      <c r="AD3" s="0" t="n">
        <v>207935</v>
      </c>
      <c r="AE3" s="0" t="n">
        <v>16198</v>
      </c>
      <c r="AF3" s="1" t="n">
        <v>0.0722695899309785</v>
      </c>
      <c r="AG3" s="0" t="n">
        <f aca="false">U3</f>
        <v>680</v>
      </c>
      <c r="AH3" s="2" t="n">
        <f aca="false">-0.0364+0.00000000386*Z3+0.844*AF3</f>
        <v>0.0266891438617458</v>
      </c>
      <c r="AJ3" s="3" t="n">
        <f aca="false">Z3*AH3</f>
        <v>14475.8179825969</v>
      </c>
    </row>
    <row r="4" customFormat="false" ht="12.75" hidden="false" customHeight="false" outlineLevel="0" collapsed="false">
      <c r="A4" s="0" t="n">
        <v>1620</v>
      </c>
      <c r="B4" s="0" t="n">
        <v>111722</v>
      </c>
      <c r="C4" s="0" t="n">
        <v>0</v>
      </c>
      <c r="D4" s="0" t="n">
        <v>62647</v>
      </c>
      <c r="E4" s="0" t="n">
        <v>78</v>
      </c>
      <c r="F4" s="0" t="n">
        <v>0</v>
      </c>
      <c r="G4" s="0" t="n">
        <v>0</v>
      </c>
      <c r="H4" s="0" t="n">
        <v>0</v>
      </c>
      <c r="I4" s="0" t="n">
        <v>65</v>
      </c>
      <c r="J4" s="0" t="n">
        <v>247</v>
      </c>
      <c r="K4" s="0" t="n">
        <v>117</v>
      </c>
      <c r="L4" s="0" t="n">
        <v>117</v>
      </c>
      <c r="M4" s="0" t="n">
        <v>390</v>
      </c>
      <c r="P4" s="0" t="n">
        <v>0</v>
      </c>
      <c r="Q4" s="0" t="n">
        <v>1651</v>
      </c>
      <c r="R4" s="0" t="n">
        <v>1911</v>
      </c>
      <c r="S4" s="0" t="n">
        <v>179322</v>
      </c>
      <c r="U4" s="0" t="n">
        <f aca="false">A4</f>
        <v>1620</v>
      </c>
      <c r="V4" s="0" t="s">
        <v>18</v>
      </c>
      <c r="W4" s="0" t="n">
        <f aca="false">SUM(C4:R4)-MAX(C4:R4)</f>
        <v>4576</v>
      </c>
      <c r="X4" s="0" t="n">
        <f aca="false">MAX(C4:R4)</f>
        <v>62647</v>
      </c>
      <c r="Y4" s="0" t="n">
        <f aca="false">SUM(C4:R4)</f>
        <v>67223</v>
      </c>
      <c r="Z4" s="0" t="n">
        <f aca="false">S4</f>
        <v>179322</v>
      </c>
      <c r="AA4" s="1" t="n">
        <f aca="false">W4/Y4</f>
        <v>0.068071939663508</v>
      </c>
      <c r="AC4" s="0" t="n">
        <v>66534</v>
      </c>
      <c r="AD4" s="0" t="n">
        <v>62647</v>
      </c>
      <c r="AE4" s="0" t="n">
        <v>3887</v>
      </c>
      <c r="AF4" s="1" t="n">
        <v>0.058421258304025</v>
      </c>
      <c r="AG4" s="0" t="n">
        <f aca="false">U4</f>
        <v>1620</v>
      </c>
      <c r="AH4" s="2" t="n">
        <f aca="false">-0.0364+0.00000000386*Z4+0.844*AF4</f>
        <v>0.0135997249285971</v>
      </c>
      <c r="AJ4" s="3" t="n">
        <f aca="false">Z4*AH4</f>
        <v>2438.72987364589</v>
      </c>
    </row>
    <row r="5" customFormat="false" ht="12.75" hidden="false" customHeight="false" outlineLevel="0" collapsed="false">
      <c r="A5" s="0" t="n">
        <v>2840</v>
      </c>
      <c r="B5" s="0" t="n">
        <v>405808</v>
      </c>
      <c r="C5" s="0" t="n">
        <v>104</v>
      </c>
      <c r="D5" s="0" t="n">
        <v>182</v>
      </c>
      <c r="E5" s="0" t="n">
        <v>250822</v>
      </c>
      <c r="F5" s="0" t="n">
        <v>1365</v>
      </c>
      <c r="G5" s="0" t="n">
        <v>1313</v>
      </c>
      <c r="H5" s="0" t="n">
        <v>195</v>
      </c>
      <c r="I5" s="0" t="n">
        <v>0</v>
      </c>
      <c r="J5" s="0" t="n">
        <v>338</v>
      </c>
      <c r="K5" s="0" t="n">
        <v>520</v>
      </c>
      <c r="L5" s="0" t="n">
        <v>104</v>
      </c>
      <c r="M5" s="0" t="n">
        <v>1287</v>
      </c>
      <c r="N5" s="0" t="n">
        <v>91</v>
      </c>
      <c r="O5" s="0" t="n">
        <v>143</v>
      </c>
      <c r="P5" s="0" t="n">
        <v>3107</v>
      </c>
      <c r="Q5" s="0" t="n">
        <v>91</v>
      </c>
      <c r="R5" s="0" t="n">
        <v>8398</v>
      </c>
      <c r="S5" s="0" t="n">
        <v>673868</v>
      </c>
      <c r="U5" s="0" t="n">
        <f aca="false">A5</f>
        <v>2840</v>
      </c>
      <c r="V5" s="0" t="s">
        <v>19</v>
      </c>
      <c r="W5" s="0" t="n">
        <f aca="false">SUM(C5:R5)-MAX(C5:R5)</f>
        <v>17238</v>
      </c>
      <c r="X5" s="0" t="n">
        <f aca="false">MAX(C5:R5)</f>
        <v>250822</v>
      </c>
      <c r="Y5" s="0" t="n">
        <f aca="false">SUM(C5:R5)</f>
        <v>268060</v>
      </c>
      <c r="Z5" s="0" t="n">
        <f aca="false">S5</f>
        <v>673868</v>
      </c>
      <c r="AA5" s="1" t="n">
        <f aca="false">W5/Y5</f>
        <v>0.0643064985451018</v>
      </c>
      <c r="AC5" s="0" t="n">
        <v>269763</v>
      </c>
      <c r="AD5" s="0" t="n">
        <v>250822</v>
      </c>
      <c r="AE5" s="0" t="n">
        <v>18941</v>
      </c>
      <c r="AF5" s="1" t="n">
        <v>0.0702134836875331</v>
      </c>
      <c r="AG5" s="0" t="n">
        <f aca="false">U5</f>
        <v>2840</v>
      </c>
      <c r="AH5" s="2" t="n">
        <f aca="false">-0.0364+0.00000000386*Z5+0.844*AF5</f>
        <v>0.025461310712278</v>
      </c>
      <c r="AJ5" s="3" t="n">
        <f aca="false">Z5*AH5</f>
        <v>17157.5625270613</v>
      </c>
    </row>
    <row r="6" customFormat="false" ht="12.75" hidden="false" customHeight="false" outlineLevel="0" collapsed="false">
      <c r="A6" s="0" t="n">
        <v>4472</v>
      </c>
      <c r="B6" s="0" t="n">
        <v>7695158</v>
      </c>
      <c r="C6" s="0" t="n">
        <v>11843</v>
      </c>
      <c r="D6" s="0" t="n">
        <v>572</v>
      </c>
      <c r="E6" s="0" t="n">
        <v>949</v>
      </c>
      <c r="F6" s="0" t="n">
        <v>6721481</v>
      </c>
      <c r="G6" s="0" t="n">
        <v>117</v>
      </c>
      <c r="H6" s="0" t="n">
        <v>221</v>
      </c>
      <c r="I6" s="0" t="n">
        <v>2301</v>
      </c>
      <c r="J6" s="0" t="n">
        <v>3250</v>
      </c>
      <c r="K6" s="0" t="n">
        <v>1495</v>
      </c>
      <c r="L6" s="0" t="n">
        <v>18967</v>
      </c>
      <c r="M6" s="0" t="n">
        <v>14248</v>
      </c>
      <c r="N6" s="0" t="n">
        <v>6448</v>
      </c>
      <c r="O6" s="0" t="n">
        <v>455</v>
      </c>
      <c r="P6" s="0" t="n">
        <v>0</v>
      </c>
      <c r="Q6" s="0" t="n">
        <v>364</v>
      </c>
      <c r="R6" s="0" t="n">
        <v>10413</v>
      </c>
      <c r="S6" s="0" t="n">
        <v>14494236</v>
      </c>
      <c r="U6" s="0" t="n">
        <f aca="false">A6</f>
        <v>4472</v>
      </c>
      <c r="V6" s="0" t="s">
        <v>50</v>
      </c>
      <c r="W6" s="0" t="n">
        <f aca="false">SUM(C6:R6)-MAX(C6:R6)</f>
        <v>71643</v>
      </c>
      <c r="X6" s="0" t="n">
        <f aca="false">MAX(C6:R6)</f>
        <v>6721481</v>
      </c>
      <c r="Y6" s="0" t="n">
        <f aca="false">SUM(C6:R6)</f>
        <v>6793124</v>
      </c>
      <c r="Z6" s="0" t="n">
        <f aca="false">S6</f>
        <v>14494236</v>
      </c>
      <c r="AA6" s="1" t="n">
        <f aca="false">W6/Y6</f>
        <v>0.0105463995652074</v>
      </c>
      <c r="AC6" s="0" t="n">
        <v>6778733</v>
      </c>
      <c r="AD6" s="0" t="n">
        <v>6721481</v>
      </c>
      <c r="AE6" s="0" t="n">
        <v>57252</v>
      </c>
      <c r="AF6" s="1" t="n">
        <v>0.00844582608578919</v>
      </c>
      <c r="AG6" s="0" t="n">
        <f aca="false">U6</f>
        <v>4472</v>
      </c>
      <c r="AH6" s="2" t="n">
        <f aca="false">-0.0364+0.00000000386*Z6+0.844*AF6</f>
        <v>0.0266760281764061</v>
      </c>
      <c r="AJ6" s="3" t="n">
        <f aca="false">Z6*AH6</f>
        <v>386648.647931479</v>
      </c>
    </row>
    <row r="7" customFormat="false" ht="12.75" hidden="false" customHeight="false" outlineLevel="0" collapsed="false">
      <c r="A7" s="0" t="n">
        <v>4940</v>
      </c>
      <c r="B7" s="0" t="n">
        <v>108225</v>
      </c>
      <c r="C7" s="0" t="n">
        <v>0</v>
      </c>
      <c r="D7" s="0" t="n">
        <v>0</v>
      </c>
      <c r="E7" s="0" t="n">
        <v>572</v>
      </c>
      <c r="F7" s="0" t="n">
        <v>0</v>
      </c>
      <c r="G7" s="0" t="n">
        <v>59956</v>
      </c>
      <c r="H7" s="0" t="n">
        <v>5148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1183</v>
      </c>
      <c r="N7" s="0" t="n">
        <v>0</v>
      </c>
      <c r="O7" s="0" t="n">
        <v>117</v>
      </c>
      <c r="P7" s="0" t="n">
        <v>0</v>
      </c>
      <c r="Q7" s="0" t="n">
        <v>0</v>
      </c>
      <c r="R7" s="0" t="n">
        <v>1456</v>
      </c>
      <c r="S7" s="0" t="n">
        <v>176657</v>
      </c>
      <c r="U7" s="0" t="n">
        <f aca="false">A7</f>
        <v>4940</v>
      </c>
      <c r="V7" s="0" t="s">
        <v>21</v>
      </c>
      <c r="W7" s="0" t="n">
        <f aca="false">SUM(C7:R7)-MAX(C7:R7)</f>
        <v>8476</v>
      </c>
      <c r="X7" s="0" t="n">
        <f aca="false">MAX(C7:R7)</f>
        <v>59956</v>
      </c>
      <c r="Y7" s="0" t="n">
        <f aca="false">SUM(C7:R7)</f>
        <v>68432</v>
      </c>
      <c r="Z7" s="0" t="n">
        <f aca="false">S7</f>
        <v>176657</v>
      </c>
      <c r="AA7" s="1" t="n">
        <f aca="false">W7/Y7</f>
        <v>0.123860182370821</v>
      </c>
      <c r="AC7" s="0" t="n">
        <v>66638</v>
      </c>
      <c r="AD7" s="0" t="n">
        <v>59956</v>
      </c>
      <c r="AE7" s="0" t="n">
        <v>6682</v>
      </c>
      <c r="AF7" s="1" t="n">
        <v>0.100273117440499</v>
      </c>
      <c r="AG7" s="0" t="n">
        <f aca="false">U7</f>
        <v>4940</v>
      </c>
      <c r="AH7" s="2" t="n">
        <f aca="false">-0.0364+0.00000000386*Z7+0.844*AF7</f>
        <v>0.0489124071397815</v>
      </c>
      <c r="AJ7" s="3" t="n">
        <f aca="false">Z7*AH7</f>
        <v>8640.71910809238</v>
      </c>
    </row>
    <row r="8" customFormat="false" ht="12.75" hidden="false" customHeight="false" outlineLevel="0" collapsed="false">
      <c r="A8" s="0" t="n">
        <v>5170</v>
      </c>
      <c r="B8" s="0" t="n">
        <v>219609</v>
      </c>
      <c r="C8" s="0" t="n">
        <v>0</v>
      </c>
      <c r="D8" s="0" t="n">
        <v>0</v>
      </c>
      <c r="E8" s="0" t="n">
        <v>182</v>
      </c>
      <c r="F8" s="0" t="n">
        <v>247</v>
      </c>
      <c r="G8" s="0" t="n">
        <v>3653</v>
      </c>
      <c r="H8" s="0" t="n">
        <v>119210</v>
      </c>
      <c r="I8" s="0" t="n">
        <v>0</v>
      </c>
      <c r="J8" s="0" t="n">
        <v>390</v>
      </c>
      <c r="K8" s="0" t="n">
        <v>0</v>
      </c>
      <c r="L8" s="0" t="n">
        <v>0</v>
      </c>
      <c r="M8" s="0" t="n">
        <v>10452</v>
      </c>
      <c r="N8" s="0" t="n">
        <v>0</v>
      </c>
      <c r="O8" s="0" t="n">
        <v>8528</v>
      </c>
      <c r="P8" s="0" t="n">
        <v>0</v>
      </c>
      <c r="Q8" s="0" t="n">
        <v>0</v>
      </c>
      <c r="R8" s="0" t="n">
        <v>611</v>
      </c>
      <c r="S8" s="0" t="n">
        <v>363090</v>
      </c>
      <c r="U8" s="0" t="n">
        <f aca="false">A8</f>
        <v>5170</v>
      </c>
      <c r="V8" s="0" t="s">
        <v>22</v>
      </c>
      <c r="W8" s="0" t="n">
        <f aca="false">SUM(C8:R8)-MAX(C8:R8)</f>
        <v>24063</v>
      </c>
      <c r="X8" s="0" t="n">
        <f aca="false">MAX(C8:R8)</f>
        <v>119210</v>
      </c>
      <c r="Y8" s="0" t="n">
        <f aca="false">SUM(C8:R8)</f>
        <v>143273</v>
      </c>
      <c r="Z8" s="0" t="n">
        <f aca="false">S8</f>
        <v>363090</v>
      </c>
      <c r="AA8" s="1" t="n">
        <f aca="false">W8/Y8</f>
        <v>0.167952091461755</v>
      </c>
      <c r="AC8" s="0" t="n">
        <v>133757</v>
      </c>
      <c r="AD8" s="0" t="n">
        <v>119210</v>
      </c>
      <c r="AE8" s="0" t="n">
        <v>14547</v>
      </c>
      <c r="AF8" s="1" t="n">
        <v>0.108756924871222</v>
      </c>
      <c r="AG8" s="0" t="n">
        <f aca="false">U8</f>
        <v>5170</v>
      </c>
      <c r="AH8" s="2" t="n">
        <f aca="false">-0.0364+0.00000000386*Z8+0.844*AF8</f>
        <v>0.0567923719913111</v>
      </c>
      <c r="AJ8" s="3" t="n">
        <f aca="false">Z8*AH8</f>
        <v>20620.7423463251</v>
      </c>
    </row>
    <row r="9" customFormat="false" ht="12.75" hidden="false" customHeight="false" outlineLevel="0" collapsed="false">
      <c r="A9" s="0" t="n">
        <v>6690</v>
      </c>
      <c r="B9" s="0" t="n">
        <v>93327</v>
      </c>
      <c r="C9" s="0" t="n">
        <v>117</v>
      </c>
      <c r="D9" s="0" t="n">
        <v>91</v>
      </c>
      <c r="E9" s="0" t="n">
        <v>0</v>
      </c>
      <c r="F9" s="0" t="n">
        <v>78</v>
      </c>
      <c r="G9" s="0" t="n">
        <v>0</v>
      </c>
      <c r="H9" s="0" t="n">
        <v>0</v>
      </c>
      <c r="I9" s="0" t="n">
        <v>55562</v>
      </c>
      <c r="J9" s="0" t="n">
        <v>260</v>
      </c>
      <c r="K9" s="0" t="n">
        <v>0</v>
      </c>
      <c r="L9" s="0" t="n">
        <v>52</v>
      </c>
      <c r="M9" s="0" t="n">
        <v>949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1404</v>
      </c>
      <c r="S9" s="0" t="n">
        <v>152490</v>
      </c>
      <c r="U9" s="0" t="n">
        <f aca="false">A9</f>
        <v>6690</v>
      </c>
      <c r="V9" s="0" t="s">
        <v>25</v>
      </c>
      <c r="W9" s="0" t="n">
        <f aca="false">SUM(C9:R9)-MAX(C9:R9)</f>
        <v>2951</v>
      </c>
      <c r="X9" s="0" t="n">
        <f aca="false">MAX(C9:R9)</f>
        <v>55562</v>
      </c>
      <c r="Y9" s="0" t="n">
        <f aca="false">SUM(C9:R9)</f>
        <v>58513</v>
      </c>
      <c r="Z9" s="0" t="n">
        <f aca="false">S9</f>
        <v>152490</v>
      </c>
      <c r="AA9" s="1" t="n">
        <f aca="false">W9/Y9</f>
        <v>0.0504332370584315</v>
      </c>
      <c r="AC9" s="0" t="n">
        <v>63999</v>
      </c>
      <c r="AD9" s="0" t="n">
        <v>55562</v>
      </c>
      <c r="AE9" s="0" t="n">
        <v>8437</v>
      </c>
      <c r="AF9" s="1" t="n">
        <v>0.131830184846638</v>
      </c>
      <c r="AG9" s="0" t="n">
        <f aca="false">U9</f>
        <v>6690</v>
      </c>
      <c r="AH9" s="2" t="n">
        <f aca="false">-0.0364+0.00000000386*Z9+0.844*AF9</f>
        <v>0.0754532874105627</v>
      </c>
      <c r="AJ9" s="3" t="n">
        <f aca="false">Z9*AH9</f>
        <v>11505.8717972367</v>
      </c>
    </row>
    <row r="10" customFormat="false" ht="12.75" hidden="false" customHeight="false" outlineLevel="0" collapsed="false">
      <c r="A10" s="0" t="n">
        <v>6920</v>
      </c>
      <c r="B10" s="0" t="n">
        <v>792038</v>
      </c>
      <c r="C10" s="0" t="n">
        <v>0</v>
      </c>
      <c r="D10" s="0" t="n">
        <v>533</v>
      </c>
      <c r="E10" s="0" t="n">
        <v>234</v>
      </c>
      <c r="F10" s="0" t="n">
        <v>1781</v>
      </c>
      <c r="G10" s="0" t="n">
        <v>0</v>
      </c>
      <c r="H10" s="0" t="n">
        <v>494</v>
      </c>
      <c r="I10" s="0" t="n">
        <v>1066</v>
      </c>
      <c r="J10" s="0" t="n">
        <v>644345</v>
      </c>
      <c r="K10" s="0" t="n">
        <v>221</v>
      </c>
      <c r="L10" s="0" t="n">
        <v>949</v>
      </c>
      <c r="M10" s="0" t="n">
        <v>14781</v>
      </c>
      <c r="N10" s="0" t="n">
        <v>0</v>
      </c>
      <c r="O10" s="0" t="n">
        <v>7085</v>
      </c>
      <c r="P10" s="0" t="n">
        <v>0</v>
      </c>
      <c r="Q10" s="0" t="n">
        <v>1183</v>
      </c>
      <c r="R10" s="0" t="n">
        <v>12818</v>
      </c>
      <c r="S10" s="0" t="n">
        <v>1478230</v>
      </c>
      <c r="U10" s="0" t="n">
        <f aca="false">A10</f>
        <v>6920</v>
      </c>
      <c r="V10" s="0" t="s">
        <v>27</v>
      </c>
      <c r="W10" s="0" t="n">
        <f aca="false">SUM(C10:R10)-MAX(C10:R10)</f>
        <v>41145</v>
      </c>
      <c r="X10" s="0" t="n">
        <f aca="false">MAX(C10:R10)</f>
        <v>644345</v>
      </c>
      <c r="Y10" s="0" t="n">
        <f aca="false">SUM(C10:R10)</f>
        <v>685490</v>
      </c>
      <c r="Z10" s="0" t="n">
        <f aca="false">S10</f>
        <v>1478230</v>
      </c>
      <c r="AA10" s="1" t="n">
        <f aca="false">W10/Y10</f>
        <v>0.0600227574435805</v>
      </c>
      <c r="AC10" s="0" t="n">
        <v>677339</v>
      </c>
      <c r="AD10" s="0" t="n">
        <v>644345</v>
      </c>
      <c r="AE10" s="0" t="n">
        <v>32994</v>
      </c>
      <c r="AF10" s="1" t="n">
        <v>0.0487112066483696</v>
      </c>
      <c r="AG10" s="0" t="n">
        <f aca="false">U10</f>
        <v>6920</v>
      </c>
      <c r="AH10" s="2" t="n">
        <f aca="false">-0.0364+0.00000000386*Z10+0.844*AF10</f>
        <v>0.0104182262112239</v>
      </c>
      <c r="AJ10" s="3" t="n">
        <f aca="false">Z10*AH10</f>
        <v>15400.5345322175</v>
      </c>
    </row>
    <row r="11" customFormat="false" ht="12.75" hidden="false" customHeight="false" outlineLevel="0" collapsed="false">
      <c r="A11" s="0" t="n">
        <v>7120</v>
      </c>
      <c r="B11" s="0" t="n">
        <v>195273</v>
      </c>
      <c r="C11" s="0" t="n">
        <v>0</v>
      </c>
      <c r="D11" s="0" t="n">
        <v>0</v>
      </c>
      <c r="E11" s="0" t="n">
        <v>91</v>
      </c>
      <c r="F11" s="0" t="n">
        <v>546</v>
      </c>
      <c r="G11" s="0" t="n">
        <v>0</v>
      </c>
      <c r="H11" s="0" t="n">
        <v>0</v>
      </c>
      <c r="I11" s="0" t="n">
        <v>130</v>
      </c>
      <c r="J11" s="0" t="n">
        <v>0</v>
      </c>
      <c r="K11" s="0" t="n">
        <v>152750</v>
      </c>
      <c r="L11" s="0" t="n">
        <v>0</v>
      </c>
      <c r="M11" s="0" t="n">
        <v>9503</v>
      </c>
      <c r="N11" s="0" t="n">
        <v>65</v>
      </c>
      <c r="O11" s="0" t="n">
        <v>0</v>
      </c>
      <c r="P11" s="0" t="n">
        <v>0</v>
      </c>
      <c r="Q11" s="0" t="n">
        <v>130</v>
      </c>
      <c r="R11" s="0" t="n">
        <v>1053</v>
      </c>
      <c r="S11" s="0" t="n">
        <v>359827</v>
      </c>
      <c r="U11" s="0" t="n">
        <f aca="false">A11</f>
        <v>7120</v>
      </c>
      <c r="V11" s="0" t="s">
        <v>28</v>
      </c>
      <c r="W11" s="0" t="n">
        <f aca="false">SUM(C11:R11)-MAX(C11:R11)</f>
        <v>11518</v>
      </c>
      <c r="X11" s="0" t="n">
        <f aca="false">MAX(C11:R11)</f>
        <v>152750</v>
      </c>
      <c r="Y11" s="0" t="n">
        <f aca="false">SUM(C11:R11)</f>
        <v>164268</v>
      </c>
      <c r="Z11" s="0" t="n">
        <f aca="false">S11</f>
        <v>359827</v>
      </c>
      <c r="AA11" s="1" t="n">
        <f aca="false">W11/Y11</f>
        <v>0.0701171256726812</v>
      </c>
      <c r="AC11" s="0" t="n">
        <v>162877</v>
      </c>
      <c r="AD11" s="0" t="n">
        <v>152750</v>
      </c>
      <c r="AE11" s="0" t="n">
        <v>10127</v>
      </c>
      <c r="AF11" s="1" t="n">
        <v>0.0621757522547689</v>
      </c>
      <c r="AG11" s="0" t="n">
        <f aca="false">U11</f>
        <v>7120</v>
      </c>
      <c r="AH11" s="2" t="n">
        <f aca="false">-0.0364+0.00000000386*Z11+0.844*AF11</f>
        <v>0.017465267123025</v>
      </c>
      <c r="AJ11" s="3" t="n">
        <f aca="false">Z11*AH11</f>
        <v>6284.47467307671</v>
      </c>
    </row>
    <row r="12" customFormat="false" ht="12.75" hidden="false" customHeight="false" outlineLevel="0" collapsed="false">
      <c r="A12" s="0" t="n">
        <v>7320</v>
      </c>
      <c r="B12" s="0" t="n">
        <v>1264757</v>
      </c>
      <c r="C12" s="0" t="n">
        <v>390</v>
      </c>
      <c r="D12" s="0" t="n">
        <v>130</v>
      </c>
      <c r="E12" s="0" t="n">
        <v>143</v>
      </c>
      <c r="F12" s="0" t="n">
        <v>28171</v>
      </c>
      <c r="G12" s="0" t="n">
        <v>208</v>
      </c>
      <c r="H12" s="0" t="n">
        <v>234</v>
      </c>
      <c r="I12" s="0" t="n">
        <v>130</v>
      </c>
      <c r="J12" s="0" t="n">
        <v>650</v>
      </c>
      <c r="K12" s="0" t="n">
        <v>351</v>
      </c>
      <c r="L12" s="0" t="n">
        <v>1184040</v>
      </c>
      <c r="M12" s="0" t="n">
        <v>4576</v>
      </c>
      <c r="N12" s="0" t="n">
        <v>91</v>
      </c>
      <c r="O12" s="0" t="n">
        <v>169</v>
      </c>
      <c r="P12" s="0" t="n">
        <v>39</v>
      </c>
      <c r="Q12" s="0" t="n">
        <v>260</v>
      </c>
      <c r="R12" s="0" t="n">
        <v>1378</v>
      </c>
      <c r="S12" s="0" t="n">
        <v>2490657</v>
      </c>
      <c r="U12" s="0" t="n">
        <f aca="false">A12</f>
        <v>7320</v>
      </c>
      <c r="V12" s="0" t="s">
        <v>29</v>
      </c>
      <c r="W12" s="0" t="n">
        <f aca="false">SUM(C12:R12)-MAX(C12:R12)</f>
        <v>36920</v>
      </c>
      <c r="X12" s="0" t="n">
        <f aca="false">MAX(C12:R12)</f>
        <v>1184040</v>
      </c>
      <c r="Y12" s="0" t="n">
        <f aca="false">SUM(C12:R12)</f>
        <v>1220960</v>
      </c>
      <c r="Z12" s="0" t="n">
        <f aca="false">S12</f>
        <v>2490657</v>
      </c>
      <c r="AA12" s="1" t="n">
        <f aca="false">W12/Y12</f>
        <v>0.0302385008517888</v>
      </c>
      <c r="AC12" s="0" t="n">
        <v>1206452</v>
      </c>
      <c r="AD12" s="0" t="n">
        <v>1184040</v>
      </c>
      <c r="AE12" s="0" t="n">
        <v>22412</v>
      </c>
      <c r="AF12" s="1" t="n">
        <v>0.0185767854833843</v>
      </c>
      <c r="AG12" s="0" t="n">
        <f aca="false">U12</f>
        <v>7320</v>
      </c>
      <c r="AH12" s="2" t="n">
        <f aca="false">-0.0364+0.00000000386*Z12+0.844*AF12</f>
        <v>-0.0111072570320236</v>
      </c>
      <c r="AJ12" s="3" t="n">
        <f aca="false">Z12*AH12</f>
        <v>-27664.3674776089</v>
      </c>
    </row>
    <row r="13" customFormat="false" ht="12.75" hidden="false" customHeight="false" outlineLevel="0" collapsed="false">
      <c r="A13" s="0" t="n">
        <v>7362</v>
      </c>
      <c r="B13" s="0" t="n">
        <v>3040375</v>
      </c>
      <c r="C13" s="0" t="n">
        <v>468</v>
      </c>
      <c r="D13" s="0" t="n">
        <v>286</v>
      </c>
      <c r="E13" s="0" t="n">
        <v>416</v>
      </c>
      <c r="F13" s="0" t="n">
        <v>7202</v>
      </c>
      <c r="G13" s="0" t="n">
        <v>52</v>
      </c>
      <c r="H13" s="0" t="n">
        <v>988</v>
      </c>
      <c r="I13" s="0" t="n">
        <v>975</v>
      </c>
      <c r="J13" s="0" t="n">
        <v>11934</v>
      </c>
      <c r="K13" s="0" t="n">
        <v>5460</v>
      </c>
      <c r="L13" s="0" t="n">
        <v>1521</v>
      </c>
      <c r="M13" s="0" t="n">
        <v>3167008</v>
      </c>
      <c r="N13" s="0" t="n">
        <v>273</v>
      </c>
      <c r="O13" s="0" t="n">
        <v>2600</v>
      </c>
      <c r="P13" s="0" t="n">
        <v>117</v>
      </c>
      <c r="Q13" s="0" t="n">
        <v>299</v>
      </c>
      <c r="R13" s="0" t="n">
        <v>4368</v>
      </c>
      <c r="S13" s="0" t="n">
        <v>6248372</v>
      </c>
      <c r="U13" s="0" t="n">
        <f aca="false">A13</f>
        <v>7362</v>
      </c>
      <c r="V13" s="0" t="s">
        <v>51</v>
      </c>
      <c r="W13" s="0" t="n">
        <f aca="false">SUM(C13:R13)-MAX(C13:R13)</f>
        <v>36959</v>
      </c>
      <c r="X13" s="0" t="n">
        <f aca="false">MAX(C13:R13)</f>
        <v>3167008</v>
      </c>
      <c r="Y13" s="0" t="n">
        <f aca="false">SUM(C13:R13)</f>
        <v>3203967</v>
      </c>
      <c r="Z13" s="0" t="n">
        <f aca="false">S13</f>
        <v>6248372</v>
      </c>
      <c r="AA13" s="1" t="n">
        <f aca="false">W13/Y13</f>
        <v>0.0115353872246499</v>
      </c>
      <c r="AC13" s="0" t="n">
        <v>3255174</v>
      </c>
      <c r="AD13" s="0" t="n">
        <v>3167008</v>
      </c>
      <c r="AE13" s="0" t="n">
        <v>88166</v>
      </c>
      <c r="AF13" s="1" t="n">
        <v>0.0270848808696555</v>
      </c>
      <c r="AG13" s="0" t="n">
        <f aca="false">U13</f>
        <v>7362</v>
      </c>
      <c r="AH13" s="2" t="n">
        <f aca="false">-0.0364+0.00000000386*Z13+0.844*AF13</f>
        <v>0.0105783553739893</v>
      </c>
      <c r="AJ13" s="3" t="n">
        <f aca="false">Z13*AH13</f>
        <v>66097.499524884</v>
      </c>
    </row>
    <row r="14" customFormat="false" ht="12.75" hidden="false" customHeight="false" outlineLevel="0" collapsed="false">
      <c r="A14" s="0" t="n">
        <v>7480</v>
      </c>
      <c r="B14" s="0" t="n">
        <v>187317</v>
      </c>
      <c r="C14" s="0" t="n">
        <v>0</v>
      </c>
      <c r="D14" s="0" t="n">
        <v>0</v>
      </c>
      <c r="E14" s="0" t="n">
        <v>143</v>
      </c>
      <c r="F14" s="0" t="n">
        <v>4342</v>
      </c>
      <c r="G14" s="0" t="n">
        <v>13</v>
      </c>
      <c r="H14" s="0" t="n">
        <v>0</v>
      </c>
      <c r="I14" s="0" t="n">
        <v>65</v>
      </c>
      <c r="J14" s="0" t="n">
        <v>0</v>
      </c>
      <c r="K14" s="0" t="n">
        <v>208</v>
      </c>
      <c r="L14" s="0" t="n">
        <v>65</v>
      </c>
      <c r="M14" s="0" t="n">
        <v>637</v>
      </c>
      <c r="N14" s="0" t="n">
        <v>169559</v>
      </c>
      <c r="O14" s="0" t="n">
        <v>0</v>
      </c>
      <c r="P14" s="0" t="n">
        <v>0</v>
      </c>
      <c r="Q14" s="0" t="n">
        <v>0</v>
      </c>
      <c r="R14" s="0" t="n">
        <v>5109</v>
      </c>
      <c r="S14" s="0" t="n">
        <v>367458</v>
      </c>
      <c r="U14" s="0" t="n">
        <f aca="false">A14</f>
        <v>7480</v>
      </c>
      <c r="V14" s="0" t="s">
        <v>32</v>
      </c>
      <c r="W14" s="0" t="n">
        <f aca="false">SUM(C14:R14)-MAX(C14:R14)</f>
        <v>10582</v>
      </c>
      <c r="X14" s="0" t="n">
        <f aca="false">MAX(C14:R14)</f>
        <v>169559</v>
      </c>
      <c r="Y14" s="0" t="n">
        <f aca="false">SUM(C14:R14)</f>
        <v>180141</v>
      </c>
      <c r="Z14" s="0" t="n">
        <f aca="false">S14</f>
        <v>367458</v>
      </c>
      <c r="AA14" s="1" t="n">
        <f aca="false">W14/Y14</f>
        <v>0.0587428736378726</v>
      </c>
      <c r="AC14" s="0" t="n">
        <v>183118</v>
      </c>
      <c r="AD14" s="0" t="n">
        <v>169559</v>
      </c>
      <c r="AE14" s="0" t="n">
        <v>13559</v>
      </c>
      <c r="AF14" s="1" t="n">
        <v>0.0740451512139713</v>
      </c>
      <c r="AG14" s="0" t="n">
        <f aca="false">U14</f>
        <v>7480</v>
      </c>
      <c r="AH14" s="2" t="n">
        <f aca="false">-0.0364+0.00000000386*Z14+0.844*AF14</f>
        <v>0.0275124955045918</v>
      </c>
      <c r="AJ14" s="3" t="n">
        <f aca="false">Z14*AH14</f>
        <v>10109.6865731263</v>
      </c>
    </row>
    <row r="15" customFormat="false" ht="12.75" hidden="false" customHeight="false" outlineLevel="0" collapsed="false">
      <c r="A15" s="0" t="n">
        <v>8120</v>
      </c>
      <c r="B15" s="0" t="n">
        <v>154115</v>
      </c>
      <c r="C15" s="0" t="n">
        <v>0</v>
      </c>
      <c r="D15" s="0" t="n">
        <v>0</v>
      </c>
      <c r="E15" s="0" t="n">
        <v>91</v>
      </c>
      <c r="F15" s="0" t="n">
        <v>65</v>
      </c>
      <c r="G15" s="0" t="n">
        <v>91</v>
      </c>
      <c r="H15" s="0" t="n">
        <v>4927</v>
      </c>
      <c r="I15" s="0" t="n">
        <v>0</v>
      </c>
      <c r="J15" s="0" t="n">
        <v>2301</v>
      </c>
      <c r="K15" s="0" t="n">
        <v>0</v>
      </c>
      <c r="L15" s="0" t="n">
        <v>0</v>
      </c>
      <c r="M15" s="0" t="n">
        <v>16497</v>
      </c>
      <c r="N15" s="0" t="n">
        <v>65</v>
      </c>
      <c r="O15" s="0" t="n">
        <v>85462</v>
      </c>
      <c r="P15" s="0" t="n">
        <v>0</v>
      </c>
      <c r="Q15" s="0" t="n">
        <v>0</v>
      </c>
      <c r="R15" s="0" t="n">
        <v>91</v>
      </c>
      <c r="S15" s="0" t="n">
        <v>263822</v>
      </c>
      <c r="U15" s="0" t="n">
        <f aca="false">A15</f>
        <v>8120</v>
      </c>
      <c r="V15" s="0" t="s">
        <v>35</v>
      </c>
      <c r="W15" s="0" t="n">
        <f aca="false">SUM(C15:R15)-MAX(C15:R15)</f>
        <v>24128</v>
      </c>
      <c r="X15" s="0" t="n">
        <f aca="false">MAX(C15:R15)</f>
        <v>85462</v>
      </c>
      <c r="Y15" s="0" t="n">
        <f aca="false">SUM(C15:R15)</f>
        <v>109590</v>
      </c>
      <c r="Z15" s="0" t="n">
        <f aca="false">S15</f>
        <v>263822</v>
      </c>
      <c r="AA15" s="1" t="n">
        <f aca="false">W15/Y15</f>
        <v>0.220166073546856</v>
      </c>
      <c r="AC15" s="0" t="n">
        <v>108069</v>
      </c>
      <c r="AD15" s="0" t="n">
        <v>85462</v>
      </c>
      <c r="AE15" s="0" t="n">
        <v>22607</v>
      </c>
      <c r="AF15" s="1" t="n">
        <v>0.209190424636112</v>
      </c>
      <c r="AG15" s="0" t="n">
        <f aca="false">U15</f>
        <v>8120</v>
      </c>
      <c r="AH15" s="2" t="n">
        <f aca="false">-0.0364+0.00000000386*Z15+0.844*AF15</f>
        <v>0.141175071312879</v>
      </c>
      <c r="AJ15" s="3" t="n">
        <f aca="false">Z15*AH15</f>
        <v>37245.0896639063</v>
      </c>
    </row>
    <row r="16" customFormat="false" ht="12.75" hidden="false" customHeight="false" outlineLevel="0" collapsed="false">
      <c r="A16" s="0" t="n">
        <v>8780</v>
      </c>
      <c r="B16" s="0" t="n">
        <v>192426</v>
      </c>
      <c r="C16" s="0" t="n">
        <v>2626</v>
      </c>
      <c r="D16" s="0" t="n">
        <v>0</v>
      </c>
      <c r="E16" s="0" t="n">
        <v>5629</v>
      </c>
      <c r="F16" s="0" t="n">
        <v>897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65</v>
      </c>
      <c r="L16" s="0" t="n">
        <v>0</v>
      </c>
      <c r="M16" s="0" t="n">
        <v>273</v>
      </c>
      <c r="N16" s="0" t="n">
        <v>0</v>
      </c>
      <c r="O16" s="0" t="n">
        <v>117</v>
      </c>
      <c r="P16" s="0" t="n">
        <v>106184</v>
      </c>
      <c r="Q16" s="0" t="n">
        <v>0</v>
      </c>
      <c r="R16" s="0" t="n">
        <v>2379</v>
      </c>
      <c r="S16" s="0" t="n">
        <v>310687</v>
      </c>
      <c r="U16" s="0" t="n">
        <f aca="false">A16</f>
        <v>8780</v>
      </c>
      <c r="V16" s="0" t="s">
        <v>37</v>
      </c>
      <c r="W16" s="0" t="n">
        <f aca="false">SUM(C16:R16)-MAX(C16:R16)</f>
        <v>11986</v>
      </c>
      <c r="X16" s="0" t="n">
        <f aca="false">MAX(C16:R16)</f>
        <v>106184</v>
      </c>
      <c r="Y16" s="0" t="n">
        <f aca="false">SUM(C16:R16)</f>
        <v>118170</v>
      </c>
      <c r="Z16" s="0" t="n">
        <f aca="false">S16</f>
        <v>310687</v>
      </c>
      <c r="AA16" s="1" t="n">
        <f aca="false">W16/Y16</f>
        <v>0.101430143014301</v>
      </c>
      <c r="AC16" s="0" t="n">
        <v>112515</v>
      </c>
      <c r="AD16" s="0" t="n">
        <v>106184</v>
      </c>
      <c r="AE16" s="0" t="n">
        <v>6331</v>
      </c>
      <c r="AF16" s="1" t="n">
        <v>0.0562680531484691</v>
      </c>
      <c r="AG16" s="0" t="n">
        <f aca="false">U16</f>
        <v>8780</v>
      </c>
      <c r="AH16" s="2" t="n">
        <f aca="false">-0.0364+0.00000000386*Z16+0.844*AF16</f>
        <v>0.0122894886773079</v>
      </c>
      <c r="AJ16" s="3" t="n">
        <f aca="false">Z16*AH16</f>
        <v>3818.18436868676</v>
      </c>
    </row>
    <row r="17" customFormat="false" ht="12.75" hidden="false" customHeight="false" outlineLevel="0" collapsed="false">
      <c r="A17" s="0" t="n">
        <v>9340</v>
      </c>
      <c r="B17" s="0" t="n">
        <v>74074</v>
      </c>
      <c r="C17" s="0" t="n">
        <v>0</v>
      </c>
      <c r="D17" s="0" t="n">
        <v>663</v>
      </c>
      <c r="E17" s="0" t="n">
        <v>0</v>
      </c>
      <c r="F17" s="0" t="n">
        <v>0</v>
      </c>
      <c r="H17" s="0" t="n">
        <v>78</v>
      </c>
      <c r="I17" s="0" t="n">
        <v>0</v>
      </c>
      <c r="J17" s="0" t="n">
        <v>6357</v>
      </c>
      <c r="K17" s="0" t="n">
        <v>0</v>
      </c>
      <c r="L17" s="0" t="n">
        <v>0</v>
      </c>
      <c r="M17" s="0" t="n">
        <v>455</v>
      </c>
      <c r="O17" s="0" t="n">
        <v>78</v>
      </c>
      <c r="P17" s="0" t="n">
        <v>0</v>
      </c>
      <c r="Q17" s="0" t="n">
        <v>38493</v>
      </c>
      <c r="R17" s="0" t="n">
        <v>715</v>
      </c>
      <c r="S17" s="0" t="n">
        <v>120913</v>
      </c>
      <c r="U17" s="0" t="n">
        <f aca="false">A17</f>
        <v>9340</v>
      </c>
      <c r="V17" s="0" t="s">
        <v>38</v>
      </c>
      <c r="W17" s="0" t="n">
        <f aca="false">SUM(C17:R17)-MAX(C17:R17)</f>
        <v>8346</v>
      </c>
      <c r="X17" s="0" t="n">
        <f aca="false">MAX(C17:R17)</f>
        <v>38493</v>
      </c>
      <c r="Y17" s="0" t="n">
        <f aca="false">SUM(C17:R17)</f>
        <v>46839</v>
      </c>
      <c r="Z17" s="0" t="n">
        <f aca="false">S17</f>
        <v>120913</v>
      </c>
      <c r="AA17" s="1" t="n">
        <f aca="false">W17/Y17</f>
        <v>0.178184845961699</v>
      </c>
      <c r="AC17" s="0" t="n">
        <v>43238</v>
      </c>
      <c r="AD17" s="0" t="n">
        <v>38493</v>
      </c>
      <c r="AE17" s="0" t="n">
        <v>4745</v>
      </c>
      <c r="AF17" s="1" t="n">
        <v>0.109741431148527</v>
      </c>
      <c r="AG17" s="0" t="n">
        <f aca="false">U17</f>
        <v>9340</v>
      </c>
      <c r="AH17" s="2" t="n">
        <f aca="false">-0.0364+0.00000000386*Z17+0.844*AF17</f>
        <v>0.0566884920693566</v>
      </c>
      <c r="AJ17" s="3" t="n">
        <f aca="false">Z17*AH17</f>
        <v>6854.37564158211</v>
      </c>
    </row>
    <row r="18" customFormat="false" ht="12.75" hidden="false" customHeight="false" outlineLevel="0" collapsed="false">
      <c r="A18" s="0" t="n">
        <v>9999</v>
      </c>
      <c r="B18" s="0" t="n">
        <v>776880</v>
      </c>
      <c r="C18" s="0" t="n">
        <v>650</v>
      </c>
      <c r="D18" s="0" t="n">
        <v>1430</v>
      </c>
      <c r="E18" s="0" t="n">
        <v>10257</v>
      </c>
      <c r="F18" s="0" t="n">
        <v>2808</v>
      </c>
      <c r="G18" s="0" t="n">
        <v>1235</v>
      </c>
      <c r="H18" s="0" t="n">
        <v>2262</v>
      </c>
      <c r="I18" s="0" t="n">
        <v>3705</v>
      </c>
      <c r="J18" s="0" t="n">
        <v>7267</v>
      </c>
      <c r="K18" s="0" t="n">
        <v>1482</v>
      </c>
      <c r="L18" s="0" t="n">
        <v>637</v>
      </c>
      <c r="M18" s="0" t="n">
        <v>12662</v>
      </c>
      <c r="N18" s="0" t="n">
        <v>6175</v>
      </c>
      <c r="O18" s="0" t="n">
        <v>3224</v>
      </c>
      <c r="P18" s="0" t="n">
        <v>1599</v>
      </c>
      <c r="Q18" s="0" t="n">
        <v>767</v>
      </c>
      <c r="R18" s="0" t="n">
        <v>394589</v>
      </c>
      <c r="S18" s="0" t="n">
        <v>1261052</v>
      </c>
      <c r="U18" s="0" t="n">
        <f aca="false">A18</f>
        <v>9999</v>
      </c>
      <c r="V18" s="0" t="s">
        <v>52</v>
      </c>
      <c r="W18" s="0" t="n">
        <f aca="false">SUM(C18:R18)-MAX(C18:R18)</f>
        <v>56160</v>
      </c>
      <c r="X18" s="0" t="n">
        <f aca="false">MAX(C18:R18)</f>
        <v>394589</v>
      </c>
      <c r="Y18" s="0" t="n">
        <f aca="false">SUM(C18:R18)</f>
        <v>450749</v>
      </c>
      <c r="Z18" s="0" t="n">
        <f aca="false">S18</f>
        <v>1261052</v>
      </c>
      <c r="AA18" s="1" t="n">
        <f aca="false">W18/Y18</f>
        <v>0.124592622501658</v>
      </c>
      <c r="AC18" s="0" t="n">
        <v>447915</v>
      </c>
      <c r="AD18" s="0" t="n">
        <v>394589</v>
      </c>
      <c r="AE18" s="0" t="n">
        <v>53326</v>
      </c>
      <c r="AF18" s="1" t="n">
        <v>0.119053838339864</v>
      </c>
      <c r="AG18" s="0" t="n">
        <f aca="false">U18</f>
        <v>9999</v>
      </c>
      <c r="AH18" s="2" t="n">
        <f aca="false">-0.0364+0.00000000386*Z18+0.844*AF18</f>
        <v>0.0689491002788449</v>
      </c>
      <c r="AJ18" s="3" t="n">
        <f aca="false">Z18*AH18</f>
        <v>86948.4008048379</v>
      </c>
    </row>
    <row r="19" customFormat="false" ht="12.75" hidden="false" customHeight="false" outlineLevel="0" collapsed="false">
      <c r="A19" s="0" t="s">
        <v>4</v>
      </c>
      <c r="B19" s="0" t="n">
        <v>15631931</v>
      </c>
      <c r="C19" s="0" t="n">
        <v>224133</v>
      </c>
      <c r="D19" s="0" t="n">
        <v>66534</v>
      </c>
      <c r="E19" s="0" t="n">
        <v>269763</v>
      </c>
      <c r="F19" s="0" t="n">
        <v>6778733</v>
      </c>
      <c r="G19" s="0" t="n">
        <v>66638</v>
      </c>
      <c r="H19" s="0" t="n">
        <v>133757</v>
      </c>
      <c r="I19" s="0" t="n">
        <v>63999</v>
      </c>
      <c r="J19" s="0" t="n">
        <v>677339</v>
      </c>
      <c r="K19" s="0" t="n">
        <v>162877</v>
      </c>
      <c r="L19" s="0" t="n">
        <v>1206452</v>
      </c>
      <c r="M19" s="0" t="n">
        <v>3255174</v>
      </c>
      <c r="N19" s="0" t="n">
        <v>183118</v>
      </c>
      <c r="O19" s="0" t="n">
        <v>108069</v>
      </c>
      <c r="P19" s="0" t="n">
        <v>112515</v>
      </c>
      <c r="Q19" s="0" t="n">
        <v>43238</v>
      </c>
      <c r="R19" s="0" t="n">
        <v>447915</v>
      </c>
      <c r="S19" s="0" t="n">
        <v>29483067</v>
      </c>
      <c r="AA19" s="1"/>
      <c r="AF19" s="1"/>
      <c r="AH19" s="2"/>
    </row>
    <row r="20" customFormat="false" ht="12.75" hidden="false" customHeight="false" outlineLevel="0" collapsed="false">
      <c r="V20" s="0" t="s">
        <v>40</v>
      </c>
      <c r="W20" s="0" t="n">
        <f aca="false">SUM(W3:W18)</f>
        <v>380211</v>
      </c>
      <c r="X20" s="0" t="n">
        <f aca="false">SUM(X3:X18)</f>
        <v>13420043</v>
      </c>
      <c r="Y20" s="0" t="n">
        <f aca="false">SUM(Y3:Y18)</f>
        <v>13800254</v>
      </c>
      <c r="Z20" s="0" t="n">
        <f aca="false">SUM(Z3:Z18)</f>
        <v>29483067</v>
      </c>
      <c r="AA20" s="1"/>
      <c r="AC20" s="0" t="n">
        <f aca="false">SUM(AC3:AC18)</f>
        <v>13800254</v>
      </c>
      <c r="AD20" s="0" t="n">
        <f aca="false">SUM(AD3:AD18)</f>
        <v>13420043</v>
      </c>
      <c r="AE20" s="0" t="n">
        <f aca="false">SUM(AE3:AE18)</f>
        <v>380211</v>
      </c>
      <c r="AF20" s="1"/>
      <c r="AH20" s="2"/>
      <c r="AI20" s="0" t="s">
        <v>40</v>
      </c>
      <c r="AJ20" s="0" t="n">
        <f aca="false">SUM(AJ3:AJ18)</f>
        <v>666581.969871146</v>
      </c>
    </row>
    <row r="21" customFormat="false" ht="12.75" hidden="false" customHeight="false" outlineLevel="0" collapsed="false">
      <c r="B21" s="0" t="s">
        <v>45</v>
      </c>
      <c r="C21" s="0" t="n">
        <f aca="false">SUM(C3:C18)</f>
        <v>224133</v>
      </c>
      <c r="D21" s="0" t="n">
        <f aca="false">SUM(D3:D18)</f>
        <v>66534</v>
      </c>
      <c r="E21" s="0" t="n">
        <f aca="false">SUM(E3:E18)</f>
        <v>269763</v>
      </c>
      <c r="F21" s="0" t="n">
        <f aca="false">SUM(F3:F18)</f>
        <v>6778733</v>
      </c>
      <c r="G21" s="0" t="n">
        <f aca="false">SUM(G3:G18)</f>
        <v>66638</v>
      </c>
      <c r="H21" s="0" t="n">
        <f aca="false">SUM(H3:H18)</f>
        <v>133757</v>
      </c>
      <c r="I21" s="0" t="n">
        <f aca="false">SUM(I3:I18)</f>
        <v>63999</v>
      </c>
      <c r="J21" s="0" t="n">
        <f aca="false">SUM(J3:J18)</f>
        <v>677339</v>
      </c>
      <c r="K21" s="0" t="n">
        <f aca="false">SUM(K3:K18)</f>
        <v>162877</v>
      </c>
      <c r="L21" s="0" t="n">
        <f aca="false">SUM(L3:L18)</f>
        <v>1206452</v>
      </c>
      <c r="M21" s="0" t="n">
        <f aca="false">SUM(M3:M18)</f>
        <v>3255174</v>
      </c>
      <c r="N21" s="0" t="n">
        <f aca="false">SUM(N3:N18)</f>
        <v>183118</v>
      </c>
      <c r="O21" s="0" t="n">
        <f aca="false">SUM(O3:O18)</f>
        <v>108069</v>
      </c>
      <c r="P21" s="0" t="n">
        <f aca="false">SUM(P3:P18)</f>
        <v>112515</v>
      </c>
      <c r="Q21" s="0" t="n">
        <f aca="false">SUM(Q3:Q18)</f>
        <v>43238</v>
      </c>
      <c r="R21" s="0" t="n">
        <f aca="false">SUM(R3:R18)</f>
        <v>447915</v>
      </c>
      <c r="AA21" s="1"/>
      <c r="AF21" s="1"/>
      <c r="AH21" s="2"/>
      <c r="AI21" s="0" t="s">
        <v>41</v>
      </c>
      <c r="AJ21" s="2" t="n">
        <f aca="false">AJ20/Z20</f>
        <v>0.0226089765312118</v>
      </c>
    </row>
    <row r="22" customFormat="false" ht="12.75" hidden="false" customHeight="false" outlineLevel="0" collapsed="false">
      <c r="B22" s="0" t="s">
        <v>46</v>
      </c>
      <c r="C22" s="0" t="n">
        <f aca="false">MAX(C3:C18)</f>
        <v>207935</v>
      </c>
      <c r="D22" s="0" t="n">
        <f aca="false">MAX(D3:D18)</f>
        <v>62647</v>
      </c>
      <c r="E22" s="0" t="n">
        <f aca="false">MAX(E3:E18)</f>
        <v>250822</v>
      </c>
      <c r="F22" s="0" t="n">
        <f aca="false">MAX(F3:F18)</f>
        <v>6721481</v>
      </c>
      <c r="G22" s="0" t="n">
        <f aca="false">MAX(G3:G18)</f>
        <v>59956</v>
      </c>
      <c r="H22" s="0" t="n">
        <f aca="false">MAX(H3:H18)</f>
        <v>119210</v>
      </c>
      <c r="I22" s="0" t="n">
        <f aca="false">MAX(I3:I18)</f>
        <v>55562</v>
      </c>
      <c r="J22" s="0" t="n">
        <f aca="false">MAX(J3:J18)</f>
        <v>644345</v>
      </c>
      <c r="K22" s="0" t="n">
        <f aca="false">MAX(K3:K18)</f>
        <v>152750</v>
      </c>
      <c r="L22" s="0" t="n">
        <f aca="false">MAX(L3:L18)</f>
        <v>1184040</v>
      </c>
      <c r="M22" s="0" t="n">
        <f aca="false">MAX(M3:M18)</f>
        <v>3167008</v>
      </c>
      <c r="N22" s="0" t="n">
        <f aca="false">MAX(N3:N18)</f>
        <v>169559</v>
      </c>
      <c r="O22" s="0" t="n">
        <f aca="false">MAX(O3:O18)</f>
        <v>85462</v>
      </c>
      <c r="P22" s="0" t="n">
        <f aca="false">MAX(P3:P18)</f>
        <v>106184</v>
      </c>
      <c r="Q22" s="0" t="n">
        <f aca="false">MAX(Q3:Q18)</f>
        <v>38493</v>
      </c>
      <c r="R22" s="0" t="n">
        <f aca="false">MAX(R3:R18)</f>
        <v>394589</v>
      </c>
      <c r="AA22" s="1"/>
      <c r="AF22" s="1"/>
      <c r="AH22" s="2"/>
    </row>
    <row r="23" customFormat="false" ht="12.75" hidden="false" customHeight="false" outlineLevel="0" collapsed="false">
      <c r="B23" s="0" t="s">
        <v>47</v>
      </c>
      <c r="C23" s="0" t="n">
        <f aca="false">C21-C22</f>
        <v>16198</v>
      </c>
      <c r="D23" s="0" t="n">
        <f aca="false">D21-D22</f>
        <v>3887</v>
      </c>
      <c r="E23" s="0" t="n">
        <f aca="false">E21-E22</f>
        <v>18941</v>
      </c>
      <c r="F23" s="0" t="n">
        <f aca="false">F21-F22</f>
        <v>57252</v>
      </c>
      <c r="G23" s="0" t="n">
        <f aca="false">G21-G22</f>
        <v>6682</v>
      </c>
      <c r="H23" s="0" t="n">
        <f aca="false">H21-H22</f>
        <v>14547</v>
      </c>
      <c r="I23" s="0" t="n">
        <f aca="false">I21-I22</f>
        <v>8437</v>
      </c>
      <c r="J23" s="0" t="n">
        <f aca="false">J21-J22</f>
        <v>32994</v>
      </c>
      <c r="K23" s="0" t="n">
        <f aca="false">K21-K22</f>
        <v>10127</v>
      </c>
      <c r="L23" s="0" t="n">
        <f aca="false">L21-L22</f>
        <v>22412</v>
      </c>
      <c r="M23" s="0" t="n">
        <f aca="false">M21-M22</f>
        <v>88166</v>
      </c>
      <c r="N23" s="0" t="n">
        <f aca="false">N21-N22</f>
        <v>13559</v>
      </c>
      <c r="O23" s="0" t="n">
        <f aca="false">O21-O22</f>
        <v>22607</v>
      </c>
      <c r="P23" s="0" t="n">
        <f aca="false">P21-P22</f>
        <v>6331</v>
      </c>
      <c r="Q23" s="0" t="n">
        <f aca="false">Q21-Q22</f>
        <v>4745</v>
      </c>
      <c r="R23" s="0" t="n">
        <f aca="false">R21-R22</f>
        <v>53326</v>
      </c>
      <c r="AA23" s="1"/>
      <c r="AF23" s="1"/>
      <c r="AH23" s="2"/>
    </row>
    <row r="24" customFormat="false" ht="12.75" hidden="false" customHeight="false" outlineLevel="0" collapsed="false">
      <c r="B24" s="0" t="s">
        <v>48</v>
      </c>
      <c r="C24" s="0" t="n">
        <f aca="false">C23/C21</f>
        <v>0.0722695899309785</v>
      </c>
      <c r="D24" s="0" t="n">
        <f aca="false">D23/D21</f>
        <v>0.058421258304025</v>
      </c>
      <c r="E24" s="0" t="n">
        <f aca="false">E23/E21</f>
        <v>0.0702134836875331</v>
      </c>
      <c r="F24" s="0" t="n">
        <f aca="false">F23/F21</f>
        <v>0.00844582608578919</v>
      </c>
      <c r="G24" s="0" t="n">
        <f aca="false">G23/G21</f>
        <v>0.100273117440499</v>
      </c>
      <c r="H24" s="0" t="n">
        <f aca="false">H23/H21</f>
        <v>0.108756924871222</v>
      </c>
      <c r="I24" s="0" t="n">
        <f aca="false">I23/I21</f>
        <v>0.131830184846638</v>
      </c>
      <c r="J24" s="0" t="n">
        <f aca="false">J23/J21</f>
        <v>0.0487112066483696</v>
      </c>
      <c r="K24" s="0" t="n">
        <f aca="false">K23/K21</f>
        <v>0.0621757522547689</v>
      </c>
      <c r="L24" s="0" t="n">
        <f aca="false">L23/L21</f>
        <v>0.0185767854833843</v>
      </c>
      <c r="M24" s="0" t="n">
        <f aca="false">M23/M21</f>
        <v>0.0270848808696555</v>
      </c>
      <c r="N24" s="0" t="n">
        <f aca="false">N23/N21</f>
        <v>0.0740451512139713</v>
      </c>
      <c r="O24" s="0" t="n">
        <f aca="false">O23/O21</f>
        <v>0.209190424636112</v>
      </c>
      <c r="P24" s="0" t="n">
        <f aca="false">P23/P21</f>
        <v>0.0562680531484691</v>
      </c>
      <c r="Q24" s="0" t="n">
        <f aca="false">Q23/Q21</f>
        <v>0.109741431148527</v>
      </c>
      <c r="R24" s="0" t="n">
        <f aca="false">R23/R21</f>
        <v>0.119053838339864</v>
      </c>
      <c r="AA24" s="1"/>
      <c r="AF24" s="1"/>
      <c r="AH24" s="2"/>
    </row>
    <row r="25" customFormat="false" ht="12.75" hidden="false" customHeight="false" outlineLevel="0" collapsed="false">
      <c r="AA25" s="1"/>
      <c r="AF25" s="1"/>
      <c r="AH25" s="2"/>
    </row>
    <row r="26" customFormat="false" ht="12.75" hidden="false" customHeight="false" outlineLevel="0" collapsed="false">
      <c r="AA26" s="1"/>
      <c r="AF26" s="1"/>
      <c r="AH2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W1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22" min="2" style="0" width="8.99"/>
    <col collapsed="false" customWidth="true" hidden="false" outlineLevel="0" max="23" min="23" style="0" width="10.56"/>
  </cols>
  <sheetData>
    <row r="1" customFormat="false" ht="12.75" hidden="false" customHeight="false" outlineLevel="0" collapsed="false">
      <c r="A1" s="4" t="s">
        <v>0</v>
      </c>
      <c r="B1" s="5" t="s">
        <v>42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customFormat="false" ht="12.75" hidden="false" customHeight="false" outlineLevel="0" collapsed="false">
      <c r="A2" s="5" t="s">
        <v>44</v>
      </c>
      <c r="B2" s="4" t="n">
        <v>0</v>
      </c>
      <c r="C2" s="6" t="n">
        <v>1</v>
      </c>
      <c r="D2" s="6" t="n">
        <v>680</v>
      </c>
      <c r="E2" s="6" t="n">
        <v>858</v>
      </c>
      <c r="F2" s="6" t="n">
        <v>983</v>
      </c>
      <c r="G2" s="6" t="n">
        <v>999</v>
      </c>
      <c r="H2" s="6" t="n">
        <v>1620</v>
      </c>
      <c r="I2" s="6" t="n">
        <v>2840</v>
      </c>
      <c r="J2" s="6" t="n">
        <v>4472</v>
      </c>
      <c r="K2" s="6" t="n">
        <v>4940</v>
      </c>
      <c r="L2" s="6" t="n">
        <v>5170</v>
      </c>
      <c r="M2" s="6" t="n">
        <v>6690</v>
      </c>
      <c r="N2" s="6" t="n">
        <v>6920</v>
      </c>
      <c r="O2" s="6" t="n">
        <v>7120</v>
      </c>
      <c r="P2" s="6" t="n">
        <v>7320</v>
      </c>
      <c r="Q2" s="6" t="n">
        <v>7362</v>
      </c>
      <c r="R2" s="6" t="n">
        <v>7480</v>
      </c>
      <c r="S2" s="6" t="n">
        <v>8120</v>
      </c>
      <c r="T2" s="6" t="n">
        <v>8780</v>
      </c>
      <c r="U2" s="6" t="n">
        <v>9340</v>
      </c>
      <c r="V2" s="6" t="n">
        <v>9999</v>
      </c>
      <c r="W2" s="8" t="s">
        <v>4</v>
      </c>
    </row>
    <row r="3" customFormat="false" ht="12.75" hidden="false" customHeight="false" outlineLevel="0" collapsed="false">
      <c r="A3" s="4" t="n">
        <v>680</v>
      </c>
      <c r="B3" s="9" t="n">
        <v>320827</v>
      </c>
      <c r="C3" s="10" t="n">
        <v>104</v>
      </c>
      <c r="D3" s="10" t="n">
        <v>207935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156</v>
      </c>
      <c r="J3" s="10" t="n">
        <v>9750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208</v>
      </c>
      <c r="P3" s="10" t="n">
        <v>0</v>
      </c>
      <c r="Q3" s="10" t="n">
        <v>273</v>
      </c>
      <c r="R3" s="10" t="n">
        <v>351</v>
      </c>
      <c r="S3" s="10" t="n">
        <v>91</v>
      </c>
      <c r="T3" s="10" t="n">
        <v>1469</v>
      </c>
      <c r="U3" s="10" t="n">
        <v>0</v>
      </c>
      <c r="V3" s="10" t="n">
        <v>1222</v>
      </c>
      <c r="W3" s="11" t="n">
        <v>542386</v>
      </c>
    </row>
    <row r="4" customFormat="false" ht="12.75" hidden="false" customHeight="false" outlineLevel="0" collapsed="false">
      <c r="A4" s="12" t="n">
        <v>1620</v>
      </c>
      <c r="B4" s="13" t="n">
        <v>111722</v>
      </c>
      <c r="C4" s="14" t="n">
        <v>299</v>
      </c>
      <c r="D4" s="14" t="n">
        <v>0</v>
      </c>
      <c r="E4" s="14"/>
      <c r="F4" s="14"/>
      <c r="G4" s="14" t="n">
        <v>78</v>
      </c>
      <c r="H4" s="14" t="n">
        <v>62647</v>
      </c>
      <c r="I4" s="14" t="n">
        <v>78</v>
      </c>
      <c r="J4" s="14" t="n">
        <v>0</v>
      </c>
      <c r="K4" s="14"/>
      <c r="L4" s="14"/>
      <c r="M4" s="14" t="n">
        <v>65</v>
      </c>
      <c r="N4" s="14" t="n">
        <v>247</v>
      </c>
      <c r="O4" s="14" t="n">
        <v>117</v>
      </c>
      <c r="P4" s="14" t="n">
        <v>117</v>
      </c>
      <c r="Q4" s="14" t="n">
        <v>390</v>
      </c>
      <c r="R4" s="14"/>
      <c r="S4" s="14"/>
      <c r="T4" s="14" t="n">
        <v>0</v>
      </c>
      <c r="U4" s="14" t="n">
        <v>1651</v>
      </c>
      <c r="V4" s="14" t="n">
        <v>1911</v>
      </c>
      <c r="W4" s="15" t="n">
        <v>179322</v>
      </c>
    </row>
    <row r="5" customFormat="false" ht="12.75" hidden="false" customHeight="false" outlineLevel="0" collapsed="false">
      <c r="A5" s="12" t="n">
        <v>2840</v>
      </c>
      <c r="B5" s="13" t="n">
        <v>405808</v>
      </c>
      <c r="C5" s="14" t="n">
        <v>0</v>
      </c>
      <c r="D5" s="14" t="n">
        <v>104</v>
      </c>
      <c r="E5" s="14" t="n">
        <v>0</v>
      </c>
      <c r="F5" s="14" t="n">
        <v>0</v>
      </c>
      <c r="G5" s="14" t="n">
        <v>0</v>
      </c>
      <c r="H5" s="14" t="n">
        <v>182</v>
      </c>
      <c r="I5" s="14" t="n">
        <v>250822</v>
      </c>
      <c r="J5" s="14" t="n">
        <v>1365</v>
      </c>
      <c r="K5" s="14" t="n">
        <v>1313</v>
      </c>
      <c r="L5" s="14" t="n">
        <v>195</v>
      </c>
      <c r="M5" s="14" t="n">
        <v>0</v>
      </c>
      <c r="N5" s="14" t="n">
        <v>338</v>
      </c>
      <c r="O5" s="14" t="n">
        <v>520</v>
      </c>
      <c r="P5" s="14" t="n">
        <v>104</v>
      </c>
      <c r="Q5" s="14" t="n">
        <v>1287</v>
      </c>
      <c r="R5" s="14" t="n">
        <v>91</v>
      </c>
      <c r="S5" s="14" t="n">
        <v>143</v>
      </c>
      <c r="T5" s="14" t="n">
        <v>3107</v>
      </c>
      <c r="U5" s="14" t="n">
        <v>91</v>
      </c>
      <c r="V5" s="14" t="n">
        <v>8398</v>
      </c>
      <c r="W5" s="15" t="n">
        <v>673868</v>
      </c>
    </row>
    <row r="6" customFormat="false" ht="12.75" hidden="false" customHeight="false" outlineLevel="0" collapsed="false">
      <c r="A6" s="12" t="n">
        <v>4472</v>
      </c>
      <c r="B6" s="13" t="n">
        <v>7695158</v>
      </c>
      <c r="C6" s="14" t="n">
        <v>2782</v>
      </c>
      <c r="D6" s="14" t="n">
        <v>11843</v>
      </c>
      <c r="E6" s="14" t="n">
        <v>0</v>
      </c>
      <c r="F6" s="14" t="n">
        <v>0</v>
      </c>
      <c r="G6" s="14" t="n">
        <v>3172</v>
      </c>
      <c r="H6" s="14" t="n">
        <v>572</v>
      </c>
      <c r="I6" s="14" t="n">
        <v>949</v>
      </c>
      <c r="J6" s="14" t="n">
        <v>6721481</v>
      </c>
      <c r="K6" s="14" t="n">
        <v>117</v>
      </c>
      <c r="L6" s="14" t="n">
        <v>221</v>
      </c>
      <c r="M6" s="14" t="n">
        <v>2301</v>
      </c>
      <c r="N6" s="14" t="n">
        <v>3250</v>
      </c>
      <c r="O6" s="14" t="n">
        <v>1495</v>
      </c>
      <c r="P6" s="14" t="n">
        <v>18967</v>
      </c>
      <c r="Q6" s="14" t="n">
        <v>14248</v>
      </c>
      <c r="R6" s="14" t="n">
        <v>6448</v>
      </c>
      <c r="S6" s="14" t="n">
        <v>455</v>
      </c>
      <c r="T6" s="14" t="n">
        <v>0</v>
      </c>
      <c r="U6" s="14" t="n">
        <v>364</v>
      </c>
      <c r="V6" s="14" t="n">
        <v>10413</v>
      </c>
      <c r="W6" s="15" t="n">
        <v>14494236</v>
      </c>
    </row>
    <row r="7" customFormat="false" ht="12.75" hidden="false" customHeight="false" outlineLevel="0" collapsed="false">
      <c r="A7" s="12" t="n">
        <v>4940</v>
      </c>
      <c r="B7" s="13" t="n">
        <v>108225</v>
      </c>
      <c r="C7" s="14" t="n">
        <v>0</v>
      </c>
      <c r="D7" s="14" t="n">
        <v>0</v>
      </c>
      <c r="E7" s="14" t="n">
        <v>0</v>
      </c>
      <c r="F7" s="14"/>
      <c r="G7" s="14" t="n">
        <v>0</v>
      </c>
      <c r="H7" s="14" t="n">
        <v>0</v>
      </c>
      <c r="I7" s="14" t="n">
        <v>572</v>
      </c>
      <c r="J7" s="14" t="n">
        <v>0</v>
      </c>
      <c r="K7" s="14" t="n">
        <v>59956</v>
      </c>
      <c r="L7" s="14" t="n">
        <v>5148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1183</v>
      </c>
      <c r="R7" s="14" t="n">
        <v>0</v>
      </c>
      <c r="S7" s="14" t="n">
        <v>117</v>
      </c>
      <c r="T7" s="14" t="n">
        <v>0</v>
      </c>
      <c r="U7" s="14" t="n">
        <v>0</v>
      </c>
      <c r="V7" s="14" t="n">
        <v>1456</v>
      </c>
      <c r="W7" s="15" t="n">
        <v>176657</v>
      </c>
    </row>
    <row r="8" customFormat="false" ht="12.75" hidden="false" customHeight="false" outlineLevel="0" collapsed="false">
      <c r="A8" s="12" t="n">
        <v>5170</v>
      </c>
      <c r="B8" s="13" t="n">
        <v>219609</v>
      </c>
      <c r="C8" s="14" t="n">
        <v>208</v>
      </c>
      <c r="D8" s="14" t="n">
        <v>0</v>
      </c>
      <c r="E8" s="14" t="n">
        <v>0</v>
      </c>
      <c r="F8" s="14"/>
      <c r="G8" s="14" t="n">
        <v>0</v>
      </c>
      <c r="H8" s="14" t="n">
        <v>0</v>
      </c>
      <c r="I8" s="14" t="n">
        <v>182</v>
      </c>
      <c r="J8" s="14" t="n">
        <v>247</v>
      </c>
      <c r="K8" s="14" t="n">
        <v>3653</v>
      </c>
      <c r="L8" s="14" t="n">
        <v>119210</v>
      </c>
      <c r="M8" s="14" t="n">
        <v>0</v>
      </c>
      <c r="N8" s="14" t="n">
        <v>390</v>
      </c>
      <c r="O8" s="14" t="n">
        <v>0</v>
      </c>
      <c r="P8" s="14" t="n">
        <v>0</v>
      </c>
      <c r="Q8" s="14" t="n">
        <v>10452</v>
      </c>
      <c r="R8" s="14" t="n">
        <v>0</v>
      </c>
      <c r="S8" s="14" t="n">
        <v>8528</v>
      </c>
      <c r="T8" s="14" t="n">
        <v>0</v>
      </c>
      <c r="U8" s="14" t="n">
        <v>0</v>
      </c>
      <c r="V8" s="14" t="n">
        <v>611</v>
      </c>
      <c r="W8" s="15" t="n">
        <v>363090</v>
      </c>
    </row>
    <row r="9" customFormat="false" ht="12.75" hidden="false" customHeight="false" outlineLevel="0" collapsed="false">
      <c r="A9" s="12" t="n">
        <v>6690</v>
      </c>
      <c r="B9" s="13" t="n">
        <v>93327</v>
      </c>
      <c r="C9" s="14" t="n">
        <v>650</v>
      </c>
      <c r="D9" s="14" t="n">
        <v>117</v>
      </c>
      <c r="E9" s="14"/>
      <c r="F9" s="14"/>
      <c r="G9" s="14"/>
      <c r="H9" s="14" t="n">
        <v>91</v>
      </c>
      <c r="I9" s="14" t="n">
        <v>0</v>
      </c>
      <c r="J9" s="14" t="n">
        <v>78</v>
      </c>
      <c r="K9" s="14"/>
      <c r="L9" s="14"/>
      <c r="M9" s="14" t="n">
        <v>55562</v>
      </c>
      <c r="N9" s="14" t="n">
        <v>260</v>
      </c>
      <c r="O9" s="14"/>
      <c r="P9" s="14" t="n">
        <v>52</v>
      </c>
      <c r="Q9" s="14" t="n">
        <v>949</v>
      </c>
      <c r="R9" s="14"/>
      <c r="S9" s="14"/>
      <c r="T9" s="14" t="n">
        <v>0</v>
      </c>
      <c r="U9" s="14"/>
      <c r="V9" s="14" t="n">
        <v>1404</v>
      </c>
      <c r="W9" s="15" t="n">
        <v>152490</v>
      </c>
    </row>
    <row r="10" customFormat="false" ht="12.75" hidden="false" customHeight="false" outlineLevel="0" collapsed="false">
      <c r="A10" s="12" t="n">
        <v>6920</v>
      </c>
      <c r="B10" s="13" t="n">
        <v>792038</v>
      </c>
      <c r="C10" s="14" t="n">
        <v>455</v>
      </c>
      <c r="D10" s="14" t="n">
        <v>0</v>
      </c>
      <c r="E10" s="14" t="n">
        <v>0</v>
      </c>
      <c r="F10" s="14"/>
      <c r="G10" s="14" t="n">
        <v>247</v>
      </c>
      <c r="H10" s="14" t="n">
        <v>533</v>
      </c>
      <c r="I10" s="14" t="n">
        <v>234</v>
      </c>
      <c r="J10" s="14" t="n">
        <v>1781</v>
      </c>
      <c r="K10" s="14" t="n">
        <v>0</v>
      </c>
      <c r="L10" s="14" t="n">
        <v>494</v>
      </c>
      <c r="M10" s="14" t="n">
        <v>1066</v>
      </c>
      <c r="N10" s="14" t="n">
        <v>644345</v>
      </c>
      <c r="O10" s="14" t="n">
        <v>221</v>
      </c>
      <c r="P10" s="14" t="n">
        <v>949</v>
      </c>
      <c r="Q10" s="14" t="n">
        <v>14781</v>
      </c>
      <c r="R10" s="14" t="n">
        <v>0</v>
      </c>
      <c r="S10" s="14" t="n">
        <v>7085</v>
      </c>
      <c r="T10" s="14" t="n">
        <v>0</v>
      </c>
      <c r="U10" s="14" t="n">
        <v>1183</v>
      </c>
      <c r="V10" s="14" t="n">
        <v>12818</v>
      </c>
      <c r="W10" s="15" t="n">
        <v>1478230</v>
      </c>
    </row>
    <row r="11" customFormat="false" ht="12.75" hidden="false" customHeight="false" outlineLevel="0" collapsed="false">
      <c r="A11" s="12" t="n">
        <v>7120</v>
      </c>
      <c r="B11" s="13" t="n">
        <v>195273</v>
      </c>
      <c r="C11" s="14" t="n">
        <v>91</v>
      </c>
      <c r="D11" s="14" t="n">
        <v>0</v>
      </c>
      <c r="E11" s="14" t="n">
        <v>0</v>
      </c>
      <c r="F11" s="14" t="n">
        <v>0</v>
      </c>
      <c r="G11" s="14" t="n">
        <v>195</v>
      </c>
      <c r="H11" s="14" t="n">
        <v>0</v>
      </c>
      <c r="I11" s="14" t="n">
        <v>91</v>
      </c>
      <c r="J11" s="14" t="n">
        <v>546</v>
      </c>
      <c r="K11" s="14" t="n">
        <v>0</v>
      </c>
      <c r="L11" s="14" t="n">
        <v>0</v>
      </c>
      <c r="M11" s="14" t="n">
        <v>130</v>
      </c>
      <c r="N11" s="14" t="n">
        <v>0</v>
      </c>
      <c r="O11" s="14" t="n">
        <v>152750</v>
      </c>
      <c r="P11" s="14" t="n">
        <v>0</v>
      </c>
      <c r="Q11" s="14" t="n">
        <v>9503</v>
      </c>
      <c r="R11" s="14" t="n">
        <v>65</v>
      </c>
      <c r="S11" s="14" t="n">
        <v>0</v>
      </c>
      <c r="T11" s="14" t="n">
        <v>0</v>
      </c>
      <c r="U11" s="14" t="n">
        <v>130</v>
      </c>
      <c r="V11" s="14" t="n">
        <v>1053</v>
      </c>
      <c r="W11" s="15" t="n">
        <v>359827</v>
      </c>
    </row>
    <row r="12" customFormat="false" ht="12.75" hidden="false" customHeight="false" outlineLevel="0" collapsed="false">
      <c r="A12" s="12" t="n">
        <v>7320</v>
      </c>
      <c r="B12" s="13" t="n">
        <v>1264757</v>
      </c>
      <c r="C12" s="14" t="n">
        <v>572</v>
      </c>
      <c r="D12" s="14" t="n">
        <v>390</v>
      </c>
      <c r="E12" s="14" t="n">
        <v>0</v>
      </c>
      <c r="F12" s="14" t="n">
        <v>117</v>
      </c>
      <c r="G12" s="14" t="n">
        <v>4251</v>
      </c>
      <c r="H12" s="14" t="n">
        <v>130</v>
      </c>
      <c r="I12" s="14" t="n">
        <v>143</v>
      </c>
      <c r="J12" s="14" t="n">
        <v>28171</v>
      </c>
      <c r="K12" s="14" t="n">
        <v>208</v>
      </c>
      <c r="L12" s="14" t="n">
        <v>234</v>
      </c>
      <c r="M12" s="14" t="n">
        <v>130</v>
      </c>
      <c r="N12" s="14" t="n">
        <v>650</v>
      </c>
      <c r="O12" s="14" t="n">
        <v>351</v>
      </c>
      <c r="P12" s="14" t="n">
        <v>1184040</v>
      </c>
      <c r="Q12" s="14" t="n">
        <v>4576</v>
      </c>
      <c r="R12" s="14" t="n">
        <v>91</v>
      </c>
      <c r="S12" s="14" t="n">
        <v>169</v>
      </c>
      <c r="T12" s="14" t="n">
        <v>39</v>
      </c>
      <c r="U12" s="14" t="n">
        <v>260</v>
      </c>
      <c r="V12" s="14" t="n">
        <v>1378</v>
      </c>
      <c r="W12" s="15" t="n">
        <v>2490657</v>
      </c>
    </row>
    <row r="13" customFormat="false" ht="12.75" hidden="false" customHeight="false" outlineLevel="0" collapsed="false">
      <c r="A13" s="12" t="n">
        <v>7362</v>
      </c>
      <c r="B13" s="13" t="n">
        <v>3040375</v>
      </c>
      <c r="C13" s="14" t="n">
        <v>1196</v>
      </c>
      <c r="D13" s="14" t="n">
        <v>468</v>
      </c>
      <c r="E13" s="14" t="n">
        <v>78</v>
      </c>
      <c r="F13" s="14" t="n">
        <v>0</v>
      </c>
      <c r="G13" s="14" t="n">
        <v>2756</v>
      </c>
      <c r="H13" s="14" t="n">
        <v>286</v>
      </c>
      <c r="I13" s="14" t="n">
        <v>416</v>
      </c>
      <c r="J13" s="14" t="n">
        <v>7202</v>
      </c>
      <c r="K13" s="14" t="n">
        <v>52</v>
      </c>
      <c r="L13" s="14" t="n">
        <v>988</v>
      </c>
      <c r="M13" s="14" t="n">
        <v>975</v>
      </c>
      <c r="N13" s="14" t="n">
        <v>11934</v>
      </c>
      <c r="O13" s="14" t="n">
        <v>5460</v>
      </c>
      <c r="P13" s="14" t="n">
        <v>1521</v>
      </c>
      <c r="Q13" s="14" t="n">
        <v>3167008</v>
      </c>
      <c r="R13" s="14" t="n">
        <v>273</v>
      </c>
      <c r="S13" s="14" t="n">
        <v>2600</v>
      </c>
      <c r="T13" s="14" t="n">
        <v>117</v>
      </c>
      <c r="U13" s="14" t="n">
        <v>299</v>
      </c>
      <c r="V13" s="14" t="n">
        <v>4368</v>
      </c>
      <c r="W13" s="15" t="n">
        <v>6248372</v>
      </c>
    </row>
    <row r="14" customFormat="false" ht="12.75" hidden="false" customHeight="false" outlineLevel="0" collapsed="false">
      <c r="A14" s="12" t="n">
        <v>7480</v>
      </c>
      <c r="B14" s="13" t="n">
        <v>187317</v>
      </c>
      <c r="C14" s="14" t="n">
        <v>0</v>
      </c>
      <c r="D14" s="14" t="n">
        <v>0</v>
      </c>
      <c r="E14" s="14" t="n">
        <v>0</v>
      </c>
      <c r="F14" s="14"/>
      <c r="G14" s="14" t="n">
        <v>0</v>
      </c>
      <c r="H14" s="14" t="n">
        <v>0</v>
      </c>
      <c r="I14" s="14" t="n">
        <v>143</v>
      </c>
      <c r="J14" s="14" t="n">
        <v>4342</v>
      </c>
      <c r="K14" s="14" t="n">
        <v>13</v>
      </c>
      <c r="L14" s="14" t="n">
        <v>0</v>
      </c>
      <c r="M14" s="14" t="n">
        <v>65</v>
      </c>
      <c r="N14" s="14" t="n">
        <v>0</v>
      </c>
      <c r="O14" s="14" t="n">
        <v>208</v>
      </c>
      <c r="P14" s="14" t="n">
        <v>65</v>
      </c>
      <c r="Q14" s="14" t="n">
        <v>637</v>
      </c>
      <c r="R14" s="14" t="n">
        <v>169559</v>
      </c>
      <c r="S14" s="14" t="n">
        <v>0</v>
      </c>
      <c r="T14" s="14" t="n">
        <v>0</v>
      </c>
      <c r="U14" s="14" t="n">
        <v>0</v>
      </c>
      <c r="V14" s="14" t="n">
        <v>5109</v>
      </c>
      <c r="W14" s="15" t="n">
        <v>367458</v>
      </c>
    </row>
    <row r="15" customFormat="false" ht="12.75" hidden="false" customHeight="false" outlineLevel="0" collapsed="false">
      <c r="A15" s="12" t="n">
        <v>8120</v>
      </c>
      <c r="B15" s="13" t="n">
        <v>154115</v>
      </c>
      <c r="C15" s="14" t="n">
        <v>0</v>
      </c>
      <c r="D15" s="14" t="n">
        <v>0</v>
      </c>
      <c r="E15" s="14" t="n">
        <v>0</v>
      </c>
      <c r="F15" s="14"/>
      <c r="G15" s="14" t="n">
        <v>117</v>
      </c>
      <c r="H15" s="14" t="n">
        <v>0</v>
      </c>
      <c r="I15" s="14" t="n">
        <v>91</v>
      </c>
      <c r="J15" s="14" t="n">
        <v>65</v>
      </c>
      <c r="K15" s="14" t="n">
        <v>91</v>
      </c>
      <c r="L15" s="14" t="n">
        <v>4927</v>
      </c>
      <c r="M15" s="14" t="n">
        <v>0</v>
      </c>
      <c r="N15" s="14" t="n">
        <v>2301</v>
      </c>
      <c r="O15" s="14" t="n">
        <v>0</v>
      </c>
      <c r="P15" s="14" t="n">
        <v>0</v>
      </c>
      <c r="Q15" s="14" t="n">
        <v>16497</v>
      </c>
      <c r="R15" s="14" t="n">
        <v>65</v>
      </c>
      <c r="S15" s="14" t="n">
        <v>85462</v>
      </c>
      <c r="T15" s="14" t="n">
        <v>0</v>
      </c>
      <c r="U15" s="14" t="n">
        <v>0</v>
      </c>
      <c r="V15" s="14" t="n">
        <v>91</v>
      </c>
      <c r="W15" s="15" t="n">
        <v>263822</v>
      </c>
    </row>
    <row r="16" customFormat="false" ht="12.75" hidden="false" customHeight="false" outlineLevel="0" collapsed="false">
      <c r="A16" s="12" t="n">
        <v>8780</v>
      </c>
      <c r="B16" s="13" t="n">
        <v>192426</v>
      </c>
      <c r="C16" s="14" t="n">
        <v>0</v>
      </c>
      <c r="D16" s="14" t="n">
        <v>2626</v>
      </c>
      <c r="E16" s="14" t="n">
        <v>0</v>
      </c>
      <c r="F16" s="14" t="n">
        <v>0</v>
      </c>
      <c r="G16" s="14" t="n">
        <v>91</v>
      </c>
      <c r="H16" s="14" t="n">
        <v>0</v>
      </c>
      <c r="I16" s="14" t="n">
        <v>5629</v>
      </c>
      <c r="J16" s="14" t="n">
        <v>897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65</v>
      </c>
      <c r="P16" s="14" t="n">
        <v>0</v>
      </c>
      <c r="Q16" s="14" t="n">
        <v>273</v>
      </c>
      <c r="R16" s="14" t="n">
        <v>0</v>
      </c>
      <c r="S16" s="14" t="n">
        <v>117</v>
      </c>
      <c r="T16" s="14" t="n">
        <v>106184</v>
      </c>
      <c r="U16" s="14" t="n">
        <v>0</v>
      </c>
      <c r="V16" s="14" t="n">
        <v>2379</v>
      </c>
      <c r="W16" s="15" t="n">
        <v>310687</v>
      </c>
    </row>
    <row r="17" customFormat="false" ht="12.75" hidden="false" customHeight="false" outlineLevel="0" collapsed="false">
      <c r="A17" s="12" t="n">
        <v>9340</v>
      </c>
      <c r="B17" s="13" t="n">
        <v>74074</v>
      </c>
      <c r="C17" s="14" t="n">
        <v>0</v>
      </c>
      <c r="D17" s="14" t="n">
        <v>0</v>
      </c>
      <c r="E17" s="14"/>
      <c r="F17" s="14"/>
      <c r="G17" s="14" t="n">
        <v>0</v>
      </c>
      <c r="H17" s="14" t="n">
        <v>663</v>
      </c>
      <c r="I17" s="14" t="n">
        <v>0</v>
      </c>
      <c r="J17" s="14" t="n">
        <v>0</v>
      </c>
      <c r="K17" s="14"/>
      <c r="L17" s="14" t="n">
        <v>78</v>
      </c>
      <c r="M17" s="14" t="n">
        <v>0</v>
      </c>
      <c r="N17" s="14" t="n">
        <v>6357</v>
      </c>
      <c r="O17" s="14" t="n">
        <v>0</v>
      </c>
      <c r="P17" s="14" t="n">
        <v>0</v>
      </c>
      <c r="Q17" s="14" t="n">
        <v>455</v>
      </c>
      <c r="R17" s="14"/>
      <c r="S17" s="14" t="n">
        <v>78</v>
      </c>
      <c r="T17" s="14" t="n">
        <v>0</v>
      </c>
      <c r="U17" s="14" t="n">
        <v>38493</v>
      </c>
      <c r="V17" s="14" t="n">
        <v>715</v>
      </c>
      <c r="W17" s="15" t="n">
        <v>120913</v>
      </c>
    </row>
    <row r="18" customFormat="false" ht="12.75" hidden="false" customHeight="false" outlineLevel="0" collapsed="false">
      <c r="A18" s="12" t="n">
        <v>9999</v>
      </c>
      <c r="B18" s="13" t="n">
        <v>776880</v>
      </c>
      <c r="C18" s="14" t="n">
        <v>33280</v>
      </c>
      <c r="D18" s="14" t="n">
        <v>650</v>
      </c>
      <c r="E18" s="14" t="n">
        <v>0</v>
      </c>
      <c r="F18" s="14" t="n">
        <v>0</v>
      </c>
      <c r="G18" s="14" t="n">
        <v>143</v>
      </c>
      <c r="H18" s="14" t="n">
        <v>1430</v>
      </c>
      <c r="I18" s="14" t="n">
        <v>10257</v>
      </c>
      <c r="J18" s="14" t="n">
        <v>2808</v>
      </c>
      <c r="K18" s="14" t="n">
        <v>1235</v>
      </c>
      <c r="L18" s="14" t="n">
        <v>2262</v>
      </c>
      <c r="M18" s="14" t="n">
        <v>3705</v>
      </c>
      <c r="N18" s="14" t="n">
        <v>7267</v>
      </c>
      <c r="O18" s="14" t="n">
        <v>1482</v>
      </c>
      <c r="P18" s="14" t="n">
        <v>637</v>
      </c>
      <c r="Q18" s="14" t="n">
        <v>12662</v>
      </c>
      <c r="R18" s="14" t="n">
        <v>6175</v>
      </c>
      <c r="S18" s="14" t="n">
        <v>3224</v>
      </c>
      <c r="T18" s="14" t="n">
        <v>1599</v>
      </c>
      <c r="U18" s="14" t="n">
        <v>767</v>
      </c>
      <c r="V18" s="14" t="n">
        <v>394589</v>
      </c>
      <c r="W18" s="15" t="n">
        <v>1261052</v>
      </c>
    </row>
    <row r="19" customFormat="false" ht="12.75" hidden="false" customHeight="false" outlineLevel="0" collapsed="false">
      <c r="A19" s="16" t="s">
        <v>4</v>
      </c>
      <c r="B19" s="17" t="n">
        <v>15631931</v>
      </c>
      <c r="C19" s="18" t="n">
        <v>39637</v>
      </c>
      <c r="D19" s="18" t="n">
        <v>224133</v>
      </c>
      <c r="E19" s="18" t="n">
        <v>78</v>
      </c>
      <c r="F19" s="18" t="n">
        <v>117</v>
      </c>
      <c r="G19" s="18" t="n">
        <v>11050</v>
      </c>
      <c r="H19" s="18" t="n">
        <v>66534</v>
      </c>
      <c r="I19" s="18" t="n">
        <v>269763</v>
      </c>
      <c r="J19" s="18" t="n">
        <v>6778733</v>
      </c>
      <c r="K19" s="18" t="n">
        <v>66638</v>
      </c>
      <c r="L19" s="18" t="n">
        <v>133757</v>
      </c>
      <c r="M19" s="18" t="n">
        <v>63999</v>
      </c>
      <c r="N19" s="18" t="n">
        <v>677339</v>
      </c>
      <c r="O19" s="18" t="n">
        <v>162877</v>
      </c>
      <c r="P19" s="18" t="n">
        <v>1206452</v>
      </c>
      <c r="Q19" s="18" t="n">
        <v>3255174</v>
      </c>
      <c r="R19" s="18" t="n">
        <v>183118</v>
      </c>
      <c r="S19" s="18" t="n">
        <v>108069</v>
      </c>
      <c r="T19" s="18" t="n">
        <v>112515</v>
      </c>
      <c r="U19" s="18" t="n">
        <v>43238</v>
      </c>
      <c r="V19" s="18" t="n">
        <v>447915</v>
      </c>
      <c r="W19" s="19" t="n">
        <v>29483067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:H6334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B1" s="0" t="s">
        <v>53</v>
      </c>
      <c r="C1" s="0" t="s">
        <v>54</v>
      </c>
      <c r="D1" s="0" t="s">
        <v>55</v>
      </c>
      <c r="E1" s="0" t="s">
        <v>3</v>
      </c>
      <c r="F1" s="0" t="s">
        <v>1</v>
      </c>
      <c r="G1" s="0" t="s">
        <v>44</v>
      </c>
      <c r="H1" s="0" t="s">
        <v>42</v>
      </c>
    </row>
    <row r="2" customFormat="false" ht="12.75" hidden="false" customHeight="false" outlineLevel="0" collapsed="false">
      <c r="A2" s="0" t="n">
        <f aca="false">B2*1000+C2</f>
        <v>1000</v>
      </c>
      <c r="B2" s="0" t="n">
        <v>1</v>
      </c>
      <c r="C2" s="0" t="n">
        <v>0</v>
      </c>
      <c r="D2" s="0" t="n">
        <v>70434</v>
      </c>
      <c r="E2" s="0" t="n">
        <f aca="false">VLOOKUP(B2,'MSA-Lookup'!$H$2:$I$86,2)</f>
        <v>9999</v>
      </c>
      <c r="F2" s="0" t="n">
        <f aca="false">IF(C2&gt;1,IF(C2&lt;99,VLOOKUP(C2,'MSA-Lookup'!$H$1:$I$86,2),C2),C2)</f>
        <v>0</v>
      </c>
      <c r="G2" s="0" t="n">
        <f aca="false">VLOOKUP(E2,'MSA-Lookup'!$AA$1:$AB$25,2)</f>
        <v>9999</v>
      </c>
      <c r="H2" s="0" t="n">
        <f aca="false">IF(C2&gt;1,IF(C2&lt;99,VLOOKUP(F2,'MSA-Lookup'!$AA$1:$AB$25,2),C2),C2)</f>
        <v>0</v>
      </c>
    </row>
    <row r="3" customFormat="false" ht="12.75" hidden="false" customHeight="false" outlineLevel="0" collapsed="false">
      <c r="A3" s="0" t="n">
        <f aca="false">B3*1000+C3</f>
        <v>1001</v>
      </c>
      <c r="B3" s="0" t="n">
        <v>1</v>
      </c>
      <c r="C3" s="0" t="n">
        <v>1</v>
      </c>
      <c r="D3" s="0" t="n">
        <v>32903</v>
      </c>
      <c r="E3" s="0" t="n">
        <f aca="false">VLOOKUP(B3,'MSA-Lookup'!$H$2:$I$86,2)</f>
        <v>9999</v>
      </c>
      <c r="F3" s="0" t="n">
        <f aca="false">IF(C3&gt;1,IF(C3&lt;99,VLOOKUP(C3,'MSA-Lookup'!$H$1:$I$86,2),C3),C3)</f>
        <v>1</v>
      </c>
      <c r="G3" s="0" t="n">
        <f aca="false">VLOOKUP(E3,'MSA-Lookup'!$AA$1:$AB$25,2)</f>
        <v>9999</v>
      </c>
      <c r="H3" s="0" t="n">
        <f aca="false">IF(C3&gt;1,IF(C3&lt;99,VLOOKUP(F3,'MSA-Lookup'!$AA$1:$AB$25,2),C3),C3)</f>
        <v>1</v>
      </c>
    </row>
    <row r="4" customFormat="false" ht="12.75" hidden="false" customHeight="false" outlineLevel="0" collapsed="false">
      <c r="A4" s="0" t="n">
        <f aca="false">B4*1000+C4</f>
        <v>1002</v>
      </c>
      <c r="B4" s="0" t="n">
        <v>1</v>
      </c>
      <c r="C4" s="0" t="n">
        <v>2</v>
      </c>
      <c r="D4" s="0" t="n">
        <v>221</v>
      </c>
      <c r="E4" s="0" t="n">
        <f aca="false">VLOOKUP(B4,'MSA-Lookup'!$H$2:$I$86,2)</f>
        <v>9999</v>
      </c>
      <c r="F4" s="0" t="n">
        <f aca="false">IF(C4&gt;1,IF(C4&lt;99,VLOOKUP(C4,'MSA-Lookup'!$H$1:$I$86,2),C4),C4)</f>
        <v>9999</v>
      </c>
      <c r="G4" s="0" t="n">
        <f aca="false">VLOOKUP(E4,'MSA-Lookup'!$AA$1:$AB$25,2)</f>
        <v>9999</v>
      </c>
      <c r="H4" s="0" t="n">
        <f aca="false">IF(C4&gt;1,IF(C4&lt;99,VLOOKUP(F4,'MSA-Lookup'!$AA$1:$AB$25,2),C4),C4)</f>
        <v>9999</v>
      </c>
    </row>
    <row r="5" customFormat="false" ht="12.75" hidden="false" customHeight="false" outlineLevel="0" collapsed="false">
      <c r="A5" s="0" t="n">
        <f aca="false">B5*1000+C5</f>
        <v>1003</v>
      </c>
      <c r="B5" s="0" t="n">
        <v>1</v>
      </c>
      <c r="C5" s="0" t="n">
        <v>3</v>
      </c>
      <c r="D5" s="0" t="n">
        <v>780</v>
      </c>
      <c r="E5" s="0" t="n">
        <f aca="false">VLOOKUP(B5,'MSA-Lookup'!$H$2:$I$86,2)</f>
        <v>9999</v>
      </c>
      <c r="F5" s="0" t="n">
        <f aca="false">IF(C5&gt;1,IF(C5&lt;99,VLOOKUP(C5,'MSA-Lookup'!$H$1:$I$86,2),C5),C5)</f>
        <v>6690</v>
      </c>
      <c r="G5" s="0" t="n">
        <f aca="false">VLOOKUP(E5,'MSA-Lookup'!$AA$1:$AB$25,2)</f>
        <v>9999</v>
      </c>
      <c r="H5" s="0" t="n">
        <f aca="false">IF(C5&gt;1,IF(C5&lt;99,VLOOKUP(F5,'MSA-Lookup'!$AA$1:$AB$25,2),C5),C5)</f>
        <v>6690</v>
      </c>
    </row>
    <row r="6" customFormat="false" ht="12.75" hidden="false" customHeight="false" outlineLevel="0" collapsed="false">
      <c r="A6" s="0" t="n">
        <f aca="false">B6*1000+C6</f>
        <v>1004</v>
      </c>
      <c r="B6" s="0" t="n">
        <v>1</v>
      </c>
      <c r="C6" s="0" t="n">
        <v>4</v>
      </c>
      <c r="D6" s="0" t="n">
        <v>104</v>
      </c>
      <c r="E6" s="0" t="n">
        <f aca="false">VLOOKUP(B6,'MSA-Lookup'!$H$2:$I$86,2)</f>
        <v>9999</v>
      </c>
      <c r="F6" s="0" t="n">
        <f aca="false">IF(C6&gt;1,IF(C6&lt;99,VLOOKUP(C6,'MSA-Lookup'!$H$1:$I$86,2),C6),C6)</f>
        <v>9999</v>
      </c>
      <c r="G6" s="0" t="n">
        <f aca="false">VLOOKUP(E6,'MSA-Lookup'!$AA$1:$AB$25,2)</f>
        <v>9999</v>
      </c>
      <c r="H6" s="0" t="n">
        <f aca="false">IF(C6&gt;1,IF(C6&lt;99,VLOOKUP(F6,'MSA-Lookup'!$AA$1:$AB$25,2),C6),C6)</f>
        <v>9999</v>
      </c>
    </row>
    <row r="7" customFormat="false" ht="12.75" hidden="false" customHeight="false" outlineLevel="0" collapsed="false">
      <c r="A7" s="0" t="n">
        <f aca="false">B7*1000+C7</f>
        <v>1005</v>
      </c>
      <c r="B7" s="0" t="n">
        <v>1</v>
      </c>
      <c r="C7" s="0" t="n">
        <v>5</v>
      </c>
      <c r="D7" s="0" t="n">
        <v>65</v>
      </c>
      <c r="E7" s="0" t="n">
        <f aca="false">VLOOKUP(B7,'MSA-Lookup'!$H$2:$I$86,2)</f>
        <v>9999</v>
      </c>
      <c r="F7" s="0" t="n">
        <f aca="false">IF(C7&gt;1,IF(C7&lt;99,VLOOKUP(C7,'MSA-Lookup'!$H$1:$I$86,2),C7),C7)</f>
        <v>9999</v>
      </c>
      <c r="G7" s="0" t="n">
        <f aca="false">VLOOKUP(E7,'MSA-Lookup'!$AA$1:$AB$25,2)</f>
        <v>9999</v>
      </c>
      <c r="H7" s="0" t="n">
        <f aca="false">IF(C7&gt;1,IF(C7&lt;99,VLOOKUP(F7,'MSA-Lookup'!$AA$1:$AB$25,2),C7),C7)</f>
        <v>9999</v>
      </c>
    </row>
    <row r="8" customFormat="false" ht="12.75" hidden="false" customHeight="false" outlineLevel="0" collapsed="false">
      <c r="A8" s="0" t="n">
        <f aca="false">B8*1000+C8</f>
        <v>1006</v>
      </c>
      <c r="B8" s="0" t="n">
        <v>1</v>
      </c>
      <c r="C8" s="0" t="n">
        <v>6</v>
      </c>
      <c r="D8" s="0" t="n">
        <v>117</v>
      </c>
      <c r="E8" s="0" t="n">
        <f aca="false">VLOOKUP(B8,'MSA-Lookup'!$H$2:$I$86,2)</f>
        <v>9999</v>
      </c>
      <c r="F8" s="0" t="n">
        <f aca="false">IF(C8&gt;1,IF(C8&lt;99,VLOOKUP(C8,'MSA-Lookup'!$H$1:$I$86,2),C8),C8)</f>
        <v>1620</v>
      </c>
      <c r="G8" s="0" t="n">
        <f aca="false">VLOOKUP(E8,'MSA-Lookup'!$AA$1:$AB$25,2)</f>
        <v>9999</v>
      </c>
      <c r="H8" s="0" t="n">
        <f aca="false">IF(C8&gt;1,IF(C8&lt;99,VLOOKUP(F8,'MSA-Lookup'!$AA$1:$AB$25,2),C8),C8)</f>
        <v>1620</v>
      </c>
    </row>
    <row r="9" customFormat="false" ht="12.75" hidden="false" customHeight="false" outlineLevel="0" collapsed="false">
      <c r="A9" s="0" t="n">
        <f aca="false">B9*1000+C9</f>
        <v>1007</v>
      </c>
      <c r="B9" s="0" t="n">
        <v>1</v>
      </c>
      <c r="C9" s="0" t="n">
        <v>7</v>
      </c>
      <c r="D9" s="0" t="n">
        <v>403</v>
      </c>
      <c r="E9" s="0" t="n">
        <f aca="false">VLOOKUP(B9,'MSA-Lookup'!$H$2:$I$86,2)</f>
        <v>9999</v>
      </c>
      <c r="F9" s="0" t="n">
        <f aca="false">IF(C9&gt;1,IF(C9&lt;99,VLOOKUP(C9,'MSA-Lookup'!$H$1:$I$86,2),C9),C9)</f>
        <v>9999</v>
      </c>
      <c r="G9" s="0" t="n">
        <f aca="false">VLOOKUP(E9,'MSA-Lookup'!$AA$1:$AB$25,2)</f>
        <v>9999</v>
      </c>
      <c r="H9" s="0" t="n">
        <f aca="false">IF(C9&gt;1,IF(C9&lt;99,VLOOKUP(F9,'MSA-Lookup'!$AA$1:$AB$25,2),C9),C9)</f>
        <v>9999</v>
      </c>
    </row>
    <row r="10" customFormat="false" ht="12.75" hidden="false" customHeight="false" outlineLevel="0" collapsed="false">
      <c r="A10" s="0" t="n">
        <f aca="false">B10*1000+C10</f>
        <v>1014</v>
      </c>
      <c r="B10" s="0" t="n">
        <v>1</v>
      </c>
      <c r="C10" s="0" t="n">
        <v>14</v>
      </c>
      <c r="D10" s="0" t="n">
        <v>65</v>
      </c>
      <c r="E10" s="0" t="n">
        <f aca="false">VLOOKUP(B10,'MSA-Lookup'!$H$2:$I$86,2)</f>
        <v>9999</v>
      </c>
      <c r="F10" s="0" t="n">
        <f aca="false">IF(C10&gt;1,IF(C10&lt;99,VLOOKUP(C10,'MSA-Lookup'!$H$1:$I$86,2),C10),C10)</f>
        <v>7500</v>
      </c>
      <c r="G10" s="0" t="n">
        <f aca="false">VLOOKUP(E10,'MSA-Lookup'!$AA$1:$AB$25,2)</f>
        <v>9999</v>
      </c>
      <c r="H10" s="0" t="n">
        <f aca="false">IF(C10&gt;1,IF(C10&lt;99,VLOOKUP(F10,'MSA-Lookup'!$AA$1:$AB$25,2),C10),C10)</f>
        <v>7362</v>
      </c>
    </row>
    <row r="11" customFormat="false" ht="12.75" hidden="false" customHeight="false" outlineLevel="0" collapsed="false">
      <c r="A11" s="0" t="n">
        <f aca="false">B11*1000+C11</f>
        <v>1016</v>
      </c>
      <c r="B11" s="0" t="n">
        <v>1</v>
      </c>
      <c r="C11" s="0" t="n">
        <v>16</v>
      </c>
      <c r="D11" s="0" t="n">
        <v>273</v>
      </c>
      <c r="E11" s="0" t="n">
        <f aca="false">VLOOKUP(B11,'MSA-Lookup'!$H$2:$I$86,2)</f>
        <v>9999</v>
      </c>
      <c r="F11" s="0" t="n">
        <f aca="false">IF(C11&gt;1,IF(C11&lt;99,VLOOKUP(C11,'MSA-Lookup'!$H$1:$I$86,2),C11),C11)</f>
        <v>8720</v>
      </c>
      <c r="G11" s="0" t="n">
        <f aca="false">VLOOKUP(E11,'MSA-Lookup'!$AA$1:$AB$25,2)</f>
        <v>9999</v>
      </c>
      <c r="H11" s="0" t="n">
        <f aca="false">IF(C11&gt;1,IF(C11&lt;99,VLOOKUP(F11,'MSA-Lookup'!$AA$1:$AB$25,2),C11),C11)</f>
        <v>7362</v>
      </c>
    </row>
    <row r="12" customFormat="false" ht="12.75" hidden="false" customHeight="false" outlineLevel="0" collapsed="false">
      <c r="A12" s="0" t="n">
        <f aca="false">B12*1000+C12</f>
        <v>1019</v>
      </c>
      <c r="B12" s="0" t="n">
        <v>1</v>
      </c>
      <c r="C12" s="0" t="n">
        <v>19</v>
      </c>
      <c r="D12" s="0" t="n">
        <v>26</v>
      </c>
      <c r="E12" s="0" t="n">
        <f aca="false">VLOOKUP(B12,'MSA-Lookup'!$H$2:$I$86,2)</f>
        <v>9999</v>
      </c>
      <c r="F12" s="0" t="n">
        <f aca="false">IF(C12&gt;1,IF(C12&lt;99,VLOOKUP(C12,'MSA-Lookup'!$H$1:$I$86,2),C12),C12)</f>
        <v>7360</v>
      </c>
      <c r="G12" s="0" t="n">
        <f aca="false">VLOOKUP(E12,'MSA-Lookup'!$AA$1:$AB$25,2)</f>
        <v>9999</v>
      </c>
      <c r="H12" s="0" t="n">
        <f aca="false">IF(C12&gt;1,IF(C12&lt;99,VLOOKUP(F12,'MSA-Lookup'!$AA$1:$AB$25,2),C12),C12)</f>
        <v>7362</v>
      </c>
    </row>
    <row r="13" customFormat="false" ht="12.75" hidden="false" customHeight="false" outlineLevel="0" collapsed="false">
      <c r="A13" s="0" t="n">
        <f aca="false">B13*1000+C13</f>
        <v>1026</v>
      </c>
      <c r="B13" s="0" t="n">
        <v>1</v>
      </c>
      <c r="C13" s="0" t="n">
        <v>26</v>
      </c>
      <c r="D13" s="0" t="n">
        <v>104</v>
      </c>
      <c r="E13" s="0" t="n">
        <f aca="false">VLOOKUP(B13,'MSA-Lookup'!$H$2:$I$86,2)</f>
        <v>9999</v>
      </c>
      <c r="F13" s="0" t="n">
        <f aca="false">IF(C13&gt;1,IF(C13&lt;99,VLOOKUP(C13,'MSA-Lookup'!$H$1:$I$86,2),C13),C13)</f>
        <v>9999</v>
      </c>
      <c r="G13" s="0" t="n">
        <f aca="false">VLOOKUP(E13,'MSA-Lookup'!$AA$1:$AB$25,2)</f>
        <v>9999</v>
      </c>
      <c r="H13" s="0" t="n">
        <f aca="false">IF(C13&gt;1,IF(C13&lt;99,VLOOKUP(F13,'MSA-Lookup'!$AA$1:$AB$25,2),C13),C13)</f>
        <v>9999</v>
      </c>
    </row>
    <row r="14" customFormat="false" ht="12.75" hidden="false" customHeight="false" outlineLevel="0" collapsed="false">
      <c r="A14" s="0" t="n">
        <f aca="false">B14*1000+C14</f>
        <v>1028</v>
      </c>
      <c r="B14" s="0" t="n">
        <v>1</v>
      </c>
      <c r="C14" s="0" t="n">
        <v>28</v>
      </c>
      <c r="D14" s="0" t="n">
        <v>117</v>
      </c>
      <c r="E14" s="0" t="n">
        <f aca="false">VLOOKUP(B14,'MSA-Lookup'!$H$2:$I$86,2)</f>
        <v>9999</v>
      </c>
      <c r="F14" s="0" t="n">
        <f aca="false">IF(C14&gt;1,IF(C14&lt;99,VLOOKUP(C14,'MSA-Lookup'!$H$1:$I$86,2),C14),C14)</f>
        <v>6920</v>
      </c>
      <c r="G14" s="0" t="n">
        <f aca="false">VLOOKUP(E14,'MSA-Lookup'!$AA$1:$AB$25,2)</f>
        <v>9999</v>
      </c>
      <c r="H14" s="0" t="n">
        <f aca="false">IF(C14&gt;1,IF(C14&lt;99,VLOOKUP(F14,'MSA-Lookup'!$AA$1:$AB$25,2),C14),C14)</f>
        <v>6920</v>
      </c>
    </row>
    <row r="15" customFormat="false" ht="12.75" hidden="false" customHeight="false" outlineLevel="0" collapsed="false">
      <c r="A15" s="0" t="n">
        <f aca="false">B15*1000+C15</f>
        <v>1040</v>
      </c>
      <c r="B15" s="0" t="n">
        <v>1</v>
      </c>
      <c r="C15" s="0" t="n">
        <v>40</v>
      </c>
      <c r="D15" s="0" t="n">
        <v>91</v>
      </c>
      <c r="E15" s="0" t="n">
        <f aca="false">VLOOKUP(B15,'MSA-Lookup'!$H$2:$I$86,2)</f>
        <v>9999</v>
      </c>
      <c r="F15" s="0" t="n">
        <f aca="false">IF(C15&gt;1,IF(C15&lt;99,VLOOKUP(C15,'MSA-Lookup'!$H$1:$I$86,2),C15),C15)</f>
        <v>2840</v>
      </c>
      <c r="G15" s="0" t="n">
        <f aca="false">VLOOKUP(E15,'MSA-Lookup'!$AA$1:$AB$25,2)</f>
        <v>9999</v>
      </c>
      <c r="H15" s="0" t="n">
        <f aca="false">IF(C15&gt;1,IF(C15&lt;99,VLOOKUP(F15,'MSA-Lookup'!$AA$1:$AB$25,2),C15),C15)</f>
        <v>2840</v>
      </c>
    </row>
    <row r="16" customFormat="false" ht="12.75" hidden="false" customHeight="false" outlineLevel="0" collapsed="false">
      <c r="A16" s="0" t="n">
        <f aca="false">B16*1000+C16</f>
        <v>1049</v>
      </c>
      <c r="B16" s="0" t="n">
        <v>1</v>
      </c>
      <c r="C16" s="0" t="n">
        <v>49</v>
      </c>
      <c r="D16" s="0" t="n">
        <v>52</v>
      </c>
      <c r="E16" s="0" t="n">
        <f aca="false">VLOOKUP(B16,'MSA-Lookup'!$H$2:$I$86,2)</f>
        <v>9999</v>
      </c>
      <c r="F16" s="0" t="n">
        <f aca="false">IF(C16&gt;1,IF(C16&lt;99,VLOOKUP(C16,'MSA-Lookup'!$H$1:$I$86,2),C16),C16)</f>
        <v>7400</v>
      </c>
      <c r="G16" s="0" t="n">
        <f aca="false">VLOOKUP(E16,'MSA-Lookup'!$AA$1:$AB$25,2)</f>
        <v>9999</v>
      </c>
      <c r="H16" s="0" t="n">
        <f aca="false">IF(C16&gt;1,IF(C16&lt;99,VLOOKUP(F16,'MSA-Lookup'!$AA$1:$AB$25,2),C16),C16)</f>
        <v>7362</v>
      </c>
    </row>
    <row r="17" customFormat="false" ht="12.75" hidden="false" customHeight="false" outlineLevel="0" collapsed="false">
      <c r="A17" s="0" t="n">
        <f aca="false">B17*1000+C17</f>
        <v>1069</v>
      </c>
      <c r="B17" s="0" t="n">
        <v>1</v>
      </c>
      <c r="C17" s="0" t="n">
        <v>69</v>
      </c>
      <c r="D17" s="0" t="n">
        <v>39</v>
      </c>
      <c r="E17" s="0" t="n">
        <f aca="false">VLOOKUP(B17,'MSA-Lookup'!$H$2:$I$86,2)</f>
        <v>9999</v>
      </c>
      <c r="F17" s="0" t="n">
        <f aca="false">IF(C17&gt;1,IF(C17&lt;99,VLOOKUP(C17,'MSA-Lookup'!$H$1:$I$86,2),C17),C17)</f>
        <v>6780</v>
      </c>
      <c r="G17" s="0" t="n">
        <f aca="false">VLOOKUP(E17,'MSA-Lookup'!$AA$1:$AB$25,2)</f>
        <v>9999</v>
      </c>
      <c r="H17" s="0" t="n">
        <f aca="false">IF(C17&gt;1,IF(C17&lt;99,VLOOKUP(F17,'MSA-Lookup'!$AA$1:$AB$25,2),C17),C17)</f>
        <v>4472</v>
      </c>
    </row>
    <row r="18" customFormat="false" ht="12.75" hidden="false" customHeight="false" outlineLevel="0" collapsed="false">
      <c r="A18" s="0" t="n">
        <f aca="false">B18*1000+C18</f>
        <v>1075</v>
      </c>
      <c r="B18" s="0" t="n">
        <v>1</v>
      </c>
      <c r="C18" s="0" t="n">
        <v>75</v>
      </c>
      <c r="D18" s="0" t="n">
        <v>52</v>
      </c>
      <c r="E18" s="0" t="n">
        <f aca="false">VLOOKUP(B18,'MSA-Lookup'!$H$2:$I$86,2)</f>
        <v>9999</v>
      </c>
      <c r="F18" s="0" t="n">
        <f aca="false">IF(C18&gt;1,IF(C18&lt;99,VLOOKUP(C18,'MSA-Lookup'!$H$1:$I$86,2),C18),C18)</f>
        <v>8780</v>
      </c>
      <c r="G18" s="0" t="n">
        <f aca="false">VLOOKUP(E18,'MSA-Lookup'!$AA$1:$AB$25,2)</f>
        <v>9999</v>
      </c>
      <c r="H18" s="0" t="n">
        <f aca="false">IF(C18&gt;1,IF(C18&lt;99,VLOOKUP(F18,'MSA-Lookup'!$AA$1:$AB$25,2),C18),C18)</f>
        <v>8780</v>
      </c>
    </row>
    <row r="19" customFormat="false" ht="12.75" hidden="false" customHeight="false" outlineLevel="0" collapsed="false">
      <c r="A19" s="0" t="n">
        <f aca="false">B19*1000+C19</f>
        <v>2000</v>
      </c>
      <c r="B19" s="0" t="n">
        <v>2</v>
      </c>
      <c r="C19" s="0" t="n">
        <v>0</v>
      </c>
      <c r="D19" s="0" t="n">
        <v>70551</v>
      </c>
      <c r="E19" s="0" t="n">
        <f aca="false">VLOOKUP(B19,'MSA-Lookup'!$H$2:$I$86,2)</f>
        <v>9999</v>
      </c>
      <c r="F19" s="0" t="n">
        <f aca="false">IF(C19&gt;1,IF(C19&lt;99,VLOOKUP(C19,'MSA-Lookup'!$H$1:$I$86,2),C19),C19)</f>
        <v>0</v>
      </c>
      <c r="G19" s="0" t="n">
        <f aca="false">VLOOKUP(E19,'MSA-Lookup'!$AA$1:$AB$25,2)</f>
        <v>9999</v>
      </c>
      <c r="H19" s="0" t="n">
        <f aca="false">IF(C19&gt;1,IF(C19&lt;99,VLOOKUP(F19,'MSA-Lookup'!$AA$1:$AB$25,2),C19),C19)</f>
        <v>0</v>
      </c>
    </row>
    <row r="20" customFormat="false" ht="12.75" hidden="false" customHeight="false" outlineLevel="0" collapsed="false">
      <c r="A20" s="0" t="n">
        <f aca="false">B20*1000+C20</f>
        <v>2001</v>
      </c>
      <c r="B20" s="0" t="n">
        <v>2</v>
      </c>
      <c r="C20" s="0" t="n">
        <v>1</v>
      </c>
      <c r="D20" s="0" t="n">
        <v>273</v>
      </c>
      <c r="E20" s="0" t="n">
        <f aca="false">VLOOKUP(B20,'MSA-Lookup'!$H$2:$I$86,2)</f>
        <v>9999</v>
      </c>
      <c r="F20" s="0" t="n">
        <f aca="false">IF(C20&gt;1,IF(C20&lt;99,VLOOKUP(C20,'MSA-Lookup'!$H$1:$I$86,2),C20),C20)</f>
        <v>1</v>
      </c>
      <c r="G20" s="0" t="n">
        <f aca="false">VLOOKUP(E20,'MSA-Lookup'!$AA$1:$AB$25,2)</f>
        <v>9999</v>
      </c>
      <c r="H20" s="0" t="n">
        <f aca="false">IF(C20&gt;1,IF(C20&lt;99,VLOOKUP(F20,'MSA-Lookup'!$AA$1:$AB$25,2),C20),C20)</f>
        <v>1</v>
      </c>
    </row>
    <row r="21" customFormat="false" ht="12.75" hidden="false" customHeight="false" outlineLevel="0" collapsed="false">
      <c r="A21" s="0" t="n">
        <f aca="false">B21*1000+C21</f>
        <v>2002</v>
      </c>
      <c r="B21" s="0" t="n">
        <v>2</v>
      </c>
      <c r="C21" s="0" t="n">
        <v>2</v>
      </c>
      <c r="D21" s="0" t="n">
        <v>49764</v>
      </c>
      <c r="E21" s="0" t="n">
        <f aca="false">VLOOKUP(B21,'MSA-Lookup'!$H$2:$I$86,2)</f>
        <v>9999</v>
      </c>
      <c r="F21" s="0" t="n">
        <f aca="false">IF(C21&gt;1,IF(C21&lt;99,VLOOKUP(C21,'MSA-Lookup'!$H$1:$I$86,2),C21),C21)</f>
        <v>9999</v>
      </c>
      <c r="G21" s="0" t="n">
        <f aca="false">VLOOKUP(E21,'MSA-Lookup'!$AA$1:$AB$25,2)</f>
        <v>9999</v>
      </c>
      <c r="H21" s="0" t="n">
        <f aca="false">IF(C21&gt;1,IF(C21&lt;99,VLOOKUP(F21,'MSA-Lookup'!$AA$1:$AB$25,2),C21),C21)</f>
        <v>9999</v>
      </c>
    </row>
    <row r="22" customFormat="false" ht="12.75" hidden="false" customHeight="false" outlineLevel="0" collapsed="false">
      <c r="A22" s="0" t="n">
        <f aca="false">B22*1000+C22</f>
        <v>2003</v>
      </c>
      <c r="B22" s="0" t="n">
        <v>2</v>
      </c>
      <c r="C22" s="0" t="n">
        <v>3</v>
      </c>
      <c r="D22" s="0" t="n">
        <v>0</v>
      </c>
      <c r="E22" s="0" t="n">
        <f aca="false">VLOOKUP(B22,'MSA-Lookup'!$H$2:$I$86,2)</f>
        <v>9999</v>
      </c>
      <c r="F22" s="0" t="n">
        <f aca="false">IF(C22&gt;1,IF(C22&lt;99,VLOOKUP(C22,'MSA-Lookup'!$H$1:$I$86,2),C22),C22)</f>
        <v>6690</v>
      </c>
      <c r="G22" s="0" t="n">
        <f aca="false">VLOOKUP(E22,'MSA-Lookup'!$AA$1:$AB$25,2)</f>
        <v>9999</v>
      </c>
      <c r="H22" s="0" t="n">
        <f aca="false">IF(C22&gt;1,IF(C22&lt;99,VLOOKUP(F22,'MSA-Lookup'!$AA$1:$AB$25,2),C22),C22)</f>
        <v>6690</v>
      </c>
    </row>
    <row r="23" customFormat="false" ht="12.75" hidden="false" customHeight="false" outlineLevel="0" collapsed="false">
      <c r="A23" s="0" t="n">
        <f aca="false">B23*1000+C23</f>
        <v>2004</v>
      </c>
      <c r="B23" s="0" t="n">
        <v>2</v>
      </c>
      <c r="C23" s="0" t="n">
        <v>4</v>
      </c>
      <c r="D23" s="0" t="n">
        <v>273</v>
      </c>
      <c r="E23" s="0" t="n">
        <f aca="false">VLOOKUP(B23,'MSA-Lookup'!$H$2:$I$86,2)</f>
        <v>9999</v>
      </c>
      <c r="F23" s="0" t="n">
        <f aca="false">IF(C23&gt;1,IF(C23&lt;99,VLOOKUP(C23,'MSA-Lookup'!$H$1:$I$86,2),C23),C23)</f>
        <v>9999</v>
      </c>
      <c r="G23" s="0" t="n">
        <f aca="false">VLOOKUP(E23,'MSA-Lookup'!$AA$1:$AB$25,2)</f>
        <v>9999</v>
      </c>
      <c r="H23" s="0" t="n">
        <f aca="false">IF(C23&gt;1,IF(C23&lt;99,VLOOKUP(F23,'MSA-Lookup'!$AA$1:$AB$25,2),C23),C23)</f>
        <v>9999</v>
      </c>
    </row>
    <row r="24" customFormat="false" ht="12.75" hidden="false" customHeight="false" outlineLevel="0" collapsed="false">
      <c r="A24" s="0" t="n">
        <f aca="false">B24*1000+C24</f>
        <v>2005</v>
      </c>
      <c r="B24" s="0" t="n">
        <v>2</v>
      </c>
      <c r="C24" s="0" t="n">
        <v>5</v>
      </c>
      <c r="D24" s="0" t="n">
        <v>0</v>
      </c>
      <c r="E24" s="0" t="n">
        <f aca="false">VLOOKUP(B24,'MSA-Lookup'!$H$2:$I$86,2)</f>
        <v>9999</v>
      </c>
      <c r="F24" s="0" t="n">
        <f aca="false">IF(C24&gt;1,IF(C24&lt;99,VLOOKUP(C24,'MSA-Lookup'!$H$1:$I$86,2),C24),C24)</f>
        <v>9999</v>
      </c>
      <c r="G24" s="0" t="n">
        <f aca="false">VLOOKUP(E24,'MSA-Lookup'!$AA$1:$AB$25,2)</f>
        <v>9999</v>
      </c>
      <c r="H24" s="0" t="n">
        <f aca="false">IF(C24&gt;1,IF(C24&lt;99,VLOOKUP(F24,'MSA-Lookup'!$AA$1:$AB$25,2),C24),C24)</f>
        <v>9999</v>
      </c>
    </row>
    <row r="25" customFormat="false" ht="12.75" hidden="false" customHeight="false" outlineLevel="0" collapsed="false">
      <c r="A25" s="0" t="n">
        <f aca="false">B25*1000+C25</f>
        <v>2006</v>
      </c>
      <c r="B25" s="0" t="n">
        <v>2</v>
      </c>
      <c r="C25" s="0" t="n">
        <v>6</v>
      </c>
      <c r="D25" s="0" t="n">
        <v>0</v>
      </c>
      <c r="E25" s="0" t="n">
        <f aca="false">VLOOKUP(B25,'MSA-Lookup'!$H$2:$I$86,2)</f>
        <v>9999</v>
      </c>
      <c r="F25" s="0" t="n">
        <f aca="false">IF(C25&gt;1,IF(C25&lt;99,VLOOKUP(C25,'MSA-Lookup'!$H$1:$I$86,2),C25),C25)</f>
        <v>1620</v>
      </c>
      <c r="G25" s="0" t="n">
        <f aca="false">VLOOKUP(E25,'MSA-Lookup'!$AA$1:$AB$25,2)</f>
        <v>9999</v>
      </c>
      <c r="H25" s="0" t="n">
        <f aca="false">IF(C25&gt;1,IF(C25&lt;99,VLOOKUP(F25,'MSA-Lookup'!$AA$1:$AB$25,2),C25),C25)</f>
        <v>1620</v>
      </c>
    </row>
    <row r="26" customFormat="false" ht="12.75" hidden="false" customHeight="false" outlineLevel="0" collapsed="false">
      <c r="A26" s="0" t="n">
        <f aca="false">B26*1000+C26</f>
        <v>2007</v>
      </c>
      <c r="B26" s="0" t="n">
        <v>2</v>
      </c>
      <c r="C26" s="0" t="n">
        <v>7</v>
      </c>
      <c r="D26" s="0" t="n">
        <v>0</v>
      </c>
      <c r="E26" s="0" t="n">
        <f aca="false">VLOOKUP(B26,'MSA-Lookup'!$H$2:$I$86,2)</f>
        <v>9999</v>
      </c>
      <c r="F26" s="0" t="n">
        <f aca="false">IF(C26&gt;1,IF(C26&lt;99,VLOOKUP(C26,'MSA-Lookup'!$H$1:$I$86,2),C26),C26)</f>
        <v>9999</v>
      </c>
      <c r="G26" s="0" t="n">
        <f aca="false">VLOOKUP(E26,'MSA-Lookup'!$AA$1:$AB$25,2)</f>
        <v>9999</v>
      </c>
      <c r="H26" s="0" t="n">
        <f aca="false">IF(C26&gt;1,IF(C26&lt;99,VLOOKUP(F26,'MSA-Lookup'!$AA$1:$AB$25,2),C26),C26)</f>
        <v>9999</v>
      </c>
    </row>
    <row r="27" customFormat="false" ht="12.75" hidden="false" customHeight="false" outlineLevel="0" collapsed="false">
      <c r="A27" s="0" t="n">
        <f aca="false">B27*1000+C27</f>
        <v>2014</v>
      </c>
      <c r="B27" s="0" t="n">
        <v>2</v>
      </c>
      <c r="C27" s="0" t="n">
        <v>14</v>
      </c>
      <c r="D27" s="0" t="n">
        <v>0</v>
      </c>
      <c r="E27" s="0" t="n">
        <f aca="false">VLOOKUP(B27,'MSA-Lookup'!$H$2:$I$86,2)</f>
        <v>9999</v>
      </c>
      <c r="F27" s="0" t="n">
        <f aca="false">IF(C27&gt;1,IF(C27&lt;99,VLOOKUP(C27,'MSA-Lookup'!$H$1:$I$86,2),C27),C27)</f>
        <v>7500</v>
      </c>
      <c r="G27" s="0" t="n">
        <f aca="false">VLOOKUP(E27,'MSA-Lookup'!$AA$1:$AB$25,2)</f>
        <v>9999</v>
      </c>
      <c r="H27" s="0" t="n">
        <f aca="false">IF(C27&gt;1,IF(C27&lt;99,VLOOKUP(F27,'MSA-Lookup'!$AA$1:$AB$25,2),C27),C27)</f>
        <v>7362</v>
      </c>
    </row>
    <row r="28" customFormat="false" ht="12.75" hidden="false" customHeight="false" outlineLevel="0" collapsed="false">
      <c r="A28" s="0" t="n">
        <f aca="false">B28*1000+C28</f>
        <v>2015</v>
      </c>
      <c r="B28" s="0" t="n">
        <v>2</v>
      </c>
      <c r="C28" s="0" t="n">
        <v>15</v>
      </c>
      <c r="D28" s="0" t="n">
        <v>78</v>
      </c>
      <c r="E28" s="0" t="n">
        <f aca="false">VLOOKUP(B28,'MSA-Lookup'!$H$2:$I$86,2)</f>
        <v>9999</v>
      </c>
      <c r="F28" s="0" t="n">
        <f aca="false">IF(C28&gt;1,IF(C28&lt;99,VLOOKUP(C28,'MSA-Lookup'!$H$1:$I$86,2),C28),C28)</f>
        <v>7360</v>
      </c>
      <c r="G28" s="0" t="n">
        <f aca="false">VLOOKUP(E28,'MSA-Lookup'!$AA$1:$AB$25,2)</f>
        <v>9999</v>
      </c>
      <c r="H28" s="0" t="n">
        <f aca="false">IF(C28&gt;1,IF(C28&lt;99,VLOOKUP(F28,'MSA-Lookup'!$AA$1:$AB$25,2),C28),C28)</f>
        <v>7362</v>
      </c>
    </row>
    <row r="29" customFormat="false" ht="12.75" hidden="false" customHeight="false" outlineLevel="0" collapsed="false">
      <c r="A29" s="0" t="n">
        <f aca="false">B29*1000+C29</f>
        <v>2016</v>
      </c>
      <c r="B29" s="0" t="n">
        <v>2</v>
      </c>
      <c r="C29" s="0" t="n">
        <v>16</v>
      </c>
      <c r="D29" s="0" t="n">
        <v>0</v>
      </c>
      <c r="E29" s="0" t="n">
        <f aca="false">VLOOKUP(B29,'MSA-Lookup'!$H$2:$I$86,2)</f>
        <v>9999</v>
      </c>
      <c r="F29" s="0" t="n">
        <f aca="false">IF(C29&gt;1,IF(C29&lt;99,VLOOKUP(C29,'MSA-Lookup'!$H$1:$I$86,2),C29),C29)</f>
        <v>8720</v>
      </c>
      <c r="G29" s="0" t="n">
        <f aca="false">VLOOKUP(E29,'MSA-Lookup'!$AA$1:$AB$25,2)</f>
        <v>9999</v>
      </c>
      <c r="H29" s="0" t="n">
        <f aca="false">IF(C29&gt;1,IF(C29&lt;99,VLOOKUP(F29,'MSA-Lookup'!$AA$1:$AB$25,2),C29),C29)</f>
        <v>7362</v>
      </c>
    </row>
    <row r="30" customFormat="false" ht="12.75" hidden="false" customHeight="false" outlineLevel="0" collapsed="false">
      <c r="A30" s="0" t="n">
        <f aca="false">B30*1000+C30</f>
        <v>2019</v>
      </c>
      <c r="B30" s="0" t="n">
        <v>2</v>
      </c>
      <c r="C30" s="0" t="n">
        <v>19</v>
      </c>
      <c r="D30" s="0" t="n">
        <v>0</v>
      </c>
      <c r="E30" s="0" t="n">
        <f aca="false">VLOOKUP(B30,'MSA-Lookup'!$H$2:$I$86,2)</f>
        <v>9999</v>
      </c>
      <c r="F30" s="0" t="n">
        <f aca="false">IF(C30&gt;1,IF(C30&lt;99,VLOOKUP(C30,'MSA-Lookup'!$H$1:$I$86,2),C30),C30)</f>
        <v>7360</v>
      </c>
      <c r="G30" s="0" t="n">
        <f aca="false">VLOOKUP(E30,'MSA-Lookup'!$AA$1:$AB$25,2)</f>
        <v>9999</v>
      </c>
      <c r="H30" s="0" t="n">
        <f aca="false">IF(C30&gt;1,IF(C30&lt;99,VLOOKUP(F30,'MSA-Lookup'!$AA$1:$AB$25,2),C30),C30)</f>
        <v>7362</v>
      </c>
    </row>
    <row r="31" customFormat="false" ht="12.75" hidden="false" customHeight="false" outlineLevel="0" collapsed="false">
      <c r="A31" s="0" t="n">
        <f aca="false">B31*1000+C31</f>
        <v>2026</v>
      </c>
      <c r="B31" s="0" t="n">
        <v>2</v>
      </c>
      <c r="C31" s="0" t="n">
        <v>26</v>
      </c>
      <c r="D31" s="0" t="n">
        <v>0</v>
      </c>
      <c r="E31" s="0" t="n">
        <f aca="false">VLOOKUP(B31,'MSA-Lookup'!$H$2:$I$86,2)</f>
        <v>9999</v>
      </c>
      <c r="F31" s="0" t="n">
        <f aca="false">IF(C31&gt;1,IF(C31&lt;99,VLOOKUP(C31,'MSA-Lookup'!$H$1:$I$86,2),C31),C31)</f>
        <v>9999</v>
      </c>
      <c r="G31" s="0" t="n">
        <f aca="false">VLOOKUP(E31,'MSA-Lookup'!$AA$1:$AB$25,2)</f>
        <v>9999</v>
      </c>
      <c r="H31" s="0" t="n">
        <f aca="false">IF(C31&gt;1,IF(C31&lt;99,VLOOKUP(F31,'MSA-Lookup'!$AA$1:$AB$25,2),C31),C31)</f>
        <v>9999</v>
      </c>
    </row>
    <row r="32" customFormat="false" ht="12.75" hidden="false" customHeight="false" outlineLevel="0" collapsed="false">
      <c r="A32" s="0" t="n">
        <f aca="false">B32*1000+C32</f>
        <v>2028</v>
      </c>
      <c r="B32" s="0" t="n">
        <v>2</v>
      </c>
      <c r="C32" s="0" t="n">
        <v>28</v>
      </c>
      <c r="D32" s="0" t="n">
        <v>0</v>
      </c>
      <c r="E32" s="0" t="n">
        <f aca="false">VLOOKUP(B32,'MSA-Lookup'!$H$2:$I$86,2)</f>
        <v>9999</v>
      </c>
      <c r="F32" s="0" t="n">
        <f aca="false">IF(C32&gt;1,IF(C32&lt;99,VLOOKUP(C32,'MSA-Lookup'!$H$1:$I$86,2),C32),C32)</f>
        <v>6920</v>
      </c>
      <c r="G32" s="0" t="n">
        <f aca="false">VLOOKUP(E32,'MSA-Lookup'!$AA$1:$AB$25,2)</f>
        <v>9999</v>
      </c>
      <c r="H32" s="0" t="n">
        <f aca="false">IF(C32&gt;1,IF(C32&lt;99,VLOOKUP(F32,'MSA-Lookup'!$AA$1:$AB$25,2),C32),C32)</f>
        <v>6920</v>
      </c>
    </row>
    <row r="33" customFormat="false" ht="12.75" hidden="false" customHeight="false" outlineLevel="0" collapsed="false">
      <c r="A33" s="0" t="n">
        <f aca="false">B33*1000+C33</f>
        <v>2040</v>
      </c>
      <c r="B33" s="0" t="n">
        <v>2</v>
      </c>
      <c r="C33" s="0" t="n">
        <v>40</v>
      </c>
      <c r="D33" s="0" t="n">
        <v>0</v>
      </c>
      <c r="E33" s="0" t="n">
        <f aca="false">VLOOKUP(B33,'MSA-Lookup'!$H$2:$I$86,2)</f>
        <v>9999</v>
      </c>
      <c r="F33" s="0" t="n">
        <f aca="false">IF(C33&gt;1,IF(C33&lt;99,VLOOKUP(C33,'MSA-Lookup'!$H$1:$I$86,2),C33),C33)</f>
        <v>2840</v>
      </c>
      <c r="G33" s="0" t="n">
        <f aca="false">VLOOKUP(E33,'MSA-Lookup'!$AA$1:$AB$25,2)</f>
        <v>9999</v>
      </c>
      <c r="H33" s="0" t="n">
        <f aca="false">IF(C33&gt;1,IF(C33&lt;99,VLOOKUP(F33,'MSA-Lookup'!$AA$1:$AB$25,2),C33),C33)</f>
        <v>2840</v>
      </c>
    </row>
    <row r="34" customFormat="false" ht="12.75" hidden="false" customHeight="false" outlineLevel="0" collapsed="false">
      <c r="A34" s="0" t="n">
        <f aca="false">B34*1000+C34</f>
        <v>2049</v>
      </c>
      <c r="B34" s="0" t="n">
        <v>2</v>
      </c>
      <c r="C34" s="0" t="n">
        <v>49</v>
      </c>
      <c r="D34" s="0" t="n">
        <v>0</v>
      </c>
      <c r="E34" s="0" t="n">
        <f aca="false">VLOOKUP(B34,'MSA-Lookup'!$H$2:$I$86,2)</f>
        <v>9999</v>
      </c>
      <c r="F34" s="0" t="n">
        <f aca="false">IF(C34&gt;1,IF(C34&lt;99,VLOOKUP(C34,'MSA-Lookup'!$H$1:$I$86,2),C34),C34)</f>
        <v>7400</v>
      </c>
      <c r="G34" s="0" t="n">
        <f aca="false">VLOOKUP(E34,'MSA-Lookup'!$AA$1:$AB$25,2)</f>
        <v>9999</v>
      </c>
      <c r="H34" s="0" t="n">
        <f aca="false">IF(C34&gt;1,IF(C34&lt;99,VLOOKUP(F34,'MSA-Lookup'!$AA$1:$AB$25,2),C34),C34)</f>
        <v>7362</v>
      </c>
    </row>
    <row r="35" customFormat="false" ht="12.75" hidden="false" customHeight="false" outlineLevel="0" collapsed="false">
      <c r="A35" s="0" t="n">
        <f aca="false">B35*1000+C35</f>
        <v>2065</v>
      </c>
      <c r="B35" s="0" t="n">
        <v>2</v>
      </c>
      <c r="C35" s="0" t="n">
        <v>65</v>
      </c>
      <c r="D35" s="0" t="n">
        <v>104</v>
      </c>
      <c r="E35" s="0" t="n">
        <f aca="false">VLOOKUP(B35,'MSA-Lookup'!$H$2:$I$86,2)</f>
        <v>9999</v>
      </c>
      <c r="F35" s="0" t="n">
        <f aca="false">IF(C35&gt;1,IF(C35&lt;99,VLOOKUP(C35,'MSA-Lookup'!$H$1:$I$86,2),C35),C35)</f>
        <v>4480</v>
      </c>
      <c r="G35" s="0" t="n">
        <f aca="false">VLOOKUP(E35,'MSA-Lookup'!$AA$1:$AB$25,2)</f>
        <v>9999</v>
      </c>
      <c r="H35" s="0" t="n">
        <f aca="false">IF(C35&gt;1,IF(C35&lt;99,VLOOKUP(F35,'MSA-Lookup'!$AA$1:$AB$25,2),C35),C35)</f>
        <v>4472</v>
      </c>
    </row>
    <row r="36" customFormat="false" ht="12.75" hidden="false" customHeight="false" outlineLevel="0" collapsed="false">
      <c r="A36" s="0" t="n">
        <f aca="false">B36*1000+C36</f>
        <v>2069</v>
      </c>
      <c r="B36" s="0" t="n">
        <v>2</v>
      </c>
      <c r="C36" s="0" t="n">
        <v>69</v>
      </c>
      <c r="D36" s="0" t="n">
        <v>0</v>
      </c>
      <c r="E36" s="0" t="n">
        <f aca="false">VLOOKUP(B36,'MSA-Lookup'!$H$2:$I$86,2)</f>
        <v>9999</v>
      </c>
      <c r="F36" s="0" t="n">
        <f aca="false">IF(C36&gt;1,IF(C36&lt;99,VLOOKUP(C36,'MSA-Lookup'!$H$1:$I$86,2),C36),C36)</f>
        <v>6780</v>
      </c>
      <c r="G36" s="0" t="n">
        <f aca="false">VLOOKUP(E36,'MSA-Lookup'!$AA$1:$AB$25,2)</f>
        <v>9999</v>
      </c>
      <c r="H36" s="0" t="n">
        <f aca="false">IF(C36&gt;1,IF(C36&lt;99,VLOOKUP(F36,'MSA-Lookup'!$AA$1:$AB$25,2),C36),C36)</f>
        <v>4472</v>
      </c>
    </row>
    <row r="37" customFormat="false" ht="12.75" hidden="false" customHeight="false" outlineLevel="0" collapsed="false">
      <c r="A37" s="0" t="n">
        <f aca="false">B37*1000+C37</f>
        <v>2075</v>
      </c>
      <c r="B37" s="0" t="n">
        <v>2</v>
      </c>
      <c r="C37" s="0" t="n">
        <v>75</v>
      </c>
      <c r="D37" s="0" t="n">
        <v>0</v>
      </c>
      <c r="E37" s="0" t="n">
        <f aca="false">VLOOKUP(B37,'MSA-Lookup'!$H$2:$I$86,2)</f>
        <v>9999</v>
      </c>
      <c r="F37" s="0" t="n">
        <f aca="false">IF(C37&gt;1,IF(C37&lt;99,VLOOKUP(C37,'MSA-Lookup'!$H$1:$I$86,2),C37),C37)</f>
        <v>8780</v>
      </c>
      <c r="G37" s="0" t="n">
        <f aca="false">VLOOKUP(E37,'MSA-Lookup'!$AA$1:$AB$25,2)</f>
        <v>9999</v>
      </c>
      <c r="H37" s="0" t="n">
        <f aca="false">IF(C37&gt;1,IF(C37&lt;99,VLOOKUP(F37,'MSA-Lookup'!$AA$1:$AB$25,2),C37),C37)</f>
        <v>8780</v>
      </c>
    </row>
    <row r="38" customFormat="false" ht="12.75" hidden="false" customHeight="false" outlineLevel="0" collapsed="false">
      <c r="A38" s="0" t="n">
        <f aca="false">B38*1000+C38</f>
        <v>3000</v>
      </c>
      <c r="B38" s="0" t="n">
        <v>3</v>
      </c>
      <c r="C38" s="0" t="n">
        <v>0</v>
      </c>
      <c r="D38" s="0" t="n">
        <v>93327</v>
      </c>
      <c r="E38" s="0" t="n">
        <f aca="false">VLOOKUP(B38,'MSA-Lookup'!$H$2:$I$86,2)</f>
        <v>6690</v>
      </c>
      <c r="F38" s="0" t="n">
        <f aca="false">IF(C38&gt;1,IF(C38&lt;99,VLOOKUP(C38,'MSA-Lookup'!$H$1:$I$86,2),C38),C38)</f>
        <v>0</v>
      </c>
      <c r="G38" s="0" t="n">
        <f aca="false">VLOOKUP(E38,'MSA-Lookup'!$AA$1:$AB$25,2)</f>
        <v>6690</v>
      </c>
      <c r="H38" s="0" t="n">
        <f aca="false">IF(C38&gt;1,IF(C38&lt;99,VLOOKUP(F38,'MSA-Lookup'!$AA$1:$AB$25,2),C38),C38)</f>
        <v>0</v>
      </c>
    </row>
    <row r="39" customFormat="false" ht="12.75" hidden="false" customHeight="false" outlineLevel="0" collapsed="false">
      <c r="A39" s="0" t="n">
        <f aca="false">B39*1000+C39</f>
        <v>3001</v>
      </c>
      <c r="B39" s="0" t="n">
        <v>3</v>
      </c>
      <c r="C39" s="0" t="n">
        <v>1</v>
      </c>
      <c r="D39" s="0" t="n">
        <v>650</v>
      </c>
      <c r="E39" s="0" t="n">
        <f aca="false">VLOOKUP(B39,'MSA-Lookup'!$H$2:$I$86,2)</f>
        <v>6690</v>
      </c>
      <c r="F39" s="0" t="n">
        <f aca="false">IF(C39&gt;1,IF(C39&lt;99,VLOOKUP(C39,'MSA-Lookup'!$H$1:$I$86,2),C39),C39)</f>
        <v>1</v>
      </c>
      <c r="G39" s="0" t="n">
        <f aca="false">VLOOKUP(E39,'MSA-Lookup'!$AA$1:$AB$25,2)</f>
        <v>6690</v>
      </c>
      <c r="H39" s="0" t="n">
        <f aca="false">IF(C39&gt;1,IF(C39&lt;99,VLOOKUP(F39,'MSA-Lookup'!$AA$1:$AB$25,2),C39),C39)</f>
        <v>1</v>
      </c>
    </row>
    <row r="40" customFormat="false" ht="12.75" hidden="false" customHeight="false" outlineLevel="0" collapsed="false">
      <c r="A40" s="0" t="n">
        <f aca="false">B40*1000+C40</f>
        <v>3002</v>
      </c>
      <c r="B40" s="0" t="n">
        <v>3</v>
      </c>
      <c r="C40" s="0" t="n">
        <v>2</v>
      </c>
      <c r="D40" s="0" t="n">
        <v>117</v>
      </c>
      <c r="E40" s="0" t="n">
        <f aca="false">VLOOKUP(B40,'MSA-Lookup'!$H$2:$I$86,2)</f>
        <v>6690</v>
      </c>
      <c r="F40" s="0" t="n">
        <f aca="false">IF(C40&gt;1,IF(C40&lt;99,VLOOKUP(C40,'MSA-Lookup'!$H$1:$I$86,2),C40),C40)</f>
        <v>9999</v>
      </c>
      <c r="G40" s="0" t="n">
        <f aca="false">VLOOKUP(E40,'MSA-Lookup'!$AA$1:$AB$25,2)</f>
        <v>6690</v>
      </c>
      <c r="H40" s="0" t="n">
        <f aca="false">IF(C40&gt;1,IF(C40&lt;99,VLOOKUP(F40,'MSA-Lookup'!$AA$1:$AB$25,2),C40),C40)</f>
        <v>9999</v>
      </c>
    </row>
    <row r="41" customFormat="false" ht="12.75" hidden="false" customHeight="false" outlineLevel="0" collapsed="false">
      <c r="A41" s="0" t="n">
        <f aca="false">B41*1000+C41</f>
        <v>3003</v>
      </c>
      <c r="B41" s="0" t="n">
        <v>3</v>
      </c>
      <c r="C41" s="0" t="n">
        <v>3</v>
      </c>
      <c r="D41" s="0" t="n">
        <v>55562</v>
      </c>
      <c r="E41" s="0" t="n">
        <f aca="false">VLOOKUP(B41,'MSA-Lookup'!$H$2:$I$86,2)</f>
        <v>6690</v>
      </c>
      <c r="F41" s="0" t="n">
        <f aca="false">IF(C41&gt;1,IF(C41&lt;99,VLOOKUP(C41,'MSA-Lookup'!$H$1:$I$86,2),C41),C41)</f>
        <v>6690</v>
      </c>
      <c r="G41" s="0" t="n">
        <f aca="false">VLOOKUP(E41,'MSA-Lookup'!$AA$1:$AB$25,2)</f>
        <v>6690</v>
      </c>
      <c r="H41" s="0" t="n">
        <f aca="false">IF(C41&gt;1,IF(C41&lt;99,VLOOKUP(F41,'MSA-Lookup'!$AA$1:$AB$25,2),C41),C41)</f>
        <v>6690</v>
      </c>
    </row>
    <row r="42" customFormat="false" ht="12.75" hidden="false" customHeight="false" outlineLevel="0" collapsed="false">
      <c r="A42" s="0" t="n">
        <f aca="false">B42*1000+C42</f>
        <v>3004</v>
      </c>
      <c r="B42" s="0" t="n">
        <v>3</v>
      </c>
      <c r="C42" s="0" t="n">
        <v>4</v>
      </c>
      <c r="D42" s="0" t="n">
        <v>52</v>
      </c>
      <c r="E42" s="0" t="n">
        <f aca="false">VLOOKUP(B42,'MSA-Lookup'!$H$2:$I$86,2)</f>
        <v>6690</v>
      </c>
      <c r="F42" s="0" t="n">
        <f aca="false">IF(C42&gt;1,IF(C42&lt;99,VLOOKUP(C42,'MSA-Lookup'!$H$1:$I$86,2),C42),C42)</f>
        <v>9999</v>
      </c>
      <c r="G42" s="0" t="n">
        <f aca="false">VLOOKUP(E42,'MSA-Lookup'!$AA$1:$AB$25,2)</f>
        <v>6690</v>
      </c>
      <c r="H42" s="0" t="n">
        <f aca="false">IF(C42&gt;1,IF(C42&lt;99,VLOOKUP(F42,'MSA-Lookup'!$AA$1:$AB$25,2),C42),C42)</f>
        <v>9999</v>
      </c>
    </row>
    <row r="43" customFormat="false" ht="12.75" hidden="false" customHeight="false" outlineLevel="0" collapsed="false">
      <c r="A43" s="0" t="n">
        <f aca="false">B43*1000+C43</f>
        <v>3005</v>
      </c>
      <c r="B43" s="0" t="n">
        <v>3</v>
      </c>
      <c r="C43" s="0" t="n">
        <v>5</v>
      </c>
      <c r="D43" s="0" t="n">
        <v>1235</v>
      </c>
      <c r="E43" s="0" t="n">
        <f aca="false">VLOOKUP(B43,'MSA-Lookup'!$H$2:$I$86,2)</f>
        <v>6690</v>
      </c>
      <c r="F43" s="0" t="n">
        <f aca="false">IF(C43&gt;1,IF(C43&lt;99,VLOOKUP(C43,'MSA-Lookup'!$H$1:$I$86,2),C43),C43)</f>
        <v>9999</v>
      </c>
      <c r="G43" s="0" t="n">
        <f aca="false">VLOOKUP(E43,'MSA-Lookup'!$AA$1:$AB$25,2)</f>
        <v>6690</v>
      </c>
      <c r="H43" s="0" t="n">
        <f aca="false">IF(C43&gt;1,IF(C43&lt;99,VLOOKUP(F43,'MSA-Lookup'!$AA$1:$AB$25,2),C43),C43)</f>
        <v>9999</v>
      </c>
    </row>
    <row r="44" customFormat="false" ht="12.75" hidden="false" customHeight="false" outlineLevel="0" collapsed="false">
      <c r="A44" s="0" t="n">
        <f aca="false">B44*1000+C44</f>
        <v>3006</v>
      </c>
      <c r="B44" s="0" t="n">
        <v>3</v>
      </c>
      <c r="C44" s="0" t="n">
        <v>6</v>
      </c>
      <c r="D44" s="0" t="n">
        <v>91</v>
      </c>
      <c r="E44" s="0" t="n">
        <f aca="false">VLOOKUP(B44,'MSA-Lookup'!$H$2:$I$86,2)</f>
        <v>6690</v>
      </c>
      <c r="F44" s="0" t="n">
        <f aca="false">IF(C44&gt;1,IF(C44&lt;99,VLOOKUP(C44,'MSA-Lookup'!$H$1:$I$86,2),C44),C44)</f>
        <v>1620</v>
      </c>
      <c r="G44" s="0" t="n">
        <f aca="false">VLOOKUP(E44,'MSA-Lookup'!$AA$1:$AB$25,2)</f>
        <v>6690</v>
      </c>
      <c r="H44" s="0" t="n">
        <f aca="false">IF(C44&gt;1,IF(C44&lt;99,VLOOKUP(F44,'MSA-Lookup'!$AA$1:$AB$25,2),C44),C44)</f>
        <v>1620</v>
      </c>
    </row>
    <row r="45" customFormat="false" ht="12.75" hidden="false" customHeight="false" outlineLevel="0" collapsed="false">
      <c r="A45" s="0" t="n">
        <f aca="false">B45*1000+C45</f>
        <v>3007</v>
      </c>
      <c r="B45" s="0" t="n">
        <v>3</v>
      </c>
      <c r="C45" s="0" t="n">
        <v>7</v>
      </c>
      <c r="D45" s="0" t="n">
        <v>0</v>
      </c>
      <c r="E45" s="0" t="n">
        <f aca="false">VLOOKUP(B45,'MSA-Lookup'!$H$2:$I$86,2)</f>
        <v>6690</v>
      </c>
      <c r="F45" s="0" t="n">
        <f aca="false">IF(C45&gt;1,IF(C45&lt;99,VLOOKUP(C45,'MSA-Lookup'!$H$1:$I$86,2),C45),C45)</f>
        <v>9999</v>
      </c>
      <c r="G45" s="0" t="n">
        <f aca="false">VLOOKUP(E45,'MSA-Lookup'!$AA$1:$AB$25,2)</f>
        <v>6690</v>
      </c>
      <c r="H45" s="0" t="n">
        <f aca="false">IF(C45&gt;1,IF(C45&lt;99,VLOOKUP(F45,'MSA-Lookup'!$AA$1:$AB$25,2),C45),C45)</f>
        <v>9999</v>
      </c>
    </row>
    <row r="46" customFormat="false" ht="12.75" hidden="false" customHeight="false" outlineLevel="0" collapsed="false">
      <c r="A46" s="0" t="n">
        <f aca="false">B46*1000+C46</f>
        <v>3010</v>
      </c>
      <c r="B46" s="0" t="n">
        <v>3</v>
      </c>
      <c r="C46" s="0" t="n">
        <v>10</v>
      </c>
      <c r="D46" s="0" t="n">
        <v>91</v>
      </c>
      <c r="E46" s="0" t="n">
        <f aca="false">VLOOKUP(B46,'MSA-Lookup'!$H$2:$I$86,2)</f>
        <v>6690</v>
      </c>
      <c r="F46" s="0" t="n">
        <f aca="false">IF(C46&gt;1,IF(C46&lt;99,VLOOKUP(C46,'MSA-Lookup'!$H$1:$I$86,2),C46),C46)</f>
        <v>6920</v>
      </c>
      <c r="G46" s="0" t="n">
        <f aca="false">VLOOKUP(E46,'MSA-Lookup'!$AA$1:$AB$25,2)</f>
        <v>6690</v>
      </c>
      <c r="H46" s="0" t="n">
        <f aca="false">IF(C46&gt;1,IF(C46&lt;99,VLOOKUP(F46,'MSA-Lookup'!$AA$1:$AB$25,2),C46),C46)</f>
        <v>6920</v>
      </c>
    </row>
    <row r="47" customFormat="false" ht="12.75" hidden="false" customHeight="false" outlineLevel="0" collapsed="false">
      <c r="A47" s="0" t="n">
        <f aca="false">B47*1000+C47</f>
        <v>3014</v>
      </c>
      <c r="B47" s="0" t="n">
        <v>3</v>
      </c>
      <c r="C47" s="0" t="n">
        <v>14</v>
      </c>
      <c r="D47" s="0" t="n">
        <v>52</v>
      </c>
      <c r="E47" s="0" t="n">
        <f aca="false">VLOOKUP(B47,'MSA-Lookup'!$H$2:$I$86,2)</f>
        <v>6690</v>
      </c>
      <c r="F47" s="0" t="n">
        <f aca="false">IF(C47&gt;1,IF(C47&lt;99,VLOOKUP(C47,'MSA-Lookup'!$H$1:$I$86,2),C47),C47)</f>
        <v>7500</v>
      </c>
      <c r="G47" s="0" t="n">
        <f aca="false">VLOOKUP(E47,'MSA-Lookup'!$AA$1:$AB$25,2)</f>
        <v>6690</v>
      </c>
      <c r="H47" s="0" t="n">
        <f aca="false">IF(C47&gt;1,IF(C47&lt;99,VLOOKUP(F47,'MSA-Lookup'!$AA$1:$AB$25,2),C47),C47)</f>
        <v>7362</v>
      </c>
    </row>
    <row r="48" customFormat="false" ht="12.75" hidden="false" customHeight="false" outlineLevel="0" collapsed="false">
      <c r="A48" s="0" t="n">
        <f aca="false">B48*1000+C48</f>
        <v>3015</v>
      </c>
      <c r="B48" s="0" t="n">
        <v>3</v>
      </c>
      <c r="C48" s="0" t="n">
        <v>15</v>
      </c>
      <c r="D48" s="0" t="n">
        <v>0</v>
      </c>
      <c r="E48" s="0" t="n">
        <f aca="false">VLOOKUP(B48,'MSA-Lookup'!$H$2:$I$86,2)</f>
        <v>6690</v>
      </c>
      <c r="F48" s="0" t="n">
        <f aca="false">IF(C48&gt;1,IF(C48&lt;99,VLOOKUP(C48,'MSA-Lookup'!$H$1:$I$86,2),C48),C48)</f>
        <v>7360</v>
      </c>
      <c r="G48" s="0" t="n">
        <f aca="false">VLOOKUP(E48,'MSA-Lookup'!$AA$1:$AB$25,2)</f>
        <v>6690</v>
      </c>
      <c r="H48" s="0" t="n">
        <f aca="false">IF(C48&gt;1,IF(C48&lt;99,VLOOKUP(F48,'MSA-Lookup'!$AA$1:$AB$25,2),C48),C48)</f>
        <v>7362</v>
      </c>
    </row>
    <row r="49" customFormat="false" ht="12.75" hidden="false" customHeight="false" outlineLevel="0" collapsed="false">
      <c r="A49" s="0" t="n">
        <f aca="false">B49*1000+C49</f>
        <v>3016</v>
      </c>
      <c r="B49" s="0" t="n">
        <v>3</v>
      </c>
      <c r="C49" s="0" t="n">
        <v>16</v>
      </c>
      <c r="D49" s="0" t="n">
        <v>0</v>
      </c>
      <c r="E49" s="0" t="n">
        <f aca="false">VLOOKUP(B49,'MSA-Lookup'!$H$2:$I$86,2)</f>
        <v>6690</v>
      </c>
      <c r="F49" s="0" t="n">
        <f aca="false">IF(C49&gt;1,IF(C49&lt;99,VLOOKUP(C49,'MSA-Lookup'!$H$1:$I$86,2),C49),C49)</f>
        <v>8720</v>
      </c>
      <c r="G49" s="0" t="n">
        <f aca="false">VLOOKUP(E49,'MSA-Lookup'!$AA$1:$AB$25,2)</f>
        <v>6690</v>
      </c>
      <c r="H49" s="0" t="n">
        <f aca="false">IF(C49&gt;1,IF(C49&lt;99,VLOOKUP(F49,'MSA-Lookup'!$AA$1:$AB$25,2),C49),C49)</f>
        <v>7362</v>
      </c>
    </row>
    <row r="50" customFormat="false" ht="12.75" hidden="false" customHeight="false" outlineLevel="0" collapsed="false">
      <c r="A50" s="0" t="n">
        <f aca="false">B50*1000+C50</f>
        <v>3017</v>
      </c>
      <c r="B50" s="0" t="n">
        <v>3</v>
      </c>
      <c r="C50" s="0" t="n">
        <v>17</v>
      </c>
      <c r="D50" s="0" t="n">
        <v>91</v>
      </c>
      <c r="E50" s="0" t="n">
        <f aca="false">VLOOKUP(B50,'MSA-Lookup'!$H$2:$I$86,2)</f>
        <v>6690</v>
      </c>
      <c r="F50" s="0" t="n">
        <f aca="false">IF(C50&gt;1,IF(C50&lt;99,VLOOKUP(C50,'MSA-Lookup'!$H$1:$I$86,2),C50),C50)</f>
        <v>5775</v>
      </c>
      <c r="G50" s="0" t="n">
        <f aca="false">VLOOKUP(E50,'MSA-Lookup'!$AA$1:$AB$25,2)</f>
        <v>6690</v>
      </c>
      <c r="H50" s="0" t="n">
        <f aca="false">IF(C50&gt;1,IF(C50&lt;99,VLOOKUP(F50,'MSA-Lookup'!$AA$1:$AB$25,2),C50),C50)</f>
        <v>7362</v>
      </c>
    </row>
    <row r="51" customFormat="false" ht="12.75" hidden="false" customHeight="false" outlineLevel="0" collapsed="false">
      <c r="A51" s="0" t="n">
        <f aca="false">B51*1000+C51</f>
        <v>3018</v>
      </c>
      <c r="B51" s="0" t="n">
        <v>3</v>
      </c>
      <c r="C51" s="0" t="n">
        <v>18</v>
      </c>
      <c r="D51" s="0" t="n">
        <v>130</v>
      </c>
      <c r="E51" s="0" t="n">
        <f aca="false">VLOOKUP(B51,'MSA-Lookup'!$H$2:$I$86,2)</f>
        <v>6690</v>
      </c>
      <c r="F51" s="0" t="n">
        <f aca="false">IF(C51&gt;1,IF(C51&lt;99,VLOOKUP(C51,'MSA-Lookup'!$H$1:$I$86,2),C51),C51)</f>
        <v>5775</v>
      </c>
      <c r="G51" s="0" t="n">
        <f aca="false">VLOOKUP(E51,'MSA-Lookup'!$AA$1:$AB$25,2)</f>
        <v>6690</v>
      </c>
      <c r="H51" s="0" t="n">
        <f aca="false">IF(C51&gt;1,IF(C51&lt;99,VLOOKUP(F51,'MSA-Lookup'!$AA$1:$AB$25,2),C51),C51)</f>
        <v>7362</v>
      </c>
    </row>
    <row r="52" customFormat="false" ht="12.75" hidden="false" customHeight="false" outlineLevel="0" collapsed="false">
      <c r="A52" s="0" t="n">
        <f aca="false">B52*1000+C52</f>
        <v>3019</v>
      </c>
      <c r="B52" s="0" t="n">
        <v>3</v>
      </c>
      <c r="C52" s="0" t="n">
        <v>19</v>
      </c>
      <c r="D52" s="0" t="n">
        <v>91</v>
      </c>
      <c r="E52" s="0" t="n">
        <f aca="false">VLOOKUP(B52,'MSA-Lookup'!$H$2:$I$86,2)</f>
        <v>6690</v>
      </c>
      <c r="F52" s="0" t="n">
        <f aca="false">IF(C52&gt;1,IF(C52&lt;99,VLOOKUP(C52,'MSA-Lookup'!$H$1:$I$86,2),C52),C52)</f>
        <v>7360</v>
      </c>
      <c r="G52" s="0" t="n">
        <f aca="false">VLOOKUP(E52,'MSA-Lookup'!$AA$1:$AB$25,2)</f>
        <v>6690</v>
      </c>
      <c r="H52" s="0" t="n">
        <f aca="false">IF(C52&gt;1,IF(C52&lt;99,VLOOKUP(F52,'MSA-Lookup'!$AA$1:$AB$25,2),C52),C52)</f>
        <v>7362</v>
      </c>
    </row>
    <row r="53" customFormat="false" ht="12.75" hidden="false" customHeight="false" outlineLevel="0" collapsed="false">
      <c r="A53" s="0" t="n">
        <f aca="false">B53*1000+C53</f>
        <v>3021</v>
      </c>
      <c r="B53" s="0" t="n">
        <v>3</v>
      </c>
      <c r="C53" s="0" t="n">
        <v>21</v>
      </c>
      <c r="D53" s="0" t="n">
        <v>299</v>
      </c>
      <c r="E53" s="0" t="n">
        <f aca="false">VLOOKUP(B53,'MSA-Lookup'!$H$2:$I$86,2)</f>
        <v>6690</v>
      </c>
      <c r="F53" s="0" t="n">
        <f aca="false">IF(C53&gt;1,IF(C53&lt;99,VLOOKUP(C53,'MSA-Lookup'!$H$1:$I$86,2),C53),C53)</f>
        <v>5775</v>
      </c>
      <c r="G53" s="0" t="n">
        <f aca="false">VLOOKUP(E53,'MSA-Lookup'!$AA$1:$AB$25,2)</f>
        <v>6690</v>
      </c>
      <c r="H53" s="0" t="n">
        <f aca="false">IF(C53&gt;1,IF(C53&lt;99,VLOOKUP(F53,'MSA-Lookup'!$AA$1:$AB$25,2),C53),C53)</f>
        <v>7362</v>
      </c>
    </row>
    <row r="54" customFormat="false" ht="12.75" hidden="false" customHeight="false" outlineLevel="0" collapsed="false">
      <c r="A54" s="0" t="n">
        <f aca="false">B54*1000+C54</f>
        <v>3026</v>
      </c>
      <c r="B54" s="0" t="n">
        <v>3</v>
      </c>
      <c r="C54" s="0" t="n">
        <v>26</v>
      </c>
      <c r="D54" s="0" t="n">
        <v>0</v>
      </c>
      <c r="E54" s="0" t="n">
        <f aca="false">VLOOKUP(B54,'MSA-Lookup'!$H$2:$I$86,2)</f>
        <v>6690</v>
      </c>
      <c r="F54" s="0" t="n">
        <f aca="false">IF(C54&gt;1,IF(C54&lt;99,VLOOKUP(C54,'MSA-Lookup'!$H$1:$I$86,2),C54),C54)</f>
        <v>9999</v>
      </c>
      <c r="G54" s="0" t="n">
        <f aca="false">VLOOKUP(E54,'MSA-Lookup'!$AA$1:$AB$25,2)</f>
        <v>6690</v>
      </c>
      <c r="H54" s="0" t="n">
        <f aca="false">IF(C54&gt;1,IF(C54&lt;99,VLOOKUP(F54,'MSA-Lookup'!$AA$1:$AB$25,2),C54),C54)</f>
        <v>9999</v>
      </c>
    </row>
    <row r="55" customFormat="false" ht="12.75" hidden="false" customHeight="false" outlineLevel="0" collapsed="false">
      <c r="A55" s="0" t="n">
        <f aca="false">B55*1000+C55</f>
        <v>3028</v>
      </c>
      <c r="B55" s="0" t="n">
        <v>3</v>
      </c>
      <c r="C55" s="0" t="n">
        <v>28</v>
      </c>
      <c r="D55" s="0" t="n">
        <v>169</v>
      </c>
      <c r="E55" s="0" t="n">
        <f aca="false">VLOOKUP(B55,'MSA-Lookup'!$H$2:$I$86,2)</f>
        <v>6690</v>
      </c>
      <c r="F55" s="0" t="n">
        <f aca="false">IF(C55&gt;1,IF(C55&lt;99,VLOOKUP(C55,'MSA-Lookup'!$H$1:$I$86,2),C55),C55)</f>
        <v>6920</v>
      </c>
      <c r="G55" s="0" t="n">
        <f aca="false">VLOOKUP(E55,'MSA-Lookup'!$AA$1:$AB$25,2)</f>
        <v>6690</v>
      </c>
      <c r="H55" s="0" t="n">
        <f aca="false">IF(C55&gt;1,IF(C55&lt;99,VLOOKUP(F55,'MSA-Lookup'!$AA$1:$AB$25,2),C55),C55)</f>
        <v>6920</v>
      </c>
    </row>
    <row r="56" customFormat="false" ht="12.75" hidden="false" customHeight="false" outlineLevel="0" collapsed="false">
      <c r="A56" s="0" t="n">
        <f aca="false">B56*1000+C56</f>
        <v>3035</v>
      </c>
      <c r="B56" s="0" t="n">
        <v>3</v>
      </c>
      <c r="C56" s="0" t="n">
        <v>35</v>
      </c>
      <c r="D56" s="0" t="n">
        <v>52</v>
      </c>
      <c r="E56" s="0" t="n">
        <f aca="false">VLOOKUP(B56,'MSA-Lookup'!$H$2:$I$86,2)</f>
        <v>6690</v>
      </c>
      <c r="F56" s="0" t="n">
        <f aca="false">IF(C56&gt;1,IF(C56&lt;99,VLOOKUP(C56,'MSA-Lookup'!$H$1:$I$86,2),C56),C56)</f>
        <v>7320</v>
      </c>
      <c r="G56" s="0" t="n">
        <f aca="false">VLOOKUP(E56,'MSA-Lookup'!$AA$1:$AB$25,2)</f>
        <v>6690</v>
      </c>
      <c r="H56" s="0" t="n">
        <f aca="false">IF(C56&gt;1,IF(C56&lt;99,VLOOKUP(F56,'MSA-Lookup'!$AA$1:$AB$25,2),C56),C56)</f>
        <v>7320</v>
      </c>
    </row>
    <row r="57" customFormat="false" ht="12.75" hidden="false" customHeight="false" outlineLevel="0" collapsed="false">
      <c r="A57" s="0" t="n">
        <f aca="false">B57*1000+C57</f>
        <v>3040</v>
      </c>
      <c r="B57" s="0" t="n">
        <v>3</v>
      </c>
      <c r="C57" s="0" t="n">
        <v>40</v>
      </c>
      <c r="D57" s="0" t="n">
        <v>0</v>
      </c>
      <c r="E57" s="0" t="n">
        <f aca="false">VLOOKUP(B57,'MSA-Lookup'!$H$2:$I$86,2)</f>
        <v>6690</v>
      </c>
      <c r="F57" s="0" t="n">
        <f aca="false">IF(C57&gt;1,IF(C57&lt;99,VLOOKUP(C57,'MSA-Lookup'!$H$1:$I$86,2),C57),C57)</f>
        <v>2840</v>
      </c>
      <c r="G57" s="0" t="n">
        <f aca="false">VLOOKUP(E57,'MSA-Lookup'!$AA$1:$AB$25,2)</f>
        <v>6690</v>
      </c>
      <c r="H57" s="0" t="n">
        <f aca="false">IF(C57&gt;1,IF(C57&lt;99,VLOOKUP(F57,'MSA-Lookup'!$AA$1:$AB$25,2),C57),C57)</f>
        <v>2840</v>
      </c>
    </row>
    <row r="58" customFormat="false" ht="12.75" hidden="false" customHeight="false" outlineLevel="0" collapsed="false">
      <c r="A58" s="0" t="n">
        <f aca="false">B58*1000+C58</f>
        <v>3049</v>
      </c>
      <c r="B58" s="0" t="n">
        <v>3</v>
      </c>
      <c r="C58" s="0" t="n">
        <v>49</v>
      </c>
      <c r="D58" s="0" t="n">
        <v>182</v>
      </c>
      <c r="E58" s="0" t="n">
        <f aca="false">VLOOKUP(B58,'MSA-Lookup'!$H$2:$I$86,2)</f>
        <v>6690</v>
      </c>
      <c r="F58" s="0" t="n">
        <f aca="false">IF(C58&gt;1,IF(C58&lt;99,VLOOKUP(C58,'MSA-Lookup'!$H$1:$I$86,2),C58),C58)</f>
        <v>7400</v>
      </c>
      <c r="G58" s="0" t="n">
        <f aca="false">VLOOKUP(E58,'MSA-Lookup'!$AA$1:$AB$25,2)</f>
        <v>6690</v>
      </c>
      <c r="H58" s="0" t="n">
        <f aca="false">IF(C58&gt;1,IF(C58&lt;99,VLOOKUP(F58,'MSA-Lookup'!$AA$1:$AB$25,2),C58),C58)</f>
        <v>7362</v>
      </c>
    </row>
    <row r="59" customFormat="false" ht="12.75" hidden="false" customHeight="false" outlineLevel="0" collapsed="false">
      <c r="A59" s="0" t="n">
        <f aca="false">B59*1000+C59</f>
        <v>3051</v>
      </c>
      <c r="B59" s="0" t="n">
        <v>3</v>
      </c>
      <c r="C59" s="0" t="n">
        <v>51</v>
      </c>
      <c r="D59" s="0" t="n">
        <v>104</v>
      </c>
      <c r="E59" s="0" t="n">
        <f aca="false">VLOOKUP(B59,'MSA-Lookup'!$H$2:$I$86,2)</f>
        <v>6690</v>
      </c>
      <c r="F59" s="0" t="n">
        <f aca="false">IF(C59&gt;1,IF(C59&lt;99,VLOOKUP(C59,'MSA-Lookup'!$H$1:$I$86,2),C59),C59)</f>
        <v>7400</v>
      </c>
      <c r="G59" s="0" t="n">
        <f aca="false">VLOOKUP(E59,'MSA-Lookup'!$AA$1:$AB$25,2)</f>
        <v>6690</v>
      </c>
      <c r="H59" s="0" t="n">
        <f aca="false">IF(C59&gt;1,IF(C59&lt;99,VLOOKUP(F59,'MSA-Lookup'!$AA$1:$AB$25,2),C59),C59)</f>
        <v>7362</v>
      </c>
    </row>
    <row r="60" customFormat="false" ht="12.75" hidden="false" customHeight="false" outlineLevel="0" collapsed="false">
      <c r="A60" s="0" t="n">
        <f aca="false">B60*1000+C60</f>
        <v>3065</v>
      </c>
      <c r="B60" s="0" t="n">
        <v>3</v>
      </c>
      <c r="C60" s="0" t="n">
        <v>65</v>
      </c>
      <c r="D60" s="0" t="n">
        <v>0</v>
      </c>
      <c r="E60" s="0" t="n">
        <f aca="false">VLOOKUP(B60,'MSA-Lookup'!$H$2:$I$86,2)</f>
        <v>6690</v>
      </c>
      <c r="F60" s="0" t="n">
        <f aca="false">IF(C60&gt;1,IF(C60&lt;99,VLOOKUP(C60,'MSA-Lookup'!$H$1:$I$86,2),C60),C60)</f>
        <v>4480</v>
      </c>
      <c r="G60" s="0" t="n">
        <f aca="false">VLOOKUP(E60,'MSA-Lookup'!$AA$1:$AB$25,2)</f>
        <v>6690</v>
      </c>
      <c r="H60" s="0" t="n">
        <f aca="false">IF(C60&gt;1,IF(C60&lt;99,VLOOKUP(F60,'MSA-Lookup'!$AA$1:$AB$25,2),C60),C60)</f>
        <v>4472</v>
      </c>
    </row>
    <row r="61" customFormat="false" ht="12.75" hidden="false" customHeight="false" outlineLevel="0" collapsed="false">
      <c r="A61" s="0" t="n">
        <f aca="false">B61*1000+C61</f>
        <v>3069</v>
      </c>
      <c r="B61" s="0" t="n">
        <v>3</v>
      </c>
      <c r="C61" s="0" t="n">
        <v>69</v>
      </c>
      <c r="D61" s="0" t="n">
        <v>0</v>
      </c>
      <c r="E61" s="0" t="n">
        <f aca="false">VLOOKUP(B61,'MSA-Lookup'!$H$2:$I$86,2)</f>
        <v>6690</v>
      </c>
      <c r="F61" s="0" t="n">
        <f aca="false">IF(C61&gt;1,IF(C61&lt;99,VLOOKUP(C61,'MSA-Lookup'!$H$1:$I$86,2),C61),C61)</f>
        <v>6780</v>
      </c>
      <c r="G61" s="0" t="n">
        <f aca="false">VLOOKUP(E61,'MSA-Lookup'!$AA$1:$AB$25,2)</f>
        <v>6690</v>
      </c>
      <c r="H61" s="0" t="n">
        <f aca="false">IF(C61&gt;1,IF(C61&lt;99,VLOOKUP(F61,'MSA-Lookup'!$AA$1:$AB$25,2),C61),C61)</f>
        <v>4472</v>
      </c>
    </row>
    <row r="62" customFormat="false" ht="12.75" hidden="false" customHeight="false" outlineLevel="0" collapsed="false">
      <c r="A62" s="0" t="n">
        <f aca="false">B62*1000+C62</f>
        <v>3072</v>
      </c>
      <c r="B62" s="0" t="n">
        <v>3</v>
      </c>
      <c r="C62" s="0" t="n">
        <v>72</v>
      </c>
      <c r="D62" s="0" t="n">
        <v>78</v>
      </c>
      <c r="E62" s="0" t="n">
        <f aca="false">VLOOKUP(B62,'MSA-Lookup'!$H$2:$I$86,2)</f>
        <v>6690</v>
      </c>
      <c r="F62" s="0" t="n">
        <f aca="false">IF(C62&gt;1,IF(C62&lt;99,VLOOKUP(C62,'MSA-Lookup'!$H$1:$I$86,2),C62),C62)</f>
        <v>6780</v>
      </c>
      <c r="G62" s="0" t="n">
        <f aca="false">VLOOKUP(E62,'MSA-Lookup'!$AA$1:$AB$25,2)</f>
        <v>6690</v>
      </c>
      <c r="H62" s="0" t="n">
        <f aca="false">IF(C62&gt;1,IF(C62&lt;99,VLOOKUP(F62,'MSA-Lookup'!$AA$1:$AB$25,2),C62),C62)</f>
        <v>4472</v>
      </c>
    </row>
    <row r="63" customFormat="false" ht="12.75" hidden="false" customHeight="false" outlineLevel="0" collapsed="false">
      <c r="A63" s="0" t="n">
        <f aca="false">B63*1000+C63</f>
        <v>3075</v>
      </c>
      <c r="B63" s="0" t="n">
        <v>3</v>
      </c>
      <c r="C63" s="0" t="n">
        <v>75</v>
      </c>
      <c r="D63" s="0" t="n">
        <v>0</v>
      </c>
      <c r="E63" s="0" t="n">
        <f aca="false">VLOOKUP(B63,'MSA-Lookup'!$H$2:$I$86,2)</f>
        <v>6690</v>
      </c>
      <c r="F63" s="0" t="n">
        <f aca="false">IF(C63&gt;1,IF(C63&lt;99,VLOOKUP(C63,'MSA-Lookup'!$H$1:$I$86,2),C63),C63)</f>
        <v>8780</v>
      </c>
      <c r="G63" s="0" t="n">
        <f aca="false">VLOOKUP(E63,'MSA-Lookup'!$AA$1:$AB$25,2)</f>
        <v>6690</v>
      </c>
      <c r="H63" s="0" t="n">
        <f aca="false">IF(C63&gt;1,IF(C63&lt;99,VLOOKUP(F63,'MSA-Lookup'!$AA$1:$AB$25,2),C63),C63)</f>
        <v>8780</v>
      </c>
    </row>
    <row r="64" customFormat="false" ht="12.75" hidden="false" customHeight="false" outlineLevel="0" collapsed="false">
      <c r="A64" s="0" t="n">
        <f aca="false">B64*1000+C64</f>
        <v>3079</v>
      </c>
      <c r="B64" s="0" t="n">
        <v>3</v>
      </c>
      <c r="C64" s="0" t="n">
        <v>79</v>
      </c>
      <c r="D64" s="0" t="n">
        <v>117</v>
      </c>
      <c r="E64" s="0" t="n">
        <f aca="false">VLOOKUP(B64,'MSA-Lookup'!$H$2:$I$86,2)</f>
        <v>6690</v>
      </c>
      <c r="F64" s="0" t="n">
        <f aca="false">IF(C64&gt;1,IF(C64&lt;99,VLOOKUP(C64,'MSA-Lookup'!$H$1:$I$86,2),C64),C64)</f>
        <v>680</v>
      </c>
      <c r="G64" s="0" t="n">
        <f aca="false">VLOOKUP(E64,'MSA-Lookup'!$AA$1:$AB$25,2)</f>
        <v>6690</v>
      </c>
      <c r="H64" s="0" t="n">
        <f aca="false">IF(C64&gt;1,IF(C64&lt;99,VLOOKUP(F64,'MSA-Lookup'!$AA$1:$AB$25,2),C64),C64)</f>
        <v>680</v>
      </c>
    </row>
    <row r="65" customFormat="false" ht="12.75" hidden="false" customHeight="false" outlineLevel="0" collapsed="false">
      <c r="A65" s="0" t="n">
        <f aca="false">B65*1000+C65</f>
        <v>4000</v>
      </c>
      <c r="B65" s="0" t="n">
        <v>4</v>
      </c>
      <c r="C65" s="0" t="n">
        <v>0</v>
      </c>
      <c r="D65" s="0" t="n">
        <v>79183</v>
      </c>
      <c r="E65" s="0" t="n">
        <f aca="false">VLOOKUP(B65,'MSA-Lookup'!$H$2:$I$86,2)</f>
        <v>9999</v>
      </c>
      <c r="F65" s="0" t="n">
        <f aca="false">IF(C65&gt;1,IF(C65&lt;99,VLOOKUP(C65,'MSA-Lookup'!$H$1:$I$86,2),C65),C65)</f>
        <v>0</v>
      </c>
      <c r="G65" s="0" t="n">
        <f aca="false">VLOOKUP(E65,'MSA-Lookup'!$AA$1:$AB$25,2)</f>
        <v>9999</v>
      </c>
      <c r="H65" s="0" t="n">
        <f aca="false">IF(C65&gt;1,IF(C65&lt;99,VLOOKUP(F65,'MSA-Lookup'!$AA$1:$AB$25,2),C65),C65)</f>
        <v>0</v>
      </c>
    </row>
    <row r="66" customFormat="false" ht="12.75" hidden="false" customHeight="false" outlineLevel="0" collapsed="false">
      <c r="A66" s="0" t="n">
        <f aca="false">B66*1000+C66</f>
        <v>4001</v>
      </c>
      <c r="B66" s="0" t="n">
        <v>4</v>
      </c>
      <c r="C66" s="0" t="n">
        <v>1</v>
      </c>
      <c r="D66" s="0" t="n">
        <v>0</v>
      </c>
      <c r="E66" s="0" t="n">
        <f aca="false">VLOOKUP(B66,'MSA-Lookup'!$H$2:$I$86,2)</f>
        <v>9999</v>
      </c>
      <c r="F66" s="0" t="n">
        <f aca="false">IF(C66&gt;1,IF(C66&lt;99,VLOOKUP(C66,'MSA-Lookup'!$H$1:$I$86,2),C66),C66)</f>
        <v>1</v>
      </c>
      <c r="G66" s="0" t="n">
        <f aca="false">VLOOKUP(E66,'MSA-Lookup'!$AA$1:$AB$25,2)</f>
        <v>9999</v>
      </c>
      <c r="H66" s="0" t="n">
        <f aca="false">IF(C66&gt;1,IF(C66&lt;99,VLOOKUP(F66,'MSA-Lookup'!$AA$1:$AB$25,2),C66),C66)</f>
        <v>1</v>
      </c>
    </row>
    <row r="67" customFormat="false" ht="12.75" hidden="false" customHeight="false" outlineLevel="0" collapsed="false">
      <c r="A67" s="0" t="n">
        <f aca="false">B67*1000+C67</f>
        <v>4002</v>
      </c>
      <c r="B67" s="0" t="n">
        <v>4</v>
      </c>
      <c r="C67" s="0" t="n">
        <v>2</v>
      </c>
      <c r="D67" s="0" t="n">
        <v>0</v>
      </c>
      <c r="E67" s="0" t="n">
        <f aca="false">VLOOKUP(B67,'MSA-Lookup'!$H$2:$I$86,2)</f>
        <v>9999</v>
      </c>
      <c r="F67" s="0" t="n">
        <f aca="false">IF(C67&gt;1,IF(C67&lt;99,VLOOKUP(C67,'MSA-Lookup'!$H$1:$I$86,2),C67),C67)</f>
        <v>9999</v>
      </c>
      <c r="G67" s="0" t="n">
        <f aca="false">VLOOKUP(E67,'MSA-Lookup'!$AA$1:$AB$25,2)</f>
        <v>9999</v>
      </c>
      <c r="H67" s="0" t="n">
        <f aca="false">IF(C67&gt;1,IF(C67&lt;99,VLOOKUP(F67,'MSA-Lookup'!$AA$1:$AB$25,2),C67),C67)</f>
        <v>9999</v>
      </c>
    </row>
    <row r="68" customFormat="false" ht="12.75" hidden="false" customHeight="false" outlineLevel="0" collapsed="false">
      <c r="A68" s="0" t="n">
        <f aca="false">B68*1000+C68</f>
        <v>4003</v>
      </c>
      <c r="B68" s="0" t="n">
        <v>4</v>
      </c>
      <c r="C68" s="0" t="n">
        <v>3</v>
      </c>
      <c r="D68" s="0" t="n">
        <v>0</v>
      </c>
      <c r="E68" s="0" t="n">
        <f aca="false">VLOOKUP(B68,'MSA-Lookup'!$H$2:$I$86,2)</f>
        <v>9999</v>
      </c>
      <c r="F68" s="0" t="n">
        <f aca="false">IF(C68&gt;1,IF(C68&lt;99,VLOOKUP(C68,'MSA-Lookup'!$H$1:$I$86,2),C68),C68)</f>
        <v>6690</v>
      </c>
      <c r="G68" s="0" t="n">
        <f aca="false">VLOOKUP(E68,'MSA-Lookup'!$AA$1:$AB$25,2)</f>
        <v>9999</v>
      </c>
      <c r="H68" s="0" t="n">
        <f aca="false">IF(C68&gt;1,IF(C68&lt;99,VLOOKUP(F68,'MSA-Lookup'!$AA$1:$AB$25,2),C68),C68)</f>
        <v>6690</v>
      </c>
    </row>
    <row r="69" customFormat="false" ht="12.75" hidden="false" customHeight="false" outlineLevel="0" collapsed="false">
      <c r="A69" s="0" t="n">
        <f aca="false">B69*1000+C69</f>
        <v>4004</v>
      </c>
      <c r="B69" s="0" t="n">
        <v>4</v>
      </c>
      <c r="C69" s="0" t="n">
        <v>4</v>
      </c>
      <c r="D69" s="0" t="n">
        <v>47697</v>
      </c>
      <c r="E69" s="0" t="n">
        <f aca="false">VLOOKUP(B69,'MSA-Lookup'!$H$2:$I$86,2)</f>
        <v>9999</v>
      </c>
      <c r="F69" s="0" t="n">
        <f aca="false">IF(C69&gt;1,IF(C69&lt;99,VLOOKUP(C69,'MSA-Lookup'!$H$1:$I$86,2),C69),C69)</f>
        <v>9999</v>
      </c>
      <c r="G69" s="0" t="n">
        <f aca="false">VLOOKUP(E69,'MSA-Lookup'!$AA$1:$AB$25,2)</f>
        <v>9999</v>
      </c>
      <c r="H69" s="0" t="n">
        <f aca="false">IF(C69&gt;1,IF(C69&lt;99,VLOOKUP(F69,'MSA-Lookup'!$AA$1:$AB$25,2),C69),C69)</f>
        <v>9999</v>
      </c>
    </row>
    <row r="70" customFormat="false" ht="12.75" hidden="false" customHeight="false" outlineLevel="0" collapsed="false">
      <c r="A70" s="0" t="n">
        <f aca="false">B70*1000+C70</f>
        <v>4005</v>
      </c>
      <c r="B70" s="0" t="n">
        <v>4</v>
      </c>
      <c r="C70" s="0" t="n">
        <v>5</v>
      </c>
      <c r="D70" s="0" t="n">
        <v>39</v>
      </c>
      <c r="E70" s="0" t="n">
        <f aca="false">VLOOKUP(B70,'MSA-Lookup'!$H$2:$I$86,2)</f>
        <v>9999</v>
      </c>
      <c r="F70" s="0" t="n">
        <f aca="false">IF(C70&gt;1,IF(C70&lt;99,VLOOKUP(C70,'MSA-Lookup'!$H$1:$I$86,2),C70),C70)</f>
        <v>9999</v>
      </c>
      <c r="G70" s="0" t="n">
        <f aca="false">VLOOKUP(E70,'MSA-Lookup'!$AA$1:$AB$25,2)</f>
        <v>9999</v>
      </c>
      <c r="H70" s="0" t="n">
        <f aca="false">IF(C70&gt;1,IF(C70&lt;99,VLOOKUP(F70,'MSA-Lookup'!$AA$1:$AB$25,2),C70),C70)</f>
        <v>9999</v>
      </c>
    </row>
    <row r="71" customFormat="false" ht="12.75" hidden="false" customHeight="false" outlineLevel="0" collapsed="false">
      <c r="A71" s="0" t="n">
        <f aca="false">B71*1000+C71</f>
        <v>4006</v>
      </c>
      <c r="B71" s="0" t="n">
        <v>4</v>
      </c>
      <c r="C71" s="0" t="n">
        <v>6</v>
      </c>
      <c r="D71" s="0" t="n">
        <v>0</v>
      </c>
      <c r="E71" s="0" t="n">
        <f aca="false">VLOOKUP(B71,'MSA-Lookup'!$H$2:$I$86,2)</f>
        <v>9999</v>
      </c>
      <c r="F71" s="0" t="n">
        <f aca="false">IF(C71&gt;1,IF(C71&lt;99,VLOOKUP(C71,'MSA-Lookup'!$H$1:$I$86,2),C71),C71)</f>
        <v>1620</v>
      </c>
      <c r="G71" s="0" t="n">
        <f aca="false">VLOOKUP(E71,'MSA-Lookup'!$AA$1:$AB$25,2)</f>
        <v>9999</v>
      </c>
      <c r="H71" s="0" t="n">
        <f aca="false">IF(C71&gt;1,IF(C71&lt;99,VLOOKUP(F71,'MSA-Lookup'!$AA$1:$AB$25,2),C71),C71)</f>
        <v>1620</v>
      </c>
    </row>
    <row r="72" customFormat="false" ht="12.75" hidden="false" customHeight="false" outlineLevel="0" collapsed="false">
      <c r="A72" s="0" t="n">
        <f aca="false">B72*1000+C72</f>
        <v>4007</v>
      </c>
      <c r="B72" s="0" t="n">
        <v>4</v>
      </c>
      <c r="C72" s="0" t="n">
        <v>7</v>
      </c>
      <c r="D72" s="0" t="n">
        <v>182</v>
      </c>
      <c r="E72" s="0" t="n">
        <f aca="false">VLOOKUP(B72,'MSA-Lookup'!$H$2:$I$86,2)</f>
        <v>9999</v>
      </c>
      <c r="F72" s="0" t="n">
        <f aca="false">IF(C72&gt;1,IF(C72&lt;99,VLOOKUP(C72,'MSA-Lookup'!$H$1:$I$86,2),C72),C72)</f>
        <v>9999</v>
      </c>
      <c r="G72" s="0" t="n">
        <f aca="false">VLOOKUP(E72,'MSA-Lookup'!$AA$1:$AB$25,2)</f>
        <v>9999</v>
      </c>
      <c r="H72" s="0" t="n">
        <f aca="false">IF(C72&gt;1,IF(C72&lt;99,VLOOKUP(F72,'MSA-Lookup'!$AA$1:$AB$25,2),C72),C72)</f>
        <v>9999</v>
      </c>
    </row>
    <row r="73" customFormat="false" ht="12.75" hidden="false" customHeight="false" outlineLevel="0" collapsed="false">
      <c r="A73" s="0" t="n">
        <f aca="false">B73*1000+C73</f>
        <v>4008</v>
      </c>
      <c r="B73" s="0" t="n">
        <v>4</v>
      </c>
      <c r="C73" s="0" t="n">
        <v>8</v>
      </c>
      <c r="D73" s="0" t="n">
        <v>117</v>
      </c>
      <c r="E73" s="0" t="n">
        <f aca="false">VLOOKUP(B73,'MSA-Lookup'!$H$2:$I$86,2)</f>
        <v>9999</v>
      </c>
      <c r="F73" s="0" t="n">
        <f aca="false">IF(C73&gt;1,IF(C73&lt;99,VLOOKUP(C73,'MSA-Lookup'!$H$1:$I$86,2),C73),C73)</f>
        <v>9340</v>
      </c>
      <c r="G73" s="0" t="n">
        <f aca="false">VLOOKUP(E73,'MSA-Lookup'!$AA$1:$AB$25,2)</f>
        <v>9999</v>
      </c>
      <c r="H73" s="0" t="n">
        <f aca="false">IF(C73&gt;1,IF(C73&lt;99,VLOOKUP(F73,'MSA-Lookup'!$AA$1:$AB$25,2),C73),C73)</f>
        <v>9340</v>
      </c>
    </row>
    <row r="74" customFormat="false" ht="12.75" hidden="false" customHeight="false" outlineLevel="0" collapsed="false">
      <c r="A74" s="0" t="n">
        <f aca="false">B74*1000+C74</f>
        <v>4009</v>
      </c>
      <c r="B74" s="0" t="n">
        <v>4</v>
      </c>
      <c r="C74" s="0" t="n">
        <v>9</v>
      </c>
      <c r="D74" s="0" t="n">
        <v>65</v>
      </c>
      <c r="E74" s="0" t="n">
        <f aca="false">VLOOKUP(B74,'MSA-Lookup'!$H$2:$I$86,2)</f>
        <v>9999</v>
      </c>
      <c r="F74" s="0" t="n">
        <f aca="false">IF(C74&gt;1,IF(C74&lt;99,VLOOKUP(C74,'MSA-Lookup'!$H$1:$I$86,2),C74),C74)</f>
        <v>8720</v>
      </c>
      <c r="G74" s="0" t="n">
        <f aca="false">VLOOKUP(E74,'MSA-Lookup'!$AA$1:$AB$25,2)</f>
        <v>9999</v>
      </c>
      <c r="H74" s="0" t="n">
        <f aca="false">IF(C74&gt;1,IF(C74&lt;99,VLOOKUP(F74,'MSA-Lookup'!$AA$1:$AB$25,2),C74),C74)</f>
        <v>7362</v>
      </c>
    </row>
    <row r="75" customFormat="false" ht="12.75" hidden="false" customHeight="false" outlineLevel="0" collapsed="false">
      <c r="A75" s="0" t="n">
        <f aca="false">B75*1000+C75</f>
        <v>4010</v>
      </c>
      <c r="B75" s="0" t="n">
        <v>4</v>
      </c>
      <c r="C75" s="0" t="n">
        <v>10</v>
      </c>
      <c r="D75" s="0" t="n">
        <v>0</v>
      </c>
      <c r="E75" s="0" t="n">
        <f aca="false">VLOOKUP(B75,'MSA-Lookup'!$H$2:$I$86,2)</f>
        <v>9999</v>
      </c>
      <c r="F75" s="0" t="n">
        <f aca="false">IF(C75&gt;1,IF(C75&lt;99,VLOOKUP(C75,'MSA-Lookup'!$H$1:$I$86,2),C75),C75)</f>
        <v>6920</v>
      </c>
      <c r="G75" s="0" t="n">
        <f aca="false">VLOOKUP(E75,'MSA-Lookup'!$AA$1:$AB$25,2)</f>
        <v>9999</v>
      </c>
      <c r="H75" s="0" t="n">
        <f aca="false">IF(C75&gt;1,IF(C75&lt;99,VLOOKUP(F75,'MSA-Lookup'!$AA$1:$AB$25,2),C75),C75)</f>
        <v>6920</v>
      </c>
    </row>
    <row r="76" customFormat="false" ht="12.75" hidden="false" customHeight="false" outlineLevel="0" collapsed="false">
      <c r="A76" s="0" t="n">
        <f aca="false">B76*1000+C76</f>
        <v>4013</v>
      </c>
      <c r="B76" s="0" t="n">
        <v>4</v>
      </c>
      <c r="C76" s="0" t="n">
        <v>13</v>
      </c>
      <c r="D76" s="0" t="n">
        <v>260</v>
      </c>
      <c r="E76" s="0" t="n">
        <f aca="false">VLOOKUP(B76,'MSA-Lookup'!$H$2:$I$86,2)</f>
        <v>9999</v>
      </c>
      <c r="F76" s="0" t="n">
        <f aca="false">IF(C76&gt;1,IF(C76&lt;99,VLOOKUP(C76,'MSA-Lookup'!$H$1:$I$86,2),C76),C76)</f>
        <v>7500</v>
      </c>
      <c r="G76" s="0" t="n">
        <f aca="false">VLOOKUP(E76,'MSA-Lookup'!$AA$1:$AB$25,2)</f>
        <v>9999</v>
      </c>
      <c r="H76" s="0" t="n">
        <f aca="false">IF(C76&gt;1,IF(C76&lt;99,VLOOKUP(F76,'MSA-Lookup'!$AA$1:$AB$25,2),C76),C76)</f>
        <v>7362</v>
      </c>
    </row>
    <row r="77" customFormat="false" ht="12.75" hidden="false" customHeight="false" outlineLevel="0" collapsed="false">
      <c r="A77" s="0" t="n">
        <f aca="false">B77*1000+C77</f>
        <v>4014</v>
      </c>
      <c r="B77" s="0" t="n">
        <v>4</v>
      </c>
      <c r="C77" s="0" t="n">
        <v>14</v>
      </c>
      <c r="D77" s="0" t="n">
        <v>1209</v>
      </c>
      <c r="E77" s="0" t="n">
        <f aca="false">VLOOKUP(B77,'MSA-Lookup'!$H$2:$I$86,2)</f>
        <v>9999</v>
      </c>
      <c r="F77" s="0" t="n">
        <f aca="false">IF(C77&gt;1,IF(C77&lt;99,VLOOKUP(C77,'MSA-Lookup'!$H$1:$I$86,2),C77),C77)</f>
        <v>7500</v>
      </c>
      <c r="G77" s="0" t="n">
        <f aca="false">VLOOKUP(E77,'MSA-Lookup'!$AA$1:$AB$25,2)</f>
        <v>9999</v>
      </c>
      <c r="H77" s="0" t="n">
        <f aca="false">IF(C77&gt;1,IF(C77&lt;99,VLOOKUP(F77,'MSA-Lookup'!$AA$1:$AB$25,2),C77),C77)</f>
        <v>7362</v>
      </c>
    </row>
    <row r="78" customFormat="false" ht="12.75" hidden="false" customHeight="false" outlineLevel="0" collapsed="false">
      <c r="A78" s="0" t="n">
        <f aca="false">B78*1000+C78</f>
        <v>4015</v>
      </c>
      <c r="B78" s="0" t="n">
        <v>4</v>
      </c>
      <c r="C78" s="0" t="n">
        <v>15</v>
      </c>
      <c r="D78" s="0" t="n">
        <v>312</v>
      </c>
      <c r="E78" s="0" t="n">
        <f aca="false">VLOOKUP(B78,'MSA-Lookup'!$H$2:$I$86,2)</f>
        <v>9999</v>
      </c>
      <c r="F78" s="0" t="n">
        <f aca="false">IF(C78&gt;1,IF(C78&lt;99,VLOOKUP(C78,'MSA-Lookup'!$H$1:$I$86,2),C78),C78)</f>
        <v>7360</v>
      </c>
      <c r="G78" s="0" t="n">
        <f aca="false">VLOOKUP(E78,'MSA-Lookup'!$AA$1:$AB$25,2)</f>
        <v>9999</v>
      </c>
      <c r="H78" s="0" t="n">
        <f aca="false">IF(C78&gt;1,IF(C78&lt;99,VLOOKUP(F78,'MSA-Lookup'!$AA$1:$AB$25,2),C78),C78)</f>
        <v>7362</v>
      </c>
    </row>
    <row r="79" customFormat="false" ht="12.75" hidden="false" customHeight="false" outlineLevel="0" collapsed="false">
      <c r="A79" s="0" t="n">
        <f aca="false">B79*1000+C79</f>
        <v>4016</v>
      </c>
      <c r="B79" s="0" t="n">
        <v>4</v>
      </c>
      <c r="C79" s="0" t="n">
        <v>16</v>
      </c>
      <c r="D79" s="0" t="n">
        <v>0</v>
      </c>
      <c r="E79" s="0" t="n">
        <f aca="false">VLOOKUP(B79,'MSA-Lookup'!$H$2:$I$86,2)</f>
        <v>9999</v>
      </c>
      <c r="F79" s="0" t="n">
        <f aca="false">IF(C79&gt;1,IF(C79&lt;99,VLOOKUP(C79,'MSA-Lookup'!$H$1:$I$86,2),C79),C79)</f>
        <v>8720</v>
      </c>
      <c r="G79" s="0" t="n">
        <f aca="false">VLOOKUP(E79,'MSA-Lookup'!$AA$1:$AB$25,2)</f>
        <v>9999</v>
      </c>
      <c r="H79" s="0" t="n">
        <f aca="false">IF(C79&gt;1,IF(C79&lt;99,VLOOKUP(F79,'MSA-Lookup'!$AA$1:$AB$25,2),C79),C79)</f>
        <v>7362</v>
      </c>
    </row>
    <row r="80" customFormat="false" ht="12.75" hidden="false" customHeight="false" outlineLevel="0" collapsed="false">
      <c r="A80" s="0" t="n">
        <f aca="false">B80*1000+C80</f>
        <v>4017</v>
      </c>
      <c r="B80" s="0" t="n">
        <v>4</v>
      </c>
      <c r="C80" s="0" t="n">
        <v>17</v>
      </c>
      <c r="D80" s="0" t="n">
        <v>0</v>
      </c>
      <c r="E80" s="0" t="n">
        <f aca="false">VLOOKUP(B80,'MSA-Lookup'!$H$2:$I$86,2)</f>
        <v>9999</v>
      </c>
      <c r="F80" s="0" t="n">
        <f aca="false">IF(C80&gt;1,IF(C80&lt;99,VLOOKUP(C80,'MSA-Lookup'!$H$1:$I$86,2),C80),C80)</f>
        <v>5775</v>
      </c>
      <c r="G80" s="0" t="n">
        <f aca="false">VLOOKUP(E80,'MSA-Lookup'!$AA$1:$AB$25,2)</f>
        <v>9999</v>
      </c>
      <c r="H80" s="0" t="n">
        <f aca="false">IF(C80&gt;1,IF(C80&lt;99,VLOOKUP(F80,'MSA-Lookup'!$AA$1:$AB$25,2),C80),C80)</f>
        <v>7362</v>
      </c>
    </row>
    <row r="81" customFormat="false" ht="12.75" hidden="false" customHeight="false" outlineLevel="0" collapsed="false">
      <c r="A81" s="0" t="n">
        <f aca="false">B81*1000+C81</f>
        <v>4018</v>
      </c>
      <c r="B81" s="0" t="n">
        <v>4</v>
      </c>
      <c r="C81" s="0" t="n">
        <v>18</v>
      </c>
      <c r="D81" s="0" t="n">
        <v>0</v>
      </c>
      <c r="E81" s="0" t="n">
        <f aca="false">VLOOKUP(B81,'MSA-Lookup'!$H$2:$I$86,2)</f>
        <v>9999</v>
      </c>
      <c r="F81" s="0" t="n">
        <f aca="false">IF(C81&gt;1,IF(C81&lt;99,VLOOKUP(C81,'MSA-Lookup'!$H$1:$I$86,2),C81),C81)</f>
        <v>5775</v>
      </c>
      <c r="G81" s="0" t="n">
        <f aca="false">VLOOKUP(E81,'MSA-Lookup'!$AA$1:$AB$25,2)</f>
        <v>9999</v>
      </c>
      <c r="H81" s="0" t="n">
        <f aca="false">IF(C81&gt;1,IF(C81&lt;99,VLOOKUP(F81,'MSA-Lookup'!$AA$1:$AB$25,2),C81),C81)</f>
        <v>7362</v>
      </c>
    </row>
    <row r="82" customFormat="false" ht="12.75" hidden="false" customHeight="false" outlineLevel="0" collapsed="false">
      <c r="A82" s="0" t="n">
        <f aca="false">B82*1000+C82</f>
        <v>4019</v>
      </c>
      <c r="B82" s="0" t="n">
        <v>4</v>
      </c>
      <c r="C82" s="0" t="n">
        <v>19</v>
      </c>
      <c r="D82" s="0" t="n">
        <v>429</v>
      </c>
      <c r="E82" s="0" t="n">
        <f aca="false">VLOOKUP(B82,'MSA-Lookup'!$H$2:$I$86,2)</f>
        <v>9999</v>
      </c>
      <c r="F82" s="0" t="n">
        <f aca="false">IF(C82&gt;1,IF(C82&lt;99,VLOOKUP(C82,'MSA-Lookup'!$H$1:$I$86,2),C82),C82)</f>
        <v>7360</v>
      </c>
      <c r="G82" s="0" t="n">
        <f aca="false">VLOOKUP(E82,'MSA-Lookup'!$AA$1:$AB$25,2)</f>
        <v>9999</v>
      </c>
      <c r="H82" s="0" t="n">
        <f aca="false">IF(C82&gt;1,IF(C82&lt;99,VLOOKUP(F82,'MSA-Lookup'!$AA$1:$AB$25,2),C82),C82)</f>
        <v>7362</v>
      </c>
    </row>
    <row r="83" customFormat="false" ht="12.75" hidden="false" customHeight="false" outlineLevel="0" collapsed="false">
      <c r="A83" s="0" t="n">
        <f aca="false">B83*1000+C83</f>
        <v>4021</v>
      </c>
      <c r="B83" s="0" t="n">
        <v>4</v>
      </c>
      <c r="C83" s="0" t="n">
        <v>21</v>
      </c>
      <c r="D83" s="0" t="n">
        <v>195</v>
      </c>
      <c r="E83" s="0" t="n">
        <f aca="false">VLOOKUP(B83,'MSA-Lookup'!$H$2:$I$86,2)</f>
        <v>9999</v>
      </c>
      <c r="F83" s="0" t="n">
        <f aca="false">IF(C83&gt;1,IF(C83&lt;99,VLOOKUP(C83,'MSA-Lookup'!$H$1:$I$86,2),C83),C83)</f>
        <v>5775</v>
      </c>
      <c r="G83" s="0" t="n">
        <f aca="false">VLOOKUP(E83,'MSA-Lookup'!$AA$1:$AB$25,2)</f>
        <v>9999</v>
      </c>
      <c r="H83" s="0" t="n">
        <f aca="false">IF(C83&gt;1,IF(C83&lt;99,VLOOKUP(F83,'MSA-Lookup'!$AA$1:$AB$25,2),C83),C83)</f>
        <v>7362</v>
      </c>
    </row>
    <row r="84" customFormat="false" ht="12.75" hidden="false" customHeight="false" outlineLevel="0" collapsed="false">
      <c r="A84" s="0" t="n">
        <f aca="false">B84*1000+C84</f>
        <v>4022</v>
      </c>
      <c r="B84" s="0" t="n">
        <v>4</v>
      </c>
      <c r="C84" s="0" t="n">
        <v>22</v>
      </c>
      <c r="D84" s="0" t="n">
        <v>117</v>
      </c>
      <c r="E84" s="0" t="n">
        <f aca="false">VLOOKUP(B84,'MSA-Lookup'!$H$2:$I$86,2)</f>
        <v>9999</v>
      </c>
      <c r="F84" s="0" t="n">
        <f aca="false">IF(C84&gt;1,IF(C84&lt;99,VLOOKUP(C84,'MSA-Lookup'!$H$1:$I$86,2),C84),C84)</f>
        <v>7360</v>
      </c>
      <c r="G84" s="0" t="n">
        <f aca="false">VLOOKUP(E84,'MSA-Lookup'!$AA$1:$AB$25,2)</f>
        <v>9999</v>
      </c>
      <c r="H84" s="0" t="n">
        <f aca="false">IF(C84&gt;1,IF(C84&lt;99,VLOOKUP(F84,'MSA-Lookup'!$AA$1:$AB$25,2),C84),C84)</f>
        <v>7362</v>
      </c>
    </row>
    <row r="85" customFormat="false" ht="12.75" hidden="false" customHeight="false" outlineLevel="0" collapsed="false">
      <c r="A85" s="0" t="n">
        <f aca="false">B85*1000+C85</f>
        <v>4026</v>
      </c>
      <c r="B85" s="0" t="n">
        <v>4</v>
      </c>
      <c r="C85" s="0" t="n">
        <v>26</v>
      </c>
      <c r="D85" s="0" t="n">
        <v>0</v>
      </c>
      <c r="E85" s="0" t="n">
        <f aca="false">VLOOKUP(B85,'MSA-Lookup'!$H$2:$I$86,2)</f>
        <v>9999</v>
      </c>
      <c r="F85" s="0" t="n">
        <f aca="false">IF(C85&gt;1,IF(C85&lt;99,VLOOKUP(C85,'MSA-Lookup'!$H$1:$I$86,2),C85),C85)</f>
        <v>9999</v>
      </c>
      <c r="G85" s="0" t="n">
        <f aca="false">VLOOKUP(E85,'MSA-Lookup'!$AA$1:$AB$25,2)</f>
        <v>9999</v>
      </c>
      <c r="H85" s="0" t="n">
        <f aca="false">IF(C85&gt;1,IF(C85&lt;99,VLOOKUP(F85,'MSA-Lookup'!$AA$1:$AB$25,2),C85),C85)</f>
        <v>9999</v>
      </c>
    </row>
    <row r="86" customFormat="false" ht="12.75" hidden="false" customHeight="false" outlineLevel="0" collapsed="false">
      <c r="A86" s="0" t="n">
        <f aca="false">B86*1000+C86</f>
        <v>4028</v>
      </c>
      <c r="B86" s="0" t="n">
        <v>4</v>
      </c>
      <c r="C86" s="0" t="n">
        <v>28</v>
      </c>
      <c r="D86" s="0" t="n">
        <v>0</v>
      </c>
      <c r="E86" s="0" t="n">
        <f aca="false">VLOOKUP(B86,'MSA-Lookup'!$H$2:$I$86,2)</f>
        <v>9999</v>
      </c>
      <c r="F86" s="0" t="n">
        <f aca="false">IF(C86&gt;1,IF(C86&lt;99,VLOOKUP(C86,'MSA-Lookup'!$H$1:$I$86,2),C86),C86)</f>
        <v>6920</v>
      </c>
      <c r="G86" s="0" t="n">
        <f aca="false">VLOOKUP(E86,'MSA-Lookup'!$AA$1:$AB$25,2)</f>
        <v>9999</v>
      </c>
      <c r="H86" s="0" t="n">
        <f aca="false">IF(C86&gt;1,IF(C86&lt;99,VLOOKUP(F86,'MSA-Lookup'!$AA$1:$AB$25,2),C86),C86)</f>
        <v>6920</v>
      </c>
    </row>
    <row r="87" customFormat="false" ht="12.75" hidden="false" customHeight="false" outlineLevel="0" collapsed="false">
      <c r="A87" s="0" t="n">
        <f aca="false">B87*1000+C87</f>
        <v>4034</v>
      </c>
      <c r="B87" s="0" t="n">
        <v>4</v>
      </c>
      <c r="C87" s="0" t="n">
        <v>34</v>
      </c>
      <c r="D87" s="0" t="n">
        <v>91</v>
      </c>
      <c r="E87" s="0" t="n">
        <f aca="false">VLOOKUP(B87,'MSA-Lookup'!$H$2:$I$86,2)</f>
        <v>9999</v>
      </c>
      <c r="F87" s="0" t="n">
        <f aca="false">IF(C87&gt;1,IF(C87&lt;99,VLOOKUP(C87,'MSA-Lookup'!$H$1:$I$86,2),C87),C87)</f>
        <v>7320</v>
      </c>
      <c r="G87" s="0" t="n">
        <f aca="false">VLOOKUP(E87,'MSA-Lookup'!$AA$1:$AB$25,2)</f>
        <v>9999</v>
      </c>
      <c r="H87" s="0" t="n">
        <f aca="false">IF(C87&gt;1,IF(C87&lt;99,VLOOKUP(F87,'MSA-Lookup'!$AA$1:$AB$25,2),C87),C87)</f>
        <v>7320</v>
      </c>
    </row>
    <row r="88" customFormat="false" ht="12.75" hidden="false" customHeight="false" outlineLevel="0" collapsed="false">
      <c r="A88" s="0" t="n">
        <f aca="false">B88*1000+C88</f>
        <v>4035</v>
      </c>
      <c r="B88" s="0" t="n">
        <v>4</v>
      </c>
      <c r="C88" s="0" t="n">
        <v>35</v>
      </c>
      <c r="D88" s="0" t="n">
        <v>0</v>
      </c>
      <c r="E88" s="0" t="n">
        <f aca="false">VLOOKUP(B88,'MSA-Lookup'!$H$2:$I$86,2)</f>
        <v>9999</v>
      </c>
      <c r="F88" s="0" t="n">
        <f aca="false">IF(C88&gt;1,IF(C88&lt;99,VLOOKUP(C88,'MSA-Lookup'!$H$1:$I$86,2),C88),C88)</f>
        <v>7320</v>
      </c>
      <c r="G88" s="0" t="n">
        <f aca="false">VLOOKUP(E88,'MSA-Lookup'!$AA$1:$AB$25,2)</f>
        <v>9999</v>
      </c>
      <c r="H88" s="0" t="n">
        <f aca="false">IF(C88&gt;1,IF(C88&lt;99,VLOOKUP(F88,'MSA-Lookup'!$AA$1:$AB$25,2),C88),C88)</f>
        <v>7320</v>
      </c>
    </row>
    <row r="89" customFormat="false" ht="12.75" hidden="false" customHeight="false" outlineLevel="0" collapsed="false">
      <c r="A89" s="0" t="n">
        <f aca="false">B89*1000+C89</f>
        <v>4040</v>
      </c>
      <c r="B89" s="0" t="n">
        <v>4</v>
      </c>
      <c r="C89" s="0" t="n">
        <v>40</v>
      </c>
      <c r="D89" s="0" t="n">
        <v>0</v>
      </c>
      <c r="E89" s="0" t="n">
        <f aca="false">VLOOKUP(B89,'MSA-Lookup'!$H$2:$I$86,2)</f>
        <v>9999</v>
      </c>
      <c r="F89" s="0" t="n">
        <f aca="false">IF(C89&gt;1,IF(C89&lt;99,VLOOKUP(C89,'MSA-Lookup'!$H$1:$I$86,2),C89),C89)</f>
        <v>2840</v>
      </c>
      <c r="G89" s="0" t="n">
        <f aca="false">VLOOKUP(E89,'MSA-Lookup'!$AA$1:$AB$25,2)</f>
        <v>9999</v>
      </c>
      <c r="H89" s="0" t="n">
        <f aca="false">IF(C89&gt;1,IF(C89&lt;99,VLOOKUP(F89,'MSA-Lookup'!$AA$1:$AB$25,2),C89),C89)</f>
        <v>2840</v>
      </c>
    </row>
    <row r="90" customFormat="false" ht="12.75" hidden="false" customHeight="false" outlineLevel="0" collapsed="false">
      <c r="A90" s="0" t="n">
        <f aca="false">B90*1000+C90</f>
        <v>4049</v>
      </c>
      <c r="B90" s="0" t="n">
        <v>4</v>
      </c>
      <c r="C90" s="0" t="n">
        <v>49</v>
      </c>
      <c r="D90" s="0" t="n">
        <v>0</v>
      </c>
      <c r="E90" s="0" t="n">
        <f aca="false">VLOOKUP(B90,'MSA-Lookup'!$H$2:$I$86,2)</f>
        <v>9999</v>
      </c>
      <c r="F90" s="0" t="n">
        <f aca="false">IF(C90&gt;1,IF(C90&lt;99,VLOOKUP(C90,'MSA-Lookup'!$H$1:$I$86,2),C90),C90)</f>
        <v>7400</v>
      </c>
      <c r="G90" s="0" t="n">
        <f aca="false">VLOOKUP(E90,'MSA-Lookup'!$AA$1:$AB$25,2)</f>
        <v>9999</v>
      </c>
      <c r="H90" s="0" t="n">
        <f aca="false">IF(C90&gt;1,IF(C90&lt;99,VLOOKUP(F90,'MSA-Lookup'!$AA$1:$AB$25,2),C90),C90)</f>
        <v>7362</v>
      </c>
    </row>
    <row r="91" customFormat="false" ht="12.75" hidden="false" customHeight="false" outlineLevel="0" collapsed="false">
      <c r="A91" s="0" t="n">
        <f aca="false">B91*1000+C91</f>
        <v>4050</v>
      </c>
      <c r="B91" s="0" t="n">
        <v>4</v>
      </c>
      <c r="C91" s="0" t="n">
        <v>50</v>
      </c>
      <c r="D91" s="0" t="n">
        <v>130</v>
      </c>
      <c r="E91" s="0" t="n">
        <f aca="false">VLOOKUP(B91,'MSA-Lookup'!$H$2:$I$86,2)</f>
        <v>9999</v>
      </c>
      <c r="F91" s="0" t="n">
        <f aca="false">IF(C91&gt;1,IF(C91&lt;99,VLOOKUP(C91,'MSA-Lookup'!$H$1:$I$86,2),C91),C91)</f>
        <v>7400</v>
      </c>
      <c r="G91" s="0" t="n">
        <f aca="false">VLOOKUP(E91,'MSA-Lookup'!$AA$1:$AB$25,2)</f>
        <v>9999</v>
      </c>
      <c r="H91" s="0" t="n">
        <f aca="false">IF(C91&gt;1,IF(C91&lt;99,VLOOKUP(F91,'MSA-Lookup'!$AA$1:$AB$25,2),C91),C91)</f>
        <v>7362</v>
      </c>
    </row>
    <row r="92" customFormat="false" ht="12.75" hidden="false" customHeight="false" outlineLevel="0" collapsed="false">
      <c r="A92" s="0" t="n">
        <f aca="false">B92*1000+C92</f>
        <v>4051</v>
      </c>
      <c r="B92" s="0" t="n">
        <v>4</v>
      </c>
      <c r="C92" s="0" t="n">
        <v>51</v>
      </c>
      <c r="D92" s="0" t="n">
        <v>52</v>
      </c>
      <c r="E92" s="0" t="n">
        <f aca="false">VLOOKUP(B92,'MSA-Lookup'!$H$2:$I$86,2)</f>
        <v>9999</v>
      </c>
      <c r="F92" s="0" t="n">
        <f aca="false">IF(C92&gt;1,IF(C92&lt;99,VLOOKUP(C92,'MSA-Lookup'!$H$1:$I$86,2),C92),C92)</f>
        <v>7400</v>
      </c>
      <c r="G92" s="0" t="n">
        <f aca="false">VLOOKUP(E92,'MSA-Lookup'!$AA$1:$AB$25,2)</f>
        <v>9999</v>
      </c>
      <c r="H92" s="0" t="n">
        <f aca="false">IF(C92&gt;1,IF(C92&lt;99,VLOOKUP(F92,'MSA-Lookup'!$AA$1:$AB$25,2),C92),C92)</f>
        <v>7362</v>
      </c>
    </row>
    <row r="93" customFormat="false" ht="12.75" hidden="false" customHeight="false" outlineLevel="0" collapsed="false">
      <c r="A93" s="0" t="n">
        <f aca="false">B93*1000+C93</f>
        <v>4065</v>
      </c>
      <c r="B93" s="0" t="n">
        <v>4</v>
      </c>
      <c r="C93" s="0" t="n">
        <v>65</v>
      </c>
      <c r="D93" s="0" t="n">
        <v>117</v>
      </c>
      <c r="E93" s="0" t="n">
        <f aca="false">VLOOKUP(B93,'MSA-Lookup'!$H$2:$I$86,2)</f>
        <v>9999</v>
      </c>
      <c r="F93" s="0" t="n">
        <f aca="false">IF(C93&gt;1,IF(C93&lt;99,VLOOKUP(C93,'MSA-Lookup'!$H$1:$I$86,2),C93),C93)</f>
        <v>4480</v>
      </c>
      <c r="G93" s="0" t="n">
        <f aca="false">VLOOKUP(E93,'MSA-Lookup'!$AA$1:$AB$25,2)</f>
        <v>9999</v>
      </c>
      <c r="H93" s="0" t="n">
        <f aca="false">IF(C93&gt;1,IF(C93&lt;99,VLOOKUP(F93,'MSA-Lookup'!$AA$1:$AB$25,2),C93),C93)</f>
        <v>4472</v>
      </c>
    </row>
    <row r="94" customFormat="false" ht="12.75" hidden="false" customHeight="false" outlineLevel="0" collapsed="false">
      <c r="A94" s="0" t="n">
        <f aca="false">B94*1000+C94</f>
        <v>4069</v>
      </c>
      <c r="B94" s="0" t="n">
        <v>4</v>
      </c>
      <c r="C94" s="0" t="n">
        <v>69</v>
      </c>
      <c r="D94" s="0" t="n">
        <v>0</v>
      </c>
      <c r="E94" s="0" t="n">
        <f aca="false">VLOOKUP(B94,'MSA-Lookup'!$H$2:$I$86,2)</f>
        <v>9999</v>
      </c>
      <c r="F94" s="0" t="n">
        <f aca="false">IF(C94&gt;1,IF(C94&lt;99,VLOOKUP(C94,'MSA-Lookup'!$H$1:$I$86,2),C94),C94)</f>
        <v>6780</v>
      </c>
      <c r="G94" s="0" t="n">
        <f aca="false">VLOOKUP(E94,'MSA-Lookup'!$AA$1:$AB$25,2)</f>
        <v>9999</v>
      </c>
      <c r="H94" s="0" t="n">
        <f aca="false">IF(C94&gt;1,IF(C94&lt;99,VLOOKUP(F94,'MSA-Lookup'!$AA$1:$AB$25,2),C94),C94)</f>
        <v>4472</v>
      </c>
    </row>
    <row r="95" customFormat="false" ht="12.75" hidden="false" customHeight="false" outlineLevel="0" collapsed="false">
      <c r="A95" s="0" t="n">
        <f aca="false">B95*1000+C95</f>
        <v>4072</v>
      </c>
      <c r="B95" s="0" t="n">
        <v>4</v>
      </c>
      <c r="C95" s="0" t="n">
        <v>72</v>
      </c>
      <c r="D95" s="0" t="n">
        <v>0</v>
      </c>
      <c r="E95" s="0" t="n">
        <f aca="false">VLOOKUP(B95,'MSA-Lookup'!$H$2:$I$86,2)</f>
        <v>9999</v>
      </c>
      <c r="F95" s="0" t="n">
        <f aca="false">IF(C95&gt;1,IF(C95&lt;99,VLOOKUP(C95,'MSA-Lookup'!$H$1:$I$86,2),C95),C95)</f>
        <v>6780</v>
      </c>
      <c r="G95" s="0" t="n">
        <f aca="false">VLOOKUP(E95,'MSA-Lookup'!$AA$1:$AB$25,2)</f>
        <v>9999</v>
      </c>
      <c r="H95" s="0" t="n">
        <f aca="false">IF(C95&gt;1,IF(C95&lt;99,VLOOKUP(F95,'MSA-Lookup'!$AA$1:$AB$25,2),C95),C95)</f>
        <v>4472</v>
      </c>
    </row>
    <row r="96" customFormat="false" ht="12.75" hidden="false" customHeight="false" outlineLevel="0" collapsed="false">
      <c r="A96" s="0" t="n">
        <f aca="false">B96*1000+C96</f>
        <v>4075</v>
      </c>
      <c r="B96" s="0" t="n">
        <v>4</v>
      </c>
      <c r="C96" s="0" t="n">
        <v>75</v>
      </c>
      <c r="D96" s="0" t="n">
        <v>0</v>
      </c>
      <c r="E96" s="0" t="n">
        <f aca="false">VLOOKUP(B96,'MSA-Lookup'!$H$2:$I$86,2)</f>
        <v>9999</v>
      </c>
      <c r="F96" s="0" t="n">
        <f aca="false">IF(C96&gt;1,IF(C96&lt;99,VLOOKUP(C96,'MSA-Lookup'!$H$1:$I$86,2),C96),C96)</f>
        <v>8780</v>
      </c>
      <c r="G96" s="0" t="n">
        <f aca="false">VLOOKUP(E96,'MSA-Lookup'!$AA$1:$AB$25,2)</f>
        <v>9999</v>
      </c>
      <c r="H96" s="0" t="n">
        <f aca="false">IF(C96&gt;1,IF(C96&lt;99,VLOOKUP(F96,'MSA-Lookup'!$AA$1:$AB$25,2),C96),C96)</f>
        <v>8780</v>
      </c>
    </row>
    <row r="97" customFormat="false" ht="12.75" hidden="false" customHeight="false" outlineLevel="0" collapsed="false">
      <c r="A97" s="0" t="n">
        <f aca="false">B97*1000+C97</f>
        <v>4079</v>
      </c>
      <c r="B97" s="0" t="n">
        <v>4</v>
      </c>
      <c r="C97" s="0" t="n">
        <v>79</v>
      </c>
      <c r="D97" s="0" t="n">
        <v>0</v>
      </c>
      <c r="E97" s="0" t="n">
        <f aca="false">VLOOKUP(B97,'MSA-Lookup'!$H$2:$I$86,2)</f>
        <v>9999</v>
      </c>
      <c r="F97" s="0" t="n">
        <f aca="false">IF(C97&gt;1,IF(C97&lt;99,VLOOKUP(C97,'MSA-Lookup'!$H$1:$I$86,2),C97),C97)</f>
        <v>680</v>
      </c>
      <c r="G97" s="0" t="n">
        <f aca="false">VLOOKUP(E97,'MSA-Lookup'!$AA$1:$AB$25,2)</f>
        <v>9999</v>
      </c>
      <c r="H97" s="0" t="n">
        <f aca="false">IF(C97&gt;1,IF(C97&lt;99,VLOOKUP(F97,'MSA-Lookup'!$AA$1:$AB$25,2),C97),C97)</f>
        <v>680</v>
      </c>
    </row>
    <row r="98" customFormat="false" ht="12.75" hidden="false" customHeight="false" outlineLevel="0" collapsed="false">
      <c r="A98" s="0" t="n">
        <f aca="false">B98*1000+C98</f>
        <v>4999</v>
      </c>
      <c r="B98" s="0" t="n">
        <v>4</v>
      </c>
      <c r="C98" s="0" t="n">
        <v>999</v>
      </c>
      <c r="D98" s="0" t="n">
        <v>78</v>
      </c>
      <c r="E98" s="0" t="n">
        <f aca="false">VLOOKUP(B98,'MSA-Lookup'!$H$2:$I$86,2)</f>
        <v>9999</v>
      </c>
      <c r="F98" s="0" t="n">
        <f aca="false">IF(C98&gt;1,IF(C98&lt;99,VLOOKUP(C98,'MSA-Lookup'!$H$1:$I$86,2),C98),C98)</f>
        <v>999</v>
      </c>
      <c r="G98" s="0" t="n">
        <f aca="false">VLOOKUP(E98,'MSA-Lookup'!$AA$1:$AB$25,2)</f>
        <v>9999</v>
      </c>
      <c r="H98" s="0" t="n">
        <f aca="false">IF(C98&gt;1,IF(C98&lt;99,VLOOKUP(F98,'MSA-Lookup'!$AA$1:$AB$25,2),C98),C98)</f>
        <v>999</v>
      </c>
    </row>
    <row r="99" customFormat="false" ht="12.75" hidden="false" customHeight="false" outlineLevel="0" collapsed="false">
      <c r="A99" s="0" t="n">
        <f aca="false">B99*1000+C99</f>
        <v>5000</v>
      </c>
      <c r="B99" s="0" t="n">
        <v>5</v>
      </c>
      <c r="C99" s="0" t="n">
        <v>0</v>
      </c>
      <c r="D99" s="0" t="n">
        <v>66183</v>
      </c>
      <c r="E99" s="0" t="n">
        <f aca="false">VLOOKUP(B99,'MSA-Lookup'!$H$2:$I$86,2)</f>
        <v>9999</v>
      </c>
      <c r="F99" s="0" t="n">
        <f aca="false">IF(C99&gt;1,IF(C99&lt;99,VLOOKUP(C99,'MSA-Lookup'!$H$1:$I$86,2),C99),C99)</f>
        <v>0</v>
      </c>
      <c r="G99" s="0" t="n">
        <f aca="false">VLOOKUP(E99,'MSA-Lookup'!$AA$1:$AB$25,2)</f>
        <v>9999</v>
      </c>
      <c r="H99" s="0" t="n">
        <f aca="false">IF(C99&gt;1,IF(C99&lt;99,VLOOKUP(F99,'MSA-Lookup'!$AA$1:$AB$25,2),C99),C99)</f>
        <v>0</v>
      </c>
    </row>
    <row r="100" customFormat="false" ht="12.75" hidden="false" customHeight="false" outlineLevel="0" collapsed="false">
      <c r="A100" s="0" t="n">
        <f aca="false">B100*1000+C100</f>
        <v>5001</v>
      </c>
      <c r="B100" s="0" t="n">
        <v>5</v>
      </c>
      <c r="C100" s="0" t="n">
        <v>1</v>
      </c>
      <c r="D100" s="0" t="n">
        <v>0</v>
      </c>
      <c r="E100" s="0" t="n">
        <f aca="false">VLOOKUP(B100,'MSA-Lookup'!$H$2:$I$86,2)</f>
        <v>9999</v>
      </c>
      <c r="F100" s="0" t="n">
        <f aca="false">IF(C100&gt;1,IF(C100&lt;99,VLOOKUP(C100,'MSA-Lookup'!$H$1:$I$86,2),C100),C100)</f>
        <v>1</v>
      </c>
      <c r="G100" s="0" t="n">
        <f aca="false">VLOOKUP(E100,'MSA-Lookup'!$AA$1:$AB$25,2)</f>
        <v>9999</v>
      </c>
      <c r="H100" s="0" t="n">
        <f aca="false">IF(C100&gt;1,IF(C100&lt;99,VLOOKUP(F100,'MSA-Lookup'!$AA$1:$AB$25,2),C100),C100)</f>
        <v>1</v>
      </c>
    </row>
    <row r="101" customFormat="false" ht="12.75" hidden="false" customHeight="false" outlineLevel="0" collapsed="false">
      <c r="A101" s="0" t="n">
        <f aca="false">B101*1000+C101</f>
        <v>5002</v>
      </c>
      <c r="B101" s="0" t="n">
        <v>5</v>
      </c>
      <c r="C101" s="0" t="n">
        <v>2</v>
      </c>
      <c r="D101" s="0" t="n">
        <v>533</v>
      </c>
      <c r="E101" s="0" t="n">
        <f aca="false">VLOOKUP(B101,'MSA-Lookup'!$H$2:$I$86,2)</f>
        <v>9999</v>
      </c>
      <c r="F101" s="0" t="n">
        <f aca="false">IF(C101&gt;1,IF(C101&lt;99,VLOOKUP(C101,'MSA-Lookup'!$H$1:$I$86,2),C101),C101)</f>
        <v>9999</v>
      </c>
      <c r="G101" s="0" t="n">
        <f aca="false">VLOOKUP(E101,'MSA-Lookup'!$AA$1:$AB$25,2)</f>
        <v>9999</v>
      </c>
      <c r="H101" s="0" t="n">
        <f aca="false">IF(C101&gt;1,IF(C101&lt;99,VLOOKUP(F101,'MSA-Lookup'!$AA$1:$AB$25,2),C101),C101)</f>
        <v>9999</v>
      </c>
    </row>
    <row r="102" customFormat="false" ht="12.75" hidden="false" customHeight="false" outlineLevel="0" collapsed="false">
      <c r="A102" s="0" t="n">
        <f aca="false">B102*1000+C102</f>
        <v>5003</v>
      </c>
      <c r="B102" s="0" t="n">
        <v>5</v>
      </c>
      <c r="C102" s="0" t="n">
        <v>3</v>
      </c>
      <c r="D102" s="0" t="n">
        <v>2275</v>
      </c>
      <c r="E102" s="0" t="n">
        <f aca="false">VLOOKUP(B102,'MSA-Lookup'!$H$2:$I$86,2)</f>
        <v>9999</v>
      </c>
      <c r="F102" s="0" t="n">
        <f aca="false">IF(C102&gt;1,IF(C102&lt;99,VLOOKUP(C102,'MSA-Lookup'!$H$1:$I$86,2),C102),C102)</f>
        <v>6690</v>
      </c>
      <c r="G102" s="0" t="n">
        <f aca="false">VLOOKUP(E102,'MSA-Lookup'!$AA$1:$AB$25,2)</f>
        <v>9999</v>
      </c>
      <c r="H102" s="0" t="n">
        <f aca="false">IF(C102&gt;1,IF(C102&lt;99,VLOOKUP(F102,'MSA-Lookup'!$AA$1:$AB$25,2),C102),C102)</f>
        <v>6690</v>
      </c>
    </row>
    <row r="103" customFormat="false" ht="12.75" hidden="false" customHeight="false" outlineLevel="0" collapsed="false">
      <c r="A103" s="0" t="n">
        <f aca="false">B103*1000+C103</f>
        <v>5004</v>
      </c>
      <c r="B103" s="0" t="n">
        <v>5</v>
      </c>
      <c r="C103" s="0" t="n">
        <v>4</v>
      </c>
      <c r="D103" s="0" t="n">
        <v>65</v>
      </c>
      <c r="E103" s="0" t="n">
        <f aca="false">VLOOKUP(B103,'MSA-Lookup'!$H$2:$I$86,2)</f>
        <v>9999</v>
      </c>
      <c r="F103" s="0" t="n">
        <f aca="false">IF(C103&gt;1,IF(C103&lt;99,VLOOKUP(C103,'MSA-Lookup'!$H$1:$I$86,2),C103),C103)</f>
        <v>9999</v>
      </c>
      <c r="G103" s="0" t="n">
        <f aca="false">VLOOKUP(E103,'MSA-Lookup'!$AA$1:$AB$25,2)</f>
        <v>9999</v>
      </c>
      <c r="H103" s="0" t="n">
        <f aca="false">IF(C103&gt;1,IF(C103&lt;99,VLOOKUP(F103,'MSA-Lookup'!$AA$1:$AB$25,2),C103),C103)</f>
        <v>9999</v>
      </c>
    </row>
    <row r="104" customFormat="false" ht="12.75" hidden="false" customHeight="false" outlineLevel="0" collapsed="false">
      <c r="A104" s="0" t="n">
        <f aca="false">B104*1000+C104</f>
        <v>5005</v>
      </c>
      <c r="B104" s="0" t="n">
        <v>5</v>
      </c>
      <c r="C104" s="0" t="n">
        <v>5</v>
      </c>
      <c r="D104" s="0" t="n">
        <v>28613</v>
      </c>
      <c r="E104" s="0" t="n">
        <f aca="false">VLOOKUP(B104,'MSA-Lookup'!$H$2:$I$86,2)</f>
        <v>9999</v>
      </c>
      <c r="F104" s="0" t="n">
        <f aca="false">IF(C104&gt;1,IF(C104&lt;99,VLOOKUP(C104,'MSA-Lookup'!$H$1:$I$86,2),C104),C104)</f>
        <v>9999</v>
      </c>
      <c r="G104" s="0" t="n">
        <f aca="false">VLOOKUP(E104,'MSA-Lookup'!$AA$1:$AB$25,2)</f>
        <v>9999</v>
      </c>
      <c r="H104" s="0" t="n">
        <f aca="false">IF(C104&gt;1,IF(C104&lt;99,VLOOKUP(F104,'MSA-Lookup'!$AA$1:$AB$25,2),C104),C104)</f>
        <v>9999</v>
      </c>
    </row>
    <row r="105" customFormat="false" ht="12.75" hidden="false" customHeight="false" outlineLevel="0" collapsed="false">
      <c r="A105" s="0" t="n">
        <f aca="false">B105*1000+C105</f>
        <v>5006</v>
      </c>
      <c r="B105" s="0" t="n">
        <v>5</v>
      </c>
      <c r="C105" s="0" t="n">
        <v>6</v>
      </c>
      <c r="D105" s="0" t="n">
        <v>1105</v>
      </c>
      <c r="E105" s="0" t="n">
        <f aca="false">VLOOKUP(B105,'MSA-Lookup'!$H$2:$I$86,2)</f>
        <v>9999</v>
      </c>
      <c r="F105" s="0" t="n">
        <f aca="false">IF(C105&gt;1,IF(C105&lt;99,VLOOKUP(C105,'MSA-Lookup'!$H$1:$I$86,2),C105),C105)</f>
        <v>1620</v>
      </c>
      <c r="G105" s="0" t="n">
        <f aca="false">VLOOKUP(E105,'MSA-Lookup'!$AA$1:$AB$25,2)</f>
        <v>9999</v>
      </c>
      <c r="H105" s="0" t="n">
        <f aca="false">IF(C105&gt;1,IF(C105&lt;99,VLOOKUP(F105,'MSA-Lookup'!$AA$1:$AB$25,2),C105),C105)</f>
        <v>1620</v>
      </c>
    </row>
    <row r="106" customFormat="false" ht="12.75" hidden="false" customHeight="false" outlineLevel="0" collapsed="false">
      <c r="A106" s="0" t="n">
        <f aca="false">B106*1000+C106</f>
        <v>5007</v>
      </c>
      <c r="B106" s="0" t="n">
        <v>5</v>
      </c>
      <c r="C106" s="0" t="n">
        <v>7</v>
      </c>
      <c r="D106" s="0" t="n">
        <v>572</v>
      </c>
      <c r="E106" s="0" t="n">
        <f aca="false">VLOOKUP(B106,'MSA-Lookup'!$H$2:$I$86,2)</f>
        <v>9999</v>
      </c>
      <c r="F106" s="0" t="n">
        <f aca="false">IF(C106&gt;1,IF(C106&lt;99,VLOOKUP(C106,'MSA-Lookup'!$H$1:$I$86,2),C106),C106)</f>
        <v>9999</v>
      </c>
      <c r="G106" s="0" t="n">
        <f aca="false">VLOOKUP(E106,'MSA-Lookup'!$AA$1:$AB$25,2)</f>
        <v>9999</v>
      </c>
      <c r="H106" s="0" t="n">
        <f aca="false">IF(C106&gt;1,IF(C106&lt;99,VLOOKUP(F106,'MSA-Lookup'!$AA$1:$AB$25,2),C106),C106)</f>
        <v>9999</v>
      </c>
    </row>
    <row r="107" customFormat="false" ht="12.75" hidden="false" customHeight="false" outlineLevel="0" collapsed="false">
      <c r="A107" s="0" t="n">
        <f aca="false">B107*1000+C107</f>
        <v>5008</v>
      </c>
      <c r="B107" s="0" t="n">
        <v>5</v>
      </c>
      <c r="C107" s="0" t="n">
        <v>8</v>
      </c>
      <c r="D107" s="0" t="n">
        <v>0</v>
      </c>
      <c r="E107" s="0" t="n">
        <f aca="false">VLOOKUP(B107,'MSA-Lookup'!$H$2:$I$86,2)</f>
        <v>9999</v>
      </c>
      <c r="F107" s="0" t="n">
        <f aca="false">IF(C107&gt;1,IF(C107&lt;99,VLOOKUP(C107,'MSA-Lookup'!$H$1:$I$86,2),C107),C107)</f>
        <v>9340</v>
      </c>
      <c r="G107" s="0" t="n">
        <f aca="false">VLOOKUP(E107,'MSA-Lookup'!$AA$1:$AB$25,2)</f>
        <v>9999</v>
      </c>
      <c r="H107" s="0" t="n">
        <f aca="false">IF(C107&gt;1,IF(C107&lt;99,VLOOKUP(F107,'MSA-Lookup'!$AA$1:$AB$25,2),C107),C107)</f>
        <v>9340</v>
      </c>
    </row>
    <row r="108" customFormat="false" ht="12.75" hidden="false" customHeight="false" outlineLevel="0" collapsed="false">
      <c r="A108" s="0" t="n">
        <f aca="false">B108*1000+C108</f>
        <v>5009</v>
      </c>
      <c r="B108" s="0" t="n">
        <v>5</v>
      </c>
      <c r="C108" s="0" t="n">
        <v>9</v>
      </c>
      <c r="D108" s="0" t="n">
        <v>0</v>
      </c>
      <c r="E108" s="0" t="n">
        <f aca="false">VLOOKUP(B108,'MSA-Lookup'!$H$2:$I$86,2)</f>
        <v>9999</v>
      </c>
      <c r="F108" s="0" t="n">
        <f aca="false">IF(C108&gt;1,IF(C108&lt;99,VLOOKUP(C108,'MSA-Lookup'!$H$1:$I$86,2),C108),C108)</f>
        <v>8720</v>
      </c>
      <c r="G108" s="0" t="n">
        <f aca="false">VLOOKUP(E108,'MSA-Lookup'!$AA$1:$AB$25,2)</f>
        <v>9999</v>
      </c>
      <c r="H108" s="0" t="n">
        <f aca="false">IF(C108&gt;1,IF(C108&lt;99,VLOOKUP(F108,'MSA-Lookup'!$AA$1:$AB$25,2),C108),C108)</f>
        <v>7362</v>
      </c>
    </row>
    <row r="109" customFormat="false" ht="12.75" hidden="false" customHeight="false" outlineLevel="0" collapsed="false">
      <c r="A109" s="0" t="n">
        <f aca="false">B109*1000+C109</f>
        <v>5010</v>
      </c>
      <c r="B109" s="0" t="n">
        <v>5</v>
      </c>
      <c r="C109" s="0" t="n">
        <v>10</v>
      </c>
      <c r="D109" s="0" t="n">
        <v>0</v>
      </c>
      <c r="E109" s="0" t="n">
        <f aca="false">VLOOKUP(B109,'MSA-Lookup'!$H$2:$I$86,2)</f>
        <v>9999</v>
      </c>
      <c r="F109" s="0" t="n">
        <f aca="false">IF(C109&gt;1,IF(C109&lt;99,VLOOKUP(C109,'MSA-Lookup'!$H$1:$I$86,2),C109),C109)</f>
        <v>6920</v>
      </c>
      <c r="G109" s="0" t="n">
        <f aca="false">VLOOKUP(E109,'MSA-Lookup'!$AA$1:$AB$25,2)</f>
        <v>9999</v>
      </c>
      <c r="H109" s="0" t="n">
        <f aca="false">IF(C109&gt;1,IF(C109&lt;99,VLOOKUP(F109,'MSA-Lookup'!$AA$1:$AB$25,2),C109),C109)</f>
        <v>6920</v>
      </c>
    </row>
    <row r="110" customFormat="false" ht="12.75" hidden="false" customHeight="false" outlineLevel="0" collapsed="false">
      <c r="A110" s="0" t="n">
        <f aca="false">B110*1000+C110</f>
        <v>5011</v>
      </c>
      <c r="B110" s="0" t="n">
        <v>5</v>
      </c>
      <c r="C110" s="0" t="n">
        <v>11</v>
      </c>
      <c r="D110" s="0" t="n">
        <v>143</v>
      </c>
      <c r="E110" s="0" t="n">
        <f aca="false">VLOOKUP(B110,'MSA-Lookup'!$H$2:$I$86,2)</f>
        <v>9999</v>
      </c>
      <c r="F110" s="0" t="n">
        <f aca="false">IF(C110&gt;1,IF(C110&lt;99,VLOOKUP(C110,'MSA-Lookup'!$H$1:$I$86,2),C110),C110)</f>
        <v>6920</v>
      </c>
      <c r="G110" s="0" t="n">
        <f aca="false">VLOOKUP(E110,'MSA-Lookup'!$AA$1:$AB$25,2)</f>
        <v>9999</v>
      </c>
      <c r="H110" s="0" t="n">
        <f aca="false">IF(C110&gt;1,IF(C110&lt;99,VLOOKUP(F110,'MSA-Lookup'!$AA$1:$AB$25,2),C110),C110)</f>
        <v>6920</v>
      </c>
    </row>
    <row r="111" customFormat="false" ht="12.75" hidden="false" customHeight="false" outlineLevel="0" collapsed="false">
      <c r="A111" s="0" t="n">
        <f aca="false">B111*1000+C111</f>
        <v>5013</v>
      </c>
      <c r="B111" s="0" t="n">
        <v>5</v>
      </c>
      <c r="C111" s="0" t="n">
        <v>13</v>
      </c>
      <c r="D111" s="0" t="n">
        <v>0</v>
      </c>
      <c r="E111" s="0" t="n">
        <f aca="false">VLOOKUP(B111,'MSA-Lookup'!$H$2:$I$86,2)</f>
        <v>9999</v>
      </c>
      <c r="F111" s="0" t="n">
        <f aca="false">IF(C111&gt;1,IF(C111&lt;99,VLOOKUP(C111,'MSA-Lookup'!$H$1:$I$86,2),C111),C111)</f>
        <v>7500</v>
      </c>
      <c r="G111" s="0" t="n">
        <f aca="false">VLOOKUP(E111,'MSA-Lookup'!$AA$1:$AB$25,2)</f>
        <v>9999</v>
      </c>
      <c r="H111" s="0" t="n">
        <f aca="false">IF(C111&gt;1,IF(C111&lt;99,VLOOKUP(F111,'MSA-Lookup'!$AA$1:$AB$25,2),C111),C111)</f>
        <v>7362</v>
      </c>
    </row>
    <row r="112" customFormat="false" ht="12.75" hidden="false" customHeight="false" outlineLevel="0" collapsed="false">
      <c r="A112" s="0" t="n">
        <f aca="false">B112*1000+C112</f>
        <v>5014</v>
      </c>
      <c r="B112" s="0" t="n">
        <v>5</v>
      </c>
      <c r="C112" s="0" t="n">
        <v>14</v>
      </c>
      <c r="D112" s="0" t="n">
        <v>0</v>
      </c>
      <c r="E112" s="0" t="n">
        <f aca="false">VLOOKUP(B112,'MSA-Lookup'!$H$2:$I$86,2)</f>
        <v>9999</v>
      </c>
      <c r="F112" s="0" t="n">
        <f aca="false">IF(C112&gt;1,IF(C112&lt;99,VLOOKUP(C112,'MSA-Lookup'!$H$1:$I$86,2),C112),C112)</f>
        <v>7500</v>
      </c>
      <c r="G112" s="0" t="n">
        <f aca="false">VLOOKUP(E112,'MSA-Lookup'!$AA$1:$AB$25,2)</f>
        <v>9999</v>
      </c>
      <c r="H112" s="0" t="n">
        <f aca="false">IF(C112&gt;1,IF(C112&lt;99,VLOOKUP(F112,'MSA-Lookup'!$AA$1:$AB$25,2),C112),C112)</f>
        <v>7362</v>
      </c>
    </row>
    <row r="113" customFormat="false" ht="12.75" hidden="false" customHeight="false" outlineLevel="0" collapsed="false">
      <c r="A113" s="0" t="n">
        <f aca="false">B113*1000+C113</f>
        <v>5015</v>
      </c>
      <c r="B113" s="0" t="n">
        <v>5</v>
      </c>
      <c r="C113" s="0" t="n">
        <v>15</v>
      </c>
      <c r="D113" s="0" t="n">
        <v>0</v>
      </c>
      <c r="E113" s="0" t="n">
        <f aca="false">VLOOKUP(B113,'MSA-Lookup'!$H$2:$I$86,2)</f>
        <v>9999</v>
      </c>
      <c r="F113" s="0" t="n">
        <f aca="false">IF(C113&gt;1,IF(C113&lt;99,VLOOKUP(C113,'MSA-Lookup'!$H$1:$I$86,2),C113),C113)</f>
        <v>7360</v>
      </c>
      <c r="G113" s="0" t="n">
        <f aca="false">VLOOKUP(E113,'MSA-Lookup'!$AA$1:$AB$25,2)</f>
        <v>9999</v>
      </c>
      <c r="H113" s="0" t="n">
        <f aca="false">IF(C113&gt;1,IF(C113&lt;99,VLOOKUP(F113,'MSA-Lookup'!$AA$1:$AB$25,2),C113),C113)</f>
        <v>7362</v>
      </c>
    </row>
    <row r="114" customFormat="false" ht="12.75" hidden="false" customHeight="false" outlineLevel="0" collapsed="false">
      <c r="A114" s="0" t="n">
        <f aca="false">B114*1000+C114</f>
        <v>5016</v>
      </c>
      <c r="B114" s="0" t="n">
        <v>5</v>
      </c>
      <c r="C114" s="0" t="n">
        <v>16</v>
      </c>
      <c r="D114" s="0" t="n">
        <v>286</v>
      </c>
      <c r="E114" s="0" t="n">
        <f aca="false">VLOOKUP(B114,'MSA-Lookup'!$H$2:$I$86,2)</f>
        <v>9999</v>
      </c>
      <c r="F114" s="0" t="n">
        <f aca="false">IF(C114&gt;1,IF(C114&lt;99,VLOOKUP(C114,'MSA-Lookup'!$H$1:$I$86,2),C114),C114)</f>
        <v>8720</v>
      </c>
      <c r="G114" s="0" t="n">
        <f aca="false">VLOOKUP(E114,'MSA-Lookup'!$AA$1:$AB$25,2)</f>
        <v>9999</v>
      </c>
      <c r="H114" s="0" t="n">
        <f aca="false">IF(C114&gt;1,IF(C114&lt;99,VLOOKUP(F114,'MSA-Lookup'!$AA$1:$AB$25,2),C114),C114)</f>
        <v>7362</v>
      </c>
    </row>
    <row r="115" customFormat="false" ht="12.75" hidden="false" customHeight="false" outlineLevel="0" collapsed="false">
      <c r="A115" s="0" t="n">
        <f aca="false">B115*1000+C115</f>
        <v>5017</v>
      </c>
      <c r="B115" s="0" t="n">
        <v>5</v>
      </c>
      <c r="C115" s="0" t="n">
        <v>17</v>
      </c>
      <c r="D115" s="0" t="n">
        <v>0</v>
      </c>
      <c r="E115" s="0" t="n">
        <f aca="false">VLOOKUP(B115,'MSA-Lookup'!$H$2:$I$86,2)</f>
        <v>9999</v>
      </c>
      <c r="F115" s="0" t="n">
        <f aca="false">IF(C115&gt;1,IF(C115&lt;99,VLOOKUP(C115,'MSA-Lookup'!$H$1:$I$86,2),C115),C115)</f>
        <v>5775</v>
      </c>
      <c r="G115" s="0" t="n">
        <f aca="false">VLOOKUP(E115,'MSA-Lookup'!$AA$1:$AB$25,2)</f>
        <v>9999</v>
      </c>
      <c r="H115" s="0" t="n">
        <f aca="false">IF(C115&gt;1,IF(C115&lt;99,VLOOKUP(F115,'MSA-Lookup'!$AA$1:$AB$25,2),C115),C115)</f>
        <v>7362</v>
      </c>
    </row>
    <row r="116" customFormat="false" ht="12.75" hidden="false" customHeight="false" outlineLevel="0" collapsed="false">
      <c r="A116" s="0" t="n">
        <f aca="false">B116*1000+C116</f>
        <v>5018</v>
      </c>
      <c r="B116" s="0" t="n">
        <v>5</v>
      </c>
      <c r="C116" s="0" t="n">
        <v>18</v>
      </c>
      <c r="D116" s="0" t="n">
        <v>182</v>
      </c>
      <c r="E116" s="0" t="n">
        <f aca="false">VLOOKUP(B116,'MSA-Lookup'!$H$2:$I$86,2)</f>
        <v>9999</v>
      </c>
      <c r="F116" s="0" t="n">
        <f aca="false">IF(C116&gt;1,IF(C116&lt;99,VLOOKUP(C116,'MSA-Lookup'!$H$1:$I$86,2),C116),C116)</f>
        <v>5775</v>
      </c>
      <c r="G116" s="0" t="n">
        <f aca="false">VLOOKUP(E116,'MSA-Lookup'!$AA$1:$AB$25,2)</f>
        <v>9999</v>
      </c>
      <c r="H116" s="0" t="n">
        <f aca="false">IF(C116&gt;1,IF(C116&lt;99,VLOOKUP(F116,'MSA-Lookup'!$AA$1:$AB$25,2),C116),C116)</f>
        <v>7362</v>
      </c>
    </row>
    <row r="117" customFormat="false" ht="12.75" hidden="false" customHeight="false" outlineLevel="0" collapsed="false">
      <c r="A117" s="0" t="n">
        <f aca="false">B117*1000+C117</f>
        <v>5019</v>
      </c>
      <c r="B117" s="0" t="n">
        <v>5</v>
      </c>
      <c r="C117" s="0" t="n">
        <v>19</v>
      </c>
      <c r="D117" s="0" t="n">
        <v>169</v>
      </c>
      <c r="E117" s="0" t="n">
        <f aca="false">VLOOKUP(B117,'MSA-Lookup'!$H$2:$I$86,2)</f>
        <v>9999</v>
      </c>
      <c r="F117" s="0" t="n">
        <f aca="false">IF(C117&gt;1,IF(C117&lt;99,VLOOKUP(C117,'MSA-Lookup'!$H$1:$I$86,2),C117),C117)</f>
        <v>7360</v>
      </c>
      <c r="G117" s="0" t="n">
        <f aca="false">VLOOKUP(E117,'MSA-Lookup'!$AA$1:$AB$25,2)</f>
        <v>9999</v>
      </c>
      <c r="H117" s="0" t="n">
        <f aca="false">IF(C117&gt;1,IF(C117&lt;99,VLOOKUP(F117,'MSA-Lookup'!$AA$1:$AB$25,2),C117),C117)</f>
        <v>7362</v>
      </c>
    </row>
    <row r="118" customFormat="false" ht="12.75" hidden="false" customHeight="false" outlineLevel="0" collapsed="false">
      <c r="A118" s="0" t="n">
        <f aca="false">B118*1000+C118</f>
        <v>5021</v>
      </c>
      <c r="B118" s="0" t="n">
        <v>5</v>
      </c>
      <c r="C118" s="0" t="n">
        <v>21</v>
      </c>
      <c r="D118" s="0" t="n">
        <v>0</v>
      </c>
      <c r="E118" s="0" t="n">
        <f aca="false">VLOOKUP(B118,'MSA-Lookup'!$H$2:$I$86,2)</f>
        <v>9999</v>
      </c>
      <c r="F118" s="0" t="n">
        <f aca="false">IF(C118&gt;1,IF(C118&lt;99,VLOOKUP(C118,'MSA-Lookup'!$H$1:$I$86,2),C118),C118)</f>
        <v>5775</v>
      </c>
      <c r="G118" s="0" t="n">
        <f aca="false">VLOOKUP(E118,'MSA-Lookup'!$AA$1:$AB$25,2)</f>
        <v>9999</v>
      </c>
      <c r="H118" s="0" t="n">
        <f aca="false">IF(C118&gt;1,IF(C118&lt;99,VLOOKUP(F118,'MSA-Lookup'!$AA$1:$AB$25,2),C118),C118)</f>
        <v>7362</v>
      </c>
    </row>
    <row r="119" customFormat="false" ht="12.75" hidden="false" customHeight="false" outlineLevel="0" collapsed="false">
      <c r="A119" s="0" t="n">
        <f aca="false">B119*1000+C119</f>
        <v>5022</v>
      </c>
      <c r="B119" s="0" t="n">
        <v>5</v>
      </c>
      <c r="C119" s="0" t="n">
        <v>22</v>
      </c>
      <c r="D119" s="0" t="n">
        <v>0</v>
      </c>
      <c r="E119" s="0" t="n">
        <f aca="false">VLOOKUP(B119,'MSA-Lookup'!$H$2:$I$86,2)</f>
        <v>9999</v>
      </c>
      <c r="F119" s="0" t="n">
        <f aca="false">IF(C119&gt;1,IF(C119&lt;99,VLOOKUP(C119,'MSA-Lookup'!$H$1:$I$86,2),C119),C119)</f>
        <v>7360</v>
      </c>
      <c r="G119" s="0" t="n">
        <f aca="false">VLOOKUP(E119,'MSA-Lookup'!$AA$1:$AB$25,2)</f>
        <v>9999</v>
      </c>
      <c r="H119" s="0" t="n">
        <f aca="false">IF(C119&gt;1,IF(C119&lt;99,VLOOKUP(F119,'MSA-Lookup'!$AA$1:$AB$25,2),C119),C119)</f>
        <v>7362</v>
      </c>
    </row>
    <row r="120" customFormat="false" ht="12.75" hidden="false" customHeight="false" outlineLevel="0" collapsed="false">
      <c r="A120" s="0" t="n">
        <f aca="false">B120*1000+C120</f>
        <v>5026</v>
      </c>
      <c r="B120" s="0" t="n">
        <v>5</v>
      </c>
      <c r="C120" s="0" t="n">
        <v>26</v>
      </c>
      <c r="D120" s="0" t="n">
        <v>0</v>
      </c>
      <c r="E120" s="0" t="n">
        <f aca="false">VLOOKUP(B120,'MSA-Lookup'!$H$2:$I$86,2)</f>
        <v>9999</v>
      </c>
      <c r="F120" s="0" t="n">
        <f aca="false">IF(C120&gt;1,IF(C120&lt;99,VLOOKUP(C120,'MSA-Lookup'!$H$1:$I$86,2),C120),C120)</f>
        <v>9999</v>
      </c>
      <c r="G120" s="0" t="n">
        <f aca="false">VLOOKUP(E120,'MSA-Lookup'!$AA$1:$AB$25,2)</f>
        <v>9999</v>
      </c>
      <c r="H120" s="0" t="n">
        <f aca="false">IF(C120&gt;1,IF(C120&lt;99,VLOOKUP(F120,'MSA-Lookup'!$AA$1:$AB$25,2),C120),C120)</f>
        <v>9999</v>
      </c>
    </row>
    <row r="121" customFormat="false" ht="12.75" hidden="false" customHeight="false" outlineLevel="0" collapsed="false">
      <c r="A121" s="0" t="n">
        <f aca="false">B121*1000+C121</f>
        <v>5028</v>
      </c>
      <c r="B121" s="0" t="n">
        <v>5</v>
      </c>
      <c r="C121" s="0" t="n">
        <v>28</v>
      </c>
      <c r="D121" s="0" t="n">
        <v>0</v>
      </c>
      <c r="E121" s="0" t="n">
        <f aca="false">VLOOKUP(B121,'MSA-Lookup'!$H$2:$I$86,2)</f>
        <v>9999</v>
      </c>
      <c r="F121" s="0" t="n">
        <f aca="false">IF(C121&gt;1,IF(C121&lt;99,VLOOKUP(C121,'MSA-Lookup'!$H$1:$I$86,2),C121),C121)</f>
        <v>6920</v>
      </c>
      <c r="G121" s="0" t="n">
        <f aca="false">VLOOKUP(E121,'MSA-Lookup'!$AA$1:$AB$25,2)</f>
        <v>9999</v>
      </c>
      <c r="H121" s="0" t="n">
        <f aca="false">IF(C121&gt;1,IF(C121&lt;99,VLOOKUP(F121,'MSA-Lookup'!$AA$1:$AB$25,2),C121),C121)</f>
        <v>6920</v>
      </c>
    </row>
    <row r="122" customFormat="false" ht="12.75" hidden="false" customHeight="false" outlineLevel="0" collapsed="false">
      <c r="A122" s="0" t="n">
        <f aca="false">B122*1000+C122</f>
        <v>5034</v>
      </c>
      <c r="B122" s="0" t="n">
        <v>5</v>
      </c>
      <c r="C122" s="0" t="n">
        <v>34</v>
      </c>
      <c r="D122" s="0" t="n">
        <v>0</v>
      </c>
      <c r="E122" s="0" t="n">
        <f aca="false">VLOOKUP(B122,'MSA-Lookup'!$H$2:$I$86,2)</f>
        <v>9999</v>
      </c>
      <c r="F122" s="0" t="n">
        <f aca="false">IF(C122&gt;1,IF(C122&lt;99,VLOOKUP(C122,'MSA-Lookup'!$H$1:$I$86,2),C122),C122)</f>
        <v>7320</v>
      </c>
      <c r="G122" s="0" t="n">
        <f aca="false">VLOOKUP(E122,'MSA-Lookup'!$AA$1:$AB$25,2)</f>
        <v>9999</v>
      </c>
      <c r="H122" s="0" t="n">
        <f aca="false">IF(C122&gt;1,IF(C122&lt;99,VLOOKUP(F122,'MSA-Lookup'!$AA$1:$AB$25,2),C122),C122)</f>
        <v>7320</v>
      </c>
    </row>
    <row r="123" customFormat="false" ht="12.75" hidden="false" customHeight="false" outlineLevel="0" collapsed="false">
      <c r="A123" s="0" t="n">
        <f aca="false">B123*1000+C123</f>
        <v>5035</v>
      </c>
      <c r="B123" s="0" t="n">
        <v>5</v>
      </c>
      <c r="C123" s="0" t="n">
        <v>35</v>
      </c>
      <c r="D123" s="0" t="n">
        <v>0</v>
      </c>
      <c r="E123" s="0" t="n">
        <f aca="false">VLOOKUP(B123,'MSA-Lookup'!$H$2:$I$86,2)</f>
        <v>9999</v>
      </c>
      <c r="F123" s="0" t="n">
        <f aca="false">IF(C123&gt;1,IF(C123&lt;99,VLOOKUP(C123,'MSA-Lookup'!$H$1:$I$86,2),C123),C123)</f>
        <v>7320</v>
      </c>
      <c r="G123" s="0" t="n">
        <f aca="false">VLOOKUP(E123,'MSA-Lookup'!$AA$1:$AB$25,2)</f>
        <v>9999</v>
      </c>
      <c r="H123" s="0" t="n">
        <f aca="false">IF(C123&gt;1,IF(C123&lt;99,VLOOKUP(F123,'MSA-Lookup'!$AA$1:$AB$25,2),C123),C123)</f>
        <v>7320</v>
      </c>
    </row>
    <row r="124" customFormat="false" ht="12.75" hidden="false" customHeight="false" outlineLevel="0" collapsed="false">
      <c r="A124" s="0" t="n">
        <f aca="false">B124*1000+C124</f>
        <v>5040</v>
      </c>
      <c r="B124" s="0" t="n">
        <v>5</v>
      </c>
      <c r="C124" s="0" t="n">
        <v>40</v>
      </c>
      <c r="D124" s="0" t="n">
        <v>0</v>
      </c>
      <c r="E124" s="0" t="n">
        <f aca="false">VLOOKUP(B124,'MSA-Lookup'!$H$2:$I$86,2)</f>
        <v>9999</v>
      </c>
      <c r="F124" s="0" t="n">
        <f aca="false">IF(C124&gt;1,IF(C124&lt;99,VLOOKUP(C124,'MSA-Lookup'!$H$1:$I$86,2),C124),C124)</f>
        <v>2840</v>
      </c>
      <c r="G124" s="0" t="n">
        <f aca="false">VLOOKUP(E124,'MSA-Lookup'!$AA$1:$AB$25,2)</f>
        <v>9999</v>
      </c>
      <c r="H124" s="0" t="n">
        <f aca="false">IF(C124&gt;1,IF(C124&lt;99,VLOOKUP(F124,'MSA-Lookup'!$AA$1:$AB$25,2),C124),C124)</f>
        <v>2840</v>
      </c>
    </row>
    <row r="125" customFormat="false" ht="12.75" hidden="false" customHeight="false" outlineLevel="0" collapsed="false">
      <c r="A125" s="0" t="n">
        <f aca="false">B125*1000+C125</f>
        <v>5049</v>
      </c>
      <c r="B125" s="0" t="n">
        <v>5</v>
      </c>
      <c r="C125" s="0" t="n">
        <v>49</v>
      </c>
      <c r="D125" s="0" t="n">
        <v>143</v>
      </c>
      <c r="E125" s="0" t="n">
        <f aca="false">VLOOKUP(B125,'MSA-Lookup'!$H$2:$I$86,2)</f>
        <v>9999</v>
      </c>
      <c r="F125" s="0" t="n">
        <f aca="false">IF(C125&gt;1,IF(C125&lt;99,VLOOKUP(C125,'MSA-Lookup'!$H$1:$I$86,2),C125),C125)</f>
        <v>7400</v>
      </c>
      <c r="G125" s="0" t="n">
        <f aca="false">VLOOKUP(E125,'MSA-Lookup'!$AA$1:$AB$25,2)</f>
        <v>9999</v>
      </c>
      <c r="H125" s="0" t="n">
        <f aca="false">IF(C125&gt;1,IF(C125&lt;99,VLOOKUP(F125,'MSA-Lookup'!$AA$1:$AB$25,2),C125),C125)</f>
        <v>7362</v>
      </c>
    </row>
    <row r="126" customFormat="false" ht="12.75" hidden="false" customHeight="false" outlineLevel="0" collapsed="false">
      <c r="A126" s="0" t="n">
        <f aca="false">B126*1000+C126</f>
        <v>5050</v>
      </c>
      <c r="B126" s="0" t="n">
        <v>5</v>
      </c>
      <c r="C126" s="0" t="n">
        <v>50</v>
      </c>
      <c r="D126" s="0" t="n">
        <v>0</v>
      </c>
      <c r="E126" s="0" t="n">
        <f aca="false">VLOOKUP(B126,'MSA-Lookup'!$H$2:$I$86,2)</f>
        <v>9999</v>
      </c>
      <c r="F126" s="0" t="n">
        <f aca="false">IF(C126&gt;1,IF(C126&lt;99,VLOOKUP(C126,'MSA-Lookup'!$H$1:$I$86,2),C126),C126)</f>
        <v>7400</v>
      </c>
      <c r="G126" s="0" t="n">
        <f aca="false">VLOOKUP(E126,'MSA-Lookup'!$AA$1:$AB$25,2)</f>
        <v>9999</v>
      </c>
      <c r="H126" s="0" t="n">
        <f aca="false">IF(C126&gt;1,IF(C126&lt;99,VLOOKUP(F126,'MSA-Lookup'!$AA$1:$AB$25,2),C126),C126)</f>
        <v>7362</v>
      </c>
    </row>
    <row r="127" customFormat="false" ht="12.75" hidden="false" customHeight="false" outlineLevel="0" collapsed="false">
      <c r="A127" s="0" t="n">
        <f aca="false">B127*1000+C127</f>
        <v>5051</v>
      </c>
      <c r="B127" s="0" t="n">
        <v>5</v>
      </c>
      <c r="C127" s="0" t="n">
        <v>51</v>
      </c>
      <c r="D127" s="0" t="n">
        <v>0</v>
      </c>
      <c r="E127" s="0" t="n">
        <f aca="false">VLOOKUP(B127,'MSA-Lookup'!$H$2:$I$86,2)</f>
        <v>9999</v>
      </c>
      <c r="F127" s="0" t="n">
        <f aca="false">IF(C127&gt;1,IF(C127&lt;99,VLOOKUP(C127,'MSA-Lookup'!$H$1:$I$86,2),C127),C127)</f>
        <v>7400</v>
      </c>
      <c r="G127" s="0" t="n">
        <f aca="false">VLOOKUP(E127,'MSA-Lookup'!$AA$1:$AB$25,2)</f>
        <v>9999</v>
      </c>
      <c r="H127" s="0" t="n">
        <f aca="false">IF(C127&gt;1,IF(C127&lt;99,VLOOKUP(F127,'MSA-Lookup'!$AA$1:$AB$25,2),C127),C127)</f>
        <v>7362</v>
      </c>
    </row>
    <row r="128" customFormat="false" ht="12.75" hidden="false" customHeight="false" outlineLevel="0" collapsed="false">
      <c r="A128" s="0" t="n">
        <f aca="false">B128*1000+C128</f>
        <v>5065</v>
      </c>
      <c r="B128" s="0" t="n">
        <v>5</v>
      </c>
      <c r="C128" s="0" t="n">
        <v>65</v>
      </c>
      <c r="D128" s="0" t="n">
        <v>0</v>
      </c>
      <c r="E128" s="0" t="n">
        <f aca="false">VLOOKUP(B128,'MSA-Lookup'!$H$2:$I$86,2)</f>
        <v>9999</v>
      </c>
      <c r="F128" s="0" t="n">
        <f aca="false">IF(C128&gt;1,IF(C128&lt;99,VLOOKUP(C128,'MSA-Lookup'!$H$1:$I$86,2),C128),C128)</f>
        <v>4480</v>
      </c>
      <c r="G128" s="0" t="n">
        <f aca="false">VLOOKUP(E128,'MSA-Lookup'!$AA$1:$AB$25,2)</f>
        <v>9999</v>
      </c>
      <c r="H128" s="0" t="n">
        <f aca="false">IF(C128&gt;1,IF(C128&lt;99,VLOOKUP(F128,'MSA-Lookup'!$AA$1:$AB$25,2),C128),C128)</f>
        <v>4472</v>
      </c>
    </row>
    <row r="129" customFormat="false" ht="12.75" hidden="false" customHeight="false" outlineLevel="0" collapsed="false">
      <c r="A129" s="0" t="n">
        <f aca="false">B129*1000+C129</f>
        <v>5069</v>
      </c>
      <c r="B129" s="0" t="n">
        <v>5</v>
      </c>
      <c r="C129" s="0" t="n">
        <v>69</v>
      </c>
      <c r="D129" s="0" t="n">
        <v>0</v>
      </c>
      <c r="E129" s="0" t="n">
        <f aca="false">VLOOKUP(B129,'MSA-Lookup'!$H$2:$I$86,2)</f>
        <v>9999</v>
      </c>
      <c r="F129" s="0" t="n">
        <f aca="false">IF(C129&gt;1,IF(C129&lt;99,VLOOKUP(C129,'MSA-Lookup'!$H$1:$I$86,2),C129),C129)</f>
        <v>6780</v>
      </c>
      <c r="G129" s="0" t="n">
        <f aca="false">VLOOKUP(E129,'MSA-Lookup'!$AA$1:$AB$25,2)</f>
        <v>9999</v>
      </c>
      <c r="H129" s="0" t="n">
        <f aca="false">IF(C129&gt;1,IF(C129&lt;99,VLOOKUP(F129,'MSA-Lookup'!$AA$1:$AB$25,2),C129),C129)</f>
        <v>4472</v>
      </c>
    </row>
    <row r="130" customFormat="false" ht="12.75" hidden="false" customHeight="false" outlineLevel="0" collapsed="false">
      <c r="A130" s="0" t="n">
        <f aca="false">B130*1000+C130</f>
        <v>5072</v>
      </c>
      <c r="B130" s="0" t="n">
        <v>5</v>
      </c>
      <c r="C130" s="0" t="n">
        <v>72</v>
      </c>
      <c r="D130" s="0" t="n">
        <v>78</v>
      </c>
      <c r="E130" s="0" t="n">
        <f aca="false">VLOOKUP(B130,'MSA-Lookup'!$H$2:$I$86,2)</f>
        <v>9999</v>
      </c>
      <c r="F130" s="0" t="n">
        <f aca="false">IF(C130&gt;1,IF(C130&lt;99,VLOOKUP(C130,'MSA-Lookup'!$H$1:$I$86,2),C130),C130)</f>
        <v>6780</v>
      </c>
      <c r="G130" s="0" t="n">
        <f aca="false">VLOOKUP(E130,'MSA-Lookup'!$AA$1:$AB$25,2)</f>
        <v>9999</v>
      </c>
      <c r="H130" s="0" t="n">
        <f aca="false">IF(C130&gt;1,IF(C130&lt;99,VLOOKUP(F130,'MSA-Lookup'!$AA$1:$AB$25,2),C130),C130)</f>
        <v>4472</v>
      </c>
    </row>
    <row r="131" customFormat="false" ht="12.75" hidden="false" customHeight="false" outlineLevel="0" collapsed="false">
      <c r="A131" s="0" t="n">
        <f aca="false">B131*1000+C131</f>
        <v>5075</v>
      </c>
      <c r="B131" s="0" t="n">
        <v>5</v>
      </c>
      <c r="C131" s="0" t="n">
        <v>75</v>
      </c>
      <c r="D131" s="0" t="n">
        <v>0</v>
      </c>
      <c r="E131" s="0" t="n">
        <f aca="false">VLOOKUP(B131,'MSA-Lookup'!$H$2:$I$86,2)</f>
        <v>9999</v>
      </c>
      <c r="F131" s="0" t="n">
        <f aca="false">IF(C131&gt;1,IF(C131&lt;99,VLOOKUP(C131,'MSA-Lookup'!$H$1:$I$86,2),C131),C131)</f>
        <v>8780</v>
      </c>
      <c r="G131" s="0" t="n">
        <f aca="false">VLOOKUP(E131,'MSA-Lookup'!$AA$1:$AB$25,2)</f>
        <v>9999</v>
      </c>
      <c r="H131" s="0" t="n">
        <f aca="false">IF(C131&gt;1,IF(C131&lt;99,VLOOKUP(F131,'MSA-Lookup'!$AA$1:$AB$25,2),C131),C131)</f>
        <v>8780</v>
      </c>
    </row>
    <row r="132" customFormat="false" ht="12.75" hidden="false" customHeight="false" outlineLevel="0" collapsed="false">
      <c r="A132" s="0" t="n">
        <f aca="false">B132*1000+C132</f>
        <v>5079</v>
      </c>
      <c r="B132" s="0" t="n">
        <v>5</v>
      </c>
      <c r="C132" s="0" t="n">
        <v>79</v>
      </c>
      <c r="D132" s="0" t="n">
        <v>0</v>
      </c>
      <c r="E132" s="0" t="n">
        <f aca="false">VLOOKUP(B132,'MSA-Lookup'!$H$2:$I$86,2)</f>
        <v>9999</v>
      </c>
      <c r="F132" s="0" t="n">
        <f aca="false">IF(C132&gt;1,IF(C132&lt;99,VLOOKUP(C132,'MSA-Lookup'!$H$1:$I$86,2),C132),C132)</f>
        <v>680</v>
      </c>
      <c r="G132" s="0" t="n">
        <f aca="false">VLOOKUP(E132,'MSA-Lookup'!$AA$1:$AB$25,2)</f>
        <v>9999</v>
      </c>
      <c r="H132" s="0" t="n">
        <f aca="false">IF(C132&gt;1,IF(C132&lt;99,VLOOKUP(F132,'MSA-Lookup'!$AA$1:$AB$25,2),C132),C132)</f>
        <v>680</v>
      </c>
    </row>
    <row r="133" customFormat="false" ht="12.75" hidden="false" customHeight="false" outlineLevel="0" collapsed="false">
      <c r="A133" s="0" t="n">
        <f aca="false">B133*1000+C133</f>
        <v>5999</v>
      </c>
      <c r="B133" s="0" t="n">
        <v>5</v>
      </c>
      <c r="C133" s="0" t="n">
        <v>999</v>
      </c>
      <c r="D133" s="0" t="n">
        <v>0</v>
      </c>
      <c r="E133" s="0" t="n">
        <f aca="false">VLOOKUP(B133,'MSA-Lookup'!$H$2:$I$86,2)</f>
        <v>9999</v>
      </c>
      <c r="F133" s="0" t="n">
        <f aca="false">IF(C133&gt;1,IF(C133&lt;99,VLOOKUP(C133,'MSA-Lookup'!$H$1:$I$86,2),C133),C133)</f>
        <v>999</v>
      </c>
      <c r="G133" s="0" t="n">
        <f aca="false">VLOOKUP(E133,'MSA-Lookup'!$AA$1:$AB$25,2)</f>
        <v>9999</v>
      </c>
      <c r="H133" s="0" t="n">
        <f aca="false">IF(C133&gt;1,IF(C133&lt;99,VLOOKUP(F133,'MSA-Lookup'!$AA$1:$AB$25,2),C133),C133)</f>
        <v>999</v>
      </c>
    </row>
    <row r="134" customFormat="false" ht="12.75" hidden="false" customHeight="false" outlineLevel="0" collapsed="false">
      <c r="A134" s="0" t="n">
        <f aca="false">B134*1000+C134</f>
        <v>6000</v>
      </c>
      <c r="B134" s="0" t="n">
        <v>6</v>
      </c>
      <c r="C134" s="0" t="n">
        <v>0</v>
      </c>
      <c r="D134" s="0" t="n">
        <v>111722</v>
      </c>
      <c r="E134" s="0" t="n">
        <f aca="false">VLOOKUP(B134,'MSA-Lookup'!$H$2:$I$86,2)</f>
        <v>1620</v>
      </c>
      <c r="F134" s="0" t="n">
        <f aca="false">IF(C134&gt;1,IF(C134&lt;99,VLOOKUP(C134,'MSA-Lookup'!$H$1:$I$86,2),C134),C134)</f>
        <v>0</v>
      </c>
      <c r="G134" s="0" t="n">
        <f aca="false">VLOOKUP(E134,'MSA-Lookup'!$AA$1:$AB$25,2)</f>
        <v>1620</v>
      </c>
      <c r="H134" s="0" t="n">
        <f aca="false">IF(C134&gt;1,IF(C134&lt;99,VLOOKUP(F134,'MSA-Lookup'!$AA$1:$AB$25,2),C134),C134)</f>
        <v>0</v>
      </c>
    </row>
    <row r="135" customFormat="false" ht="12.75" hidden="false" customHeight="false" outlineLevel="0" collapsed="false">
      <c r="A135" s="0" t="n">
        <f aca="false">B135*1000+C135</f>
        <v>6001</v>
      </c>
      <c r="B135" s="0" t="n">
        <v>6</v>
      </c>
      <c r="C135" s="0" t="n">
        <v>1</v>
      </c>
      <c r="D135" s="0" t="n">
        <v>299</v>
      </c>
      <c r="E135" s="0" t="n">
        <f aca="false">VLOOKUP(B135,'MSA-Lookup'!$H$2:$I$86,2)</f>
        <v>1620</v>
      </c>
      <c r="F135" s="0" t="n">
        <f aca="false">IF(C135&gt;1,IF(C135&lt;99,VLOOKUP(C135,'MSA-Lookup'!$H$1:$I$86,2),C135),C135)</f>
        <v>1</v>
      </c>
      <c r="G135" s="0" t="n">
        <f aca="false">VLOOKUP(E135,'MSA-Lookup'!$AA$1:$AB$25,2)</f>
        <v>1620</v>
      </c>
      <c r="H135" s="0" t="n">
        <f aca="false">IF(C135&gt;1,IF(C135&lt;99,VLOOKUP(F135,'MSA-Lookup'!$AA$1:$AB$25,2),C135),C135)</f>
        <v>1</v>
      </c>
    </row>
    <row r="136" customFormat="false" ht="12.75" hidden="false" customHeight="false" outlineLevel="0" collapsed="false">
      <c r="A136" s="0" t="n">
        <f aca="false">B136*1000+C136</f>
        <v>6002</v>
      </c>
      <c r="B136" s="0" t="n">
        <v>6</v>
      </c>
      <c r="C136" s="0" t="n">
        <v>2</v>
      </c>
      <c r="D136" s="0" t="n">
        <v>0</v>
      </c>
      <c r="E136" s="0" t="n">
        <f aca="false">VLOOKUP(B136,'MSA-Lookup'!$H$2:$I$86,2)</f>
        <v>1620</v>
      </c>
      <c r="F136" s="0" t="n">
        <f aca="false">IF(C136&gt;1,IF(C136&lt;99,VLOOKUP(C136,'MSA-Lookup'!$H$1:$I$86,2),C136),C136)</f>
        <v>9999</v>
      </c>
      <c r="G136" s="0" t="n">
        <f aca="false">VLOOKUP(E136,'MSA-Lookup'!$AA$1:$AB$25,2)</f>
        <v>1620</v>
      </c>
      <c r="H136" s="0" t="n">
        <f aca="false">IF(C136&gt;1,IF(C136&lt;99,VLOOKUP(F136,'MSA-Lookup'!$AA$1:$AB$25,2),C136),C136)</f>
        <v>9999</v>
      </c>
    </row>
    <row r="137" customFormat="false" ht="12.75" hidden="false" customHeight="false" outlineLevel="0" collapsed="false">
      <c r="A137" s="0" t="n">
        <f aca="false">B137*1000+C137</f>
        <v>6003</v>
      </c>
      <c r="B137" s="0" t="n">
        <v>6</v>
      </c>
      <c r="C137" s="0" t="n">
        <v>3</v>
      </c>
      <c r="D137" s="0" t="n">
        <v>65</v>
      </c>
      <c r="E137" s="0" t="n">
        <f aca="false">VLOOKUP(B137,'MSA-Lookup'!$H$2:$I$86,2)</f>
        <v>1620</v>
      </c>
      <c r="F137" s="0" t="n">
        <f aca="false">IF(C137&gt;1,IF(C137&lt;99,VLOOKUP(C137,'MSA-Lookup'!$H$1:$I$86,2),C137),C137)</f>
        <v>6690</v>
      </c>
      <c r="G137" s="0" t="n">
        <f aca="false">VLOOKUP(E137,'MSA-Lookup'!$AA$1:$AB$25,2)</f>
        <v>1620</v>
      </c>
      <c r="H137" s="0" t="n">
        <f aca="false">IF(C137&gt;1,IF(C137&lt;99,VLOOKUP(F137,'MSA-Lookup'!$AA$1:$AB$25,2),C137),C137)</f>
        <v>6690</v>
      </c>
    </row>
    <row r="138" customFormat="false" ht="12.75" hidden="false" customHeight="false" outlineLevel="0" collapsed="false">
      <c r="A138" s="0" t="n">
        <f aca="false">B138*1000+C138</f>
        <v>6004</v>
      </c>
      <c r="B138" s="0" t="n">
        <v>6</v>
      </c>
      <c r="C138" s="0" t="n">
        <v>4</v>
      </c>
      <c r="D138" s="0" t="n">
        <v>0</v>
      </c>
      <c r="E138" s="0" t="n">
        <f aca="false">VLOOKUP(B138,'MSA-Lookup'!$H$2:$I$86,2)</f>
        <v>1620</v>
      </c>
      <c r="F138" s="0" t="n">
        <f aca="false">IF(C138&gt;1,IF(C138&lt;99,VLOOKUP(C138,'MSA-Lookup'!$H$1:$I$86,2),C138),C138)</f>
        <v>9999</v>
      </c>
      <c r="G138" s="0" t="n">
        <f aca="false">VLOOKUP(E138,'MSA-Lookup'!$AA$1:$AB$25,2)</f>
        <v>1620</v>
      </c>
      <c r="H138" s="0" t="n">
        <f aca="false">IF(C138&gt;1,IF(C138&lt;99,VLOOKUP(F138,'MSA-Lookup'!$AA$1:$AB$25,2),C138),C138)</f>
        <v>9999</v>
      </c>
    </row>
    <row r="139" customFormat="false" ht="12.75" hidden="false" customHeight="false" outlineLevel="0" collapsed="false">
      <c r="A139" s="0" t="n">
        <f aca="false">B139*1000+C139</f>
        <v>6005</v>
      </c>
      <c r="B139" s="0" t="n">
        <v>6</v>
      </c>
      <c r="C139" s="0" t="n">
        <v>5</v>
      </c>
      <c r="D139" s="0" t="n">
        <v>1391</v>
      </c>
      <c r="E139" s="0" t="n">
        <f aca="false">VLOOKUP(B139,'MSA-Lookup'!$H$2:$I$86,2)</f>
        <v>1620</v>
      </c>
      <c r="F139" s="0" t="n">
        <f aca="false">IF(C139&gt;1,IF(C139&lt;99,VLOOKUP(C139,'MSA-Lookup'!$H$1:$I$86,2),C139),C139)</f>
        <v>9999</v>
      </c>
      <c r="G139" s="0" t="n">
        <f aca="false">VLOOKUP(E139,'MSA-Lookup'!$AA$1:$AB$25,2)</f>
        <v>1620</v>
      </c>
      <c r="H139" s="0" t="n">
        <f aca="false">IF(C139&gt;1,IF(C139&lt;99,VLOOKUP(F139,'MSA-Lookup'!$AA$1:$AB$25,2),C139),C139)</f>
        <v>9999</v>
      </c>
    </row>
    <row r="140" customFormat="false" ht="12.75" hidden="false" customHeight="false" outlineLevel="0" collapsed="false">
      <c r="A140" s="0" t="n">
        <f aca="false">B140*1000+C140</f>
        <v>6006</v>
      </c>
      <c r="B140" s="0" t="n">
        <v>6</v>
      </c>
      <c r="C140" s="0" t="n">
        <v>6</v>
      </c>
      <c r="D140" s="0" t="n">
        <v>62647</v>
      </c>
      <c r="E140" s="0" t="n">
        <f aca="false">VLOOKUP(B140,'MSA-Lookup'!$H$2:$I$86,2)</f>
        <v>1620</v>
      </c>
      <c r="F140" s="0" t="n">
        <f aca="false">IF(C140&gt;1,IF(C140&lt;99,VLOOKUP(C140,'MSA-Lookup'!$H$1:$I$86,2),C140),C140)</f>
        <v>1620</v>
      </c>
      <c r="G140" s="0" t="n">
        <f aca="false">VLOOKUP(E140,'MSA-Lookup'!$AA$1:$AB$25,2)</f>
        <v>1620</v>
      </c>
      <c r="H140" s="0" t="n">
        <f aca="false">IF(C140&gt;1,IF(C140&lt;99,VLOOKUP(F140,'MSA-Lookup'!$AA$1:$AB$25,2),C140),C140)</f>
        <v>1620</v>
      </c>
    </row>
    <row r="141" customFormat="false" ht="12.75" hidden="false" customHeight="false" outlineLevel="0" collapsed="false">
      <c r="A141" s="0" t="n">
        <f aca="false">B141*1000+C141</f>
        <v>6007</v>
      </c>
      <c r="B141" s="0" t="n">
        <v>6</v>
      </c>
      <c r="C141" s="0" t="n">
        <v>7</v>
      </c>
      <c r="D141" s="0" t="n">
        <v>260</v>
      </c>
      <c r="E141" s="0" t="n">
        <f aca="false">VLOOKUP(B141,'MSA-Lookup'!$H$2:$I$86,2)</f>
        <v>1620</v>
      </c>
      <c r="F141" s="0" t="n">
        <f aca="false">IF(C141&gt;1,IF(C141&lt;99,VLOOKUP(C141,'MSA-Lookup'!$H$1:$I$86,2),C141),C141)</f>
        <v>9999</v>
      </c>
      <c r="G141" s="0" t="n">
        <f aca="false">VLOOKUP(E141,'MSA-Lookup'!$AA$1:$AB$25,2)</f>
        <v>1620</v>
      </c>
      <c r="H141" s="0" t="n">
        <f aca="false">IF(C141&gt;1,IF(C141&lt;99,VLOOKUP(F141,'MSA-Lookup'!$AA$1:$AB$25,2),C141),C141)</f>
        <v>9999</v>
      </c>
    </row>
    <row r="142" customFormat="false" ht="12.75" hidden="false" customHeight="false" outlineLevel="0" collapsed="false">
      <c r="A142" s="0" t="n">
        <f aca="false">B142*1000+C142</f>
        <v>6008</v>
      </c>
      <c r="B142" s="0" t="n">
        <v>6</v>
      </c>
      <c r="C142" s="0" t="n">
        <v>8</v>
      </c>
      <c r="D142" s="0" t="n">
        <v>1651</v>
      </c>
      <c r="E142" s="0" t="n">
        <f aca="false">VLOOKUP(B142,'MSA-Lookup'!$H$2:$I$86,2)</f>
        <v>1620</v>
      </c>
      <c r="F142" s="0" t="n">
        <f aca="false">IF(C142&gt;1,IF(C142&lt;99,VLOOKUP(C142,'MSA-Lookup'!$H$1:$I$86,2),C142),C142)</f>
        <v>9340</v>
      </c>
      <c r="G142" s="0" t="n">
        <f aca="false">VLOOKUP(E142,'MSA-Lookup'!$AA$1:$AB$25,2)</f>
        <v>1620</v>
      </c>
      <c r="H142" s="0" t="n">
        <f aca="false">IF(C142&gt;1,IF(C142&lt;99,VLOOKUP(F142,'MSA-Lookup'!$AA$1:$AB$25,2),C142),C142)</f>
        <v>9340</v>
      </c>
    </row>
    <row r="143" customFormat="false" ht="12.75" hidden="false" customHeight="false" outlineLevel="0" collapsed="false">
      <c r="A143" s="0" t="n">
        <f aca="false">B143*1000+C143</f>
        <v>6009</v>
      </c>
      <c r="B143" s="0" t="n">
        <v>6</v>
      </c>
      <c r="C143" s="0" t="n">
        <v>9</v>
      </c>
      <c r="D143" s="0" t="n">
        <v>117</v>
      </c>
      <c r="E143" s="0" t="n">
        <f aca="false">VLOOKUP(B143,'MSA-Lookup'!$H$2:$I$86,2)</f>
        <v>1620</v>
      </c>
      <c r="F143" s="0" t="n">
        <f aca="false">IF(C143&gt;1,IF(C143&lt;99,VLOOKUP(C143,'MSA-Lookup'!$H$1:$I$86,2),C143),C143)</f>
        <v>8720</v>
      </c>
      <c r="G143" s="0" t="n">
        <f aca="false">VLOOKUP(E143,'MSA-Lookup'!$AA$1:$AB$25,2)</f>
        <v>1620</v>
      </c>
      <c r="H143" s="0" t="n">
        <f aca="false">IF(C143&gt;1,IF(C143&lt;99,VLOOKUP(F143,'MSA-Lookup'!$AA$1:$AB$25,2),C143),C143)</f>
        <v>7362</v>
      </c>
    </row>
    <row r="144" customFormat="false" ht="12.75" hidden="false" customHeight="false" outlineLevel="0" collapsed="false">
      <c r="A144" s="0" t="n">
        <f aca="false">B144*1000+C144</f>
        <v>6010</v>
      </c>
      <c r="B144" s="0" t="n">
        <v>6</v>
      </c>
      <c r="C144" s="0" t="n">
        <v>10</v>
      </c>
      <c r="D144" s="0" t="n">
        <v>0</v>
      </c>
      <c r="E144" s="0" t="n">
        <f aca="false">VLOOKUP(B144,'MSA-Lookup'!$H$2:$I$86,2)</f>
        <v>1620</v>
      </c>
      <c r="F144" s="0" t="n">
        <f aca="false">IF(C144&gt;1,IF(C144&lt;99,VLOOKUP(C144,'MSA-Lookup'!$H$1:$I$86,2),C144),C144)</f>
        <v>6920</v>
      </c>
      <c r="G144" s="0" t="n">
        <f aca="false">VLOOKUP(E144,'MSA-Lookup'!$AA$1:$AB$25,2)</f>
        <v>1620</v>
      </c>
      <c r="H144" s="0" t="n">
        <f aca="false">IF(C144&gt;1,IF(C144&lt;99,VLOOKUP(F144,'MSA-Lookup'!$AA$1:$AB$25,2),C144),C144)</f>
        <v>6920</v>
      </c>
    </row>
    <row r="145" customFormat="false" ht="12.75" hidden="false" customHeight="false" outlineLevel="0" collapsed="false">
      <c r="A145" s="0" t="n">
        <f aca="false">B145*1000+C145</f>
        <v>6011</v>
      </c>
      <c r="B145" s="0" t="n">
        <v>6</v>
      </c>
      <c r="C145" s="0" t="n">
        <v>11</v>
      </c>
      <c r="D145" s="0" t="n">
        <v>117</v>
      </c>
      <c r="E145" s="0" t="n">
        <f aca="false">VLOOKUP(B145,'MSA-Lookup'!$H$2:$I$86,2)</f>
        <v>1620</v>
      </c>
      <c r="F145" s="0" t="n">
        <f aca="false">IF(C145&gt;1,IF(C145&lt;99,VLOOKUP(C145,'MSA-Lookup'!$H$1:$I$86,2),C145),C145)</f>
        <v>6920</v>
      </c>
      <c r="G145" s="0" t="n">
        <f aca="false">VLOOKUP(E145,'MSA-Lookup'!$AA$1:$AB$25,2)</f>
        <v>1620</v>
      </c>
      <c r="H145" s="0" t="n">
        <f aca="false">IF(C145&gt;1,IF(C145&lt;99,VLOOKUP(F145,'MSA-Lookup'!$AA$1:$AB$25,2),C145),C145)</f>
        <v>6920</v>
      </c>
    </row>
    <row r="146" customFormat="false" ht="12.75" hidden="false" customHeight="false" outlineLevel="0" collapsed="false">
      <c r="A146" s="0" t="n">
        <f aca="false">B146*1000+C146</f>
        <v>6013</v>
      </c>
      <c r="B146" s="0" t="n">
        <v>6</v>
      </c>
      <c r="C146" s="0" t="n">
        <v>13</v>
      </c>
      <c r="D146" s="0" t="n">
        <v>0</v>
      </c>
      <c r="E146" s="0" t="n">
        <f aca="false">VLOOKUP(B146,'MSA-Lookup'!$H$2:$I$86,2)</f>
        <v>1620</v>
      </c>
      <c r="F146" s="0" t="n">
        <f aca="false">IF(C146&gt;1,IF(C146&lt;99,VLOOKUP(C146,'MSA-Lookup'!$H$1:$I$86,2),C146),C146)</f>
        <v>7500</v>
      </c>
      <c r="G146" s="0" t="n">
        <f aca="false">VLOOKUP(E146,'MSA-Lookup'!$AA$1:$AB$25,2)</f>
        <v>1620</v>
      </c>
      <c r="H146" s="0" t="n">
        <f aca="false">IF(C146&gt;1,IF(C146&lt;99,VLOOKUP(F146,'MSA-Lookup'!$AA$1:$AB$25,2),C146),C146)</f>
        <v>7362</v>
      </c>
    </row>
    <row r="147" customFormat="false" ht="12.75" hidden="false" customHeight="false" outlineLevel="0" collapsed="false">
      <c r="A147" s="0" t="n">
        <f aca="false">B147*1000+C147</f>
        <v>6014</v>
      </c>
      <c r="B147" s="0" t="n">
        <v>6</v>
      </c>
      <c r="C147" s="0" t="n">
        <v>14</v>
      </c>
      <c r="D147" s="0" t="n">
        <v>0</v>
      </c>
      <c r="E147" s="0" t="n">
        <f aca="false">VLOOKUP(B147,'MSA-Lookup'!$H$2:$I$86,2)</f>
        <v>1620</v>
      </c>
      <c r="F147" s="0" t="n">
        <f aca="false">IF(C147&gt;1,IF(C147&lt;99,VLOOKUP(C147,'MSA-Lookup'!$H$1:$I$86,2),C147),C147)</f>
        <v>7500</v>
      </c>
      <c r="G147" s="0" t="n">
        <f aca="false">VLOOKUP(E147,'MSA-Lookup'!$AA$1:$AB$25,2)</f>
        <v>1620</v>
      </c>
      <c r="H147" s="0" t="n">
        <f aca="false">IF(C147&gt;1,IF(C147&lt;99,VLOOKUP(F147,'MSA-Lookup'!$AA$1:$AB$25,2),C147),C147)</f>
        <v>7362</v>
      </c>
    </row>
    <row r="148" customFormat="false" ht="12.75" hidden="false" customHeight="false" outlineLevel="0" collapsed="false">
      <c r="A148" s="0" t="n">
        <f aca="false">B148*1000+C148</f>
        <v>6015</v>
      </c>
      <c r="B148" s="0" t="n">
        <v>6</v>
      </c>
      <c r="C148" s="0" t="n">
        <v>15</v>
      </c>
      <c r="D148" s="0" t="n">
        <v>0</v>
      </c>
      <c r="E148" s="0" t="n">
        <f aca="false">VLOOKUP(B148,'MSA-Lookup'!$H$2:$I$86,2)</f>
        <v>1620</v>
      </c>
      <c r="F148" s="0" t="n">
        <f aca="false">IF(C148&gt;1,IF(C148&lt;99,VLOOKUP(C148,'MSA-Lookup'!$H$1:$I$86,2),C148),C148)</f>
        <v>7360</v>
      </c>
      <c r="G148" s="0" t="n">
        <f aca="false">VLOOKUP(E148,'MSA-Lookup'!$AA$1:$AB$25,2)</f>
        <v>1620</v>
      </c>
      <c r="H148" s="0" t="n">
        <f aca="false">IF(C148&gt;1,IF(C148&lt;99,VLOOKUP(F148,'MSA-Lookup'!$AA$1:$AB$25,2),C148),C148)</f>
        <v>7362</v>
      </c>
    </row>
    <row r="149" customFormat="false" ht="12.75" hidden="false" customHeight="false" outlineLevel="0" collapsed="false">
      <c r="A149" s="0" t="n">
        <f aca="false">B149*1000+C149</f>
        <v>6016</v>
      </c>
      <c r="B149" s="0" t="n">
        <v>6</v>
      </c>
      <c r="C149" s="0" t="n">
        <v>16</v>
      </c>
      <c r="D149" s="0" t="n">
        <v>117</v>
      </c>
      <c r="E149" s="0" t="n">
        <f aca="false">VLOOKUP(B149,'MSA-Lookup'!$H$2:$I$86,2)</f>
        <v>1620</v>
      </c>
      <c r="F149" s="0" t="n">
        <f aca="false">IF(C149&gt;1,IF(C149&lt;99,VLOOKUP(C149,'MSA-Lookup'!$H$1:$I$86,2),C149),C149)</f>
        <v>8720</v>
      </c>
      <c r="G149" s="0" t="n">
        <f aca="false">VLOOKUP(E149,'MSA-Lookup'!$AA$1:$AB$25,2)</f>
        <v>1620</v>
      </c>
      <c r="H149" s="0" t="n">
        <f aca="false">IF(C149&gt;1,IF(C149&lt;99,VLOOKUP(F149,'MSA-Lookup'!$AA$1:$AB$25,2),C149),C149)</f>
        <v>7362</v>
      </c>
    </row>
    <row r="150" customFormat="false" ht="12.75" hidden="false" customHeight="false" outlineLevel="0" collapsed="false">
      <c r="A150" s="0" t="n">
        <f aca="false">B150*1000+C150</f>
        <v>6017</v>
      </c>
      <c r="B150" s="0" t="n">
        <v>6</v>
      </c>
      <c r="C150" s="0" t="n">
        <v>17</v>
      </c>
      <c r="D150" s="0" t="n">
        <v>0</v>
      </c>
      <c r="E150" s="0" t="n">
        <f aca="false">VLOOKUP(B150,'MSA-Lookup'!$H$2:$I$86,2)</f>
        <v>1620</v>
      </c>
      <c r="F150" s="0" t="n">
        <f aca="false">IF(C150&gt;1,IF(C150&lt;99,VLOOKUP(C150,'MSA-Lookup'!$H$1:$I$86,2),C150),C150)</f>
        <v>5775</v>
      </c>
      <c r="G150" s="0" t="n">
        <f aca="false">VLOOKUP(E150,'MSA-Lookup'!$AA$1:$AB$25,2)</f>
        <v>1620</v>
      </c>
      <c r="H150" s="0" t="n">
        <f aca="false">IF(C150&gt;1,IF(C150&lt;99,VLOOKUP(F150,'MSA-Lookup'!$AA$1:$AB$25,2),C150),C150)</f>
        <v>7362</v>
      </c>
    </row>
    <row r="151" customFormat="false" ht="12.75" hidden="false" customHeight="false" outlineLevel="0" collapsed="false">
      <c r="A151" s="0" t="n">
        <f aca="false">B151*1000+C151</f>
        <v>6018</v>
      </c>
      <c r="B151" s="0" t="n">
        <v>6</v>
      </c>
      <c r="C151" s="0" t="n">
        <v>18</v>
      </c>
      <c r="D151" s="0" t="n">
        <v>0</v>
      </c>
      <c r="E151" s="0" t="n">
        <f aca="false">VLOOKUP(B151,'MSA-Lookup'!$H$2:$I$86,2)</f>
        <v>1620</v>
      </c>
      <c r="F151" s="0" t="n">
        <f aca="false">IF(C151&gt;1,IF(C151&lt;99,VLOOKUP(C151,'MSA-Lookup'!$H$1:$I$86,2),C151),C151)</f>
        <v>5775</v>
      </c>
      <c r="G151" s="0" t="n">
        <f aca="false">VLOOKUP(E151,'MSA-Lookup'!$AA$1:$AB$25,2)</f>
        <v>1620</v>
      </c>
      <c r="H151" s="0" t="n">
        <f aca="false">IF(C151&gt;1,IF(C151&lt;99,VLOOKUP(F151,'MSA-Lookup'!$AA$1:$AB$25,2),C151),C151)</f>
        <v>7362</v>
      </c>
    </row>
    <row r="152" customFormat="false" ht="12.75" hidden="false" customHeight="false" outlineLevel="0" collapsed="false">
      <c r="A152" s="0" t="n">
        <f aca="false">B152*1000+C152</f>
        <v>6019</v>
      </c>
      <c r="B152" s="0" t="n">
        <v>6</v>
      </c>
      <c r="C152" s="0" t="n">
        <v>19</v>
      </c>
      <c r="D152" s="0" t="n">
        <v>0</v>
      </c>
      <c r="E152" s="0" t="n">
        <f aca="false">VLOOKUP(B152,'MSA-Lookup'!$H$2:$I$86,2)</f>
        <v>1620</v>
      </c>
      <c r="F152" s="0" t="n">
        <f aca="false">IF(C152&gt;1,IF(C152&lt;99,VLOOKUP(C152,'MSA-Lookup'!$H$1:$I$86,2),C152),C152)</f>
        <v>7360</v>
      </c>
      <c r="G152" s="0" t="n">
        <f aca="false">VLOOKUP(E152,'MSA-Lookup'!$AA$1:$AB$25,2)</f>
        <v>1620</v>
      </c>
      <c r="H152" s="0" t="n">
        <f aca="false">IF(C152&gt;1,IF(C152&lt;99,VLOOKUP(F152,'MSA-Lookup'!$AA$1:$AB$25,2),C152),C152)</f>
        <v>7362</v>
      </c>
    </row>
    <row r="153" customFormat="false" ht="12.75" hidden="false" customHeight="false" outlineLevel="0" collapsed="false">
      <c r="A153" s="0" t="n">
        <f aca="false">B153*1000+C153</f>
        <v>6021</v>
      </c>
      <c r="B153" s="0" t="n">
        <v>6</v>
      </c>
      <c r="C153" s="0" t="n">
        <v>21</v>
      </c>
      <c r="D153" s="0" t="n">
        <v>0</v>
      </c>
      <c r="E153" s="0" t="n">
        <f aca="false">VLOOKUP(B153,'MSA-Lookup'!$H$2:$I$86,2)</f>
        <v>1620</v>
      </c>
      <c r="F153" s="0" t="n">
        <f aca="false">IF(C153&gt;1,IF(C153&lt;99,VLOOKUP(C153,'MSA-Lookup'!$H$1:$I$86,2),C153),C153)</f>
        <v>5775</v>
      </c>
      <c r="G153" s="0" t="n">
        <f aca="false">VLOOKUP(E153,'MSA-Lookup'!$AA$1:$AB$25,2)</f>
        <v>1620</v>
      </c>
      <c r="H153" s="0" t="n">
        <f aca="false">IF(C153&gt;1,IF(C153&lt;99,VLOOKUP(F153,'MSA-Lookup'!$AA$1:$AB$25,2),C153),C153)</f>
        <v>7362</v>
      </c>
    </row>
    <row r="154" customFormat="false" ht="12.75" hidden="false" customHeight="false" outlineLevel="0" collapsed="false">
      <c r="A154" s="0" t="n">
        <f aca="false">B154*1000+C154</f>
        <v>6022</v>
      </c>
      <c r="B154" s="0" t="n">
        <v>6</v>
      </c>
      <c r="C154" s="0" t="n">
        <v>22</v>
      </c>
      <c r="D154" s="0" t="n">
        <v>0</v>
      </c>
      <c r="E154" s="0" t="n">
        <f aca="false">VLOOKUP(B154,'MSA-Lookup'!$H$2:$I$86,2)</f>
        <v>1620</v>
      </c>
      <c r="F154" s="0" t="n">
        <f aca="false">IF(C154&gt;1,IF(C154&lt;99,VLOOKUP(C154,'MSA-Lookup'!$H$1:$I$86,2),C154),C154)</f>
        <v>7360</v>
      </c>
      <c r="G154" s="0" t="n">
        <f aca="false">VLOOKUP(E154,'MSA-Lookup'!$AA$1:$AB$25,2)</f>
        <v>1620</v>
      </c>
      <c r="H154" s="0" t="n">
        <f aca="false">IF(C154&gt;1,IF(C154&lt;99,VLOOKUP(F154,'MSA-Lookup'!$AA$1:$AB$25,2),C154),C154)</f>
        <v>7362</v>
      </c>
    </row>
    <row r="155" customFormat="false" ht="12.75" hidden="false" customHeight="false" outlineLevel="0" collapsed="false">
      <c r="A155" s="0" t="n">
        <f aca="false">B155*1000+C155</f>
        <v>6026</v>
      </c>
      <c r="B155" s="0" t="n">
        <v>6</v>
      </c>
      <c r="C155" s="0" t="n">
        <v>26</v>
      </c>
      <c r="D155" s="0" t="n">
        <v>260</v>
      </c>
      <c r="E155" s="0" t="n">
        <f aca="false">VLOOKUP(B155,'MSA-Lookup'!$H$2:$I$86,2)</f>
        <v>1620</v>
      </c>
      <c r="F155" s="0" t="n">
        <f aca="false">IF(C155&gt;1,IF(C155&lt;99,VLOOKUP(C155,'MSA-Lookup'!$H$1:$I$86,2),C155),C155)</f>
        <v>9999</v>
      </c>
      <c r="G155" s="0" t="n">
        <f aca="false">VLOOKUP(E155,'MSA-Lookup'!$AA$1:$AB$25,2)</f>
        <v>1620</v>
      </c>
      <c r="H155" s="0" t="n">
        <f aca="false">IF(C155&gt;1,IF(C155&lt;99,VLOOKUP(F155,'MSA-Lookup'!$AA$1:$AB$25,2),C155),C155)</f>
        <v>9999</v>
      </c>
    </row>
    <row r="156" customFormat="false" ht="12.75" hidden="false" customHeight="false" outlineLevel="0" collapsed="false">
      <c r="A156" s="0" t="n">
        <f aca="false">B156*1000+C156</f>
        <v>6028</v>
      </c>
      <c r="B156" s="0" t="n">
        <v>6</v>
      </c>
      <c r="C156" s="0" t="n">
        <v>28</v>
      </c>
      <c r="D156" s="0" t="n">
        <v>130</v>
      </c>
      <c r="E156" s="0" t="n">
        <f aca="false">VLOOKUP(B156,'MSA-Lookup'!$H$2:$I$86,2)</f>
        <v>1620</v>
      </c>
      <c r="F156" s="0" t="n">
        <f aca="false">IF(C156&gt;1,IF(C156&lt;99,VLOOKUP(C156,'MSA-Lookup'!$H$1:$I$86,2),C156),C156)</f>
        <v>6920</v>
      </c>
      <c r="G156" s="0" t="n">
        <f aca="false">VLOOKUP(E156,'MSA-Lookup'!$AA$1:$AB$25,2)</f>
        <v>1620</v>
      </c>
      <c r="H156" s="0" t="n">
        <f aca="false">IF(C156&gt;1,IF(C156&lt;99,VLOOKUP(F156,'MSA-Lookup'!$AA$1:$AB$25,2),C156),C156)</f>
        <v>6920</v>
      </c>
    </row>
    <row r="157" customFormat="false" ht="12.75" hidden="false" customHeight="false" outlineLevel="0" collapsed="false">
      <c r="A157" s="0" t="n">
        <f aca="false">B157*1000+C157</f>
        <v>6034</v>
      </c>
      <c r="B157" s="0" t="n">
        <v>6</v>
      </c>
      <c r="C157" s="0" t="n">
        <v>34</v>
      </c>
      <c r="D157" s="0" t="n">
        <v>117</v>
      </c>
      <c r="E157" s="0" t="n">
        <f aca="false">VLOOKUP(B157,'MSA-Lookup'!$H$2:$I$86,2)</f>
        <v>1620</v>
      </c>
      <c r="F157" s="0" t="n">
        <f aca="false">IF(C157&gt;1,IF(C157&lt;99,VLOOKUP(C157,'MSA-Lookup'!$H$1:$I$86,2),C157),C157)</f>
        <v>7320</v>
      </c>
      <c r="G157" s="0" t="n">
        <f aca="false">VLOOKUP(E157,'MSA-Lookup'!$AA$1:$AB$25,2)</f>
        <v>1620</v>
      </c>
      <c r="H157" s="0" t="n">
        <f aca="false">IF(C157&gt;1,IF(C157&lt;99,VLOOKUP(F157,'MSA-Lookup'!$AA$1:$AB$25,2),C157),C157)</f>
        <v>7320</v>
      </c>
    </row>
    <row r="158" customFormat="false" ht="12.75" hidden="false" customHeight="false" outlineLevel="0" collapsed="false">
      <c r="A158" s="0" t="n">
        <f aca="false">B158*1000+C158</f>
        <v>6035</v>
      </c>
      <c r="B158" s="0" t="n">
        <v>6</v>
      </c>
      <c r="C158" s="0" t="n">
        <v>35</v>
      </c>
      <c r="D158" s="0" t="n">
        <v>0</v>
      </c>
      <c r="E158" s="0" t="n">
        <f aca="false">VLOOKUP(B158,'MSA-Lookup'!$H$2:$I$86,2)</f>
        <v>1620</v>
      </c>
      <c r="F158" s="0" t="n">
        <f aca="false">IF(C158&gt;1,IF(C158&lt;99,VLOOKUP(C158,'MSA-Lookup'!$H$1:$I$86,2),C158),C158)</f>
        <v>7320</v>
      </c>
      <c r="G158" s="0" t="n">
        <f aca="false">VLOOKUP(E158,'MSA-Lookup'!$AA$1:$AB$25,2)</f>
        <v>1620</v>
      </c>
      <c r="H158" s="0" t="n">
        <f aca="false">IF(C158&gt;1,IF(C158&lt;99,VLOOKUP(F158,'MSA-Lookup'!$AA$1:$AB$25,2),C158),C158)</f>
        <v>7320</v>
      </c>
    </row>
    <row r="159" customFormat="false" ht="12.75" hidden="false" customHeight="false" outlineLevel="0" collapsed="false">
      <c r="A159" s="0" t="n">
        <f aca="false">B159*1000+C159</f>
        <v>6039</v>
      </c>
      <c r="B159" s="0" t="n">
        <v>6</v>
      </c>
      <c r="C159" s="0" t="n">
        <v>39</v>
      </c>
      <c r="D159" s="0" t="n">
        <v>117</v>
      </c>
      <c r="E159" s="0" t="n">
        <f aca="false">VLOOKUP(B159,'MSA-Lookup'!$H$2:$I$86,2)</f>
        <v>1620</v>
      </c>
      <c r="F159" s="0" t="n">
        <f aca="false">IF(C159&gt;1,IF(C159&lt;99,VLOOKUP(C159,'MSA-Lookup'!$H$1:$I$86,2),C159),C159)</f>
        <v>7120</v>
      </c>
      <c r="G159" s="0" t="n">
        <f aca="false">VLOOKUP(E159,'MSA-Lookup'!$AA$1:$AB$25,2)</f>
        <v>1620</v>
      </c>
      <c r="H159" s="0" t="n">
        <f aca="false">IF(C159&gt;1,IF(C159&lt;99,VLOOKUP(F159,'MSA-Lookup'!$AA$1:$AB$25,2),C159),C159)</f>
        <v>7120</v>
      </c>
    </row>
    <row r="160" customFormat="false" ht="12.75" hidden="false" customHeight="false" outlineLevel="0" collapsed="false">
      <c r="A160" s="0" t="n">
        <f aca="false">B160*1000+C160</f>
        <v>6040</v>
      </c>
      <c r="B160" s="0" t="n">
        <v>6</v>
      </c>
      <c r="C160" s="0" t="n">
        <v>40</v>
      </c>
      <c r="D160" s="0" t="n">
        <v>78</v>
      </c>
      <c r="E160" s="0" t="n">
        <f aca="false">VLOOKUP(B160,'MSA-Lookup'!$H$2:$I$86,2)</f>
        <v>1620</v>
      </c>
      <c r="F160" s="0" t="n">
        <f aca="false">IF(C160&gt;1,IF(C160&lt;99,VLOOKUP(C160,'MSA-Lookup'!$H$1:$I$86,2),C160),C160)</f>
        <v>2840</v>
      </c>
      <c r="G160" s="0" t="n">
        <f aca="false">VLOOKUP(E160,'MSA-Lookup'!$AA$1:$AB$25,2)</f>
        <v>1620</v>
      </c>
      <c r="H160" s="0" t="n">
        <f aca="false">IF(C160&gt;1,IF(C160&lt;99,VLOOKUP(F160,'MSA-Lookup'!$AA$1:$AB$25,2),C160),C160)</f>
        <v>2840</v>
      </c>
    </row>
    <row r="161" customFormat="false" ht="12.75" hidden="false" customHeight="false" outlineLevel="0" collapsed="false">
      <c r="A161" s="0" t="n">
        <f aca="false">B161*1000+C161</f>
        <v>6049</v>
      </c>
      <c r="B161" s="0" t="n">
        <v>6</v>
      </c>
      <c r="C161" s="0" t="n">
        <v>49</v>
      </c>
      <c r="D161" s="0" t="n">
        <v>78</v>
      </c>
      <c r="E161" s="0" t="n">
        <f aca="false">VLOOKUP(B161,'MSA-Lookup'!$H$2:$I$86,2)</f>
        <v>1620</v>
      </c>
      <c r="F161" s="0" t="n">
        <f aca="false">IF(C161&gt;1,IF(C161&lt;99,VLOOKUP(C161,'MSA-Lookup'!$H$1:$I$86,2),C161),C161)</f>
        <v>7400</v>
      </c>
      <c r="G161" s="0" t="n">
        <f aca="false">VLOOKUP(E161,'MSA-Lookup'!$AA$1:$AB$25,2)</f>
        <v>1620</v>
      </c>
      <c r="H161" s="0" t="n">
        <f aca="false">IF(C161&gt;1,IF(C161&lt;99,VLOOKUP(F161,'MSA-Lookup'!$AA$1:$AB$25,2),C161),C161)</f>
        <v>7362</v>
      </c>
    </row>
    <row r="162" customFormat="false" ht="12.75" hidden="false" customHeight="false" outlineLevel="0" collapsed="false">
      <c r="A162" s="0" t="n">
        <f aca="false">B162*1000+C162</f>
        <v>6050</v>
      </c>
      <c r="B162" s="0" t="n">
        <v>6</v>
      </c>
      <c r="C162" s="0" t="n">
        <v>50</v>
      </c>
      <c r="D162" s="0" t="n">
        <v>78</v>
      </c>
      <c r="E162" s="0" t="n">
        <f aca="false">VLOOKUP(B162,'MSA-Lookup'!$H$2:$I$86,2)</f>
        <v>1620</v>
      </c>
      <c r="F162" s="0" t="n">
        <f aca="false">IF(C162&gt;1,IF(C162&lt;99,VLOOKUP(C162,'MSA-Lookup'!$H$1:$I$86,2),C162),C162)</f>
        <v>7400</v>
      </c>
      <c r="G162" s="0" t="n">
        <f aca="false">VLOOKUP(E162,'MSA-Lookup'!$AA$1:$AB$25,2)</f>
        <v>1620</v>
      </c>
      <c r="H162" s="0" t="n">
        <f aca="false">IF(C162&gt;1,IF(C162&lt;99,VLOOKUP(F162,'MSA-Lookup'!$AA$1:$AB$25,2),C162),C162)</f>
        <v>7362</v>
      </c>
    </row>
    <row r="163" customFormat="false" ht="12.75" hidden="false" customHeight="false" outlineLevel="0" collapsed="false">
      <c r="A163" s="0" t="n">
        <f aca="false">B163*1000+C163</f>
        <v>6051</v>
      </c>
      <c r="B163" s="0" t="n">
        <v>6</v>
      </c>
      <c r="C163" s="0" t="n">
        <v>51</v>
      </c>
      <c r="D163" s="0" t="n">
        <v>0</v>
      </c>
      <c r="E163" s="0" t="n">
        <f aca="false">VLOOKUP(B163,'MSA-Lookup'!$H$2:$I$86,2)</f>
        <v>1620</v>
      </c>
      <c r="F163" s="0" t="n">
        <f aca="false">IF(C163&gt;1,IF(C163&lt;99,VLOOKUP(C163,'MSA-Lookup'!$H$1:$I$86,2),C163),C163)</f>
        <v>7400</v>
      </c>
      <c r="G163" s="0" t="n">
        <f aca="false">VLOOKUP(E163,'MSA-Lookup'!$AA$1:$AB$25,2)</f>
        <v>1620</v>
      </c>
      <c r="H163" s="0" t="n">
        <f aca="false">IF(C163&gt;1,IF(C163&lt;99,VLOOKUP(F163,'MSA-Lookup'!$AA$1:$AB$25,2),C163),C163)</f>
        <v>7362</v>
      </c>
    </row>
    <row r="164" customFormat="false" ht="12.75" hidden="false" customHeight="false" outlineLevel="0" collapsed="false">
      <c r="A164" s="0" t="n">
        <f aca="false">B164*1000+C164</f>
        <v>6065</v>
      </c>
      <c r="B164" s="0" t="n">
        <v>6</v>
      </c>
      <c r="C164" s="0" t="n">
        <v>65</v>
      </c>
      <c r="D164" s="0" t="n">
        <v>0</v>
      </c>
      <c r="E164" s="0" t="n">
        <f aca="false">VLOOKUP(B164,'MSA-Lookup'!$H$2:$I$86,2)</f>
        <v>1620</v>
      </c>
      <c r="F164" s="0" t="n">
        <f aca="false">IF(C164&gt;1,IF(C164&lt;99,VLOOKUP(C164,'MSA-Lookup'!$H$1:$I$86,2),C164),C164)</f>
        <v>4480</v>
      </c>
      <c r="G164" s="0" t="n">
        <f aca="false">VLOOKUP(E164,'MSA-Lookup'!$AA$1:$AB$25,2)</f>
        <v>1620</v>
      </c>
      <c r="H164" s="0" t="n">
        <f aca="false">IF(C164&gt;1,IF(C164&lt;99,VLOOKUP(F164,'MSA-Lookup'!$AA$1:$AB$25,2),C164),C164)</f>
        <v>4472</v>
      </c>
    </row>
    <row r="165" customFormat="false" ht="12.75" hidden="false" customHeight="false" outlineLevel="0" collapsed="false">
      <c r="A165" s="0" t="n">
        <f aca="false">B165*1000+C165</f>
        <v>6069</v>
      </c>
      <c r="B165" s="0" t="n">
        <v>6</v>
      </c>
      <c r="C165" s="0" t="n">
        <v>69</v>
      </c>
      <c r="D165" s="0" t="n">
        <v>0</v>
      </c>
      <c r="E165" s="0" t="n">
        <f aca="false">VLOOKUP(B165,'MSA-Lookup'!$H$2:$I$86,2)</f>
        <v>1620</v>
      </c>
      <c r="F165" s="0" t="n">
        <f aca="false">IF(C165&gt;1,IF(C165&lt;99,VLOOKUP(C165,'MSA-Lookup'!$H$1:$I$86,2),C165),C165)</f>
        <v>6780</v>
      </c>
      <c r="G165" s="0" t="n">
        <f aca="false">VLOOKUP(E165,'MSA-Lookup'!$AA$1:$AB$25,2)</f>
        <v>1620</v>
      </c>
      <c r="H165" s="0" t="n">
        <f aca="false">IF(C165&gt;1,IF(C165&lt;99,VLOOKUP(F165,'MSA-Lookup'!$AA$1:$AB$25,2),C165),C165)</f>
        <v>4472</v>
      </c>
    </row>
    <row r="166" customFormat="false" ht="12.75" hidden="false" customHeight="false" outlineLevel="0" collapsed="false">
      <c r="A166" s="0" t="n">
        <f aca="false">B166*1000+C166</f>
        <v>6072</v>
      </c>
      <c r="B166" s="0" t="n">
        <v>6</v>
      </c>
      <c r="C166" s="0" t="n">
        <v>72</v>
      </c>
      <c r="D166" s="0" t="n">
        <v>0</v>
      </c>
      <c r="E166" s="0" t="n">
        <f aca="false">VLOOKUP(B166,'MSA-Lookup'!$H$2:$I$86,2)</f>
        <v>1620</v>
      </c>
      <c r="F166" s="0" t="n">
        <f aca="false">IF(C166&gt;1,IF(C166&lt;99,VLOOKUP(C166,'MSA-Lookup'!$H$1:$I$86,2),C166),C166)</f>
        <v>6780</v>
      </c>
      <c r="G166" s="0" t="n">
        <f aca="false">VLOOKUP(E166,'MSA-Lookup'!$AA$1:$AB$25,2)</f>
        <v>1620</v>
      </c>
      <c r="H166" s="0" t="n">
        <f aca="false">IF(C166&gt;1,IF(C166&lt;99,VLOOKUP(F166,'MSA-Lookup'!$AA$1:$AB$25,2),C166),C166)</f>
        <v>4472</v>
      </c>
    </row>
    <row r="167" customFormat="false" ht="12.75" hidden="false" customHeight="false" outlineLevel="0" collapsed="false">
      <c r="A167" s="0" t="n">
        <f aca="false">B167*1000+C167</f>
        <v>6075</v>
      </c>
      <c r="B167" s="0" t="n">
        <v>6</v>
      </c>
      <c r="C167" s="0" t="n">
        <v>75</v>
      </c>
      <c r="D167" s="0" t="n">
        <v>0</v>
      </c>
      <c r="E167" s="0" t="n">
        <f aca="false">VLOOKUP(B167,'MSA-Lookup'!$H$2:$I$86,2)</f>
        <v>1620</v>
      </c>
      <c r="F167" s="0" t="n">
        <f aca="false">IF(C167&gt;1,IF(C167&lt;99,VLOOKUP(C167,'MSA-Lookup'!$H$1:$I$86,2),C167),C167)</f>
        <v>8780</v>
      </c>
      <c r="G167" s="0" t="n">
        <f aca="false">VLOOKUP(E167,'MSA-Lookup'!$AA$1:$AB$25,2)</f>
        <v>1620</v>
      </c>
      <c r="H167" s="0" t="n">
        <f aca="false">IF(C167&gt;1,IF(C167&lt;99,VLOOKUP(F167,'MSA-Lookup'!$AA$1:$AB$25,2),C167),C167)</f>
        <v>8780</v>
      </c>
    </row>
    <row r="168" customFormat="false" ht="12.75" hidden="false" customHeight="false" outlineLevel="0" collapsed="false">
      <c r="A168" s="0" t="n">
        <f aca="false">B168*1000+C168</f>
        <v>6079</v>
      </c>
      <c r="B168" s="0" t="n">
        <v>6</v>
      </c>
      <c r="C168" s="0" t="n">
        <v>79</v>
      </c>
      <c r="D168" s="0" t="n">
        <v>0</v>
      </c>
      <c r="E168" s="0" t="n">
        <f aca="false">VLOOKUP(B168,'MSA-Lookup'!$H$2:$I$86,2)</f>
        <v>1620</v>
      </c>
      <c r="F168" s="0" t="n">
        <f aca="false">IF(C168&gt;1,IF(C168&lt;99,VLOOKUP(C168,'MSA-Lookup'!$H$1:$I$86,2),C168),C168)</f>
        <v>680</v>
      </c>
      <c r="G168" s="0" t="n">
        <f aca="false">VLOOKUP(E168,'MSA-Lookup'!$AA$1:$AB$25,2)</f>
        <v>1620</v>
      </c>
      <c r="H168" s="0" t="n">
        <f aca="false">IF(C168&gt;1,IF(C168&lt;99,VLOOKUP(F168,'MSA-Lookup'!$AA$1:$AB$25,2),C168),C168)</f>
        <v>680</v>
      </c>
    </row>
    <row r="169" customFormat="false" ht="12.75" hidden="false" customHeight="false" outlineLevel="0" collapsed="false">
      <c r="A169" s="0" t="n">
        <f aca="false">B169*1000+C169</f>
        <v>6999</v>
      </c>
      <c r="B169" s="0" t="n">
        <v>6</v>
      </c>
      <c r="C169" s="0" t="n">
        <v>999</v>
      </c>
      <c r="D169" s="0" t="n">
        <v>78</v>
      </c>
      <c r="E169" s="0" t="n">
        <f aca="false">VLOOKUP(B169,'MSA-Lookup'!$H$2:$I$86,2)</f>
        <v>1620</v>
      </c>
      <c r="F169" s="0" t="n">
        <f aca="false">IF(C169&gt;1,IF(C169&lt;99,VLOOKUP(C169,'MSA-Lookup'!$H$1:$I$86,2),C169),C169)</f>
        <v>999</v>
      </c>
      <c r="G169" s="0" t="n">
        <f aca="false">VLOOKUP(E169,'MSA-Lookup'!$AA$1:$AB$25,2)</f>
        <v>1620</v>
      </c>
      <c r="H169" s="0" t="n">
        <f aca="false">IF(C169&gt;1,IF(C169&lt;99,VLOOKUP(F169,'MSA-Lookup'!$AA$1:$AB$25,2),C169),C169)</f>
        <v>999</v>
      </c>
    </row>
    <row r="170" customFormat="false" ht="12.75" hidden="false" customHeight="false" outlineLevel="0" collapsed="false">
      <c r="A170" s="0" t="n">
        <f aca="false">B170*1000+C170</f>
        <v>7000</v>
      </c>
      <c r="B170" s="0" t="n">
        <v>7</v>
      </c>
      <c r="C170" s="0" t="n">
        <v>0</v>
      </c>
      <c r="D170" s="0" t="n">
        <v>61087</v>
      </c>
      <c r="E170" s="0" t="n">
        <f aca="false">VLOOKUP(B170,'MSA-Lookup'!$H$2:$I$86,2)</f>
        <v>9999</v>
      </c>
      <c r="F170" s="0" t="n">
        <f aca="false">IF(C170&gt;1,IF(C170&lt;99,VLOOKUP(C170,'MSA-Lookup'!$H$1:$I$86,2),C170),C170)</f>
        <v>0</v>
      </c>
      <c r="G170" s="0" t="n">
        <f aca="false">VLOOKUP(E170,'MSA-Lookup'!$AA$1:$AB$25,2)</f>
        <v>9999</v>
      </c>
      <c r="H170" s="0" t="n">
        <f aca="false">IF(C170&gt;1,IF(C170&lt;99,VLOOKUP(F170,'MSA-Lookup'!$AA$1:$AB$25,2),C170),C170)</f>
        <v>0</v>
      </c>
    </row>
    <row r="171" customFormat="false" ht="12.75" hidden="false" customHeight="false" outlineLevel="0" collapsed="false">
      <c r="A171" s="0" t="n">
        <f aca="false">B171*1000+C171</f>
        <v>7001</v>
      </c>
      <c r="B171" s="0" t="n">
        <v>7</v>
      </c>
      <c r="C171" s="0" t="n">
        <v>1</v>
      </c>
      <c r="D171" s="0" t="n">
        <v>104</v>
      </c>
      <c r="E171" s="0" t="n">
        <f aca="false">VLOOKUP(B171,'MSA-Lookup'!$H$2:$I$86,2)</f>
        <v>9999</v>
      </c>
      <c r="F171" s="0" t="n">
        <f aca="false">IF(C171&gt;1,IF(C171&lt;99,VLOOKUP(C171,'MSA-Lookup'!$H$1:$I$86,2),C171),C171)</f>
        <v>1</v>
      </c>
      <c r="G171" s="0" t="n">
        <f aca="false">VLOOKUP(E171,'MSA-Lookup'!$AA$1:$AB$25,2)</f>
        <v>9999</v>
      </c>
      <c r="H171" s="0" t="n">
        <f aca="false">IF(C171&gt;1,IF(C171&lt;99,VLOOKUP(F171,'MSA-Lookup'!$AA$1:$AB$25,2),C171),C171)</f>
        <v>1</v>
      </c>
    </row>
    <row r="172" customFormat="false" ht="12.75" hidden="false" customHeight="false" outlineLevel="0" collapsed="false">
      <c r="A172" s="0" t="n">
        <f aca="false">B172*1000+C172</f>
        <v>7002</v>
      </c>
      <c r="B172" s="0" t="n">
        <v>7</v>
      </c>
      <c r="C172" s="0" t="n">
        <v>2</v>
      </c>
      <c r="D172" s="0" t="n">
        <v>0</v>
      </c>
      <c r="E172" s="0" t="n">
        <f aca="false">VLOOKUP(B172,'MSA-Lookup'!$H$2:$I$86,2)</f>
        <v>9999</v>
      </c>
      <c r="F172" s="0" t="n">
        <f aca="false">IF(C172&gt;1,IF(C172&lt;99,VLOOKUP(C172,'MSA-Lookup'!$H$1:$I$86,2),C172),C172)</f>
        <v>9999</v>
      </c>
      <c r="G172" s="0" t="n">
        <f aca="false">VLOOKUP(E172,'MSA-Lookup'!$AA$1:$AB$25,2)</f>
        <v>9999</v>
      </c>
      <c r="H172" s="0" t="n">
        <f aca="false">IF(C172&gt;1,IF(C172&lt;99,VLOOKUP(F172,'MSA-Lookup'!$AA$1:$AB$25,2),C172),C172)</f>
        <v>9999</v>
      </c>
    </row>
    <row r="173" customFormat="false" ht="12.75" hidden="false" customHeight="false" outlineLevel="0" collapsed="false">
      <c r="A173" s="0" t="n">
        <f aca="false">B173*1000+C173</f>
        <v>7003</v>
      </c>
      <c r="B173" s="0" t="n">
        <v>7</v>
      </c>
      <c r="C173" s="0" t="n">
        <v>3</v>
      </c>
      <c r="D173" s="0" t="n">
        <v>624</v>
      </c>
      <c r="E173" s="0" t="n">
        <f aca="false">VLOOKUP(B173,'MSA-Lookup'!$H$2:$I$86,2)</f>
        <v>9999</v>
      </c>
      <c r="F173" s="0" t="n">
        <f aca="false">IF(C173&gt;1,IF(C173&lt;99,VLOOKUP(C173,'MSA-Lookup'!$H$1:$I$86,2),C173),C173)</f>
        <v>6690</v>
      </c>
      <c r="G173" s="0" t="n">
        <f aca="false">VLOOKUP(E173,'MSA-Lookup'!$AA$1:$AB$25,2)</f>
        <v>9999</v>
      </c>
      <c r="H173" s="0" t="n">
        <f aca="false">IF(C173&gt;1,IF(C173&lt;99,VLOOKUP(F173,'MSA-Lookup'!$AA$1:$AB$25,2),C173),C173)</f>
        <v>6690</v>
      </c>
    </row>
    <row r="174" customFormat="false" ht="12.75" hidden="false" customHeight="false" outlineLevel="0" collapsed="false">
      <c r="A174" s="0" t="n">
        <f aca="false">B174*1000+C174</f>
        <v>7004</v>
      </c>
      <c r="B174" s="0" t="n">
        <v>7</v>
      </c>
      <c r="C174" s="0" t="n">
        <v>4</v>
      </c>
      <c r="D174" s="0" t="n">
        <v>377</v>
      </c>
      <c r="E174" s="0" t="n">
        <f aca="false">VLOOKUP(B174,'MSA-Lookup'!$H$2:$I$86,2)</f>
        <v>9999</v>
      </c>
      <c r="F174" s="0" t="n">
        <f aca="false">IF(C174&gt;1,IF(C174&lt;99,VLOOKUP(C174,'MSA-Lookup'!$H$1:$I$86,2),C174),C174)</f>
        <v>9999</v>
      </c>
      <c r="G174" s="0" t="n">
        <f aca="false">VLOOKUP(E174,'MSA-Lookup'!$AA$1:$AB$25,2)</f>
        <v>9999</v>
      </c>
      <c r="H174" s="0" t="n">
        <f aca="false">IF(C174&gt;1,IF(C174&lt;99,VLOOKUP(F174,'MSA-Lookup'!$AA$1:$AB$25,2),C174),C174)</f>
        <v>9999</v>
      </c>
    </row>
    <row r="175" customFormat="false" ht="12.75" hidden="false" customHeight="false" outlineLevel="0" collapsed="false">
      <c r="A175" s="0" t="n">
        <f aca="false">B175*1000+C175</f>
        <v>7005</v>
      </c>
      <c r="B175" s="0" t="n">
        <v>7</v>
      </c>
      <c r="C175" s="0" t="n">
        <v>5</v>
      </c>
      <c r="D175" s="0" t="n">
        <v>78</v>
      </c>
      <c r="E175" s="0" t="n">
        <f aca="false">VLOOKUP(B175,'MSA-Lookup'!$H$2:$I$86,2)</f>
        <v>9999</v>
      </c>
      <c r="F175" s="0" t="n">
        <f aca="false">IF(C175&gt;1,IF(C175&lt;99,VLOOKUP(C175,'MSA-Lookup'!$H$1:$I$86,2),C175),C175)</f>
        <v>9999</v>
      </c>
      <c r="G175" s="0" t="n">
        <f aca="false">VLOOKUP(E175,'MSA-Lookup'!$AA$1:$AB$25,2)</f>
        <v>9999</v>
      </c>
      <c r="H175" s="0" t="n">
        <f aca="false">IF(C175&gt;1,IF(C175&lt;99,VLOOKUP(F175,'MSA-Lookup'!$AA$1:$AB$25,2),C175),C175)</f>
        <v>9999</v>
      </c>
    </row>
    <row r="176" customFormat="false" ht="12.75" hidden="false" customHeight="false" outlineLevel="0" collapsed="false">
      <c r="A176" s="0" t="n">
        <f aca="false">B176*1000+C176</f>
        <v>7006</v>
      </c>
      <c r="B176" s="0" t="n">
        <v>7</v>
      </c>
      <c r="C176" s="0" t="n">
        <v>6</v>
      </c>
      <c r="D176" s="0" t="n">
        <v>208</v>
      </c>
      <c r="E176" s="0" t="n">
        <f aca="false">VLOOKUP(B176,'MSA-Lookup'!$H$2:$I$86,2)</f>
        <v>9999</v>
      </c>
      <c r="F176" s="0" t="n">
        <f aca="false">IF(C176&gt;1,IF(C176&lt;99,VLOOKUP(C176,'MSA-Lookup'!$H$1:$I$86,2),C176),C176)</f>
        <v>1620</v>
      </c>
      <c r="G176" s="0" t="n">
        <f aca="false">VLOOKUP(E176,'MSA-Lookup'!$AA$1:$AB$25,2)</f>
        <v>9999</v>
      </c>
      <c r="H176" s="0" t="n">
        <f aca="false">IF(C176&gt;1,IF(C176&lt;99,VLOOKUP(F176,'MSA-Lookup'!$AA$1:$AB$25,2),C176),C176)</f>
        <v>1620</v>
      </c>
    </row>
    <row r="177" customFormat="false" ht="12.75" hidden="false" customHeight="false" outlineLevel="0" collapsed="false">
      <c r="A177" s="0" t="n">
        <f aca="false">B177*1000+C177</f>
        <v>7007</v>
      </c>
      <c r="B177" s="0" t="n">
        <v>7</v>
      </c>
      <c r="C177" s="0" t="n">
        <v>7</v>
      </c>
      <c r="D177" s="0" t="n">
        <v>32396</v>
      </c>
      <c r="E177" s="0" t="n">
        <f aca="false">VLOOKUP(B177,'MSA-Lookup'!$H$2:$I$86,2)</f>
        <v>9999</v>
      </c>
      <c r="F177" s="0" t="n">
        <f aca="false">IF(C177&gt;1,IF(C177&lt;99,VLOOKUP(C177,'MSA-Lookup'!$H$1:$I$86,2),C177),C177)</f>
        <v>9999</v>
      </c>
      <c r="G177" s="0" t="n">
        <f aca="false">VLOOKUP(E177,'MSA-Lookup'!$AA$1:$AB$25,2)</f>
        <v>9999</v>
      </c>
      <c r="H177" s="0" t="n">
        <f aca="false">IF(C177&gt;1,IF(C177&lt;99,VLOOKUP(F177,'MSA-Lookup'!$AA$1:$AB$25,2),C177),C177)</f>
        <v>9999</v>
      </c>
    </row>
    <row r="178" customFormat="false" ht="12.75" hidden="false" customHeight="false" outlineLevel="0" collapsed="false">
      <c r="A178" s="0" t="n">
        <f aca="false">B178*1000+C178</f>
        <v>7008</v>
      </c>
      <c r="B178" s="0" t="n">
        <v>7</v>
      </c>
      <c r="C178" s="0" t="n">
        <v>8</v>
      </c>
      <c r="D178" s="0" t="n">
        <v>650</v>
      </c>
      <c r="E178" s="0" t="n">
        <f aca="false">VLOOKUP(B178,'MSA-Lookup'!$H$2:$I$86,2)</f>
        <v>9999</v>
      </c>
      <c r="F178" s="0" t="n">
        <f aca="false">IF(C178&gt;1,IF(C178&lt;99,VLOOKUP(C178,'MSA-Lookup'!$H$1:$I$86,2),C178),C178)</f>
        <v>9340</v>
      </c>
      <c r="G178" s="0" t="n">
        <f aca="false">VLOOKUP(E178,'MSA-Lookup'!$AA$1:$AB$25,2)</f>
        <v>9999</v>
      </c>
      <c r="H178" s="0" t="n">
        <f aca="false">IF(C178&gt;1,IF(C178&lt;99,VLOOKUP(F178,'MSA-Lookup'!$AA$1:$AB$25,2),C178),C178)</f>
        <v>9340</v>
      </c>
    </row>
    <row r="179" customFormat="false" ht="12.75" hidden="false" customHeight="false" outlineLevel="0" collapsed="false">
      <c r="A179" s="0" t="n">
        <f aca="false">B179*1000+C179</f>
        <v>7009</v>
      </c>
      <c r="B179" s="0" t="n">
        <v>7</v>
      </c>
      <c r="C179" s="0" t="n">
        <v>9</v>
      </c>
      <c r="D179" s="0" t="n">
        <v>78</v>
      </c>
      <c r="E179" s="0" t="n">
        <f aca="false">VLOOKUP(B179,'MSA-Lookup'!$H$2:$I$86,2)</f>
        <v>9999</v>
      </c>
      <c r="F179" s="0" t="n">
        <f aca="false">IF(C179&gt;1,IF(C179&lt;99,VLOOKUP(C179,'MSA-Lookup'!$H$1:$I$86,2),C179),C179)</f>
        <v>8720</v>
      </c>
      <c r="G179" s="0" t="n">
        <f aca="false">VLOOKUP(E179,'MSA-Lookup'!$AA$1:$AB$25,2)</f>
        <v>9999</v>
      </c>
      <c r="H179" s="0" t="n">
        <f aca="false">IF(C179&gt;1,IF(C179&lt;99,VLOOKUP(F179,'MSA-Lookup'!$AA$1:$AB$25,2),C179),C179)</f>
        <v>7362</v>
      </c>
    </row>
    <row r="180" customFormat="false" ht="12.75" hidden="false" customHeight="false" outlineLevel="0" collapsed="false">
      <c r="A180" s="0" t="n">
        <f aca="false">B180*1000+C180</f>
        <v>7010</v>
      </c>
      <c r="B180" s="0" t="n">
        <v>7</v>
      </c>
      <c r="C180" s="0" t="n">
        <v>10</v>
      </c>
      <c r="D180" s="0" t="n">
        <v>0</v>
      </c>
      <c r="E180" s="0" t="n">
        <f aca="false">VLOOKUP(B180,'MSA-Lookup'!$H$2:$I$86,2)</f>
        <v>9999</v>
      </c>
      <c r="F180" s="0" t="n">
        <f aca="false">IF(C180&gt;1,IF(C180&lt;99,VLOOKUP(C180,'MSA-Lookup'!$H$1:$I$86,2),C180),C180)</f>
        <v>6920</v>
      </c>
      <c r="G180" s="0" t="n">
        <f aca="false">VLOOKUP(E180,'MSA-Lookup'!$AA$1:$AB$25,2)</f>
        <v>9999</v>
      </c>
      <c r="H180" s="0" t="n">
        <f aca="false">IF(C180&gt;1,IF(C180&lt;99,VLOOKUP(F180,'MSA-Lookup'!$AA$1:$AB$25,2),C180),C180)</f>
        <v>6920</v>
      </c>
    </row>
    <row r="181" customFormat="false" ht="12.75" hidden="false" customHeight="false" outlineLevel="0" collapsed="false">
      <c r="A181" s="0" t="n">
        <f aca="false">B181*1000+C181</f>
        <v>7011</v>
      </c>
      <c r="B181" s="0" t="n">
        <v>7</v>
      </c>
      <c r="C181" s="0" t="n">
        <v>11</v>
      </c>
      <c r="D181" s="0" t="n">
        <v>3822</v>
      </c>
      <c r="E181" s="0" t="n">
        <f aca="false">VLOOKUP(B181,'MSA-Lookup'!$H$2:$I$86,2)</f>
        <v>9999</v>
      </c>
      <c r="F181" s="0" t="n">
        <f aca="false">IF(C181&gt;1,IF(C181&lt;99,VLOOKUP(C181,'MSA-Lookup'!$H$1:$I$86,2),C181),C181)</f>
        <v>6920</v>
      </c>
      <c r="G181" s="0" t="n">
        <f aca="false">VLOOKUP(E181,'MSA-Lookup'!$AA$1:$AB$25,2)</f>
        <v>9999</v>
      </c>
      <c r="H181" s="0" t="n">
        <f aca="false">IF(C181&gt;1,IF(C181&lt;99,VLOOKUP(F181,'MSA-Lookup'!$AA$1:$AB$25,2),C181),C181)</f>
        <v>6920</v>
      </c>
    </row>
    <row r="182" customFormat="false" ht="12.75" hidden="false" customHeight="false" outlineLevel="0" collapsed="false">
      <c r="A182" s="0" t="n">
        <f aca="false">B182*1000+C182</f>
        <v>7013</v>
      </c>
      <c r="B182" s="0" t="n">
        <v>7</v>
      </c>
      <c r="C182" s="0" t="n">
        <v>13</v>
      </c>
      <c r="D182" s="0" t="n">
        <v>0</v>
      </c>
      <c r="E182" s="0" t="n">
        <f aca="false">VLOOKUP(B182,'MSA-Lookup'!$H$2:$I$86,2)</f>
        <v>9999</v>
      </c>
      <c r="F182" s="0" t="n">
        <f aca="false">IF(C182&gt;1,IF(C182&lt;99,VLOOKUP(C182,'MSA-Lookup'!$H$1:$I$86,2),C182),C182)</f>
        <v>7500</v>
      </c>
      <c r="G182" s="0" t="n">
        <f aca="false">VLOOKUP(E182,'MSA-Lookup'!$AA$1:$AB$25,2)</f>
        <v>9999</v>
      </c>
      <c r="H182" s="0" t="n">
        <f aca="false">IF(C182&gt;1,IF(C182&lt;99,VLOOKUP(F182,'MSA-Lookup'!$AA$1:$AB$25,2),C182),C182)</f>
        <v>7362</v>
      </c>
    </row>
    <row r="183" customFormat="false" ht="12.75" hidden="false" customHeight="false" outlineLevel="0" collapsed="false">
      <c r="A183" s="0" t="n">
        <f aca="false">B183*1000+C183</f>
        <v>7014</v>
      </c>
      <c r="B183" s="0" t="n">
        <v>7</v>
      </c>
      <c r="C183" s="0" t="n">
        <v>14</v>
      </c>
      <c r="D183" s="0" t="n">
        <v>156</v>
      </c>
      <c r="E183" s="0" t="n">
        <f aca="false">VLOOKUP(B183,'MSA-Lookup'!$H$2:$I$86,2)</f>
        <v>9999</v>
      </c>
      <c r="F183" s="0" t="n">
        <f aca="false">IF(C183&gt;1,IF(C183&lt;99,VLOOKUP(C183,'MSA-Lookup'!$H$1:$I$86,2),C183),C183)</f>
        <v>7500</v>
      </c>
      <c r="G183" s="0" t="n">
        <f aca="false">VLOOKUP(E183,'MSA-Lookup'!$AA$1:$AB$25,2)</f>
        <v>9999</v>
      </c>
      <c r="H183" s="0" t="n">
        <f aca="false">IF(C183&gt;1,IF(C183&lt;99,VLOOKUP(F183,'MSA-Lookup'!$AA$1:$AB$25,2),C183),C183)</f>
        <v>7362</v>
      </c>
    </row>
    <row r="184" customFormat="false" ht="12.75" hidden="false" customHeight="false" outlineLevel="0" collapsed="false">
      <c r="A184" s="0" t="n">
        <f aca="false">B184*1000+C184</f>
        <v>7015</v>
      </c>
      <c r="B184" s="0" t="n">
        <v>7</v>
      </c>
      <c r="C184" s="0" t="n">
        <v>15</v>
      </c>
      <c r="D184" s="0" t="n">
        <v>0</v>
      </c>
      <c r="E184" s="0" t="n">
        <f aca="false">VLOOKUP(B184,'MSA-Lookup'!$H$2:$I$86,2)</f>
        <v>9999</v>
      </c>
      <c r="F184" s="0" t="n">
        <f aca="false">IF(C184&gt;1,IF(C184&lt;99,VLOOKUP(C184,'MSA-Lookup'!$H$1:$I$86,2),C184),C184)</f>
        <v>7360</v>
      </c>
      <c r="G184" s="0" t="n">
        <f aca="false">VLOOKUP(E184,'MSA-Lookup'!$AA$1:$AB$25,2)</f>
        <v>9999</v>
      </c>
      <c r="H184" s="0" t="n">
        <f aca="false">IF(C184&gt;1,IF(C184&lt;99,VLOOKUP(F184,'MSA-Lookup'!$AA$1:$AB$25,2),C184),C184)</f>
        <v>7362</v>
      </c>
    </row>
    <row r="185" customFormat="false" ht="12.75" hidden="false" customHeight="false" outlineLevel="0" collapsed="false">
      <c r="A185" s="0" t="n">
        <f aca="false">B185*1000+C185</f>
        <v>7016</v>
      </c>
      <c r="B185" s="0" t="n">
        <v>7</v>
      </c>
      <c r="C185" s="0" t="n">
        <v>16</v>
      </c>
      <c r="D185" s="0" t="n">
        <v>0</v>
      </c>
      <c r="E185" s="0" t="n">
        <f aca="false">VLOOKUP(B185,'MSA-Lookup'!$H$2:$I$86,2)</f>
        <v>9999</v>
      </c>
      <c r="F185" s="0" t="n">
        <f aca="false">IF(C185&gt;1,IF(C185&lt;99,VLOOKUP(C185,'MSA-Lookup'!$H$1:$I$86,2),C185),C185)</f>
        <v>8720</v>
      </c>
      <c r="G185" s="0" t="n">
        <f aca="false">VLOOKUP(E185,'MSA-Lookup'!$AA$1:$AB$25,2)</f>
        <v>9999</v>
      </c>
      <c r="H185" s="0" t="n">
        <f aca="false">IF(C185&gt;1,IF(C185&lt;99,VLOOKUP(F185,'MSA-Lookup'!$AA$1:$AB$25,2),C185),C185)</f>
        <v>7362</v>
      </c>
    </row>
    <row r="186" customFormat="false" ht="12.75" hidden="false" customHeight="false" outlineLevel="0" collapsed="false">
      <c r="A186" s="0" t="n">
        <f aca="false">B186*1000+C186</f>
        <v>7017</v>
      </c>
      <c r="B186" s="0" t="n">
        <v>7</v>
      </c>
      <c r="C186" s="0" t="n">
        <v>17</v>
      </c>
      <c r="D186" s="0" t="n">
        <v>0</v>
      </c>
      <c r="E186" s="0" t="n">
        <f aca="false">VLOOKUP(B186,'MSA-Lookup'!$H$2:$I$86,2)</f>
        <v>9999</v>
      </c>
      <c r="F186" s="0" t="n">
        <f aca="false">IF(C186&gt;1,IF(C186&lt;99,VLOOKUP(C186,'MSA-Lookup'!$H$1:$I$86,2),C186),C186)</f>
        <v>5775</v>
      </c>
      <c r="G186" s="0" t="n">
        <f aca="false">VLOOKUP(E186,'MSA-Lookup'!$AA$1:$AB$25,2)</f>
        <v>9999</v>
      </c>
      <c r="H186" s="0" t="n">
        <f aca="false">IF(C186&gt;1,IF(C186&lt;99,VLOOKUP(F186,'MSA-Lookup'!$AA$1:$AB$25,2),C186),C186)</f>
        <v>7362</v>
      </c>
    </row>
    <row r="187" customFormat="false" ht="12.75" hidden="false" customHeight="false" outlineLevel="0" collapsed="false">
      <c r="A187" s="0" t="n">
        <f aca="false">B187*1000+C187</f>
        <v>7018</v>
      </c>
      <c r="B187" s="0" t="n">
        <v>7</v>
      </c>
      <c r="C187" s="0" t="n">
        <v>18</v>
      </c>
      <c r="D187" s="0" t="n">
        <v>91</v>
      </c>
      <c r="E187" s="0" t="n">
        <f aca="false">VLOOKUP(B187,'MSA-Lookup'!$H$2:$I$86,2)</f>
        <v>9999</v>
      </c>
      <c r="F187" s="0" t="n">
        <f aca="false">IF(C187&gt;1,IF(C187&lt;99,VLOOKUP(C187,'MSA-Lookup'!$H$1:$I$86,2),C187),C187)</f>
        <v>5775</v>
      </c>
      <c r="G187" s="0" t="n">
        <f aca="false">VLOOKUP(E187,'MSA-Lookup'!$AA$1:$AB$25,2)</f>
        <v>9999</v>
      </c>
      <c r="H187" s="0" t="n">
        <f aca="false">IF(C187&gt;1,IF(C187&lt;99,VLOOKUP(F187,'MSA-Lookup'!$AA$1:$AB$25,2),C187),C187)</f>
        <v>7362</v>
      </c>
    </row>
    <row r="188" customFormat="false" ht="12.75" hidden="false" customHeight="false" outlineLevel="0" collapsed="false">
      <c r="A188" s="0" t="n">
        <f aca="false">B188*1000+C188</f>
        <v>7019</v>
      </c>
      <c r="B188" s="0" t="n">
        <v>7</v>
      </c>
      <c r="C188" s="0" t="n">
        <v>19</v>
      </c>
      <c r="D188" s="0" t="n">
        <v>117</v>
      </c>
      <c r="E188" s="0" t="n">
        <f aca="false">VLOOKUP(B188,'MSA-Lookup'!$H$2:$I$86,2)</f>
        <v>9999</v>
      </c>
      <c r="F188" s="0" t="n">
        <f aca="false">IF(C188&gt;1,IF(C188&lt;99,VLOOKUP(C188,'MSA-Lookup'!$H$1:$I$86,2),C188),C188)</f>
        <v>7360</v>
      </c>
      <c r="G188" s="0" t="n">
        <f aca="false">VLOOKUP(E188,'MSA-Lookup'!$AA$1:$AB$25,2)</f>
        <v>9999</v>
      </c>
      <c r="H188" s="0" t="n">
        <f aca="false">IF(C188&gt;1,IF(C188&lt;99,VLOOKUP(F188,'MSA-Lookup'!$AA$1:$AB$25,2),C188),C188)</f>
        <v>7362</v>
      </c>
    </row>
    <row r="189" customFormat="false" ht="12.75" hidden="false" customHeight="false" outlineLevel="0" collapsed="false">
      <c r="A189" s="0" t="n">
        <f aca="false">B189*1000+C189</f>
        <v>7020</v>
      </c>
      <c r="B189" s="0" t="n">
        <v>7</v>
      </c>
      <c r="C189" s="0" t="n">
        <v>20</v>
      </c>
      <c r="D189" s="0" t="n">
        <v>221</v>
      </c>
      <c r="E189" s="0" t="n">
        <f aca="false">VLOOKUP(B189,'MSA-Lookup'!$H$2:$I$86,2)</f>
        <v>9999</v>
      </c>
      <c r="F189" s="0" t="n">
        <f aca="false">IF(C189&gt;1,IF(C189&lt;99,VLOOKUP(C189,'MSA-Lookup'!$H$1:$I$86,2),C189),C189)</f>
        <v>5775</v>
      </c>
      <c r="G189" s="0" t="n">
        <f aca="false">VLOOKUP(E189,'MSA-Lookup'!$AA$1:$AB$25,2)</f>
        <v>9999</v>
      </c>
      <c r="H189" s="0" t="n">
        <f aca="false">IF(C189&gt;1,IF(C189&lt;99,VLOOKUP(F189,'MSA-Lookup'!$AA$1:$AB$25,2),C189),C189)</f>
        <v>7362</v>
      </c>
    </row>
    <row r="190" customFormat="false" ht="12.75" hidden="false" customHeight="false" outlineLevel="0" collapsed="false">
      <c r="A190" s="0" t="n">
        <f aca="false">B190*1000+C190</f>
        <v>7021</v>
      </c>
      <c r="B190" s="0" t="n">
        <v>7</v>
      </c>
      <c r="C190" s="0" t="n">
        <v>21</v>
      </c>
      <c r="D190" s="0" t="n">
        <v>0</v>
      </c>
      <c r="E190" s="0" t="n">
        <f aca="false">VLOOKUP(B190,'MSA-Lookup'!$H$2:$I$86,2)</f>
        <v>9999</v>
      </c>
      <c r="F190" s="0" t="n">
        <f aca="false">IF(C190&gt;1,IF(C190&lt;99,VLOOKUP(C190,'MSA-Lookup'!$H$1:$I$86,2),C190),C190)</f>
        <v>5775</v>
      </c>
      <c r="G190" s="0" t="n">
        <f aca="false">VLOOKUP(E190,'MSA-Lookup'!$AA$1:$AB$25,2)</f>
        <v>9999</v>
      </c>
      <c r="H190" s="0" t="n">
        <f aca="false">IF(C190&gt;1,IF(C190&lt;99,VLOOKUP(F190,'MSA-Lookup'!$AA$1:$AB$25,2),C190),C190)</f>
        <v>7362</v>
      </c>
    </row>
    <row r="191" customFormat="false" ht="12.75" hidden="false" customHeight="false" outlineLevel="0" collapsed="false">
      <c r="A191" s="0" t="n">
        <f aca="false">B191*1000+C191</f>
        <v>7022</v>
      </c>
      <c r="B191" s="0" t="n">
        <v>7</v>
      </c>
      <c r="C191" s="0" t="n">
        <v>22</v>
      </c>
      <c r="D191" s="0" t="n">
        <v>117</v>
      </c>
      <c r="E191" s="0" t="n">
        <f aca="false">VLOOKUP(B191,'MSA-Lookup'!$H$2:$I$86,2)</f>
        <v>9999</v>
      </c>
      <c r="F191" s="0" t="n">
        <f aca="false">IF(C191&gt;1,IF(C191&lt;99,VLOOKUP(C191,'MSA-Lookup'!$H$1:$I$86,2),C191),C191)</f>
        <v>7360</v>
      </c>
      <c r="G191" s="0" t="n">
        <f aca="false">VLOOKUP(E191,'MSA-Lookup'!$AA$1:$AB$25,2)</f>
        <v>9999</v>
      </c>
      <c r="H191" s="0" t="n">
        <f aca="false">IF(C191&gt;1,IF(C191&lt;99,VLOOKUP(F191,'MSA-Lookup'!$AA$1:$AB$25,2),C191),C191)</f>
        <v>7362</v>
      </c>
    </row>
    <row r="192" customFormat="false" ht="12.75" hidden="false" customHeight="false" outlineLevel="0" collapsed="false">
      <c r="A192" s="0" t="n">
        <f aca="false">B192*1000+C192</f>
        <v>7023</v>
      </c>
      <c r="B192" s="0" t="n">
        <v>7</v>
      </c>
      <c r="C192" s="0" t="n">
        <v>23</v>
      </c>
      <c r="D192" s="0" t="n">
        <v>143</v>
      </c>
      <c r="E192" s="0" t="n">
        <f aca="false">VLOOKUP(B192,'MSA-Lookup'!$H$2:$I$86,2)</f>
        <v>9999</v>
      </c>
      <c r="F192" s="0" t="n">
        <f aca="false">IF(C192&gt;1,IF(C192&lt;99,VLOOKUP(C192,'MSA-Lookup'!$H$1:$I$86,2),C192),C192)</f>
        <v>8120</v>
      </c>
      <c r="G192" s="0" t="n">
        <f aca="false">VLOOKUP(E192,'MSA-Lookup'!$AA$1:$AB$25,2)</f>
        <v>9999</v>
      </c>
      <c r="H192" s="0" t="n">
        <f aca="false">IF(C192&gt;1,IF(C192&lt;99,VLOOKUP(F192,'MSA-Lookup'!$AA$1:$AB$25,2),C192),C192)</f>
        <v>8120</v>
      </c>
    </row>
    <row r="193" customFormat="false" ht="12.75" hidden="false" customHeight="false" outlineLevel="0" collapsed="false">
      <c r="A193" s="0" t="n">
        <f aca="false">B193*1000+C193</f>
        <v>7024</v>
      </c>
      <c r="B193" s="0" t="n">
        <v>7</v>
      </c>
      <c r="C193" s="0" t="n">
        <v>24</v>
      </c>
      <c r="D193" s="0" t="n">
        <v>143</v>
      </c>
      <c r="E193" s="0" t="n">
        <f aca="false">VLOOKUP(B193,'MSA-Lookup'!$H$2:$I$86,2)</f>
        <v>9999</v>
      </c>
      <c r="F193" s="0" t="n">
        <f aca="false">IF(C193&gt;1,IF(C193&lt;99,VLOOKUP(C193,'MSA-Lookup'!$H$1:$I$86,2),C193),C193)</f>
        <v>5170</v>
      </c>
      <c r="G193" s="0" t="n">
        <f aca="false">VLOOKUP(E193,'MSA-Lookup'!$AA$1:$AB$25,2)</f>
        <v>9999</v>
      </c>
      <c r="H193" s="0" t="n">
        <f aca="false">IF(C193&gt;1,IF(C193&lt;99,VLOOKUP(F193,'MSA-Lookup'!$AA$1:$AB$25,2),C193),C193)</f>
        <v>5170</v>
      </c>
    </row>
    <row r="194" customFormat="false" ht="12.75" hidden="false" customHeight="false" outlineLevel="0" collapsed="false">
      <c r="A194" s="0" t="n">
        <f aca="false">B194*1000+C194</f>
        <v>7026</v>
      </c>
      <c r="B194" s="0" t="n">
        <v>7</v>
      </c>
      <c r="C194" s="0" t="n">
        <v>26</v>
      </c>
      <c r="D194" s="0" t="n">
        <v>91</v>
      </c>
      <c r="E194" s="0" t="n">
        <f aca="false">VLOOKUP(B194,'MSA-Lookup'!$H$2:$I$86,2)</f>
        <v>9999</v>
      </c>
      <c r="F194" s="0" t="n">
        <f aca="false">IF(C194&gt;1,IF(C194&lt;99,VLOOKUP(C194,'MSA-Lookup'!$H$1:$I$86,2),C194),C194)</f>
        <v>9999</v>
      </c>
      <c r="G194" s="0" t="n">
        <f aca="false">VLOOKUP(E194,'MSA-Lookup'!$AA$1:$AB$25,2)</f>
        <v>9999</v>
      </c>
      <c r="H194" s="0" t="n">
        <f aca="false">IF(C194&gt;1,IF(C194&lt;99,VLOOKUP(F194,'MSA-Lookup'!$AA$1:$AB$25,2),C194),C194)</f>
        <v>9999</v>
      </c>
    </row>
    <row r="195" customFormat="false" ht="12.75" hidden="false" customHeight="false" outlineLevel="0" collapsed="false">
      <c r="A195" s="0" t="n">
        <f aca="false">B195*1000+C195</f>
        <v>7028</v>
      </c>
      <c r="B195" s="0" t="n">
        <v>7</v>
      </c>
      <c r="C195" s="0" t="n">
        <v>28</v>
      </c>
      <c r="D195" s="0" t="n">
        <v>689</v>
      </c>
      <c r="E195" s="0" t="n">
        <f aca="false">VLOOKUP(B195,'MSA-Lookup'!$H$2:$I$86,2)</f>
        <v>9999</v>
      </c>
      <c r="F195" s="0" t="n">
        <f aca="false">IF(C195&gt;1,IF(C195&lt;99,VLOOKUP(C195,'MSA-Lookup'!$H$1:$I$86,2),C195),C195)</f>
        <v>6920</v>
      </c>
      <c r="G195" s="0" t="n">
        <f aca="false">VLOOKUP(E195,'MSA-Lookup'!$AA$1:$AB$25,2)</f>
        <v>9999</v>
      </c>
      <c r="H195" s="0" t="n">
        <f aca="false">IF(C195&gt;1,IF(C195&lt;99,VLOOKUP(F195,'MSA-Lookup'!$AA$1:$AB$25,2),C195),C195)</f>
        <v>6920</v>
      </c>
    </row>
    <row r="196" customFormat="false" ht="12.75" hidden="false" customHeight="false" outlineLevel="0" collapsed="false">
      <c r="A196" s="0" t="n">
        <f aca="false">B196*1000+C196</f>
        <v>7029</v>
      </c>
      <c r="B196" s="0" t="n">
        <v>7</v>
      </c>
      <c r="C196" s="0" t="n">
        <v>29</v>
      </c>
      <c r="D196" s="0" t="n">
        <v>546</v>
      </c>
      <c r="E196" s="0" t="n">
        <f aca="false">VLOOKUP(B196,'MSA-Lookup'!$H$2:$I$86,2)</f>
        <v>9999</v>
      </c>
      <c r="F196" s="0" t="n">
        <f aca="false">IF(C196&gt;1,IF(C196&lt;99,VLOOKUP(C196,'MSA-Lookup'!$H$1:$I$86,2),C196),C196)</f>
        <v>6920</v>
      </c>
      <c r="G196" s="0" t="n">
        <f aca="false">VLOOKUP(E196,'MSA-Lookup'!$AA$1:$AB$25,2)</f>
        <v>9999</v>
      </c>
      <c r="H196" s="0" t="n">
        <f aca="false">IF(C196&gt;1,IF(C196&lt;99,VLOOKUP(F196,'MSA-Lookup'!$AA$1:$AB$25,2),C196),C196)</f>
        <v>6920</v>
      </c>
    </row>
    <row r="197" customFormat="false" ht="12.75" hidden="false" customHeight="false" outlineLevel="0" collapsed="false">
      <c r="A197" s="0" t="n">
        <f aca="false">B197*1000+C197</f>
        <v>7033</v>
      </c>
      <c r="B197" s="0" t="n">
        <v>7</v>
      </c>
      <c r="C197" s="0" t="n">
        <v>33</v>
      </c>
      <c r="D197" s="0" t="n">
        <v>130</v>
      </c>
      <c r="E197" s="0" t="n">
        <f aca="false">VLOOKUP(B197,'MSA-Lookup'!$H$2:$I$86,2)</f>
        <v>9999</v>
      </c>
      <c r="F197" s="0" t="n">
        <f aca="false">IF(C197&gt;1,IF(C197&lt;99,VLOOKUP(C197,'MSA-Lookup'!$H$1:$I$86,2),C197),C197)</f>
        <v>7320</v>
      </c>
      <c r="G197" s="0" t="n">
        <f aca="false">VLOOKUP(E197,'MSA-Lookup'!$AA$1:$AB$25,2)</f>
        <v>9999</v>
      </c>
      <c r="H197" s="0" t="n">
        <f aca="false">IF(C197&gt;1,IF(C197&lt;99,VLOOKUP(F197,'MSA-Lookup'!$AA$1:$AB$25,2),C197),C197)</f>
        <v>7320</v>
      </c>
    </row>
    <row r="198" customFormat="false" ht="12.75" hidden="false" customHeight="false" outlineLevel="0" collapsed="false">
      <c r="A198" s="0" t="n">
        <f aca="false">B198*1000+C198</f>
        <v>7034</v>
      </c>
      <c r="B198" s="0" t="n">
        <v>7</v>
      </c>
      <c r="C198" s="0" t="n">
        <v>34</v>
      </c>
      <c r="D198" s="0" t="n">
        <v>0</v>
      </c>
      <c r="E198" s="0" t="n">
        <f aca="false">VLOOKUP(B198,'MSA-Lookup'!$H$2:$I$86,2)</f>
        <v>9999</v>
      </c>
      <c r="F198" s="0" t="n">
        <f aca="false">IF(C198&gt;1,IF(C198&lt;99,VLOOKUP(C198,'MSA-Lookup'!$H$1:$I$86,2),C198),C198)</f>
        <v>7320</v>
      </c>
      <c r="G198" s="0" t="n">
        <f aca="false">VLOOKUP(E198,'MSA-Lookup'!$AA$1:$AB$25,2)</f>
        <v>9999</v>
      </c>
      <c r="H198" s="0" t="n">
        <f aca="false">IF(C198&gt;1,IF(C198&lt;99,VLOOKUP(F198,'MSA-Lookup'!$AA$1:$AB$25,2),C198),C198)</f>
        <v>7320</v>
      </c>
    </row>
    <row r="199" customFormat="false" ht="12.75" hidden="false" customHeight="false" outlineLevel="0" collapsed="false">
      <c r="A199" s="0" t="n">
        <f aca="false">B199*1000+C199</f>
        <v>7035</v>
      </c>
      <c r="B199" s="0" t="n">
        <v>7</v>
      </c>
      <c r="C199" s="0" t="n">
        <v>35</v>
      </c>
      <c r="D199" s="0" t="n">
        <v>0</v>
      </c>
      <c r="E199" s="0" t="n">
        <f aca="false">VLOOKUP(B199,'MSA-Lookup'!$H$2:$I$86,2)</f>
        <v>9999</v>
      </c>
      <c r="F199" s="0" t="n">
        <f aca="false">IF(C199&gt;1,IF(C199&lt;99,VLOOKUP(C199,'MSA-Lookup'!$H$1:$I$86,2),C199),C199)</f>
        <v>7320</v>
      </c>
      <c r="G199" s="0" t="n">
        <f aca="false">VLOOKUP(E199,'MSA-Lookup'!$AA$1:$AB$25,2)</f>
        <v>9999</v>
      </c>
      <c r="H199" s="0" t="n">
        <f aca="false">IF(C199&gt;1,IF(C199&lt;99,VLOOKUP(F199,'MSA-Lookup'!$AA$1:$AB$25,2),C199),C199)</f>
        <v>7320</v>
      </c>
    </row>
    <row r="200" customFormat="false" ht="12.75" hidden="false" customHeight="false" outlineLevel="0" collapsed="false">
      <c r="A200" s="0" t="n">
        <f aca="false">B200*1000+C200</f>
        <v>7037</v>
      </c>
      <c r="B200" s="0" t="n">
        <v>7</v>
      </c>
      <c r="C200" s="0" t="n">
        <v>37</v>
      </c>
      <c r="D200" s="0" t="n">
        <v>52</v>
      </c>
      <c r="E200" s="0" t="n">
        <f aca="false">VLOOKUP(B200,'MSA-Lookup'!$H$2:$I$86,2)</f>
        <v>9999</v>
      </c>
      <c r="F200" s="0" t="n">
        <f aca="false">IF(C200&gt;1,IF(C200&lt;99,VLOOKUP(C200,'MSA-Lookup'!$H$1:$I$86,2),C200),C200)</f>
        <v>7320</v>
      </c>
      <c r="G200" s="0" t="n">
        <f aca="false">VLOOKUP(E200,'MSA-Lookup'!$AA$1:$AB$25,2)</f>
        <v>9999</v>
      </c>
      <c r="H200" s="0" t="n">
        <f aca="false">IF(C200&gt;1,IF(C200&lt;99,VLOOKUP(F200,'MSA-Lookup'!$AA$1:$AB$25,2),C200),C200)</f>
        <v>7320</v>
      </c>
    </row>
    <row r="201" customFormat="false" ht="12.75" hidden="false" customHeight="false" outlineLevel="0" collapsed="false">
      <c r="A201" s="0" t="n">
        <f aca="false">B201*1000+C201</f>
        <v>7039</v>
      </c>
      <c r="B201" s="0" t="n">
        <v>7</v>
      </c>
      <c r="C201" s="0" t="n">
        <v>39</v>
      </c>
      <c r="D201" s="0" t="n">
        <v>0</v>
      </c>
      <c r="E201" s="0" t="n">
        <f aca="false">VLOOKUP(B201,'MSA-Lookup'!$H$2:$I$86,2)</f>
        <v>9999</v>
      </c>
      <c r="F201" s="0" t="n">
        <f aca="false">IF(C201&gt;1,IF(C201&lt;99,VLOOKUP(C201,'MSA-Lookup'!$H$1:$I$86,2),C201),C201)</f>
        <v>7120</v>
      </c>
      <c r="G201" s="0" t="n">
        <f aca="false">VLOOKUP(E201,'MSA-Lookup'!$AA$1:$AB$25,2)</f>
        <v>9999</v>
      </c>
      <c r="H201" s="0" t="n">
        <f aca="false">IF(C201&gt;1,IF(C201&lt;99,VLOOKUP(F201,'MSA-Lookup'!$AA$1:$AB$25,2),C201),C201)</f>
        <v>7120</v>
      </c>
    </row>
    <row r="202" customFormat="false" ht="12.75" hidden="false" customHeight="false" outlineLevel="0" collapsed="false">
      <c r="A202" s="0" t="n">
        <f aca="false">B202*1000+C202</f>
        <v>7040</v>
      </c>
      <c r="B202" s="0" t="n">
        <v>7</v>
      </c>
      <c r="C202" s="0" t="n">
        <v>40</v>
      </c>
      <c r="D202" s="0" t="n">
        <v>0</v>
      </c>
      <c r="E202" s="0" t="n">
        <f aca="false">VLOOKUP(B202,'MSA-Lookup'!$H$2:$I$86,2)</f>
        <v>9999</v>
      </c>
      <c r="F202" s="0" t="n">
        <f aca="false">IF(C202&gt;1,IF(C202&lt;99,VLOOKUP(C202,'MSA-Lookup'!$H$1:$I$86,2),C202),C202)</f>
        <v>2840</v>
      </c>
      <c r="G202" s="0" t="n">
        <f aca="false">VLOOKUP(E202,'MSA-Lookup'!$AA$1:$AB$25,2)</f>
        <v>9999</v>
      </c>
      <c r="H202" s="0" t="n">
        <f aca="false">IF(C202&gt;1,IF(C202&lt;99,VLOOKUP(F202,'MSA-Lookup'!$AA$1:$AB$25,2),C202),C202)</f>
        <v>2840</v>
      </c>
    </row>
    <row r="203" customFormat="false" ht="12.75" hidden="false" customHeight="false" outlineLevel="0" collapsed="false">
      <c r="A203" s="0" t="n">
        <f aca="false">B203*1000+C203</f>
        <v>7041</v>
      </c>
      <c r="B203" s="0" t="n">
        <v>7</v>
      </c>
      <c r="C203" s="0" t="n">
        <v>41</v>
      </c>
      <c r="D203" s="0" t="n">
        <v>26</v>
      </c>
      <c r="E203" s="0" t="n">
        <f aca="false">VLOOKUP(B203,'MSA-Lookup'!$H$2:$I$86,2)</f>
        <v>9999</v>
      </c>
      <c r="F203" s="0" t="n">
        <f aca="false">IF(C203&gt;1,IF(C203&lt;99,VLOOKUP(C203,'MSA-Lookup'!$H$1:$I$86,2),C203),C203)</f>
        <v>2840</v>
      </c>
      <c r="G203" s="0" t="n">
        <f aca="false">VLOOKUP(E203,'MSA-Lookup'!$AA$1:$AB$25,2)</f>
        <v>9999</v>
      </c>
      <c r="H203" s="0" t="n">
        <f aca="false">IF(C203&gt;1,IF(C203&lt;99,VLOOKUP(F203,'MSA-Lookup'!$AA$1:$AB$25,2),C203),C203)</f>
        <v>2840</v>
      </c>
    </row>
    <row r="204" customFormat="false" ht="12.75" hidden="false" customHeight="false" outlineLevel="0" collapsed="false">
      <c r="A204" s="0" t="n">
        <f aca="false">B204*1000+C204</f>
        <v>7049</v>
      </c>
      <c r="B204" s="0" t="n">
        <v>7</v>
      </c>
      <c r="C204" s="0" t="n">
        <v>49</v>
      </c>
      <c r="D204" s="0" t="n">
        <v>104</v>
      </c>
      <c r="E204" s="0" t="n">
        <f aca="false">VLOOKUP(B204,'MSA-Lookup'!$H$2:$I$86,2)</f>
        <v>9999</v>
      </c>
      <c r="F204" s="0" t="n">
        <f aca="false">IF(C204&gt;1,IF(C204&lt;99,VLOOKUP(C204,'MSA-Lookup'!$H$1:$I$86,2),C204),C204)</f>
        <v>7400</v>
      </c>
      <c r="G204" s="0" t="n">
        <f aca="false">VLOOKUP(E204,'MSA-Lookup'!$AA$1:$AB$25,2)</f>
        <v>9999</v>
      </c>
      <c r="H204" s="0" t="n">
        <f aca="false">IF(C204&gt;1,IF(C204&lt;99,VLOOKUP(F204,'MSA-Lookup'!$AA$1:$AB$25,2),C204),C204)</f>
        <v>7362</v>
      </c>
    </row>
    <row r="205" customFormat="false" ht="12.75" hidden="false" customHeight="false" outlineLevel="0" collapsed="false">
      <c r="A205" s="0" t="n">
        <f aca="false">B205*1000+C205</f>
        <v>7050</v>
      </c>
      <c r="B205" s="0" t="n">
        <v>7</v>
      </c>
      <c r="C205" s="0" t="n">
        <v>50</v>
      </c>
      <c r="D205" s="0" t="n">
        <v>0</v>
      </c>
      <c r="E205" s="0" t="n">
        <f aca="false">VLOOKUP(B205,'MSA-Lookup'!$H$2:$I$86,2)</f>
        <v>9999</v>
      </c>
      <c r="F205" s="0" t="n">
        <f aca="false">IF(C205&gt;1,IF(C205&lt;99,VLOOKUP(C205,'MSA-Lookup'!$H$1:$I$86,2),C205),C205)</f>
        <v>7400</v>
      </c>
      <c r="G205" s="0" t="n">
        <f aca="false">VLOOKUP(E205,'MSA-Lookup'!$AA$1:$AB$25,2)</f>
        <v>9999</v>
      </c>
      <c r="H205" s="0" t="n">
        <f aca="false">IF(C205&gt;1,IF(C205&lt;99,VLOOKUP(F205,'MSA-Lookup'!$AA$1:$AB$25,2),C205),C205)</f>
        <v>7362</v>
      </c>
    </row>
    <row r="206" customFormat="false" ht="12.75" hidden="false" customHeight="false" outlineLevel="0" collapsed="false">
      <c r="A206" s="0" t="n">
        <f aca="false">B206*1000+C206</f>
        <v>7051</v>
      </c>
      <c r="B206" s="0" t="n">
        <v>7</v>
      </c>
      <c r="C206" s="0" t="n">
        <v>51</v>
      </c>
      <c r="D206" s="0" t="n">
        <v>0</v>
      </c>
      <c r="E206" s="0" t="n">
        <f aca="false">VLOOKUP(B206,'MSA-Lookup'!$H$2:$I$86,2)</f>
        <v>9999</v>
      </c>
      <c r="F206" s="0" t="n">
        <f aca="false">IF(C206&gt;1,IF(C206&lt;99,VLOOKUP(C206,'MSA-Lookup'!$H$1:$I$86,2),C206),C206)</f>
        <v>7400</v>
      </c>
      <c r="G206" s="0" t="n">
        <f aca="false">VLOOKUP(E206,'MSA-Lookup'!$AA$1:$AB$25,2)</f>
        <v>9999</v>
      </c>
      <c r="H206" s="0" t="n">
        <f aca="false">IF(C206&gt;1,IF(C206&lt;99,VLOOKUP(F206,'MSA-Lookup'!$AA$1:$AB$25,2),C206),C206)</f>
        <v>7362</v>
      </c>
    </row>
    <row r="207" customFormat="false" ht="12.75" hidden="false" customHeight="false" outlineLevel="0" collapsed="false">
      <c r="A207" s="0" t="n">
        <f aca="false">B207*1000+C207</f>
        <v>7053</v>
      </c>
      <c r="B207" s="0" t="n">
        <v>7</v>
      </c>
      <c r="C207" s="0" t="n">
        <v>53</v>
      </c>
      <c r="D207" s="0" t="n">
        <v>104</v>
      </c>
      <c r="E207" s="0" t="n">
        <f aca="false">VLOOKUP(B207,'MSA-Lookup'!$H$2:$I$86,2)</f>
        <v>9999</v>
      </c>
      <c r="F207" s="0" t="n">
        <f aca="false">IF(C207&gt;1,IF(C207&lt;99,VLOOKUP(C207,'MSA-Lookup'!$H$1:$I$86,2),C207),C207)</f>
        <v>4480</v>
      </c>
      <c r="G207" s="0" t="n">
        <f aca="false">VLOOKUP(E207,'MSA-Lookup'!$AA$1:$AB$25,2)</f>
        <v>9999</v>
      </c>
      <c r="H207" s="0" t="n">
        <f aca="false">IF(C207&gt;1,IF(C207&lt;99,VLOOKUP(F207,'MSA-Lookup'!$AA$1:$AB$25,2),C207),C207)</f>
        <v>4472</v>
      </c>
    </row>
    <row r="208" customFormat="false" ht="12.75" hidden="false" customHeight="false" outlineLevel="0" collapsed="false">
      <c r="A208" s="0" t="n">
        <f aca="false">B208*1000+C208</f>
        <v>7065</v>
      </c>
      <c r="B208" s="0" t="n">
        <v>7</v>
      </c>
      <c r="C208" s="0" t="n">
        <v>65</v>
      </c>
      <c r="D208" s="0" t="n">
        <v>0</v>
      </c>
      <c r="E208" s="0" t="n">
        <f aca="false">VLOOKUP(B208,'MSA-Lookup'!$H$2:$I$86,2)</f>
        <v>9999</v>
      </c>
      <c r="F208" s="0" t="n">
        <f aca="false">IF(C208&gt;1,IF(C208&lt;99,VLOOKUP(C208,'MSA-Lookup'!$H$1:$I$86,2),C208),C208)</f>
        <v>4480</v>
      </c>
      <c r="G208" s="0" t="n">
        <f aca="false">VLOOKUP(E208,'MSA-Lookup'!$AA$1:$AB$25,2)</f>
        <v>9999</v>
      </c>
      <c r="H208" s="0" t="n">
        <f aca="false">IF(C208&gt;1,IF(C208&lt;99,VLOOKUP(F208,'MSA-Lookup'!$AA$1:$AB$25,2),C208),C208)</f>
        <v>4472</v>
      </c>
    </row>
    <row r="209" customFormat="false" ht="12.75" hidden="false" customHeight="false" outlineLevel="0" collapsed="false">
      <c r="A209" s="0" t="n">
        <f aca="false">B209*1000+C209</f>
        <v>7069</v>
      </c>
      <c r="B209" s="0" t="n">
        <v>7</v>
      </c>
      <c r="C209" s="0" t="n">
        <v>69</v>
      </c>
      <c r="D209" s="0" t="n">
        <v>0</v>
      </c>
      <c r="E209" s="0" t="n">
        <f aca="false">VLOOKUP(B209,'MSA-Lookup'!$H$2:$I$86,2)</f>
        <v>9999</v>
      </c>
      <c r="F209" s="0" t="n">
        <f aca="false">IF(C209&gt;1,IF(C209&lt;99,VLOOKUP(C209,'MSA-Lookup'!$H$1:$I$86,2),C209),C209)</f>
        <v>6780</v>
      </c>
      <c r="G209" s="0" t="n">
        <f aca="false">VLOOKUP(E209,'MSA-Lookup'!$AA$1:$AB$25,2)</f>
        <v>9999</v>
      </c>
      <c r="H209" s="0" t="n">
        <f aca="false">IF(C209&gt;1,IF(C209&lt;99,VLOOKUP(F209,'MSA-Lookup'!$AA$1:$AB$25,2),C209),C209)</f>
        <v>4472</v>
      </c>
    </row>
    <row r="210" customFormat="false" ht="12.75" hidden="false" customHeight="false" outlineLevel="0" collapsed="false">
      <c r="A210" s="0" t="n">
        <f aca="false">B210*1000+C210</f>
        <v>7072</v>
      </c>
      <c r="B210" s="0" t="n">
        <v>7</v>
      </c>
      <c r="C210" s="0" t="n">
        <v>72</v>
      </c>
      <c r="D210" s="0" t="n">
        <v>0</v>
      </c>
      <c r="E210" s="0" t="n">
        <f aca="false">VLOOKUP(B210,'MSA-Lookup'!$H$2:$I$86,2)</f>
        <v>9999</v>
      </c>
      <c r="F210" s="0" t="n">
        <f aca="false">IF(C210&gt;1,IF(C210&lt;99,VLOOKUP(C210,'MSA-Lookup'!$H$1:$I$86,2),C210),C210)</f>
        <v>6780</v>
      </c>
      <c r="G210" s="0" t="n">
        <f aca="false">VLOOKUP(E210,'MSA-Lookup'!$AA$1:$AB$25,2)</f>
        <v>9999</v>
      </c>
      <c r="H210" s="0" t="n">
        <f aca="false">IF(C210&gt;1,IF(C210&lt;99,VLOOKUP(F210,'MSA-Lookup'!$AA$1:$AB$25,2),C210),C210)</f>
        <v>4472</v>
      </c>
    </row>
    <row r="211" customFormat="false" ht="12.75" hidden="false" customHeight="false" outlineLevel="0" collapsed="false">
      <c r="A211" s="0" t="n">
        <f aca="false">B211*1000+C211</f>
        <v>7075</v>
      </c>
      <c r="B211" s="0" t="n">
        <v>7</v>
      </c>
      <c r="C211" s="0" t="n">
        <v>75</v>
      </c>
      <c r="D211" s="0" t="n">
        <v>0</v>
      </c>
      <c r="E211" s="0" t="n">
        <f aca="false">VLOOKUP(B211,'MSA-Lookup'!$H$2:$I$86,2)</f>
        <v>9999</v>
      </c>
      <c r="F211" s="0" t="n">
        <f aca="false">IF(C211&gt;1,IF(C211&lt;99,VLOOKUP(C211,'MSA-Lookup'!$H$1:$I$86,2),C211),C211)</f>
        <v>8780</v>
      </c>
      <c r="G211" s="0" t="n">
        <f aca="false">VLOOKUP(E211,'MSA-Lookup'!$AA$1:$AB$25,2)</f>
        <v>9999</v>
      </c>
      <c r="H211" s="0" t="n">
        <f aca="false">IF(C211&gt;1,IF(C211&lt;99,VLOOKUP(F211,'MSA-Lookup'!$AA$1:$AB$25,2),C211),C211)</f>
        <v>8780</v>
      </c>
    </row>
    <row r="212" customFormat="false" ht="12.75" hidden="false" customHeight="false" outlineLevel="0" collapsed="false">
      <c r="A212" s="0" t="n">
        <f aca="false">B212*1000+C212</f>
        <v>7079</v>
      </c>
      <c r="B212" s="0" t="n">
        <v>7</v>
      </c>
      <c r="C212" s="0" t="n">
        <v>79</v>
      </c>
      <c r="D212" s="0" t="n">
        <v>0</v>
      </c>
      <c r="E212" s="0" t="n">
        <f aca="false">VLOOKUP(B212,'MSA-Lookup'!$H$2:$I$86,2)</f>
        <v>9999</v>
      </c>
      <c r="F212" s="0" t="n">
        <f aca="false">IF(C212&gt;1,IF(C212&lt;99,VLOOKUP(C212,'MSA-Lookup'!$H$1:$I$86,2),C212),C212)</f>
        <v>680</v>
      </c>
      <c r="G212" s="0" t="n">
        <f aca="false">VLOOKUP(E212,'MSA-Lookup'!$AA$1:$AB$25,2)</f>
        <v>9999</v>
      </c>
      <c r="H212" s="0" t="n">
        <f aca="false">IF(C212&gt;1,IF(C212&lt;99,VLOOKUP(F212,'MSA-Lookup'!$AA$1:$AB$25,2),C212),C212)</f>
        <v>680</v>
      </c>
    </row>
    <row r="213" customFormat="false" ht="12.75" hidden="false" customHeight="false" outlineLevel="0" collapsed="false">
      <c r="A213" s="0" t="n">
        <f aca="false">B213*1000+C213</f>
        <v>7999</v>
      </c>
      <c r="B213" s="0" t="n">
        <v>7</v>
      </c>
      <c r="C213" s="0" t="n">
        <v>999</v>
      </c>
      <c r="D213" s="0" t="n">
        <v>0</v>
      </c>
      <c r="E213" s="0" t="n">
        <f aca="false">VLOOKUP(B213,'MSA-Lookup'!$H$2:$I$86,2)</f>
        <v>9999</v>
      </c>
      <c r="F213" s="0" t="n">
        <f aca="false">IF(C213&gt;1,IF(C213&lt;99,VLOOKUP(C213,'MSA-Lookup'!$H$1:$I$86,2),C213),C213)</f>
        <v>999</v>
      </c>
      <c r="G213" s="0" t="n">
        <f aca="false">VLOOKUP(E213,'MSA-Lookup'!$AA$1:$AB$25,2)</f>
        <v>9999</v>
      </c>
      <c r="H213" s="0" t="n">
        <f aca="false">IF(C213&gt;1,IF(C213&lt;99,VLOOKUP(F213,'MSA-Lookup'!$AA$1:$AB$25,2),C213),C213)</f>
        <v>999</v>
      </c>
    </row>
    <row r="214" customFormat="false" ht="12.75" hidden="false" customHeight="false" outlineLevel="0" collapsed="false">
      <c r="A214" s="0" t="n">
        <f aca="false">B214*1000+C214</f>
        <v>8000</v>
      </c>
      <c r="B214" s="0" t="n">
        <v>8</v>
      </c>
      <c r="C214" s="0" t="n">
        <v>0</v>
      </c>
      <c r="D214" s="0" t="n">
        <v>74074</v>
      </c>
      <c r="E214" s="0" t="n">
        <f aca="false">VLOOKUP(B214,'MSA-Lookup'!$H$2:$I$86,2)</f>
        <v>9340</v>
      </c>
      <c r="F214" s="0" t="n">
        <f aca="false">IF(C214&gt;1,IF(C214&lt;99,VLOOKUP(C214,'MSA-Lookup'!$H$1:$I$86,2),C214),C214)</f>
        <v>0</v>
      </c>
      <c r="G214" s="0" t="n">
        <f aca="false">VLOOKUP(E214,'MSA-Lookup'!$AA$1:$AB$25,2)</f>
        <v>9340</v>
      </c>
      <c r="H214" s="0" t="n">
        <f aca="false">IF(C214&gt;1,IF(C214&lt;99,VLOOKUP(F214,'MSA-Lookup'!$AA$1:$AB$25,2),C214),C214)</f>
        <v>0</v>
      </c>
    </row>
    <row r="215" customFormat="false" ht="12.75" hidden="false" customHeight="false" outlineLevel="0" collapsed="false">
      <c r="A215" s="0" t="n">
        <f aca="false">B215*1000+C215</f>
        <v>8001</v>
      </c>
      <c r="B215" s="0" t="n">
        <v>8</v>
      </c>
      <c r="C215" s="0" t="n">
        <v>1</v>
      </c>
      <c r="D215" s="0" t="n">
        <v>0</v>
      </c>
      <c r="E215" s="0" t="n">
        <f aca="false">VLOOKUP(B215,'MSA-Lookup'!$H$2:$I$86,2)</f>
        <v>9340</v>
      </c>
      <c r="F215" s="0" t="n">
        <f aca="false">IF(C215&gt;1,IF(C215&lt;99,VLOOKUP(C215,'MSA-Lookup'!$H$1:$I$86,2),C215),C215)</f>
        <v>1</v>
      </c>
      <c r="G215" s="0" t="n">
        <f aca="false">VLOOKUP(E215,'MSA-Lookup'!$AA$1:$AB$25,2)</f>
        <v>9340</v>
      </c>
      <c r="H215" s="0" t="n">
        <f aca="false">IF(C215&gt;1,IF(C215&lt;99,VLOOKUP(F215,'MSA-Lookup'!$AA$1:$AB$25,2),C215),C215)</f>
        <v>1</v>
      </c>
    </row>
    <row r="216" customFormat="false" ht="12.75" hidden="false" customHeight="false" outlineLevel="0" collapsed="false">
      <c r="A216" s="0" t="n">
        <f aca="false">B216*1000+C216</f>
        <v>8002</v>
      </c>
      <c r="B216" s="0" t="n">
        <v>8</v>
      </c>
      <c r="C216" s="0" t="n">
        <v>2</v>
      </c>
      <c r="D216" s="0" t="n">
        <v>0</v>
      </c>
      <c r="E216" s="0" t="n">
        <f aca="false">VLOOKUP(B216,'MSA-Lookup'!$H$2:$I$86,2)</f>
        <v>9340</v>
      </c>
      <c r="F216" s="0" t="n">
        <f aca="false">IF(C216&gt;1,IF(C216&lt;99,VLOOKUP(C216,'MSA-Lookup'!$H$1:$I$86,2),C216),C216)</f>
        <v>9999</v>
      </c>
      <c r="G216" s="0" t="n">
        <f aca="false">VLOOKUP(E216,'MSA-Lookup'!$AA$1:$AB$25,2)</f>
        <v>9340</v>
      </c>
      <c r="H216" s="0" t="n">
        <f aca="false">IF(C216&gt;1,IF(C216&lt;99,VLOOKUP(F216,'MSA-Lookup'!$AA$1:$AB$25,2),C216),C216)</f>
        <v>9999</v>
      </c>
    </row>
    <row r="217" customFormat="false" ht="12.75" hidden="false" customHeight="false" outlineLevel="0" collapsed="false">
      <c r="A217" s="0" t="n">
        <f aca="false">B217*1000+C217</f>
        <v>8003</v>
      </c>
      <c r="B217" s="0" t="n">
        <v>8</v>
      </c>
      <c r="C217" s="0" t="n">
        <v>3</v>
      </c>
      <c r="D217" s="0" t="n">
        <v>0</v>
      </c>
      <c r="E217" s="0" t="n">
        <f aca="false">VLOOKUP(B217,'MSA-Lookup'!$H$2:$I$86,2)</f>
        <v>9340</v>
      </c>
      <c r="F217" s="0" t="n">
        <f aca="false">IF(C217&gt;1,IF(C217&lt;99,VLOOKUP(C217,'MSA-Lookup'!$H$1:$I$86,2),C217),C217)</f>
        <v>6690</v>
      </c>
      <c r="G217" s="0" t="n">
        <f aca="false">VLOOKUP(E217,'MSA-Lookup'!$AA$1:$AB$25,2)</f>
        <v>9340</v>
      </c>
      <c r="H217" s="0" t="n">
        <f aca="false">IF(C217&gt;1,IF(C217&lt;99,VLOOKUP(F217,'MSA-Lookup'!$AA$1:$AB$25,2),C217),C217)</f>
        <v>6690</v>
      </c>
    </row>
    <row r="218" customFormat="false" ht="12.75" hidden="false" customHeight="false" outlineLevel="0" collapsed="false">
      <c r="A218" s="0" t="n">
        <f aca="false">B218*1000+C218</f>
        <v>8004</v>
      </c>
      <c r="B218" s="0" t="n">
        <v>8</v>
      </c>
      <c r="C218" s="0" t="n">
        <v>4</v>
      </c>
      <c r="D218" s="0" t="n">
        <v>0</v>
      </c>
      <c r="E218" s="0" t="n">
        <f aca="false">VLOOKUP(B218,'MSA-Lookup'!$H$2:$I$86,2)</f>
        <v>9340</v>
      </c>
      <c r="F218" s="0" t="n">
        <f aca="false">IF(C218&gt;1,IF(C218&lt;99,VLOOKUP(C218,'MSA-Lookup'!$H$1:$I$86,2),C218),C218)</f>
        <v>9999</v>
      </c>
      <c r="G218" s="0" t="n">
        <f aca="false">VLOOKUP(E218,'MSA-Lookup'!$AA$1:$AB$25,2)</f>
        <v>9340</v>
      </c>
      <c r="H218" s="0" t="n">
        <f aca="false">IF(C218&gt;1,IF(C218&lt;99,VLOOKUP(F218,'MSA-Lookup'!$AA$1:$AB$25,2),C218),C218)</f>
        <v>9999</v>
      </c>
    </row>
    <row r="219" customFormat="false" ht="12.75" hidden="false" customHeight="false" outlineLevel="0" collapsed="false">
      <c r="A219" s="0" t="n">
        <f aca="false">B219*1000+C219</f>
        <v>8005</v>
      </c>
      <c r="B219" s="0" t="n">
        <v>8</v>
      </c>
      <c r="C219" s="0" t="n">
        <v>5</v>
      </c>
      <c r="D219" s="0" t="n">
        <v>403</v>
      </c>
      <c r="E219" s="0" t="n">
        <f aca="false">VLOOKUP(B219,'MSA-Lookup'!$H$2:$I$86,2)</f>
        <v>9340</v>
      </c>
      <c r="F219" s="0" t="n">
        <f aca="false">IF(C219&gt;1,IF(C219&lt;99,VLOOKUP(C219,'MSA-Lookup'!$H$1:$I$86,2),C219),C219)</f>
        <v>9999</v>
      </c>
      <c r="G219" s="0" t="n">
        <f aca="false">VLOOKUP(E219,'MSA-Lookup'!$AA$1:$AB$25,2)</f>
        <v>9340</v>
      </c>
      <c r="H219" s="0" t="n">
        <f aca="false">IF(C219&gt;1,IF(C219&lt;99,VLOOKUP(F219,'MSA-Lookup'!$AA$1:$AB$25,2),C219),C219)</f>
        <v>9999</v>
      </c>
    </row>
    <row r="220" customFormat="false" ht="12.75" hidden="false" customHeight="false" outlineLevel="0" collapsed="false">
      <c r="A220" s="0" t="n">
        <f aca="false">B220*1000+C220</f>
        <v>8006</v>
      </c>
      <c r="B220" s="0" t="n">
        <v>8</v>
      </c>
      <c r="C220" s="0" t="n">
        <v>6</v>
      </c>
      <c r="D220" s="0" t="n">
        <v>663</v>
      </c>
      <c r="E220" s="0" t="n">
        <f aca="false">VLOOKUP(B220,'MSA-Lookup'!$H$2:$I$86,2)</f>
        <v>9340</v>
      </c>
      <c r="F220" s="0" t="n">
        <f aca="false">IF(C220&gt;1,IF(C220&lt;99,VLOOKUP(C220,'MSA-Lookup'!$H$1:$I$86,2),C220),C220)</f>
        <v>1620</v>
      </c>
      <c r="G220" s="0" t="n">
        <f aca="false">VLOOKUP(E220,'MSA-Lookup'!$AA$1:$AB$25,2)</f>
        <v>9340</v>
      </c>
      <c r="H220" s="0" t="n">
        <f aca="false">IF(C220&gt;1,IF(C220&lt;99,VLOOKUP(F220,'MSA-Lookup'!$AA$1:$AB$25,2),C220),C220)</f>
        <v>1620</v>
      </c>
    </row>
    <row r="221" customFormat="false" ht="12.75" hidden="false" customHeight="false" outlineLevel="0" collapsed="false">
      <c r="A221" s="0" t="n">
        <f aca="false">B221*1000+C221</f>
        <v>8007</v>
      </c>
      <c r="B221" s="0" t="n">
        <v>8</v>
      </c>
      <c r="C221" s="0" t="n">
        <v>7</v>
      </c>
      <c r="D221" s="0" t="n">
        <v>312</v>
      </c>
      <c r="E221" s="0" t="n">
        <f aca="false">VLOOKUP(B221,'MSA-Lookup'!$H$2:$I$86,2)</f>
        <v>9340</v>
      </c>
      <c r="F221" s="0" t="n">
        <f aca="false">IF(C221&gt;1,IF(C221&lt;99,VLOOKUP(C221,'MSA-Lookup'!$H$1:$I$86,2),C221),C221)</f>
        <v>9999</v>
      </c>
      <c r="G221" s="0" t="n">
        <f aca="false">VLOOKUP(E221,'MSA-Lookup'!$AA$1:$AB$25,2)</f>
        <v>9340</v>
      </c>
      <c r="H221" s="0" t="n">
        <f aca="false">IF(C221&gt;1,IF(C221&lt;99,VLOOKUP(F221,'MSA-Lookup'!$AA$1:$AB$25,2),C221),C221)</f>
        <v>9999</v>
      </c>
    </row>
    <row r="222" customFormat="false" ht="12.75" hidden="false" customHeight="false" outlineLevel="0" collapsed="false">
      <c r="A222" s="0" t="n">
        <f aca="false">B222*1000+C222</f>
        <v>8008</v>
      </c>
      <c r="B222" s="0" t="n">
        <v>8</v>
      </c>
      <c r="C222" s="0" t="n">
        <v>8</v>
      </c>
      <c r="D222" s="0" t="n">
        <v>38493</v>
      </c>
      <c r="E222" s="0" t="n">
        <f aca="false">VLOOKUP(B222,'MSA-Lookup'!$H$2:$I$86,2)</f>
        <v>9340</v>
      </c>
      <c r="F222" s="0" t="n">
        <f aca="false">IF(C222&gt;1,IF(C222&lt;99,VLOOKUP(C222,'MSA-Lookup'!$H$1:$I$86,2),C222),C222)</f>
        <v>9340</v>
      </c>
      <c r="G222" s="0" t="n">
        <f aca="false">VLOOKUP(E222,'MSA-Lookup'!$AA$1:$AB$25,2)</f>
        <v>9340</v>
      </c>
      <c r="H222" s="0" t="n">
        <f aca="false">IF(C222&gt;1,IF(C222&lt;99,VLOOKUP(F222,'MSA-Lookup'!$AA$1:$AB$25,2),C222),C222)</f>
        <v>9340</v>
      </c>
    </row>
    <row r="223" customFormat="false" ht="12.75" hidden="false" customHeight="false" outlineLevel="0" collapsed="false">
      <c r="A223" s="0" t="n">
        <f aca="false">B223*1000+C223</f>
        <v>8009</v>
      </c>
      <c r="B223" s="0" t="n">
        <v>8</v>
      </c>
      <c r="C223" s="0" t="n">
        <v>9</v>
      </c>
      <c r="D223" s="0" t="n">
        <v>0</v>
      </c>
      <c r="E223" s="0" t="n">
        <f aca="false">VLOOKUP(B223,'MSA-Lookup'!$H$2:$I$86,2)</f>
        <v>9340</v>
      </c>
      <c r="F223" s="0" t="n">
        <f aca="false">IF(C223&gt;1,IF(C223&lt;99,VLOOKUP(C223,'MSA-Lookup'!$H$1:$I$86,2),C223),C223)</f>
        <v>8720</v>
      </c>
      <c r="G223" s="0" t="n">
        <f aca="false">VLOOKUP(E223,'MSA-Lookup'!$AA$1:$AB$25,2)</f>
        <v>9340</v>
      </c>
      <c r="H223" s="0" t="n">
        <f aca="false">IF(C223&gt;1,IF(C223&lt;99,VLOOKUP(F223,'MSA-Lookup'!$AA$1:$AB$25,2),C223),C223)</f>
        <v>7362</v>
      </c>
    </row>
    <row r="224" customFormat="false" ht="12.75" hidden="false" customHeight="false" outlineLevel="0" collapsed="false">
      <c r="A224" s="0" t="n">
        <f aca="false">B224*1000+C224</f>
        <v>8010</v>
      </c>
      <c r="B224" s="0" t="n">
        <v>8</v>
      </c>
      <c r="C224" s="0" t="n">
        <v>10</v>
      </c>
      <c r="D224" s="0" t="n">
        <v>1521</v>
      </c>
      <c r="E224" s="0" t="n">
        <f aca="false">VLOOKUP(B224,'MSA-Lookup'!$H$2:$I$86,2)</f>
        <v>9340</v>
      </c>
      <c r="F224" s="0" t="n">
        <f aca="false">IF(C224&gt;1,IF(C224&lt;99,VLOOKUP(C224,'MSA-Lookup'!$H$1:$I$86,2),C224),C224)</f>
        <v>6920</v>
      </c>
      <c r="G224" s="0" t="n">
        <f aca="false">VLOOKUP(E224,'MSA-Lookup'!$AA$1:$AB$25,2)</f>
        <v>9340</v>
      </c>
      <c r="H224" s="0" t="n">
        <f aca="false">IF(C224&gt;1,IF(C224&lt;99,VLOOKUP(F224,'MSA-Lookup'!$AA$1:$AB$25,2),C224),C224)</f>
        <v>6920</v>
      </c>
    </row>
    <row r="225" customFormat="false" ht="12.75" hidden="false" customHeight="false" outlineLevel="0" collapsed="false">
      <c r="A225" s="0" t="n">
        <f aca="false">B225*1000+C225</f>
        <v>8011</v>
      </c>
      <c r="B225" s="0" t="n">
        <v>8</v>
      </c>
      <c r="C225" s="0" t="n">
        <v>11</v>
      </c>
      <c r="D225" s="0" t="n">
        <v>1196</v>
      </c>
      <c r="E225" s="0" t="n">
        <f aca="false">VLOOKUP(B225,'MSA-Lookup'!$H$2:$I$86,2)</f>
        <v>9340</v>
      </c>
      <c r="F225" s="0" t="n">
        <f aca="false">IF(C225&gt;1,IF(C225&lt;99,VLOOKUP(C225,'MSA-Lookup'!$H$1:$I$86,2),C225),C225)</f>
        <v>6920</v>
      </c>
      <c r="G225" s="0" t="n">
        <f aca="false">VLOOKUP(E225,'MSA-Lookup'!$AA$1:$AB$25,2)</f>
        <v>9340</v>
      </c>
      <c r="H225" s="0" t="n">
        <f aca="false">IF(C225&gt;1,IF(C225&lt;99,VLOOKUP(F225,'MSA-Lookup'!$AA$1:$AB$25,2),C225),C225)</f>
        <v>6920</v>
      </c>
    </row>
    <row r="226" customFormat="false" ht="12.75" hidden="false" customHeight="false" outlineLevel="0" collapsed="false">
      <c r="A226" s="0" t="n">
        <f aca="false">B226*1000+C226</f>
        <v>8013</v>
      </c>
      <c r="B226" s="0" t="n">
        <v>8</v>
      </c>
      <c r="C226" s="0" t="n">
        <v>13</v>
      </c>
      <c r="D226" s="0" t="n">
        <v>0</v>
      </c>
      <c r="E226" s="0" t="n">
        <f aca="false">VLOOKUP(B226,'MSA-Lookup'!$H$2:$I$86,2)</f>
        <v>9340</v>
      </c>
      <c r="F226" s="0" t="n">
        <f aca="false">IF(C226&gt;1,IF(C226&lt;99,VLOOKUP(C226,'MSA-Lookup'!$H$1:$I$86,2),C226),C226)</f>
        <v>7500</v>
      </c>
      <c r="G226" s="0" t="n">
        <f aca="false">VLOOKUP(E226,'MSA-Lookup'!$AA$1:$AB$25,2)</f>
        <v>9340</v>
      </c>
      <c r="H226" s="0" t="n">
        <f aca="false">IF(C226&gt;1,IF(C226&lt;99,VLOOKUP(F226,'MSA-Lookup'!$AA$1:$AB$25,2),C226),C226)</f>
        <v>7362</v>
      </c>
    </row>
    <row r="227" customFormat="false" ht="12.75" hidden="false" customHeight="false" outlineLevel="0" collapsed="false">
      <c r="A227" s="0" t="n">
        <f aca="false">B227*1000+C227</f>
        <v>8014</v>
      </c>
      <c r="B227" s="0" t="n">
        <v>8</v>
      </c>
      <c r="C227" s="0" t="n">
        <v>14</v>
      </c>
      <c r="D227" s="0" t="n">
        <v>0</v>
      </c>
      <c r="E227" s="0" t="n">
        <f aca="false">VLOOKUP(B227,'MSA-Lookup'!$H$2:$I$86,2)</f>
        <v>9340</v>
      </c>
      <c r="F227" s="0" t="n">
        <f aca="false">IF(C227&gt;1,IF(C227&lt;99,VLOOKUP(C227,'MSA-Lookup'!$H$1:$I$86,2),C227),C227)</f>
        <v>7500</v>
      </c>
      <c r="G227" s="0" t="n">
        <f aca="false">VLOOKUP(E227,'MSA-Lookup'!$AA$1:$AB$25,2)</f>
        <v>9340</v>
      </c>
      <c r="H227" s="0" t="n">
        <f aca="false">IF(C227&gt;1,IF(C227&lt;99,VLOOKUP(F227,'MSA-Lookup'!$AA$1:$AB$25,2),C227),C227)</f>
        <v>7362</v>
      </c>
    </row>
    <row r="228" customFormat="false" ht="12.75" hidden="false" customHeight="false" outlineLevel="0" collapsed="false">
      <c r="A228" s="0" t="n">
        <f aca="false">B228*1000+C228</f>
        <v>8015</v>
      </c>
      <c r="B228" s="0" t="n">
        <v>8</v>
      </c>
      <c r="C228" s="0" t="n">
        <v>15</v>
      </c>
      <c r="D228" s="0" t="n">
        <v>0</v>
      </c>
      <c r="E228" s="0" t="n">
        <f aca="false">VLOOKUP(B228,'MSA-Lookup'!$H$2:$I$86,2)</f>
        <v>9340</v>
      </c>
      <c r="F228" s="0" t="n">
        <f aca="false">IF(C228&gt;1,IF(C228&lt;99,VLOOKUP(C228,'MSA-Lookup'!$H$1:$I$86,2),C228),C228)</f>
        <v>7360</v>
      </c>
      <c r="G228" s="0" t="n">
        <f aca="false">VLOOKUP(E228,'MSA-Lookup'!$AA$1:$AB$25,2)</f>
        <v>9340</v>
      </c>
      <c r="H228" s="0" t="n">
        <f aca="false">IF(C228&gt;1,IF(C228&lt;99,VLOOKUP(F228,'MSA-Lookup'!$AA$1:$AB$25,2),C228),C228)</f>
        <v>7362</v>
      </c>
    </row>
    <row r="229" customFormat="false" ht="12.75" hidden="false" customHeight="false" outlineLevel="0" collapsed="false">
      <c r="A229" s="0" t="n">
        <f aca="false">B229*1000+C229</f>
        <v>8016</v>
      </c>
      <c r="B229" s="0" t="n">
        <v>8</v>
      </c>
      <c r="C229" s="0" t="n">
        <v>16</v>
      </c>
      <c r="D229" s="0" t="n">
        <v>364</v>
      </c>
      <c r="E229" s="0" t="n">
        <f aca="false">VLOOKUP(B229,'MSA-Lookup'!$H$2:$I$86,2)</f>
        <v>9340</v>
      </c>
      <c r="F229" s="0" t="n">
        <f aca="false">IF(C229&gt;1,IF(C229&lt;99,VLOOKUP(C229,'MSA-Lookup'!$H$1:$I$86,2),C229),C229)</f>
        <v>8720</v>
      </c>
      <c r="G229" s="0" t="n">
        <f aca="false">VLOOKUP(E229,'MSA-Lookup'!$AA$1:$AB$25,2)</f>
        <v>9340</v>
      </c>
      <c r="H229" s="0" t="n">
        <f aca="false">IF(C229&gt;1,IF(C229&lt;99,VLOOKUP(F229,'MSA-Lookup'!$AA$1:$AB$25,2),C229),C229)</f>
        <v>7362</v>
      </c>
    </row>
    <row r="230" customFormat="false" ht="12.75" hidden="false" customHeight="false" outlineLevel="0" collapsed="false">
      <c r="A230" s="0" t="n">
        <f aca="false">B230*1000+C230</f>
        <v>8017</v>
      </c>
      <c r="B230" s="0" t="n">
        <v>8</v>
      </c>
      <c r="C230" s="0" t="n">
        <v>17</v>
      </c>
      <c r="D230" s="0" t="n">
        <v>0</v>
      </c>
      <c r="E230" s="0" t="n">
        <f aca="false">VLOOKUP(B230,'MSA-Lookup'!$H$2:$I$86,2)</f>
        <v>9340</v>
      </c>
      <c r="F230" s="0" t="n">
        <f aca="false">IF(C230&gt;1,IF(C230&lt;99,VLOOKUP(C230,'MSA-Lookup'!$H$1:$I$86,2),C230),C230)</f>
        <v>5775</v>
      </c>
      <c r="G230" s="0" t="n">
        <f aca="false">VLOOKUP(E230,'MSA-Lookup'!$AA$1:$AB$25,2)</f>
        <v>9340</v>
      </c>
      <c r="H230" s="0" t="n">
        <f aca="false">IF(C230&gt;1,IF(C230&lt;99,VLOOKUP(F230,'MSA-Lookup'!$AA$1:$AB$25,2),C230),C230)</f>
        <v>7362</v>
      </c>
    </row>
    <row r="231" customFormat="false" ht="12.75" hidden="false" customHeight="false" outlineLevel="0" collapsed="false">
      <c r="A231" s="0" t="n">
        <f aca="false">B231*1000+C231</f>
        <v>8018</v>
      </c>
      <c r="B231" s="0" t="n">
        <v>8</v>
      </c>
      <c r="C231" s="0" t="n">
        <v>18</v>
      </c>
      <c r="D231" s="0" t="n">
        <v>0</v>
      </c>
      <c r="E231" s="0" t="n">
        <f aca="false">VLOOKUP(B231,'MSA-Lookup'!$H$2:$I$86,2)</f>
        <v>9340</v>
      </c>
      <c r="F231" s="0" t="n">
        <f aca="false">IF(C231&gt;1,IF(C231&lt;99,VLOOKUP(C231,'MSA-Lookup'!$H$1:$I$86,2),C231),C231)</f>
        <v>5775</v>
      </c>
      <c r="G231" s="0" t="n">
        <f aca="false">VLOOKUP(E231,'MSA-Lookup'!$AA$1:$AB$25,2)</f>
        <v>9340</v>
      </c>
      <c r="H231" s="0" t="n">
        <f aca="false">IF(C231&gt;1,IF(C231&lt;99,VLOOKUP(F231,'MSA-Lookup'!$AA$1:$AB$25,2),C231),C231)</f>
        <v>7362</v>
      </c>
    </row>
    <row r="232" customFormat="false" ht="12.75" hidden="false" customHeight="false" outlineLevel="0" collapsed="false">
      <c r="A232" s="0" t="n">
        <f aca="false">B232*1000+C232</f>
        <v>8019</v>
      </c>
      <c r="B232" s="0" t="n">
        <v>8</v>
      </c>
      <c r="C232" s="0" t="n">
        <v>19</v>
      </c>
      <c r="D232" s="0" t="n">
        <v>0</v>
      </c>
      <c r="E232" s="0" t="n">
        <f aca="false">VLOOKUP(B232,'MSA-Lookup'!$H$2:$I$86,2)</f>
        <v>9340</v>
      </c>
      <c r="F232" s="0" t="n">
        <f aca="false">IF(C232&gt;1,IF(C232&lt;99,VLOOKUP(C232,'MSA-Lookup'!$H$1:$I$86,2),C232),C232)</f>
        <v>7360</v>
      </c>
      <c r="G232" s="0" t="n">
        <f aca="false">VLOOKUP(E232,'MSA-Lookup'!$AA$1:$AB$25,2)</f>
        <v>9340</v>
      </c>
      <c r="H232" s="0" t="n">
        <f aca="false">IF(C232&gt;1,IF(C232&lt;99,VLOOKUP(F232,'MSA-Lookup'!$AA$1:$AB$25,2),C232),C232)</f>
        <v>7362</v>
      </c>
    </row>
    <row r="233" customFormat="false" ht="12.75" hidden="false" customHeight="false" outlineLevel="0" collapsed="false">
      <c r="A233" s="0" t="n">
        <f aca="false">B233*1000+C233</f>
        <v>8020</v>
      </c>
      <c r="B233" s="0" t="n">
        <v>8</v>
      </c>
      <c r="C233" s="0" t="n">
        <v>20</v>
      </c>
      <c r="D233" s="0" t="n">
        <v>0</v>
      </c>
      <c r="E233" s="0" t="n">
        <f aca="false">VLOOKUP(B233,'MSA-Lookup'!$H$2:$I$86,2)</f>
        <v>9340</v>
      </c>
      <c r="F233" s="0" t="n">
        <f aca="false">IF(C233&gt;1,IF(C233&lt;99,VLOOKUP(C233,'MSA-Lookup'!$H$1:$I$86,2),C233),C233)</f>
        <v>5775</v>
      </c>
      <c r="G233" s="0" t="n">
        <f aca="false">VLOOKUP(E233,'MSA-Lookup'!$AA$1:$AB$25,2)</f>
        <v>9340</v>
      </c>
      <c r="H233" s="0" t="n">
        <f aca="false">IF(C233&gt;1,IF(C233&lt;99,VLOOKUP(F233,'MSA-Lookup'!$AA$1:$AB$25,2),C233),C233)</f>
        <v>7362</v>
      </c>
    </row>
    <row r="234" customFormat="false" ht="12.75" hidden="false" customHeight="false" outlineLevel="0" collapsed="false">
      <c r="A234" s="0" t="n">
        <f aca="false">B234*1000+C234</f>
        <v>8021</v>
      </c>
      <c r="B234" s="0" t="n">
        <v>8</v>
      </c>
      <c r="C234" s="0" t="n">
        <v>21</v>
      </c>
      <c r="D234" s="0" t="n">
        <v>91</v>
      </c>
      <c r="E234" s="0" t="n">
        <f aca="false">VLOOKUP(B234,'MSA-Lookup'!$H$2:$I$86,2)</f>
        <v>9340</v>
      </c>
      <c r="F234" s="0" t="n">
        <f aca="false">IF(C234&gt;1,IF(C234&lt;99,VLOOKUP(C234,'MSA-Lookup'!$H$1:$I$86,2),C234),C234)</f>
        <v>5775</v>
      </c>
      <c r="G234" s="0" t="n">
        <f aca="false">VLOOKUP(E234,'MSA-Lookup'!$AA$1:$AB$25,2)</f>
        <v>9340</v>
      </c>
      <c r="H234" s="0" t="n">
        <f aca="false">IF(C234&gt;1,IF(C234&lt;99,VLOOKUP(F234,'MSA-Lookup'!$AA$1:$AB$25,2),C234),C234)</f>
        <v>7362</v>
      </c>
    </row>
    <row r="235" customFormat="false" ht="12.75" hidden="false" customHeight="false" outlineLevel="0" collapsed="false">
      <c r="A235" s="0" t="n">
        <f aca="false">B235*1000+C235</f>
        <v>8022</v>
      </c>
      <c r="B235" s="0" t="n">
        <v>8</v>
      </c>
      <c r="C235" s="0" t="n">
        <v>22</v>
      </c>
      <c r="D235" s="0" t="n">
        <v>0</v>
      </c>
      <c r="E235" s="0" t="n">
        <f aca="false">VLOOKUP(B235,'MSA-Lookup'!$H$2:$I$86,2)</f>
        <v>9340</v>
      </c>
      <c r="F235" s="0" t="n">
        <f aca="false">IF(C235&gt;1,IF(C235&lt;99,VLOOKUP(C235,'MSA-Lookup'!$H$1:$I$86,2),C235),C235)</f>
        <v>7360</v>
      </c>
      <c r="G235" s="0" t="n">
        <f aca="false">VLOOKUP(E235,'MSA-Lookup'!$AA$1:$AB$25,2)</f>
        <v>9340</v>
      </c>
      <c r="H235" s="0" t="n">
        <f aca="false">IF(C235&gt;1,IF(C235&lt;99,VLOOKUP(F235,'MSA-Lookup'!$AA$1:$AB$25,2),C235),C235)</f>
        <v>7362</v>
      </c>
    </row>
    <row r="236" customFormat="false" ht="12.75" hidden="false" customHeight="false" outlineLevel="0" collapsed="false">
      <c r="A236" s="0" t="n">
        <f aca="false">B236*1000+C236</f>
        <v>8023</v>
      </c>
      <c r="B236" s="0" t="n">
        <v>8</v>
      </c>
      <c r="C236" s="0" t="n">
        <v>23</v>
      </c>
      <c r="D236" s="0" t="n">
        <v>0</v>
      </c>
      <c r="E236" s="0" t="n">
        <f aca="false">VLOOKUP(B236,'MSA-Lookup'!$H$2:$I$86,2)</f>
        <v>9340</v>
      </c>
      <c r="F236" s="0" t="n">
        <f aca="false">IF(C236&gt;1,IF(C236&lt;99,VLOOKUP(C236,'MSA-Lookup'!$H$1:$I$86,2),C236),C236)</f>
        <v>8120</v>
      </c>
      <c r="G236" s="0" t="n">
        <f aca="false">VLOOKUP(E236,'MSA-Lookup'!$AA$1:$AB$25,2)</f>
        <v>9340</v>
      </c>
      <c r="H236" s="0" t="n">
        <f aca="false">IF(C236&gt;1,IF(C236&lt;99,VLOOKUP(F236,'MSA-Lookup'!$AA$1:$AB$25,2),C236),C236)</f>
        <v>8120</v>
      </c>
    </row>
    <row r="237" customFormat="false" ht="12.75" hidden="false" customHeight="false" outlineLevel="0" collapsed="false">
      <c r="A237" s="0" t="n">
        <f aca="false">B237*1000+C237</f>
        <v>8024</v>
      </c>
      <c r="B237" s="0" t="n">
        <v>8</v>
      </c>
      <c r="C237" s="0" t="n">
        <v>24</v>
      </c>
      <c r="D237" s="0" t="n">
        <v>0</v>
      </c>
      <c r="E237" s="0" t="n">
        <f aca="false">VLOOKUP(B237,'MSA-Lookup'!$H$2:$I$86,2)</f>
        <v>9340</v>
      </c>
      <c r="F237" s="0" t="n">
        <f aca="false">IF(C237&gt;1,IF(C237&lt;99,VLOOKUP(C237,'MSA-Lookup'!$H$1:$I$86,2),C237),C237)</f>
        <v>5170</v>
      </c>
      <c r="G237" s="0" t="n">
        <f aca="false">VLOOKUP(E237,'MSA-Lookup'!$AA$1:$AB$25,2)</f>
        <v>9340</v>
      </c>
      <c r="H237" s="0" t="n">
        <f aca="false">IF(C237&gt;1,IF(C237&lt;99,VLOOKUP(F237,'MSA-Lookup'!$AA$1:$AB$25,2),C237),C237)</f>
        <v>5170</v>
      </c>
    </row>
    <row r="238" customFormat="false" ht="12.75" hidden="false" customHeight="false" outlineLevel="0" collapsed="false">
      <c r="A238" s="0" t="n">
        <f aca="false">B238*1000+C238</f>
        <v>8025</v>
      </c>
      <c r="B238" s="0" t="n">
        <v>8</v>
      </c>
      <c r="C238" s="0" t="n">
        <v>25</v>
      </c>
      <c r="D238" s="0" t="n">
        <v>78</v>
      </c>
      <c r="E238" s="0" t="n">
        <f aca="false">VLOOKUP(B238,'MSA-Lookup'!$H$2:$I$86,2)</f>
        <v>9340</v>
      </c>
      <c r="F238" s="0" t="n">
        <f aca="false">IF(C238&gt;1,IF(C238&lt;99,VLOOKUP(C238,'MSA-Lookup'!$H$1:$I$86,2),C238),C238)</f>
        <v>5170</v>
      </c>
      <c r="G238" s="0" t="n">
        <f aca="false">VLOOKUP(E238,'MSA-Lookup'!$AA$1:$AB$25,2)</f>
        <v>9340</v>
      </c>
      <c r="H238" s="0" t="n">
        <f aca="false">IF(C238&gt;1,IF(C238&lt;99,VLOOKUP(F238,'MSA-Lookup'!$AA$1:$AB$25,2),C238),C238)</f>
        <v>5170</v>
      </c>
    </row>
    <row r="239" customFormat="false" ht="12.75" hidden="false" customHeight="false" outlineLevel="0" collapsed="false">
      <c r="A239" s="0" t="n">
        <f aca="false">B239*1000+C239</f>
        <v>8026</v>
      </c>
      <c r="B239" s="0" t="n">
        <v>8</v>
      </c>
      <c r="C239" s="0" t="n">
        <v>26</v>
      </c>
      <c r="D239" s="0" t="n">
        <v>0</v>
      </c>
      <c r="E239" s="0" t="n">
        <f aca="false">VLOOKUP(B239,'MSA-Lookup'!$H$2:$I$86,2)</f>
        <v>9340</v>
      </c>
      <c r="F239" s="0" t="n">
        <f aca="false">IF(C239&gt;1,IF(C239&lt;99,VLOOKUP(C239,'MSA-Lookup'!$H$1:$I$86,2),C239),C239)</f>
        <v>9999</v>
      </c>
      <c r="G239" s="0" t="n">
        <f aca="false">VLOOKUP(E239,'MSA-Lookup'!$AA$1:$AB$25,2)</f>
        <v>9340</v>
      </c>
      <c r="H239" s="0" t="n">
        <f aca="false">IF(C239&gt;1,IF(C239&lt;99,VLOOKUP(F239,'MSA-Lookup'!$AA$1:$AB$25,2),C239),C239)</f>
        <v>9999</v>
      </c>
    </row>
    <row r="240" customFormat="false" ht="12.75" hidden="false" customHeight="false" outlineLevel="0" collapsed="false">
      <c r="A240" s="0" t="n">
        <f aca="false">B240*1000+C240</f>
        <v>8028</v>
      </c>
      <c r="B240" s="0" t="n">
        <v>8</v>
      </c>
      <c r="C240" s="0" t="n">
        <v>28</v>
      </c>
      <c r="D240" s="0" t="n">
        <v>1456</v>
      </c>
      <c r="E240" s="0" t="n">
        <f aca="false">VLOOKUP(B240,'MSA-Lookup'!$H$2:$I$86,2)</f>
        <v>9340</v>
      </c>
      <c r="F240" s="0" t="n">
        <f aca="false">IF(C240&gt;1,IF(C240&lt;99,VLOOKUP(C240,'MSA-Lookup'!$H$1:$I$86,2),C240),C240)</f>
        <v>6920</v>
      </c>
      <c r="G240" s="0" t="n">
        <f aca="false">VLOOKUP(E240,'MSA-Lookup'!$AA$1:$AB$25,2)</f>
        <v>9340</v>
      </c>
      <c r="H240" s="0" t="n">
        <f aca="false">IF(C240&gt;1,IF(C240&lt;99,VLOOKUP(F240,'MSA-Lookup'!$AA$1:$AB$25,2),C240),C240)</f>
        <v>6920</v>
      </c>
    </row>
    <row r="241" customFormat="false" ht="12.75" hidden="false" customHeight="false" outlineLevel="0" collapsed="false">
      <c r="A241" s="0" t="n">
        <f aca="false">B241*1000+C241</f>
        <v>8029</v>
      </c>
      <c r="B241" s="0" t="n">
        <v>8</v>
      </c>
      <c r="C241" s="0" t="n">
        <v>29</v>
      </c>
      <c r="D241" s="0" t="n">
        <v>2184</v>
      </c>
      <c r="E241" s="0" t="n">
        <f aca="false">VLOOKUP(B241,'MSA-Lookup'!$H$2:$I$86,2)</f>
        <v>9340</v>
      </c>
      <c r="F241" s="0" t="n">
        <f aca="false">IF(C241&gt;1,IF(C241&lt;99,VLOOKUP(C241,'MSA-Lookup'!$H$1:$I$86,2),C241),C241)</f>
        <v>6920</v>
      </c>
      <c r="G241" s="0" t="n">
        <f aca="false">VLOOKUP(E241,'MSA-Lookup'!$AA$1:$AB$25,2)</f>
        <v>9340</v>
      </c>
      <c r="H241" s="0" t="n">
        <f aca="false">IF(C241&gt;1,IF(C241&lt;99,VLOOKUP(F241,'MSA-Lookup'!$AA$1:$AB$25,2),C241),C241)</f>
        <v>6920</v>
      </c>
    </row>
    <row r="242" customFormat="false" ht="12.75" hidden="false" customHeight="false" outlineLevel="0" collapsed="false">
      <c r="A242" s="0" t="n">
        <f aca="false">B242*1000+C242</f>
        <v>8033</v>
      </c>
      <c r="B242" s="0" t="n">
        <v>8</v>
      </c>
      <c r="C242" s="0" t="n">
        <v>33</v>
      </c>
      <c r="D242" s="0" t="n">
        <v>0</v>
      </c>
      <c r="E242" s="0" t="n">
        <f aca="false">VLOOKUP(B242,'MSA-Lookup'!$H$2:$I$86,2)</f>
        <v>9340</v>
      </c>
      <c r="F242" s="0" t="n">
        <f aca="false">IF(C242&gt;1,IF(C242&lt;99,VLOOKUP(C242,'MSA-Lookup'!$H$1:$I$86,2),C242),C242)</f>
        <v>7320</v>
      </c>
      <c r="G242" s="0" t="n">
        <f aca="false">VLOOKUP(E242,'MSA-Lookup'!$AA$1:$AB$25,2)</f>
        <v>9340</v>
      </c>
      <c r="H242" s="0" t="n">
        <f aca="false">IF(C242&gt;1,IF(C242&lt;99,VLOOKUP(F242,'MSA-Lookup'!$AA$1:$AB$25,2),C242),C242)</f>
        <v>7320</v>
      </c>
    </row>
    <row r="243" customFormat="false" ht="12.75" hidden="false" customHeight="false" outlineLevel="0" collapsed="false">
      <c r="A243" s="0" t="n">
        <f aca="false">B243*1000+C243</f>
        <v>8034</v>
      </c>
      <c r="B243" s="0" t="n">
        <v>8</v>
      </c>
      <c r="C243" s="0" t="n">
        <v>34</v>
      </c>
      <c r="D243" s="0" t="n">
        <v>0</v>
      </c>
      <c r="E243" s="0" t="n">
        <f aca="false">VLOOKUP(B243,'MSA-Lookup'!$H$2:$I$86,2)</f>
        <v>9340</v>
      </c>
      <c r="F243" s="0" t="n">
        <f aca="false">IF(C243&gt;1,IF(C243&lt;99,VLOOKUP(C243,'MSA-Lookup'!$H$1:$I$86,2),C243),C243)</f>
        <v>7320</v>
      </c>
      <c r="G243" s="0" t="n">
        <f aca="false">VLOOKUP(E243,'MSA-Lookup'!$AA$1:$AB$25,2)</f>
        <v>9340</v>
      </c>
      <c r="H243" s="0" t="n">
        <f aca="false">IF(C243&gt;1,IF(C243&lt;99,VLOOKUP(F243,'MSA-Lookup'!$AA$1:$AB$25,2),C243),C243)</f>
        <v>7320</v>
      </c>
    </row>
    <row r="244" customFormat="false" ht="12.75" hidden="false" customHeight="false" outlineLevel="0" collapsed="false">
      <c r="A244" s="0" t="n">
        <f aca="false">B244*1000+C244</f>
        <v>8035</v>
      </c>
      <c r="B244" s="0" t="n">
        <v>8</v>
      </c>
      <c r="C244" s="0" t="n">
        <v>35</v>
      </c>
      <c r="D244" s="0" t="n">
        <v>0</v>
      </c>
      <c r="E244" s="0" t="n">
        <f aca="false">VLOOKUP(B244,'MSA-Lookup'!$H$2:$I$86,2)</f>
        <v>9340</v>
      </c>
      <c r="F244" s="0" t="n">
        <f aca="false">IF(C244&gt;1,IF(C244&lt;99,VLOOKUP(C244,'MSA-Lookup'!$H$1:$I$86,2),C244),C244)</f>
        <v>7320</v>
      </c>
      <c r="G244" s="0" t="n">
        <f aca="false">VLOOKUP(E244,'MSA-Lookup'!$AA$1:$AB$25,2)</f>
        <v>9340</v>
      </c>
      <c r="H244" s="0" t="n">
        <f aca="false">IF(C244&gt;1,IF(C244&lt;99,VLOOKUP(F244,'MSA-Lookup'!$AA$1:$AB$25,2),C244),C244)</f>
        <v>7320</v>
      </c>
    </row>
    <row r="245" customFormat="false" ht="12.75" hidden="false" customHeight="false" outlineLevel="0" collapsed="false">
      <c r="A245" s="0" t="n">
        <f aca="false">B245*1000+C245</f>
        <v>8037</v>
      </c>
      <c r="B245" s="0" t="n">
        <v>8</v>
      </c>
      <c r="C245" s="0" t="n">
        <v>37</v>
      </c>
      <c r="D245" s="0" t="n">
        <v>0</v>
      </c>
      <c r="E245" s="0" t="n">
        <f aca="false">VLOOKUP(B245,'MSA-Lookup'!$H$2:$I$86,2)</f>
        <v>9340</v>
      </c>
      <c r="F245" s="0" t="n">
        <f aca="false">IF(C245&gt;1,IF(C245&lt;99,VLOOKUP(C245,'MSA-Lookup'!$H$1:$I$86,2),C245),C245)</f>
        <v>7320</v>
      </c>
      <c r="G245" s="0" t="n">
        <f aca="false">VLOOKUP(E245,'MSA-Lookup'!$AA$1:$AB$25,2)</f>
        <v>9340</v>
      </c>
      <c r="H245" s="0" t="n">
        <f aca="false">IF(C245&gt;1,IF(C245&lt;99,VLOOKUP(F245,'MSA-Lookup'!$AA$1:$AB$25,2),C245),C245)</f>
        <v>7320</v>
      </c>
    </row>
    <row r="246" customFormat="false" ht="12.75" hidden="false" customHeight="false" outlineLevel="0" collapsed="false">
      <c r="A246" s="0" t="n">
        <f aca="false">B246*1000+C246</f>
        <v>8039</v>
      </c>
      <c r="B246" s="0" t="n">
        <v>8</v>
      </c>
      <c r="C246" s="0" t="n">
        <v>39</v>
      </c>
      <c r="D246" s="0" t="n">
        <v>0</v>
      </c>
      <c r="E246" s="0" t="n">
        <f aca="false">VLOOKUP(B246,'MSA-Lookup'!$H$2:$I$86,2)</f>
        <v>9340</v>
      </c>
      <c r="F246" s="0" t="n">
        <f aca="false">IF(C246&gt;1,IF(C246&lt;99,VLOOKUP(C246,'MSA-Lookup'!$H$1:$I$86,2),C246),C246)</f>
        <v>7120</v>
      </c>
      <c r="G246" s="0" t="n">
        <f aca="false">VLOOKUP(E246,'MSA-Lookup'!$AA$1:$AB$25,2)</f>
        <v>9340</v>
      </c>
      <c r="H246" s="0" t="n">
        <f aca="false">IF(C246&gt;1,IF(C246&lt;99,VLOOKUP(F246,'MSA-Lookup'!$AA$1:$AB$25,2),C246),C246)</f>
        <v>7120</v>
      </c>
    </row>
    <row r="247" customFormat="false" ht="12.75" hidden="false" customHeight="false" outlineLevel="0" collapsed="false">
      <c r="A247" s="0" t="n">
        <f aca="false">B247*1000+C247</f>
        <v>8040</v>
      </c>
      <c r="B247" s="0" t="n">
        <v>8</v>
      </c>
      <c r="C247" s="0" t="n">
        <v>40</v>
      </c>
      <c r="D247" s="0" t="n">
        <v>0</v>
      </c>
      <c r="E247" s="0" t="n">
        <f aca="false">VLOOKUP(B247,'MSA-Lookup'!$H$2:$I$86,2)</f>
        <v>9340</v>
      </c>
      <c r="F247" s="0" t="n">
        <f aca="false">IF(C247&gt;1,IF(C247&lt;99,VLOOKUP(C247,'MSA-Lookup'!$H$1:$I$86,2),C247),C247)</f>
        <v>2840</v>
      </c>
      <c r="G247" s="0" t="n">
        <f aca="false">VLOOKUP(E247,'MSA-Lookup'!$AA$1:$AB$25,2)</f>
        <v>9340</v>
      </c>
      <c r="H247" s="0" t="n">
        <f aca="false">IF(C247&gt;1,IF(C247&lt;99,VLOOKUP(F247,'MSA-Lookup'!$AA$1:$AB$25,2),C247),C247)</f>
        <v>2840</v>
      </c>
    </row>
    <row r="248" customFormat="false" ht="12.75" hidden="false" customHeight="false" outlineLevel="0" collapsed="false">
      <c r="A248" s="0" t="n">
        <f aca="false">B248*1000+C248</f>
        <v>8041</v>
      </c>
      <c r="B248" s="0" t="n">
        <v>8</v>
      </c>
      <c r="C248" s="0" t="n">
        <v>41</v>
      </c>
      <c r="D248" s="0" t="n">
        <v>0</v>
      </c>
      <c r="E248" s="0" t="n">
        <f aca="false">VLOOKUP(B248,'MSA-Lookup'!$H$2:$I$86,2)</f>
        <v>9340</v>
      </c>
      <c r="F248" s="0" t="n">
        <f aca="false">IF(C248&gt;1,IF(C248&lt;99,VLOOKUP(C248,'MSA-Lookup'!$H$1:$I$86,2),C248),C248)</f>
        <v>2840</v>
      </c>
      <c r="G248" s="0" t="n">
        <f aca="false">VLOOKUP(E248,'MSA-Lookup'!$AA$1:$AB$25,2)</f>
        <v>9340</v>
      </c>
      <c r="H248" s="0" t="n">
        <f aca="false">IF(C248&gt;1,IF(C248&lt;99,VLOOKUP(F248,'MSA-Lookup'!$AA$1:$AB$25,2),C248),C248)</f>
        <v>2840</v>
      </c>
    </row>
    <row r="249" customFormat="false" ht="12.75" hidden="false" customHeight="false" outlineLevel="0" collapsed="false">
      <c r="A249" s="0" t="n">
        <f aca="false">B249*1000+C249</f>
        <v>8049</v>
      </c>
      <c r="B249" s="0" t="n">
        <v>8</v>
      </c>
      <c r="C249" s="0" t="n">
        <v>49</v>
      </c>
      <c r="D249" s="0" t="n">
        <v>0</v>
      </c>
      <c r="E249" s="0" t="n">
        <f aca="false">VLOOKUP(B249,'MSA-Lookup'!$H$2:$I$86,2)</f>
        <v>9340</v>
      </c>
      <c r="F249" s="0" t="n">
        <f aca="false">IF(C249&gt;1,IF(C249&lt;99,VLOOKUP(C249,'MSA-Lookup'!$H$1:$I$86,2),C249),C249)</f>
        <v>7400</v>
      </c>
      <c r="G249" s="0" t="n">
        <f aca="false">VLOOKUP(E249,'MSA-Lookup'!$AA$1:$AB$25,2)</f>
        <v>9340</v>
      </c>
      <c r="H249" s="0" t="n">
        <f aca="false">IF(C249&gt;1,IF(C249&lt;99,VLOOKUP(F249,'MSA-Lookup'!$AA$1:$AB$25,2),C249),C249)</f>
        <v>7362</v>
      </c>
    </row>
    <row r="250" customFormat="false" ht="12.75" hidden="false" customHeight="false" outlineLevel="0" collapsed="false">
      <c r="A250" s="0" t="n">
        <f aca="false">B250*1000+C250</f>
        <v>8050</v>
      </c>
      <c r="B250" s="0" t="n">
        <v>8</v>
      </c>
      <c r="C250" s="0" t="n">
        <v>50</v>
      </c>
      <c r="D250" s="0" t="n">
        <v>0</v>
      </c>
      <c r="E250" s="0" t="n">
        <f aca="false">VLOOKUP(B250,'MSA-Lookup'!$H$2:$I$86,2)</f>
        <v>9340</v>
      </c>
      <c r="F250" s="0" t="n">
        <f aca="false">IF(C250&gt;1,IF(C250&lt;99,VLOOKUP(C250,'MSA-Lookup'!$H$1:$I$86,2),C250),C250)</f>
        <v>7400</v>
      </c>
      <c r="G250" s="0" t="n">
        <f aca="false">VLOOKUP(E250,'MSA-Lookup'!$AA$1:$AB$25,2)</f>
        <v>9340</v>
      </c>
      <c r="H250" s="0" t="n">
        <f aca="false">IF(C250&gt;1,IF(C250&lt;99,VLOOKUP(F250,'MSA-Lookup'!$AA$1:$AB$25,2),C250),C250)</f>
        <v>7362</v>
      </c>
    </row>
    <row r="251" customFormat="false" ht="12.75" hidden="false" customHeight="false" outlineLevel="0" collapsed="false">
      <c r="A251" s="0" t="n">
        <f aca="false">B251*1000+C251</f>
        <v>8051</v>
      </c>
      <c r="B251" s="0" t="n">
        <v>8</v>
      </c>
      <c r="C251" s="0" t="n">
        <v>51</v>
      </c>
      <c r="D251" s="0" t="n">
        <v>0</v>
      </c>
      <c r="E251" s="0" t="n">
        <f aca="false">VLOOKUP(B251,'MSA-Lookup'!$H$2:$I$86,2)</f>
        <v>9340</v>
      </c>
      <c r="F251" s="0" t="n">
        <f aca="false">IF(C251&gt;1,IF(C251&lt;99,VLOOKUP(C251,'MSA-Lookup'!$H$1:$I$86,2),C251),C251)</f>
        <v>7400</v>
      </c>
      <c r="G251" s="0" t="n">
        <f aca="false">VLOOKUP(E251,'MSA-Lookup'!$AA$1:$AB$25,2)</f>
        <v>9340</v>
      </c>
      <c r="H251" s="0" t="n">
        <f aca="false">IF(C251&gt;1,IF(C251&lt;99,VLOOKUP(F251,'MSA-Lookup'!$AA$1:$AB$25,2),C251),C251)</f>
        <v>7362</v>
      </c>
    </row>
    <row r="252" customFormat="false" ht="12.75" hidden="false" customHeight="false" outlineLevel="0" collapsed="false">
      <c r="A252" s="0" t="n">
        <f aca="false">B252*1000+C252</f>
        <v>8053</v>
      </c>
      <c r="B252" s="0" t="n">
        <v>8</v>
      </c>
      <c r="C252" s="0" t="n">
        <v>53</v>
      </c>
      <c r="D252" s="0" t="n">
        <v>0</v>
      </c>
      <c r="E252" s="0" t="n">
        <f aca="false">VLOOKUP(B252,'MSA-Lookup'!$H$2:$I$86,2)</f>
        <v>9340</v>
      </c>
      <c r="F252" s="0" t="n">
        <f aca="false">IF(C252&gt;1,IF(C252&lt;99,VLOOKUP(C252,'MSA-Lookup'!$H$1:$I$86,2),C252),C252)</f>
        <v>4480</v>
      </c>
      <c r="G252" s="0" t="n">
        <f aca="false">VLOOKUP(E252,'MSA-Lookup'!$AA$1:$AB$25,2)</f>
        <v>9340</v>
      </c>
      <c r="H252" s="0" t="n">
        <f aca="false">IF(C252&gt;1,IF(C252&lt;99,VLOOKUP(F252,'MSA-Lookup'!$AA$1:$AB$25,2),C252),C252)</f>
        <v>4472</v>
      </c>
    </row>
    <row r="253" customFormat="false" ht="12.75" hidden="false" customHeight="false" outlineLevel="0" collapsed="false">
      <c r="A253" s="0" t="n">
        <f aca="false">B253*1000+C253</f>
        <v>8065</v>
      </c>
      <c r="B253" s="0" t="n">
        <v>8</v>
      </c>
      <c r="C253" s="0" t="n">
        <v>65</v>
      </c>
      <c r="D253" s="0" t="n">
        <v>0</v>
      </c>
      <c r="E253" s="0" t="n">
        <f aca="false">VLOOKUP(B253,'MSA-Lookup'!$H$2:$I$86,2)</f>
        <v>9340</v>
      </c>
      <c r="F253" s="0" t="n">
        <f aca="false">IF(C253&gt;1,IF(C253&lt;99,VLOOKUP(C253,'MSA-Lookup'!$H$1:$I$86,2),C253),C253)</f>
        <v>4480</v>
      </c>
      <c r="G253" s="0" t="n">
        <f aca="false">VLOOKUP(E253,'MSA-Lookup'!$AA$1:$AB$25,2)</f>
        <v>9340</v>
      </c>
      <c r="H253" s="0" t="n">
        <f aca="false">IF(C253&gt;1,IF(C253&lt;99,VLOOKUP(F253,'MSA-Lookup'!$AA$1:$AB$25,2),C253),C253)</f>
        <v>4472</v>
      </c>
    </row>
    <row r="254" customFormat="false" ht="12.75" hidden="false" customHeight="false" outlineLevel="0" collapsed="false">
      <c r="A254" s="0" t="n">
        <f aca="false">B254*1000+C254</f>
        <v>8069</v>
      </c>
      <c r="B254" s="0" t="n">
        <v>8</v>
      </c>
      <c r="C254" s="0" t="n">
        <v>69</v>
      </c>
      <c r="D254" s="0" t="n">
        <v>0</v>
      </c>
      <c r="E254" s="0" t="n">
        <f aca="false">VLOOKUP(B254,'MSA-Lookup'!$H$2:$I$86,2)</f>
        <v>9340</v>
      </c>
      <c r="F254" s="0" t="n">
        <f aca="false">IF(C254&gt;1,IF(C254&lt;99,VLOOKUP(C254,'MSA-Lookup'!$H$1:$I$86,2),C254),C254)</f>
        <v>6780</v>
      </c>
      <c r="G254" s="0" t="n">
        <f aca="false">VLOOKUP(E254,'MSA-Lookup'!$AA$1:$AB$25,2)</f>
        <v>9340</v>
      </c>
      <c r="H254" s="0" t="n">
        <f aca="false">IF(C254&gt;1,IF(C254&lt;99,VLOOKUP(F254,'MSA-Lookup'!$AA$1:$AB$25,2),C254),C254)</f>
        <v>4472</v>
      </c>
    </row>
    <row r="255" customFormat="false" ht="12.75" hidden="false" customHeight="false" outlineLevel="0" collapsed="false">
      <c r="A255" s="0" t="n">
        <f aca="false">B255*1000+C255</f>
        <v>8072</v>
      </c>
      <c r="B255" s="0" t="n">
        <v>8</v>
      </c>
      <c r="C255" s="0" t="n">
        <v>72</v>
      </c>
      <c r="D255" s="0" t="n">
        <v>0</v>
      </c>
      <c r="E255" s="0" t="n">
        <f aca="false">VLOOKUP(B255,'MSA-Lookup'!$H$2:$I$86,2)</f>
        <v>9340</v>
      </c>
      <c r="F255" s="0" t="n">
        <f aca="false">IF(C255&gt;1,IF(C255&lt;99,VLOOKUP(C255,'MSA-Lookup'!$H$1:$I$86,2),C255),C255)</f>
        <v>6780</v>
      </c>
      <c r="G255" s="0" t="n">
        <f aca="false">VLOOKUP(E255,'MSA-Lookup'!$AA$1:$AB$25,2)</f>
        <v>9340</v>
      </c>
      <c r="H255" s="0" t="n">
        <f aca="false">IF(C255&gt;1,IF(C255&lt;99,VLOOKUP(F255,'MSA-Lookup'!$AA$1:$AB$25,2),C255),C255)</f>
        <v>4472</v>
      </c>
    </row>
    <row r="256" customFormat="false" ht="12.75" hidden="false" customHeight="false" outlineLevel="0" collapsed="false">
      <c r="A256" s="0" t="n">
        <f aca="false">B256*1000+C256</f>
        <v>8075</v>
      </c>
      <c r="B256" s="0" t="n">
        <v>8</v>
      </c>
      <c r="C256" s="0" t="n">
        <v>75</v>
      </c>
      <c r="D256" s="0" t="n">
        <v>0</v>
      </c>
      <c r="E256" s="0" t="n">
        <f aca="false">VLOOKUP(B256,'MSA-Lookup'!$H$2:$I$86,2)</f>
        <v>9340</v>
      </c>
      <c r="F256" s="0" t="n">
        <f aca="false">IF(C256&gt;1,IF(C256&lt;99,VLOOKUP(C256,'MSA-Lookup'!$H$1:$I$86,2),C256),C256)</f>
        <v>8780</v>
      </c>
      <c r="G256" s="0" t="n">
        <f aca="false">VLOOKUP(E256,'MSA-Lookup'!$AA$1:$AB$25,2)</f>
        <v>9340</v>
      </c>
      <c r="H256" s="0" t="n">
        <f aca="false">IF(C256&gt;1,IF(C256&lt;99,VLOOKUP(F256,'MSA-Lookup'!$AA$1:$AB$25,2),C256),C256)</f>
        <v>8780</v>
      </c>
    </row>
    <row r="257" customFormat="false" ht="12.75" hidden="false" customHeight="false" outlineLevel="0" collapsed="false">
      <c r="A257" s="0" t="n">
        <f aca="false">B257*1000+C257</f>
        <v>8079</v>
      </c>
      <c r="B257" s="0" t="n">
        <v>8</v>
      </c>
      <c r="C257" s="0" t="n">
        <v>79</v>
      </c>
      <c r="D257" s="0" t="n">
        <v>0</v>
      </c>
      <c r="E257" s="0" t="n">
        <f aca="false">VLOOKUP(B257,'MSA-Lookup'!$H$2:$I$86,2)</f>
        <v>9340</v>
      </c>
      <c r="F257" s="0" t="n">
        <f aca="false">IF(C257&gt;1,IF(C257&lt;99,VLOOKUP(C257,'MSA-Lookup'!$H$1:$I$86,2),C257),C257)</f>
        <v>680</v>
      </c>
      <c r="G257" s="0" t="n">
        <f aca="false">VLOOKUP(E257,'MSA-Lookup'!$AA$1:$AB$25,2)</f>
        <v>9340</v>
      </c>
      <c r="H257" s="0" t="n">
        <f aca="false">IF(C257&gt;1,IF(C257&lt;99,VLOOKUP(F257,'MSA-Lookup'!$AA$1:$AB$25,2),C257),C257)</f>
        <v>680</v>
      </c>
    </row>
    <row r="258" customFormat="false" ht="12.75" hidden="false" customHeight="false" outlineLevel="0" collapsed="false">
      <c r="A258" s="0" t="n">
        <f aca="false">B258*1000+C258</f>
        <v>8085</v>
      </c>
      <c r="B258" s="0" t="n">
        <v>8</v>
      </c>
      <c r="C258" s="0" t="n">
        <v>85</v>
      </c>
      <c r="D258" s="0" t="n">
        <v>78</v>
      </c>
      <c r="E258" s="0" t="n">
        <f aca="false">VLOOKUP(B258,'MSA-Lookup'!$H$2:$I$86,2)</f>
        <v>9340</v>
      </c>
      <c r="F258" s="0" t="n">
        <f aca="false">IF(C258&gt;1,IF(C258&lt;99,VLOOKUP(C258,'MSA-Lookup'!$H$1:$I$86,2),C258),C258)</f>
        <v>8120</v>
      </c>
      <c r="G258" s="0" t="n">
        <f aca="false">VLOOKUP(E258,'MSA-Lookup'!$AA$1:$AB$25,2)</f>
        <v>9340</v>
      </c>
      <c r="H258" s="0" t="n">
        <f aca="false">IF(C258&gt;1,IF(C258&lt;99,VLOOKUP(F258,'MSA-Lookup'!$AA$1:$AB$25,2),C258),C258)</f>
        <v>8120</v>
      </c>
    </row>
    <row r="259" customFormat="false" ht="12.75" hidden="false" customHeight="false" outlineLevel="0" collapsed="false">
      <c r="A259" s="0" t="n">
        <f aca="false">B259*1000+C259</f>
        <v>8999</v>
      </c>
      <c r="B259" s="0" t="n">
        <v>8</v>
      </c>
      <c r="C259" s="0" t="n">
        <v>999</v>
      </c>
      <c r="D259" s="0" t="n">
        <v>0</v>
      </c>
      <c r="E259" s="0" t="n">
        <f aca="false">VLOOKUP(B259,'MSA-Lookup'!$H$2:$I$86,2)</f>
        <v>9340</v>
      </c>
      <c r="F259" s="0" t="n">
        <f aca="false">IF(C259&gt;1,IF(C259&lt;99,VLOOKUP(C259,'MSA-Lookup'!$H$1:$I$86,2),C259),C259)</f>
        <v>999</v>
      </c>
      <c r="G259" s="0" t="n">
        <f aca="false">VLOOKUP(E259,'MSA-Lookup'!$AA$1:$AB$25,2)</f>
        <v>9340</v>
      </c>
      <c r="H259" s="0" t="n">
        <f aca="false">IF(C259&gt;1,IF(C259&lt;99,VLOOKUP(F259,'MSA-Lookup'!$AA$1:$AB$25,2),C259),C259)</f>
        <v>999</v>
      </c>
    </row>
    <row r="260" customFormat="false" ht="12.75" hidden="false" customHeight="false" outlineLevel="0" collapsed="false">
      <c r="A260" s="0" t="n">
        <f aca="false">B260*1000+C260</f>
        <v>9000</v>
      </c>
      <c r="B260" s="0" t="n">
        <v>9</v>
      </c>
      <c r="C260" s="0" t="n">
        <v>0</v>
      </c>
      <c r="D260" s="0" t="n">
        <v>57291</v>
      </c>
      <c r="E260" s="0" t="n">
        <f aca="false">VLOOKUP(B260,'MSA-Lookup'!$H$2:$I$86,2)</f>
        <v>8720</v>
      </c>
      <c r="F260" s="0" t="n">
        <f aca="false">IF(C260&gt;1,IF(C260&lt;99,VLOOKUP(C260,'MSA-Lookup'!$H$1:$I$86,2),C260),C260)</f>
        <v>0</v>
      </c>
      <c r="G260" s="0" t="n">
        <f aca="false">VLOOKUP(E260,'MSA-Lookup'!$AA$1:$AB$25,2)</f>
        <v>7362</v>
      </c>
      <c r="H260" s="0" t="n">
        <f aca="false">IF(C260&gt;1,IF(C260&lt;99,VLOOKUP(F260,'MSA-Lookup'!$AA$1:$AB$25,2),C260),C260)</f>
        <v>0</v>
      </c>
    </row>
    <row r="261" customFormat="false" ht="12.75" hidden="false" customHeight="false" outlineLevel="0" collapsed="false">
      <c r="A261" s="0" t="n">
        <f aca="false">B261*1000+C261</f>
        <v>9001</v>
      </c>
      <c r="B261" s="0" t="n">
        <v>9</v>
      </c>
      <c r="C261" s="0" t="n">
        <v>1</v>
      </c>
      <c r="D261" s="0" t="n">
        <v>143</v>
      </c>
      <c r="E261" s="0" t="n">
        <f aca="false">VLOOKUP(B261,'MSA-Lookup'!$H$2:$I$86,2)</f>
        <v>8720</v>
      </c>
      <c r="F261" s="0" t="n">
        <f aca="false">IF(C261&gt;1,IF(C261&lt;99,VLOOKUP(C261,'MSA-Lookup'!$H$1:$I$86,2),C261),C261)</f>
        <v>1</v>
      </c>
      <c r="G261" s="0" t="n">
        <f aca="false">VLOOKUP(E261,'MSA-Lookup'!$AA$1:$AB$25,2)</f>
        <v>7362</v>
      </c>
      <c r="H261" s="0" t="n">
        <f aca="false">IF(C261&gt;1,IF(C261&lt;99,VLOOKUP(F261,'MSA-Lookup'!$AA$1:$AB$25,2),C261),C261)</f>
        <v>1</v>
      </c>
    </row>
    <row r="262" customFormat="false" ht="12.75" hidden="false" customHeight="false" outlineLevel="0" collapsed="false">
      <c r="A262" s="0" t="n">
        <f aca="false">B262*1000+C262</f>
        <v>9002</v>
      </c>
      <c r="B262" s="0" t="n">
        <v>9</v>
      </c>
      <c r="C262" s="0" t="n">
        <v>2</v>
      </c>
      <c r="D262" s="0" t="n">
        <v>0</v>
      </c>
      <c r="E262" s="0" t="n">
        <f aca="false">VLOOKUP(B262,'MSA-Lookup'!$H$2:$I$86,2)</f>
        <v>8720</v>
      </c>
      <c r="F262" s="0" t="n">
        <f aca="false">IF(C262&gt;1,IF(C262&lt;99,VLOOKUP(C262,'MSA-Lookup'!$H$1:$I$86,2),C262),C262)</f>
        <v>9999</v>
      </c>
      <c r="G262" s="0" t="n">
        <f aca="false">VLOOKUP(E262,'MSA-Lookup'!$AA$1:$AB$25,2)</f>
        <v>7362</v>
      </c>
      <c r="H262" s="0" t="n">
        <f aca="false">IF(C262&gt;1,IF(C262&lt;99,VLOOKUP(F262,'MSA-Lookup'!$AA$1:$AB$25,2),C262),C262)</f>
        <v>9999</v>
      </c>
    </row>
    <row r="263" customFormat="false" ht="12.75" hidden="false" customHeight="false" outlineLevel="0" collapsed="false">
      <c r="A263" s="0" t="n">
        <f aca="false">B263*1000+C263</f>
        <v>9003</v>
      </c>
      <c r="B263" s="0" t="n">
        <v>9</v>
      </c>
      <c r="C263" s="0" t="n">
        <v>3</v>
      </c>
      <c r="D263" s="0" t="n">
        <v>0</v>
      </c>
      <c r="E263" s="0" t="n">
        <f aca="false">VLOOKUP(B263,'MSA-Lookup'!$H$2:$I$86,2)</f>
        <v>8720</v>
      </c>
      <c r="F263" s="0" t="n">
        <f aca="false">IF(C263&gt;1,IF(C263&lt;99,VLOOKUP(C263,'MSA-Lookup'!$H$1:$I$86,2),C263),C263)</f>
        <v>6690</v>
      </c>
      <c r="G263" s="0" t="n">
        <f aca="false">VLOOKUP(E263,'MSA-Lookup'!$AA$1:$AB$25,2)</f>
        <v>7362</v>
      </c>
      <c r="H263" s="0" t="n">
        <f aca="false">IF(C263&gt;1,IF(C263&lt;99,VLOOKUP(F263,'MSA-Lookup'!$AA$1:$AB$25,2),C263),C263)</f>
        <v>6690</v>
      </c>
    </row>
    <row r="264" customFormat="false" ht="12.75" hidden="false" customHeight="false" outlineLevel="0" collapsed="false">
      <c r="A264" s="0" t="n">
        <f aca="false">B264*1000+C264</f>
        <v>9004</v>
      </c>
      <c r="B264" s="0" t="n">
        <v>9</v>
      </c>
      <c r="C264" s="0" t="n">
        <v>4</v>
      </c>
      <c r="D264" s="0" t="n">
        <v>208</v>
      </c>
      <c r="E264" s="0" t="n">
        <f aca="false">VLOOKUP(B264,'MSA-Lookup'!$H$2:$I$86,2)</f>
        <v>8720</v>
      </c>
      <c r="F264" s="0" t="n">
        <f aca="false">IF(C264&gt;1,IF(C264&lt;99,VLOOKUP(C264,'MSA-Lookup'!$H$1:$I$86,2),C264),C264)</f>
        <v>9999</v>
      </c>
      <c r="G264" s="0" t="n">
        <f aca="false">VLOOKUP(E264,'MSA-Lookup'!$AA$1:$AB$25,2)</f>
        <v>7362</v>
      </c>
      <c r="H264" s="0" t="n">
        <f aca="false">IF(C264&gt;1,IF(C264&lt;99,VLOOKUP(F264,'MSA-Lookup'!$AA$1:$AB$25,2),C264),C264)</f>
        <v>9999</v>
      </c>
    </row>
    <row r="265" customFormat="false" ht="12.75" hidden="false" customHeight="false" outlineLevel="0" collapsed="false">
      <c r="A265" s="0" t="n">
        <f aca="false">B265*1000+C265</f>
        <v>9005</v>
      </c>
      <c r="B265" s="0" t="n">
        <v>9</v>
      </c>
      <c r="C265" s="0" t="n">
        <v>5</v>
      </c>
      <c r="D265" s="0" t="n">
        <v>0</v>
      </c>
      <c r="E265" s="0" t="n">
        <f aca="false">VLOOKUP(B265,'MSA-Lookup'!$H$2:$I$86,2)</f>
        <v>8720</v>
      </c>
      <c r="F265" s="0" t="n">
        <f aca="false">IF(C265&gt;1,IF(C265&lt;99,VLOOKUP(C265,'MSA-Lookup'!$H$1:$I$86,2),C265),C265)</f>
        <v>9999</v>
      </c>
      <c r="G265" s="0" t="n">
        <f aca="false">VLOOKUP(E265,'MSA-Lookup'!$AA$1:$AB$25,2)</f>
        <v>7362</v>
      </c>
      <c r="H265" s="0" t="n">
        <f aca="false">IF(C265&gt;1,IF(C265&lt;99,VLOOKUP(F265,'MSA-Lookup'!$AA$1:$AB$25,2),C265),C265)</f>
        <v>9999</v>
      </c>
    </row>
    <row r="266" customFormat="false" ht="12.75" hidden="false" customHeight="false" outlineLevel="0" collapsed="false">
      <c r="A266" s="0" t="n">
        <f aca="false">B266*1000+C266</f>
        <v>9006</v>
      </c>
      <c r="B266" s="0" t="n">
        <v>9</v>
      </c>
      <c r="C266" s="0" t="n">
        <v>6</v>
      </c>
      <c r="D266" s="0" t="n">
        <v>0</v>
      </c>
      <c r="E266" s="0" t="n">
        <f aca="false">VLOOKUP(B266,'MSA-Lookup'!$H$2:$I$86,2)</f>
        <v>8720</v>
      </c>
      <c r="F266" s="0" t="n">
        <f aca="false">IF(C266&gt;1,IF(C266&lt;99,VLOOKUP(C266,'MSA-Lookup'!$H$1:$I$86,2),C266),C266)</f>
        <v>1620</v>
      </c>
      <c r="G266" s="0" t="n">
        <f aca="false">VLOOKUP(E266,'MSA-Lookup'!$AA$1:$AB$25,2)</f>
        <v>7362</v>
      </c>
      <c r="H266" s="0" t="n">
        <f aca="false">IF(C266&gt;1,IF(C266&lt;99,VLOOKUP(F266,'MSA-Lookup'!$AA$1:$AB$25,2),C266),C266)</f>
        <v>1620</v>
      </c>
    </row>
    <row r="267" customFormat="false" ht="12.75" hidden="false" customHeight="false" outlineLevel="0" collapsed="false">
      <c r="A267" s="0" t="n">
        <f aca="false">B267*1000+C267</f>
        <v>9007</v>
      </c>
      <c r="B267" s="0" t="n">
        <v>9</v>
      </c>
      <c r="C267" s="0" t="n">
        <v>7</v>
      </c>
      <c r="D267" s="0" t="n">
        <v>0</v>
      </c>
      <c r="E267" s="0" t="n">
        <f aca="false">VLOOKUP(B267,'MSA-Lookup'!$H$2:$I$86,2)</f>
        <v>8720</v>
      </c>
      <c r="F267" s="0" t="n">
        <f aca="false">IF(C267&gt;1,IF(C267&lt;99,VLOOKUP(C267,'MSA-Lookup'!$H$1:$I$86,2),C267),C267)</f>
        <v>9999</v>
      </c>
      <c r="G267" s="0" t="n">
        <f aca="false">VLOOKUP(E267,'MSA-Lookup'!$AA$1:$AB$25,2)</f>
        <v>7362</v>
      </c>
      <c r="H267" s="0" t="n">
        <f aca="false">IF(C267&gt;1,IF(C267&lt;99,VLOOKUP(F267,'MSA-Lookup'!$AA$1:$AB$25,2),C267),C267)</f>
        <v>9999</v>
      </c>
    </row>
    <row r="268" customFormat="false" ht="12.75" hidden="false" customHeight="false" outlineLevel="0" collapsed="false">
      <c r="A268" s="0" t="n">
        <f aca="false">B268*1000+C268</f>
        <v>9008</v>
      </c>
      <c r="B268" s="0" t="n">
        <v>9</v>
      </c>
      <c r="C268" s="0" t="n">
        <v>8</v>
      </c>
      <c r="D268" s="0" t="n">
        <v>0</v>
      </c>
      <c r="E268" s="0" t="n">
        <f aca="false">VLOOKUP(B268,'MSA-Lookup'!$H$2:$I$86,2)</f>
        <v>8720</v>
      </c>
      <c r="F268" s="0" t="n">
        <f aca="false">IF(C268&gt;1,IF(C268&lt;99,VLOOKUP(C268,'MSA-Lookup'!$H$1:$I$86,2),C268),C268)</f>
        <v>9340</v>
      </c>
      <c r="G268" s="0" t="n">
        <f aca="false">VLOOKUP(E268,'MSA-Lookup'!$AA$1:$AB$25,2)</f>
        <v>7362</v>
      </c>
      <c r="H268" s="0" t="n">
        <f aca="false">IF(C268&gt;1,IF(C268&lt;99,VLOOKUP(F268,'MSA-Lookup'!$AA$1:$AB$25,2),C268),C268)</f>
        <v>9340</v>
      </c>
    </row>
    <row r="269" customFormat="false" ht="12.75" hidden="false" customHeight="false" outlineLevel="0" collapsed="false">
      <c r="A269" s="0" t="n">
        <f aca="false">B269*1000+C269</f>
        <v>9009</v>
      </c>
      <c r="B269" s="0" t="n">
        <v>9</v>
      </c>
      <c r="C269" s="0" t="n">
        <v>9</v>
      </c>
      <c r="D269" s="0" t="n">
        <v>37791</v>
      </c>
      <c r="E269" s="0" t="n">
        <f aca="false">VLOOKUP(B269,'MSA-Lookup'!$H$2:$I$86,2)</f>
        <v>8720</v>
      </c>
      <c r="F269" s="0" t="n">
        <f aca="false">IF(C269&gt;1,IF(C269&lt;99,VLOOKUP(C269,'MSA-Lookup'!$H$1:$I$86,2),C269),C269)</f>
        <v>8720</v>
      </c>
      <c r="G269" s="0" t="n">
        <f aca="false">VLOOKUP(E269,'MSA-Lookup'!$AA$1:$AB$25,2)</f>
        <v>7362</v>
      </c>
      <c r="H269" s="0" t="n">
        <f aca="false">IF(C269&gt;1,IF(C269&lt;99,VLOOKUP(F269,'MSA-Lookup'!$AA$1:$AB$25,2),C269),C269)</f>
        <v>7362</v>
      </c>
    </row>
    <row r="270" customFormat="false" ht="12.75" hidden="false" customHeight="false" outlineLevel="0" collapsed="false">
      <c r="A270" s="0" t="n">
        <f aca="false">B270*1000+C270</f>
        <v>9010</v>
      </c>
      <c r="B270" s="0" t="n">
        <v>9</v>
      </c>
      <c r="C270" s="0" t="n">
        <v>10</v>
      </c>
      <c r="D270" s="0" t="n">
        <v>104</v>
      </c>
      <c r="E270" s="0" t="n">
        <f aca="false">VLOOKUP(B270,'MSA-Lookup'!$H$2:$I$86,2)</f>
        <v>8720</v>
      </c>
      <c r="F270" s="0" t="n">
        <f aca="false">IF(C270&gt;1,IF(C270&lt;99,VLOOKUP(C270,'MSA-Lookup'!$H$1:$I$86,2),C270),C270)</f>
        <v>6920</v>
      </c>
      <c r="G270" s="0" t="n">
        <f aca="false">VLOOKUP(E270,'MSA-Lookup'!$AA$1:$AB$25,2)</f>
        <v>7362</v>
      </c>
      <c r="H270" s="0" t="n">
        <f aca="false">IF(C270&gt;1,IF(C270&lt;99,VLOOKUP(F270,'MSA-Lookup'!$AA$1:$AB$25,2),C270),C270)</f>
        <v>6920</v>
      </c>
    </row>
    <row r="271" customFormat="false" ht="12.75" hidden="false" customHeight="false" outlineLevel="0" collapsed="false">
      <c r="A271" s="0" t="n">
        <f aca="false">B271*1000+C271</f>
        <v>9011</v>
      </c>
      <c r="B271" s="0" t="n">
        <v>9</v>
      </c>
      <c r="C271" s="0" t="n">
        <v>11</v>
      </c>
      <c r="D271" s="0" t="n">
        <v>0</v>
      </c>
      <c r="E271" s="0" t="n">
        <f aca="false">VLOOKUP(B271,'MSA-Lookup'!$H$2:$I$86,2)</f>
        <v>8720</v>
      </c>
      <c r="F271" s="0" t="n">
        <f aca="false">IF(C271&gt;1,IF(C271&lt;99,VLOOKUP(C271,'MSA-Lookup'!$H$1:$I$86,2),C271),C271)</f>
        <v>6920</v>
      </c>
      <c r="G271" s="0" t="n">
        <f aca="false">VLOOKUP(E271,'MSA-Lookup'!$AA$1:$AB$25,2)</f>
        <v>7362</v>
      </c>
      <c r="H271" s="0" t="n">
        <f aca="false">IF(C271&gt;1,IF(C271&lt;99,VLOOKUP(F271,'MSA-Lookup'!$AA$1:$AB$25,2),C271),C271)</f>
        <v>6920</v>
      </c>
    </row>
    <row r="272" customFormat="false" ht="12.75" hidden="false" customHeight="false" outlineLevel="0" collapsed="false">
      <c r="A272" s="0" t="n">
        <f aca="false">B272*1000+C272</f>
        <v>9013</v>
      </c>
      <c r="B272" s="0" t="n">
        <v>9</v>
      </c>
      <c r="C272" s="0" t="n">
        <v>13</v>
      </c>
      <c r="D272" s="0" t="n">
        <v>559</v>
      </c>
      <c r="E272" s="0" t="n">
        <f aca="false">VLOOKUP(B272,'MSA-Lookup'!$H$2:$I$86,2)</f>
        <v>8720</v>
      </c>
      <c r="F272" s="0" t="n">
        <f aca="false">IF(C272&gt;1,IF(C272&lt;99,VLOOKUP(C272,'MSA-Lookup'!$H$1:$I$86,2),C272),C272)</f>
        <v>7500</v>
      </c>
      <c r="G272" s="0" t="n">
        <f aca="false">VLOOKUP(E272,'MSA-Lookup'!$AA$1:$AB$25,2)</f>
        <v>7362</v>
      </c>
      <c r="H272" s="0" t="n">
        <f aca="false">IF(C272&gt;1,IF(C272&lt;99,VLOOKUP(F272,'MSA-Lookup'!$AA$1:$AB$25,2),C272),C272)</f>
        <v>7362</v>
      </c>
    </row>
    <row r="273" customFormat="false" ht="12.75" hidden="false" customHeight="false" outlineLevel="0" collapsed="false">
      <c r="A273" s="0" t="n">
        <f aca="false">B273*1000+C273</f>
        <v>9014</v>
      </c>
      <c r="B273" s="0" t="n">
        <v>9</v>
      </c>
      <c r="C273" s="0" t="n">
        <v>14</v>
      </c>
      <c r="D273" s="0" t="n">
        <v>1222</v>
      </c>
      <c r="E273" s="0" t="n">
        <f aca="false">VLOOKUP(B273,'MSA-Lookup'!$H$2:$I$86,2)</f>
        <v>8720</v>
      </c>
      <c r="F273" s="0" t="n">
        <f aca="false">IF(C273&gt;1,IF(C273&lt;99,VLOOKUP(C273,'MSA-Lookup'!$H$1:$I$86,2),C273),C273)</f>
        <v>7500</v>
      </c>
      <c r="G273" s="0" t="n">
        <f aca="false">VLOOKUP(E273,'MSA-Lookup'!$AA$1:$AB$25,2)</f>
        <v>7362</v>
      </c>
      <c r="H273" s="0" t="n">
        <f aca="false">IF(C273&gt;1,IF(C273&lt;99,VLOOKUP(F273,'MSA-Lookup'!$AA$1:$AB$25,2),C273),C273)</f>
        <v>7362</v>
      </c>
    </row>
    <row r="274" customFormat="false" ht="12.75" hidden="false" customHeight="false" outlineLevel="0" collapsed="false">
      <c r="A274" s="0" t="n">
        <f aca="false">B274*1000+C274</f>
        <v>9015</v>
      </c>
      <c r="B274" s="0" t="n">
        <v>9</v>
      </c>
      <c r="C274" s="0" t="n">
        <v>15</v>
      </c>
      <c r="D274" s="0" t="n">
        <v>429</v>
      </c>
      <c r="E274" s="0" t="n">
        <f aca="false">VLOOKUP(B274,'MSA-Lookup'!$H$2:$I$86,2)</f>
        <v>8720</v>
      </c>
      <c r="F274" s="0" t="n">
        <f aca="false">IF(C274&gt;1,IF(C274&lt;99,VLOOKUP(C274,'MSA-Lookup'!$H$1:$I$86,2),C274),C274)</f>
        <v>7360</v>
      </c>
      <c r="G274" s="0" t="n">
        <f aca="false">VLOOKUP(E274,'MSA-Lookup'!$AA$1:$AB$25,2)</f>
        <v>7362</v>
      </c>
      <c r="H274" s="0" t="n">
        <f aca="false">IF(C274&gt;1,IF(C274&lt;99,VLOOKUP(F274,'MSA-Lookup'!$AA$1:$AB$25,2),C274),C274)</f>
        <v>7362</v>
      </c>
    </row>
    <row r="275" customFormat="false" ht="12.75" hidden="false" customHeight="false" outlineLevel="0" collapsed="false">
      <c r="A275" s="0" t="n">
        <f aca="false">B275*1000+C275</f>
        <v>9016</v>
      </c>
      <c r="B275" s="0" t="n">
        <v>9</v>
      </c>
      <c r="C275" s="0" t="n">
        <v>16</v>
      </c>
      <c r="D275" s="0" t="n">
        <v>1781</v>
      </c>
      <c r="E275" s="0" t="n">
        <f aca="false">VLOOKUP(B275,'MSA-Lookup'!$H$2:$I$86,2)</f>
        <v>8720</v>
      </c>
      <c r="F275" s="0" t="n">
        <f aca="false">IF(C275&gt;1,IF(C275&lt;99,VLOOKUP(C275,'MSA-Lookup'!$H$1:$I$86,2),C275),C275)</f>
        <v>8720</v>
      </c>
      <c r="G275" s="0" t="n">
        <f aca="false">VLOOKUP(E275,'MSA-Lookup'!$AA$1:$AB$25,2)</f>
        <v>7362</v>
      </c>
      <c r="H275" s="0" t="n">
        <f aca="false">IF(C275&gt;1,IF(C275&lt;99,VLOOKUP(F275,'MSA-Lookup'!$AA$1:$AB$25,2),C275),C275)</f>
        <v>7362</v>
      </c>
    </row>
    <row r="276" customFormat="false" ht="12.75" hidden="false" customHeight="false" outlineLevel="0" collapsed="false">
      <c r="A276" s="0" t="n">
        <f aca="false">B276*1000+C276</f>
        <v>9017</v>
      </c>
      <c r="B276" s="0" t="n">
        <v>9</v>
      </c>
      <c r="C276" s="0" t="n">
        <v>17</v>
      </c>
      <c r="D276" s="0" t="n">
        <v>208</v>
      </c>
      <c r="E276" s="0" t="n">
        <f aca="false">VLOOKUP(B276,'MSA-Lookup'!$H$2:$I$86,2)</f>
        <v>8720</v>
      </c>
      <c r="F276" s="0" t="n">
        <f aca="false">IF(C276&gt;1,IF(C276&lt;99,VLOOKUP(C276,'MSA-Lookup'!$H$1:$I$86,2),C276),C276)</f>
        <v>5775</v>
      </c>
      <c r="G276" s="0" t="n">
        <f aca="false">VLOOKUP(E276,'MSA-Lookup'!$AA$1:$AB$25,2)</f>
        <v>7362</v>
      </c>
      <c r="H276" s="0" t="n">
        <f aca="false">IF(C276&gt;1,IF(C276&lt;99,VLOOKUP(F276,'MSA-Lookup'!$AA$1:$AB$25,2),C276),C276)</f>
        <v>7362</v>
      </c>
    </row>
    <row r="277" customFormat="false" ht="12.75" hidden="false" customHeight="false" outlineLevel="0" collapsed="false">
      <c r="A277" s="0" t="n">
        <f aca="false">B277*1000+C277</f>
        <v>9018</v>
      </c>
      <c r="B277" s="0" t="n">
        <v>9</v>
      </c>
      <c r="C277" s="0" t="n">
        <v>18</v>
      </c>
      <c r="D277" s="0" t="n">
        <v>1703</v>
      </c>
      <c r="E277" s="0" t="n">
        <f aca="false">VLOOKUP(B277,'MSA-Lookup'!$H$2:$I$86,2)</f>
        <v>8720</v>
      </c>
      <c r="F277" s="0" t="n">
        <f aca="false">IF(C277&gt;1,IF(C277&lt;99,VLOOKUP(C277,'MSA-Lookup'!$H$1:$I$86,2),C277),C277)</f>
        <v>5775</v>
      </c>
      <c r="G277" s="0" t="n">
        <f aca="false">VLOOKUP(E277,'MSA-Lookup'!$AA$1:$AB$25,2)</f>
        <v>7362</v>
      </c>
      <c r="H277" s="0" t="n">
        <f aca="false">IF(C277&gt;1,IF(C277&lt;99,VLOOKUP(F277,'MSA-Lookup'!$AA$1:$AB$25,2),C277),C277)</f>
        <v>7362</v>
      </c>
    </row>
    <row r="278" customFormat="false" ht="12.75" hidden="false" customHeight="false" outlineLevel="0" collapsed="false">
      <c r="A278" s="0" t="n">
        <f aca="false">B278*1000+C278</f>
        <v>9019</v>
      </c>
      <c r="B278" s="0" t="n">
        <v>9</v>
      </c>
      <c r="C278" s="0" t="n">
        <v>19</v>
      </c>
      <c r="D278" s="0" t="n">
        <v>897</v>
      </c>
      <c r="E278" s="0" t="n">
        <f aca="false">VLOOKUP(B278,'MSA-Lookup'!$H$2:$I$86,2)</f>
        <v>8720</v>
      </c>
      <c r="F278" s="0" t="n">
        <f aca="false">IF(C278&gt;1,IF(C278&lt;99,VLOOKUP(C278,'MSA-Lookup'!$H$1:$I$86,2),C278),C278)</f>
        <v>7360</v>
      </c>
      <c r="G278" s="0" t="n">
        <f aca="false">VLOOKUP(E278,'MSA-Lookup'!$AA$1:$AB$25,2)</f>
        <v>7362</v>
      </c>
      <c r="H278" s="0" t="n">
        <f aca="false">IF(C278&gt;1,IF(C278&lt;99,VLOOKUP(F278,'MSA-Lookup'!$AA$1:$AB$25,2),C278),C278)</f>
        <v>7362</v>
      </c>
    </row>
    <row r="279" customFormat="false" ht="12.75" hidden="false" customHeight="false" outlineLevel="0" collapsed="false">
      <c r="A279" s="0" t="n">
        <f aca="false">B279*1000+C279</f>
        <v>9020</v>
      </c>
      <c r="B279" s="0" t="n">
        <v>9</v>
      </c>
      <c r="C279" s="0" t="n">
        <v>20</v>
      </c>
      <c r="D279" s="0" t="n">
        <v>325</v>
      </c>
      <c r="E279" s="0" t="n">
        <f aca="false">VLOOKUP(B279,'MSA-Lookup'!$H$2:$I$86,2)</f>
        <v>8720</v>
      </c>
      <c r="F279" s="0" t="n">
        <f aca="false">IF(C279&gt;1,IF(C279&lt;99,VLOOKUP(C279,'MSA-Lookup'!$H$1:$I$86,2),C279),C279)</f>
        <v>5775</v>
      </c>
      <c r="G279" s="0" t="n">
        <f aca="false">VLOOKUP(E279,'MSA-Lookup'!$AA$1:$AB$25,2)</f>
        <v>7362</v>
      </c>
      <c r="H279" s="0" t="n">
        <f aca="false">IF(C279&gt;1,IF(C279&lt;99,VLOOKUP(F279,'MSA-Lookup'!$AA$1:$AB$25,2),C279),C279)</f>
        <v>7362</v>
      </c>
    </row>
    <row r="280" customFormat="false" ht="12.75" hidden="false" customHeight="false" outlineLevel="0" collapsed="false">
      <c r="A280" s="0" t="n">
        <f aca="false">B280*1000+C280</f>
        <v>9021</v>
      </c>
      <c r="B280" s="0" t="n">
        <v>9</v>
      </c>
      <c r="C280" s="0" t="n">
        <v>21</v>
      </c>
      <c r="D280" s="0" t="n">
        <v>572</v>
      </c>
      <c r="E280" s="0" t="n">
        <f aca="false">VLOOKUP(B280,'MSA-Lookup'!$H$2:$I$86,2)</f>
        <v>8720</v>
      </c>
      <c r="F280" s="0" t="n">
        <f aca="false">IF(C280&gt;1,IF(C280&lt;99,VLOOKUP(C280,'MSA-Lookup'!$H$1:$I$86,2),C280),C280)</f>
        <v>5775</v>
      </c>
      <c r="G280" s="0" t="n">
        <f aca="false">VLOOKUP(E280,'MSA-Lookup'!$AA$1:$AB$25,2)</f>
        <v>7362</v>
      </c>
      <c r="H280" s="0" t="n">
        <f aca="false">IF(C280&gt;1,IF(C280&lt;99,VLOOKUP(F280,'MSA-Lookup'!$AA$1:$AB$25,2),C280),C280)</f>
        <v>7362</v>
      </c>
    </row>
    <row r="281" customFormat="false" ht="12.75" hidden="false" customHeight="false" outlineLevel="0" collapsed="false">
      <c r="A281" s="0" t="n">
        <f aca="false">B281*1000+C281</f>
        <v>9022</v>
      </c>
      <c r="B281" s="0" t="n">
        <v>9</v>
      </c>
      <c r="C281" s="0" t="n">
        <v>22</v>
      </c>
      <c r="D281" s="0" t="n">
        <v>195</v>
      </c>
      <c r="E281" s="0" t="n">
        <f aca="false">VLOOKUP(B281,'MSA-Lookup'!$H$2:$I$86,2)</f>
        <v>8720</v>
      </c>
      <c r="F281" s="0" t="n">
        <f aca="false">IF(C281&gt;1,IF(C281&lt;99,VLOOKUP(C281,'MSA-Lookup'!$H$1:$I$86,2),C281),C281)</f>
        <v>7360</v>
      </c>
      <c r="G281" s="0" t="n">
        <f aca="false">VLOOKUP(E281,'MSA-Lookup'!$AA$1:$AB$25,2)</f>
        <v>7362</v>
      </c>
      <c r="H281" s="0" t="n">
        <f aca="false">IF(C281&gt;1,IF(C281&lt;99,VLOOKUP(F281,'MSA-Lookup'!$AA$1:$AB$25,2),C281),C281)</f>
        <v>7362</v>
      </c>
    </row>
    <row r="282" customFormat="false" ht="12.75" hidden="false" customHeight="false" outlineLevel="0" collapsed="false">
      <c r="A282" s="0" t="n">
        <f aca="false">B282*1000+C282</f>
        <v>9023</v>
      </c>
      <c r="B282" s="0" t="n">
        <v>9</v>
      </c>
      <c r="C282" s="0" t="n">
        <v>23</v>
      </c>
      <c r="D282" s="0" t="n">
        <v>0</v>
      </c>
      <c r="E282" s="0" t="n">
        <f aca="false">VLOOKUP(B282,'MSA-Lookup'!$H$2:$I$86,2)</f>
        <v>8720</v>
      </c>
      <c r="F282" s="0" t="n">
        <f aca="false">IF(C282&gt;1,IF(C282&lt;99,VLOOKUP(C282,'MSA-Lookup'!$H$1:$I$86,2),C282),C282)</f>
        <v>8120</v>
      </c>
      <c r="G282" s="0" t="n">
        <f aca="false">VLOOKUP(E282,'MSA-Lookup'!$AA$1:$AB$25,2)</f>
        <v>7362</v>
      </c>
      <c r="H282" s="0" t="n">
        <f aca="false">IF(C282&gt;1,IF(C282&lt;99,VLOOKUP(F282,'MSA-Lookup'!$AA$1:$AB$25,2),C282),C282)</f>
        <v>8120</v>
      </c>
    </row>
    <row r="283" customFormat="false" ht="12.75" hidden="false" customHeight="false" outlineLevel="0" collapsed="false">
      <c r="A283" s="0" t="n">
        <f aca="false">B283*1000+C283</f>
        <v>9024</v>
      </c>
      <c r="B283" s="0" t="n">
        <v>9</v>
      </c>
      <c r="C283" s="0" t="n">
        <v>24</v>
      </c>
      <c r="D283" s="0" t="n">
        <v>0</v>
      </c>
      <c r="E283" s="0" t="n">
        <f aca="false">VLOOKUP(B283,'MSA-Lookup'!$H$2:$I$86,2)</f>
        <v>8720</v>
      </c>
      <c r="F283" s="0" t="n">
        <f aca="false">IF(C283&gt;1,IF(C283&lt;99,VLOOKUP(C283,'MSA-Lookup'!$H$1:$I$86,2),C283),C283)</f>
        <v>5170</v>
      </c>
      <c r="G283" s="0" t="n">
        <f aca="false">VLOOKUP(E283,'MSA-Lookup'!$AA$1:$AB$25,2)</f>
        <v>7362</v>
      </c>
      <c r="H283" s="0" t="n">
        <f aca="false">IF(C283&gt;1,IF(C283&lt;99,VLOOKUP(F283,'MSA-Lookup'!$AA$1:$AB$25,2),C283),C283)</f>
        <v>5170</v>
      </c>
    </row>
    <row r="284" customFormat="false" ht="12.75" hidden="false" customHeight="false" outlineLevel="0" collapsed="false">
      <c r="A284" s="0" t="n">
        <f aca="false">B284*1000+C284</f>
        <v>9025</v>
      </c>
      <c r="B284" s="0" t="n">
        <v>9</v>
      </c>
      <c r="C284" s="0" t="n">
        <v>25</v>
      </c>
      <c r="D284" s="0" t="n">
        <v>0</v>
      </c>
      <c r="E284" s="0" t="n">
        <f aca="false">VLOOKUP(B284,'MSA-Lookup'!$H$2:$I$86,2)</f>
        <v>8720</v>
      </c>
      <c r="F284" s="0" t="n">
        <f aca="false">IF(C284&gt;1,IF(C284&lt;99,VLOOKUP(C284,'MSA-Lookup'!$H$1:$I$86,2),C284),C284)</f>
        <v>5170</v>
      </c>
      <c r="G284" s="0" t="n">
        <f aca="false">VLOOKUP(E284,'MSA-Lookup'!$AA$1:$AB$25,2)</f>
        <v>7362</v>
      </c>
      <c r="H284" s="0" t="n">
        <f aca="false">IF(C284&gt;1,IF(C284&lt;99,VLOOKUP(F284,'MSA-Lookup'!$AA$1:$AB$25,2),C284),C284)</f>
        <v>5170</v>
      </c>
    </row>
    <row r="285" customFormat="false" ht="12.75" hidden="false" customHeight="false" outlineLevel="0" collapsed="false">
      <c r="A285" s="0" t="n">
        <f aca="false">B285*1000+C285</f>
        <v>9026</v>
      </c>
      <c r="B285" s="0" t="n">
        <v>9</v>
      </c>
      <c r="C285" s="0" t="n">
        <v>26</v>
      </c>
      <c r="D285" s="0" t="n">
        <v>0</v>
      </c>
      <c r="E285" s="0" t="n">
        <f aca="false">VLOOKUP(B285,'MSA-Lookup'!$H$2:$I$86,2)</f>
        <v>8720</v>
      </c>
      <c r="F285" s="0" t="n">
        <f aca="false">IF(C285&gt;1,IF(C285&lt;99,VLOOKUP(C285,'MSA-Lookup'!$H$1:$I$86,2),C285),C285)</f>
        <v>9999</v>
      </c>
      <c r="G285" s="0" t="n">
        <f aca="false">VLOOKUP(E285,'MSA-Lookup'!$AA$1:$AB$25,2)</f>
        <v>7362</v>
      </c>
      <c r="H285" s="0" t="n">
        <f aca="false">IF(C285&gt;1,IF(C285&lt;99,VLOOKUP(F285,'MSA-Lookup'!$AA$1:$AB$25,2),C285),C285)</f>
        <v>9999</v>
      </c>
    </row>
    <row r="286" customFormat="false" ht="12.75" hidden="false" customHeight="false" outlineLevel="0" collapsed="false">
      <c r="A286" s="0" t="n">
        <f aca="false">B286*1000+C286</f>
        <v>9028</v>
      </c>
      <c r="B286" s="0" t="n">
        <v>9</v>
      </c>
      <c r="C286" s="0" t="n">
        <v>28</v>
      </c>
      <c r="D286" s="0" t="n">
        <v>286</v>
      </c>
      <c r="E286" s="0" t="n">
        <f aca="false">VLOOKUP(B286,'MSA-Lookup'!$H$2:$I$86,2)</f>
        <v>8720</v>
      </c>
      <c r="F286" s="0" t="n">
        <f aca="false">IF(C286&gt;1,IF(C286&lt;99,VLOOKUP(C286,'MSA-Lookup'!$H$1:$I$86,2),C286),C286)</f>
        <v>6920</v>
      </c>
      <c r="G286" s="0" t="n">
        <f aca="false">VLOOKUP(E286,'MSA-Lookup'!$AA$1:$AB$25,2)</f>
        <v>7362</v>
      </c>
      <c r="H286" s="0" t="n">
        <f aca="false">IF(C286&gt;1,IF(C286&lt;99,VLOOKUP(F286,'MSA-Lookup'!$AA$1:$AB$25,2),C286),C286)</f>
        <v>6920</v>
      </c>
    </row>
    <row r="287" customFormat="false" ht="12.75" hidden="false" customHeight="false" outlineLevel="0" collapsed="false">
      <c r="A287" s="0" t="n">
        <f aca="false">B287*1000+C287</f>
        <v>9029</v>
      </c>
      <c r="B287" s="0" t="n">
        <v>9</v>
      </c>
      <c r="C287" s="0" t="n">
        <v>29</v>
      </c>
      <c r="D287" s="0" t="n">
        <v>0</v>
      </c>
      <c r="E287" s="0" t="n">
        <f aca="false">VLOOKUP(B287,'MSA-Lookup'!$H$2:$I$86,2)</f>
        <v>8720</v>
      </c>
      <c r="F287" s="0" t="n">
        <f aca="false">IF(C287&gt;1,IF(C287&lt;99,VLOOKUP(C287,'MSA-Lookup'!$H$1:$I$86,2),C287),C287)</f>
        <v>6920</v>
      </c>
      <c r="G287" s="0" t="n">
        <f aca="false">VLOOKUP(E287,'MSA-Lookup'!$AA$1:$AB$25,2)</f>
        <v>7362</v>
      </c>
      <c r="H287" s="0" t="n">
        <f aca="false">IF(C287&gt;1,IF(C287&lt;99,VLOOKUP(F287,'MSA-Lookup'!$AA$1:$AB$25,2),C287),C287)</f>
        <v>6920</v>
      </c>
    </row>
    <row r="288" customFormat="false" ht="12.75" hidden="false" customHeight="false" outlineLevel="0" collapsed="false">
      <c r="A288" s="0" t="n">
        <f aca="false">B288*1000+C288</f>
        <v>9033</v>
      </c>
      <c r="B288" s="0" t="n">
        <v>9</v>
      </c>
      <c r="C288" s="0" t="n">
        <v>33</v>
      </c>
      <c r="D288" s="0" t="n">
        <v>0</v>
      </c>
      <c r="E288" s="0" t="n">
        <f aca="false">VLOOKUP(B288,'MSA-Lookup'!$H$2:$I$86,2)</f>
        <v>8720</v>
      </c>
      <c r="F288" s="0" t="n">
        <f aca="false">IF(C288&gt;1,IF(C288&lt;99,VLOOKUP(C288,'MSA-Lookup'!$H$1:$I$86,2),C288),C288)</f>
        <v>7320</v>
      </c>
      <c r="G288" s="0" t="n">
        <f aca="false">VLOOKUP(E288,'MSA-Lookup'!$AA$1:$AB$25,2)</f>
        <v>7362</v>
      </c>
      <c r="H288" s="0" t="n">
        <f aca="false">IF(C288&gt;1,IF(C288&lt;99,VLOOKUP(F288,'MSA-Lookup'!$AA$1:$AB$25,2),C288),C288)</f>
        <v>7320</v>
      </c>
    </row>
    <row r="289" customFormat="false" ht="12.75" hidden="false" customHeight="false" outlineLevel="0" collapsed="false">
      <c r="A289" s="0" t="n">
        <f aca="false">B289*1000+C289</f>
        <v>9034</v>
      </c>
      <c r="B289" s="0" t="n">
        <v>9</v>
      </c>
      <c r="C289" s="0" t="n">
        <v>34</v>
      </c>
      <c r="D289" s="0" t="n">
        <v>0</v>
      </c>
      <c r="E289" s="0" t="n">
        <f aca="false">VLOOKUP(B289,'MSA-Lookup'!$H$2:$I$86,2)</f>
        <v>8720</v>
      </c>
      <c r="F289" s="0" t="n">
        <f aca="false">IF(C289&gt;1,IF(C289&lt;99,VLOOKUP(C289,'MSA-Lookup'!$H$1:$I$86,2),C289),C289)</f>
        <v>7320</v>
      </c>
      <c r="G289" s="0" t="n">
        <f aca="false">VLOOKUP(E289,'MSA-Lookup'!$AA$1:$AB$25,2)</f>
        <v>7362</v>
      </c>
      <c r="H289" s="0" t="n">
        <f aca="false">IF(C289&gt;1,IF(C289&lt;99,VLOOKUP(F289,'MSA-Lookup'!$AA$1:$AB$25,2),C289),C289)</f>
        <v>7320</v>
      </c>
    </row>
    <row r="290" customFormat="false" ht="12.75" hidden="false" customHeight="false" outlineLevel="0" collapsed="false">
      <c r="A290" s="0" t="n">
        <f aca="false">B290*1000+C290</f>
        <v>9035</v>
      </c>
      <c r="B290" s="0" t="n">
        <v>9</v>
      </c>
      <c r="C290" s="0" t="n">
        <v>35</v>
      </c>
      <c r="D290" s="0" t="n">
        <v>0</v>
      </c>
      <c r="E290" s="0" t="n">
        <f aca="false">VLOOKUP(B290,'MSA-Lookup'!$H$2:$I$86,2)</f>
        <v>8720</v>
      </c>
      <c r="F290" s="0" t="n">
        <f aca="false">IF(C290&gt;1,IF(C290&lt;99,VLOOKUP(C290,'MSA-Lookup'!$H$1:$I$86,2),C290),C290)</f>
        <v>7320</v>
      </c>
      <c r="G290" s="0" t="n">
        <f aca="false">VLOOKUP(E290,'MSA-Lookup'!$AA$1:$AB$25,2)</f>
        <v>7362</v>
      </c>
      <c r="H290" s="0" t="n">
        <f aca="false">IF(C290&gt;1,IF(C290&lt;99,VLOOKUP(F290,'MSA-Lookup'!$AA$1:$AB$25,2),C290),C290)</f>
        <v>7320</v>
      </c>
    </row>
    <row r="291" customFormat="false" ht="12.75" hidden="false" customHeight="false" outlineLevel="0" collapsed="false">
      <c r="A291" s="0" t="n">
        <f aca="false">B291*1000+C291</f>
        <v>9037</v>
      </c>
      <c r="B291" s="0" t="n">
        <v>9</v>
      </c>
      <c r="C291" s="0" t="n">
        <v>37</v>
      </c>
      <c r="D291" s="0" t="n">
        <v>91</v>
      </c>
      <c r="E291" s="0" t="n">
        <f aca="false">VLOOKUP(B291,'MSA-Lookup'!$H$2:$I$86,2)</f>
        <v>8720</v>
      </c>
      <c r="F291" s="0" t="n">
        <f aca="false">IF(C291&gt;1,IF(C291&lt;99,VLOOKUP(C291,'MSA-Lookup'!$H$1:$I$86,2),C291),C291)</f>
        <v>7320</v>
      </c>
      <c r="G291" s="0" t="n">
        <f aca="false">VLOOKUP(E291,'MSA-Lookup'!$AA$1:$AB$25,2)</f>
        <v>7362</v>
      </c>
      <c r="H291" s="0" t="n">
        <f aca="false">IF(C291&gt;1,IF(C291&lt;99,VLOOKUP(F291,'MSA-Lookup'!$AA$1:$AB$25,2),C291),C291)</f>
        <v>7320</v>
      </c>
    </row>
    <row r="292" customFormat="false" ht="12.75" hidden="false" customHeight="false" outlineLevel="0" collapsed="false">
      <c r="A292" s="0" t="n">
        <f aca="false">B292*1000+C292</f>
        <v>9039</v>
      </c>
      <c r="B292" s="0" t="n">
        <v>9</v>
      </c>
      <c r="C292" s="0" t="n">
        <v>39</v>
      </c>
      <c r="D292" s="0" t="n">
        <v>0</v>
      </c>
      <c r="E292" s="0" t="n">
        <f aca="false">VLOOKUP(B292,'MSA-Lookup'!$H$2:$I$86,2)</f>
        <v>8720</v>
      </c>
      <c r="F292" s="0" t="n">
        <f aca="false">IF(C292&gt;1,IF(C292&lt;99,VLOOKUP(C292,'MSA-Lookup'!$H$1:$I$86,2),C292),C292)</f>
        <v>7120</v>
      </c>
      <c r="G292" s="0" t="n">
        <f aca="false">VLOOKUP(E292,'MSA-Lookup'!$AA$1:$AB$25,2)</f>
        <v>7362</v>
      </c>
      <c r="H292" s="0" t="n">
        <f aca="false">IF(C292&gt;1,IF(C292&lt;99,VLOOKUP(F292,'MSA-Lookup'!$AA$1:$AB$25,2),C292),C292)</f>
        <v>7120</v>
      </c>
    </row>
    <row r="293" customFormat="false" ht="12.75" hidden="false" customHeight="false" outlineLevel="0" collapsed="false">
      <c r="A293" s="0" t="n">
        <f aca="false">B293*1000+C293</f>
        <v>9040</v>
      </c>
      <c r="B293" s="0" t="n">
        <v>9</v>
      </c>
      <c r="C293" s="0" t="n">
        <v>40</v>
      </c>
      <c r="D293" s="0" t="n">
        <v>0</v>
      </c>
      <c r="E293" s="0" t="n">
        <f aca="false">VLOOKUP(B293,'MSA-Lookup'!$H$2:$I$86,2)</f>
        <v>8720</v>
      </c>
      <c r="F293" s="0" t="n">
        <f aca="false">IF(C293&gt;1,IF(C293&lt;99,VLOOKUP(C293,'MSA-Lookup'!$H$1:$I$86,2),C293),C293)</f>
        <v>2840</v>
      </c>
      <c r="G293" s="0" t="n">
        <f aca="false">VLOOKUP(E293,'MSA-Lookup'!$AA$1:$AB$25,2)</f>
        <v>7362</v>
      </c>
      <c r="H293" s="0" t="n">
        <f aca="false">IF(C293&gt;1,IF(C293&lt;99,VLOOKUP(F293,'MSA-Lookup'!$AA$1:$AB$25,2),C293),C293)</f>
        <v>2840</v>
      </c>
    </row>
    <row r="294" customFormat="false" ht="12.75" hidden="false" customHeight="false" outlineLevel="0" collapsed="false">
      <c r="A294" s="0" t="n">
        <f aca="false">B294*1000+C294</f>
        <v>9041</v>
      </c>
      <c r="B294" s="0" t="n">
        <v>9</v>
      </c>
      <c r="C294" s="0" t="n">
        <v>41</v>
      </c>
      <c r="D294" s="0" t="n">
        <v>0</v>
      </c>
      <c r="E294" s="0" t="n">
        <f aca="false">VLOOKUP(B294,'MSA-Lookup'!$H$2:$I$86,2)</f>
        <v>8720</v>
      </c>
      <c r="F294" s="0" t="n">
        <f aca="false">IF(C294&gt;1,IF(C294&lt;99,VLOOKUP(C294,'MSA-Lookup'!$H$1:$I$86,2),C294),C294)</f>
        <v>2840</v>
      </c>
      <c r="G294" s="0" t="n">
        <f aca="false">VLOOKUP(E294,'MSA-Lookup'!$AA$1:$AB$25,2)</f>
        <v>7362</v>
      </c>
      <c r="H294" s="0" t="n">
        <f aca="false">IF(C294&gt;1,IF(C294&lt;99,VLOOKUP(F294,'MSA-Lookup'!$AA$1:$AB$25,2),C294),C294)</f>
        <v>2840</v>
      </c>
    </row>
    <row r="295" customFormat="false" ht="12.75" hidden="false" customHeight="false" outlineLevel="0" collapsed="false">
      <c r="A295" s="0" t="n">
        <f aca="false">B295*1000+C295</f>
        <v>9049</v>
      </c>
      <c r="B295" s="0" t="n">
        <v>9</v>
      </c>
      <c r="C295" s="0" t="n">
        <v>49</v>
      </c>
      <c r="D295" s="0" t="n">
        <v>117</v>
      </c>
      <c r="E295" s="0" t="n">
        <f aca="false">VLOOKUP(B295,'MSA-Lookup'!$H$2:$I$86,2)</f>
        <v>8720</v>
      </c>
      <c r="F295" s="0" t="n">
        <f aca="false">IF(C295&gt;1,IF(C295&lt;99,VLOOKUP(C295,'MSA-Lookup'!$H$1:$I$86,2),C295),C295)</f>
        <v>7400</v>
      </c>
      <c r="G295" s="0" t="n">
        <f aca="false">VLOOKUP(E295,'MSA-Lookup'!$AA$1:$AB$25,2)</f>
        <v>7362</v>
      </c>
      <c r="H295" s="0" t="n">
        <f aca="false">IF(C295&gt;1,IF(C295&lt;99,VLOOKUP(F295,'MSA-Lookup'!$AA$1:$AB$25,2),C295),C295)</f>
        <v>7362</v>
      </c>
    </row>
    <row r="296" customFormat="false" ht="12.75" hidden="false" customHeight="false" outlineLevel="0" collapsed="false">
      <c r="A296" s="0" t="n">
        <f aca="false">B296*1000+C296</f>
        <v>9050</v>
      </c>
      <c r="B296" s="0" t="n">
        <v>9</v>
      </c>
      <c r="C296" s="0" t="n">
        <v>50</v>
      </c>
      <c r="D296" s="0" t="n">
        <v>0</v>
      </c>
      <c r="E296" s="0" t="n">
        <f aca="false">VLOOKUP(B296,'MSA-Lookup'!$H$2:$I$86,2)</f>
        <v>8720</v>
      </c>
      <c r="F296" s="0" t="n">
        <f aca="false">IF(C296&gt;1,IF(C296&lt;99,VLOOKUP(C296,'MSA-Lookup'!$H$1:$I$86,2),C296),C296)</f>
        <v>7400</v>
      </c>
      <c r="G296" s="0" t="n">
        <f aca="false">VLOOKUP(E296,'MSA-Lookup'!$AA$1:$AB$25,2)</f>
        <v>7362</v>
      </c>
      <c r="H296" s="0" t="n">
        <f aca="false">IF(C296&gt;1,IF(C296&lt;99,VLOOKUP(F296,'MSA-Lookup'!$AA$1:$AB$25,2),C296),C296)</f>
        <v>7362</v>
      </c>
    </row>
    <row r="297" customFormat="false" ht="12.75" hidden="false" customHeight="false" outlineLevel="0" collapsed="false">
      <c r="A297" s="0" t="n">
        <f aca="false">B297*1000+C297</f>
        <v>9051</v>
      </c>
      <c r="B297" s="0" t="n">
        <v>9</v>
      </c>
      <c r="C297" s="0" t="n">
        <v>51</v>
      </c>
      <c r="D297" s="0" t="n">
        <v>273</v>
      </c>
      <c r="E297" s="0" t="n">
        <f aca="false">VLOOKUP(B297,'MSA-Lookup'!$H$2:$I$86,2)</f>
        <v>8720</v>
      </c>
      <c r="F297" s="0" t="n">
        <f aca="false">IF(C297&gt;1,IF(C297&lt;99,VLOOKUP(C297,'MSA-Lookup'!$H$1:$I$86,2),C297),C297)</f>
        <v>7400</v>
      </c>
      <c r="G297" s="0" t="n">
        <f aca="false">VLOOKUP(E297,'MSA-Lookup'!$AA$1:$AB$25,2)</f>
        <v>7362</v>
      </c>
      <c r="H297" s="0" t="n">
        <f aca="false">IF(C297&gt;1,IF(C297&lt;99,VLOOKUP(F297,'MSA-Lookup'!$AA$1:$AB$25,2),C297),C297)</f>
        <v>7362</v>
      </c>
    </row>
    <row r="298" customFormat="false" ht="12.75" hidden="false" customHeight="false" outlineLevel="0" collapsed="false">
      <c r="A298" s="0" t="n">
        <f aca="false">B298*1000+C298</f>
        <v>9053</v>
      </c>
      <c r="B298" s="0" t="n">
        <v>9</v>
      </c>
      <c r="C298" s="0" t="n">
        <v>53</v>
      </c>
      <c r="D298" s="0" t="n">
        <v>0</v>
      </c>
      <c r="E298" s="0" t="n">
        <f aca="false">VLOOKUP(B298,'MSA-Lookup'!$H$2:$I$86,2)</f>
        <v>8720</v>
      </c>
      <c r="F298" s="0" t="n">
        <f aca="false">IF(C298&gt;1,IF(C298&lt;99,VLOOKUP(C298,'MSA-Lookup'!$H$1:$I$86,2),C298),C298)</f>
        <v>4480</v>
      </c>
      <c r="G298" s="0" t="n">
        <f aca="false">VLOOKUP(E298,'MSA-Lookup'!$AA$1:$AB$25,2)</f>
        <v>7362</v>
      </c>
      <c r="H298" s="0" t="n">
        <f aca="false">IF(C298&gt;1,IF(C298&lt;99,VLOOKUP(F298,'MSA-Lookup'!$AA$1:$AB$25,2),C298),C298)</f>
        <v>4472</v>
      </c>
    </row>
    <row r="299" customFormat="false" ht="12.75" hidden="false" customHeight="false" outlineLevel="0" collapsed="false">
      <c r="A299" s="0" t="n">
        <f aca="false">B299*1000+C299</f>
        <v>9064</v>
      </c>
      <c r="B299" s="0" t="n">
        <v>9</v>
      </c>
      <c r="C299" s="0" t="n">
        <v>64</v>
      </c>
      <c r="D299" s="0" t="n">
        <v>104</v>
      </c>
      <c r="E299" s="0" t="n">
        <f aca="false">VLOOKUP(B299,'MSA-Lookup'!$H$2:$I$86,2)</f>
        <v>8720</v>
      </c>
      <c r="F299" s="0" t="n">
        <f aca="false">IF(C299&gt;1,IF(C299&lt;99,VLOOKUP(C299,'MSA-Lookup'!$H$1:$I$86,2),C299),C299)</f>
        <v>4480</v>
      </c>
      <c r="G299" s="0" t="n">
        <f aca="false">VLOOKUP(E299,'MSA-Lookup'!$AA$1:$AB$25,2)</f>
        <v>7362</v>
      </c>
      <c r="H299" s="0" t="n">
        <f aca="false">IF(C299&gt;1,IF(C299&lt;99,VLOOKUP(F299,'MSA-Lookup'!$AA$1:$AB$25,2),C299),C299)</f>
        <v>4472</v>
      </c>
    </row>
    <row r="300" customFormat="false" ht="12.75" hidden="false" customHeight="false" outlineLevel="0" collapsed="false">
      <c r="A300" s="0" t="n">
        <f aca="false">B300*1000+C300</f>
        <v>9065</v>
      </c>
      <c r="B300" s="0" t="n">
        <v>9</v>
      </c>
      <c r="C300" s="0" t="n">
        <v>65</v>
      </c>
      <c r="D300" s="0" t="n">
        <v>0</v>
      </c>
      <c r="E300" s="0" t="n">
        <f aca="false">VLOOKUP(B300,'MSA-Lookup'!$H$2:$I$86,2)</f>
        <v>8720</v>
      </c>
      <c r="F300" s="0" t="n">
        <f aca="false">IF(C300&gt;1,IF(C300&lt;99,VLOOKUP(C300,'MSA-Lookup'!$H$1:$I$86,2),C300),C300)</f>
        <v>4480</v>
      </c>
      <c r="G300" s="0" t="n">
        <f aca="false">VLOOKUP(E300,'MSA-Lookup'!$AA$1:$AB$25,2)</f>
        <v>7362</v>
      </c>
      <c r="H300" s="0" t="n">
        <f aca="false">IF(C300&gt;1,IF(C300&lt;99,VLOOKUP(F300,'MSA-Lookup'!$AA$1:$AB$25,2),C300),C300)</f>
        <v>4472</v>
      </c>
    </row>
    <row r="301" customFormat="false" ht="12.75" hidden="false" customHeight="false" outlineLevel="0" collapsed="false">
      <c r="A301" s="0" t="n">
        <f aca="false">B301*1000+C301</f>
        <v>9069</v>
      </c>
      <c r="B301" s="0" t="n">
        <v>9</v>
      </c>
      <c r="C301" s="0" t="n">
        <v>69</v>
      </c>
      <c r="D301" s="0" t="n">
        <v>0</v>
      </c>
      <c r="E301" s="0" t="n">
        <f aca="false">VLOOKUP(B301,'MSA-Lookup'!$H$2:$I$86,2)</f>
        <v>8720</v>
      </c>
      <c r="F301" s="0" t="n">
        <f aca="false">IF(C301&gt;1,IF(C301&lt;99,VLOOKUP(C301,'MSA-Lookup'!$H$1:$I$86,2),C301),C301)</f>
        <v>6780</v>
      </c>
      <c r="G301" s="0" t="n">
        <f aca="false">VLOOKUP(E301,'MSA-Lookup'!$AA$1:$AB$25,2)</f>
        <v>7362</v>
      </c>
      <c r="H301" s="0" t="n">
        <f aca="false">IF(C301&gt;1,IF(C301&lt;99,VLOOKUP(F301,'MSA-Lookup'!$AA$1:$AB$25,2),C301),C301)</f>
        <v>4472</v>
      </c>
    </row>
    <row r="302" customFormat="false" ht="12.75" hidden="false" customHeight="false" outlineLevel="0" collapsed="false">
      <c r="A302" s="0" t="n">
        <f aca="false">B302*1000+C302</f>
        <v>9072</v>
      </c>
      <c r="B302" s="0" t="n">
        <v>9</v>
      </c>
      <c r="C302" s="0" t="n">
        <v>72</v>
      </c>
      <c r="D302" s="0" t="n">
        <v>0</v>
      </c>
      <c r="E302" s="0" t="n">
        <f aca="false">VLOOKUP(B302,'MSA-Lookup'!$H$2:$I$86,2)</f>
        <v>8720</v>
      </c>
      <c r="F302" s="0" t="n">
        <f aca="false">IF(C302&gt;1,IF(C302&lt;99,VLOOKUP(C302,'MSA-Lookup'!$H$1:$I$86,2),C302),C302)</f>
        <v>6780</v>
      </c>
      <c r="G302" s="0" t="n">
        <f aca="false">VLOOKUP(E302,'MSA-Lookup'!$AA$1:$AB$25,2)</f>
        <v>7362</v>
      </c>
      <c r="H302" s="0" t="n">
        <f aca="false">IF(C302&gt;1,IF(C302&lt;99,VLOOKUP(F302,'MSA-Lookup'!$AA$1:$AB$25,2),C302),C302)</f>
        <v>4472</v>
      </c>
    </row>
    <row r="303" customFormat="false" ht="12.75" hidden="false" customHeight="false" outlineLevel="0" collapsed="false">
      <c r="A303" s="0" t="n">
        <f aca="false">B303*1000+C303</f>
        <v>9073</v>
      </c>
      <c r="B303" s="0" t="n">
        <v>9</v>
      </c>
      <c r="C303" s="0" t="n">
        <v>73</v>
      </c>
      <c r="D303" s="0" t="n">
        <v>4901</v>
      </c>
      <c r="E303" s="0" t="n">
        <f aca="false">VLOOKUP(B303,'MSA-Lookup'!$H$2:$I$86,2)</f>
        <v>8720</v>
      </c>
      <c r="F303" s="0" t="n">
        <f aca="false">IF(C303&gt;1,IF(C303&lt;99,VLOOKUP(C303,'MSA-Lookup'!$H$1:$I$86,2),C303),C303)</f>
        <v>8720</v>
      </c>
      <c r="G303" s="0" t="n">
        <f aca="false">VLOOKUP(E303,'MSA-Lookup'!$AA$1:$AB$25,2)</f>
        <v>7362</v>
      </c>
      <c r="H303" s="0" t="n">
        <f aca="false">IF(C303&gt;1,IF(C303&lt;99,VLOOKUP(F303,'MSA-Lookup'!$AA$1:$AB$25,2),C303),C303)</f>
        <v>7362</v>
      </c>
    </row>
    <row r="304" customFormat="false" ht="12.75" hidden="false" customHeight="false" outlineLevel="0" collapsed="false">
      <c r="A304" s="0" t="n">
        <f aca="false">B304*1000+C304</f>
        <v>9075</v>
      </c>
      <c r="B304" s="0" t="n">
        <v>9</v>
      </c>
      <c r="C304" s="0" t="n">
        <v>75</v>
      </c>
      <c r="D304" s="0" t="n">
        <v>0</v>
      </c>
      <c r="E304" s="0" t="n">
        <f aca="false">VLOOKUP(B304,'MSA-Lookup'!$H$2:$I$86,2)</f>
        <v>8720</v>
      </c>
      <c r="F304" s="0" t="n">
        <f aca="false">IF(C304&gt;1,IF(C304&lt;99,VLOOKUP(C304,'MSA-Lookup'!$H$1:$I$86,2),C304),C304)</f>
        <v>8780</v>
      </c>
      <c r="G304" s="0" t="n">
        <f aca="false">VLOOKUP(E304,'MSA-Lookup'!$AA$1:$AB$25,2)</f>
        <v>7362</v>
      </c>
      <c r="H304" s="0" t="n">
        <f aca="false">IF(C304&gt;1,IF(C304&lt;99,VLOOKUP(F304,'MSA-Lookup'!$AA$1:$AB$25,2),C304),C304)</f>
        <v>8780</v>
      </c>
    </row>
    <row r="305" customFormat="false" ht="12.75" hidden="false" customHeight="false" outlineLevel="0" collapsed="false">
      <c r="A305" s="0" t="n">
        <f aca="false">B305*1000+C305</f>
        <v>9079</v>
      </c>
      <c r="B305" s="0" t="n">
        <v>9</v>
      </c>
      <c r="C305" s="0" t="n">
        <v>79</v>
      </c>
      <c r="D305" s="0" t="n">
        <v>0</v>
      </c>
      <c r="E305" s="0" t="n">
        <f aca="false">VLOOKUP(B305,'MSA-Lookup'!$H$2:$I$86,2)</f>
        <v>8720</v>
      </c>
      <c r="F305" s="0" t="n">
        <f aca="false">IF(C305&gt;1,IF(C305&lt;99,VLOOKUP(C305,'MSA-Lookup'!$H$1:$I$86,2),C305),C305)</f>
        <v>680</v>
      </c>
      <c r="G305" s="0" t="n">
        <f aca="false">VLOOKUP(E305,'MSA-Lookup'!$AA$1:$AB$25,2)</f>
        <v>7362</v>
      </c>
      <c r="H305" s="0" t="n">
        <f aca="false">IF(C305&gt;1,IF(C305&lt;99,VLOOKUP(F305,'MSA-Lookup'!$AA$1:$AB$25,2),C305),C305)</f>
        <v>680</v>
      </c>
    </row>
    <row r="306" customFormat="false" ht="12.75" hidden="false" customHeight="false" outlineLevel="0" collapsed="false">
      <c r="A306" s="0" t="n">
        <f aca="false">B306*1000+C306</f>
        <v>9085</v>
      </c>
      <c r="B306" s="0" t="n">
        <v>9</v>
      </c>
      <c r="C306" s="0" t="n">
        <v>85</v>
      </c>
      <c r="D306" s="0" t="n">
        <v>0</v>
      </c>
      <c r="E306" s="0" t="n">
        <f aca="false">VLOOKUP(B306,'MSA-Lookup'!$H$2:$I$86,2)</f>
        <v>8720</v>
      </c>
      <c r="F306" s="0" t="n">
        <f aca="false">IF(C306&gt;1,IF(C306&lt;99,VLOOKUP(C306,'MSA-Lookup'!$H$1:$I$86,2),C306),C306)</f>
        <v>8120</v>
      </c>
      <c r="G306" s="0" t="n">
        <f aca="false">VLOOKUP(E306,'MSA-Lookup'!$AA$1:$AB$25,2)</f>
        <v>7362</v>
      </c>
      <c r="H306" s="0" t="n">
        <f aca="false">IF(C306&gt;1,IF(C306&lt;99,VLOOKUP(F306,'MSA-Lookup'!$AA$1:$AB$25,2),C306),C306)</f>
        <v>8120</v>
      </c>
    </row>
    <row r="307" customFormat="false" ht="12.75" hidden="false" customHeight="false" outlineLevel="0" collapsed="false">
      <c r="A307" s="0" t="n">
        <f aca="false">B307*1000+C307</f>
        <v>9999</v>
      </c>
      <c r="B307" s="0" t="n">
        <v>9</v>
      </c>
      <c r="C307" s="0" t="n">
        <v>999</v>
      </c>
      <c r="D307" s="0" t="n">
        <v>0</v>
      </c>
      <c r="E307" s="0" t="n">
        <f aca="false">VLOOKUP(B307,'MSA-Lookup'!$H$2:$I$86,2)</f>
        <v>8720</v>
      </c>
      <c r="F307" s="0" t="n">
        <f aca="false">IF(C307&gt;1,IF(C307&lt;99,VLOOKUP(C307,'MSA-Lookup'!$H$1:$I$86,2),C307),C307)</f>
        <v>999</v>
      </c>
      <c r="G307" s="0" t="n">
        <f aca="false">VLOOKUP(E307,'MSA-Lookup'!$AA$1:$AB$25,2)</f>
        <v>7362</v>
      </c>
      <c r="H307" s="0" t="n">
        <f aca="false">IF(C307&gt;1,IF(C307&lt;99,VLOOKUP(F307,'MSA-Lookup'!$AA$1:$AB$25,2),C307),C307)</f>
        <v>999</v>
      </c>
    </row>
    <row r="308" customFormat="false" ht="12.75" hidden="false" customHeight="false" outlineLevel="0" collapsed="false">
      <c r="A308" s="0" t="n">
        <f aca="false">B308*1000+C308</f>
        <v>10000</v>
      </c>
      <c r="B308" s="0" t="n">
        <v>10</v>
      </c>
      <c r="C308" s="0" t="n">
        <v>0</v>
      </c>
      <c r="D308" s="0" t="n">
        <v>75231</v>
      </c>
      <c r="E308" s="0" t="n">
        <f aca="false">VLOOKUP(B308,'MSA-Lookup'!$H$2:$I$86,2)</f>
        <v>6920</v>
      </c>
      <c r="F308" s="0" t="n">
        <f aca="false">IF(C308&gt;1,IF(C308&lt;99,VLOOKUP(C308,'MSA-Lookup'!$H$1:$I$86,2),C308),C308)</f>
        <v>0</v>
      </c>
      <c r="G308" s="0" t="n">
        <f aca="false">VLOOKUP(E308,'MSA-Lookup'!$AA$1:$AB$25,2)</f>
        <v>6920</v>
      </c>
      <c r="H308" s="0" t="n">
        <f aca="false">IF(C308&gt;1,IF(C308&lt;99,VLOOKUP(F308,'MSA-Lookup'!$AA$1:$AB$25,2),C308),C308)</f>
        <v>0</v>
      </c>
    </row>
    <row r="309" customFormat="false" ht="12.75" hidden="false" customHeight="false" outlineLevel="0" collapsed="false">
      <c r="A309" s="0" t="n">
        <f aca="false">B309*1000+C309</f>
        <v>10001</v>
      </c>
      <c r="B309" s="0" t="n">
        <v>10</v>
      </c>
      <c r="C309" s="0" t="n">
        <v>1</v>
      </c>
      <c r="D309" s="0" t="n">
        <v>65</v>
      </c>
      <c r="E309" s="0" t="n">
        <f aca="false">VLOOKUP(B309,'MSA-Lookup'!$H$2:$I$86,2)</f>
        <v>6920</v>
      </c>
      <c r="F309" s="0" t="n">
        <f aca="false">IF(C309&gt;1,IF(C309&lt;99,VLOOKUP(C309,'MSA-Lookup'!$H$1:$I$86,2),C309),C309)</f>
        <v>1</v>
      </c>
      <c r="G309" s="0" t="n">
        <f aca="false">VLOOKUP(E309,'MSA-Lookup'!$AA$1:$AB$25,2)</f>
        <v>6920</v>
      </c>
      <c r="H309" s="0" t="n">
        <f aca="false">IF(C309&gt;1,IF(C309&lt;99,VLOOKUP(F309,'MSA-Lookup'!$AA$1:$AB$25,2),C309),C309)</f>
        <v>1</v>
      </c>
    </row>
    <row r="310" customFormat="false" ht="12.75" hidden="false" customHeight="false" outlineLevel="0" collapsed="false">
      <c r="A310" s="0" t="n">
        <f aca="false">B310*1000+C310</f>
        <v>10002</v>
      </c>
      <c r="B310" s="0" t="n">
        <v>10</v>
      </c>
      <c r="C310" s="0" t="n">
        <v>2</v>
      </c>
      <c r="D310" s="0" t="n">
        <v>0</v>
      </c>
      <c r="E310" s="0" t="n">
        <f aca="false">VLOOKUP(B310,'MSA-Lookup'!$H$2:$I$86,2)</f>
        <v>6920</v>
      </c>
      <c r="F310" s="0" t="n">
        <f aca="false">IF(C310&gt;1,IF(C310&lt;99,VLOOKUP(C310,'MSA-Lookup'!$H$1:$I$86,2),C310),C310)</f>
        <v>9999</v>
      </c>
      <c r="G310" s="0" t="n">
        <f aca="false">VLOOKUP(E310,'MSA-Lookup'!$AA$1:$AB$25,2)</f>
        <v>6920</v>
      </c>
      <c r="H310" s="0" t="n">
        <f aca="false">IF(C310&gt;1,IF(C310&lt;99,VLOOKUP(F310,'MSA-Lookup'!$AA$1:$AB$25,2),C310),C310)</f>
        <v>9999</v>
      </c>
    </row>
    <row r="311" customFormat="false" ht="12.75" hidden="false" customHeight="false" outlineLevel="0" collapsed="false">
      <c r="A311" s="0" t="n">
        <f aca="false">B311*1000+C311</f>
        <v>10003</v>
      </c>
      <c r="B311" s="0" t="n">
        <v>10</v>
      </c>
      <c r="C311" s="0" t="n">
        <v>3</v>
      </c>
      <c r="D311" s="0" t="n">
        <v>221</v>
      </c>
      <c r="E311" s="0" t="n">
        <f aca="false">VLOOKUP(B311,'MSA-Lookup'!$H$2:$I$86,2)</f>
        <v>6920</v>
      </c>
      <c r="F311" s="0" t="n">
        <f aca="false">IF(C311&gt;1,IF(C311&lt;99,VLOOKUP(C311,'MSA-Lookup'!$H$1:$I$86,2),C311),C311)</f>
        <v>6690</v>
      </c>
      <c r="G311" s="0" t="n">
        <f aca="false">VLOOKUP(E311,'MSA-Lookup'!$AA$1:$AB$25,2)</f>
        <v>6920</v>
      </c>
      <c r="H311" s="0" t="n">
        <f aca="false">IF(C311&gt;1,IF(C311&lt;99,VLOOKUP(F311,'MSA-Lookup'!$AA$1:$AB$25,2),C311),C311)</f>
        <v>6690</v>
      </c>
    </row>
    <row r="312" customFormat="false" ht="12.75" hidden="false" customHeight="false" outlineLevel="0" collapsed="false">
      <c r="A312" s="0" t="n">
        <f aca="false">B312*1000+C312</f>
        <v>10004</v>
      </c>
      <c r="B312" s="0" t="n">
        <v>10</v>
      </c>
      <c r="C312" s="0" t="n">
        <v>4</v>
      </c>
      <c r="D312" s="0" t="n">
        <v>0</v>
      </c>
      <c r="E312" s="0" t="n">
        <f aca="false">VLOOKUP(B312,'MSA-Lookup'!$H$2:$I$86,2)</f>
        <v>6920</v>
      </c>
      <c r="F312" s="0" t="n">
        <f aca="false">IF(C312&gt;1,IF(C312&lt;99,VLOOKUP(C312,'MSA-Lookup'!$H$1:$I$86,2),C312),C312)</f>
        <v>9999</v>
      </c>
      <c r="G312" s="0" t="n">
        <f aca="false">VLOOKUP(E312,'MSA-Lookup'!$AA$1:$AB$25,2)</f>
        <v>6920</v>
      </c>
      <c r="H312" s="0" t="n">
        <f aca="false">IF(C312&gt;1,IF(C312&lt;99,VLOOKUP(F312,'MSA-Lookup'!$AA$1:$AB$25,2),C312),C312)</f>
        <v>9999</v>
      </c>
    </row>
    <row r="313" customFormat="false" ht="12.75" hidden="false" customHeight="false" outlineLevel="0" collapsed="false">
      <c r="A313" s="0" t="n">
        <f aca="false">B313*1000+C313</f>
        <v>10005</v>
      </c>
      <c r="B313" s="0" t="n">
        <v>10</v>
      </c>
      <c r="C313" s="0" t="n">
        <v>5</v>
      </c>
      <c r="D313" s="0" t="n">
        <v>182</v>
      </c>
      <c r="E313" s="0" t="n">
        <f aca="false">VLOOKUP(B313,'MSA-Lookup'!$H$2:$I$86,2)</f>
        <v>6920</v>
      </c>
      <c r="F313" s="0" t="n">
        <f aca="false">IF(C313&gt;1,IF(C313&lt;99,VLOOKUP(C313,'MSA-Lookup'!$H$1:$I$86,2),C313),C313)</f>
        <v>9999</v>
      </c>
      <c r="G313" s="0" t="n">
        <f aca="false">VLOOKUP(E313,'MSA-Lookup'!$AA$1:$AB$25,2)</f>
        <v>6920</v>
      </c>
      <c r="H313" s="0" t="n">
        <f aca="false">IF(C313&gt;1,IF(C313&lt;99,VLOOKUP(F313,'MSA-Lookup'!$AA$1:$AB$25,2),C313),C313)</f>
        <v>9999</v>
      </c>
    </row>
    <row r="314" customFormat="false" ht="12.75" hidden="false" customHeight="false" outlineLevel="0" collapsed="false">
      <c r="A314" s="0" t="n">
        <f aca="false">B314*1000+C314</f>
        <v>10006</v>
      </c>
      <c r="B314" s="0" t="n">
        <v>10</v>
      </c>
      <c r="C314" s="0" t="n">
        <v>6</v>
      </c>
      <c r="D314" s="0" t="n">
        <v>221</v>
      </c>
      <c r="E314" s="0" t="n">
        <f aca="false">VLOOKUP(B314,'MSA-Lookup'!$H$2:$I$86,2)</f>
        <v>6920</v>
      </c>
      <c r="F314" s="0" t="n">
        <f aca="false">IF(C314&gt;1,IF(C314&lt;99,VLOOKUP(C314,'MSA-Lookup'!$H$1:$I$86,2),C314),C314)</f>
        <v>1620</v>
      </c>
      <c r="G314" s="0" t="n">
        <f aca="false">VLOOKUP(E314,'MSA-Lookup'!$AA$1:$AB$25,2)</f>
        <v>6920</v>
      </c>
      <c r="H314" s="0" t="n">
        <f aca="false">IF(C314&gt;1,IF(C314&lt;99,VLOOKUP(F314,'MSA-Lookup'!$AA$1:$AB$25,2),C314),C314)</f>
        <v>1620</v>
      </c>
    </row>
    <row r="315" customFormat="false" ht="12.75" hidden="false" customHeight="false" outlineLevel="0" collapsed="false">
      <c r="A315" s="0" t="n">
        <f aca="false">B315*1000+C315</f>
        <v>10007</v>
      </c>
      <c r="B315" s="0" t="n">
        <v>10</v>
      </c>
      <c r="C315" s="0" t="n">
        <v>7</v>
      </c>
      <c r="D315" s="0" t="n">
        <v>0</v>
      </c>
      <c r="E315" s="0" t="n">
        <f aca="false">VLOOKUP(B315,'MSA-Lookup'!$H$2:$I$86,2)</f>
        <v>6920</v>
      </c>
      <c r="F315" s="0" t="n">
        <f aca="false">IF(C315&gt;1,IF(C315&lt;99,VLOOKUP(C315,'MSA-Lookup'!$H$1:$I$86,2),C315),C315)</f>
        <v>9999</v>
      </c>
      <c r="G315" s="0" t="n">
        <f aca="false">VLOOKUP(E315,'MSA-Lookup'!$AA$1:$AB$25,2)</f>
        <v>6920</v>
      </c>
      <c r="H315" s="0" t="n">
        <f aca="false">IF(C315&gt;1,IF(C315&lt;99,VLOOKUP(F315,'MSA-Lookup'!$AA$1:$AB$25,2),C315),C315)</f>
        <v>9999</v>
      </c>
    </row>
    <row r="316" customFormat="false" ht="12.75" hidden="false" customHeight="false" outlineLevel="0" collapsed="false">
      <c r="A316" s="0" t="n">
        <f aca="false">B316*1000+C316</f>
        <v>10008</v>
      </c>
      <c r="B316" s="0" t="n">
        <v>10</v>
      </c>
      <c r="C316" s="0" t="n">
        <v>8</v>
      </c>
      <c r="D316" s="0" t="n">
        <v>507</v>
      </c>
      <c r="E316" s="0" t="n">
        <f aca="false">VLOOKUP(B316,'MSA-Lookup'!$H$2:$I$86,2)</f>
        <v>6920</v>
      </c>
      <c r="F316" s="0" t="n">
        <f aca="false">IF(C316&gt;1,IF(C316&lt;99,VLOOKUP(C316,'MSA-Lookup'!$H$1:$I$86,2),C316),C316)</f>
        <v>9340</v>
      </c>
      <c r="G316" s="0" t="n">
        <f aca="false">VLOOKUP(E316,'MSA-Lookup'!$AA$1:$AB$25,2)</f>
        <v>6920</v>
      </c>
      <c r="H316" s="0" t="n">
        <f aca="false">IF(C316&gt;1,IF(C316&lt;99,VLOOKUP(F316,'MSA-Lookup'!$AA$1:$AB$25,2),C316),C316)</f>
        <v>9340</v>
      </c>
    </row>
    <row r="317" customFormat="false" ht="12.75" hidden="false" customHeight="false" outlineLevel="0" collapsed="false">
      <c r="A317" s="0" t="n">
        <f aca="false">B317*1000+C317</f>
        <v>10009</v>
      </c>
      <c r="B317" s="0" t="n">
        <v>10</v>
      </c>
      <c r="C317" s="0" t="n">
        <v>9</v>
      </c>
      <c r="D317" s="0" t="n">
        <v>169</v>
      </c>
      <c r="E317" s="0" t="n">
        <f aca="false">VLOOKUP(B317,'MSA-Lookup'!$H$2:$I$86,2)</f>
        <v>6920</v>
      </c>
      <c r="F317" s="0" t="n">
        <f aca="false">IF(C317&gt;1,IF(C317&lt;99,VLOOKUP(C317,'MSA-Lookup'!$H$1:$I$86,2),C317),C317)</f>
        <v>8720</v>
      </c>
      <c r="G317" s="0" t="n">
        <f aca="false">VLOOKUP(E317,'MSA-Lookup'!$AA$1:$AB$25,2)</f>
        <v>6920</v>
      </c>
      <c r="H317" s="0" t="n">
        <f aca="false">IF(C317&gt;1,IF(C317&lt;99,VLOOKUP(F317,'MSA-Lookup'!$AA$1:$AB$25,2),C317),C317)</f>
        <v>7362</v>
      </c>
    </row>
    <row r="318" customFormat="false" ht="12.75" hidden="false" customHeight="false" outlineLevel="0" collapsed="false">
      <c r="A318" s="0" t="n">
        <f aca="false">B318*1000+C318</f>
        <v>10010</v>
      </c>
      <c r="B318" s="0" t="n">
        <v>10</v>
      </c>
      <c r="C318" s="0" t="n">
        <v>10</v>
      </c>
      <c r="D318" s="0" t="n">
        <v>44408</v>
      </c>
      <c r="E318" s="0" t="n">
        <f aca="false">VLOOKUP(B318,'MSA-Lookup'!$H$2:$I$86,2)</f>
        <v>6920</v>
      </c>
      <c r="F318" s="0" t="n">
        <f aca="false">IF(C318&gt;1,IF(C318&lt;99,VLOOKUP(C318,'MSA-Lookup'!$H$1:$I$86,2),C318),C318)</f>
        <v>6920</v>
      </c>
      <c r="G318" s="0" t="n">
        <f aca="false">VLOOKUP(E318,'MSA-Lookup'!$AA$1:$AB$25,2)</f>
        <v>6920</v>
      </c>
      <c r="H318" s="0" t="n">
        <f aca="false">IF(C318&gt;1,IF(C318&lt;99,VLOOKUP(F318,'MSA-Lookup'!$AA$1:$AB$25,2),C318),C318)</f>
        <v>6920</v>
      </c>
    </row>
    <row r="319" customFormat="false" ht="12.75" hidden="false" customHeight="false" outlineLevel="0" collapsed="false">
      <c r="A319" s="0" t="n">
        <f aca="false">B319*1000+C319</f>
        <v>10011</v>
      </c>
      <c r="B319" s="0" t="n">
        <v>10</v>
      </c>
      <c r="C319" s="0" t="n">
        <v>11</v>
      </c>
      <c r="D319" s="0" t="n">
        <v>208</v>
      </c>
      <c r="E319" s="0" t="n">
        <f aca="false">VLOOKUP(B319,'MSA-Lookup'!$H$2:$I$86,2)</f>
        <v>6920</v>
      </c>
      <c r="F319" s="0" t="n">
        <f aca="false">IF(C319&gt;1,IF(C319&lt;99,VLOOKUP(C319,'MSA-Lookup'!$H$1:$I$86,2),C319),C319)</f>
        <v>6920</v>
      </c>
      <c r="G319" s="0" t="n">
        <f aca="false">VLOOKUP(E319,'MSA-Lookup'!$AA$1:$AB$25,2)</f>
        <v>6920</v>
      </c>
      <c r="H319" s="0" t="n">
        <f aca="false">IF(C319&gt;1,IF(C319&lt;99,VLOOKUP(F319,'MSA-Lookup'!$AA$1:$AB$25,2),C319),C319)</f>
        <v>6920</v>
      </c>
    </row>
    <row r="320" customFormat="false" ht="12.75" hidden="false" customHeight="false" outlineLevel="0" collapsed="false">
      <c r="A320" s="0" t="n">
        <f aca="false">B320*1000+C320</f>
        <v>10012</v>
      </c>
      <c r="B320" s="0" t="n">
        <v>10</v>
      </c>
      <c r="C320" s="0" t="n">
        <v>12</v>
      </c>
      <c r="D320" s="0" t="n">
        <v>195</v>
      </c>
      <c r="E320" s="0" t="n">
        <f aca="false">VLOOKUP(B320,'MSA-Lookup'!$H$2:$I$86,2)</f>
        <v>6920</v>
      </c>
      <c r="F320" s="0" t="n">
        <f aca="false">IF(C320&gt;1,IF(C320&lt;99,VLOOKUP(C320,'MSA-Lookup'!$H$1:$I$86,2),C320),C320)</f>
        <v>6920</v>
      </c>
      <c r="G320" s="0" t="n">
        <f aca="false">VLOOKUP(E320,'MSA-Lookup'!$AA$1:$AB$25,2)</f>
        <v>6920</v>
      </c>
      <c r="H320" s="0" t="n">
        <f aca="false">IF(C320&gt;1,IF(C320&lt;99,VLOOKUP(F320,'MSA-Lookup'!$AA$1:$AB$25,2),C320),C320)</f>
        <v>6920</v>
      </c>
    </row>
    <row r="321" customFormat="false" ht="12.75" hidden="false" customHeight="false" outlineLevel="0" collapsed="false">
      <c r="A321" s="0" t="n">
        <f aca="false">B321*1000+C321</f>
        <v>10013</v>
      </c>
      <c r="B321" s="0" t="n">
        <v>10</v>
      </c>
      <c r="C321" s="0" t="n">
        <v>13</v>
      </c>
      <c r="D321" s="0" t="n">
        <v>0</v>
      </c>
      <c r="E321" s="0" t="n">
        <f aca="false">VLOOKUP(B321,'MSA-Lookup'!$H$2:$I$86,2)</f>
        <v>6920</v>
      </c>
      <c r="F321" s="0" t="n">
        <f aca="false">IF(C321&gt;1,IF(C321&lt;99,VLOOKUP(C321,'MSA-Lookup'!$H$1:$I$86,2),C321),C321)</f>
        <v>7500</v>
      </c>
      <c r="G321" s="0" t="n">
        <f aca="false">VLOOKUP(E321,'MSA-Lookup'!$AA$1:$AB$25,2)</f>
        <v>6920</v>
      </c>
      <c r="H321" s="0" t="n">
        <f aca="false">IF(C321&gt;1,IF(C321&lt;99,VLOOKUP(F321,'MSA-Lookup'!$AA$1:$AB$25,2),C321),C321)</f>
        <v>7362</v>
      </c>
    </row>
    <row r="322" customFormat="false" ht="12.75" hidden="false" customHeight="false" outlineLevel="0" collapsed="false">
      <c r="A322" s="0" t="n">
        <f aca="false">B322*1000+C322</f>
        <v>10014</v>
      </c>
      <c r="B322" s="0" t="n">
        <v>10</v>
      </c>
      <c r="C322" s="0" t="n">
        <v>14</v>
      </c>
      <c r="D322" s="0" t="n">
        <v>0</v>
      </c>
      <c r="E322" s="0" t="n">
        <f aca="false">VLOOKUP(B322,'MSA-Lookup'!$H$2:$I$86,2)</f>
        <v>6920</v>
      </c>
      <c r="F322" s="0" t="n">
        <f aca="false">IF(C322&gt;1,IF(C322&lt;99,VLOOKUP(C322,'MSA-Lookup'!$H$1:$I$86,2),C322),C322)</f>
        <v>7500</v>
      </c>
      <c r="G322" s="0" t="n">
        <f aca="false">VLOOKUP(E322,'MSA-Lookup'!$AA$1:$AB$25,2)</f>
        <v>6920</v>
      </c>
      <c r="H322" s="0" t="n">
        <f aca="false">IF(C322&gt;1,IF(C322&lt;99,VLOOKUP(F322,'MSA-Lookup'!$AA$1:$AB$25,2),C322),C322)</f>
        <v>7362</v>
      </c>
    </row>
    <row r="323" customFormat="false" ht="12.75" hidden="false" customHeight="false" outlineLevel="0" collapsed="false">
      <c r="A323" s="0" t="n">
        <f aca="false">B323*1000+C323</f>
        <v>10015</v>
      </c>
      <c r="B323" s="0" t="n">
        <v>10</v>
      </c>
      <c r="C323" s="0" t="n">
        <v>15</v>
      </c>
      <c r="D323" s="0" t="n">
        <v>0</v>
      </c>
      <c r="E323" s="0" t="n">
        <f aca="false">VLOOKUP(B323,'MSA-Lookup'!$H$2:$I$86,2)</f>
        <v>6920</v>
      </c>
      <c r="F323" s="0" t="n">
        <f aca="false">IF(C323&gt;1,IF(C323&lt;99,VLOOKUP(C323,'MSA-Lookup'!$H$1:$I$86,2),C323),C323)</f>
        <v>7360</v>
      </c>
      <c r="G323" s="0" t="n">
        <f aca="false">VLOOKUP(E323,'MSA-Lookup'!$AA$1:$AB$25,2)</f>
        <v>6920</v>
      </c>
      <c r="H323" s="0" t="n">
        <f aca="false">IF(C323&gt;1,IF(C323&lt;99,VLOOKUP(F323,'MSA-Lookup'!$AA$1:$AB$25,2),C323),C323)</f>
        <v>7362</v>
      </c>
    </row>
    <row r="324" customFormat="false" ht="12.75" hidden="false" customHeight="false" outlineLevel="0" collapsed="false">
      <c r="A324" s="0" t="n">
        <f aca="false">B324*1000+C324</f>
        <v>10016</v>
      </c>
      <c r="B324" s="0" t="n">
        <v>10</v>
      </c>
      <c r="C324" s="0" t="n">
        <v>16</v>
      </c>
      <c r="D324" s="0" t="n">
        <v>2015</v>
      </c>
      <c r="E324" s="0" t="n">
        <f aca="false">VLOOKUP(B324,'MSA-Lookup'!$H$2:$I$86,2)</f>
        <v>6920</v>
      </c>
      <c r="F324" s="0" t="n">
        <f aca="false">IF(C324&gt;1,IF(C324&lt;99,VLOOKUP(C324,'MSA-Lookup'!$H$1:$I$86,2),C324),C324)</f>
        <v>8720</v>
      </c>
      <c r="G324" s="0" t="n">
        <f aca="false">VLOOKUP(E324,'MSA-Lookup'!$AA$1:$AB$25,2)</f>
        <v>6920</v>
      </c>
      <c r="H324" s="0" t="n">
        <f aca="false">IF(C324&gt;1,IF(C324&lt;99,VLOOKUP(F324,'MSA-Lookup'!$AA$1:$AB$25,2),C324),C324)</f>
        <v>7362</v>
      </c>
    </row>
    <row r="325" customFormat="false" ht="12.75" hidden="false" customHeight="false" outlineLevel="0" collapsed="false">
      <c r="A325" s="0" t="n">
        <f aca="false">B325*1000+C325</f>
        <v>10017</v>
      </c>
      <c r="B325" s="0" t="n">
        <v>10</v>
      </c>
      <c r="C325" s="0" t="n">
        <v>17</v>
      </c>
      <c r="D325" s="0" t="n">
        <v>0</v>
      </c>
      <c r="E325" s="0" t="n">
        <f aca="false">VLOOKUP(B325,'MSA-Lookup'!$H$2:$I$86,2)</f>
        <v>6920</v>
      </c>
      <c r="F325" s="0" t="n">
        <f aca="false">IF(C325&gt;1,IF(C325&lt;99,VLOOKUP(C325,'MSA-Lookup'!$H$1:$I$86,2),C325),C325)</f>
        <v>5775</v>
      </c>
      <c r="G325" s="0" t="n">
        <f aca="false">VLOOKUP(E325,'MSA-Lookup'!$AA$1:$AB$25,2)</f>
        <v>6920</v>
      </c>
      <c r="H325" s="0" t="n">
        <f aca="false">IF(C325&gt;1,IF(C325&lt;99,VLOOKUP(F325,'MSA-Lookup'!$AA$1:$AB$25,2),C325),C325)</f>
        <v>7362</v>
      </c>
    </row>
    <row r="326" customFormat="false" ht="12.75" hidden="false" customHeight="false" outlineLevel="0" collapsed="false">
      <c r="A326" s="0" t="n">
        <f aca="false">B326*1000+C326</f>
        <v>10018</v>
      </c>
      <c r="B326" s="0" t="n">
        <v>10</v>
      </c>
      <c r="C326" s="0" t="n">
        <v>18</v>
      </c>
      <c r="D326" s="0" t="n">
        <v>299</v>
      </c>
      <c r="E326" s="0" t="n">
        <f aca="false">VLOOKUP(B326,'MSA-Lookup'!$H$2:$I$86,2)</f>
        <v>6920</v>
      </c>
      <c r="F326" s="0" t="n">
        <f aca="false">IF(C326&gt;1,IF(C326&lt;99,VLOOKUP(C326,'MSA-Lookup'!$H$1:$I$86,2),C326),C326)</f>
        <v>5775</v>
      </c>
      <c r="G326" s="0" t="n">
        <f aca="false">VLOOKUP(E326,'MSA-Lookup'!$AA$1:$AB$25,2)</f>
        <v>6920</v>
      </c>
      <c r="H326" s="0" t="n">
        <f aca="false">IF(C326&gt;1,IF(C326&lt;99,VLOOKUP(F326,'MSA-Lookup'!$AA$1:$AB$25,2),C326),C326)</f>
        <v>7362</v>
      </c>
    </row>
    <row r="327" customFormat="false" ht="12.75" hidden="false" customHeight="false" outlineLevel="0" collapsed="false">
      <c r="A327" s="0" t="n">
        <f aca="false">B327*1000+C327</f>
        <v>10019</v>
      </c>
      <c r="B327" s="0" t="n">
        <v>10</v>
      </c>
      <c r="C327" s="0" t="n">
        <v>19</v>
      </c>
      <c r="D327" s="0" t="n">
        <v>0</v>
      </c>
      <c r="E327" s="0" t="n">
        <f aca="false">VLOOKUP(B327,'MSA-Lookup'!$H$2:$I$86,2)</f>
        <v>6920</v>
      </c>
      <c r="F327" s="0" t="n">
        <f aca="false">IF(C327&gt;1,IF(C327&lt;99,VLOOKUP(C327,'MSA-Lookup'!$H$1:$I$86,2),C327),C327)</f>
        <v>7360</v>
      </c>
      <c r="G327" s="0" t="n">
        <f aca="false">VLOOKUP(E327,'MSA-Lookup'!$AA$1:$AB$25,2)</f>
        <v>6920</v>
      </c>
      <c r="H327" s="0" t="n">
        <f aca="false">IF(C327&gt;1,IF(C327&lt;99,VLOOKUP(F327,'MSA-Lookup'!$AA$1:$AB$25,2),C327),C327)</f>
        <v>7362</v>
      </c>
    </row>
    <row r="328" customFormat="false" ht="12.75" hidden="false" customHeight="false" outlineLevel="0" collapsed="false">
      <c r="A328" s="0" t="n">
        <f aca="false">B328*1000+C328</f>
        <v>10020</v>
      </c>
      <c r="B328" s="0" t="n">
        <v>10</v>
      </c>
      <c r="C328" s="0" t="n">
        <v>20</v>
      </c>
      <c r="D328" s="0" t="n">
        <v>221</v>
      </c>
      <c r="E328" s="0" t="n">
        <f aca="false">VLOOKUP(B328,'MSA-Lookup'!$H$2:$I$86,2)</f>
        <v>6920</v>
      </c>
      <c r="F328" s="0" t="n">
        <f aca="false">IF(C328&gt;1,IF(C328&lt;99,VLOOKUP(C328,'MSA-Lookup'!$H$1:$I$86,2),C328),C328)</f>
        <v>5775</v>
      </c>
      <c r="G328" s="0" t="n">
        <f aca="false">VLOOKUP(E328,'MSA-Lookup'!$AA$1:$AB$25,2)</f>
        <v>6920</v>
      </c>
      <c r="H328" s="0" t="n">
        <f aca="false">IF(C328&gt;1,IF(C328&lt;99,VLOOKUP(F328,'MSA-Lookup'!$AA$1:$AB$25,2),C328),C328)</f>
        <v>7362</v>
      </c>
    </row>
    <row r="329" customFormat="false" ht="12.75" hidden="false" customHeight="false" outlineLevel="0" collapsed="false">
      <c r="A329" s="0" t="n">
        <f aca="false">B329*1000+C329</f>
        <v>10021</v>
      </c>
      <c r="B329" s="0" t="n">
        <v>10</v>
      </c>
      <c r="C329" s="0" t="n">
        <v>21</v>
      </c>
      <c r="D329" s="0" t="n">
        <v>91</v>
      </c>
      <c r="E329" s="0" t="n">
        <f aca="false">VLOOKUP(B329,'MSA-Lookup'!$H$2:$I$86,2)</f>
        <v>6920</v>
      </c>
      <c r="F329" s="0" t="n">
        <f aca="false">IF(C329&gt;1,IF(C329&lt;99,VLOOKUP(C329,'MSA-Lookup'!$H$1:$I$86,2),C329),C329)</f>
        <v>5775</v>
      </c>
      <c r="G329" s="0" t="n">
        <f aca="false">VLOOKUP(E329,'MSA-Lookup'!$AA$1:$AB$25,2)</f>
        <v>6920</v>
      </c>
      <c r="H329" s="0" t="n">
        <f aca="false">IF(C329&gt;1,IF(C329&lt;99,VLOOKUP(F329,'MSA-Lookup'!$AA$1:$AB$25,2),C329),C329)</f>
        <v>7362</v>
      </c>
    </row>
    <row r="330" customFormat="false" ht="12.75" hidden="false" customHeight="false" outlineLevel="0" collapsed="false">
      <c r="A330" s="0" t="n">
        <f aca="false">B330*1000+C330</f>
        <v>10022</v>
      </c>
      <c r="B330" s="0" t="n">
        <v>10</v>
      </c>
      <c r="C330" s="0" t="n">
        <v>22</v>
      </c>
      <c r="D330" s="0" t="n">
        <v>78</v>
      </c>
      <c r="E330" s="0" t="n">
        <f aca="false">VLOOKUP(B330,'MSA-Lookup'!$H$2:$I$86,2)</f>
        <v>6920</v>
      </c>
      <c r="F330" s="0" t="n">
        <f aca="false">IF(C330&gt;1,IF(C330&lt;99,VLOOKUP(C330,'MSA-Lookup'!$H$1:$I$86,2),C330),C330)</f>
        <v>7360</v>
      </c>
      <c r="G330" s="0" t="n">
        <f aca="false">VLOOKUP(E330,'MSA-Lookup'!$AA$1:$AB$25,2)</f>
        <v>6920</v>
      </c>
      <c r="H330" s="0" t="n">
        <f aca="false">IF(C330&gt;1,IF(C330&lt;99,VLOOKUP(F330,'MSA-Lookup'!$AA$1:$AB$25,2),C330),C330)</f>
        <v>7362</v>
      </c>
    </row>
    <row r="331" customFormat="false" ht="12.75" hidden="false" customHeight="false" outlineLevel="0" collapsed="false">
      <c r="A331" s="0" t="n">
        <f aca="false">B331*1000+C331</f>
        <v>10023</v>
      </c>
      <c r="B331" s="0" t="n">
        <v>10</v>
      </c>
      <c r="C331" s="0" t="n">
        <v>23</v>
      </c>
      <c r="D331" s="0" t="n">
        <v>351</v>
      </c>
      <c r="E331" s="0" t="n">
        <f aca="false">VLOOKUP(B331,'MSA-Lookup'!$H$2:$I$86,2)</f>
        <v>6920</v>
      </c>
      <c r="F331" s="0" t="n">
        <f aca="false">IF(C331&gt;1,IF(C331&lt;99,VLOOKUP(C331,'MSA-Lookup'!$H$1:$I$86,2),C331),C331)</f>
        <v>8120</v>
      </c>
      <c r="G331" s="0" t="n">
        <f aca="false">VLOOKUP(E331,'MSA-Lookup'!$AA$1:$AB$25,2)</f>
        <v>6920</v>
      </c>
      <c r="H331" s="0" t="n">
        <f aca="false">IF(C331&gt;1,IF(C331&lt;99,VLOOKUP(F331,'MSA-Lookup'!$AA$1:$AB$25,2),C331),C331)</f>
        <v>8120</v>
      </c>
    </row>
    <row r="332" customFormat="false" ht="12.75" hidden="false" customHeight="false" outlineLevel="0" collapsed="false">
      <c r="A332" s="0" t="n">
        <f aca="false">B332*1000+C332</f>
        <v>10024</v>
      </c>
      <c r="B332" s="0" t="n">
        <v>10</v>
      </c>
      <c r="C332" s="0" t="n">
        <v>24</v>
      </c>
      <c r="D332" s="0" t="n">
        <v>117</v>
      </c>
      <c r="E332" s="0" t="n">
        <f aca="false">VLOOKUP(B332,'MSA-Lookup'!$H$2:$I$86,2)</f>
        <v>6920</v>
      </c>
      <c r="F332" s="0" t="n">
        <f aca="false">IF(C332&gt;1,IF(C332&lt;99,VLOOKUP(C332,'MSA-Lookup'!$H$1:$I$86,2),C332),C332)</f>
        <v>5170</v>
      </c>
      <c r="G332" s="0" t="n">
        <f aca="false">VLOOKUP(E332,'MSA-Lookup'!$AA$1:$AB$25,2)</f>
        <v>6920</v>
      </c>
      <c r="H332" s="0" t="n">
        <f aca="false">IF(C332&gt;1,IF(C332&lt;99,VLOOKUP(F332,'MSA-Lookup'!$AA$1:$AB$25,2),C332),C332)</f>
        <v>5170</v>
      </c>
    </row>
    <row r="333" customFormat="false" ht="12.75" hidden="false" customHeight="false" outlineLevel="0" collapsed="false">
      <c r="A333" s="0" t="n">
        <f aca="false">B333*1000+C333</f>
        <v>10025</v>
      </c>
      <c r="B333" s="0" t="n">
        <v>10</v>
      </c>
      <c r="C333" s="0" t="n">
        <v>25</v>
      </c>
      <c r="D333" s="0" t="n">
        <v>0</v>
      </c>
      <c r="E333" s="0" t="n">
        <f aca="false">VLOOKUP(B333,'MSA-Lookup'!$H$2:$I$86,2)</f>
        <v>6920</v>
      </c>
      <c r="F333" s="0" t="n">
        <f aca="false">IF(C333&gt;1,IF(C333&lt;99,VLOOKUP(C333,'MSA-Lookup'!$H$1:$I$86,2),C333),C333)</f>
        <v>5170</v>
      </c>
      <c r="G333" s="0" t="n">
        <f aca="false">VLOOKUP(E333,'MSA-Lookup'!$AA$1:$AB$25,2)</f>
        <v>6920</v>
      </c>
      <c r="H333" s="0" t="n">
        <f aca="false">IF(C333&gt;1,IF(C333&lt;99,VLOOKUP(F333,'MSA-Lookup'!$AA$1:$AB$25,2),C333),C333)</f>
        <v>5170</v>
      </c>
    </row>
    <row r="334" customFormat="false" ht="12.75" hidden="false" customHeight="false" outlineLevel="0" collapsed="false">
      <c r="A334" s="0" t="n">
        <f aca="false">B334*1000+C334</f>
        <v>10026</v>
      </c>
      <c r="B334" s="0" t="n">
        <v>10</v>
      </c>
      <c r="C334" s="0" t="n">
        <v>26</v>
      </c>
      <c r="D334" s="0" t="n">
        <v>117</v>
      </c>
      <c r="E334" s="0" t="n">
        <f aca="false">VLOOKUP(B334,'MSA-Lookup'!$H$2:$I$86,2)</f>
        <v>6920</v>
      </c>
      <c r="F334" s="0" t="n">
        <f aca="false">IF(C334&gt;1,IF(C334&lt;99,VLOOKUP(C334,'MSA-Lookup'!$H$1:$I$86,2),C334),C334)</f>
        <v>9999</v>
      </c>
      <c r="G334" s="0" t="n">
        <f aca="false">VLOOKUP(E334,'MSA-Lookup'!$AA$1:$AB$25,2)</f>
        <v>6920</v>
      </c>
      <c r="H334" s="0" t="n">
        <f aca="false">IF(C334&gt;1,IF(C334&lt;99,VLOOKUP(F334,'MSA-Lookup'!$AA$1:$AB$25,2),C334),C334)</f>
        <v>9999</v>
      </c>
    </row>
    <row r="335" customFormat="false" ht="12.75" hidden="false" customHeight="false" outlineLevel="0" collapsed="false">
      <c r="A335" s="0" t="n">
        <f aca="false">B335*1000+C335</f>
        <v>10028</v>
      </c>
      <c r="B335" s="0" t="n">
        <v>10</v>
      </c>
      <c r="C335" s="0" t="n">
        <v>28</v>
      </c>
      <c r="D335" s="0" t="n">
        <v>13039</v>
      </c>
      <c r="E335" s="0" t="n">
        <f aca="false">VLOOKUP(B335,'MSA-Lookup'!$H$2:$I$86,2)</f>
        <v>6920</v>
      </c>
      <c r="F335" s="0" t="n">
        <f aca="false">IF(C335&gt;1,IF(C335&lt;99,VLOOKUP(C335,'MSA-Lookup'!$H$1:$I$86,2),C335),C335)</f>
        <v>6920</v>
      </c>
      <c r="G335" s="0" t="n">
        <f aca="false">VLOOKUP(E335,'MSA-Lookup'!$AA$1:$AB$25,2)</f>
        <v>6920</v>
      </c>
      <c r="H335" s="0" t="n">
        <f aca="false">IF(C335&gt;1,IF(C335&lt;99,VLOOKUP(F335,'MSA-Lookup'!$AA$1:$AB$25,2),C335),C335)</f>
        <v>6920</v>
      </c>
    </row>
    <row r="336" customFormat="false" ht="12.75" hidden="false" customHeight="false" outlineLevel="0" collapsed="false">
      <c r="A336" s="0" t="n">
        <f aca="false">B336*1000+C336</f>
        <v>10029</v>
      </c>
      <c r="B336" s="0" t="n">
        <v>10</v>
      </c>
      <c r="C336" s="0" t="n">
        <v>29</v>
      </c>
      <c r="D336" s="0" t="n">
        <v>4069</v>
      </c>
      <c r="E336" s="0" t="n">
        <f aca="false">VLOOKUP(B336,'MSA-Lookup'!$H$2:$I$86,2)</f>
        <v>6920</v>
      </c>
      <c r="F336" s="0" t="n">
        <f aca="false">IF(C336&gt;1,IF(C336&lt;99,VLOOKUP(C336,'MSA-Lookup'!$H$1:$I$86,2),C336),C336)</f>
        <v>6920</v>
      </c>
      <c r="G336" s="0" t="n">
        <f aca="false">VLOOKUP(E336,'MSA-Lookup'!$AA$1:$AB$25,2)</f>
        <v>6920</v>
      </c>
      <c r="H336" s="0" t="n">
        <f aca="false">IF(C336&gt;1,IF(C336&lt;99,VLOOKUP(F336,'MSA-Lookup'!$AA$1:$AB$25,2),C336),C336)</f>
        <v>6920</v>
      </c>
    </row>
    <row r="337" customFormat="false" ht="12.75" hidden="false" customHeight="false" outlineLevel="0" collapsed="false">
      <c r="A337" s="0" t="n">
        <f aca="false">B337*1000+C337</f>
        <v>10033</v>
      </c>
      <c r="B337" s="0" t="n">
        <v>10</v>
      </c>
      <c r="C337" s="0" t="n">
        <v>33</v>
      </c>
      <c r="D337" s="0" t="n">
        <v>0</v>
      </c>
      <c r="E337" s="0" t="n">
        <f aca="false">VLOOKUP(B337,'MSA-Lookup'!$H$2:$I$86,2)</f>
        <v>6920</v>
      </c>
      <c r="F337" s="0" t="n">
        <f aca="false">IF(C337&gt;1,IF(C337&lt;99,VLOOKUP(C337,'MSA-Lookup'!$H$1:$I$86,2),C337),C337)</f>
        <v>7320</v>
      </c>
      <c r="G337" s="0" t="n">
        <f aca="false">VLOOKUP(E337,'MSA-Lookup'!$AA$1:$AB$25,2)</f>
        <v>6920</v>
      </c>
      <c r="H337" s="0" t="n">
        <f aca="false">IF(C337&gt;1,IF(C337&lt;99,VLOOKUP(F337,'MSA-Lookup'!$AA$1:$AB$25,2),C337),C337)</f>
        <v>7320</v>
      </c>
    </row>
    <row r="338" customFormat="false" ht="12.75" hidden="false" customHeight="false" outlineLevel="0" collapsed="false">
      <c r="A338" s="0" t="n">
        <f aca="false">B338*1000+C338</f>
        <v>10034</v>
      </c>
      <c r="B338" s="0" t="n">
        <v>10</v>
      </c>
      <c r="C338" s="0" t="n">
        <v>34</v>
      </c>
      <c r="D338" s="0" t="n">
        <v>0</v>
      </c>
      <c r="E338" s="0" t="n">
        <f aca="false">VLOOKUP(B338,'MSA-Lookup'!$H$2:$I$86,2)</f>
        <v>6920</v>
      </c>
      <c r="F338" s="0" t="n">
        <f aca="false">IF(C338&gt;1,IF(C338&lt;99,VLOOKUP(C338,'MSA-Lookup'!$H$1:$I$86,2),C338),C338)</f>
        <v>7320</v>
      </c>
      <c r="G338" s="0" t="n">
        <f aca="false">VLOOKUP(E338,'MSA-Lookup'!$AA$1:$AB$25,2)</f>
        <v>6920</v>
      </c>
      <c r="H338" s="0" t="n">
        <f aca="false">IF(C338&gt;1,IF(C338&lt;99,VLOOKUP(F338,'MSA-Lookup'!$AA$1:$AB$25,2),C338),C338)</f>
        <v>7320</v>
      </c>
    </row>
    <row r="339" customFormat="false" ht="12.75" hidden="false" customHeight="false" outlineLevel="0" collapsed="false">
      <c r="A339" s="0" t="n">
        <f aca="false">B339*1000+C339</f>
        <v>10035</v>
      </c>
      <c r="B339" s="0" t="n">
        <v>10</v>
      </c>
      <c r="C339" s="0" t="n">
        <v>35</v>
      </c>
      <c r="D339" s="0" t="n">
        <v>0</v>
      </c>
      <c r="E339" s="0" t="n">
        <f aca="false">VLOOKUP(B339,'MSA-Lookup'!$H$2:$I$86,2)</f>
        <v>6920</v>
      </c>
      <c r="F339" s="0" t="n">
        <f aca="false">IF(C339&gt;1,IF(C339&lt;99,VLOOKUP(C339,'MSA-Lookup'!$H$1:$I$86,2),C339),C339)</f>
        <v>7320</v>
      </c>
      <c r="G339" s="0" t="n">
        <f aca="false">VLOOKUP(E339,'MSA-Lookup'!$AA$1:$AB$25,2)</f>
        <v>6920</v>
      </c>
      <c r="H339" s="0" t="n">
        <f aca="false">IF(C339&gt;1,IF(C339&lt;99,VLOOKUP(F339,'MSA-Lookup'!$AA$1:$AB$25,2),C339),C339)</f>
        <v>7320</v>
      </c>
    </row>
    <row r="340" customFormat="false" ht="12.75" hidden="false" customHeight="false" outlineLevel="0" collapsed="false">
      <c r="A340" s="0" t="n">
        <f aca="false">B340*1000+C340</f>
        <v>10037</v>
      </c>
      <c r="B340" s="0" t="n">
        <v>10</v>
      </c>
      <c r="C340" s="0" t="n">
        <v>37</v>
      </c>
      <c r="D340" s="0" t="n">
        <v>0</v>
      </c>
      <c r="E340" s="0" t="n">
        <f aca="false">VLOOKUP(B340,'MSA-Lookup'!$H$2:$I$86,2)</f>
        <v>6920</v>
      </c>
      <c r="F340" s="0" t="n">
        <f aca="false">IF(C340&gt;1,IF(C340&lt;99,VLOOKUP(C340,'MSA-Lookup'!$H$1:$I$86,2),C340),C340)</f>
        <v>7320</v>
      </c>
      <c r="G340" s="0" t="n">
        <f aca="false">VLOOKUP(E340,'MSA-Lookup'!$AA$1:$AB$25,2)</f>
        <v>6920</v>
      </c>
      <c r="H340" s="0" t="n">
        <f aca="false">IF(C340&gt;1,IF(C340&lt;99,VLOOKUP(F340,'MSA-Lookup'!$AA$1:$AB$25,2),C340),C340)</f>
        <v>7320</v>
      </c>
    </row>
    <row r="341" customFormat="false" ht="12.75" hidden="false" customHeight="false" outlineLevel="0" collapsed="false">
      <c r="A341" s="0" t="n">
        <f aca="false">B341*1000+C341</f>
        <v>10039</v>
      </c>
      <c r="B341" s="0" t="n">
        <v>10</v>
      </c>
      <c r="C341" s="0" t="n">
        <v>39</v>
      </c>
      <c r="D341" s="0" t="n">
        <v>0</v>
      </c>
      <c r="E341" s="0" t="n">
        <f aca="false">VLOOKUP(B341,'MSA-Lookup'!$H$2:$I$86,2)</f>
        <v>6920</v>
      </c>
      <c r="F341" s="0" t="n">
        <f aca="false">IF(C341&gt;1,IF(C341&lt;99,VLOOKUP(C341,'MSA-Lookup'!$H$1:$I$86,2),C341),C341)</f>
        <v>7120</v>
      </c>
      <c r="G341" s="0" t="n">
        <f aca="false">VLOOKUP(E341,'MSA-Lookup'!$AA$1:$AB$25,2)</f>
        <v>6920</v>
      </c>
      <c r="H341" s="0" t="n">
        <f aca="false">IF(C341&gt;1,IF(C341&lt;99,VLOOKUP(F341,'MSA-Lookup'!$AA$1:$AB$25,2),C341),C341)</f>
        <v>7120</v>
      </c>
    </row>
    <row r="342" customFormat="false" ht="12.75" hidden="false" customHeight="false" outlineLevel="0" collapsed="false">
      <c r="A342" s="0" t="n">
        <f aca="false">B342*1000+C342</f>
        <v>10040</v>
      </c>
      <c r="B342" s="0" t="n">
        <v>10</v>
      </c>
      <c r="C342" s="0" t="n">
        <v>40</v>
      </c>
      <c r="D342" s="0" t="n">
        <v>0</v>
      </c>
      <c r="E342" s="0" t="n">
        <f aca="false">VLOOKUP(B342,'MSA-Lookup'!$H$2:$I$86,2)</f>
        <v>6920</v>
      </c>
      <c r="F342" s="0" t="n">
        <f aca="false">IF(C342&gt;1,IF(C342&lt;99,VLOOKUP(C342,'MSA-Lookup'!$H$1:$I$86,2),C342),C342)</f>
        <v>2840</v>
      </c>
      <c r="G342" s="0" t="n">
        <f aca="false">VLOOKUP(E342,'MSA-Lookup'!$AA$1:$AB$25,2)</f>
        <v>6920</v>
      </c>
      <c r="H342" s="0" t="n">
        <f aca="false">IF(C342&gt;1,IF(C342&lt;99,VLOOKUP(F342,'MSA-Lookup'!$AA$1:$AB$25,2),C342),C342)</f>
        <v>2840</v>
      </c>
    </row>
    <row r="343" customFormat="false" ht="12.75" hidden="false" customHeight="false" outlineLevel="0" collapsed="false">
      <c r="A343" s="0" t="n">
        <f aca="false">B343*1000+C343</f>
        <v>10041</v>
      </c>
      <c r="B343" s="0" t="n">
        <v>10</v>
      </c>
      <c r="C343" s="0" t="n">
        <v>41</v>
      </c>
      <c r="D343" s="0" t="n">
        <v>0</v>
      </c>
      <c r="E343" s="0" t="n">
        <f aca="false">VLOOKUP(B343,'MSA-Lookup'!$H$2:$I$86,2)</f>
        <v>6920</v>
      </c>
      <c r="F343" s="0" t="n">
        <f aca="false">IF(C343&gt;1,IF(C343&lt;99,VLOOKUP(C343,'MSA-Lookup'!$H$1:$I$86,2),C343),C343)</f>
        <v>2840</v>
      </c>
      <c r="G343" s="0" t="n">
        <f aca="false">VLOOKUP(E343,'MSA-Lookup'!$AA$1:$AB$25,2)</f>
        <v>6920</v>
      </c>
      <c r="H343" s="0" t="n">
        <f aca="false">IF(C343&gt;1,IF(C343&lt;99,VLOOKUP(F343,'MSA-Lookup'!$AA$1:$AB$25,2),C343),C343)</f>
        <v>2840</v>
      </c>
    </row>
    <row r="344" customFormat="false" ht="12.75" hidden="false" customHeight="false" outlineLevel="0" collapsed="false">
      <c r="A344" s="0" t="n">
        <f aca="false">B344*1000+C344</f>
        <v>10049</v>
      </c>
      <c r="B344" s="0" t="n">
        <v>10</v>
      </c>
      <c r="C344" s="0" t="n">
        <v>49</v>
      </c>
      <c r="D344" s="0" t="n">
        <v>65</v>
      </c>
      <c r="E344" s="0" t="n">
        <f aca="false">VLOOKUP(B344,'MSA-Lookup'!$H$2:$I$86,2)</f>
        <v>6920</v>
      </c>
      <c r="F344" s="0" t="n">
        <f aca="false">IF(C344&gt;1,IF(C344&lt;99,VLOOKUP(C344,'MSA-Lookup'!$H$1:$I$86,2),C344),C344)</f>
        <v>7400</v>
      </c>
      <c r="G344" s="0" t="n">
        <f aca="false">VLOOKUP(E344,'MSA-Lookup'!$AA$1:$AB$25,2)</f>
        <v>6920</v>
      </c>
      <c r="H344" s="0" t="n">
        <f aca="false">IF(C344&gt;1,IF(C344&lt;99,VLOOKUP(F344,'MSA-Lookup'!$AA$1:$AB$25,2),C344),C344)</f>
        <v>7362</v>
      </c>
    </row>
    <row r="345" customFormat="false" ht="12.75" hidden="false" customHeight="false" outlineLevel="0" collapsed="false">
      <c r="A345" s="0" t="n">
        <f aca="false">B345*1000+C345</f>
        <v>10050</v>
      </c>
      <c r="B345" s="0" t="n">
        <v>10</v>
      </c>
      <c r="C345" s="0" t="n">
        <v>50</v>
      </c>
      <c r="D345" s="0" t="n">
        <v>0</v>
      </c>
      <c r="E345" s="0" t="n">
        <f aca="false">VLOOKUP(B345,'MSA-Lookup'!$H$2:$I$86,2)</f>
        <v>6920</v>
      </c>
      <c r="F345" s="0" t="n">
        <f aca="false">IF(C345&gt;1,IF(C345&lt;99,VLOOKUP(C345,'MSA-Lookup'!$H$1:$I$86,2),C345),C345)</f>
        <v>7400</v>
      </c>
      <c r="G345" s="0" t="n">
        <f aca="false">VLOOKUP(E345,'MSA-Lookup'!$AA$1:$AB$25,2)</f>
        <v>6920</v>
      </c>
      <c r="H345" s="0" t="n">
        <f aca="false">IF(C345&gt;1,IF(C345&lt;99,VLOOKUP(F345,'MSA-Lookup'!$AA$1:$AB$25,2),C345),C345)</f>
        <v>7362</v>
      </c>
    </row>
    <row r="346" customFormat="false" ht="12.75" hidden="false" customHeight="false" outlineLevel="0" collapsed="false">
      <c r="A346" s="0" t="n">
        <f aca="false">B346*1000+C346</f>
        <v>10051</v>
      </c>
      <c r="B346" s="0" t="n">
        <v>10</v>
      </c>
      <c r="C346" s="0" t="n">
        <v>51</v>
      </c>
      <c r="D346" s="0" t="n">
        <v>0</v>
      </c>
      <c r="E346" s="0" t="n">
        <f aca="false">VLOOKUP(B346,'MSA-Lookup'!$H$2:$I$86,2)</f>
        <v>6920</v>
      </c>
      <c r="F346" s="0" t="n">
        <f aca="false">IF(C346&gt;1,IF(C346&lt;99,VLOOKUP(C346,'MSA-Lookup'!$H$1:$I$86,2),C346),C346)</f>
        <v>7400</v>
      </c>
      <c r="G346" s="0" t="n">
        <f aca="false">VLOOKUP(E346,'MSA-Lookup'!$AA$1:$AB$25,2)</f>
        <v>6920</v>
      </c>
      <c r="H346" s="0" t="n">
        <f aca="false">IF(C346&gt;1,IF(C346&lt;99,VLOOKUP(F346,'MSA-Lookup'!$AA$1:$AB$25,2),C346),C346)</f>
        <v>7362</v>
      </c>
    </row>
    <row r="347" customFormat="false" ht="12.75" hidden="false" customHeight="false" outlineLevel="0" collapsed="false">
      <c r="A347" s="0" t="n">
        <f aca="false">B347*1000+C347</f>
        <v>10053</v>
      </c>
      <c r="B347" s="0" t="n">
        <v>10</v>
      </c>
      <c r="C347" s="0" t="n">
        <v>53</v>
      </c>
      <c r="D347" s="0" t="n">
        <v>0</v>
      </c>
      <c r="E347" s="0" t="n">
        <f aca="false">VLOOKUP(B347,'MSA-Lookup'!$H$2:$I$86,2)</f>
        <v>6920</v>
      </c>
      <c r="F347" s="0" t="n">
        <f aca="false">IF(C347&gt;1,IF(C347&lt;99,VLOOKUP(C347,'MSA-Lookup'!$H$1:$I$86,2),C347),C347)</f>
        <v>4480</v>
      </c>
      <c r="G347" s="0" t="n">
        <f aca="false">VLOOKUP(E347,'MSA-Lookup'!$AA$1:$AB$25,2)</f>
        <v>6920</v>
      </c>
      <c r="H347" s="0" t="n">
        <f aca="false">IF(C347&gt;1,IF(C347&lt;99,VLOOKUP(F347,'MSA-Lookup'!$AA$1:$AB$25,2),C347),C347)</f>
        <v>4472</v>
      </c>
    </row>
    <row r="348" customFormat="false" ht="12.75" hidden="false" customHeight="false" outlineLevel="0" collapsed="false">
      <c r="A348" s="0" t="n">
        <f aca="false">B348*1000+C348</f>
        <v>10064</v>
      </c>
      <c r="B348" s="0" t="n">
        <v>10</v>
      </c>
      <c r="C348" s="0" t="n">
        <v>64</v>
      </c>
      <c r="D348" s="0" t="n">
        <v>0</v>
      </c>
      <c r="E348" s="0" t="n">
        <f aca="false">VLOOKUP(B348,'MSA-Lookup'!$H$2:$I$86,2)</f>
        <v>6920</v>
      </c>
      <c r="F348" s="0" t="n">
        <f aca="false">IF(C348&gt;1,IF(C348&lt;99,VLOOKUP(C348,'MSA-Lookup'!$H$1:$I$86,2),C348),C348)</f>
        <v>4480</v>
      </c>
      <c r="G348" s="0" t="n">
        <f aca="false">VLOOKUP(E348,'MSA-Lookup'!$AA$1:$AB$25,2)</f>
        <v>6920</v>
      </c>
      <c r="H348" s="0" t="n">
        <f aca="false">IF(C348&gt;1,IF(C348&lt;99,VLOOKUP(F348,'MSA-Lookup'!$AA$1:$AB$25,2),C348),C348)</f>
        <v>4472</v>
      </c>
    </row>
    <row r="349" customFormat="false" ht="12.75" hidden="false" customHeight="false" outlineLevel="0" collapsed="false">
      <c r="A349" s="0" t="n">
        <f aca="false">B349*1000+C349</f>
        <v>10065</v>
      </c>
      <c r="B349" s="0" t="n">
        <v>10</v>
      </c>
      <c r="C349" s="0" t="n">
        <v>65</v>
      </c>
      <c r="D349" s="0" t="n">
        <v>78</v>
      </c>
      <c r="E349" s="0" t="n">
        <f aca="false">VLOOKUP(B349,'MSA-Lookup'!$H$2:$I$86,2)</f>
        <v>6920</v>
      </c>
      <c r="F349" s="0" t="n">
        <f aca="false">IF(C349&gt;1,IF(C349&lt;99,VLOOKUP(C349,'MSA-Lookup'!$H$1:$I$86,2),C349),C349)</f>
        <v>4480</v>
      </c>
      <c r="G349" s="0" t="n">
        <f aca="false">VLOOKUP(E349,'MSA-Lookup'!$AA$1:$AB$25,2)</f>
        <v>6920</v>
      </c>
      <c r="H349" s="0" t="n">
        <f aca="false">IF(C349&gt;1,IF(C349&lt;99,VLOOKUP(F349,'MSA-Lookup'!$AA$1:$AB$25,2),C349),C349)</f>
        <v>4472</v>
      </c>
    </row>
    <row r="350" customFormat="false" ht="12.75" hidden="false" customHeight="false" outlineLevel="0" collapsed="false">
      <c r="A350" s="0" t="n">
        <f aca="false">B350*1000+C350</f>
        <v>10069</v>
      </c>
      <c r="B350" s="0" t="n">
        <v>10</v>
      </c>
      <c r="C350" s="0" t="n">
        <v>69</v>
      </c>
      <c r="D350" s="0" t="n">
        <v>0</v>
      </c>
      <c r="E350" s="0" t="n">
        <f aca="false">VLOOKUP(B350,'MSA-Lookup'!$H$2:$I$86,2)</f>
        <v>6920</v>
      </c>
      <c r="F350" s="0" t="n">
        <f aca="false">IF(C350&gt;1,IF(C350&lt;99,VLOOKUP(C350,'MSA-Lookup'!$H$1:$I$86,2),C350),C350)</f>
        <v>6780</v>
      </c>
      <c r="G350" s="0" t="n">
        <f aca="false">VLOOKUP(E350,'MSA-Lookup'!$AA$1:$AB$25,2)</f>
        <v>6920</v>
      </c>
      <c r="H350" s="0" t="n">
        <f aca="false">IF(C350&gt;1,IF(C350&lt;99,VLOOKUP(F350,'MSA-Lookup'!$AA$1:$AB$25,2),C350),C350)</f>
        <v>4472</v>
      </c>
    </row>
    <row r="351" customFormat="false" ht="12.75" hidden="false" customHeight="false" outlineLevel="0" collapsed="false">
      <c r="A351" s="0" t="n">
        <f aca="false">B351*1000+C351</f>
        <v>10072</v>
      </c>
      <c r="B351" s="0" t="n">
        <v>10</v>
      </c>
      <c r="C351" s="0" t="n">
        <v>72</v>
      </c>
      <c r="D351" s="0" t="n">
        <v>0</v>
      </c>
      <c r="E351" s="0" t="n">
        <f aca="false">VLOOKUP(B351,'MSA-Lookup'!$H$2:$I$86,2)</f>
        <v>6920</v>
      </c>
      <c r="F351" s="0" t="n">
        <f aca="false">IF(C351&gt;1,IF(C351&lt;99,VLOOKUP(C351,'MSA-Lookup'!$H$1:$I$86,2),C351),C351)</f>
        <v>6780</v>
      </c>
      <c r="G351" s="0" t="n">
        <f aca="false">VLOOKUP(E351,'MSA-Lookup'!$AA$1:$AB$25,2)</f>
        <v>6920</v>
      </c>
      <c r="H351" s="0" t="n">
        <f aca="false">IF(C351&gt;1,IF(C351&lt;99,VLOOKUP(F351,'MSA-Lookup'!$AA$1:$AB$25,2),C351),C351)</f>
        <v>4472</v>
      </c>
    </row>
    <row r="352" customFormat="false" ht="12.75" hidden="false" customHeight="false" outlineLevel="0" collapsed="false">
      <c r="A352" s="0" t="n">
        <f aca="false">B352*1000+C352</f>
        <v>10073</v>
      </c>
      <c r="B352" s="0" t="n">
        <v>10</v>
      </c>
      <c r="C352" s="0" t="n">
        <v>73</v>
      </c>
      <c r="D352" s="0" t="n">
        <v>169</v>
      </c>
      <c r="E352" s="0" t="n">
        <f aca="false">VLOOKUP(B352,'MSA-Lookup'!$H$2:$I$86,2)</f>
        <v>6920</v>
      </c>
      <c r="F352" s="0" t="n">
        <f aca="false">IF(C352&gt;1,IF(C352&lt;99,VLOOKUP(C352,'MSA-Lookup'!$H$1:$I$86,2),C352),C352)</f>
        <v>8720</v>
      </c>
      <c r="G352" s="0" t="n">
        <f aca="false">VLOOKUP(E352,'MSA-Lookup'!$AA$1:$AB$25,2)</f>
        <v>6920</v>
      </c>
      <c r="H352" s="0" t="n">
        <f aca="false">IF(C352&gt;1,IF(C352&lt;99,VLOOKUP(F352,'MSA-Lookup'!$AA$1:$AB$25,2),C352),C352)</f>
        <v>7362</v>
      </c>
    </row>
    <row r="353" customFormat="false" ht="12.75" hidden="false" customHeight="false" outlineLevel="0" collapsed="false">
      <c r="A353" s="0" t="n">
        <f aca="false">B353*1000+C353</f>
        <v>10075</v>
      </c>
      <c r="B353" s="0" t="n">
        <v>10</v>
      </c>
      <c r="C353" s="0" t="n">
        <v>75</v>
      </c>
      <c r="D353" s="0" t="n">
        <v>0</v>
      </c>
      <c r="E353" s="0" t="n">
        <f aca="false">VLOOKUP(B353,'MSA-Lookup'!$H$2:$I$86,2)</f>
        <v>6920</v>
      </c>
      <c r="F353" s="0" t="n">
        <f aca="false">IF(C353&gt;1,IF(C353&lt;99,VLOOKUP(C353,'MSA-Lookup'!$H$1:$I$86,2),C353),C353)</f>
        <v>8780</v>
      </c>
      <c r="G353" s="0" t="n">
        <f aca="false">VLOOKUP(E353,'MSA-Lookup'!$AA$1:$AB$25,2)</f>
        <v>6920</v>
      </c>
      <c r="H353" s="0" t="n">
        <f aca="false">IF(C353&gt;1,IF(C353&lt;99,VLOOKUP(F353,'MSA-Lookup'!$AA$1:$AB$25,2),C353),C353)</f>
        <v>8780</v>
      </c>
    </row>
    <row r="354" customFormat="false" ht="12.75" hidden="false" customHeight="false" outlineLevel="0" collapsed="false">
      <c r="A354" s="0" t="n">
        <f aca="false">B354*1000+C354</f>
        <v>10079</v>
      </c>
      <c r="B354" s="0" t="n">
        <v>10</v>
      </c>
      <c r="C354" s="0" t="n">
        <v>79</v>
      </c>
      <c r="D354" s="0" t="n">
        <v>0</v>
      </c>
      <c r="E354" s="0" t="n">
        <f aca="false">VLOOKUP(B354,'MSA-Lookup'!$H$2:$I$86,2)</f>
        <v>6920</v>
      </c>
      <c r="F354" s="0" t="n">
        <f aca="false">IF(C354&gt;1,IF(C354&lt;99,VLOOKUP(C354,'MSA-Lookup'!$H$1:$I$86,2),C354),C354)</f>
        <v>680</v>
      </c>
      <c r="G354" s="0" t="n">
        <f aca="false">VLOOKUP(E354,'MSA-Lookup'!$AA$1:$AB$25,2)</f>
        <v>6920</v>
      </c>
      <c r="H354" s="0" t="n">
        <f aca="false">IF(C354&gt;1,IF(C354&lt;99,VLOOKUP(F354,'MSA-Lookup'!$AA$1:$AB$25,2),C354),C354)</f>
        <v>680</v>
      </c>
    </row>
    <row r="355" customFormat="false" ht="12.75" hidden="false" customHeight="false" outlineLevel="0" collapsed="false">
      <c r="A355" s="0" t="n">
        <f aca="false">B355*1000+C355</f>
        <v>10085</v>
      </c>
      <c r="B355" s="0" t="n">
        <v>10</v>
      </c>
      <c r="C355" s="0" t="n">
        <v>85</v>
      </c>
      <c r="D355" s="0" t="n">
        <v>0</v>
      </c>
      <c r="E355" s="0" t="n">
        <f aca="false">VLOOKUP(B355,'MSA-Lookup'!$H$2:$I$86,2)</f>
        <v>6920</v>
      </c>
      <c r="F355" s="0" t="n">
        <f aca="false">IF(C355&gt;1,IF(C355&lt;99,VLOOKUP(C355,'MSA-Lookup'!$H$1:$I$86,2),C355),C355)</f>
        <v>8120</v>
      </c>
      <c r="G355" s="0" t="n">
        <f aca="false">VLOOKUP(E355,'MSA-Lookup'!$AA$1:$AB$25,2)</f>
        <v>6920</v>
      </c>
      <c r="H355" s="0" t="n">
        <f aca="false">IF(C355&gt;1,IF(C355&lt;99,VLOOKUP(F355,'MSA-Lookup'!$AA$1:$AB$25,2),C355),C355)</f>
        <v>8120</v>
      </c>
    </row>
    <row r="356" customFormat="false" ht="12.75" hidden="false" customHeight="false" outlineLevel="0" collapsed="false">
      <c r="A356" s="0" t="n">
        <f aca="false">B356*1000+C356</f>
        <v>10999</v>
      </c>
      <c r="B356" s="0" t="n">
        <v>10</v>
      </c>
      <c r="C356" s="0" t="n">
        <v>999</v>
      </c>
      <c r="D356" s="0" t="n">
        <v>0</v>
      </c>
      <c r="E356" s="0" t="n">
        <f aca="false">VLOOKUP(B356,'MSA-Lookup'!$H$2:$I$86,2)</f>
        <v>6920</v>
      </c>
      <c r="F356" s="0" t="n">
        <f aca="false">IF(C356&gt;1,IF(C356&lt;99,VLOOKUP(C356,'MSA-Lookup'!$H$1:$I$86,2),C356),C356)</f>
        <v>999</v>
      </c>
      <c r="G356" s="0" t="n">
        <f aca="false">VLOOKUP(E356,'MSA-Lookup'!$AA$1:$AB$25,2)</f>
        <v>6920</v>
      </c>
      <c r="H356" s="0" t="n">
        <f aca="false">IF(C356&gt;1,IF(C356&lt;99,VLOOKUP(F356,'MSA-Lookup'!$AA$1:$AB$25,2),C356),C356)</f>
        <v>999</v>
      </c>
    </row>
    <row r="357" customFormat="false" ht="12.75" hidden="false" customHeight="false" outlineLevel="0" collapsed="false">
      <c r="A357" s="0" t="n">
        <f aca="false">B357*1000+C357</f>
        <v>11000</v>
      </c>
      <c r="B357" s="0" t="n">
        <v>11</v>
      </c>
      <c r="C357" s="0" t="n">
        <v>0</v>
      </c>
      <c r="D357" s="0" t="n">
        <v>90948</v>
      </c>
      <c r="E357" s="0" t="n">
        <f aca="false">VLOOKUP(B357,'MSA-Lookup'!$H$2:$I$86,2)</f>
        <v>6920</v>
      </c>
      <c r="F357" s="0" t="n">
        <f aca="false">IF(C357&gt;1,IF(C357&lt;99,VLOOKUP(C357,'MSA-Lookup'!$H$1:$I$86,2),C357),C357)</f>
        <v>0</v>
      </c>
      <c r="G357" s="0" t="n">
        <f aca="false">VLOOKUP(E357,'MSA-Lookup'!$AA$1:$AB$25,2)</f>
        <v>6920</v>
      </c>
      <c r="H357" s="0" t="n">
        <f aca="false">IF(C357&gt;1,IF(C357&lt;99,VLOOKUP(F357,'MSA-Lookup'!$AA$1:$AB$25,2),C357),C357)</f>
        <v>0</v>
      </c>
    </row>
    <row r="358" customFormat="false" ht="12.75" hidden="false" customHeight="false" outlineLevel="0" collapsed="false">
      <c r="A358" s="0" t="n">
        <f aca="false">B358*1000+C358</f>
        <v>11001</v>
      </c>
      <c r="B358" s="0" t="n">
        <v>11</v>
      </c>
      <c r="C358" s="0" t="n">
        <v>1</v>
      </c>
      <c r="D358" s="0" t="n">
        <v>0</v>
      </c>
      <c r="E358" s="0" t="n">
        <f aca="false">VLOOKUP(B358,'MSA-Lookup'!$H$2:$I$86,2)</f>
        <v>6920</v>
      </c>
      <c r="F358" s="0" t="n">
        <f aca="false">IF(C358&gt;1,IF(C358&lt;99,VLOOKUP(C358,'MSA-Lookup'!$H$1:$I$86,2),C358),C358)</f>
        <v>1</v>
      </c>
      <c r="G358" s="0" t="n">
        <f aca="false">VLOOKUP(E358,'MSA-Lookup'!$AA$1:$AB$25,2)</f>
        <v>6920</v>
      </c>
      <c r="H358" s="0" t="n">
        <f aca="false">IF(C358&gt;1,IF(C358&lt;99,VLOOKUP(F358,'MSA-Lookup'!$AA$1:$AB$25,2),C358),C358)</f>
        <v>1</v>
      </c>
    </row>
    <row r="359" customFormat="false" ht="12.75" hidden="false" customHeight="false" outlineLevel="0" collapsed="false">
      <c r="A359" s="0" t="n">
        <f aca="false">B359*1000+C359</f>
        <v>11002</v>
      </c>
      <c r="B359" s="0" t="n">
        <v>11</v>
      </c>
      <c r="C359" s="0" t="n">
        <v>2</v>
      </c>
      <c r="D359" s="0" t="n">
        <v>0</v>
      </c>
      <c r="E359" s="0" t="n">
        <f aca="false">VLOOKUP(B359,'MSA-Lookup'!$H$2:$I$86,2)</f>
        <v>6920</v>
      </c>
      <c r="F359" s="0" t="n">
        <f aca="false">IF(C359&gt;1,IF(C359&lt;99,VLOOKUP(C359,'MSA-Lookup'!$H$1:$I$86,2),C359),C359)</f>
        <v>9999</v>
      </c>
      <c r="G359" s="0" t="n">
        <f aca="false">VLOOKUP(E359,'MSA-Lookup'!$AA$1:$AB$25,2)</f>
        <v>6920</v>
      </c>
      <c r="H359" s="0" t="n">
        <f aca="false">IF(C359&gt;1,IF(C359&lt;99,VLOOKUP(F359,'MSA-Lookup'!$AA$1:$AB$25,2),C359),C359)</f>
        <v>9999</v>
      </c>
    </row>
    <row r="360" customFormat="false" ht="12.75" hidden="false" customHeight="false" outlineLevel="0" collapsed="false">
      <c r="A360" s="0" t="n">
        <f aca="false">B360*1000+C360</f>
        <v>11003</v>
      </c>
      <c r="B360" s="0" t="n">
        <v>11</v>
      </c>
      <c r="C360" s="0" t="n">
        <v>3</v>
      </c>
      <c r="D360" s="0" t="n">
        <v>429</v>
      </c>
      <c r="E360" s="0" t="n">
        <f aca="false">VLOOKUP(B360,'MSA-Lookup'!$H$2:$I$86,2)</f>
        <v>6920</v>
      </c>
      <c r="F360" s="0" t="n">
        <f aca="false">IF(C360&gt;1,IF(C360&lt;99,VLOOKUP(C360,'MSA-Lookup'!$H$1:$I$86,2),C360),C360)</f>
        <v>6690</v>
      </c>
      <c r="G360" s="0" t="n">
        <f aca="false">VLOOKUP(E360,'MSA-Lookup'!$AA$1:$AB$25,2)</f>
        <v>6920</v>
      </c>
      <c r="H360" s="0" t="n">
        <f aca="false">IF(C360&gt;1,IF(C360&lt;99,VLOOKUP(F360,'MSA-Lookup'!$AA$1:$AB$25,2),C360),C360)</f>
        <v>6690</v>
      </c>
    </row>
    <row r="361" customFormat="false" ht="12.75" hidden="false" customHeight="false" outlineLevel="0" collapsed="false">
      <c r="A361" s="0" t="n">
        <f aca="false">B361*1000+C361</f>
        <v>11004</v>
      </c>
      <c r="B361" s="0" t="n">
        <v>11</v>
      </c>
      <c r="C361" s="0" t="n">
        <v>4</v>
      </c>
      <c r="D361" s="0" t="n">
        <v>1456</v>
      </c>
      <c r="E361" s="0" t="n">
        <f aca="false">VLOOKUP(B361,'MSA-Lookup'!$H$2:$I$86,2)</f>
        <v>6920</v>
      </c>
      <c r="F361" s="0" t="n">
        <f aca="false">IF(C361&gt;1,IF(C361&lt;99,VLOOKUP(C361,'MSA-Lookup'!$H$1:$I$86,2),C361),C361)</f>
        <v>9999</v>
      </c>
      <c r="G361" s="0" t="n">
        <f aca="false">VLOOKUP(E361,'MSA-Lookup'!$AA$1:$AB$25,2)</f>
        <v>6920</v>
      </c>
      <c r="H361" s="0" t="n">
        <f aca="false">IF(C361&gt;1,IF(C361&lt;99,VLOOKUP(F361,'MSA-Lookup'!$AA$1:$AB$25,2),C361),C361)</f>
        <v>9999</v>
      </c>
    </row>
    <row r="362" customFormat="false" ht="12.75" hidden="false" customHeight="false" outlineLevel="0" collapsed="false">
      <c r="A362" s="0" t="n">
        <f aca="false">B362*1000+C362</f>
        <v>11005</v>
      </c>
      <c r="B362" s="0" t="n">
        <v>11</v>
      </c>
      <c r="C362" s="0" t="n">
        <v>5</v>
      </c>
      <c r="D362" s="0" t="n">
        <v>416</v>
      </c>
      <c r="E362" s="0" t="n">
        <f aca="false">VLOOKUP(B362,'MSA-Lookup'!$H$2:$I$86,2)</f>
        <v>6920</v>
      </c>
      <c r="F362" s="0" t="n">
        <f aca="false">IF(C362&gt;1,IF(C362&lt;99,VLOOKUP(C362,'MSA-Lookup'!$H$1:$I$86,2),C362),C362)</f>
        <v>9999</v>
      </c>
      <c r="G362" s="0" t="n">
        <f aca="false">VLOOKUP(E362,'MSA-Lookup'!$AA$1:$AB$25,2)</f>
        <v>6920</v>
      </c>
      <c r="H362" s="0" t="n">
        <f aca="false">IF(C362&gt;1,IF(C362&lt;99,VLOOKUP(F362,'MSA-Lookup'!$AA$1:$AB$25,2),C362),C362)</f>
        <v>9999</v>
      </c>
    </row>
    <row r="363" customFormat="false" ht="12.75" hidden="false" customHeight="false" outlineLevel="0" collapsed="false">
      <c r="A363" s="0" t="n">
        <f aca="false">B363*1000+C363</f>
        <v>11006</v>
      </c>
      <c r="B363" s="0" t="n">
        <v>11</v>
      </c>
      <c r="C363" s="0" t="n">
        <v>6</v>
      </c>
      <c r="D363" s="0" t="n">
        <v>0</v>
      </c>
      <c r="E363" s="0" t="n">
        <f aca="false">VLOOKUP(B363,'MSA-Lookup'!$H$2:$I$86,2)</f>
        <v>6920</v>
      </c>
      <c r="F363" s="0" t="n">
        <f aca="false">IF(C363&gt;1,IF(C363&lt;99,VLOOKUP(C363,'MSA-Lookup'!$H$1:$I$86,2),C363),C363)</f>
        <v>1620</v>
      </c>
      <c r="G363" s="0" t="n">
        <f aca="false">VLOOKUP(E363,'MSA-Lookup'!$AA$1:$AB$25,2)</f>
        <v>6920</v>
      </c>
      <c r="H363" s="0" t="n">
        <f aca="false">IF(C363&gt;1,IF(C363&lt;99,VLOOKUP(F363,'MSA-Lookup'!$AA$1:$AB$25,2),C363),C363)</f>
        <v>1620</v>
      </c>
    </row>
    <row r="364" customFormat="false" ht="12.75" hidden="false" customHeight="false" outlineLevel="0" collapsed="false">
      <c r="A364" s="0" t="n">
        <f aca="false">B364*1000+C364</f>
        <v>11007</v>
      </c>
      <c r="B364" s="0" t="n">
        <v>11</v>
      </c>
      <c r="C364" s="0" t="n">
        <v>7</v>
      </c>
      <c r="D364" s="0" t="n">
        <v>1872</v>
      </c>
      <c r="E364" s="0" t="n">
        <f aca="false">VLOOKUP(B364,'MSA-Lookup'!$H$2:$I$86,2)</f>
        <v>6920</v>
      </c>
      <c r="F364" s="0" t="n">
        <f aca="false">IF(C364&gt;1,IF(C364&lt;99,VLOOKUP(C364,'MSA-Lookup'!$H$1:$I$86,2),C364),C364)</f>
        <v>9999</v>
      </c>
      <c r="G364" s="0" t="n">
        <f aca="false">VLOOKUP(E364,'MSA-Lookup'!$AA$1:$AB$25,2)</f>
        <v>6920</v>
      </c>
      <c r="H364" s="0" t="n">
        <f aca="false">IF(C364&gt;1,IF(C364&lt;99,VLOOKUP(F364,'MSA-Lookup'!$AA$1:$AB$25,2),C364),C364)</f>
        <v>9999</v>
      </c>
    </row>
    <row r="365" customFormat="false" ht="12.75" hidden="false" customHeight="false" outlineLevel="0" collapsed="false">
      <c r="A365" s="0" t="n">
        <f aca="false">B365*1000+C365</f>
        <v>11008</v>
      </c>
      <c r="B365" s="0" t="n">
        <v>11</v>
      </c>
      <c r="C365" s="0" t="n">
        <v>8</v>
      </c>
      <c r="D365" s="0" t="n">
        <v>247</v>
      </c>
      <c r="E365" s="0" t="n">
        <f aca="false">VLOOKUP(B365,'MSA-Lookup'!$H$2:$I$86,2)</f>
        <v>6920</v>
      </c>
      <c r="F365" s="0" t="n">
        <f aca="false">IF(C365&gt;1,IF(C365&lt;99,VLOOKUP(C365,'MSA-Lookup'!$H$1:$I$86,2),C365),C365)</f>
        <v>9340</v>
      </c>
      <c r="G365" s="0" t="n">
        <f aca="false">VLOOKUP(E365,'MSA-Lookup'!$AA$1:$AB$25,2)</f>
        <v>6920</v>
      </c>
      <c r="H365" s="0" t="n">
        <f aca="false">IF(C365&gt;1,IF(C365&lt;99,VLOOKUP(F365,'MSA-Lookup'!$AA$1:$AB$25,2),C365),C365)</f>
        <v>9340</v>
      </c>
    </row>
    <row r="366" customFormat="false" ht="12.75" hidden="false" customHeight="false" outlineLevel="0" collapsed="false">
      <c r="A366" s="0" t="n">
        <f aca="false">B366*1000+C366</f>
        <v>11009</v>
      </c>
      <c r="B366" s="0" t="n">
        <v>11</v>
      </c>
      <c r="C366" s="0" t="n">
        <v>9</v>
      </c>
      <c r="D366" s="0" t="n">
        <v>0</v>
      </c>
      <c r="E366" s="0" t="n">
        <f aca="false">VLOOKUP(B366,'MSA-Lookup'!$H$2:$I$86,2)</f>
        <v>6920</v>
      </c>
      <c r="F366" s="0" t="n">
        <f aca="false">IF(C366&gt;1,IF(C366&lt;99,VLOOKUP(C366,'MSA-Lookup'!$H$1:$I$86,2),C366),C366)</f>
        <v>8720</v>
      </c>
      <c r="G366" s="0" t="n">
        <f aca="false">VLOOKUP(E366,'MSA-Lookup'!$AA$1:$AB$25,2)</f>
        <v>6920</v>
      </c>
      <c r="H366" s="0" t="n">
        <f aca="false">IF(C366&gt;1,IF(C366&lt;99,VLOOKUP(F366,'MSA-Lookup'!$AA$1:$AB$25,2),C366),C366)</f>
        <v>7362</v>
      </c>
    </row>
    <row r="367" customFormat="false" ht="12.75" hidden="false" customHeight="false" outlineLevel="0" collapsed="false">
      <c r="A367" s="0" t="n">
        <f aca="false">B367*1000+C367</f>
        <v>11010</v>
      </c>
      <c r="B367" s="0" t="n">
        <v>11</v>
      </c>
      <c r="C367" s="0" t="n">
        <v>10</v>
      </c>
      <c r="D367" s="0" t="n">
        <v>1131</v>
      </c>
      <c r="E367" s="0" t="n">
        <f aca="false">VLOOKUP(B367,'MSA-Lookup'!$H$2:$I$86,2)</f>
        <v>6920</v>
      </c>
      <c r="F367" s="0" t="n">
        <f aca="false">IF(C367&gt;1,IF(C367&lt;99,VLOOKUP(C367,'MSA-Lookup'!$H$1:$I$86,2),C367),C367)</f>
        <v>6920</v>
      </c>
      <c r="G367" s="0" t="n">
        <f aca="false">VLOOKUP(E367,'MSA-Lookup'!$AA$1:$AB$25,2)</f>
        <v>6920</v>
      </c>
      <c r="H367" s="0" t="n">
        <f aca="false">IF(C367&gt;1,IF(C367&lt;99,VLOOKUP(F367,'MSA-Lookup'!$AA$1:$AB$25,2),C367),C367)</f>
        <v>6920</v>
      </c>
    </row>
    <row r="368" customFormat="false" ht="12.75" hidden="false" customHeight="false" outlineLevel="0" collapsed="false">
      <c r="A368" s="0" t="n">
        <f aca="false">B368*1000+C368</f>
        <v>11011</v>
      </c>
      <c r="B368" s="0" t="n">
        <v>11</v>
      </c>
      <c r="C368" s="0" t="n">
        <v>11</v>
      </c>
      <c r="D368" s="0" t="n">
        <v>46007</v>
      </c>
      <c r="E368" s="0" t="n">
        <f aca="false">VLOOKUP(B368,'MSA-Lookup'!$H$2:$I$86,2)</f>
        <v>6920</v>
      </c>
      <c r="F368" s="0" t="n">
        <f aca="false">IF(C368&gt;1,IF(C368&lt;99,VLOOKUP(C368,'MSA-Lookup'!$H$1:$I$86,2),C368),C368)</f>
        <v>6920</v>
      </c>
      <c r="G368" s="0" t="n">
        <f aca="false">VLOOKUP(E368,'MSA-Lookup'!$AA$1:$AB$25,2)</f>
        <v>6920</v>
      </c>
      <c r="H368" s="0" t="n">
        <f aca="false">IF(C368&gt;1,IF(C368&lt;99,VLOOKUP(F368,'MSA-Lookup'!$AA$1:$AB$25,2),C368),C368)</f>
        <v>6920</v>
      </c>
    </row>
    <row r="369" customFormat="false" ht="12.75" hidden="false" customHeight="false" outlineLevel="0" collapsed="false">
      <c r="A369" s="0" t="n">
        <f aca="false">B369*1000+C369</f>
        <v>11012</v>
      </c>
      <c r="B369" s="0" t="n">
        <v>11</v>
      </c>
      <c r="C369" s="0" t="n">
        <v>12</v>
      </c>
      <c r="D369" s="0" t="n">
        <v>104</v>
      </c>
      <c r="E369" s="0" t="n">
        <f aca="false">VLOOKUP(B369,'MSA-Lookup'!$H$2:$I$86,2)</f>
        <v>6920</v>
      </c>
      <c r="F369" s="0" t="n">
        <f aca="false">IF(C369&gt;1,IF(C369&lt;99,VLOOKUP(C369,'MSA-Lookup'!$H$1:$I$86,2),C369),C369)</f>
        <v>6920</v>
      </c>
      <c r="G369" s="0" t="n">
        <f aca="false">VLOOKUP(E369,'MSA-Lookup'!$AA$1:$AB$25,2)</f>
        <v>6920</v>
      </c>
      <c r="H369" s="0" t="n">
        <f aca="false">IF(C369&gt;1,IF(C369&lt;99,VLOOKUP(F369,'MSA-Lookup'!$AA$1:$AB$25,2),C369),C369)</f>
        <v>6920</v>
      </c>
    </row>
    <row r="370" customFormat="false" ht="12.75" hidden="false" customHeight="false" outlineLevel="0" collapsed="false">
      <c r="A370" s="0" t="n">
        <f aca="false">B370*1000+C370</f>
        <v>11013</v>
      </c>
      <c r="B370" s="0" t="n">
        <v>11</v>
      </c>
      <c r="C370" s="0" t="n">
        <v>13</v>
      </c>
      <c r="D370" s="0" t="n">
        <v>0</v>
      </c>
      <c r="E370" s="0" t="n">
        <f aca="false">VLOOKUP(B370,'MSA-Lookup'!$H$2:$I$86,2)</f>
        <v>6920</v>
      </c>
      <c r="F370" s="0" t="n">
        <f aca="false">IF(C370&gt;1,IF(C370&lt;99,VLOOKUP(C370,'MSA-Lookup'!$H$1:$I$86,2),C370),C370)</f>
        <v>7500</v>
      </c>
      <c r="G370" s="0" t="n">
        <f aca="false">VLOOKUP(E370,'MSA-Lookup'!$AA$1:$AB$25,2)</f>
        <v>6920</v>
      </c>
      <c r="H370" s="0" t="n">
        <f aca="false">IF(C370&gt;1,IF(C370&lt;99,VLOOKUP(F370,'MSA-Lookup'!$AA$1:$AB$25,2),C370),C370)</f>
        <v>7362</v>
      </c>
    </row>
    <row r="371" customFormat="false" ht="12.75" hidden="false" customHeight="false" outlineLevel="0" collapsed="false">
      <c r="A371" s="0" t="n">
        <f aca="false">B371*1000+C371</f>
        <v>11014</v>
      </c>
      <c r="B371" s="0" t="n">
        <v>11</v>
      </c>
      <c r="C371" s="0" t="n">
        <v>14</v>
      </c>
      <c r="D371" s="0" t="n">
        <v>26</v>
      </c>
      <c r="E371" s="0" t="n">
        <f aca="false">VLOOKUP(B371,'MSA-Lookup'!$H$2:$I$86,2)</f>
        <v>6920</v>
      </c>
      <c r="F371" s="0" t="n">
        <f aca="false">IF(C371&gt;1,IF(C371&lt;99,VLOOKUP(C371,'MSA-Lookup'!$H$1:$I$86,2),C371),C371)</f>
        <v>7500</v>
      </c>
      <c r="G371" s="0" t="n">
        <f aca="false">VLOOKUP(E371,'MSA-Lookup'!$AA$1:$AB$25,2)</f>
        <v>6920</v>
      </c>
      <c r="H371" s="0" t="n">
        <f aca="false">IF(C371&gt;1,IF(C371&lt;99,VLOOKUP(F371,'MSA-Lookup'!$AA$1:$AB$25,2),C371),C371)</f>
        <v>7362</v>
      </c>
    </row>
    <row r="372" customFormat="false" ht="12.75" hidden="false" customHeight="false" outlineLevel="0" collapsed="false">
      <c r="A372" s="0" t="n">
        <f aca="false">B372*1000+C372</f>
        <v>11015</v>
      </c>
      <c r="B372" s="0" t="n">
        <v>11</v>
      </c>
      <c r="C372" s="0" t="n">
        <v>15</v>
      </c>
      <c r="D372" s="0" t="n">
        <v>0</v>
      </c>
      <c r="E372" s="0" t="n">
        <f aca="false">VLOOKUP(B372,'MSA-Lookup'!$H$2:$I$86,2)</f>
        <v>6920</v>
      </c>
      <c r="F372" s="0" t="n">
        <f aca="false">IF(C372&gt;1,IF(C372&lt;99,VLOOKUP(C372,'MSA-Lookup'!$H$1:$I$86,2),C372),C372)</f>
        <v>7360</v>
      </c>
      <c r="G372" s="0" t="n">
        <f aca="false">VLOOKUP(E372,'MSA-Lookup'!$AA$1:$AB$25,2)</f>
        <v>6920</v>
      </c>
      <c r="H372" s="0" t="n">
        <f aca="false">IF(C372&gt;1,IF(C372&lt;99,VLOOKUP(F372,'MSA-Lookup'!$AA$1:$AB$25,2),C372),C372)</f>
        <v>7362</v>
      </c>
    </row>
    <row r="373" customFormat="false" ht="12.75" hidden="false" customHeight="false" outlineLevel="0" collapsed="false">
      <c r="A373" s="0" t="n">
        <f aca="false">B373*1000+C373</f>
        <v>11016</v>
      </c>
      <c r="B373" s="0" t="n">
        <v>11</v>
      </c>
      <c r="C373" s="0" t="n">
        <v>16</v>
      </c>
      <c r="D373" s="0" t="n">
        <v>377</v>
      </c>
      <c r="E373" s="0" t="n">
        <f aca="false">VLOOKUP(B373,'MSA-Lookup'!$H$2:$I$86,2)</f>
        <v>6920</v>
      </c>
      <c r="F373" s="0" t="n">
        <f aca="false">IF(C373&gt;1,IF(C373&lt;99,VLOOKUP(C373,'MSA-Lookup'!$H$1:$I$86,2),C373),C373)</f>
        <v>8720</v>
      </c>
      <c r="G373" s="0" t="n">
        <f aca="false">VLOOKUP(E373,'MSA-Lookup'!$AA$1:$AB$25,2)</f>
        <v>6920</v>
      </c>
      <c r="H373" s="0" t="n">
        <f aca="false">IF(C373&gt;1,IF(C373&lt;99,VLOOKUP(F373,'MSA-Lookup'!$AA$1:$AB$25,2),C373),C373)</f>
        <v>7362</v>
      </c>
    </row>
    <row r="374" customFormat="false" ht="12.75" hidden="false" customHeight="false" outlineLevel="0" collapsed="false">
      <c r="A374" s="0" t="n">
        <f aca="false">B374*1000+C374</f>
        <v>11017</v>
      </c>
      <c r="B374" s="0" t="n">
        <v>11</v>
      </c>
      <c r="C374" s="0" t="n">
        <v>17</v>
      </c>
      <c r="D374" s="0" t="n">
        <v>0</v>
      </c>
      <c r="E374" s="0" t="n">
        <f aca="false">VLOOKUP(B374,'MSA-Lookup'!$H$2:$I$86,2)</f>
        <v>6920</v>
      </c>
      <c r="F374" s="0" t="n">
        <f aca="false">IF(C374&gt;1,IF(C374&lt;99,VLOOKUP(C374,'MSA-Lookup'!$H$1:$I$86,2),C374),C374)</f>
        <v>5775</v>
      </c>
      <c r="G374" s="0" t="n">
        <f aca="false">VLOOKUP(E374,'MSA-Lookup'!$AA$1:$AB$25,2)</f>
        <v>6920</v>
      </c>
      <c r="H374" s="0" t="n">
        <f aca="false">IF(C374&gt;1,IF(C374&lt;99,VLOOKUP(F374,'MSA-Lookup'!$AA$1:$AB$25,2),C374),C374)</f>
        <v>7362</v>
      </c>
    </row>
    <row r="375" customFormat="false" ht="12.75" hidden="false" customHeight="false" outlineLevel="0" collapsed="false">
      <c r="A375" s="0" t="n">
        <f aca="false">B375*1000+C375</f>
        <v>11018</v>
      </c>
      <c r="B375" s="0" t="n">
        <v>11</v>
      </c>
      <c r="C375" s="0" t="n">
        <v>18</v>
      </c>
      <c r="D375" s="0" t="n">
        <v>624</v>
      </c>
      <c r="E375" s="0" t="n">
        <f aca="false">VLOOKUP(B375,'MSA-Lookup'!$H$2:$I$86,2)</f>
        <v>6920</v>
      </c>
      <c r="F375" s="0" t="n">
        <f aca="false">IF(C375&gt;1,IF(C375&lt;99,VLOOKUP(C375,'MSA-Lookup'!$H$1:$I$86,2),C375),C375)</f>
        <v>5775</v>
      </c>
      <c r="G375" s="0" t="n">
        <f aca="false">VLOOKUP(E375,'MSA-Lookup'!$AA$1:$AB$25,2)</f>
        <v>6920</v>
      </c>
      <c r="H375" s="0" t="n">
        <f aca="false">IF(C375&gt;1,IF(C375&lt;99,VLOOKUP(F375,'MSA-Lookup'!$AA$1:$AB$25,2),C375),C375)</f>
        <v>7362</v>
      </c>
    </row>
    <row r="376" customFormat="false" ht="12.75" hidden="false" customHeight="false" outlineLevel="0" collapsed="false">
      <c r="A376" s="0" t="n">
        <f aca="false">B376*1000+C376</f>
        <v>11019</v>
      </c>
      <c r="B376" s="0" t="n">
        <v>11</v>
      </c>
      <c r="C376" s="0" t="n">
        <v>19</v>
      </c>
      <c r="D376" s="0" t="n">
        <v>91</v>
      </c>
      <c r="E376" s="0" t="n">
        <f aca="false">VLOOKUP(B376,'MSA-Lookup'!$H$2:$I$86,2)</f>
        <v>6920</v>
      </c>
      <c r="F376" s="0" t="n">
        <f aca="false">IF(C376&gt;1,IF(C376&lt;99,VLOOKUP(C376,'MSA-Lookup'!$H$1:$I$86,2),C376),C376)</f>
        <v>7360</v>
      </c>
      <c r="G376" s="0" t="n">
        <f aca="false">VLOOKUP(E376,'MSA-Lookup'!$AA$1:$AB$25,2)</f>
        <v>6920</v>
      </c>
      <c r="H376" s="0" t="n">
        <f aca="false">IF(C376&gt;1,IF(C376&lt;99,VLOOKUP(F376,'MSA-Lookup'!$AA$1:$AB$25,2),C376),C376)</f>
        <v>7362</v>
      </c>
    </row>
    <row r="377" customFormat="false" ht="12.75" hidden="false" customHeight="false" outlineLevel="0" collapsed="false">
      <c r="A377" s="0" t="n">
        <f aca="false">B377*1000+C377</f>
        <v>11020</v>
      </c>
      <c r="B377" s="0" t="n">
        <v>11</v>
      </c>
      <c r="C377" s="0" t="n">
        <v>20</v>
      </c>
      <c r="D377" s="0" t="n">
        <v>104</v>
      </c>
      <c r="E377" s="0" t="n">
        <f aca="false">VLOOKUP(B377,'MSA-Lookup'!$H$2:$I$86,2)</f>
        <v>6920</v>
      </c>
      <c r="F377" s="0" t="n">
        <f aca="false">IF(C377&gt;1,IF(C377&lt;99,VLOOKUP(C377,'MSA-Lookup'!$H$1:$I$86,2),C377),C377)</f>
        <v>5775</v>
      </c>
      <c r="G377" s="0" t="n">
        <f aca="false">VLOOKUP(E377,'MSA-Lookup'!$AA$1:$AB$25,2)</f>
        <v>6920</v>
      </c>
      <c r="H377" s="0" t="n">
        <f aca="false">IF(C377&gt;1,IF(C377&lt;99,VLOOKUP(F377,'MSA-Lookup'!$AA$1:$AB$25,2),C377),C377)</f>
        <v>7362</v>
      </c>
    </row>
    <row r="378" customFormat="false" ht="12.75" hidden="false" customHeight="false" outlineLevel="0" collapsed="false">
      <c r="A378" s="0" t="n">
        <f aca="false">B378*1000+C378</f>
        <v>11021</v>
      </c>
      <c r="B378" s="0" t="n">
        <v>11</v>
      </c>
      <c r="C378" s="0" t="n">
        <v>21</v>
      </c>
      <c r="D378" s="0" t="n">
        <v>0</v>
      </c>
      <c r="E378" s="0" t="n">
        <f aca="false">VLOOKUP(B378,'MSA-Lookup'!$H$2:$I$86,2)</f>
        <v>6920</v>
      </c>
      <c r="F378" s="0" t="n">
        <f aca="false">IF(C378&gt;1,IF(C378&lt;99,VLOOKUP(C378,'MSA-Lookup'!$H$1:$I$86,2),C378),C378)</f>
        <v>5775</v>
      </c>
      <c r="G378" s="0" t="n">
        <f aca="false">VLOOKUP(E378,'MSA-Lookup'!$AA$1:$AB$25,2)</f>
        <v>6920</v>
      </c>
      <c r="H378" s="0" t="n">
        <f aca="false">IF(C378&gt;1,IF(C378&lt;99,VLOOKUP(F378,'MSA-Lookup'!$AA$1:$AB$25,2),C378),C378)</f>
        <v>7362</v>
      </c>
    </row>
    <row r="379" customFormat="false" ht="12.75" hidden="false" customHeight="false" outlineLevel="0" collapsed="false">
      <c r="A379" s="0" t="n">
        <f aca="false">B379*1000+C379</f>
        <v>11022</v>
      </c>
      <c r="B379" s="0" t="n">
        <v>11</v>
      </c>
      <c r="C379" s="0" t="n">
        <v>22</v>
      </c>
      <c r="D379" s="0" t="n">
        <v>26</v>
      </c>
      <c r="E379" s="0" t="n">
        <f aca="false">VLOOKUP(B379,'MSA-Lookup'!$H$2:$I$86,2)</f>
        <v>6920</v>
      </c>
      <c r="F379" s="0" t="n">
        <f aca="false">IF(C379&gt;1,IF(C379&lt;99,VLOOKUP(C379,'MSA-Lookup'!$H$1:$I$86,2),C379),C379)</f>
        <v>7360</v>
      </c>
      <c r="G379" s="0" t="n">
        <f aca="false">VLOOKUP(E379,'MSA-Lookup'!$AA$1:$AB$25,2)</f>
        <v>6920</v>
      </c>
      <c r="H379" s="0" t="n">
        <f aca="false">IF(C379&gt;1,IF(C379&lt;99,VLOOKUP(F379,'MSA-Lookup'!$AA$1:$AB$25,2),C379),C379)</f>
        <v>7362</v>
      </c>
    </row>
    <row r="380" customFormat="false" ht="12.75" hidden="false" customHeight="false" outlineLevel="0" collapsed="false">
      <c r="A380" s="0" t="n">
        <f aca="false">B380*1000+C380</f>
        <v>11023</v>
      </c>
      <c r="B380" s="0" t="n">
        <v>11</v>
      </c>
      <c r="C380" s="0" t="n">
        <v>23</v>
      </c>
      <c r="D380" s="0" t="n">
        <v>0</v>
      </c>
      <c r="E380" s="0" t="n">
        <f aca="false">VLOOKUP(B380,'MSA-Lookup'!$H$2:$I$86,2)</f>
        <v>6920</v>
      </c>
      <c r="F380" s="0" t="n">
        <f aca="false">IF(C380&gt;1,IF(C380&lt;99,VLOOKUP(C380,'MSA-Lookup'!$H$1:$I$86,2),C380),C380)</f>
        <v>8120</v>
      </c>
      <c r="G380" s="0" t="n">
        <f aca="false">VLOOKUP(E380,'MSA-Lookup'!$AA$1:$AB$25,2)</f>
        <v>6920</v>
      </c>
      <c r="H380" s="0" t="n">
        <f aca="false">IF(C380&gt;1,IF(C380&lt;99,VLOOKUP(F380,'MSA-Lookup'!$AA$1:$AB$25,2),C380),C380)</f>
        <v>8120</v>
      </c>
    </row>
    <row r="381" customFormat="false" ht="12.75" hidden="false" customHeight="false" outlineLevel="0" collapsed="false">
      <c r="A381" s="0" t="n">
        <f aca="false">B381*1000+C381</f>
        <v>11024</v>
      </c>
      <c r="B381" s="0" t="n">
        <v>11</v>
      </c>
      <c r="C381" s="0" t="n">
        <v>24</v>
      </c>
      <c r="D381" s="0" t="n">
        <v>0</v>
      </c>
      <c r="E381" s="0" t="n">
        <f aca="false">VLOOKUP(B381,'MSA-Lookup'!$H$2:$I$86,2)</f>
        <v>6920</v>
      </c>
      <c r="F381" s="0" t="n">
        <f aca="false">IF(C381&gt;1,IF(C381&lt;99,VLOOKUP(C381,'MSA-Lookup'!$H$1:$I$86,2),C381),C381)</f>
        <v>5170</v>
      </c>
      <c r="G381" s="0" t="n">
        <f aca="false">VLOOKUP(E381,'MSA-Lookup'!$AA$1:$AB$25,2)</f>
        <v>6920</v>
      </c>
      <c r="H381" s="0" t="n">
        <f aca="false">IF(C381&gt;1,IF(C381&lt;99,VLOOKUP(F381,'MSA-Lookup'!$AA$1:$AB$25,2),C381),C381)</f>
        <v>5170</v>
      </c>
    </row>
    <row r="382" customFormat="false" ht="12.75" hidden="false" customHeight="false" outlineLevel="0" collapsed="false">
      <c r="A382" s="0" t="n">
        <f aca="false">B382*1000+C382</f>
        <v>11025</v>
      </c>
      <c r="B382" s="0" t="n">
        <v>11</v>
      </c>
      <c r="C382" s="0" t="n">
        <v>25</v>
      </c>
      <c r="D382" s="0" t="n">
        <v>195</v>
      </c>
      <c r="E382" s="0" t="n">
        <f aca="false">VLOOKUP(B382,'MSA-Lookup'!$H$2:$I$86,2)</f>
        <v>6920</v>
      </c>
      <c r="F382" s="0" t="n">
        <f aca="false">IF(C382&gt;1,IF(C382&lt;99,VLOOKUP(C382,'MSA-Lookup'!$H$1:$I$86,2),C382),C382)</f>
        <v>5170</v>
      </c>
      <c r="G382" s="0" t="n">
        <f aca="false">VLOOKUP(E382,'MSA-Lookup'!$AA$1:$AB$25,2)</f>
        <v>6920</v>
      </c>
      <c r="H382" s="0" t="n">
        <f aca="false">IF(C382&gt;1,IF(C382&lt;99,VLOOKUP(F382,'MSA-Lookup'!$AA$1:$AB$25,2),C382),C382)</f>
        <v>5170</v>
      </c>
    </row>
    <row r="383" customFormat="false" ht="12.75" hidden="false" customHeight="false" outlineLevel="0" collapsed="false">
      <c r="A383" s="0" t="n">
        <f aca="false">B383*1000+C383</f>
        <v>11026</v>
      </c>
      <c r="B383" s="0" t="n">
        <v>11</v>
      </c>
      <c r="C383" s="0" t="n">
        <v>26</v>
      </c>
      <c r="D383" s="0" t="n">
        <v>312</v>
      </c>
      <c r="E383" s="0" t="n">
        <f aca="false">VLOOKUP(B383,'MSA-Lookup'!$H$2:$I$86,2)</f>
        <v>6920</v>
      </c>
      <c r="F383" s="0" t="n">
        <f aca="false">IF(C383&gt;1,IF(C383&lt;99,VLOOKUP(C383,'MSA-Lookup'!$H$1:$I$86,2),C383),C383)</f>
        <v>9999</v>
      </c>
      <c r="G383" s="0" t="n">
        <f aca="false">VLOOKUP(E383,'MSA-Lookup'!$AA$1:$AB$25,2)</f>
        <v>6920</v>
      </c>
      <c r="H383" s="0" t="n">
        <f aca="false">IF(C383&gt;1,IF(C383&lt;99,VLOOKUP(F383,'MSA-Lookup'!$AA$1:$AB$25,2),C383),C383)</f>
        <v>9999</v>
      </c>
    </row>
    <row r="384" customFormat="false" ht="12.75" hidden="false" customHeight="false" outlineLevel="0" collapsed="false">
      <c r="A384" s="0" t="n">
        <f aca="false">B384*1000+C384</f>
        <v>11028</v>
      </c>
      <c r="B384" s="0" t="n">
        <v>11</v>
      </c>
      <c r="C384" s="0" t="n">
        <v>28</v>
      </c>
      <c r="D384" s="0" t="n">
        <v>11089</v>
      </c>
      <c r="E384" s="0" t="n">
        <f aca="false">VLOOKUP(B384,'MSA-Lookup'!$H$2:$I$86,2)</f>
        <v>6920</v>
      </c>
      <c r="F384" s="0" t="n">
        <f aca="false">IF(C384&gt;1,IF(C384&lt;99,VLOOKUP(C384,'MSA-Lookup'!$H$1:$I$86,2),C384),C384)</f>
        <v>6920</v>
      </c>
      <c r="G384" s="0" t="n">
        <f aca="false">VLOOKUP(E384,'MSA-Lookup'!$AA$1:$AB$25,2)</f>
        <v>6920</v>
      </c>
      <c r="H384" s="0" t="n">
        <f aca="false">IF(C384&gt;1,IF(C384&lt;99,VLOOKUP(F384,'MSA-Lookup'!$AA$1:$AB$25,2),C384),C384)</f>
        <v>6920</v>
      </c>
    </row>
    <row r="385" customFormat="false" ht="12.75" hidden="false" customHeight="false" outlineLevel="0" collapsed="false">
      <c r="A385" s="0" t="n">
        <f aca="false">B385*1000+C385</f>
        <v>11029</v>
      </c>
      <c r="B385" s="0" t="n">
        <v>11</v>
      </c>
      <c r="C385" s="0" t="n">
        <v>29</v>
      </c>
      <c r="D385" s="0" t="n">
        <v>14482</v>
      </c>
      <c r="E385" s="0" t="n">
        <f aca="false">VLOOKUP(B385,'MSA-Lookup'!$H$2:$I$86,2)</f>
        <v>6920</v>
      </c>
      <c r="F385" s="0" t="n">
        <f aca="false">IF(C385&gt;1,IF(C385&lt;99,VLOOKUP(C385,'MSA-Lookup'!$H$1:$I$86,2),C385),C385)</f>
        <v>6920</v>
      </c>
      <c r="G385" s="0" t="n">
        <f aca="false">VLOOKUP(E385,'MSA-Lookup'!$AA$1:$AB$25,2)</f>
        <v>6920</v>
      </c>
      <c r="H385" s="0" t="n">
        <f aca="false">IF(C385&gt;1,IF(C385&lt;99,VLOOKUP(F385,'MSA-Lookup'!$AA$1:$AB$25,2),C385),C385)</f>
        <v>6920</v>
      </c>
    </row>
    <row r="386" customFormat="false" ht="12.75" hidden="false" customHeight="false" outlineLevel="0" collapsed="false">
      <c r="A386" s="0" t="n">
        <f aca="false">B386*1000+C386</f>
        <v>11033</v>
      </c>
      <c r="B386" s="0" t="n">
        <v>11</v>
      </c>
      <c r="C386" s="0" t="n">
        <v>33</v>
      </c>
      <c r="D386" s="0" t="n">
        <v>0</v>
      </c>
      <c r="E386" s="0" t="n">
        <f aca="false">VLOOKUP(B386,'MSA-Lookup'!$H$2:$I$86,2)</f>
        <v>6920</v>
      </c>
      <c r="F386" s="0" t="n">
        <f aca="false">IF(C386&gt;1,IF(C386&lt;99,VLOOKUP(C386,'MSA-Lookup'!$H$1:$I$86,2),C386),C386)</f>
        <v>7320</v>
      </c>
      <c r="G386" s="0" t="n">
        <f aca="false">VLOOKUP(E386,'MSA-Lookup'!$AA$1:$AB$25,2)</f>
        <v>6920</v>
      </c>
      <c r="H386" s="0" t="n">
        <f aca="false">IF(C386&gt;1,IF(C386&lt;99,VLOOKUP(F386,'MSA-Lookup'!$AA$1:$AB$25,2),C386),C386)</f>
        <v>7320</v>
      </c>
    </row>
    <row r="387" customFormat="false" ht="12.75" hidden="false" customHeight="false" outlineLevel="0" collapsed="false">
      <c r="A387" s="0" t="n">
        <f aca="false">B387*1000+C387</f>
        <v>11034</v>
      </c>
      <c r="B387" s="0" t="n">
        <v>11</v>
      </c>
      <c r="C387" s="0" t="n">
        <v>34</v>
      </c>
      <c r="D387" s="0" t="n">
        <v>0</v>
      </c>
      <c r="E387" s="0" t="n">
        <f aca="false">VLOOKUP(B387,'MSA-Lookup'!$H$2:$I$86,2)</f>
        <v>6920</v>
      </c>
      <c r="F387" s="0" t="n">
        <f aca="false">IF(C387&gt;1,IF(C387&lt;99,VLOOKUP(C387,'MSA-Lookup'!$H$1:$I$86,2),C387),C387)</f>
        <v>7320</v>
      </c>
      <c r="G387" s="0" t="n">
        <f aca="false">VLOOKUP(E387,'MSA-Lookup'!$AA$1:$AB$25,2)</f>
        <v>6920</v>
      </c>
      <c r="H387" s="0" t="n">
        <f aca="false">IF(C387&gt;1,IF(C387&lt;99,VLOOKUP(F387,'MSA-Lookup'!$AA$1:$AB$25,2),C387),C387)</f>
        <v>7320</v>
      </c>
    </row>
    <row r="388" customFormat="false" ht="12.75" hidden="false" customHeight="false" outlineLevel="0" collapsed="false">
      <c r="A388" s="0" t="n">
        <f aca="false">B388*1000+C388</f>
        <v>11035</v>
      </c>
      <c r="B388" s="0" t="n">
        <v>11</v>
      </c>
      <c r="C388" s="0" t="n">
        <v>35</v>
      </c>
      <c r="D388" s="0" t="n">
        <v>0</v>
      </c>
      <c r="E388" s="0" t="n">
        <f aca="false">VLOOKUP(B388,'MSA-Lookup'!$H$2:$I$86,2)</f>
        <v>6920</v>
      </c>
      <c r="F388" s="0" t="n">
        <f aca="false">IF(C388&gt;1,IF(C388&lt;99,VLOOKUP(C388,'MSA-Lookup'!$H$1:$I$86,2),C388),C388)</f>
        <v>7320</v>
      </c>
      <c r="G388" s="0" t="n">
        <f aca="false">VLOOKUP(E388,'MSA-Lookup'!$AA$1:$AB$25,2)</f>
        <v>6920</v>
      </c>
      <c r="H388" s="0" t="n">
        <f aca="false">IF(C388&gt;1,IF(C388&lt;99,VLOOKUP(F388,'MSA-Lookup'!$AA$1:$AB$25,2),C388),C388)</f>
        <v>7320</v>
      </c>
    </row>
    <row r="389" customFormat="false" ht="12.75" hidden="false" customHeight="false" outlineLevel="0" collapsed="false">
      <c r="A389" s="0" t="n">
        <f aca="false">B389*1000+C389</f>
        <v>11037</v>
      </c>
      <c r="B389" s="0" t="n">
        <v>11</v>
      </c>
      <c r="C389" s="0" t="n">
        <v>37</v>
      </c>
      <c r="D389" s="0" t="n">
        <v>143</v>
      </c>
      <c r="E389" s="0" t="n">
        <f aca="false">VLOOKUP(B389,'MSA-Lookup'!$H$2:$I$86,2)</f>
        <v>6920</v>
      </c>
      <c r="F389" s="0" t="n">
        <f aca="false">IF(C389&gt;1,IF(C389&lt;99,VLOOKUP(C389,'MSA-Lookup'!$H$1:$I$86,2),C389),C389)</f>
        <v>7320</v>
      </c>
      <c r="G389" s="0" t="n">
        <f aca="false">VLOOKUP(E389,'MSA-Lookup'!$AA$1:$AB$25,2)</f>
        <v>6920</v>
      </c>
      <c r="H389" s="0" t="n">
        <f aca="false">IF(C389&gt;1,IF(C389&lt;99,VLOOKUP(F389,'MSA-Lookup'!$AA$1:$AB$25,2),C389),C389)</f>
        <v>7320</v>
      </c>
    </row>
    <row r="390" customFormat="false" ht="12.75" hidden="false" customHeight="false" outlineLevel="0" collapsed="false">
      <c r="A390" s="0" t="n">
        <f aca="false">B390*1000+C390</f>
        <v>11039</v>
      </c>
      <c r="B390" s="0" t="n">
        <v>11</v>
      </c>
      <c r="C390" s="0" t="n">
        <v>39</v>
      </c>
      <c r="D390" s="0" t="n">
        <v>0</v>
      </c>
      <c r="E390" s="0" t="n">
        <f aca="false">VLOOKUP(B390,'MSA-Lookup'!$H$2:$I$86,2)</f>
        <v>6920</v>
      </c>
      <c r="F390" s="0" t="n">
        <f aca="false">IF(C390&gt;1,IF(C390&lt;99,VLOOKUP(C390,'MSA-Lookup'!$H$1:$I$86,2),C390),C390)</f>
        <v>7120</v>
      </c>
      <c r="G390" s="0" t="n">
        <f aca="false">VLOOKUP(E390,'MSA-Lookup'!$AA$1:$AB$25,2)</f>
        <v>6920</v>
      </c>
      <c r="H390" s="0" t="n">
        <f aca="false">IF(C390&gt;1,IF(C390&lt;99,VLOOKUP(F390,'MSA-Lookup'!$AA$1:$AB$25,2),C390),C390)</f>
        <v>7120</v>
      </c>
    </row>
    <row r="391" customFormat="false" ht="12.75" hidden="false" customHeight="false" outlineLevel="0" collapsed="false">
      <c r="A391" s="0" t="n">
        <f aca="false">B391*1000+C391</f>
        <v>11040</v>
      </c>
      <c r="B391" s="0" t="n">
        <v>11</v>
      </c>
      <c r="C391" s="0" t="n">
        <v>40</v>
      </c>
      <c r="D391" s="0" t="n">
        <v>0</v>
      </c>
      <c r="E391" s="0" t="n">
        <f aca="false">VLOOKUP(B391,'MSA-Lookup'!$H$2:$I$86,2)</f>
        <v>6920</v>
      </c>
      <c r="F391" s="0" t="n">
        <f aca="false">IF(C391&gt;1,IF(C391&lt;99,VLOOKUP(C391,'MSA-Lookup'!$H$1:$I$86,2),C391),C391)</f>
        <v>2840</v>
      </c>
      <c r="G391" s="0" t="n">
        <f aca="false">VLOOKUP(E391,'MSA-Lookup'!$AA$1:$AB$25,2)</f>
        <v>6920</v>
      </c>
      <c r="H391" s="0" t="n">
        <f aca="false">IF(C391&gt;1,IF(C391&lt;99,VLOOKUP(F391,'MSA-Lookup'!$AA$1:$AB$25,2),C391),C391)</f>
        <v>2840</v>
      </c>
    </row>
    <row r="392" customFormat="false" ht="12.75" hidden="false" customHeight="false" outlineLevel="0" collapsed="false">
      <c r="A392" s="0" t="n">
        <f aca="false">B392*1000+C392</f>
        <v>11041</v>
      </c>
      <c r="B392" s="0" t="n">
        <v>11</v>
      </c>
      <c r="C392" s="0" t="n">
        <v>41</v>
      </c>
      <c r="D392" s="0" t="n">
        <v>117</v>
      </c>
      <c r="E392" s="0" t="n">
        <f aca="false">VLOOKUP(B392,'MSA-Lookup'!$H$2:$I$86,2)</f>
        <v>6920</v>
      </c>
      <c r="F392" s="0" t="n">
        <f aca="false">IF(C392&gt;1,IF(C392&lt;99,VLOOKUP(C392,'MSA-Lookup'!$H$1:$I$86,2),C392),C392)</f>
        <v>2840</v>
      </c>
      <c r="G392" s="0" t="n">
        <f aca="false">VLOOKUP(E392,'MSA-Lookup'!$AA$1:$AB$25,2)</f>
        <v>6920</v>
      </c>
      <c r="H392" s="0" t="n">
        <f aca="false">IF(C392&gt;1,IF(C392&lt;99,VLOOKUP(F392,'MSA-Lookup'!$AA$1:$AB$25,2),C392),C392)</f>
        <v>2840</v>
      </c>
    </row>
    <row r="393" customFormat="false" ht="12.75" hidden="false" customHeight="false" outlineLevel="0" collapsed="false">
      <c r="A393" s="0" t="n">
        <f aca="false">B393*1000+C393</f>
        <v>11048</v>
      </c>
      <c r="B393" s="0" t="n">
        <v>11</v>
      </c>
      <c r="C393" s="0" t="n">
        <v>48</v>
      </c>
      <c r="D393" s="0" t="n">
        <v>182</v>
      </c>
      <c r="E393" s="0" t="n">
        <f aca="false">VLOOKUP(B393,'MSA-Lookup'!$H$2:$I$86,2)</f>
        <v>6920</v>
      </c>
      <c r="F393" s="0" t="n">
        <f aca="false">IF(C393&gt;1,IF(C393&lt;99,VLOOKUP(C393,'MSA-Lookup'!$H$1:$I$86,2),C393),C393)</f>
        <v>360</v>
      </c>
      <c r="G393" s="0" t="n">
        <f aca="false">VLOOKUP(E393,'MSA-Lookup'!$AA$1:$AB$25,2)</f>
        <v>6920</v>
      </c>
      <c r="H393" s="0" t="n">
        <f aca="false">IF(C393&gt;1,IF(C393&lt;99,VLOOKUP(F393,'MSA-Lookup'!$AA$1:$AB$25,2),C393),C393)</f>
        <v>4472</v>
      </c>
    </row>
    <row r="394" customFormat="false" ht="12.75" hidden="false" customHeight="false" outlineLevel="0" collapsed="false">
      <c r="A394" s="0" t="n">
        <f aca="false">B394*1000+C394</f>
        <v>11049</v>
      </c>
      <c r="B394" s="0" t="n">
        <v>11</v>
      </c>
      <c r="C394" s="0" t="n">
        <v>49</v>
      </c>
      <c r="D394" s="0" t="n">
        <v>442</v>
      </c>
      <c r="E394" s="0" t="n">
        <f aca="false">VLOOKUP(B394,'MSA-Lookup'!$H$2:$I$86,2)</f>
        <v>6920</v>
      </c>
      <c r="F394" s="0" t="n">
        <f aca="false">IF(C394&gt;1,IF(C394&lt;99,VLOOKUP(C394,'MSA-Lookup'!$H$1:$I$86,2),C394),C394)</f>
        <v>7400</v>
      </c>
      <c r="G394" s="0" t="n">
        <f aca="false">VLOOKUP(E394,'MSA-Lookup'!$AA$1:$AB$25,2)</f>
        <v>6920</v>
      </c>
      <c r="H394" s="0" t="n">
        <f aca="false">IF(C394&gt;1,IF(C394&lt;99,VLOOKUP(F394,'MSA-Lookup'!$AA$1:$AB$25,2),C394),C394)</f>
        <v>7362</v>
      </c>
    </row>
    <row r="395" customFormat="false" ht="12.75" hidden="false" customHeight="false" outlineLevel="0" collapsed="false">
      <c r="A395" s="0" t="n">
        <f aca="false">B395*1000+C395</f>
        <v>11050</v>
      </c>
      <c r="B395" s="0" t="n">
        <v>11</v>
      </c>
      <c r="C395" s="0" t="n">
        <v>50</v>
      </c>
      <c r="D395" s="0" t="n">
        <v>0</v>
      </c>
      <c r="E395" s="0" t="n">
        <f aca="false">VLOOKUP(B395,'MSA-Lookup'!$H$2:$I$86,2)</f>
        <v>6920</v>
      </c>
      <c r="F395" s="0" t="n">
        <f aca="false">IF(C395&gt;1,IF(C395&lt;99,VLOOKUP(C395,'MSA-Lookup'!$H$1:$I$86,2),C395),C395)</f>
        <v>7400</v>
      </c>
      <c r="G395" s="0" t="n">
        <f aca="false">VLOOKUP(E395,'MSA-Lookup'!$AA$1:$AB$25,2)</f>
        <v>6920</v>
      </c>
      <c r="H395" s="0" t="n">
        <f aca="false">IF(C395&gt;1,IF(C395&lt;99,VLOOKUP(F395,'MSA-Lookup'!$AA$1:$AB$25,2),C395),C395)</f>
        <v>7362</v>
      </c>
    </row>
    <row r="396" customFormat="false" ht="12.75" hidden="false" customHeight="false" outlineLevel="0" collapsed="false">
      <c r="A396" s="0" t="n">
        <f aca="false">B396*1000+C396</f>
        <v>11051</v>
      </c>
      <c r="B396" s="0" t="n">
        <v>11</v>
      </c>
      <c r="C396" s="0" t="n">
        <v>51</v>
      </c>
      <c r="D396" s="0" t="n">
        <v>0</v>
      </c>
      <c r="E396" s="0" t="n">
        <f aca="false">VLOOKUP(B396,'MSA-Lookup'!$H$2:$I$86,2)</f>
        <v>6920</v>
      </c>
      <c r="F396" s="0" t="n">
        <f aca="false">IF(C396&gt;1,IF(C396&lt;99,VLOOKUP(C396,'MSA-Lookup'!$H$1:$I$86,2),C396),C396)</f>
        <v>7400</v>
      </c>
      <c r="G396" s="0" t="n">
        <f aca="false">VLOOKUP(E396,'MSA-Lookup'!$AA$1:$AB$25,2)</f>
        <v>6920</v>
      </c>
      <c r="H396" s="0" t="n">
        <f aca="false">IF(C396&gt;1,IF(C396&lt;99,VLOOKUP(F396,'MSA-Lookup'!$AA$1:$AB$25,2),C396),C396)</f>
        <v>7362</v>
      </c>
    </row>
    <row r="397" customFormat="false" ht="12.75" hidden="false" customHeight="false" outlineLevel="0" collapsed="false">
      <c r="A397" s="0" t="n">
        <f aca="false">B397*1000+C397</f>
        <v>11053</v>
      </c>
      <c r="B397" s="0" t="n">
        <v>11</v>
      </c>
      <c r="C397" s="0" t="n">
        <v>53</v>
      </c>
      <c r="D397" s="0" t="n">
        <v>0</v>
      </c>
      <c r="E397" s="0" t="n">
        <f aca="false">VLOOKUP(B397,'MSA-Lookup'!$H$2:$I$86,2)</f>
        <v>6920</v>
      </c>
      <c r="F397" s="0" t="n">
        <f aca="false">IF(C397&gt;1,IF(C397&lt;99,VLOOKUP(C397,'MSA-Lookup'!$H$1:$I$86,2),C397),C397)</f>
        <v>4480</v>
      </c>
      <c r="G397" s="0" t="n">
        <f aca="false">VLOOKUP(E397,'MSA-Lookup'!$AA$1:$AB$25,2)</f>
        <v>6920</v>
      </c>
      <c r="H397" s="0" t="n">
        <f aca="false">IF(C397&gt;1,IF(C397&lt;99,VLOOKUP(F397,'MSA-Lookup'!$AA$1:$AB$25,2),C397),C397)</f>
        <v>4472</v>
      </c>
    </row>
    <row r="398" customFormat="false" ht="12.75" hidden="false" customHeight="false" outlineLevel="0" collapsed="false">
      <c r="A398" s="0" t="n">
        <f aca="false">B398*1000+C398</f>
        <v>11060</v>
      </c>
      <c r="B398" s="0" t="n">
        <v>11</v>
      </c>
      <c r="C398" s="0" t="n">
        <v>60</v>
      </c>
      <c r="D398" s="0" t="n">
        <v>78</v>
      </c>
      <c r="E398" s="0" t="n">
        <f aca="false">VLOOKUP(B398,'MSA-Lookup'!$H$2:$I$86,2)</f>
        <v>6920</v>
      </c>
      <c r="F398" s="0" t="n">
        <f aca="false">IF(C398&gt;1,IF(C398&lt;99,VLOOKUP(C398,'MSA-Lookup'!$H$1:$I$86,2),C398),C398)</f>
        <v>4480</v>
      </c>
      <c r="G398" s="0" t="n">
        <f aca="false">VLOOKUP(E398,'MSA-Lookup'!$AA$1:$AB$25,2)</f>
        <v>6920</v>
      </c>
      <c r="H398" s="0" t="n">
        <f aca="false">IF(C398&gt;1,IF(C398&lt;99,VLOOKUP(F398,'MSA-Lookup'!$AA$1:$AB$25,2),C398),C398)</f>
        <v>4472</v>
      </c>
    </row>
    <row r="399" customFormat="false" ht="12.75" hidden="false" customHeight="false" outlineLevel="0" collapsed="false">
      <c r="A399" s="0" t="n">
        <f aca="false">B399*1000+C399</f>
        <v>11064</v>
      </c>
      <c r="B399" s="0" t="n">
        <v>11</v>
      </c>
      <c r="C399" s="0" t="n">
        <v>64</v>
      </c>
      <c r="D399" s="0" t="n">
        <v>0</v>
      </c>
      <c r="E399" s="0" t="n">
        <f aca="false">VLOOKUP(B399,'MSA-Lookup'!$H$2:$I$86,2)</f>
        <v>6920</v>
      </c>
      <c r="F399" s="0" t="n">
        <f aca="false">IF(C399&gt;1,IF(C399&lt;99,VLOOKUP(C399,'MSA-Lookup'!$H$1:$I$86,2),C399),C399)</f>
        <v>4480</v>
      </c>
      <c r="G399" s="0" t="n">
        <f aca="false">VLOOKUP(E399,'MSA-Lookup'!$AA$1:$AB$25,2)</f>
        <v>6920</v>
      </c>
      <c r="H399" s="0" t="n">
        <f aca="false">IF(C399&gt;1,IF(C399&lt;99,VLOOKUP(F399,'MSA-Lookup'!$AA$1:$AB$25,2),C399),C399)</f>
        <v>4472</v>
      </c>
    </row>
    <row r="400" customFormat="false" ht="12.75" hidden="false" customHeight="false" outlineLevel="0" collapsed="false">
      <c r="A400" s="0" t="n">
        <f aca="false">B400*1000+C400</f>
        <v>11065</v>
      </c>
      <c r="B400" s="0" t="n">
        <v>11</v>
      </c>
      <c r="C400" s="0" t="n">
        <v>65</v>
      </c>
      <c r="D400" s="0" t="n">
        <v>143</v>
      </c>
      <c r="E400" s="0" t="n">
        <f aca="false">VLOOKUP(B400,'MSA-Lookup'!$H$2:$I$86,2)</f>
        <v>6920</v>
      </c>
      <c r="F400" s="0" t="n">
        <f aca="false">IF(C400&gt;1,IF(C400&lt;99,VLOOKUP(C400,'MSA-Lookup'!$H$1:$I$86,2),C400),C400)</f>
        <v>4480</v>
      </c>
      <c r="G400" s="0" t="n">
        <f aca="false">VLOOKUP(E400,'MSA-Lookup'!$AA$1:$AB$25,2)</f>
        <v>6920</v>
      </c>
      <c r="H400" s="0" t="n">
        <f aca="false">IF(C400&gt;1,IF(C400&lt;99,VLOOKUP(F400,'MSA-Lookup'!$AA$1:$AB$25,2),C400),C400)</f>
        <v>4472</v>
      </c>
    </row>
    <row r="401" customFormat="false" ht="12.75" hidden="false" customHeight="false" outlineLevel="0" collapsed="false">
      <c r="A401" s="0" t="n">
        <f aca="false">B401*1000+C401</f>
        <v>11067</v>
      </c>
      <c r="B401" s="0" t="n">
        <v>11</v>
      </c>
      <c r="C401" s="0" t="n">
        <v>67</v>
      </c>
      <c r="D401" s="0" t="n">
        <v>156</v>
      </c>
      <c r="E401" s="0" t="n">
        <f aca="false">VLOOKUP(B401,'MSA-Lookup'!$H$2:$I$86,2)</f>
        <v>6920</v>
      </c>
      <c r="F401" s="0" t="n">
        <f aca="false">IF(C401&gt;1,IF(C401&lt;99,VLOOKUP(C401,'MSA-Lookup'!$H$1:$I$86,2),C401),C401)</f>
        <v>6000</v>
      </c>
      <c r="G401" s="0" t="n">
        <f aca="false">VLOOKUP(E401,'MSA-Lookup'!$AA$1:$AB$25,2)</f>
        <v>6920</v>
      </c>
      <c r="H401" s="0" t="n">
        <f aca="false">IF(C401&gt;1,IF(C401&lt;99,VLOOKUP(F401,'MSA-Lookup'!$AA$1:$AB$25,2),C401),C401)</f>
        <v>4472</v>
      </c>
    </row>
    <row r="402" customFormat="false" ht="12.75" hidden="false" customHeight="false" outlineLevel="0" collapsed="false">
      <c r="A402" s="0" t="n">
        <f aca="false">B402*1000+C402</f>
        <v>11069</v>
      </c>
      <c r="B402" s="0" t="n">
        <v>11</v>
      </c>
      <c r="C402" s="0" t="n">
        <v>69</v>
      </c>
      <c r="D402" s="0" t="n">
        <v>169</v>
      </c>
      <c r="E402" s="0" t="n">
        <f aca="false">VLOOKUP(B402,'MSA-Lookup'!$H$2:$I$86,2)</f>
        <v>6920</v>
      </c>
      <c r="F402" s="0" t="n">
        <f aca="false">IF(C402&gt;1,IF(C402&lt;99,VLOOKUP(C402,'MSA-Lookup'!$H$1:$I$86,2),C402),C402)</f>
        <v>6780</v>
      </c>
      <c r="G402" s="0" t="n">
        <f aca="false">VLOOKUP(E402,'MSA-Lookup'!$AA$1:$AB$25,2)</f>
        <v>6920</v>
      </c>
      <c r="H402" s="0" t="n">
        <f aca="false">IF(C402&gt;1,IF(C402&lt;99,VLOOKUP(F402,'MSA-Lookup'!$AA$1:$AB$25,2),C402),C402)</f>
        <v>4472</v>
      </c>
    </row>
    <row r="403" customFormat="false" ht="12.75" hidden="false" customHeight="false" outlineLevel="0" collapsed="false">
      <c r="A403" s="0" t="n">
        <f aca="false">B403*1000+C403</f>
        <v>11072</v>
      </c>
      <c r="B403" s="0" t="n">
        <v>11</v>
      </c>
      <c r="C403" s="0" t="n">
        <v>72</v>
      </c>
      <c r="D403" s="0" t="n">
        <v>0</v>
      </c>
      <c r="E403" s="0" t="n">
        <f aca="false">VLOOKUP(B403,'MSA-Lookup'!$H$2:$I$86,2)</f>
        <v>6920</v>
      </c>
      <c r="F403" s="0" t="n">
        <f aca="false">IF(C403&gt;1,IF(C403&lt;99,VLOOKUP(C403,'MSA-Lookup'!$H$1:$I$86,2),C403),C403)</f>
        <v>6780</v>
      </c>
      <c r="G403" s="0" t="n">
        <f aca="false">VLOOKUP(E403,'MSA-Lookup'!$AA$1:$AB$25,2)</f>
        <v>6920</v>
      </c>
      <c r="H403" s="0" t="n">
        <f aca="false">IF(C403&gt;1,IF(C403&lt;99,VLOOKUP(F403,'MSA-Lookup'!$AA$1:$AB$25,2),C403),C403)</f>
        <v>4472</v>
      </c>
    </row>
    <row r="404" customFormat="false" ht="12.75" hidden="false" customHeight="false" outlineLevel="0" collapsed="false">
      <c r="A404" s="0" t="n">
        <f aca="false">B404*1000+C404</f>
        <v>11073</v>
      </c>
      <c r="B404" s="0" t="n">
        <v>11</v>
      </c>
      <c r="C404" s="0" t="n">
        <v>73</v>
      </c>
      <c r="D404" s="0" t="n">
        <v>0</v>
      </c>
      <c r="E404" s="0" t="n">
        <f aca="false">VLOOKUP(B404,'MSA-Lookup'!$H$2:$I$86,2)</f>
        <v>6920</v>
      </c>
      <c r="F404" s="0" t="n">
        <f aca="false">IF(C404&gt;1,IF(C404&lt;99,VLOOKUP(C404,'MSA-Lookup'!$H$1:$I$86,2),C404),C404)</f>
        <v>8720</v>
      </c>
      <c r="G404" s="0" t="n">
        <f aca="false">VLOOKUP(E404,'MSA-Lookup'!$AA$1:$AB$25,2)</f>
        <v>6920</v>
      </c>
      <c r="H404" s="0" t="n">
        <f aca="false">IF(C404&gt;1,IF(C404&lt;99,VLOOKUP(F404,'MSA-Lookup'!$AA$1:$AB$25,2),C404),C404)</f>
        <v>7362</v>
      </c>
    </row>
    <row r="405" customFormat="false" ht="12.75" hidden="false" customHeight="false" outlineLevel="0" collapsed="false">
      <c r="A405" s="0" t="n">
        <f aca="false">B405*1000+C405</f>
        <v>11075</v>
      </c>
      <c r="B405" s="0" t="n">
        <v>11</v>
      </c>
      <c r="C405" s="0" t="n">
        <v>75</v>
      </c>
      <c r="D405" s="0" t="n">
        <v>0</v>
      </c>
      <c r="E405" s="0" t="n">
        <f aca="false">VLOOKUP(B405,'MSA-Lookup'!$H$2:$I$86,2)</f>
        <v>6920</v>
      </c>
      <c r="F405" s="0" t="n">
        <f aca="false">IF(C405&gt;1,IF(C405&lt;99,VLOOKUP(C405,'MSA-Lookup'!$H$1:$I$86,2),C405),C405)</f>
        <v>8780</v>
      </c>
      <c r="G405" s="0" t="n">
        <f aca="false">VLOOKUP(E405,'MSA-Lookup'!$AA$1:$AB$25,2)</f>
        <v>6920</v>
      </c>
      <c r="H405" s="0" t="n">
        <f aca="false">IF(C405&gt;1,IF(C405&lt;99,VLOOKUP(F405,'MSA-Lookup'!$AA$1:$AB$25,2),C405),C405)</f>
        <v>8780</v>
      </c>
    </row>
    <row r="406" customFormat="false" ht="12.75" hidden="false" customHeight="false" outlineLevel="0" collapsed="false">
      <c r="A406" s="0" t="n">
        <f aca="false">B406*1000+C406</f>
        <v>11079</v>
      </c>
      <c r="B406" s="0" t="n">
        <v>11</v>
      </c>
      <c r="C406" s="0" t="n">
        <v>79</v>
      </c>
      <c r="D406" s="0" t="n">
        <v>0</v>
      </c>
      <c r="E406" s="0" t="n">
        <f aca="false">VLOOKUP(B406,'MSA-Lookup'!$H$2:$I$86,2)</f>
        <v>6920</v>
      </c>
      <c r="F406" s="0" t="n">
        <f aca="false">IF(C406&gt;1,IF(C406&lt;99,VLOOKUP(C406,'MSA-Lookup'!$H$1:$I$86,2),C406),C406)</f>
        <v>680</v>
      </c>
      <c r="G406" s="0" t="n">
        <f aca="false">VLOOKUP(E406,'MSA-Lookup'!$AA$1:$AB$25,2)</f>
        <v>6920</v>
      </c>
      <c r="H406" s="0" t="n">
        <f aca="false">IF(C406&gt;1,IF(C406&lt;99,VLOOKUP(F406,'MSA-Lookup'!$AA$1:$AB$25,2),C406),C406)</f>
        <v>680</v>
      </c>
    </row>
    <row r="407" customFormat="false" ht="12.75" hidden="false" customHeight="false" outlineLevel="0" collapsed="false">
      <c r="A407" s="0" t="n">
        <f aca="false">B407*1000+C407</f>
        <v>11085</v>
      </c>
      <c r="B407" s="0" t="n">
        <v>11</v>
      </c>
      <c r="C407" s="0" t="n">
        <v>85</v>
      </c>
      <c r="D407" s="0" t="n">
        <v>208</v>
      </c>
      <c r="E407" s="0" t="n">
        <f aca="false">VLOOKUP(B407,'MSA-Lookup'!$H$2:$I$86,2)</f>
        <v>6920</v>
      </c>
      <c r="F407" s="0" t="n">
        <f aca="false">IF(C407&gt;1,IF(C407&lt;99,VLOOKUP(C407,'MSA-Lookup'!$H$1:$I$86,2),C407),C407)</f>
        <v>8120</v>
      </c>
      <c r="G407" s="0" t="n">
        <f aca="false">VLOOKUP(E407,'MSA-Lookup'!$AA$1:$AB$25,2)</f>
        <v>6920</v>
      </c>
      <c r="H407" s="0" t="n">
        <f aca="false">IF(C407&gt;1,IF(C407&lt;99,VLOOKUP(F407,'MSA-Lookup'!$AA$1:$AB$25,2),C407),C407)</f>
        <v>8120</v>
      </c>
    </row>
    <row r="408" customFormat="false" ht="12.75" hidden="false" customHeight="false" outlineLevel="0" collapsed="false">
      <c r="A408" s="0" t="n">
        <f aca="false">B408*1000+C408</f>
        <v>11999</v>
      </c>
      <c r="B408" s="0" t="n">
        <v>11</v>
      </c>
      <c r="C408" s="0" t="n">
        <v>999</v>
      </c>
      <c r="D408" s="0" t="n">
        <v>117</v>
      </c>
      <c r="E408" s="0" t="n">
        <f aca="false">VLOOKUP(B408,'MSA-Lookup'!$H$2:$I$86,2)</f>
        <v>6920</v>
      </c>
      <c r="F408" s="0" t="n">
        <f aca="false">IF(C408&gt;1,IF(C408&lt;99,VLOOKUP(C408,'MSA-Lookup'!$H$1:$I$86,2),C408),C408)</f>
        <v>999</v>
      </c>
      <c r="G408" s="0" t="n">
        <f aca="false">VLOOKUP(E408,'MSA-Lookup'!$AA$1:$AB$25,2)</f>
        <v>6920</v>
      </c>
      <c r="H408" s="0" t="n">
        <f aca="false">IF(C408&gt;1,IF(C408&lt;99,VLOOKUP(F408,'MSA-Lookup'!$AA$1:$AB$25,2),C408),C408)</f>
        <v>999</v>
      </c>
    </row>
    <row r="409" customFormat="false" ht="12.75" hidden="false" customHeight="false" outlineLevel="0" collapsed="false">
      <c r="A409" s="0" t="n">
        <f aca="false">B409*1000+C409</f>
        <v>12000</v>
      </c>
      <c r="B409" s="0" t="n">
        <v>12</v>
      </c>
      <c r="C409" s="0" t="n">
        <v>0</v>
      </c>
      <c r="D409" s="0" t="n">
        <v>66781</v>
      </c>
      <c r="E409" s="0" t="n">
        <f aca="false">VLOOKUP(B409,'MSA-Lookup'!$H$2:$I$86,2)</f>
        <v>6920</v>
      </c>
      <c r="F409" s="0" t="n">
        <f aca="false">IF(C409&gt;1,IF(C409&lt;99,VLOOKUP(C409,'MSA-Lookup'!$H$1:$I$86,2),C409),C409)</f>
        <v>0</v>
      </c>
      <c r="G409" s="0" t="n">
        <f aca="false">VLOOKUP(E409,'MSA-Lookup'!$AA$1:$AB$25,2)</f>
        <v>6920</v>
      </c>
      <c r="H409" s="0" t="n">
        <f aca="false">IF(C409&gt;1,IF(C409&lt;99,VLOOKUP(F409,'MSA-Lookup'!$AA$1:$AB$25,2),C409),C409)</f>
        <v>0</v>
      </c>
    </row>
    <row r="410" customFormat="false" ht="12.75" hidden="false" customHeight="false" outlineLevel="0" collapsed="false">
      <c r="A410" s="0" t="n">
        <f aca="false">B410*1000+C410</f>
        <v>12001</v>
      </c>
      <c r="B410" s="0" t="n">
        <v>12</v>
      </c>
      <c r="C410" s="0" t="n">
        <v>1</v>
      </c>
      <c r="D410" s="0" t="n">
        <v>0</v>
      </c>
      <c r="E410" s="0" t="n">
        <f aca="false">VLOOKUP(B410,'MSA-Lookup'!$H$2:$I$86,2)</f>
        <v>6920</v>
      </c>
      <c r="F410" s="0" t="n">
        <f aca="false">IF(C410&gt;1,IF(C410&lt;99,VLOOKUP(C410,'MSA-Lookup'!$H$1:$I$86,2),C410),C410)</f>
        <v>1</v>
      </c>
      <c r="G410" s="0" t="n">
        <f aca="false">VLOOKUP(E410,'MSA-Lookup'!$AA$1:$AB$25,2)</f>
        <v>6920</v>
      </c>
      <c r="H410" s="0" t="n">
        <f aca="false">IF(C410&gt;1,IF(C410&lt;99,VLOOKUP(F410,'MSA-Lookup'!$AA$1:$AB$25,2),C410),C410)</f>
        <v>1</v>
      </c>
    </row>
    <row r="411" customFormat="false" ht="12.75" hidden="false" customHeight="false" outlineLevel="0" collapsed="false">
      <c r="A411" s="0" t="n">
        <f aca="false">B411*1000+C411</f>
        <v>12002</v>
      </c>
      <c r="B411" s="0" t="n">
        <v>12</v>
      </c>
      <c r="C411" s="0" t="n">
        <v>2</v>
      </c>
      <c r="D411" s="0" t="n">
        <v>143</v>
      </c>
      <c r="E411" s="0" t="n">
        <f aca="false">VLOOKUP(B411,'MSA-Lookup'!$H$2:$I$86,2)</f>
        <v>6920</v>
      </c>
      <c r="F411" s="0" t="n">
        <f aca="false">IF(C411&gt;1,IF(C411&lt;99,VLOOKUP(C411,'MSA-Lookup'!$H$1:$I$86,2),C411),C411)</f>
        <v>9999</v>
      </c>
      <c r="G411" s="0" t="n">
        <f aca="false">VLOOKUP(E411,'MSA-Lookup'!$AA$1:$AB$25,2)</f>
        <v>6920</v>
      </c>
      <c r="H411" s="0" t="n">
        <f aca="false">IF(C411&gt;1,IF(C411&lt;99,VLOOKUP(F411,'MSA-Lookup'!$AA$1:$AB$25,2),C411),C411)</f>
        <v>9999</v>
      </c>
    </row>
    <row r="412" customFormat="false" ht="12.75" hidden="false" customHeight="false" outlineLevel="0" collapsed="false">
      <c r="A412" s="0" t="n">
        <f aca="false">B412*1000+C412</f>
        <v>12003</v>
      </c>
      <c r="B412" s="0" t="n">
        <v>12</v>
      </c>
      <c r="C412" s="0" t="n">
        <v>3</v>
      </c>
      <c r="D412" s="0" t="n">
        <v>299</v>
      </c>
      <c r="E412" s="0" t="n">
        <f aca="false">VLOOKUP(B412,'MSA-Lookup'!$H$2:$I$86,2)</f>
        <v>6920</v>
      </c>
      <c r="F412" s="0" t="n">
        <f aca="false">IF(C412&gt;1,IF(C412&lt;99,VLOOKUP(C412,'MSA-Lookup'!$H$1:$I$86,2),C412),C412)</f>
        <v>6690</v>
      </c>
      <c r="G412" s="0" t="n">
        <f aca="false">VLOOKUP(E412,'MSA-Lookup'!$AA$1:$AB$25,2)</f>
        <v>6920</v>
      </c>
      <c r="H412" s="0" t="n">
        <f aca="false">IF(C412&gt;1,IF(C412&lt;99,VLOOKUP(F412,'MSA-Lookup'!$AA$1:$AB$25,2),C412),C412)</f>
        <v>6690</v>
      </c>
    </row>
    <row r="413" customFormat="false" ht="12.75" hidden="false" customHeight="false" outlineLevel="0" collapsed="false">
      <c r="A413" s="0" t="n">
        <f aca="false">B413*1000+C413</f>
        <v>12004</v>
      </c>
      <c r="B413" s="0" t="n">
        <v>12</v>
      </c>
      <c r="C413" s="0" t="n">
        <v>4</v>
      </c>
      <c r="D413" s="0" t="n">
        <v>0</v>
      </c>
      <c r="E413" s="0" t="n">
        <f aca="false">VLOOKUP(B413,'MSA-Lookup'!$H$2:$I$86,2)</f>
        <v>6920</v>
      </c>
      <c r="F413" s="0" t="n">
        <f aca="false">IF(C413&gt;1,IF(C413&lt;99,VLOOKUP(C413,'MSA-Lookup'!$H$1:$I$86,2),C413),C413)</f>
        <v>9999</v>
      </c>
      <c r="G413" s="0" t="n">
        <f aca="false">VLOOKUP(E413,'MSA-Lookup'!$AA$1:$AB$25,2)</f>
        <v>6920</v>
      </c>
      <c r="H413" s="0" t="n">
        <f aca="false">IF(C413&gt;1,IF(C413&lt;99,VLOOKUP(F413,'MSA-Lookup'!$AA$1:$AB$25,2),C413),C413)</f>
        <v>9999</v>
      </c>
    </row>
    <row r="414" customFormat="false" ht="12.75" hidden="false" customHeight="false" outlineLevel="0" collapsed="false">
      <c r="A414" s="0" t="n">
        <f aca="false">B414*1000+C414</f>
        <v>12005</v>
      </c>
      <c r="B414" s="0" t="n">
        <v>12</v>
      </c>
      <c r="C414" s="0" t="n">
        <v>5</v>
      </c>
      <c r="D414" s="0" t="n">
        <v>5811</v>
      </c>
      <c r="E414" s="0" t="n">
        <f aca="false">VLOOKUP(B414,'MSA-Lookup'!$H$2:$I$86,2)</f>
        <v>6920</v>
      </c>
      <c r="F414" s="0" t="n">
        <f aca="false">IF(C414&gt;1,IF(C414&lt;99,VLOOKUP(C414,'MSA-Lookup'!$H$1:$I$86,2),C414),C414)</f>
        <v>9999</v>
      </c>
      <c r="G414" s="0" t="n">
        <f aca="false">VLOOKUP(E414,'MSA-Lookup'!$AA$1:$AB$25,2)</f>
        <v>6920</v>
      </c>
      <c r="H414" s="0" t="n">
        <f aca="false">IF(C414&gt;1,IF(C414&lt;99,VLOOKUP(F414,'MSA-Lookup'!$AA$1:$AB$25,2),C414),C414)</f>
        <v>9999</v>
      </c>
    </row>
    <row r="415" customFormat="false" ht="12.75" hidden="false" customHeight="false" outlineLevel="0" collapsed="false">
      <c r="A415" s="0" t="n">
        <f aca="false">B415*1000+C415</f>
        <v>12006</v>
      </c>
      <c r="B415" s="0" t="n">
        <v>12</v>
      </c>
      <c r="C415" s="0" t="n">
        <v>6</v>
      </c>
      <c r="D415" s="0" t="n">
        <v>143</v>
      </c>
      <c r="E415" s="0" t="n">
        <f aca="false">VLOOKUP(B415,'MSA-Lookup'!$H$2:$I$86,2)</f>
        <v>6920</v>
      </c>
      <c r="F415" s="0" t="n">
        <f aca="false">IF(C415&gt;1,IF(C415&lt;99,VLOOKUP(C415,'MSA-Lookup'!$H$1:$I$86,2),C415),C415)</f>
        <v>1620</v>
      </c>
      <c r="G415" s="0" t="n">
        <f aca="false">VLOOKUP(E415,'MSA-Lookup'!$AA$1:$AB$25,2)</f>
        <v>6920</v>
      </c>
      <c r="H415" s="0" t="n">
        <f aca="false">IF(C415&gt;1,IF(C415&lt;99,VLOOKUP(F415,'MSA-Lookup'!$AA$1:$AB$25,2),C415),C415)</f>
        <v>1620</v>
      </c>
    </row>
    <row r="416" customFormat="false" ht="12.75" hidden="false" customHeight="false" outlineLevel="0" collapsed="false">
      <c r="A416" s="0" t="n">
        <f aca="false">B416*1000+C416</f>
        <v>12007</v>
      </c>
      <c r="B416" s="0" t="n">
        <v>12</v>
      </c>
      <c r="C416" s="0" t="n">
        <v>7</v>
      </c>
      <c r="D416" s="0" t="n">
        <v>130</v>
      </c>
      <c r="E416" s="0" t="n">
        <f aca="false">VLOOKUP(B416,'MSA-Lookup'!$H$2:$I$86,2)</f>
        <v>6920</v>
      </c>
      <c r="F416" s="0" t="n">
        <f aca="false">IF(C416&gt;1,IF(C416&lt;99,VLOOKUP(C416,'MSA-Lookup'!$H$1:$I$86,2),C416),C416)</f>
        <v>9999</v>
      </c>
      <c r="G416" s="0" t="n">
        <f aca="false">VLOOKUP(E416,'MSA-Lookup'!$AA$1:$AB$25,2)</f>
        <v>6920</v>
      </c>
      <c r="H416" s="0" t="n">
        <f aca="false">IF(C416&gt;1,IF(C416&lt;99,VLOOKUP(F416,'MSA-Lookup'!$AA$1:$AB$25,2),C416),C416)</f>
        <v>9999</v>
      </c>
    </row>
    <row r="417" customFormat="false" ht="12.75" hidden="false" customHeight="false" outlineLevel="0" collapsed="false">
      <c r="A417" s="0" t="n">
        <f aca="false">B417*1000+C417</f>
        <v>12008</v>
      </c>
      <c r="B417" s="0" t="n">
        <v>12</v>
      </c>
      <c r="C417" s="0" t="n">
        <v>8</v>
      </c>
      <c r="D417" s="0" t="n">
        <v>0</v>
      </c>
      <c r="E417" s="0" t="n">
        <f aca="false">VLOOKUP(B417,'MSA-Lookup'!$H$2:$I$86,2)</f>
        <v>6920</v>
      </c>
      <c r="F417" s="0" t="n">
        <f aca="false">IF(C417&gt;1,IF(C417&lt;99,VLOOKUP(C417,'MSA-Lookup'!$H$1:$I$86,2),C417),C417)</f>
        <v>9340</v>
      </c>
      <c r="G417" s="0" t="n">
        <f aca="false">VLOOKUP(E417,'MSA-Lookup'!$AA$1:$AB$25,2)</f>
        <v>6920</v>
      </c>
      <c r="H417" s="0" t="n">
        <f aca="false">IF(C417&gt;1,IF(C417&lt;99,VLOOKUP(F417,'MSA-Lookup'!$AA$1:$AB$25,2),C417),C417)</f>
        <v>9340</v>
      </c>
    </row>
    <row r="418" customFormat="false" ht="12.75" hidden="false" customHeight="false" outlineLevel="0" collapsed="false">
      <c r="A418" s="0" t="n">
        <f aca="false">B418*1000+C418</f>
        <v>12009</v>
      </c>
      <c r="B418" s="0" t="n">
        <v>12</v>
      </c>
      <c r="C418" s="0" t="n">
        <v>9</v>
      </c>
      <c r="D418" s="0" t="n">
        <v>0</v>
      </c>
      <c r="E418" s="0" t="n">
        <f aca="false">VLOOKUP(B418,'MSA-Lookup'!$H$2:$I$86,2)</f>
        <v>6920</v>
      </c>
      <c r="F418" s="0" t="n">
        <f aca="false">IF(C418&gt;1,IF(C418&lt;99,VLOOKUP(C418,'MSA-Lookup'!$H$1:$I$86,2),C418),C418)</f>
        <v>8720</v>
      </c>
      <c r="G418" s="0" t="n">
        <f aca="false">VLOOKUP(E418,'MSA-Lookup'!$AA$1:$AB$25,2)</f>
        <v>6920</v>
      </c>
      <c r="H418" s="0" t="n">
        <f aca="false">IF(C418&gt;1,IF(C418&lt;99,VLOOKUP(F418,'MSA-Lookup'!$AA$1:$AB$25,2),C418),C418)</f>
        <v>7362</v>
      </c>
    </row>
    <row r="419" customFormat="false" ht="12.75" hidden="false" customHeight="false" outlineLevel="0" collapsed="false">
      <c r="A419" s="0" t="n">
        <f aca="false">B419*1000+C419</f>
        <v>12010</v>
      </c>
      <c r="B419" s="0" t="n">
        <v>12</v>
      </c>
      <c r="C419" s="0" t="n">
        <v>10</v>
      </c>
      <c r="D419" s="0" t="n">
        <v>494</v>
      </c>
      <c r="E419" s="0" t="n">
        <f aca="false">VLOOKUP(B419,'MSA-Lookup'!$H$2:$I$86,2)</f>
        <v>6920</v>
      </c>
      <c r="F419" s="0" t="n">
        <f aca="false">IF(C419&gt;1,IF(C419&lt;99,VLOOKUP(C419,'MSA-Lookup'!$H$1:$I$86,2),C419),C419)</f>
        <v>6920</v>
      </c>
      <c r="G419" s="0" t="n">
        <f aca="false">VLOOKUP(E419,'MSA-Lookup'!$AA$1:$AB$25,2)</f>
        <v>6920</v>
      </c>
      <c r="H419" s="0" t="n">
        <f aca="false">IF(C419&gt;1,IF(C419&lt;99,VLOOKUP(F419,'MSA-Lookup'!$AA$1:$AB$25,2),C419),C419)</f>
        <v>6920</v>
      </c>
    </row>
    <row r="420" customFormat="false" ht="12.75" hidden="false" customHeight="false" outlineLevel="0" collapsed="false">
      <c r="A420" s="0" t="n">
        <f aca="false">B420*1000+C420</f>
        <v>12011</v>
      </c>
      <c r="B420" s="0" t="n">
        <v>12</v>
      </c>
      <c r="C420" s="0" t="n">
        <v>11</v>
      </c>
      <c r="D420" s="0" t="n">
        <v>1651</v>
      </c>
      <c r="E420" s="0" t="n">
        <f aca="false">VLOOKUP(B420,'MSA-Lookup'!$H$2:$I$86,2)</f>
        <v>6920</v>
      </c>
      <c r="F420" s="0" t="n">
        <f aca="false">IF(C420&gt;1,IF(C420&lt;99,VLOOKUP(C420,'MSA-Lookup'!$H$1:$I$86,2),C420),C420)</f>
        <v>6920</v>
      </c>
      <c r="G420" s="0" t="n">
        <f aca="false">VLOOKUP(E420,'MSA-Lookup'!$AA$1:$AB$25,2)</f>
        <v>6920</v>
      </c>
      <c r="H420" s="0" t="n">
        <f aca="false">IF(C420&gt;1,IF(C420&lt;99,VLOOKUP(F420,'MSA-Lookup'!$AA$1:$AB$25,2),C420),C420)</f>
        <v>6920</v>
      </c>
    </row>
    <row r="421" customFormat="false" ht="12.75" hidden="false" customHeight="false" outlineLevel="0" collapsed="false">
      <c r="A421" s="0" t="n">
        <f aca="false">B421*1000+C421</f>
        <v>12012</v>
      </c>
      <c r="B421" s="0" t="n">
        <v>12</v>
      </c>
      <c r="C421" s="0" t="n">
        <v>12</v>
      </c>
      <c r="D421" s="0" t="n">
        <v>30693</v>
      </c>
      <c r="E421" s="0" t="n">
        <f aca="false">VLOOKUP(B421,'MSA-Lookup'!$H$2:$I$86,2)</f>
        <v>6920</v>
      </c>
      <c r="F421" s="0" t="n">
        <f aca="false">IF(C421&gt;1,IF(C421&lt;99,VLOOKUP(C421,'MSA-Lookup'!$H$1:$I$86,2),C421),C421)</f>
        <v>6920</v>
      </c>
      <c r="G421" s="0" t="n">
        <f aca="false">VLOOKUP(E421,'MSA-Lookup'!$AA$1:$AB$25,2)</f>
        <v>6920</v>
      </c>
      <c r="H421" s="0" t="n">
        <f aca="false">IF(C421&gt;1,IF(C421&lt;99,VLOOKUP(F421,'MSA-Lookup'!$AA$1:$AB$25,2),C421),C421)</f>
        <v>6920</v>
      </c>
    </row>
    <row r="422" customFormat="false" ht="12.75" hidden="false" customHeight="false" outlineLevel="0" collapsed="false">
      <c r="A422" s="0" t="n">
        <f aca="false">B422*1000+C422</f>
        <v>12013</v>
      </c>
      <c r="B422" s="0" t="n">
        <v>12</v>
      </c>
      <c r="C422" s="0" t="n">
        <v>13</v>
      </c>
      <c r="D422" s="0" t="n">
        <v>0</v>
      </c>
      <c r="E422" s="0" t="n">
        <f aca="false">VLOOKUP(B422,'MSA-Lookup'!$H$2:$I$86,2)</f>
        <v>6920</v>
      </c>
      <c r="F422" s="0" t="n">
        <f aca="false">IF(C422&gt;1,IF(C422&lt;99,VLOOKUP(C422,'MSA-Lookup'!$H$1:$I$86,2),C422),C422)</f>
        <v>7500</v>
      </c>
      <c r="G422" s="0" t="n">
        <f aca="false">VLOOKUP(E422,'MSA-Lookup'!$AA$1:$AB$25,2)</f>
        <v>6920</v>
      </c>
      <c r="H422" s="0" t="n">
        <f aca="false">IF(C422&gt;1,IF(C422&lt;99,VLOOKUP(F422,'MSA-Lookup'!$AA$1:$AB$25,2),C422),C422)</f>
        <v>7362</v>
      </c>
    </row>
    <row r="423" customFormat="false" ht="12.75" hidden="false" customHeight="false" outlineLevel="0" collapsed="false">
      <c r="A423" s="0" t="n">
        <f aca="false">B423*1000+C423</f>
        <v>12014</v>
      </c>
      <c r="B423" s="0" t="n">
        <v>12</v>
      </c>
      <c r="C423" s="0" t="n">
        <v>14</v>
      </c>
      <c r="D423" s="0" t="n">
        <v>91</v>
      </c>
      <c r="E423" s="0" t="n">
        <f aca="false">VLOOKUP(B423,'MSA-Lookup'!$H$2:$I$86,2)</f>
        <v>6920</v>
      </c>
      <c r="F423" s="0" t="n">
        <f aca="false">IF(C423&gt;1,IF(C423&lt;99,VLOOKUP(C423,'MSA-Lookup'!$H$1:$I$86,2),C423),C423)</f>
        <v>7500</v>
      </c>
      <c r="G423" s="0" t="n">
        <f aca="false">VLOOKUP(E423,'MSA-Lookup'!$AA$1:$AB$25,2)</f>
        <v>6920</v>
      </c>
      <c r="H423" s="0" t="n">
        <f aca="false">IF(C423&gt;1,IF(C423&lt;99,VLOOKUP(F423,'MSA-Lookup'!$AA$1:$AB$25,2),C423),C423)</f>
        <v>7362</v>
      </c>
    </row>
    <row r="424" customFormat="false" ht="12.75" hidden="false" customHeight="false" outlineLevel="0" collapsed="false">
      <c r="A424" s="0" t="n">
        <f aca="false">B424*1000+C424</f>
        <v>12015</v>
      </c>
      <c r="B424" s="0" t="n">
        <v>12</v>
      </c>
      <c r="C424" s="0" t="n">
        <v>15</v>
      </c>
      <c r="D424" s="0" t="n">
        <v>0</v>
      </c>
      <c r="E424" s="0" t="n">
        <f aca="false">VLOOKUP(B424,'MSA-Lookup'!$H$2:$I$86,2)</f>
        <v>6920</v>
      </c>
      <c r="F424" s="0" t="n">
        <f aca="false">IF(C424&gt;1,IF(C424&lt;99,VLOOKUP(C424,'MSA-Lookup'!$H$1:$I$86,2),C424),C424)</f>
        <v>7360</v>
      </c>
      <c r="G424" s="0" t="n">
        <f aca="false">VLOOKUP(E424,'MSA-Lookup'!$AA$1:$AB$25,2)</f>
        <v>6920</v>
      </c>
      <c r="H424" s="0" t="n">
        <f aca="false">IF(C424&gt;1,IF(C424&lt;99,VLOOKUP(F424,'MSA-Lookup'!$AA$1:$AB$25,2),C424),C424)</f>
        <v>7362</v>
      </c>
    </row>
    <row r="425" customFormat="false" ht="12.75" hidden="false" customHeight="false" outlineLevel="0" collapsed="false">
      <c r="A425" s="0" t="n">
        <f aca="false">B425*1000+C425</f>
        <v>12016</v>
      </c>
      <c r="B425" s="0" t="n">
        <v>12</v>
      </c>
      <c r="C425" s="0" t="n">
        <v>16</v>
      </c>
      <c r="D425" s="0" t="n">
        <v>117</v>
      </c>
      <c r="E425" s="0" t="n">
        <f aca="false">VLOOKUP(B425,'MSA-Lookup'!$H$2:$I$86,2)</f>
        <v>6920</v>
      </c>
      <c r="F425" s="0" t="n">
        <f aca="false">IF(C425&gt;1,IF(C425&lt;99,VLOOKUP(C425,'MSA-Lookup'!$H$1:$I$86,2),C425),C425)</f>
        <v>8720</v>
      </c>
      <c r="G425" s="0" t="n">
        <f aca="false">VLOOKUP(E425,'MSA-Lookup'!$AA$1:$AB$25,2)</f>
        <v>6920</v>
      </c>
      <c r="H425" s="0" t="n">
        <f aca="false">IF(C425&gt;1,IF(C425&lt;99,VLOOKUP(F425,'MSA-Lookup'!$AA$1:$AB$25,2),C425),C425)</f>
        <v>7362</v>
      </c>
    </row>
    <row r="426" customFormat="false" ht="12.75" hidden="false" customHeight="false" outlineLevel="0" collapsed="false">
      <c r="A426" s="0" t="n">
        <f aca="false">B426*1000+C426</f>
        <v>12017</v>
      </c>
      <c r="B426" s="0" t="n">
        <v>12</v>
      </c>
      <c r="C426" s="0" t="n">
        <v>17</v>
      </c>
      <c r="D426" s="0" t="n">
        <v>0</v>
      </c>
      <c r="E426" s="0" t="n">
        <f aca="false">VLOOKUP(B426,'MSA-Lookup'!$H$2:$I$86,2)</f>
        <v>6920</v>
      </c>
      <c r="F426" s="0" t="n">
        <f aca="false">IF(C426&gt;1,IF(C426&lt;99,VLOOKUP(C426,'MSA-Lookup'!$H$1:$I$86,2),C426),C426)</f>
        <v>5775</v>
      </c>
      <c r="G426" s="0" t="n">
        <f aca="false">VLOOKUP(E426,'MSA-Lookup'!$AA$1:$AB$25,2)</f>
        <v>6920</v>
      </c>
      <c r="H426" s="0" t="n">
        <f aca="false">IF(C426&gt;1,IF(C426&lt;99,VLOOKUP(F426,'MSA-Lookup'!$AA$1:$AB$25,2),C426),C426)</f>
        <v>7362</v>
      </c>
    </row>
    <row r="427" customFormat="false" ht="12.75" hidden="false" customHeight="false" outlineLevel="0" collapsed="false">
      <c r="A427" s="0" t="n">
        <f aca="false">B427*1000+C427</f>
        <v>12018</v>
      </c>
      <c r="B427" s="0" t="n">
        <v>12</v>
      </c>
      <c r="C427" s="0" t="n">
        <v>18</v>
      </c>
      <c r="D427" s="0" t="n">
        <v>91</v>
      </c>
      <c r="E427" s="0" t="n">
        <f aca="false">VLOOKUP(B427,'MSA-Lookup'!$H$2:$I$86,2)</f>
        <v>6920</v>
      </c>
      <c r="F427" s="0" t="n">
        <f aca="false">IF(C427&gt;1,IF(C427&lt;99,VLOOKUP(C427,'MSA-Lookup'!$H$1:$I$86,2),C427),C427)</f>
        <v>5775</v>
      </c>
      <c r="G427" s="0" t="n">
        <f aca="false">VLOOKUP(E427,'MSA-Lookup'!$AA$1:$AB$25,2)</f>
        <v>6920</v>
      </c>
      <c r="H427" s="0" t="n">
        <f aca="false">IF(C427&gt;1,IF(C427&lt;99,VLOOKUP(F427,'MSA-Lookup'!$AA$1:$AB$25,2),C427),C427)</f>
        <v>7362</v>
      </c>
    </row>
    <row r="428" customFormat="false" ht="12.75" hidden="false" customHeight="false" outlineLevel="0" collapsed="false">
      <c r="A428" s="0" t="n">
        <f aca="false">B428*1000+C428</f>
        <v>12019</v>
      </c>
      <c r="B428" s="0" t="n">
        <v>12</v>
      </c>
      <c r="C428" s="0" t="n">
        <v>19</v>
      </c>
      <c r="D428" s="0" t="n">
        <v>156</v>
      </c>
      <c r="E428" s="0" t="n">
        <f aca="false">VLOOKUP(B428,'MSA-Lookup'!$H$2:$I$86,2)</f>
        <v>6920</v>
      </c>
      <c r="F428" s="0" t="n">
        <f aca="false">IF(C428&gt;1,IF(C428&lt;99,VLOOKUP(C428,'MSA-Lookup'!$H$1:$I$86,2),C428),C428)</f>
        <v>7360</v>
      </c>
      <c r="G428" s="0" t="n">
        <f aca="false">VLOOKUP(E428,'MSA-Lookup'!$AA$1:$AB$25,2)</f>
        <v>6920</v>
      </c>
      <c r="H428" s="0" t="n">
        <f aca="false">IF(C428&gt;1,IF(C428&lt;99,VLOOKUP(F428,'MSA-Lookup'!$AA$1:$AB$25,2),C428),C428)</f>
        <v>7362</v>
      </c>
    </row>
    <row r="429" customFormat="false" ht="12.75" hidden="false" customHeight="false" outlineLevel="0" collapsed="false">
      <c r="A429" s="0" t="n">
        <f aca="false">B429*1000+C429</f>
        <v>12020</v>
      </c>
      <c r="B429" s="0" t="n">
        <v>12</v>
      </c>
      <c r="C429" s="0" t="n">
        <v>20</v>
      </c>
      <c r="D429" s="0" t="n">
        <v>0</v>
      </c>
      <c r="E429" s="0" t="n">
        <f aca="false">VLOOKUP(B429,'MSA-Lookup'!$H$2:$I$86,2)</f>
        <v>6920</v>
      </c>
      <c r="F429" s="0" t="n">
        <f aca="false">IF(C429&gt;1,IF(C429&lt;99,VLOOKUP(C429,'MSA-Lookup'!$H$1:$I$86,2),C429),C429)</f>
        <v>5775</v>
      </c>
      <c r="G429" s="0" t="n">
        <f aca="false">VLOOKUP(E429,'MSA-Lookup'!$AA$1:$AB$25,2)</f>
        <v>6920</v>
      </c>
      <c r="H429" s="0" t="n">
        <f aca="false">IF(C429&gt;1,IF(C429&lt;99,VLOOKUP(F429,'MSA-Lookup'!$AA$1:$AB$25,2),C429),C429)</f>
        <v>7362</v>
      </c>
    </row>
    <row r="430" customFormat="false" ht="12.75" hidden="false" customHeight="false" outlineLevel="0" collapsed="false">
      <c r="A430" s="0" t="n">
        <f aca="false">B430*1000+C430</f>
        <v>12021</v>
      </c>
      <c r="B430" s="0" t="n">
        <v>12</v>
      </c>
      <c r="C430" s="0" t="n">
        <v>21</v>
      </c>
      <c r="D430" s="0" t="n">
        <v>26</v>
      </c>
      <c r="E430" s="0" t="n">
        <f aca="false">VLOOKUP(B430,'MSA-Lookup'!$H$2:$I$86,2)</f>
        <v>6920</v>
      </c>
      <c r="F430" s="0" t="n">
        <f aca="false">IF(C430&gt;1,IF(C430&lt;99,VLOOKUP(C430,'MSA-Lookup'!$H$1:$I$86,2),C430),C430)</f>
        <v>5775</v>
      </c>
      <c r="G430" s="0" t="n">
        <f aca="false">VLOOKUP(E430,'MSA-Lookup'!$AA$1:$AB$25,2)</f>
        <v>6920</v>
      </c>
      <c r="H430" s="0" t="n">
        <f aca="false">IF(C430&gt;1,IF(C430&lt;99,VLOOKUP(F430,'MSA-Lookup'!$AA$1:$AB$25,2),C430),C430)</f>
        <v>7362</v>
      </c>
    </row>
    <row r="431" customFormat="false" ht="12.75" hidden="false" customHeight="false" outlineLevel="0" collapsed="false">
      <c r="A431" s="0" t="n">
        <f aca="false">B431*1000+C431</f>
        <v>12022</v>
      </c>
      <c r="B431" s="0" t="n">
        <v>12</v>
      </c>
      <c r="C431" s="0" t="n">
        <v>22</v>
      </c>
      <c r="D431" s="0" t="n">
        <v>182</v>
      </c>
      <c r="E431" s="0" t="n">
        <f aca="false">VLOOKUP(B431,'MSA-Lookup'!$H$2:$I$86,2)</f>
        <v>6920</v>
      </c>
      <c r="F431" s="0" t="n">
        <f aca="false">IF(C431&gt;1,IF(C431&lt;99,VLOOKUP(C431,'MSA-Lookup'!$H$1:$I$86,2),C431),C431)</f>
        <v>7360</v>
      </c>
      <c r="G431" s="0" t="n">
        <f aca="false">VLOOKUP(E431,'MSA-Lookup'!$AA$1:$AB$25,2)</f>
        <v>6920</v>
      </c>
      <c r="H431" s="0" t="n">
        <f aca="false">IF(C431&gt;1,IF(C431&lt;99,VLOOKUP(F431,'MSA-Lookup'!$AA$1:$AB$25,2),C431),C431)</f>
        <v>7362</v>
      </c>
    </row>
    <row r="432" customFormat="false" ht="12.75" hidden="false" customHeight="false" outlineLevel="0" collapsed="false">
      <c r="A432" s="0" t="n">
        <f aca="false">B432*1000+C432</f>
        <v>12023</v>
      </c>
      <c r="B432" s="0" t="n">
        <v>12</v>
      </c>
      <c r="C432" s="0" t="n">
        <v>23</v>
      </c>
      <c r="D432" s="0" t="n">
        <v>182</v>
      </c>
      <c r="E432" s="0" t="n">
        <f aca="false">VLOOKUP(B432,'MSA-Lookup'!$H$2:$I$86,2)</f>
        <v>6920</v>
      </c>
      <c r="F432" s="0" t="n">
        <f aca="false">IF(C432&gt;1,IF(C432&lt;99,VLOOKUP(C432,'MSA-Lookup'!$H$1:$I$86,2),C432),C432)</f>
        <v>8120</v>
      </c>
      <c r="G432" s="0" t="n">
        <f aca="false">VLOOKUP(E432,'MSA-Lookup'!$AA$1:$AB$25,2)</f>
        <v>6920</v>
      </c>
      <c r="H432" s="0" t="n">
        <f aca="false">IF(C432&gt;1,IF(C432&lt;99,VLOOKUP(F432,'MSA-Lookup'!$AA$1:$AB$25,2),C432),C432)</f>
        <v>8120</v>
      </c>
    </row>
    <row r="433" customFormat="false" ht="12.75" hidden="false" customHeight="false" outlineLevel="0" collapsed="false">
      <c r="A433" s="0" t="n">
        <f aca="false">B433*1000+C433</f>
        <v>12024</v>
      </c>
      <c r="B433" s="0" t="n">
        <v>12</v>
      </c>
      <c r="C433" s="0" t="n">
        <v>24</v>
      </c>
      <c r="D433" s="0" t="n">
        <v>0</v>
      </c>
      <c r="E433" s="0" t="n">
        <f aca="false">VLOOKUP(B433,'MSA-Lookup'!$H$2:$I$86,2)</f>
        <v>6920</v>
      </c>
      <c r="F433" s="0" t="n">
        <f aca="false">IF(C433&gt;1,IF(C433&lt;99,VLOOKUP(C433,'MSA-Lookup'!$H$1:$I$86,2),C433),C433)</f>
        <v>5170</v>
      </c>
      <c r="G433" s="0" t="n">
        <f aca="false">VLOOKUP(E433,'MSA-Lookup'!$AA$1:$AB$25,2)</f>
        <v>6920</v>
      </c>
      <c r="H433" s="0" t="n">
        <f aca="false">IF(C433&gt;1,IF(C433&lt;99,VLOOKUP(F433,'MSA-Lookup'!$AA$1:$AB$25,2),C433),C433)</f>
        <v>5170</v>
      </c>
    </row>
    <row r="434" customFormat="false" ht="12.75" hidden="false" customHeight="false" outlineLevel="0" collapsed="false">
      <c r="A434" s="0" t="n">
        <f aca="false">B434*1000+C434</f>
        <v>12025</v>
      </c>
      <c r="B434" s="0" t="n">
        <v>12</v>
      </c>
      <c r="C434" s="0" t="n">
        <v>25</v>
      </c>
      <c r="D434" s="0" t="n">
        <v>0</v>
      </c>
      <c r="E434" s="0" t="n">
        <f aca="false">VLOOKUP(B434,'MSA-Lookup'!$H$2:$I$86,2)</f>
        <v>6920</v>
      </c>
      <c r="F434" s="0" t="n">
        <f aca="false">IF(C434&gt;1,IF(C434&lt;99,VLOOKUP(C434,'MSA-Lookup'!$H$1:$I$86,2),C434),C434)</f>
        <v>5170</v>
      </c>
      <c r="G434" s="0" t="n">
        <f aca="false">VLOOKUP(E434,'MSA-Lookup'!$AA$1:$AB$25,2)</f>
        <v>6920</v>
      </c>
      <c r="H434" s="0" t="n">
        <f aca="false">IF(C434&gt;1,IF(C434&lt;99,VLOOKUP(F434,'MSA-Lookup'!$AA$1:$AB$25,2),C434),C434)</f>
        <v>5170</v>
      </c>
    </row>
    <row r="435" customFormat="false" ht="12.75" hidden="false" customHeight="false" outlineLevel="0" collapsed="false">
      <c r="A435" s="0" t="n">
        <f aca="false">B435*1000+C435</f>
        <v>12026</v>
      </c>
      <c r="B435" s="0" t="n">
        <v>12</v>
      </c>
      <c r="C435" s="0" t="n">
        <v>26</v>
      </c>
      <c r="D435" s="0" t="n">
        <v>312</v>
      </c>
      <c r="E435" s="0" t="n">
        <f aca="false">VLOOKUP(B435,'MSA-Lookup'!$H$2:$I$86,2)</f>
        <v>6920</v>
      </c>
      <c r="F435" s="0" t="n">
        <f aca="false">IF(C435&gt;1,IF(C435&lt;99,VLOOKUP(C435,'MSA-Lookup'!$H$1:$I$86,2),C435),C435)</f>
        <v>9999</v>
      </c>
      <c r="G435" s="0" t="n">
        <f aca="false">VLOOKUP(E435,'MSA-Lookup'!$AA$1:$AB$25,2)</f>
        <v>6920</v>
      </c>
      <c r="H435" s="0" t="n">
        <f aca="false">IF(C435&gt;1,IF(C435&lt;99,VLOOKUP(F435,'MSA-Lookup'!$AA$1:$AB$25,2),C435),C435)</f>
        <v>9999</v>
      </c>
    </row>
    <row r="436" customFormat="false" ht="12.75" hidden="false" customHeight="false" outlineLevel="0" collapsed="false">
      <c r="A436" s="0" t="n">
        <f aca="false">B436*1000+C436</f>
        <v>12028</v>
      </c>
      <c r="B436" s="0" t="n">
        <v>12</v>
      </c>
      <c r="C436" s="0" t="n">
        <v>28</v>
      </c>
      <c r="D436" s="0" t="n">
        <v>6903</v>
      </c>
      <c r="E436" s="0" t="n">
        <f aca="false">VLOOKUP(B436,'MSA-Lookup'!$H$2:$I$86,2)</f>
        <v>6920</v>
      </c>
      <c r="F436" s="0" t="n">
        <f aca="false">IF(C436&gt;1,IF(C436&lt;99,VLOOKUP(C436,'MSA-Lookup'!$H$1:$I$86,2),C436),C436)</f>
        <v>6920</v>
      </c>
      <c r="G436" s="0" t="n">
        <f aca="false">VLOOKUP(E436,'MSA-Lookup'!$AA$1:$AB$25,2)</f>
        <v>6920</v>
      </c>
      <c r="H436" s="0" t="n">
        <f aca="false">IF(C436&gt;1,IF(C436&lt;99,VLOOKUP(F436,'MSA-Lookup'!$AA$1:$AB$25,2),C436),C436)</f>
        <v>6920</v>
      </c>
    </row>
    <row r="437" customFormat="false" ht="12.75" hidden="false" customHeight="false" outlineLevel="0" collapsed="false">
      <c r="A437" s="0" t="n">
        <f aca="false">B437*1000+C437</f>
        <v>12029</v>
      </c>
      <c r="B437" s="0" t="n">
        <v>12</v>
      </c>
      <c r="C437" s="0" t="n">
        <v>29</v>
      </c>
      <c r="D437" s="0" t="n">
        <v>8125</v>
      </c>
      <c r="E437" s="0" t="n">
        <f aca="false">VLOOKUP(B437,'MSA-Lookup'!$H$2:$I$86,2)</f>
        <v>6920</v>
      </c>
      <c r="F437" s="0" t="n">
        <f aca="false">IF(C437&gt;1,IF(C437&lt;99,VLOOKUP(C437,'MSA-Lookup'!$H$1:$I$86,2),C437),C437)</f>
        <v>6920</v>
      </c>
      <c r="G437" s="0" t="n">
        <f aca="false">VLOOKUP(E437,'MSA-Lookup'!$AA$1:$AB$25,2)</f>
        <v>6920</v>
      </c>
      <c r="H437" s="0" t="n">
        <f aca="false">IF(C437&gt;1,IF(C437&lt;99,VLOOKUP(F437,'MSA-Lookup'!$AA$1:$AB$25,2),C437),C437)</f>
        <v>6920</v>
      </c>
    </row>
    <row r="438" customFormat="false" ht="12.75" hidden="false" customHeight="false" outlineLevel="0" collapsed="false">
      <c r="A438" s="0" t="n">
        <f aca="false">B438*1000+C438</f>
        <v>12033</v>
      </c>
      <c r="B438" s="0" t="n">
        <v>12</v>
      </c>
      <c r="C438" s="0" t="n">
        <v>33</v>
      </c>
      <c r="D438" s="0" t="n">
        <v>117</v>
      </c>
      <c r="E438" s="0" t="n">
        <f aca="false">VLOOKUP(B438,'MSA-Lookup'!$H$2:$I$86,2)</f>
        <v>6920</v>
      </c>
      <c r="F438" s="0" t="n">
        <f aca="false">IF(C438&gt;1,IF(C438&lt;99,VLOOKUP(C438,'MSA-Lookup'!$H$1:$I$86,2),C438),C438)</f>
        <v>7320</v>
      </c>
      <c r="G438" s="0" t="n">
        <f aca="false">VLOOKUP(E438,'MSA-Lookup'!$AA$1:$AB$25,2)</f>
        <v>6920</v>
      </c>
      <c r="H438" s="0" t="n">
        <f aca="false">IF(C438&gt;1,IF(C438&lt;99,VLOOKUP(F438,'MSA-Lookup'!$AA$1:$AB$25,2),C438),C438)</f>
        <v>7320</v>
      </c>
    </row>
    <row r="439" customFormat="false" ht="12.75" hidden="false" customHeight="false" outlineLevel="0" collapsed="false">
      <c r="A439" s="0" t="n">
        <f aca="false">B439*1000+C439</f>
        <v>12034</v>
      </c>
      <c r="B439" s="0" t="n">
        <v>12</v>
      </c>
      <c r="C439" s="0" t="n">
        <v>34</v>
      </c>
      <c r="D439" s="0" t="n">
        <v>0</v>
      </c>
      <c r="E439" s="0" t="n">
        <f aca="false">VLOOKUP(B439,'MSA-Lookup'!$H$2:$I$86,2)</f>
        <v>6920</v>
      </c>
      <c r="F439" s="0" t="n">
        <f aca="false">IF(C439&gt;1,IF(C439&lt;99,VLOOKUP(C439,'MSA-Lookup'!$H$1:$I$86,2),C439),C439)</f>
        <v>7320</v>
      </c>
      <c r="G439" s="0" t="n">
        <f aca="false">VLOOKUP(E439,'MSA-Lookup'!$AA$1:$AB$25,2)</f>
        <v>6920</v>
      </c>
      <c r="H439" s="0" t="n">
        <f aca="false">IF(C439&gt;1,IF(C439&lt;99,VLOOKUP(F439,'MSA-Lookup'!$AA$1:$AB$25,2),C439),C439)</f>
        <v>7320</v>
      </c>
    </row>
    <row r="440" customFormat="false" ht="12.75" hidden="false" customHeight="false" outlineLevel="0" collapsed="false">
      <c r="A440" s="0" t="n">
        <f aca="false">B440*1000+C440</f>
        <v>12035</v>
      </c>
      <c r="B440" s="0" t="n">
        <v>12</v>
      </c>
      <c r="C440" s="0" t="n">
        <v>35</v>
      </c>
      <c r="D440" s="0" t="n">
        <v>0</v>
      </c>
      <c r="E440" s="0" t="n">
        <f aca="false">VLOOKUP(B440,'MSA-Lookup'!$H$2:$I$86,2)</f>
        <v>6920</v>
      </c>
      <c r="F440" s="0" t="n">
        <f aca="false">IF(C440&gt;1,IF(C440&lt;99,VLOOKUP(C440,'MSA-Lookup'!$H$1:$I$86,2),C440),C440)</f>
        <v>7320</v>
      </c>
      <c r="G440" s="0" t="n">
        <f aca="false">VLOOKUP(E440,'MSA-Lookup'!$AA$1:$AB$25,2)</f>
        <v>6920</v>
      </c>
      <c r="H440" s="0" t="n">
        <f aca="false">IF(C440&gt;1,IF(C440&lt;99,VLOOKUP(F440,'MSA-Lookup'!$AA$1:$AB$25,2),C440),C440)</f>
        <v>7320</v>
      </c>
    </row>
    <row r="441" customFormat="false" ht="12.75" hidden="false" customHeight="false" outlineLevel="0" collapsed="false">
      <c r="A441" s="0" t="n">
        <f aca="false">B441*1000+C441</f>
        <v>12037</v>
      </c>
      <c r="B441" s="0" t="n">
        <v>12</v>
      </c>
      <c r="C441" s="0" t="n">
        <v>37</v>
      </c>
      <c r="D441" s="0" t="n">
        <v>0</v>
      </c>
      <c r="E441" s="0" t="n">
        <f aca="false">VLOOKUP(B441,'MSA-Lookup'!$H$2:$I$86,2)</f>
        <v>6920</v>
      </c>
      <c r="F441" s="0" t="n">
        <f aca="false">IF(C441&gt;1,IF(C441&lt;99,VLOOKUP(C441,'MSA-Lookup'!$H$1:$I$86,2),C441),C441)</f>
        <v>7320</v>
      </c>
      <c r="G441" s="0" t="n">
        <f aca="false">VLOOKUP(E441,'MSA-Lookup'!$AA$1:$AB$25,2)</f>
        <v>6920</v>
      </c>
      <c r="H441" s="0" t="n">
        <f aca="false">IF(C441&gt;1,IF(C441&lt;99,VLOOKUP(F441,'MSA-Lookup'!$AA$1:$AB$25,2),C441),C441)</f>
        <v>7320</v>
      </c>
    </row>
    <row r="442" customFormat="false" ht="12.75" hidden="false" customHeight="false" outlineLevel="0" collapsed="false">
      <c r="A442" s="0" t="n">
        <f aca="false">B442*1000+C442</f>
        <v>12039</v>
      </c>
      <c r="B442" s="0" t="n">
        <v>12</v>
      </c>
      <c r="C442" s="0" t="n">
        <v>39</v>
      </c>
      <c r="D442" s="0" t="n">
        <v>0</v>
      </c>
      <c r="E442" s="0" t="n">
        <f aca="false">VLOOKUP(B442,'MSA-Lookup'!$H$2:$I$86,2)</f>
        <v>6920</v>
      </c>
      <c r="F442" s="0" t="n">
        <f aca="false">IF(C442&gt;1,IF(C442&lt;99,VLOOKUP(C442,'MSA-Lookup'!$H$1:$I$86,2),C442),C442)</f>
        <v>7120</v>
      </c>
      <c r="G442" s="0" t="n">
        <f aca="false">VLOOKUP(E442,'MSA-Lookup'!$AA$1:$AB$25,2)</f>
        <v>6920</v>
      </c>
      <c r="H442" s="0" t="n">
        <f aca="false">IF(C442&gt;1,IF(C442&lt;99,VLOOKUP(F442,'MSA-Lookup'!$AA$1:$AB$25,2),C442),C442)</f>
        <v>7120</v>
      </c>
    </row>
    <row r="443" customFormat="false" ht="12.75" hidden="false" customHeight="false" outlineLevel="0" collapsed="false">
      <c r="A443" s="0" t="n">
        <f aca="false">B443*1000+C443</f>
        <v>12040</v>
      </c>
      <c r="B443" s="0" t="n">
        <v>12</v>
      </c>
      <c r="C443" s="0" t="n">
        <v>40</v>
      </c>
      <c r="D443" s="0" t="n">
        <v>0</v>
      </c>
      <c r="E443" s="0" t="n">
        <f aca="false">VLOOKUP(B443,'MSA-Lookup'!$H$2:$I$86,2)</f>
        <v>6920</v>
      </c>
      <c r="F443" s="0" t="n">
        <f aca="false">IF(C443&gt;1,IF(C443&lt;99,VLOOKUP(C443,'MSA-Lookup'!$H$1:$I$86,2),C443),C443)</f>
        <v>2840</v>
      </c>
      <c r="G443" s="0" t="n">
        <f aca="false">VLOOKUP(E443,'MSA-Lookup'!$AA$1:$AB$25,2)</f>
        <v>6920</v>
      </c>
      <c r="H443" s="0" t="n">
        <f aca="false">IF(C443&gt;1,IF(C443&lt;99,VLOOKUP(F443,'MSA-Lookup'!$AA$1:$AB$25,2),C443),C443)</f>
        <v>2840</v>
      </c>
    </row>
    <row r="444" customFormat="false" ht="12.75" hidden="false" customHeight="false" outlineLevel="0" collapsed="false">
      <c r="A444" s="0" t="n">
        <f aca="false">B444*1000+C444</f>
        <v>12041</v>
      </c>
      <c r="B444" s="0" t="n">
        <v>12</v>
      </c>
      <c r="C444" s="0" t="n">
        <v>41</v>
      </c>
      <c r="D444" s="0" t="n">
        <v>0</v>
      </c>
      <c r="E444" s="0" t="n">
        <f aca="false">VLOOKUP(B444,'MSA-Lookup'!$H$2:$I$86,2)</f>
        <v>6920</v>
      </c>
      <c r="F444" s="0" t="n">
        <f aca="false">IF(C444&gt;1,IF(C444&lt;99,VLOOKUP(C444,'MSA-Lookup'!$H$1:$I$86,2),C444),C444)</f>
        <v>2840</v>
      </c>
      <c r="G444" s="0" t="n">
        <f aca="false">VLOOKUP(E444,'MSA-Lookup'!$AA$1:$AB$25,2)</f>
        <v>6920</v>
      </c>
      <c r="H444" s="0" t="n">
        <f aca="false">IF(C444&gt;1,IF(C444&lt;99,VLOOKUP(F444,'MSA-Lookup'!$AA$1:$AB$25,2),C444),C444)</f>
        <v>2840</v>
      </c>
    </row>
    <row r="445" customFormat="false" ht="12.75" hidden="false" customHeight="false" outlineLevel="0" collapsed="false">
      <c r="A445" s="0" t="n">
        <f aca="false">B445*1000+C445</f>
        <v>12042</v>
      </c>
      <c r="B445" s="0" t="n">
        <v>12</v>
      </c>
      <c r="C445" s="0" t="n">
        <v>42</v>
      </c>
      <c r="D445" s="0" t="n">
        <v>130</v>
      </c>
      <c r="E445" s="0" t="n">
        <f aca="false">VLOOKUP(B445,'MSA-Lookup'!$H$2:$I$86,2)</f>
        <v>6920</v>
      </c>
      <c r="F445" s="0" t="n">
        <f aca="false">IF(C445&gt;1,IF(C445&lt;99,VLOOKUP(C445,'MSA-Lookup'!$H$1:$I$86,2),C445),C445)</f>
        <v>360</v>
      </c>
      <c r="G445" s="0" t="n">
        <f aca="false">VLOOKUP(E445,'MSA-Lookup'!$AA$1:$AB$25,2)</f>
        <v>6920</v>
      </c>
      <c r="H445" s="0" t="n">
        <f aca="false">IF(C445&gt;1,IF(C445&lt;99,VLOOKUP(F445,'MSA-Lookup'!$AA$1:$AB$25,2),C445),C445)</f>
        <v>4472</v>
      </c>
    </row>
    <row r="446" customFormat="false" ht="12.75" hidden="false" customHeight="false" outlineLevel="0" collapsed="false">
      <c r="A446" s="0" t="n">
        <f aca="false">B446*1000+C446</f>
        <v>12048</v>
      </c>
      <c r="B446" s="0" t="n">
        <v>12</v>
      </c>
      <c r="C446" s="0" t="n">
        <v>48</v>
      </c>
      <c r="D446" s="0" t="n">
        <v>39</v>
      </c>
      <c r="E446" s="0" t="n">
        <f aca="false">VLOOKUP(B446,'MSA-Lookup'!$H$2:$I$86,2)</f>
        <v>6920</v>
      </c>
      <c r="F446" s="0" t="n">
        <f aca="false">IF(C446&gt;1,IF(C446&lt;99,VLOOKUP(C446,'MSA-Lookup'!$H$1:$I$86,2),C446),C446)</f>
        <v>360</v>
      </c>
      <c r="G446" s="0" t="n">
        <f aca="false">VLOOKUP(E446,'MSA-Lookup'!$AA$1:$AB$25,2)</f>
        <v>6920</v>
      </c>
      <c r="H446" s="0" t="n">
        <f aca="false">IF(C446&gt;1,IF(C446&lt;99,VLOOKUP(F446,'MSA-Lookup'!$AA$1:$AB$25,2),C446),C446)</f>
        <v>4472</v>
      </c>
    </row>
    <row r="447" customFormat="false" ht="12.75" hidden="false" customHeight="false" outlineLevel="0" collapsed="false">
      <c r="A447" s="0" t="n">
        <f aca="false">B447*1000+C447</f>
        <v>12049</v>
      </c>
      <c r="B447" s="0" t="n">
        <v>12</v>
      </c>
      <c r="C447" s="0" t="n">
        <v>49</v>
      </c>
      <c r="D447" s="0" t="n">
        <v>0</v>
      </c>
      <c r="E447" s="0" t="n">
        <f aca="false">VLOOKUP(B447,'MSA-Lookup'!$H$2:$I$86,2)</f>
        <v>6920</v>
      </c>
      <c r="F447" s="0" t="n">
        <f aca="false">IF(C447&gt;1,IF(C447&lt;99,VLOOKUP(C447,'MSA-Lookup'!$H$1:$I$86,2),C447),C447)</f>
        <v>7400</v>
      </c>
      <c r="G447" s="0" t="n">
        <f aca="false">VLOOKUP(E447,'MSA-Lookup'!$AA$1:$AB$25,2)</f>
        <v>6920</v>
      </c>
      <c r="H447" s="0" t="n">
        <f aca="false">IF(C447&gt;1,IF(C447&lt;99,VLOOKUP(F447,'MSA-Lookup'!$AA$1:$AB$25,2),C447),C447)</f>
        <v>7362</v>
      </c>
    </row>
    <row r="448" customFormat="false" ht="12.75" hidden="false" customHeight="false" outlineLevel="0" collapsed="false">
      <c r="A448" s="0" t="n">
        <f aca="false">B448*1000+C448</f>
        <v>12050</v>
      </c>
      <c r="B448" s="0" t="n">
        <v>12</v>
      </c>
      <c r="C448" s="0" t="n">
        <v>50</v>
      </c>
      <c r="D448" s="0" t="n">
        <v>91</v>
      </c>
      <c r="E448" s="0" t="n">
        <f aca="false">VLOOKUP(B448,'MSA-Lookup'!$H$2:$I$86,2)</f>
        <v>6920</v>
      </c>
      <c r="F448" s="0" t="n">
        <f aca="false">IF(C448&gt;1,IF(C448&lt;99,VLOOKUP(C448,'MSA-Lookup'!$H$1:$I$86,2),C448),C448)</f>
        <v>7400</v>
      </c>
      <c r="G448" s="0" t="n">
        <f aca="false">VLOOKUP(E448,'MSA-Lookup'!$AA$1:$AB$25,2)</f>
        <v>6920</v>
      </c>
      <c r="H448" s="0" t="n">
        <f aca="false">IF(C448&gt;1,IF(C448&lt;99,VLOOKUP(F448,'MSA-Lookup'!$AA$1:$AB$25,2),C448),C448)</f>
        <v>7362</v>
      </c>
    </row>
    <row r="449" customFormat="false" ht="12.75" hidden="false" customHeight="false" outlineLevel="0" collapsed="false">
      <c r="A449" s="0" t="n">
        <f aca="false">B449*1000+C449</f>
        <v>12051</v>
      </c>
      <c r="B449" s="0" t="n">
        <v>12</v>
      </c>
      <c r="C449" s="0" t="n">
        <v>51</v>
      </c>
      <c r="D449" s="0" t="n">
        <v>0</v>
      </c>
      <c r="E449" s="0" t="n">
        <f aca="false">VLOOKUP(B449,'MSA-Lookup'!$H$2:$I$86,2)</f>
        <v>6920</v>
      </c>
      <c r="F449" s="0" t="n">
        <f aca="false">IF(C449&gt;1,IF(C449&lt;99,VLOOKUP(C449,'MSA-Lookup'!$H$1:$I$86,2),C449),C449)</f>
        <v>7400</v>
      </c>
      <c r="G449" s="0" t="n">
        <f aca="false">VLOOKUP(E449,'MSA-Lookup'!$AA$1:$AB$25,2)</f>
        <v>6920</v>
      </c>
      <c r="H449" s="0" t="n">
        <f aca="false">IF(C449&gt;1,IF(C449&lt;99,VLOOKUP(F449,'MSA-Lookup'!$AA$1:$AB$25,2),C449),C449)</f>
        <v>7362</v>
      </c>
    </row>
    <row r="450" customFormat="false" ht="12.75" hidden="false" customHeight="false" outlineLevel="0" collapsed="false">
      <c r="A450" s="0" t="n">
        <f aca="false">B450*1000+C450</f>
        <v>12053</v>
      </c>
      <c r="B450" s="0" t="n">
        <v>12</v>
      </c>
      <c r="C450" s="0" t="n">
        <v>53</v>
      </c>
      <c r="D450" s="0" t="n">
        <v>0</v>
      </c>
      <c r="E450" s="0" t="n">
        <f aca="false">VLOOKUP(B450,'MSA-Lookup'!$H$2:$I$86,2)</f>
        <v>6920</v>
      </c>
      <c r="F450" s="0" t="n">
        <f aca="false">IF(C450&gt;1,IF(C450&lt;99,VLOOKUP(C450,'MSA-Lookup'!$H$1:$I$86,2),C450),C450)</f>
        <v>4480</v>
      </c>
      <c r="G450" s="0" t="n">
        <f aca="false">VLOOKUP(E450,'MSA-Lookup'!$AA$1:$AB$25,2)</f>
        <v>6920</v>
      </c>
      <c r="H450" s="0" t="n">
        <f aca="false">IF(C450&gt;1,IF(C450&lt;99,VLOOKUP(F450,'MSA-Lookup'!$AA$1:$AB$25,2),C450),C450)</f>
        <v>4472</v>
      </c>
    </row>
    <row r="451" customFormat="false" ht="12.75" hidden="false" customHeight="false" outlineLevel="0" collapsed="false">
      <c r="A451" s="0" t="n">
        <f aca="false">B451*1000+C451</f>
        <v>12060</v>
      </c>
      <c r="B451" s="0" t="n">
        <v>12</v>
      </c>
      <c r="C451" s="0" t="n">
        <v>60</v>
      </c>
      <c r="D451" s="0" t="n">
        <v>0</v>
      </c>
      <c r="E451" s="0" t="n">
        <f aca="false">VLOOKUP(B451,'MSA-Lookup'!$H$2:$I$86,2)</f>
        <v>6920</v>
      </c>
      <c r="F451" s="0" t="n">
        <f aca="false">IF(C451&gt;1,IF(C451&lt;99,VLOOKUP(C451,'MSA-Lookup'!$H$1:$I$86,2),C451),C451)</f>
        <v>4480</v>
      </c>
      <c r="G451" s="0" t="n">
        <f aca="false">VLOOKUP(E451,'MSA-Lookup'!$AA$1:$AB$25,2)</f>
        <v>6920</v>
      </c>
      <c r="H451" s="0" t="n">
        <f aca="false">IF(C451&gt;1,IF(C451&lt;99,VLOOKUP(F451,'MSA-Lookup'!$AA$1:$AB$25,2),C451),C451)</f>
        <v>4472</v>
      </c>
    </row>
    <row r="452" customFormat="false" ht="12.75" hidden="false" customHeight="false" outlineLevel="0" collapsed="false">
      <c r="A452" s="0" t="n">
        <f aca="false">B452*1000+C452</f>
        <v>12064</v>
      </c>
      <c r="B452" s="0" t="n">
        <v>12</v>
      </c>
      <c r="C452" s="0" t="n">
        <v>64</v>
      </c>
      <c r="D452" s="0" t="n">
        <v>0</v>
      </c>
      <c r="E452" s="0" t="n">
        <f aca="false">VLOOKUP(B452,'MSA-Lookup'!$H$2:$I$86,2)</f>
        <v>6920</v>
      </c>
      <c r="F452" s="0" t="n">
        <f aca="false">IF(C452&gt;1,IF(C452&lt;99,VLOOKUP(C452,'MSA-Lookup'!$H$1:$I$86,2),C452),C452)</f>
        <v>4480</v>
      </c>
      <c r="G452" s="0" t="n">
        <f aca="false">VLOOKUP(E452,'MSA-Lookup'!$AA$1:$AB$25,2)</f>
        <v>6920</v>
      </c>
      <c r="H452" s="0" t="n">
        <f aca="false">IF(C452&gt;1,IF(C452&lt;99,VLOOKUP(F452,'MSA-Lookup'!$AA$1:$AB$25,2),C452),C452)</f>
        <v>4472</v>
      </c>
    </row>
    <row r="453" customFormat="false" ht="12.75" hidden="false" customHeight="false" outlineLevel="0" collapsed="false">
      <c r="A453" s="0" t="n">
        <f aca="false">B453*1000+C453</f>
        <v>12065</v>
      </c>
      <c r="B453" s="0" t="n">
        <v>12</v>
      </c>
      <c r="C453" s="0" t="n">
        <v>65</v>
      </c>
      <c r="D453" s="0" t="n">
        <v>78</v>
      </c>
      <c r="E453" s="0" t="n">
        <f aca="false">VLOOKUP(B453,'MSA-Lookup'!$H$2:$I$86,2)</f>
        <v>6920</v>
      </c>
      <c r="F453" s="0" t="n">
        <f aca="false">IF(C453&gt;1,IF(C453&lt;99,VLOOKUP(C453,'MSA-Lookup'!$H$1:$I$86,2),C453),C453)</f>
        <v>4480</v>
      </c>
      <c r="G453" s="0" t="n">
        <f aca="false">VLOOKUP(E453,'MSA-Lookup'!$AA$1:$AB$25,2)</f>
        <v>6920</v>
      </c>
      <c r="H453" s="0" t="n">
        <f aca="false">IF(C453&gt;1,IF(C453&lt;99,VLOOKUP(F453,'MSA-Lookup'!$AA$1:$AB$25,2),C453),C453)</f>
        <v>4472</v>
      </c>
    </row>
    <row r="454" customFormat="false" ht="12.75" hidden="false" customHeight="false" outlineLevel="0" collapsed="false">
      <c r="A454" s="0" t="n">
        <f aca="false">B454*1000+C454</f>
        <v>12067</v>
      </c>
      <c r="B454" s="0" t="n">
        <v>12</v>
      </c>
      <c r="C454" s="0" t="n">
        <v>67</v>
      </c>
      <c r="D454" s="0" t="n">
        <v>78</v>
      </c>
      <c r="E454" s="0" t="n">
        <f aca="false">VLOOKUP(B454,'MSA-Lookup'!$H$2:$I$86,2)</f>
        <v>6920</v>
      </c>
      <c r="F454" s="0" t="n">
        <f aca="false">IF(C454&gt;1,IF(C454&lt;99,VLOOKUP(C454,'MSA-Lookup'!$H$1:$I$86,2),C454),C454)</f>
        <v>6000</v>
      </c>
      <c r="G454" s="0" t="n">
        <f aca="false">VLOOKUP(E454,'MSA-Lookup'!$AA$1:$AB$25,2)</f>
        <v>6920</v>
      </c>
      <c r="H454" s="0" t="n">
        <f aca="false">IF(C454&gt;1,IF(C454&lt;99,VLOOKUP(F454,'MSA-Lookup'!$AA$1:$AB$25,2),C454),C454)</f>
        <v>4472</v>
      </c>
    </row>
    <row r="455" customFormat="false" ht="12.75" hidden="false" customHeight="false" outlineLevel="0" collapsed="false">
      <c r="A455" s="0" t="n">
        <f aca="false">B455*1000+C455</f>
        <v>12069</v>
      </c>
      <c r="B455" s="0" t="n">
        <v>12</v>
      </c>
      <c r="C455" s="0" t="n">
        <v>69</v>
      </c>
      <c r="D455" s="0" t="n">
        <v>0</v>
      </c>
      <c r="E455" s="0" t="n">
        <f aca="false">VLOOKUP(B455,'MSA-Lookup'!$H$2:$I$86,2)</f>
        <v>6920</v>
      </c>
      <c r="F455" s="0" t="n">
        <f aca="false">IF(C455&gt;1,IF(C455&lt;99,VLOOKUP(C455,'MSA-Lookup'!$H$1:$I$86,2),C455),C455)</f>
        <v>6780</v>
      </c>
      <c r="G455" s="0" t="n">
        <f aca="false">VLOOKUP(E455,'MSA-Lookup'!$AA$1:$AB$25,2)</f>
        <v>6920</v>
      </c>
      <c r="H455" s="0" t="n">
        <f aca="false">IF(C455&gt;1,IF(C455&lt;99,VLOOKUP(F455,'MSA-Lookup'!$AA$1:$AB$25,2),C455),C455)</f>
        <v>4472</v>
      </c>
    </row>
    <row r="456" customFormat="false" ht="12.75" hidden="false" customHeight="false" outlineLevel="0" collapsed="false">
      <c r="A456" s="0" t="n">
        <f aca="false">B456*1000+C456</f>
        <v>12072</v>
      </c>
      <c r="B456" s="0" t="n">
        <v>12</v>
      </c>
      <c r="C456" s="0" t="n">
        <v>72</v>
      </c>
      <c r="D456" s="0" t="n">
        <v>0</v>
      </c>
      <c r="E456" s="0" t="n">
        <f aca="false">VLOOKUP(B456,'MSA-Lookup'!$H$2:$I$86,2)</f>
        <v>6920</v>
      </c>
      <c r="F456" s="0" t="n">
        <f aca="false">IF(C456&gt;1,IF(C456&lt;99,VLOOKUP(C456,'MSA-Lookup'!$H$1:$I$86,2),C456),C456)</f>
        <v>6780</v>
      </c>
      <c r="G456" s="0" t="n">
        <f aca="false">VLOOKUP(E456,'MSA-Lookup'!$AA$1:$AB$25,2)</f>
        <v>6920</v>
      </c>
      <c r="H456" s="0" t="n">
        <f aca="false">IF(C456&gt;1,IF(C456&lt;99,VLOOKUP(F456,'MSA-Lookup'!$AA$1:$AB$25,2),C456),C456)</f>
        <v>4472</v>
      </c>
    </row>
    <row r="457" customFormat="false" ht="12.75" hidden="false" customHeight="false" outlineLevel="0" collapsed="false">
      <c r="A457" s="0" t="n">
        <f aca="false">B457*1000+C457</f>
        <v>12073</v>
      </c>
      <c r="B457" s="0" t="n">
        <v>12</v>
      </c>
      <c r="C457" s="0" t="n">
        <v>73</v>
      </c>
      <c r="D457" s="0" t="n">
        <v>0</v>
      </c>
      <c r="E457" s="0" t="n">
        <f aca="false">VLOOKUP(B457,'MSA-Lookup'!$H$2:$I$86,2)</f>
        <v>6920</v>
      </c>
      <c r="F457" s="0" t="n">
        <f aca="false">IF(C457&gt;1,IF(C457&lt;99,VLOOKUP(C457,'MSA-Lookup'!$H$1:$I$86,2),C457),C457)</f>
        <v>8720</v>
      </c>
      <c r="G457" s="0" t="n">
        <f aca="false">VLOOKUP(E457,'MSA-Lookup'!$AA$1:$AB$25,2)</f>
        <v>6920</v>
      </c>
      <c r="H457" s="0" t="n">
        <f aca="false">IF(C457&gt;1,IF(C457&lt;99,VLOOKUP(F457,'MSA-Lookup'!$AA$1:$AB$25,2),C457),C457)</f>
        <v>7362</v>
      </c>
    </row>
    <row r="458" customFormat="false" ht="12.75" hidden="false" customHeight="false" outlineLevel="0" collapsed="false">
      <c r="A458" s="0" t="n">
        <f aca="false">B458*1000+C458</f>
        <v>12075</v>
      </c>
      <c r="B458" s="0" t="n">
        <v>12</v>
      </c>
      <c r="C458" s="0" t="n">
        <v>75</v>
      </c>
      <c r="D458" s="0" t="n">
        <v>0</v>
      </c>
      <c r="E458" s="0" t="n">
        <f aca="false">VLOOKUP(B458,'MSA-Lookup'!$H$2:$I$86,2)</f>
        <v>6920</v>
      </c>
      <c r="F458" s="0" t="n">
        <f aca="false">IF(C458&gt;1,IF(C458&lt;99,VLOOKUP(C458,'MSA-Lookup'!$H$1:$I$86,2),C458),C458)</f>
        <v>8780</v>
      </c>
      <c r="G458" s="0" t="n">
        <f aca="false">VLOOKUP(E458,'MSA-Lookup'!$AA$1:$AB$25,2)</f>
        <v>6920</v>
      </c>
      <c r="H458" s="0" t="n">
        <f aca="false">IF(C458&gt;1,IF(C458&lt;99,VLOOKUP(F458,'MSA-Lookup'!$AA$1:$AB$25,2),C458),C458)</f>
        <v>8780</v>
      </c>
    </row>
    <row r="459" customFormat="false" ht="12.75" hidden="false" customHeight="false" outlineLevel="0" collapsed="false">
      <c r="A459" s="0" t="n">
        <f aca="false">B459*1000+C459</f>
        <v>12079</v>
      </c>
      <c r="B459" s="0" t="n">
        <v>12</v>
      </c>
      <c r="C459" s="0" t="n">
        <v>79</v>
      </c>
      <c r="D459" s="0" t="n">
        <v>0</v>
      </c>
      <c r="E459" s="0" t="n">
        <f aca="false">VLOOKUP(B459,'MSA-Lookup'!$H$2:$I$86,2)</f>
        <v>6920</v>
      </c>
      <c r="F459" s="0" t="n">
        <f aca="false">IF(C459&gt;1,IF(C459&lt;99,VLOOKUP(C459,'MSA-Lookup'!$H$1:$I$86,2),C459),C459)</f>
        <v>680</v>
      </c>
      <c r="G459" s="0" t="n">
        <f aca="false">VLOOKUP(E459,'MSA-Lookup'!$AA$1:$AB$25,2)</f>
        <v>6920</v>
      </c>
      <c r="H459" s="0" t="n">
        <f aca="false">IF(C459&gt;1,IF(C459&lt;99,VLOOKUP(F459,'MSA-Lookup'!$AA$1:$AB$25,2),C459),C459)</f>
        <v>680</v>
      </c>
    </row>
    <row r="460" customFormat="false" ht="12.75" hidden="false" customHeight="false" outlineLevel="0" collapsed="false">
      <c r="A460" s="0" t="n">
        <f aca="false">B460*1000+C460</f>
        <v>12085</v>
      </c>
      <c r="B460" s="0" t="n">
        <v>12</v>
      </c>
      <c r="C460" s="0" t="n">
        <v>85</v>
      </c>
      <c r="D460" s="0" t="n">
        <v>0</v>
      </c>
      <c r="E460" s="0" t="n">
        <f aca="false">VLOOKUP(B460,'MSA-Lookup'!$H$2:$I$86,2)</f>
        <v>6920</v>
      </c>
      <c r="F460" s="0" t="n">
        <f aca="false">IF(C460&gt;1,IF(C460&lt;99,VLOOKUP(C460,'MSA-Lookup'!$H$1:$I$86,2),C460),C460)</f>
        <v>8120</v>
      </c>
      <c r="G460" s="0" t="n">
        <f aca="false">VLOOKUP(E460,'MSA-Lookup'!$AA$1:$AB$25,2)</f>
        <v>6920</v>
      </c>
      <c r="H460" s="0" t="n">
        <f aca="false">IF(C460&gt;1,IF(C460&lt;99,VLOOKUP(F460,'MSA-Lookup'!$AA$1:$AB$25,2),C460),C460)</f>
        <v>8120</v>
      </c>
    </row>
    <row r="461" customFormat="false" ht="12.75" hidden="false" customHeight="false" outlineLevel="0" collapsed="false">
      <c r="A461" s="0" t="n">
        <f aca="false">B461*1000+C461</f>
        <v>12999</v>
      </c>
      <c r="B461" s="0" t="n">
        <v>12</v>
      </c>
      <c r="C461" s="0" t="n">
        <v>999</v>
      </c>
      <c r="D461" s="0" t="n">
        <v>0</v>
      </c>
      <c r="E461" s="0" t="n">
        <f aca="false">VLOOKUP(B461,'MSA-Lookup'!$H$2:$I$86,2)</f>
        <v>6920</v>
      </c>
      <c r="F461" s="0" t="n">
        <f aca="false">IF(C461&gt;1,IF(C461&lt;99,VLOOKUP(C461,'MSA-Lookup'!$H$1:$I$86,2),C461),C461)</f>
        <v>999</v>
      </c>
      <c r="G461" s="0" t="n">
        <f aca="false">VLOOKUP(E461,'MSA-Lookup'!$AA$1:$AB$25,2)</f>
        <v>6920</v>
      </c>
      <c r="H461" s="0" t="n">
        <f aca="false">IF(C461&gt;1,IF(C461&lt;99,VLOOKUP(F461,'MSA-Lookup'!$AA$1:$AB$25,2),C461),C461)</f>
        <v>999</v>
      </c>
    </row>
    <row r="462" customFormat="false" ht="12.75" hidden="false" customHeight="false" outlineLevel="0" collapsed="false">
      <c r="A462" s="0" t="n">
        <f aca="false">B462*1000+C462</f>
        <v>13000</v>
      </c>
      <c r="B462" s="0" t="n">
        <v>13</v>
      </c>
      <c r="C462" s="0" t="n">
        <v>0</v>
      </c>
      <c r="D462" s="0" t="n">
        <v>56823</v>
      </c>
      <c r="E462" s="0" t="n">
        <f aca="false">VLOOKUP(B462,'MSA-Lookup'!$H$2:$I$86,2)</f>
        <v>7500</v>
      </c>
      <c r="F462" s="0" t="n">
        <f aca="false">IF(C462&gt;1,IF(C462&lt;99,VLOOKUP(C462,'MSA-Lookup'!$H$1:$I$86,2),C462),C462)</f>
        <v>0</v>
      </c>
      <c r="G462" s="0" t="n">
        <f aca="false">VLOOKUP(E462,'MSA-Lookup'!$AA$1:$AB$25,2)</f>
        <v>7362</v>
      </c>
      <c r="H462" s="0" t="n">
        <f aca="false">IF(C462&gt;1,IF(C462&lt;99,VLOOKUP(F462,'MSA-Lookup'!$AA$1:$AB$25,2),C462),C462)</f>
        <v>0</v>
      </c>
    </row>
    <row r="463" customFormat="false" ht="12.75" hidden="false" customHeight="false" outlineLevel="0" collapsed="false">
      <c r="A463" s="0" t="n">
        <f aca="false">B463*1000+C463</f>
        <v>13001</v>
      </c>
      <c r="B463" s="0" t="n">
        <v>13</v>
      </c>
      <c r="C463" s="0" t="n">
        <v>1</v>
      </c>
      <c r="D463" s="0" t="n">
        <v>0</v>
      </c>
      <c r="E463" s="0" t="n">
        <f aca="false">VLOOKUP(B463,'MSA-Lookup'!$H$2:$I$86,2)</f>
        <v>7500</v>
      </c>
      <c r="F463" s="0" t="n">
        <f aca="false">IF(C463&gt;1,IF(C463&lt;99,VLOOKUP(C463,'MSA-Lookup'!$H$1:$I$86,2),C463),C463)</f>
        <v>1</v>
      </c>
      <c r="G463" s="0" t="n">
        <f aca="false">VLOOKUP(E463,'MSA-Lookup'!$AA$1:$AB$25,2)</f>
        <v>7362</v>
      </c>
      <c r="H463" s="0" t="n">
        <f aca="false">IF(C463&gt;1,IF(C463&lt;99,VLOOKUP(F463,'MSA-Lookup'!$AA$1:$AB$25,2),C463),C463)</f>
        <v>1</v>
      </c>
    </row>
    <row r="464" customFormat="false" ht="12.75" hidden="false" customHeight="false" outlineLevel="0" collapsed="false">
      <c r="A464" s="0" t="n">
        <f aca="false">B464*1000+C464</f>
        <v>13002</v>
      </c>
      <c r="B464" s="0" t="n">
        <v>13</v>
      </c>
      <c r="C464" s="0" t="n">
        <v>2</v>
      </c>
      <c r="D464" s="0" t="n">
        <v>91</v>
      </c>
      <c r="E464" s="0" t="n">
        <f aca="false">VLOOKUP(B464,'MSA-Lookup'!$H$2:$I$86,2)</f>
        <v>7500</v>
      </c>
      <c r="F464" s="0" t="n">
        <f aca="false">IF(C464&gt;1,IF(C464&lt;99,VLOOKUP(C464,'MSA-Lookup'!$H$1:$I$86,2),C464),C464)</f>
        <v>9999</v>
      </c>
      <c r="G464" s="0" t="n">
        <f aca="false">VLOOKUP(E464,'MSA-Lookup'!$AA$1:$AB$25,2)</f>
        <v>7362</v>
      </c>
      <c r="H464" s="0" t="n">
        <f aca="false">IF(C464&gt;1,IF(C464&lt;99,VLOOKUP(F464,'MSA-Lookup'!$AA$1:$AB$25,2),C464),C464)</f>
        <v>9999</v>
      </c>
    </row>
    <row r="465" customFormat="false" ht="12.75" hidden="false" customHeight="false" outlineLevel="0" collapsed="false">
      <c r="A465" s="0" t="n">
        <f aca="false">B465*1000+C465</f>
        <v>13003</v>
      </c>
      <c r="B465" s="0" t="n">
        <v>13</v>
      </c>
      <c r="C465" s="0" t="n">
        <v>3</v>
      </c>
      <c r="D465" s="0" t="n">
        <v>0</v>
      </c>
      <c r="E465" s="0" t="n">
        <f aca="false">VLOOKUP(B465,'MSA-Lookup'!$H$2:$I$86,2)</f>
        <v>7500</v>
      </c>
      <c r="F465" s="0" t="n">
        <f aca="false">IF(C465&gt;1,IF(C465&lt;99,VLOOKUP(C465,'MSA-Lookup'!$H$1:$I$86,2),C465),C465)</f>
        <v>6690</v>
      </c>
      <c r="G465" s="0" t="n">
        <f aca="false">VLOOKUP(E465,'MSA-Lookup'!$AA$1:$AB$25,2)</f>
        <v>7362</v>
      </c>
      <c r="H465" s="0" t="n">
        <f aca="false">IF(C465&gt;1,IF(C465&lt;99,VLOOKUP(F465,'MSA-Lookup'!$AA$1:$AB$25,2),C465),C465)</f>
        <v>6690</v>
      </c>
    </row>
    <row r="466" customFormat="false" ht="12.75" hidden="false" customHeight="false" outlineLevel="0" collapsed="false">
      <c r="A466" s="0" t="n">
        <f aca="false">B466*1000+C466</f>
        <v>13004</v>
      </c>
      <c r="B466" s="0" t="n">
        <v>13</v>
      </c>
      <c r="C466" s="0" t="n">
        <v>4</v>
      </c>
      <c r="D466" s="0" t="n">
        <v>0</v>
      </c>
      <c r="E466" s="0" t="n">
        <f aca="false">VLOOKUP(B466,'MSA-Lookup'!$H$2:$I$86,2)</f>
        <v>7500</v>
      </c>
      <c r="F466" s="0" t="n">
        <f aca="false">IF(C466&gt;1,IF(C466&lt;99,VLOOKUP(C466,'MSA-Lookup'!$H$1:$I$86,2),C466),C466)</f>
        <v>9999</v>
      </c>
      <c r="G466" s="0" t="n">
        <f aca="false">VLOOKUP(E466,'MSA-Lookup'!$AA$1:$AB$25,2)</f>
        <v>7362</v>
      </c>
      <c r="H466" s="0" t="n">
        <f aca="false">IF(C466&gt;1,IF(C466&lt;99,VLOOKUP(F466,'MSA-Lookup'!$AA$1:$AB$25,2),C466),C466)</f>
        <v>9999</v>
      </c>
    </row>
    <row r="467" customFormat="false" ht="12.75" hidden="false" customHeight="false" outlineLevel="0" collapsed="false">
      <c r="A467" s="0" t="n">
        <f aca="false">B467*1000+C467</f>
        <v>13005</v>
      </c>
      <c r="B467" s="0" t="n">
        <v>13</v>
      </c>
      <c r="C467" s="0" t="n">
        <v>5</v>
      </c>
      <c r="D467" s="0" t="n">
        <v>0</v>
      </c>
      <c r="E467" s="0" t="n">
        <f aca="false">VLOOKUP(B467,'MSA-Lookup'!$H$2:$I$86,2)</f>
        <v>7500</v>
      </c>
      <c r="F467" s="0" t="n">
        <f aca="false">IF(C467&gt;1,IF(C467&lt;99,VLOOKUP(C467,'MSA-Lookup'!$H$1:$I$86,2),C467),C467)</f>
        <v>9999</v>
      </c>
      <c r="G467" s="0" t="n">
        <f aca="false">VLOOKUP(E467,'MSA-Lookup'!$AA$1:$AB$25,2)</f>
        <v>7362</v>
      </c>
      <c r="H467" s="0" t="n">
        <f aca="false">IF(C467&gt;1,IF(C467&lt;99,VLOOKUP(F467,'MSA-Lookup'!$AA$1:$AB$25,2),C467),C467)</f>
        <v>9999</v>
      </c>
    </row>
    <row r="468" customFormat="false" ht="12.75" hidden="false" customHeight="false" outlineLevel="0" collapsed="false">
      <c r="A468" s="0" t="n">
        <f aca="false">B468*1000+C468</f>
        <v>13006</v>
      </c>
      <c r="B468" s="0" t="n">
        <v>13</v>
      </c>
      <c r="C468" s="0" t="n">
        <v>6</v>
      </c>
      <c r="D468" s="0" t="n">
        <v>0</v>
      </c>
      <c r="E468" s="0" t="n">
        <f aca="false">VLOOKUP(B468,'MSA-Lookup'!$H$2:$I$86,2)</f>
        <v>7500</v>
      </c>
      <c r="F468" s="0" t="n">
        <f aca="false">IF(C468&gt;1,IF(C468&lt;99,VLOOKUP(C468,'MSA-Lookup'!$H$1:$I$86,2),C468),C468)</f>
        <v>1620</v>
      </c>
      <c r="G468" s="0" t="n">
        <f aca="false">VLOOKUP(E468,'MSA-Lookup'!$AA$1:$AB$25,2)</f>
        <v>7362</v>
      </c>
      <c r="H468" s="0" t="n">
        <f aca="false">IF(C468&gt;1,IF(C468&lt;99,VLOOKUP(F468,'MSA-Lookup'!$AA$1:$AB$25,2),C468),C468)</f>
        <v>1620</v>
      </c>
    </row>
    <row r="469" customFormat="false" ht="12.75" hidden="false" customHeight="false" outlineLevel="0" collapsed="false">
      <c r="A469" s="0" t="n">
        <f aca="false">B469*1000+C469</f>
        <v>13007</v>
      </c>
      <c r="B469" s="0" t="n">
        <v>13</v>
      </c>
      <c r="C469" s="0" t="n">
        <v>7</v>
      </c>
      <c r="D469" s="0" t="n">
        <v>0</v>
      </c>
      <c r="E469" s="0" t="n">
        <f aca="false">VLOOKUP(B469,'MSA-Lookup'!$H$2:$I$86,2)</f>
        <v>7500</v>
      </c>
      <c r="F469" s="0" t="n">
        <f aca="false">IF(C469&gt;1,IF(C469&lt;99,VLOOKUP(C469,'MSA-Lookup'!$H$1:$I$86,2),C469),C469)</f>
        <v>9999</v>
      </c>
      <c r="G469" s="0" t="n">
        <f aca="false">VLOOKUP(E469,'MSA-Lookup'!$AA$1:$AB$25,2)</f>
        <v>7362</v>
      </c>
      <c r="H469" s="0" t="n">
        <f aca="false">IF(C469&gt;1,IF(C469&lt;99,VLOOKUP(F469,'MSA-Lookup'!$AA$1:$AB$25,2),C469),C469)</f>
        <v>9999</v>
      </c>
    </row>
    <row r="470" customFormat="false" ht="12.75" hidden="false" customHeight="false" outlineLevel="0" collapsed="false">
      <c r="A470" s="0" t="n">
        <f aca="false">B470*1000+C470</f>
        <v>13008</v>
      </c>
      <c r="B470" s="0" t="n">
        <v>13</v>
      </c>
      <c r="C470" s="0" t="n">
        <v>8</v>
      </c>
      <c r="D470" s="0" t="n">
        <v>0</v>
      </c>
      <c r="E470" s="0" t="n">
        <f aca="false">VLOOKUP(B470,'MSA-Lookup'!$H$2:$I$86,2)</f>
        <v>7500</v>
      </c>
      <c r="F470" s="0" t="n">
        <f aca="false">IF(C470&gt;1,IF(C470&lt;99,VLOOKUP(C470,'MSA-Lookup'!$H$1:$I$86,2),C470),C470)</f>
        <v>9340</v>
      </c>
      <c r="G470" s="0" t="n">
        <f aca="false">VLOOKUP(E470,'MSA-Lookup'!$AA$1:$AB$25,2)</f>
        <v>7362</v>
      </c>
      <c r="H470" s="0" t="n">
        <f aca="false">IF(C470&gt;1,IF(C470&lt;99,VLOOKUP(F470,'MSA-Lookup'!$AA$1:$AB$25,2),C470),C470)</f>
        <v>9340</v>
      </c>
    </row>
    <row r="471" customFormat="false" ht="12.75" hidden="false" customHeight="false" outlineLevel="0" collapsed="false">
      <c r="A471" s="0" t="n">
        <f aca="false">B471*1000+C471</f>
        <v>13009</v>
      </c>
      <c r="B471" s="0" t="n">
        <v>13</v>
      </c>
      <c r="C471" s="0" t="n">
        <v>9</v>
      </c>
      <c r="D471" s="0" t="n">
        <v>221</v>
      </c>
      <c r="E471" s="0" t="n">
        <f aca="false">VLOOKUP(B471,'MSA-Lookup'!$H$2:$I$86,2)</f>
        <v>7500</v>
      </c>
      <c r="F471" s="0" t="n">
        <f aca="false">IF(C471&gt;1,IF(C471&lt;99,VLOOKUP(C471,'MSA-Lookup'!$H$1:$I$86,2),C471),C471)</f>
        <v>8720</v>
      </c>
      <c r="G471" s="0" t="n">
        <f aca="false">VLOOKUP(E471,'MSA-Lookup'!$AA$1:$AB$25,2)</f>
        <v>7362</v>
      </c>
      <c r="H471" s="0" t="n">
        <f aca="false">IF(C471&gt;1,IF(C471&lt;99,VLOOKUP(F471,'MSA-Lookup'!$AA$1:$AB$25,2),C471),C471)</f>
        <v>7362</v>
      </c>
    </row>
    <row r="472" customFormat="false" ht="12.75" hidden="false" customHeight="false" outlineLevel="0" collapsed="false">
      <c r="A472" s="0" t="n">
        <f aca="false">B472*1000+C472</f>
        <v>13010</v>
      </c>
      <c r="B472" s="0" t="n">
        <v>13</v>
      </c>
      <c r="C472" s="0" t="n">
        <v>10</v>
      </c>
      <c r="D472" s="0" t="n">
        <v>0</v>
      </c>
      <c r="E472" s="0" t="n">
        <f aca="false">VLOOKUP(B472,'MSA-Lookup'!$H$2:$I$86,2)</f>
        <v>7500</v>
      </c>
      <c r="F472" s="0" t="n">
        <f aca="false">IF(C472&gt;1,IF(C472&lt;99,VLOOKUP(C472,'MSA-Lookup'!$H$1:$I$86,2),C472),C472)</f>
        <v>6920</v>
      </c>
      <c r="G472" s="0" t="n">
        <f aca="false">VLOOKUP(E472,'MSA-Lookup'!$AA$1:$AB$25,2)</f>
        <v>7362</v>
      </c>
      <c r="H472" s="0" t="n">
        <f aca="false">IF(C472&gt;1,IF(C472&lt;99,VLOOKUP(F472,'MSA-Lookup'!$AA$1:$AB$25,2),C472),C472)</f>
        <v>6920</v>
      </c>
    </row>
    <row r="473" customFormat="false" ht="12.75" hidden="false" customHeight="false" outlineLevel="0" collapsed="false">
      <c r="A473" s="0" t="n">
        <f aca="false">B473*1000+C473</f>
        <v>13011</v>
      </c>
      <c r="B473" s="0" t="n">
        <v>13</v>
      </c>
      <c r="C473" s="0" t="n">
        <v>11</v>
      </c>
      <c r="D473" s="0" t="n">
        <v>0</v>
      </c>
      <c r="E473" s="0" t="n">
        <f aca="false">VLOOKUP(B473,'MSA-Lookup'!$H$2:$I$86,2)</f>
        <v>7500</v>
      </c>
      <c r="F473" s="0" t="n">
        <f aca="false">IF(C473&gt;1,IF(C473&lt;99,VLOOKUP(C473,'MSA-Lookup'!$H$1:$I$86,2),C473),C473)</f>
        <v>6920</v>
      </c>
      <c r="G473" s="0" t="n">
        <f aca="false">VLOOKUP(E473,'MSA-Lookup'!$AA$1:$AB$25,2)</f>
        <v>7362</v>
      </c>
      <c r="H473" s="0" t="n">
        <f aca="false">IF(C473&gt;1,IF(C473&lt;99,VLOOKUP(F473,'MSA-Lookup'!$AA$1:$AB$25,2),C473),C473)</f>
        <v>6920</v>
      </c>
    </row>
    <row r="474" customFormat="false" ht="12.75" hidden="false" customHeight="false" outlineLevel="0" collapsed="false">
      <c r="A474" s="0" t="n">
        <f aca="false">B474*1000+C474</f>
        <v>13012</v>
      </c>
      <c r="B474" s="0" t="n">
        <v>13</v>
      </c>
      <c r="C474" s="0" t="n">
        <v>12</v>
      </c>
      <c r="D474" s="0" t="n">
        <v>0</v>
      </c>
      <c r="E474" s="0" t="n">
        <f aca="false">VLOOKUP(B474,'MSA-Lookup'!$H$2:$I$86,2)</f>
        <v>7500</v>
      </c>
      <c r="F474" s="0" t="n">
        <f aca="false">IF(C474&gt;1,IF(C474&lt;99,VLOOKUP(C474,'MSA-Lookup'!$H$1:$I$86,2),C474),C474)</f>
        <v>6920</v>
      </c>
      <c r="G474" s="0" t="n">
        <f aca="false">VLOOKUP(E474,'MSA-Lookup'!$AA$1:$AB$25,2)</f>
        <v>7362</v>
      </c>
      <c r="H474" s="0" t="n">
        <f aca="false">IF(C474&gt;1,IF(C474&lt;99,VLOOKUP(F474,'MSA-Lookup'!$AA$1:$AB$25,2),C474),C474)</f>
        <v>6920</v>
      </c>
    </row>
    <row r="475" customFormat="false" ht="12.75" hidden="false" customHeight="false" outlineLevel="0" collapsed="false">
      <c r="A475" s="0" t="n">
        <f aca="false">B475*1000+C475</f>
        <v>13013</v>
      </c>
      <c r="B475" s="0" t="n">
        <v>13</v>
      </c>
      <c r="C475" s="0" t="n">
        <v>13</v>
      </c>
      <c r="D475" s="0" t="n">
        <v>34944</v>
      </c>
      <c r="E475" s="0" t="n">
        <f aca="false">VLOOKUP(B475,'MSA-Lookup'!$H$2:$I$86,2)</f>
        <v>7500</v>
      </c>
      <c r="F475" s="0" t="n">
        <f aca="false">IF(C475&gt;1,IF(C475&lt;99,VLOOKUP(C475,'MSA-Lookup'!$H$1:$I$86,2),C475),C475)</f>
        <v>7500</v>
      </c>
      <c r="G475" s="0" t="n">
        <f aca="false">VLOOKUP(E475,'MSA-Lookup'!$AA$1:$AB$25,2)</f>
        <v>7362</v>
      </c>
      <c r="H475" s="0" t="n">
        <f aca="false">IF(C475&gt;1,IF(C475&lt;99,VLOOKUP(F475,'MSA-Lookup'!$AA$1:$AB$25,2),C475),C475)</f>
        <v>7362</v>
      </c>
    </row>
    <row r="476" customFormat="false" ht="12.75" hidden="false" customHeight="false" outlineLevel="0" collapsed="false">
      <c r="A476" s="0" t="n">
        <f aca="false">B476*1000+C476</f>
        <v>13014</v>
      </c>
      <c r="B476" s="0" t="n">
        <v>13</v>
      </c>
      <c r="C476" s="0" t="n">
        <v>14</v>
      </c>
      <c r="D476" s="0" t="n">
        <v>13546</v>
      </c>
      <c r="E476" s="0" t="n">
        <f aca="false">VLOOKUP(B476,'MSA-Lookup'!$H$2:$I$86,2)</f>
        <v>7500</v>
      </c>
      <c r="F476" s="0" t="n">
        <f aca="false">IF(C476&gt;1,IF(C476&lt;99,VLOOKUP(C476,'MSA-Lookup'!$H$1:$I$86,2),C476),C476)</f>
        <v>7500</v>
      </c>
      <c r="G476" s="0" t="n">
        <f aca="false">VLOOKUP(E476,'MSA-Lookup'!$AA$1:$AB$25,2)</f>
        <v>7362</v>
      </c>
      <c r="H476" s="0" t="n">
        <f aca="false">IF(C476&gt;1,IF(C476&lt;99,VLOOKUP(F476,'MSA-Lookup'!$AA$1:$AB$25,2),C476),C476)</f>
        <v>7362</v>
      </c>
    </row>
    <row r="477" customFormat="false" ht="12.75" hidden="false" customHeight="false" outlineLevel="0" collapsed="false">
      <c r="A477" s="0" t="n">
        <f aca="false">B477*1000+C477</f>
        <v>13015</v>
      </c>
      <c r="B477" s="0" t="n">
        <v>13</v>
      </c>
      <c r="C477" s="0" t="n">
        <v>15</v>
      </c>
      <c r="D477" s="0" t="n">
        <v>2145</v>
      </c>
      <c r="E477" s="0" t="n">
        <f aca="false">VLOOKUP(B477,'MSA-Lookup'!$H$2:$I$86,2)</f>
        <v>7500</v>
      </c>
      <c r="F477" s="0" t="n">
        <f aca="false">IF(C477&gt;1,IF(C477&lt;99,VLOOKUP(C477,'MSA-Lookup'!$H$1:$I$86,2),C477),C477)</f>
        <v>7360</v>
      </c>
      <c r="G477" s="0" t="n">
        <f aca="false">VLOOKUP(E477,'MSA-Lookup'!$AA$1:$AB$25,2)</f>
        <v>7362</v>
      </c>
      <c r="H477" s="0" t="n">
        <f aca="false">IF(C477&gt;1,IF(C477&lt;99,VLOOKUP(F477,'MSA-Lookup'!$AA$1:$AB$25,2),C477),C477)</f>
        <v>7362</v>
      </c>
    </row>
    <row r="478" customFormat="false" ht="12.75" hidden="false" customHeight="false" outlineLevel="0" collapsed="false">
      <c r="A478" s="0" t="n">
        <f aca="false">B478*1000+C478</f>
        <v>13016</v>
      </c>
      <c r="B478" s="0" t="n">
        <v>13</v>
      </c>
      <c r="C478" s="0" t="n">
        <v>16</v>
      </c>
      <c r="D478" s="0" t="n">
        <v>195</v>
      </c>
      <c r="E478" s="0" t="n">
        <f aca="false">VLOOKUP(B478,'MSA-Lookup'!$H$2:$I$86,2)</f>
        <v>7500</v>
      </c>
      <c r="F478" s="0" t="n">
        <f aca="false">IF(C478&gt;1,IF(C478&lt;99,VLOOKUP(C478,'MSA-Lookup'!$H$1:$I$86,2),C478),C478)</f>
        <v>8720</v>
      </c>
      <c r="G478" s="0" t="n">
        <f aca="false">VLOOKUP(E478,'MSA-Lookup'!$AA$1:$AB$25,2)</f>
        <v>7362</v>
      </c>
      <c r="H478" s="0" t="n">
        <f aca="false">IF(C478&gt;1,IF(C478&lt;99,VLOOKUP(F478,'MSA-Lookup'!$AA$1:$AB$25,2),C478),C478)</f>
        <v>7362</v>
      </c>
    </row>
    <row r="479" customFormat="false" ht="12.75" hidden="false" customHeight="false" outlineLevel="0" collapsed="false">
      <c r="A479" s="0" t="n">
        <f aca="false">B479*1000+C479</f>
        <v>13017</v>
      </c>
      <c r="B479" s="0" t="n">
        <v>13</v>
      </c>
      <c r="C479" s="0" t="n">
        <v>17</v>
      </c>
      <c r="D479" s="0" t="n">
        <v>104</v>
      </c>
      <c r="E479" s="0" t="n">
        <f aca="false">VLOOKUP(B479,'MSA-Lookup'!$H$2:$I$86,2)</f>
        <v>7500</v>
      </c>
      <c r="F479" s="0" t="n">
        <f aca="false">IF(C479&gt;1,IF(C479&lt;99,VLOOKUP(C479,'MSA-Lookup'!$H$1:$I$86,2),C479),C479)</f>
        <v>5775</v>
      </c>
      <c r="G479" s="0" t="n">
        <f aca="false">VLOOKUP(E479,'MSA-Lookup'!$AA$1:$AB$25,2)</f>
        <v>7362</v>
      </c>
      <c r="H479" s="0" t="n">
        <f aca="false">IF(C479&gt;1,IF(C479&lt;99,VLOOKUP(F479,'MSA-Lookup'!$AA$1:$AB$25,2),C479),C479)</f>
        <v>7362</v>
      </c>
    </row>
    <row r="480" customFormat="false" ht="12.75" hidden="false" customHeight="false" outlineLevel="0" collapsed="false">
      <c r="A480" s="0" t="n">
        <f aca="false">B480*1000+C480</f>
        <v>13018</v>
      </c>
      <c r="B480" s="0" t="n">
        <v>13</v>
      </c>
      <c r="C480" s="0" t="n">
        <v>18</v>
      </c>
      <c r="D480" s="0" t="n">
        <v>312</v>
      </c>
      <c r="E480" s="0" t="n">
        <f aca="false">VLOOKUP(B480,'MSA-Lookup'!$H$2:$I$86,2)</f>
        <v>7500</v>
      </c>
      <c r="F480" s="0" t="n">
        <f aca="false">IF(C480&gt;1,IF(C480&lt;99,VLOOKUP(C480,'MSA-Lookup'!$H$1:$I$86,2),C480),C480)</f>
        <v>5775</v>
      </c>
      <c r="G480" s="0" t="n">
        <f aca="false">VLOOKUP(E480,'MSA-Lookup'!$AA$1:$AB$25,2)</f>
        <v>7362</v>
      </c>
      <c r="H480" s="0" t="n">
        <f aca="false">IF(C480&gt;1,IF(C480&lt;99,VLOOKUP(F480,'MSA-Lookup'!$AA$1:$AB$25,2),C480),C480)</f>
        <v>7362</v>
      </c>
    </row>
    <row r="481" customFormat="false" ht="12.75" hidden="false" customHeight="false" outlineLevel="0" collapsed="false">
      <c r="A481" s="0" t="n">
        <f aca="false">B481*1000+C481</f>
        <v>13019</v>
      </c>
      <c r="B481" s="0" t="n">
        <v>13</v>
      </c>
      <c r="C481" s="0" t="n">
        <v>19</v>
      </c>
      <c r="D481" s="0" t="n">
        <v>988</v>
      </c>
      <c r="E481" s="0" t="n">
        <f aca="false">VLOOKUP(B481,'MSA-Lookup'!$H$2:$I$86,2)</f>
        <v>7500</v>
      </c>
      <c r="F481" s="0" t="n">
        <f aca="false">IF(C481&gt;1,IF(C481&lt;99,VLOOKUP(C481,'MSA-Lookup'!$H$1:$I$86,2),C481),C481)</f>
        <v>7360</v>
      </c>
      <c r="G481" s="0" t="n">
        <f aca="false">VLOOKUP(E481,'MSA-Lookup'!$AA$1:$AB$25,2)</f>
        <v>7362</v>
      </c>
      <c r="H481" s="0" t="n">
        <f aca="false">IF(C481&gt;1,IF(C481&lt;99,VLOOKUP(F481,'MSA-Lookup'!$AA$1:$AB$25,2),C481),C481)</f>
        <v>7362</v>
      </c>
    </row>
    <row r="482" customFormat="false" ht="12.75" hidden="false" customHeight="false" outlineLevel="0" collapsed="false">
      <c r="A482" s="0" t="n">
        <f aca="false">B482*1000+C482</f>
        <v>13020</v>
      </c>
      <c r="B482" s="0" t="n">
        <v>13</v>
      </c>
      <c r="C482" s="0" t="n">
        <v>20</v>
      </c>
      <c r="D482" s="0" t="n">
        <v>0</v>
      </c>
      <c r="E482" s="0" t="n">
        <f aca="false">VLOOKUP(B482,'MSA-Lookup'!$H$2:$I$86,2)</f>
        <v>7500</v>
      </c>
      <c r="F482" s="0" t="n">
        <f aca="false">IF(C482&gt;1,IF(C482&lt;99,VLOOKUP(C482,'MSA-Lookup'!$H$1:$I$86,2),C482),C482)</f>
        <v>5775</v>
      </c>
      <c r="G482" s="0" t="n">
        <f aca="false">VLOOKUP(E482,'MSA-Lookup'!$AA$1:$AB$25,2)</f>
        <v>7362</v>
      </c>
      <c r="H482" s="0" t="n">
        <f aca="false">IF(C482&gt;1,IF(C482&lt;99,VLOOKUP(F482,'MSA-Lookup'!$AA$1:$AB$25,2),C482),C482)</f>
        <v>7362</v>
      </c>
    </row>
    <row r="483" customFormat="false" ht="12.75" hidden="false" customHeight="false" outlineLevel="0" collapsed="false">
      <c r="A483" s="0" t="n">
        <f aca="false">B483*1000+C483</f>
        <v>13021</v>
      </c>
      <c r="B483" s="0" t="n">
        <v>13</v>
      </c>
      <c r="C483" s="0" t="n">
        <v>21</v>
      </c>
      <c r="D483" s="0" t="n">
        <v>286</v>
      </c>
      <c r="E483" s="0" t="n">
        <f aca="false">VLOOKUP(B483,'MSA-Lookup'!$H$2:$I$86,2)</f>
        <v>7500</v>
      </c>
      <c r="F483" s="0" t="n">
        <f aca="false">IF(C483&gt;1,IF(C483&lt;99,VLOOKUP(C483,'MSA-Lookup'!$H$1:$I$86,2),C483),C483)</f>
        <v>5775</v>
      </c>
      <c r="G483" s="0" t="n">
        <f aca="false">VLOOKUP(E483,'MSA-Lookup'!$AA$1:$AB$25,2)</f>
        <v>7362</v>
      </c>
      <c r="H483" s="0" t="n">
        <f aca="false">IF(C483&gt;1,IF(C483&lt;99,VLOOKUP(F483,'MSA-Lookup'!$AA$1:$AB$25,2),C483),C483)</f>
        <v>7362</v>
      </c>
    </row>
    <row r="484" customFormat="false" ht="12.75" hidden="false" customHeight="false" outlineLevel="0" collapsed="false">
      <c r="A484" s="0" t="n">
        <f aca="false">B484*1000+C484</f>
        <v>13022</v>
      </c>
      <c r="B484" s="0" t="n">
        <v>13</v>
      </c>
      <c r="C484" s="0" t="n">
        <v>22</v>
      </c>
      <c r="D484" s="0" t="n">
        <v>234</v>
      </c>
      <c r="E484" s="0" t="n">
        <f aca="false">VLOOKUP(B484,'MSA-Lookup'!$H$2:$I$86,2)</f>
        <v>7500</v>
      </c>
      <c r="F484" s="0" t="n">
        <f aca="false">IF(C484&gt;1,IF(C484&lt;99,VLOOKUP(C484,'MSA-Lookup'!$H$1:$I$86,2),C484),C484)</f>
        <v>7360</v>
      </c>
      <c r="G484" s="0" t="n">
        <f aca="false">VLOOKUP(E484,'MSA-Lookup'!$AA$1:$AB$25,2)</f>
        <v>7362</v>
      </c>
      <c r="H484" s="0" t="n">
        <f aca="false">IF(C484&gt;1,IF(C484&lt;99,VLOOKUP(F484,'MSA-Lookup'!$AA$1:$AB$25,2),C484),C484)</f>
        <v>7362</v>
      </c>
    </row>
    <row r="485" customFormat="false" ht="12.75" hidden="false" customHeight="false" outlineLevel="0" collapsed="false">
      <c r="A485" s="0" t="n">
        <f aca="false">B485*1000+C485</f>
        <v>13023</v>
      </c>
      <c r="B485" s="0" t="n">
        <v>13</v>
      </c>
      <c r="C485" s="0" t="n">
        <v>23</v>
      </c>
      <c r="D485" s="0" t="n">
        <v>0</v>
      </c>
      <c r="E485" s="0" t="n">
        <f aca="false">VLOOKUP(B485,'MSA-Lookup'!$H$2:$I$86,2)</f>
        <v>7500</v>
      </c>
      <c r="F485" s="0" t="n">
        <f aca="false">IF(C485&gt;1,IF(C485&lt;99,VLOOKUP(C485,'MSA-Lookup'!$H$1:$I$86,2),C485),C485)</f>
        <v>8120</v>
      </c>
      <c r="G485" s="0" t="n">
        <f aca="false">VLOOKUP(E485,'MSA-Lookup'!$AA$1:$AB$25,2)</f>
        <v>7362</v>
      </c>
      <c r="H485" s="0" t="n">
        <f aca="false">IF(C485&gt;1,IF(C485&lt;99,VLOOKUP(F485,'MSA-Lookup'!$AA$1:$AB$25,2),C485),C485)</f>
        <v>8120</v>
      </c>
    </row>
    <row r="486" customFormat="false" ht="12.75" hidden="false" customHeight="false" outlineLevel="0" collapsed="false">
      <c r="A486" s="0" t="n">
        <f aca="false">B486*1000+C486</f>
        <v>13024</v>
      </c>
      <c r="B486" s="0" t="n">
        <v>13</v>
      </c>
      <c r="C486" s="0" t="n">
        <v>24</v>
      </c>
      <c r="D486" s="0" t="n">
        <v>0</v>
      </c>
      <c r="E486" s="0" t="n">
        <f aca="false">VLOOKUP(B486,'MSA-Lookup'!$H$2:$I$86,2)</f>
        <v>7500</v>
      </c>
      <c r="F486" s="0" t="n">
        <f aca="false">IF(C486&gt;1,IF(C486&lt;99,VLOOKUP(C486,'MSA-Lookup'!$H$1:$I$86,2),C486),C486)</f>
        <v>5170</v>
      </c>
      <c r="G486" s="0" t="n">
        <f aca="false">VLOOKUP(E486,'MSA-Lookup'!$AA$1:$AB$25,2)</f>
        <v>7362</v>
      </c>
      <c r="H486" s="0" t="n">
        <f aca="false">IF(C486&gt;1,IF(C486&lt;99,VLOOKUP(F486,'MSA-Lookup'!$AA$1:$AB$25,2),C486),C486)</f>
        <v>5170</v>
      </c>
    </row>
    <row r="487" customFormat="false" ht="12.75" hidden="false" customHeight="false" outlineLevel="0" collapsed="false">
      <c r="A487" s="0" t="n">
        <f aca="false">B487*1000+C487</f>
        <v>13025</v>
      </c>
      <c r="B487" s="0" t="n">
        <v>13</v>
      </c>
      <c r="C487" s="0" t="n">
        <v>25</v>
      </c>
      <c r="D487" s="0" t="n">
        <v>0</v>
      </c>
      <c r="E487" s="0" t="n">
        <f aca="false">VLOOKUP(B487,'MSA-Lookup'!$H$2:$I$86,2)</f>
        <v>7500</v>
      </c>
      <c r="F487" s="0" t="n">
        <f aca="false">IF(C487&gt;1,IF(C487&lt;99,VLOOKUP(C487,'MSA-Lookup'!$H$1:$I$86,2),C487),C487)</f>
        <v>5170</v>
      </c>
      <c r="G487" s="0" t="n">
        <f aca="false">VLOOKUP(E487,'MSA-Lookup'!$AA$1:$AB$25,2)</f>
        <v>7362</v>
      </c>
      <c r="H487" s="0" t="n">
        <f aca="false">IF(C487&gt;1,IF(C487&lt;99,VLOOKUP(F487,'MSA-Lookup'!$AA$1:$AB$25,2),C487),C487)</f>
        <v>5170</v>
      </c>
    </row>
    <row r="488" customFormat="false" ht="12.75" hidden="false" customHeight="false" outlineLevel="0" collapsed="false">
      <c r="A488" s="0" t="n">
        <f aca="false">B488*1000+C488</f>
        <v>13026</v>
      </c>
      <c r="B488" s="0" t="n">
        <v>13</v>
      </c>
      <c r="C488" s="0" t="n">
        <v>26</v>
      </c>
      <c r="D488" s="0" t="n">
        <v>0</v>
      </c>
      <c r="E488" s="0" t="n">
        <f aca="false">VLOOKUP(B488,'MSA-Lookup'!$H$2:$I$86,2)</f>
        <v>7500</v>
      </c>
      <c r="F488" s="0" t="n">
        <f aca="false">IF(C488&gt;1,IF(C488&lt;99,VLOOKUP(C488,'MSA-Lookup'!$H$1:$I$86,2),C488),C488)</f>
        <v>9999</v>
      </c>
      <c r="G488" s="0" t="n">
        <f aca="false">VLOOKUP(E488,'MSA-Lookup'!$AA$1:$AB$25,2)</f>
        <v>7362</v>
      </c>
      <c r="H488" s="0" t="n">
        <f aca="false">IF(C488&gt;1,IF(C488&lt;99,VLOOKUP(F488,'MSA-Lookup'!$AA$1:$AB$25,2),C488),C488)</f>
        <v>9999</v>
      </c>
    </row>
    <row r="489" customFormat="false" ht="12.75" hidden="false" customHeight="false" outlineLevel="0" collapsed="false">
      <c r="A489" s="0" t="n">
        <f aca="false">B489*1000+C489</f>
        <v>13028</v>
      </c>
      <c r="B489" s="0" t="n">
        <v>13</v>
      </c>
      <c r="C489" s="0" t="n">
        <v>28</v>
      </c>
      <c r="D489" s="0" t="n">
        <v>0</v>
      </c>
      <c r="E489" s="0" t="n">
        <f aca="false">VLOOKUP(B489,'MSA-Lookup'!$H$2:$I$86,2)</f>
        <v>7500</v>
      </c>
      <c r="F489" s="0" t="n">
        <f aca="false">IF(C489&gt;1,IF(C489&lt;99,VLOOKUP(C489,'MSA-Lookup'!$H$1:$I$86,2),C489),C489)</f>
        <v>6920</v>
      </c>
      <c r="G489" s="0" t="n">
        <f aca="false">VLOOKUP(E489,'MSA-Lookup'!$AA$1:$AB$25,2)</f>
        <v>7362</v>
      </c>
      <c r="H489" s="0" t="n">
        <f aca="false">IF(C489&gt;1,IF(C489&lt;99,VLOOKUP(F489,'MSA-Lookup'!$AA$1:$AB$25,2),C489),C489)</f>
        <v>6920</v>
      </c>
    </row>
    <row r="490" customFormat="false" ht="12.75" hidden="false" customHeight="false" outlineLevel="0" collapsed="false">
      <c r="A490" s="0" t="n">
        <f aca="false">B490*1000+C490</f>
        <v>13029</v>
      </c>
      <c r="B490" s="0" t="n">
        <v>13</v>
      </c>
      <c r="C490" s="0" t="n">
        <v>29</v>
      </c>
      <c r="D490" s="0" t="n">
        <v>0</v>
      </c>
      <c r="E490" s="0" t="n">
        <f aca="false">VLOOKUP(B490,'MSA-Lookup'!$H$2:$I$86,2)</f>
        <v>7500</v>
      </c>
      <c r="F490" s="0" t="n">
        <f aca="false">IF(C490&gt;1,IF(C490&lt;99,VLOOKUP(C490,'MSA-Lookup'!$H$1:$I$86,2),C490),C490)</f>
        <v>6920</v>
      </c>
      <c r="G490" s="0" t="n">
        <f aca="false">VLOOKUP(E490,'MSA-Lookup'!$AA$1:$AB$25,2)</f>
        <v>7362</v>
      </c>
      <c r="H490" s="0" t="n">
        <f aca="false">IF(C490&gt;1,IF(C490&lt;99,VLOOKUP(F490,'MSA-Lookup'!$AA$1:$AB$25,2),C490),C490)</f>
        <v>6920</v>
      </c>
    </row>
    <row r="491" customFormat="false" ht="12.75" hidden="false" customHeight="false" outlineLevel="0" collapsed="false">
      <c r="A491" s="0" t="n">
        <f aca="false">B491*1000+C491</f>
        <v>13033</v>
      </c>
      <c r="B491" s="0" t="n">
        <v>13</v>
      </c>
      <c r="C491" s="0" t="n">
        <v>33</v>
      </c>
      <c r="D491" s="0" t="n">
        <v>117</v>
      </c>
      <c r="E491" s="0" t="n">
        <f aca="false">VLOOKUP(B491,'MSA-Lookup'!$H$2:$I$86,2)</f>
        <v>7500</v>
      </c>
      <c r="F491" s="0" t="n">
        <f aca="false">IF(C491&gt;1,IF(C491&lt;99,VLOOKUP(C491,'MSA-Lookup'!$H$1:$I$86,2),C491),C491)</f>
        <v>7320</v>
      </c>
      <c r="G491" s="0" t="n">
        <f aca="false">VLOOKUP(E491,'MSA-Lookup'!$AA$1:$AB$25,2)</f>
        <v>7362</v>
      </c>
      <c r="H491" s="0" t="n">
        <f aca="false">IF(C491&gt;1,IF(C491&lt;99,VLOOKUP(F491,'MSA-Lookup'!$AA$1:$AB$25,2),C491),C491)</f>
        <v>7320</v>
      </c>
    </row>
    <row r="492" customFormat="false" ht="12.75" hidden="false" customHeight="false" outlineLevel="0" collapsed="false">
      <c r="A492" s="0" t="n">
        <f aca="false">B492*1000+C492</f>
        <v>13034</v>
      </c>
      <c r="B492" s="0" t="n">
        <v>13</v>
      </c>
      <c r="C492" s="0" t="n">
        <v>34</v>
      </c>
      <c r="D492" s="0" t="n">
        <v>0</v>
      </c>
      <c r="E492" s="0" t="n">
        <f aca="false">VLOOKUP(B492,'MSA-Lookup'!$H$2:$I$86,2)</f>
        <v>7500</v>
      </c>
      <c r="F492" s="0" t="n">
        <f aca="false">IF(C492&gt;1,IF(C492&lt;99,VLOOKUP(C492,'MSA-Lookup'!$H$1:$I$86,2),C492),C492)</f>
        <v>7320</v>
      </c>
      <c r="G492" s="0" t="n">
        <f aca="false">VLOOKUP(E492,'MSA-Lookup'!$AA$1:$AB$25,2)</f>
        <v>7362</v>
      </c>
      <c r="H492" s="0" t="n">
        <f aca="false">IF(C492&gt;1,IF(C492&lt;99,VLOOKUP(F492,'MSA-Lookup'!$AA$1:$AB$25,2),C492),C492)</f>
        <v>7320</v>
      </c>
    </row>
    <row r="493" customFormat="false" ht="12.75" hidden="false" customHeight="false" outlineLevel="0" collapsed="false">
      <c r="A493" s="0" t="n">
        <f aca="false">B493*1000+C493</f>
        <v>13035</v>
      </c>
      <c r="B493" s="0" t="n">
        <v>13</v>
      </c>
      <c r="C493" s="0" t="n">
        <v>35</v>
      </c>
      <c r="D493" s="0" t="n">
        <v>0</v>
      </c>
      <c r="E493" s="0" t="n">
        <f aca="false">VLOOKUP(B493,'MSA-Lookup'!$H$2:$I$86,2)</f>
        <v>7500</v>
      </c>
      <c r="F493" s="0" t="n">
        <f aca="false">IF(C493&gt;1,IF(C493&lt;99,VLOOKUP(C493,'MSA-Lookup'!$H$1:$I$86,2),C493),C493)</f>
        <v>7320</v>
      </c>
      <c r="G493" s="0" t="n">
        <f aca="false">VLOOKUP(E493,'MSA-Lookup'!$AA$1:$AB$25,2)</f>
        <v>7362</v>
      </c>
      <c r="H493" s="0" t="n">
        <f aca="false">IF(C493&gt;1,IF(C493&lt;99,VLOOKUP(F493,'MSA-Lookup'!$AA$1:$AB$25,2),C493),C493)</f>
        <v>7320</v>
      </c>
    </row>
    <row r="494" customFormat="false" ht="12.75" hidden="false" customHeight="false" outlineLevel="0" collapsed="false">
      <c r="A494" s="0" t="n">
        <f aca="false">B494*1000+C494</f>
        <v>13037</v>
      </c>
      <c r="B494" s="0" t="n">
        <v>13</v>
      </c>
      <c r="C494" s="0" t="n">
        <v>37</v>
      </c>
      <c r="D494" s="0" t="n">
        <v>0</v>
      </c>
      <c r="E494" s="0" t="n">
        <f aca="false">VLOOKUP(B494,'MSA-Lookup'!$H$2:$I$86,2)</f>
        <v>7500</v>
      </c>
      <c r="F494" s="0" t="n">
        <f aca="false">IF(C494&gt;1,IF(C494&lt;99,VLOOKUP(C494,'MSA-Lookup'!$H$1:$I$86,2),C494),C494)</f>
        <v>7320</v>
      </c>
      <c r="G494" s="0" t="n">
        <f aca="false">VLOOKUP(E494,'MSA-Lookup'!$AA$1:$AB$25,2)</f>
        <v>7362</v>
      </c>
      <c r="H494" s="0" t="n">
        <f aca="false">IF(C494&gt;1,IF(C494&lt;99,VLOOKUP(F494,'MSA-Lookup'!$AA$1:$AB$25,2),C494),C494)</f>
        <v>7320</v>
      </c>
    </row>
    <row r="495" customFormat="false" ht="12.75" hidden="false" customHeight="false" outlineLevel="0" collapsed="false">
      <c r="A495" s="0" t="n">
        <f aca="false">B495*1000+C495</f>
        <v>13039</v>
      </c>
      <c r="B495" s="0" t="n">
        <v>13</v>
      </c>
      <c r="C495" s="0" t="n">
        <v>39</v>
      </c>
      <c r="D495" s="0" t="n">
        <v>0</v>
      </c>
      <c r="E495" s="0" t="n">
        <f aca="false">VLOOKUP(B495,'MSA-Lookup'!$H$2:$I$86,2)</f>
        <v>7500</v>
      </c>
      <c r="F495" s="0" t="n">
        <f aca="false">IF(C495&gt;1,IF(C495&lt;99,VLOOKUP(C495,'MSA-Lookup'!$H$1:$I$86,2),C495),C495)</f>
        <v>7120</v>
      </c>
      <c r="G495" s="0" t="n">
        <f aca="false">VLOOKUP(E495,'MSA-Lookup'!$AA$1:$AB$25,2)</f>
        <v>7362</v>
      </c>
      <c r="H495" s="0" t="n">
        <f aca="false">IF(C495&gt;1,IF(C495&lt;99,VLOOKUP(F495,'MSA-Lookup'!$AA$1:$AB$25,2),C495),C495)</f>
        <v>7120</v>
      </c>
    </row>
    <row r="496" customFormat="false" ht="12.75" hidden="false" customHeight="false" outlineLevel="0" collapsed="false">
      <c r="A496" s="0" t="n">
        <f aca="false">B496*1000+C496</f>
        <v>13040</v>
      </c>
      <c r="B496" s="0" t="n">
        <v>13</v>
      </c>
      <c r="C496" s="0" t="n">
        <v>40</v>
      </c>
      <c r="D496" s="0" t="n">
        <v>0</v>
      </c>
      <c r="E496" s="0" t="n">
        <f aca="false">VLOOKUP(B496,'MSA-Lookup'!$H$2:$I$86,2)</f>
        <v>7500</v>
      </c>
      <c r="F496" s="0" t="n">
        <f aca="false">IF(C496&gt;1,IF(C496&lt;99,VLOOKUP(C496,'MSA-Lookup'!$H$1:$I$86,2),C496),C496)</f>
        <v>2840</v>
      </c>
      <c r="G496" s="0" t="n">
        <f aca="false">VLOOKUP(E496,'MSA-Lookup'!$AA$1:$AB$25,2)</f>
        <v>7362</v>
      </c>
      <c r="H496" s="0" t="n">
        <f aca="false">IF(C496&gt;1,IF(C496&lt;99,VLOOKUP(F496,'MSA-Lookup'!$AA$1:$AB$25,2),C496),C496)</f>
        <v>2840</v>
      </c>
    </row>
    <row r="497" customFormat="false" ht="12.75" hidden="false" customHeight="false" outlineLevel="0" collapsed="false">
      <c r="A497" s="0" t="n">
        <f aca="false">B497*1000+C497</f>
        <v>13041</v>
      </c>
      <c r="B497" s="0" t="n">
        <v>13</v>
      </c>
      <c r="C497" s="0" t="n">
        <v>41</v>
      </c>
      <c r="D497" s="0" t="n">
        <v>0</v>
      </c>
      <c r="E497" s="0" t="n">
        <f aca="false">VLOOKUP(B497,'MSA-Lookup'!$H$2:$I$86,2)</f>
        <v>7500</v>
      </c>
      <c r="F497" s="0" t="n">
        <f aca="false">IF(C497&gt;1,IF(C497&lt;99,VLOOKUP(C497,'MSA-Lookup'!$H$1:$I$86,2),C497),C497)</f>
        <v>2840</v>
      </c>
      <c r="G497" s="0" t="n">
        <f aca="false">VLOOKUP(E497,'MSA-Lookup'!$AA$1:$AB$25,2)</f>
        <v>7362</v>
      </c>
      <c r="H497" s="0" t="n">
        <f aca="false">IF(C497&gt;1,IF(C497&lt;99,VLOOKUP(F497,'MSA-Lookup'!$AA$1:$AB$25,2),C497),C497)</f>
        <v>2840</v>
      </c>
    </row>
    <row r="498" customFormat="false" ht="12.75" hidden="false" customHeight="false" outlineLevel="0" collapsed="false">
      <c r="A498" s="0" t="n">
        <f aca="false">B498*1000+C498</f>
        <v>13042</v>
      </c>
      <c r="B498" s="0" t="n">
        <v>13</v>
      </c>
      <c r="C498" s="0" t="n">
        <v>42</v>
      </c>
      <c r="D498" s="0" t="n">
        <v>0</v>
      </c>
      <c r="E498" s="0" t="n">
        <f aca="false">VLOOKUP(B498,'MSA-Lookup'!$H$2:$I$86,2)</f>
        <v>7500</v>
      </c>
      <c r="F498" s="0" t="n">
        <f aca="false">IF(C498&gt;1,IF(C498&lt;99,VLOOKUP(C498,'MSA-Lookup'!$H$1:$I$86,2),C498),C498)</f>
        <v>360</v>
      </c>
      <c r="G498" s="0" t="n">
        <f aca="false">VLOOKUP(E498,'MSA-Lookup'!$AA$1:$AB$25,2)</f>
        <v>7362</v>
      </c>
      <c r="H498" s="0" t="n">
        <f aca="false">IF(C498&gt;1,IF(C498&lt;99,VLOOKUP(F498,'MSA-Lookup'!$AA$1:$AB$25,2),C498),C498)</f>
        <v>4472</v>
      </c>
    </row>
    <row r="499" customFormat="false" ht="12.75" hidden="false" customHeight="false" outlineLevel="0" collapsed="false">
      <c r="A499" s="0" t="n">
        <f aca="false">B499*1000+C499</f>
        <v>13048</v>
      </c>
      <c r="B499" s="0" t="n">
        <v>13</v>
      </c>
      <c r="C499" s="0" t="n">
        <v>48</v>
      </c>
      <c r="D499" s="0" t="n">
        <v>0</v>
      </c>
      <c r="E499" s="0" t="n">
        <f aca="false">VLOOKUP(B499,'MSA-Lookup'!$H$2:$I$86,2)</f>
        <v>7500</v>
      </c>
      <c r="F499" s="0" t="n">
        <f aca="false">IF(C499&gt;1,IF(C499&lt;99,VLOOKUP(C499,'MSA-Lookup'!$H$1:$I$86,2),C499),C499)</f>
        <v>360</v>
      </c>
      <c r="G499" s="0" t="n">
        <f aca="false">VLOOKUP(E499,'MSA-Lookup'!$AA$1:$AB$25,2)</f>
        <v>7362</v>
      </c>
      <c r="H499" s="0" t="n">
        <f aca="false">IF(C499&gt;1,IF(C499&lt;99,VLOOKUP(F499,'MSA-Lookup'!$AA$1:$AB$25,2),C499),C499)</f>
        <v>4472</v>
      </c>
    </row>
    <row r="500" customFormat="false" ht="12.75" hidden="false" customHeight="false" outlineLevel="0" collapsed="false">
      <c r="A500" s="0" t="n">
        <f aca="false">B500*1000+C500</f>
        <v>13049</v>
      </c>
      <c r="B500" s="0" t="n">
        <v>13</v>
      </c>
      <c r="C500" s="0" t="n">
        <v>49</v>
      </c>
      <c r="D500" s="0" t="n">
        <v>0</v>
      </c>
      <c r="E500" s="0" t="n">
        <f aca="false">VLOOKUP(B500,'MSA-Lookup'!$H$2:$I$86,2)</f>
        <v>7500</v>
      </c>
      <c r="F500" s="0" t="n">
        <f aca="false">IF(C500&gt;1,IF(C500&lt;99,VLOOKUP(C500,'MSA-Lookup'!$H$1:$I$86,2),C500),C500)</f>
        <v>7400</v>
      </c>
      <c r="G500" s="0" t="n">
        <f aca="false">VLOOKUP(E500,'MSA-Lookup'!$AA$1:$AB$25,2)</f>
        <v>7362</v>
      </c>
      <c r="H500" s="0" t="n">
        <f aca="false">IF(C500&gt;1,IF(C500&lt;99,VLOOKUP(F500,'MSA-Lookup'!$AA$1:$AB$25,2),C500),C500)</f>
        <v>7362</v>
      </c>
    </row>
    <row r="501" customFormat="false" ht="12.75" hidden="false" customHeight="false" outlineLevel="0" collapsed="false">
      <c r="A501" s="0" t="n">
        <f aca="false">B501*1000+C501</f>
        <v>13050</v>
      </c>
      <c r="B501" s="0" t="n">
        <v>13</v>
      </c>
      <c r="C501" s="0" t="n">
        <v>50</v>
      </c>
      <c r="D501" s="0" t="n">
        <v>0</v>
      </c>
      <c r="E501" s="0" t="n">
        <f aca="false">VLOOKUP(B501,'MSA-Lookup'!$H$2:$I$86,2)</f>
        <v>7500</v>
      </c>
      <c r="F501" s="0" t="n">
        <f aca="false">IF(C501&gt;1,IF(C501&lt;99,VLOOKUP(C501,'MSA-Lookup'!$H$1:$I$86,2),C501),C501)</f>
        <v>7400</v>
      </c>
      <c r="G501" s="0" t="n">
        <f aca="false">VLOOKUP(E501,'MSA-Lookup'!$AA$1:$AB$25,2)</f>
        <v>7362</v>
      </c>
      <c r="H501" s="0" t="n">
        <f aca="false">IF(C501&gt;1,IF(C501&lt;99,VLOOKUP(F501,'MSA-Lookup'!$AA$1:$AB$25,2),C501),C501)</f>
        <v>7362</v>
      </c>
    </row>
    <row r="502" customFormat="false" ht="12.75" hidden="false" customHeight="false" outlineLevel="0" collapsed="false">
      <c r="A502" s="0" t="n">
        <f aca="false">B502*1000+C502</f>
        <v>13051</v>
      </c>
      <c r="B502" s="0" t="n">
        <v>13</v>
      </c>
      <c r="C502" s="0" t="n">
        <v>51</v>
      </c>
      <c r="D502" s="0" t="n">
        <v>0</v>
      </c>
      <c r="E502" s="0" t="n">
        <f aca="false">VLOOKUP(B502,'MSA-Lookup'!$H$2:$I$86,2)</f>
        <v>7500</v>
      </c>
      <c r="F502" s="0" t="n">
        <f aca="false">IF(C502&gt;1,IF(C502&lt;99,VLOOKUP(C502,'MSA-Lookup'!$H$1:$I$86,2),C502),C502)</f>
        <v>7400</v>
      </c>
      <c r="G502" s="0" t="n">
        <f aca="false">VLOOKUP(E502,'MSA-Lookup'!$AA$1:$AB$25,2)</f>
        <v>7362</v>
      </c>
      <c r="H502" s="0" t="n">
        <f aca="false">IF(C502&gt;1,IF(C502&lt;99,VLOOKUP(F502,'MSA-Lookup'!$AA$1:$AB$25,2),C502),C502)</f>
        <v>7362</v>
      </c>
    </row>
    <row r="503" customFormat="false" ht="12.75" hidden="false" customHeight="false" outlineLevel="0" collapsed="false">
      <c r="A503" s="0" t="n">
        <f aca="false">B503*1000+C503</f>
        <v>13052</v>
      </c>
      <c r="B503" s="0" t="n">
        <v>13</v>
      </c>
      <c r="C503" s="0" t="n">
        <v>52</v>
      </c>
      <c r="D503" s="0" t="n">
        <v>91</v>
      </c>
      <c r="E503" s="0" t="n">
        <f aca="false">VLOOKUP(B503,'MSA-Lookup'!$H$2:$I$86,2)</f>
        <v>7500</v>
      </c>
      <c r="F503" s="0" t="n">
        <f aca="false">IF(C503&gt;1,IF(C503&lt;99,VLOOKUP(C503,'MSA-Lookup'!$H$1:$I$86,2),C503),C503)</f>
        <v>4480</v>
      </c>
      <c r="G503" s="0" t="n">
        <f aca="false">VLOOKUP(E503,'MSA-Lookup'!$AA$1:$AB$25,2)</f>
        <v>7362</v>
      </c>
      <c r="H503" s="0" t="n">
        <f aca="false">IF(C503&gt;1,IF(C503&lt;99,VLOOKUP(F503,'MSA-Lookup'!$AA$1:$AB$25,2),C503),C503)</f>
        <v>4472</v>
      </c>
    </row>
    <row r="504" customFormat="false" ht="12.75" hidden="false" customHeight="false" outlineLevel="0" collapsed="false">
      <c r="A504" s="0" t="n">
        <f aca="false">B504*1000+C504</f>
        <v>13053</v>
      </c>
      <c r="B504" s="0" t="n">
        <v>13</v>
      </c>
      <c r="C504" s="0" t="n">
        <v>53</v>
      </c>
      <c r="D504" s="0" t="n">
        <v>0</v>
      </c>
      <c r="E504" s="0" t="n">
        <f aca="false">VLOOKUP(B504,'MSA-Lookup'!$H$2:$I$86,2)</f>
        <v>7500</v>
      </c>
      <c r="F504" s="0" t="n">
        <f aca="false">IF(C504&gt;1,IF(C504&lt;99,VLOOKUP(C504,'MSA-Lookup'!$H$1:$I$86,2),C504),C504)</f>
        <v>4480</v>
      </c>
      <c r="G504" s="0" t="n">
        <f aca="false">VLOOKUP(E504,'MSA-Lookup'!$AA$1:$AB$25,2)</f>
        <v>7362</v>
      </c>
      <c r="H504" s="0" t="n">
        <f aca="false">IF(C504&gt;1,IF(C504&lt;99,VLOOKUP(F504,'MSA-Lookup'!$AA$1:$AB$25,2),C504),C504)</f>
        <v>4472</v>
      </c>
    </row>
    <row r="505" customFormat="false" ht="12.75" hidden="false" customHeight="false" outlineLevel="0" collapsed="false">
      <c r="A505" s="0" t="n">
        <f aca="false">B505*1000+C505</f>
        <v>13060</v>
      </c>
      <c r="B505" s="0" t="n">
        <v>13</v>
      </c>
      <c r="C505" s="0" t="n">
        <v>60</v>
      </c>
      <c r="D505" s="0" t="n">
        <v>0</v>
      </c>
      <c r="E505" s="0" t="n">
        <f aca="false">VLOOKUP(B505,'MSA-Lookup'!$H$2:$I$86,2)</f>
        <v>7500</v>
      </c>
      <c r="F505" s="0" t="n">
        <f aca="false">IF(C505&gt;1,IF(C505&lt;99,VLOOKUP(C505,'MSA-Lookup'!$H$1:$I$86,2),C505),C505)</f>
        <v>4480</v>
      </c>
      <c r="G505" s="0" t="n">
        <f aca="false">VLOOKUP(E505,'MSA-Lookup'!$AA$1:$AB$25,2)</f>
        <v>7362</v>
      </c>
      <c r="H505" s="0" t="n">
        <f aca="false">IF(C505&gt;1,IF(C505&lt;99,VLOOKUP(F505,'MSA-Lookup'!$AA$1:$AB$25,2),C505),C505)</f>
        <v>4472</v>
      </c>
    </row>
    <row r="506" customFormat="false" ht="12.75" hidden="false" customHeight="false" outlineLevel="0" collapsed="false">
      <c r="A506" s="0" t="n">
        <f aca="false">B506*1000+C506</f>
        <v>13064</v>
      </c>
      <c r="B506" s="0" t="n">
        <v>13</v>
      </c>
      <c r="C506" s="0" t="n">
        <v>64</v>
      </c>
      <c r="D506" s="0" t="n">
        <v>0</v>
      </c>
      <c r="E506" s="0" t="n">
        <f aca="false">VLOOKUP(B506,'MSA-Lookup'!$H$2:$I$86,2)</f>
        <v>7500</v>
      </c>
      <c r="F506" s="0" t="n">
        <f aca="false">IF(C506&gt;1,IF(C506&lt;99,VLOOKUP(C506,'MSA-Lookup'!$H$1:$I$86,2),C506),C506)</f>
        <v>4480</v>
      </c>
      <c r="G506" s="0" t="n">
        <f aca="false">VLOOKUP(E506,'MSA-Lookup'!$AA$1:$AB$25,2)</f>
        <v>7362</v>
      </c>
      <c r="H506" s="0" t="n">
        <f aca="false">IF(C506&gt;1,IF(C506&lt;99,VLOOKUP(F506,'MSA-Lookup'!$AA$1:$AB$25,2),C506),C506)</f>
        <v>4472</v>
      </c>
    </row>
    <row r="507" customFormat="false" ht="12.75" hidden="false" customHeight="false" outlineLevel="0" collapsed="false">
      <c r="A507" s="0" t="n">
        <f aca="false">B507*1000+C507</f>
        <v>13065</v>
      </c>
      <c r="B507" s="0" t="n">
        <v>13</v>
      </c>
      <c r="C507" s="0" t="n">
        <v>65</v>
      </c>
      <c r="D507" s="0" t="n">
        <v>0</v>
      </c>
      <c r="E507" s="0" t="n">
        <f aca="false">VLOOKUP(B507,'MSA-Lookup'!$H$2:$I$86,2)</f>
        <v>7500</v>
      </c>
      <c r="F507" s="0" t="n">
        <f aca="false">IF(C507&gt;1,IF(C507&lt;99,VLOOKUP(C507,'MSA-Lookup'!$H$1:$I$86,2),C507),C507)</f>
        <v>4480</v>
      </c>
      <c r="G507" s="0" t="n">
        <f aca="false">VLOOKUP(E507,'MSA-Lookup'!$AA$1:$AB$25,2)</f>
        <v>7362</v>
      </c>
      <c r="H507" s="0" t="n">
        <f aca="false">IF(C507&gt;1,IF(C507&lt;99,VLOOKUP(F507,'MSA-Lookup'!$AA$1:$AB$25,2),C507),C507)</f>
        <v>4472</v>
      </c>
    </row>
    <row r="508" customFormat="false" ht="12.75" hidden="false" customHeight="false" outlineLevel="0" collapsed="false">
      <c r="A508" s="0" t="n">
        <f aca="false">B508*1000+C508</f>
        <v>13067</v>
      </c>
      <c r="B508" s="0" t="n">
        <v>13</v>
      </c>
      <c r="C508" s="0" t="n">
        <v>67</v>
      </c>
      <c r="D508" s="0" t="n">
        <v>0</v>
      </c>
      <c r="E508" s="0" t="n">
        <f aca="false">VLOOKUP(B508,'MSA-Lookup'!$H$2:$I$86,2)</f>
        <v>7500</v>
      </c>
      <c r="F508" s="0" t="n">
        <f aca="false">IF(C508&gt;1,IF(C508&lt;99,VLOOKUP(C508,'MSA-Lookup'!$H$1:$I$86,2),C508),C508)</f>
        <v>6000</v>
      </c>
      <c r="G508" s="0" t="n">
        <f aca="false">VLOOKUP(E508,'MSA-Lookup'!$AA$1:$AB$25,2)</f>
        <v>7362</v>
      </c>
      <c r="H508" s="0" t="n">
        <f aca="false">IF(C508&gt;1,IF(C508&lt;99,VLOOKUP(F508,'MSA-Lookup'!$AA$1:$AB$25,2),C508),C508)</f>
        <v>4472</v>
      </c>
    </row>
    <row r="509" customFormat="false" ht="12.75" hidden="false" customHeight="false" outlineLevel="0" collapsed="false">
      <c r="A509" s="0" t="n">
        <f aca="false">B509*1000+C509</f>
        <v>13069</v>
      </c>
      <c r="B509" s="0" t="n">
        <v>13</v>
      </c>
      <c r="C509" s="0" t="n">
        <v>69</v>
      </c>
      <c r="D509" s="0" t="n">
        <v>0</v>
      </c>
      <c r="E509" s="0" t="n">
        <f aca="false">VLOOKUP(B509,'MSA-Lookup'!$H$2:$I$86,2)</f>
        <v>7500</v>
      </c>
      <c r="F509" s="0" t="n">
        <f aca="false">IF(C509&gt;1,IF(C509&lt;99,VLOOKUP(C509,'MSA-Lookup'!$H$1:$I$86,2),C509),C509)</f>
        <v>6780</v>
      </c>
      <c r="G509" s="0" t="n">
        <f aca="false">VLOOKUP(E509,'MSA-Lookup'!$AA$1:$AB$25,2)</f>
        <v>7362</v>
      </c>
      <c r="H509" s="0" t="n">
        <f aca="false">IF(C509&gt;1,IF(C509&lt;99,VLOOKUP(F509,'MSA-Lookup'!$AA$1:$AB$25,2),C509),C509)</f>
        <v>4472</v>
      </c>
    </row>
    <row r="510" customFormat="false" ht="12.75" hidden="false" customHeight="false" outlineLevel="0" collapsed="false">
      <c r="A510" s="0" t="n">
        <f aca="false">B510*1000+C510</f>
        <v>13072</v>
      </c>
      <c r="B510" s="0" t="n">
        <v>13</v>
      </c>
      <c r="C510" s="0" t="n">
        <v>72</v>
      </c>
      <c r="D510" s="0" t="n">
        <v>0</v>
      </c>
      <c r="E510" s="0" t="n">
        <f aca="false">VLOOKUP(B510,'MSA-Lookup'!$H$2:$I$86,2)</f>
        <v>7500</v>
      </c>
      <c r="F510" s="0" t="n">
        <f aca="false">IF(C510&gt;1,IF(C510&lt;99,VLOOKUP(C510,'MSA-Lookup'!$H$1:$I$86,2),C510),C510)</f>
        <v>6780</v>
      </c>
      <c r="G510" s="0" t="n">
        <f aca="false">VLOOKUP(E510,'MSA-Lookup'!$AA$1:$AB$25,2)</f>
        <v>7362</v>
      </c>
      <c r="H510" s="0" t="n">
        <f aca="false">IF(C510&gt;1,IF(C510&lt;99,VLOOKUP(F510,'MSA-Lookup'!$AA$1:$AB$25,2),C510),C510)</f>
        <v>4472</v>
      </c>
    </row>
    <row r="511" customFormat="false" ht="12.75" hidden="false" customHeight="false" outlineLevel="0" collapsed="false">
      <c r="A511" s="0" t="n">
        <f aca="false">B511*1000+C511</f>
        <v>13073</v>
      </c>
      <c r="B511" s="0" t="n">
        <v>13</v>
      </c>
      <c r="C511" s="0" t="n">
        <v>73</v>
      </c>
      <c r="D511" s="0" t="n">
        <v>299</v>
      </c>
      <c r="E511" s="0" t="n">
        <f aca="false">VLOOKUP(B511,'MSA-Lookup'!$H$2:$I$86,2)</f>
        <v>7500</v>
      </c>
      <c r="F511" s="0" t="n">
        <f aca="false">IF(C511&gt;1,IF(C511&lt;99,VLOOKUP(C511,'MSA-Lookup'!$H$1:$I$86,2),C511),C511)</f>
        <v>8720</v>
      </c>
      <c r="G511" s="0" t="n">
        <f aca="false">VLOOKUP(E511,'MSA-Lookup'!$AA$1:$AB$25,2)</f>
        <v>7362</v>
      </c>
      <c r="H511" s="0" t="n">
        <f aca="false">IF(C511&gt;1,IF(C511&lt;99,VLOOKUP(F511,'MSA-Lookup'!$AA$1:$AB$25,2),C511),C511)</f>
        <v>7362</v>
      </c>
    </row>
    <row r="512" customFormat="false" ht="12.75" hidden="false" customHeight="false" outlineLevel="0" collapsed="false">
      <c r="A512" s="0" t="n">
        <f aca="false">B512*1000+C512</f>
        <v>13075</v>
      </c>
      <c r="B512" s="0" t="n">
        <v>13</v>
      </c>
      <c r="C512" s="0" t="n">
        <v>75</v>
      </c>
      <c r="D512" s="0" t="n">
        <v>0</v>
      </c>
      <c r="E512" s="0" t="n">
        <f aca="false">VLOOKUP(B512,'MSA-Lookup'!$H$2:$I$86,2)</f>
        <v>7500</v>
      </c>
      <c r="F512" s="0" t="n">
        <f aca="false">IF(C512&gt;1,IF(C512&lt;99,VLOOKUP(C512,'MSA-Lookup'!$H$1:$I$86,2),C512),C512)</f>
        <v>8780</v>
      </c>
      <c r="G512" s="0" t="n">
        <f aca="false">VLOOKUP(E512,'MSA-Lookup'!$AA$1:$AB$25,2)</f>
        <v>7362</v>
      </c>
      <c r="H512" s="0" t="n">
        <f aca="false">IF(C512&gt;1,IF(C512&lt;99,VLOOKUP(F512,'MSA-Lookup'!$AA$1:$AB$25,2),C512),C512)</f>
        <v>8780</v>
      </c>
    </row>
    <row r="513" customFormat="false" ht="12.75" hidden="false" customHeight="false" outlineLevel="0" collapsed="false">
      <c r="A513" s="0" t="n">
        <f aca="false">B513*1000+C513</f>
        <v>13079</v>
      </c>
      <c r="B513" s="0" t="n">
        <v>13</v>
      </c>
      <c r="C513" s="0" t="n">
        <v>79</v>
      </c>
      <c r="D513" s="0" t="n">
        <v>0</v>
      </c>
      <c r="E513" s="0" t="n">
        <f aca="false">VLOOKUP(B513,'MSA-Lookup'!$H$2:$I$86,2)</f>
        <v>7500</v>
      </c>
      <c r="F513" s="0" t="n">
        <f aca="false">IF(C513&gt;1,IF(C513&lt;99,VLOOKUP(C513,'MSA-Lookup'!$H$1:$I$86,2),C513),C513)</f>
        <v>680</v>
      </c>
      <c r="G513" s="0" t="n">
        <f aca="false">VLOOKUP(E513,'MSA-Lookup'!$AA$1:$AB$25,2)</f>
        <v>7362</v>
      </c>
      <c r="H513" s="0" t="n">
        <f aca="false">IF(C513&gt;1,IF(C513&lt;99,VLOOKUP(F513,'MSA-Lookup'!$AA$1:$AB$25,2),C513),C513)</f>
        <v>680</v>
      </c>
    </row>
    <row r="514" customFormat="false" ht="12.75" hidden="false" customHeight="false" outlineLevel="0" collapsed="false">
      <c r="A514" s="0" t="n">
        <f aca="false">B514*1000+C514</f>
        <v>13080</v>
      </c>
      <c r="B514" s="0" t="n">
        <v>13</v>
      </c>
      <c r="C514" s="0" t="n">
        <v>80</v>
      </c>
      <c r="D514" s="0" t="n">
        <v>91</v>
      </c>
      <c r="E514" s="0" t="n">
        <f aca="false">VLOOKUP(B514,'MSA-Lookup'!$H$2:$I$86,2)</f>
        <v>7500</v>
      </c>
      <c r="F514" s="0" t="n">
        <f aca="false">IF(C514&gt;1,IF(C514&lt;99,VLOOKUP(C514,'MSA-Lookup'!$H$1:$I$86,2),C514),C514)</f>
        <v>9999</v>
      </c>
      <c r="G514" s="0" t="n">
        <f aca="false">VLOOKUP(E514,'MSA-Lookup'!$AA$1:$AB$25,2)</f>
        <v>7362</v>
      </c>
      <c r="H514" s="0" t="n">
        <f aca="false">IF(C514&gt;1,IF(C514&lt;99,VLOOKUP(F514,'MSA-Lookup'!$AA$1:$AB$25,2),C514),C514)</f>
        <v>9999</v>
      </c>
    </row>
    <row r="515" customFormat="false" ht="12.75" hidden="false" customHeight="false" outlineLevel="0" collapsed="false">
      <c r="A515" s="0" t="n">
        <f aca="false">B515*1000+C515</f>
        <v>13085</v>
      </c>
      <c r="B515" s="0" t="n">
        <v>13</v>
      </c>
      <c r="C515" s="0" t="n">
        <v>85</v>
      </c>
      <c r="D515" s="0" t="n">
        <v>0</v>
      </c>
      <c r="E515" s="0" t="n">
        <f aca="false">VLOOKUP(B515,'MSA-Lookup'!$H$2:$I$86,2)</f>
        <v>7500</v>
      </c>
      <c r="F515" s="0" t="n">
        <f aca="false">IF(C515&gt;1,IF(C515&lt;99,VLOOKUP(C515,'MSA-Lookup'!$H$1:$I$86,2),C515),C515)</f>
        <v>8120</v>
      </c>
      <c r="G515" s="0" t="n">
        <f aca="false">VLOOKUP(E515,'MSA-Lookup'!$AA$1:$AB$25,2)</f>
        <v>7362</v>
      </c>
      <c r="H515" s="0" t="n">
        <f aca="false">IF(C515&gt;1,IF(C515&lt;99,VLOOKUP(F515,'MSA-Lookup'!$AA$1:$AB$25,2),C515),C515)</f>
        <v>8120</v>
      </c>
    </row>
    <row r="516" customFormat="false" ht="12.75" hidden="false" customHeight="false" outlineLevel="0" collapsed="false">
      <c r="A516" s="0" t="n">
        <f aca="false">B516*1000+C516</f>
        <v>13999</v>
      </c>
      <c r="B516" s="0" t="n">
        <v>13</v>
      </c>
      <c r="C516" s="0" t="n">
        <v>999</v>
      </c>
      <c r="D516" s="0" t="n">
        <v>0</v>
      </c>
      <c r="E516" s="0" t="n">
        <f aca="false">VLOOKUP(B516,'MSA-Lookup'!$H$2:$I$86,2)</f>
        <v>7500</v>
      </c>
      <c r="F516" s="0" t="n">
        <f aca="false">IF(C516&gt;1,IF(C516&lt;99,VLOOKUP(C516,'MSA-Lookup'!$H$1:$I$86,2),C516),C516)</f>
        <v>999</v>
      </c>
      <c r="G516" s="0" t="n">
        <f aca="false">VLOOKUP(E516,'MSA-Lookup'!$AA$1:$AB$25,2)</f>
        <v>7362</v>
      </c>
      <c r="H516" s="0" t="n">
        <f aca="false">IF(C516&gt;1,IF(C516&lt;99,VLOOKUP(F516,'MSA-Lookup'!$AA$1:$AB$25,2),C516),C516)</f>
        <v>999</v>
      </c>
    </row>
    <row r="517" customFormat="false" ht="12.75" hidden="false" customHeight="false" outlineLevel="0" collapsed="false">
      <c r="A517" s="0" t="n">
        <f aca="false">B517*1000+C517</f>
        <v>14000</v>
      </c>
      <c r="B517" s="0" t="n">
        <v>14</v>
      </c>
      <c r="C517" s="0" t="n">
        <v>0</v>
      </c>
      <c r="D517" s="0" t="n">
        <v>139113</v>
      </c>
      <c r="E517" s="0" t="n">
        <f aca="false">VLOOKUP(B517,'MSA-Lookup'!$H$2:$I$86,2)</f>
        <v>7500</v>
      </c>
      <c r="F517" s="0" t="n">
        <f aca="false">IF(C517&gt;1,IF(C517&lt;99,VLOOKUP(C517,'MSA-Lookup'!$H$1:$I$86,2),C517),C517)</f>
        <v>0</v>
      </c>
      <c r="G517" s="0" t="n">
        <f aca="false">VLOOKUP(E517,'MSA-Lookup'!$AA$1:$AB$25,2)</f>
        <v>7362</v>
      </c>
      <c r="H517" s="0" t="n">
        <f aca="false">IF(C517&gt;1,IF(C517&lt;99,VLOOKUP(F517,'MSA-Lookup'!$AA$1:$AB$25,2),C517),C517)</f>
        <v>0</v>
      </c>
    </row>
    <row r="518" customFormat="false" ht="12.75" hidden="false" customHeight="false" outlineLevel="0" collapsed="false">
      <c r="A518" s="0" t="n">
        <f aca="false">B518*1000+C518</f>
        <v>14001</v>
      </c>
      <c r="B518" s="0" t="n">
        <v>14</v>
      </c>
      <c r="C518" s="0" t="n">
        <v>1</v>
      </c>
      <c r="D518" s="0" t="n">
        <v>156</v>
      </c>
      <c r="E518" s="0" t="n">
        <f aca="false">VLOOKUP(B518,'MSA-Lookup'!$H$2:$I$86,2)</f>
        <v>7500</v>
      </c>
      <c r="F518" s="0" t="n">
        <f aca="false">IF(C518&gt;1,IF(C518&lt;99,VLOOKUP(C518,'MSA-Lookup'!$H$1:$I$86,2),C518),C518)</f>
        <v>1</v>
      </c>
      <c r="G518" s="0" t="n">
        <f aca="false">VLOOKUP(E518,'MSA-Lookup'!$AA$1:$AB$25,2)</f>
        <v>7362</v>
      </c>
      <c r="H518" s="0" t="n">
        <f aca="false">IF(C518&gt;1,IF(C518&lt;99,VLOOKUP(F518,'MSA-Lookup'!$AA$1:$AB$25,2),C518),C518)</f>
        <v>1</v>
      </c>
    </row>
    <row r="519" customFormat="false" ht="12.75" hidden="false" customHeight="false" outlineLevel="0" collapsed="false">
      <c r="A519" s="0" t="n">
        <f aca="false">B519*1000+C519</f>
        <v>14002</v>
      </c>
      <c r="B519" s="0" t="n">
        <v>14</v>
      </c>
      <c r="C519" s="0" t="n">
        <v>2</v>
      </c>
      <c r="D519" s="0" t="n">
        <v>0</v>
      </c>
      <c r="E519" s="0" t="n">
        <f aca="false">VLOOKUP(B519,'MSA-Lookup'!$H$2:$I$86,2)</f>
        <v>7500</v>
      </c>
      <c r="F519" s="0" t="n">
        <f aca="false">IF(C519&gt;1,IF(C519&lt;99,VLOOKUP(C519,'MSA-Lookup'!$H$1:$I$86,2),C519),C519)</f>
        <v>9999</v>
      </c>
      <c r="G519" s="0" t="n">
        <f aca="false">VLOOKUP(E519,'MSA-Lookup'!$AA$1:$AB$25,2)</f>
        <v>7362</v>
      </c>
      <c r="H519" s="0" t="n">
        <f aca="false">IF(C519&gt;1,IF(C519&lt;99,VLOOKUP(F519,'MSA-Lookup'!$AA$1:$AB$25,2),C519),C519)</f>
        <v>9999</v>
      </c>
    </row>
    <row r="520" customFormat="false" ht="12.75" hidden="false" customHeight="false" outlineLevel="0" collapsed="false">
      <c r="A520" s="0" t="n">
        <f aca="false">B520*1000+C520</f>
        <v>14003</v>
      </c>
      <c r="B520" s="0" t="n">
        <v>14</v>
      </c>
      <c r="C520" s="0" t="n">
        <v>3</v>
      </c>
      <c r="D520" s="0" t="n">
        <v>130</v>
      </c>
      <c r="E520" s="0" t="n">
        <f aca="false">VLOOKUP(B520,'MSA-Lookup'!$H$2:$I$86,2)</f>
        <v>7500</v>
      </c>
      <c r="F520" s="0" t="n">
        <f aca="false">IF(C520&gt;1,IF(C520&lt;99,VLOOKUP(C520,'MSA-Lookup'!$H$1:$I$86,2),C520),C520)</f>
        <v>6690</v>
      </c>
      <c r="G520" s="0" t="n">
        <f aca="false">VLOOKUP(E520,'MSA-Lookup'!$AA$1:$AB$25,2)</f>
        <v>7362</v>
      </c>
      <c r="H520" s="0" t="n">
        <f aca="false">IF(C520&gt;1,IF(C520&lt;99,VLOOKUP(F520,'MSA-Lookup'!$AA$1:$AB$25,2),C520),C520)</f>
        <v>6690</v>
      </c>
    </row>
    <row r="521" customFormat="false" ht="12.75" hidden="false" customHeight="false" outlineLevel="0" collapsed="false">
      <c r="A521" s="0" t="n">
        <f aca="false">B521*1000+C521</f>
        <v>14004</v>
      </c>
      <c r="B521" s="0" t="n">
        <v>14</v>
      </c>
      <c r="C521" s="0" t="n">
        <v>4</v>
      </c>
      <c r="D521" s="0" t="n">
        <v>598</v>
      </c>
      <c r="E521" s="0" t="n">
        <f aca="false">VLOOKUP(B521,'MSA-Lookup'!$H$2:$I$86,2)</f>
        <v>7500</v>
      </c>
      <c r="F521" s="0" t="n">
        <f aca="false">IF(C521&gt;1,IF(C521&lt;99,VLOOKUP(C521,'MSA-Lookup'!$H$1:$I$86,2),C521),C521)</f>
        <v>9999</v>
      </c>
      <c r="G521" s="0" t="n">
        <f aca="false">VLOOKUP(E521,'MSA-Lookup'!$AA$1:$AB$25,2)</f>
        <v>7362</v>
      </c>
      <c r="H521" s="0" t="n">
        <f aca="false">IF(C521&gt;1,IF(C521&lt;99,VLOOKUP(F521,'MSA-Lookup'!$AA$1:$AB$25,2),C521),C521)</f>
        <v>9999</v>
      </c>
    </row>
    <row r="522" customFormat="false" ht="12.75" hidden="false" customHeight="false" outlineLevel="0" collapsed="false">
      <c r="A522" s="0" t="n">
        <f aca="false">B522*1000+C522</f>
        <v>14005</v>
      </c>
      <c r="B522" s="0" t="n">
        <v>14</v>
      </c>
      <c r="C522" s="0" t="n">
        <v>5</v>
      </c>
      <c r="D522" s="0" t="n">
        <v>0</v>
      </c>
      <c r="E522" s="0" t="n">
        <f aca="false">VLOOKUP(B522,'MSA-Lookup'!$H$2:$I$86,2)</f>
        <v>7500</v>
      </c>
      <c r="F522" s="0" t="n">
        <f aca="false">IF(C522&gt;1,IF(C522&lt;99,VLOOKUP(C522,'MSA-Lookup'!$H$1:$I$86,2),C522),C522)</f>
        <v>9999</v>
      </c>
      <c r="G522" s="0" t="n">
        <f aca="false">VLOOKUP(E522,'MSA-Lookup'!$AA$1:$AB$25,2)</f>
        <v>7362</v>
      </c>
      <c r="H522" s="0" t="n">
        <f aca="false">IF(C522&gt;1,IF(C522&lt;99,VLOOKUP(F522,'MSA-Lookup'!$AA$1:$AB$25,2),C522),C522)</f>
        <v>9999</v>
      </c>
    </row>
    <row r="523" customFormat="false" ht="12.75" hidden="false" customHeight="false" outlineLevel="0" collapsed="false">
      <c r="A523" s="0" t="n">
        <f aca="false">B523*1000+C523</f>
        <v>14006</v>
      </c>
      <c r="B523" s="0" t="n">
        <v>14</v>
      </c>
      <c r="C523" s="0" t="n">
        <v>6</v>
      </c>
      <c r="D523" s="0" t="n">
        <v>0</v>
      </c>
      <c r="E523" s="0" t="n">
        <f aca="false">VLOOKUP(B523,'MSA-Lookup'!$H$2:$I$86,2)</f>
        <v>7500</v>
      </c>
      <c r="F523" s="0" t="n">
        <f aca="false">IF(C523&gt;1,IF(C523&lt;99,VLOOKUP(C523,'MSA-Lookup'!$H$1:$I$86,2),C523),C523)</f>
        <v>1620</v>
      </c>
      <c r="G523" s="0" t="n">
        <f aca="false">VLOOKUP(E523,'MSA-Lookup'!$AA$1:$AB$25,2)</f>
        <v>7362</v>
      </c>
      <c r="H523" s="0" t="n">
        <f aca="false">IF(C523&gt;1,IF(C523&lt;99,VLOOKUP(F523,'MSA-Lookup'!$AA$1:$AB$25,2),C523),C523)</f>
        <v>1620</v>
      </c>
    </row>
    <row r="524" customFormat="false" ht="12.75" hidden="false" customHeight="false" outlineLevel="0" collapsed="false">
      <c r="A524" s="0" t="n">
        <f aca="false">B524*1000+C524</f>
        <v>14007</v>
      </c>
      <c r="B524" s="0" t="n">
        <v>14</v>
      </c>
      <c r="C524" s="0" t="n">
        <v>7</v>
      </c>
      <c r="D524" s="0" t="n">
        <v>0</v>
      </c>
      <c r="E524" s="0" t="n">
        <f aca="false">VLOOKUP(B524,'MSA-Lookup'!$H$2:$I$86,2)</f>
        <v>7500</v>
      </c>
      <c r="F524" s="0" t="n">
        <f aca="false">IF(C524&gt;1,IF(C524&lt;99,VLOOKUP(C524,'MSA-Lookup'!$H$1:$I$86,2),C524),C524)</f>
        <v>9999</v>
      </c>
      <c r="G524" s="0" t="n">
        <f aca="false">VLOOKUP(E524,'MSA-Lookup'!$AA$1:$AB$25,2)</f>
        <v>7362</v>
      </c>
      <c r="H524" s="0" t="n">
        <f aca="false">IF(C524&gt;1,IF(C524&lt;99,VLOOKUP(F524,'MSA-Lookup'!$AA$1:$AB$25,2),C524),C524)</f>
        <v>9999</v>
      </c>
    </row>
    <row r="525" customFormat="false" ht="12.75" hidden="false" customHeight="false" outlineLevel="0" collapsed="false">
      <c r="A525" s="0" t="n">
        <f aca="false">B525*1000+C525</f>
        <v>14008</v>
      </c>
      <c r="B525" s="0" t="n">
        <v>14</v>
      </c>
      <c r="C525" s="0" t="n">
        <v>8</v>
      </c>
      <c r="D525" s="0" t="n">
        <v>0</v>
      </c>
      <c r="E525" s="0" t="n">
        <f aca="false">VLOOKUP(B525,'MSA-Lookup'!$H$2:$I$86,2)</f>
        <v>7500</v>
      </c>
      <c r="F525" s="0" t="n">
        <f aca="false">IF(C525&gt;1,IF(C525&lt;99,VLOOKUP(C525,'MSA-Lookup'!$H$1:$I$86,2),C525),C525)</f>
        <v>9340</v>
      </c>
      <c r="G525" s="0" t="n">
        <f aca="false">VLOOKUP(E525,'MSA-Lookup'!$AA$1:$AB$25,2)</f>
        <v>7362</v>
      </c>
      <c r="H525" s="0" t="n">
        <f aca="false">IF(C525&gt;1,IF(C525&lt;99,VLOOKUP(F525,'MSA-Lookup'!$AA$1:$AB$25,2),C525),C525)</f>
        <v>9340</v>
      </c>
    </row>
    <row r="526" customFormat="false" ht="12.75" hidden="false" customHeight="false" outlineLevel="0" collapsed="false">
      <c r="A526" s="0" t="n">
        <f aca="false">B526*1000+C526</f>
        <v>14009</v>
      </c>
      <c r="B526" s="0" t="n">
        <v>14</v>
      </c>
      <c r="C526" s="0" t="n">
        <v>9</v>
      </c>
      <c r="D526" s="0" t="n">
        <v>1404</v>
      </c>
      <c r="E526" s="0" t="n">
        <f aca="false">VLOOKUP(B526,'MSA-Lookup'!$H$2:$I$86,2)</f>
        <v>7500</v>
      </c>
      <c r="F526" s="0" t="n">
        <f aca="false">IF(C526&gt;1,IF(C526&lt;99,VLOOKUP(C526,'MSA-Lookup'!$H$1:$I$86,2),C526),C526)</f>
        <v>8720</v>
      </c>
      <c r="G526" s="0" t="n">
        <f aca="false">VLOOKUP(E526,'MSA-Lookup'!$AA$1:$AB$25,2)</f>
        <v>7362</v>
      </c>
      <c r="H526" s="0" t="n">
        <f aca="false">IF(C526&gt;1,IF(C526&lt;99,VLOOKUP(F526,'MSA-Lookup'!$AA$1:$AB$25,2),C526),C526)</f>
        <v>7362</v>
      </c>
    </row>
    <row r="527" customFormat="false" ht="12.75" hidden="false" customHeight="false" outlineLevel="0" collapsed="false">
      <c r="A527" s="0" t="n">
        <f aca="false">B527*1000+C527</f>
        <v>14010</v>
      </c>
      <c r="B527" s="0" t="n">
        <v>14</v>
      </c>
      <c r="C527" s="0" t="n">
        <v>10</v>
      </c>
      <c r="D527" s="0" t="n">
        <v>130</v>
      </c>
      <c r="E527" s="0" t="n">
        <f aca="false">VLOOKUP(B527,'MSA-Lookup'!$H$2:$I$86,2)</f>
        <v>7500</v>
      </c>
      <c r="F527" s="0" t="n">
        <f aca="false">IF(C527&gt;1,IF(C527&lt;99,VLOOKUP(C527,'MSA-Lookup'!$H$1:$I$86,2),C527),C527)</f>
        <v>6920</v>
      </c>
      <c r="G527" s="0" t="n">
        <f aca="false">VLOOKUP(E527,'MSA-Lookup'!$AA$1:$AB$25,2)</f>
        <v>7362</v>
      </c>
      <c r="H527" s="0" t="n">
        <f aca="false">IF(C527&gt;1,IF(C527&lt;99,VLOOKUP(F527,'MSA-Lookup'!$AA$1:$AB$25,2),C527),C527)</f>
        <v>6920</v>
      </c>
    </row>
    <row r="528" customFormat="false" ht="12.75" hidden="false" customHeight="false" outlineLevel="0" collapsed="false">
      <c r="A528" s="0" t="n">
        <f aca="false">B528*1000+C528</f>
        <v>14011</v>
      </c>
      <c r="B528" s="0" t="n">
        <v>14</v>
      </c>
      <c r="C528" s="0" t="n">
        <v>11</v>
      </c>
      <c r="D528" s="0" t="n">
        <v>0</v>
      </c>
      <c r="E528" s="0" t="n">
        <f aca="false">VLOOKUP(B528,'MSA-Lookup'!$H$2:$I$86,2)</f>
        <v>7500</v>
      </c>
      <c r="F528" s="0" t="n">
        <f aca="false">IF(C528&gt;1,IF(C528&lt;99,VLOOKUP(C528,'MSA-Lookup'!$H$1:$I$86,2),C528),C528)</f>
        <v>6920</v>
      </c>
      <c r="G528" s="0" t="n">
        <f aca="false">VLOOKUP(E528,'MSA-Lookup'!$AA$1:$AB$25,2)</f>
        <v>7362</v>
      </c>
      <c r="H528" s="0" t="n">
        <f aca="false">IF(C528&gt;1,IF(C528&lt;99,VLOOKUP(F528,'MSA-Lookup'!$AA$1:$AB$25,2),C528),C528)</f>
        <v>6920</v>
      </c>
    </row>
    <row r="529" customFormat="false" ht="12.75" hidden="false" customHeight="false" outlineLevel="0" collapsed="false">
      <c r="A529" s="0" t="n">
        <f aca="false">B529*1000+C529</f>
        <v>14012</v>
      </c>
      <c r="B529" s="0" t="n">
        <v>14</v>
      </c>
      <c r="C529" s="0" t="n">
        <v>12</v>
      </c>
      <c r="D529" s="0" t="n">
        <v>78</v>
      </c>
      <c r="E529" s="0" t="n">
        <f aca="false">VLOOKUP(B529,'MSA-Lookup'!$H$2:$I$86,2)</f>
        <v>7500</v>
      </c>
      <c r="F529" s="0" t="n">
        <f aca="false">IF(C529&gt;1,IF(C529&lt;99,VLOOKUP(C529,'MSA-Lookup'!$H$1:$I$86,2),C529),C529)</f>
        <v>6920</v>
      </c>
      <c r="G529" s="0" t="n">
        <f aca="false">VLOOKUP(E529,'MSA-Lookup'!$AA$1:$AB$25,2)</f>
        <v>7362</v>
      </c>
      <c r="H529" s="0" t="n">
        <f aca="false">IF(C529&gt;1,IF(C529&lt;99,VLOOKUP(F529,'MSA-Lookup'!$AA$1:$AB$25,2),C529),C529)</f>
        <v>6920</v>
      </c>
    </row>
    <row r="530" customFormat="false" ht="12.75" hidden="false" customHeight="false" outlineLevel="0" collapsed="false">
      <c r="A530" s="0" t="n">
        <f aca="false">B530*1000+C530</f>
        <v>14013</v>
      </c>
      <c r="B530" s="0" t="n">
        <v>14</v>
      </c>
      <c r="C530" s="0" t="n">
        <v>13</v>
      </c>
      <c r="D530" s="0" t="n">
        <v>26650</v>
      </c>
      <c r="E530" s="0" t="n">
        <f aca="false">VLOOKUP(B530,'MSA-Lookup'!$H$2:$I$86,2)</f>
        <v>7500</v>
      </c>
      <c r="F530" s="0" t="n">
        <f aca="false">IF(C530&gt;1,IF(C530&lt;99,VLOOKUP(C530,'MSA-Lookup'!$H$1:$I$86,2),C530),C530)</f>
        <v>7500</v>
      </c>
      <c r="G530" s="0" t="n">
        <f aca="false">VLOOKUP(E530,'MSA-Lookup'!$AA$1:$AB$25,2)</f>
        <v>7362</v>
      </c>
      <c r="H530" s="0" t="n">
        <f aca="false">IF(C530&gt;1,IF(C530&lt;99,VLOOKUP(F530,'MSA-Lookup'!$AA$1:$AB$25,2),C530),C530)</f>
        <v>7362</v>
      </c>
    </row>
    <row r="531" customFormat="false" ht="12.75" hidden="false" customHeight="false" outlineLevel="0" collapsed="false">
      <c r="A531" s="0" t="n">
        <f aca="false">B531*1000+C531</f>
        <v>14014</v>
      </c>
      <c r="B531" s="0" t="n">
        <v>14</v>
      </c>
      <c r="C531" s="0" t="n">
        <v>14</v>
      </c>
      <c r="D531" s="0" t="n">
        <v>70980</v>
      </c>
      <c r="E531" s="0" t="n">
        <f aca="false">VLOOKUP(B531,'MSA-Lookup'!$H$2:$I$86,2)</f>
        <v>7500</v>
      </c>
      <c r="F531" s="0" t="n">
        <f aca="false">IF(C531&gt;1,IF(C531&lt;99,VLOOKUP(C531,'MSA-Lookup'!$H$1:$I$86,2),C531),C531)</f>
        <v>7500</v>
      </c>
      <c r="G531" s="0" t="n">
        <f aca="false">VLOOKUP(E531,'MSA-Lookup'!$AA$1:$AB$25,2)</f>
        <v>7362</v>
      </c>
      <c r="H531" s="0" t="n">
        <f aca="false">IF(C531&gt;1,IF(C531&lt;99,VLOOKUP(F531,'MSA-Lookup'!$AA$1:$AB$25,2),C531),C531)</f>
        <v>7362</v>
      </c>
    </row>
    <row r="532" customFormat="false" ht="12.75" hidden="false" customHeight="false" outlineLevel="0" collapsed="false">
      <c r="A532" s="0" t="n">
        <f aca="false">B532*1000+C532</f>
        <v>14015</v>
      </c>
      <c r="B532" s="0" t="n">
        <v>14</v>
      </c>
      <c r="C532" s="0" t="n">
        <v>15</v>
      </c>
      <c r="D532" s="0" t="n">
        <v>15145</v>
      </c>
      <c r="E532" s="0" t="n">
        <f aca="false">VLOOKUP(B532,'MSA-Lookup'!$H$2:$I$86,2)</f>
        <v>7500</v>
      </c>
      <c r="F532" s="0" t="n">
        <f aca="false">IF(C532&gt;1,IF(C532&lt;99,VLOOKUP(C532,'MSA-Lookup'!$H$1:$I$86,2),C532),C532)</f>
        <v>7360</v>
      </c>
      <c r="G532" s="0" t="n">
        <f aca="false">VLOOKUP(E532,'MSA-Lookup'!$AA$1:$AB$25,2)</f>
        <v>7362</v>
      </c>
      <c r="H532" s="0" t="n">
        <f aca="false">IF(C532&gt;1,IF(C532&lt;99,VLOOKUP(F532,'MSA-Lookup'!$AA$1:$AB$25,2),C532),C532)</f>
        <v>7362</v>
      </c>
    </row>
    <row r="533" customFormat="false" ht="12.75" hidden="false" customHeight="false" outlineLevel="0" collapsed="false">
      <c r="A533" s="0" t="n">
        <f aca="false">B533*1000+C533</f>
        <v>14016</v>
      </c>
      <c r="B533" s="0" t="n">
        <v>14</v>
      </c>
      <c r="C533" s="0" t="n">
        <v>16</v>
      </c>
      <c r="D533" s="0" t="n">
        <v>286</v>
      </c>
      <c r="E533" s="0" t="n">
        <f aca="false">VLOOKUP(B533,'MSA-Lookup'!$H$2:$I$86,2)</f>
        <v>7500</v>
      </c>
      <c r="F533" s="0" t="n">
        <f aca="false">IF(C533&gt;1,IF(C533&lt;99,VLOOKUP(C533,'MSA-Lookup'!$H$1:$I$86,2),C533),C533)</f>
        <v>8720</v>
      </c>
      <c r="G533" s="0" t="n">
        <f aca="false">VLOOKUP(E533,'MSA-Lookup'!$AA$1:$AB$25,2)</f>
        <v>7362</v>
      </c>
      <c r="H533" s="0" t="n">
        <f aca="false">IF(C533&gt;1,IF(C533&lt;99,VLOOKUP(F533,'MSA-Lookup'!$AA$1:$AB$25,2),C533),C533)</f>
        <v>7362</v>
      </c>
    </row>
    <row r="534" customFormat="false" ht="12.75" hidden="false" customHeight="false" outlineLevel="0" collapsed="false">
      <c r="A534" s="0" t="n">
        <f aca="false">B534*1000+C534</f>
        <v>14017</v>
      </c>
      <c r="B534" s="0" t="n">
        <v>14</v>
      </c>
      <c r="C534" s="0" t="n">
        <v>17</v>
      </c>
      <c r="D534" s="0" t="n">
        <v>338</v>
      </c>
      <c r="E534" s="0" t="n">
        <f aca="false">VLOOKUP(B534,'MSA-Lookup'!$H$2:$I$86,2)</f>
        <v>7500</v>
      </c>
      <c r="F534" s="0" t="n">
        <f aca="false">IF(C534&gt;1,IF(C534&lt;99,VLOOKUP(C534,'MSA-Lookup'!$H$1:$I$86,2),C534),C534)</f>
        <v>5775</v>
      </c>
      <c r="G534" s="0" t="n">
        <f aca="false">VLOOKUP(E534,'MSA-Lookup'!$AA$1:$AB$25,2)</f>
        <v>7362</v>
      </c>
      <c r="H534" s="0" t="n">
        <f aca="false">IF(C534&gt;1,IF(C534&lt;99,VLOOKUP(F534,'MSA-Lookup'!$AA$1:$AB$25,2),C534),C534)</f>
        <v>7362</v>
      </c>
    </row>
    <row r="535" customFormat="false" ht="12.75" hidden="false" customHeight="false" outlineLevel="0" collapsed="false">
      <c r="A535" s="0" t="n">
        <f aca="false">B535*1000+C535</f>
        <v>14018</v>
      </c>
      <c r="B535" s="0" t="n">
        <v>14</v>
      </c>
      <c r="C535" s="0" t="n">
        <v>18</v>
      </c>
      <c r="D535" s="0" t="n">
        <v>611</v>
      </c>
      <c r="E535" s="0" t="n">
        <f aca="false">VLOOKUP(B535,'MSA-Lookup'!$H$2:$I$86,2)</f>
        <v>7500</v>
      </c>
      <c r="F535" s="0" t="n">
        <f aca="false">IF(C535&gt;1,IF(C535&lt;99,VLOOKUP(C535,'MSA-Lookup'!$H$1:$I$86,2),C535),C535)</f>
        <v>5775</v>
      </c>
      <c r="G535" s="0" t="n">
        <f aca="false">VLOOKUP(E535,'MSA-Lookup'!$AA$1:$AB$25,2)</f>
        <v>7362</v>
      </c>
      <c r="H535" s="0" t="n">
        <f aca="false">IF(C535&gt;1,IF(C535&lt;99,VLOOKUP(F535,'MSA-Lookup'!$AA$1:$AB$25,2),C535),C535)</f>
        <v>7362</v>
      </c>
    </row>
    <row r="536" customFormat="false" ht="12.75" hidden="false" customHeight="false" outlineLevel="0" collapsed="false">
      <c r="A536" s="0" t="n">
        <f aca="false">B536*1000+C536</f>
        <v>14019</v>
      </c>
      <c r="B536" s="0" t="n">
        <v>14</v>
      </c>
      <c r="C536" s="0" t="n">
        <v>19</v>
      </c>
      <c r="D536" s="0" t="n">
        <v>7631</v>
      </c>
      <c r="E536" s="0" t="n">
        <f aca="false">VLOOKUP(B536,'MSA-Lookup'!$H$2:$I$86,2)</f>
        <v>7500</v>
      </c>
      <c r="F536" s="0" t="n">
        <f aca="false">IF(C536&gt;1,IF(C536&lt;99,VLOOKUP(C536,'MSA-Lookup'!$H$1:$I$86,2),C536),C536)</f>
        <v>7360</v>
      </c>
      <c r="G536" s="0" t="n">
        <f aca="false">VLOOKUP(E536,'MSA-Lookup'!$AA$1:$AB$25,2)</f>
        <v>7362</v>
      </c>
      <c r="H536" s="0" t="n">
        <f aca="false">IF(C536&gt;1,IF(C536&lt;99,VLOOKUP(F536,'MSA-Lookup'!$AA$1:$AB$25,2),C536),C536)</f>
        <v>7362</v>
      </c>
    </row>
    <row r="537" customFormat="false" ht="12.75" hidden="false" customHeight="false" outlineLevel="0" collapsed="false">
      <c r="A537" s="0" t="n">
        <f aca="false">B537*1000+C537</f>
        <v>14020</v>
      </c>
      <c r="B537" s="0" t="n">
        <v>14</v>
      </c>
      <c r="C537" s="0" t="n">
        <v>20</v>
      </c>
      <c r="D537" s="0" t="n">
        <v>416</v>
      </c>
      <c r="E537" s="0" t="n">
        <f aca="false">VLOOKUP(B537,'MSA-Lookup'!$H$2:$I$86,2)</f>
        <v>7500</v>
      </c>
      <c r="F537" s="0" t="n">
        <f aca="false">IF(C537&gt;1,IF(C537&lt;99,VLOOKUP(C537,'MSA-Lookup'!$H$1:$I$86,2),C537),C537)</f>
        <v>5775</v>
      </c>
      <c r="G537" s="0" t="n">
        <f aca="false">VLOOKUP(E537,'MSA-Lookup'!$AA$1:$AB$25,2)</f>
        <v>7362</v>
      </c>
      <c r="H537" s="0" t="n">
        <f aca="false">IF(C537&gt;1,IF(C537&lt;99,VLOOKUP(F537,'MSA-Lookup'!$AA$1:$AB$25,2),C537),C537)</f>
        <v>7362</v>
      </c>
    </row>
    <row r="538" customFormat="false" ht="12.75" hidden="false" customHeight="false" outlineLevel="0" collapsed="false">
      <c r="A538" s="0" t="n">
        <f aca="false">B538*1000+C538</f>
        <v>14021</v>
      </c>
      <c r="B538" s="0" t="n">
        <v>14</v>
      </c>
      <c r="C538" s="0" t="n">
        <v>21</v>
      </c>
      <c r="D538" s="0" t="n">
        <v>1469</v>
      </c>
      <c r="E538" s="0" t="n">
        <f aca="false">VLOOKUP(B538,'MSA-Lookup'!$H$2:$I$86,2)</f>
        <v>7500</v>
      </c>
      <c r="F538" s="0" t="n">
        <f aca="false">IF(C538&gt;1,IF(C538&lt;99,VLOOKUP(C538,'MSA-Lookup'!$H$1:$I$86,2),C538),C538)</f>
        <v>5775</v>
      </c>
      <c r="G538" s="0" t="n">
        <f aca="false">VLOOKUP(E538,'MSA-Lookup'!$AA$1:$AB$25,2)</f>
        <v>7362</v>
      </c>
      <c r="H538" s="0" t="n">
        <f aca="false">IF(C538&gt;1,IF(C538&lt;99,VLOOKUP(F538,'MSA-Lookup'!$AA$1:$AB$25,2),C538),C538)</f>
        <v>7362</v>
      </c>
    </row>
    <row r="539" customFormat="false" ht="12.75" hidden="false" customHeight="false" outlineLevel="0" collapsed="false">
      <c r="A539" s="0" t="n">
        <f aca="false">B539*1000+C539</f>
        <v>14022</v>
      </c>
      <c r="B539" s="0" t="n">
        <v>14</v>
      </c>
      <c r="C539" s="0" t="n">
        <v>22</v>
      </c>
      <c r="D539" s="0" t="n">
        <v>1079</v>
      </c>
      <c r="E539" s="0" t="n">
        <f aca="false">VLOOKUP(B539,'MSA-Lookup'!$H$2:$I$86,2)</f>
        <v>7500</v>
      </c>
      <c r="F539" s="0" t="n">
        <f aca="false">IF(C539&gt;1,IF(C539&lt;99,VLOOKUP(C539,'MSA-Lookup'!$H$1:$I$86,2),C539),C539)</f>
        <v>7360</v>
      </c>
      <c r="G539" s="0" t="n">
        <f aca="false">VLOOKUP(E539,'MSA-Lookup'!$AA$1:$AB$25,2)</f>
        <v>7362</v>
      </c>
      <c r="H539" s="0" t="n">
        <f aca="false">IF(C539&gt;1,IF(C539&lt;99,VLOOKUP(F539,'MSA-Lookup'!$AA$1:$AB$25,2),C539),C539)</f>
        <v>7362</v>
      </c>
    </row>
    <row r="540" customFormat="false" ht="12.75" hidden="false" customHeight="false" outlineLevel="0" collapsed="false">
      <c r="A540" s="0" t="n">
        <f aca="false">B540*1000+C540</f>
        <v>14023</v>
      </c>
      <c r="B540" s="0" t="n">
        <v>14</v>
      </c>
      <c r="C540" s="0" t="n">
        <v>23</v>
      </c>
      <c r="D540" s="0" t="n">
        <v>0</v>
      </c>
      <c r="E540" s="0" t="n">
        <f aca="false">VLOOKUP(B540,'MSA-Lookup'!$H$2:$I$86,2)</f>
        <v>7500</v>
      </c>
      <c r="F540" s="0" t="n">
        <f aca="false">IF(C540&gt;1,IF(C540&lt;99,VLOOKUP(C540,'MSA-Lookup'!$H$1:$I$86,2),C540),C540)</f>
        <v>8120</v>
      </c>
      <c r="G540" s="0" t="n">
        <f aca="false">VLOOKUP(E540,'MSA-Lookup'!$AA$1:$AB$25,2)</f>
        <v>7362</v>
      </c>
      <c r="H540" s="0" t="n">
        <f aca="false">IF(C540&gt;1,IF(C540&lt;99,VLOOKUP(F540,'MSA-Lookup'!$AA$1:$AB$25,2),C540),C540)</f>
        <v>8120</v>
      </c>
    </row>
    <row r="541" customFormat="false" ht="12.75" hidden="false" customHeight="false" outlineLevel="0" collapsed="false">
      <c r="A541" s="0" t="n">
        <f aca="false">B541*1000+C541</f>
        <v>14024</v>
      </c>
      <c r="B541" s="0" t="n">
        <v>14</v>
      </c>
      <c r="C541" s="0" t="n">
        <v>24</v>
      </c>
      <c r="D541" s="0" t="n">
        <v>0</v>
      </c>
      <c r="E541" s="0" t="n">
        <f aca="false">VLOOKUP(B541,'MSA-Lookup'!$H$2:$I$86,2)</f>
        <v>7500</v>
      </c>
      <c r="F541" s="0" t="n">
        <f aca="false">IF(C541&gt;1,IF(C541&lt;99,VLOOKUP(C541,'MSA-Lookup'!$H$1:$I$86,2),C541),C541)</f>
        <v>5170</v>
      </c>
      <c r="G541" s="0" t="n">
        <f aca="false">VLOOKUP(E541,'MSA-Lookup'!$AA$1:$AB$25,2)</f>
        <v>7362</v>
      </c>
      <c r="H541" s="0" t="n">
        <f aca="false">IF(C541&gt;1,IF(C541&lt;99,VLOOKUP(F541,'MSA-Lookup'!$AA$1:$AB$25,2),C541),C541)</f>
        <v>5170</v>
      </c>
    </row>
    <row r="542" customFormat="false" ht="12.75" hidden="false" customHeight="false" outlineLevel="0" collapsed="false">
      <c r="A542" s="0" t="n">
        <f aca="false">B542*1000+C542</f>
        <v>14025</v>
      </c>
      <c r="B542" s="0" t="n">
        <v>14</v>
      </c>
      <c r="C542" s="0" t="n">
        <v>25</v>
      </c>
      <c r="D542" s="0" t="n">
        <v>0</v>
      </c>
      <c r="E542" s="0" t="n">
        <f aca="false">VLOOKUP(B542,'MSA-Lookup'!$H$2:$I$86,2)</f>
        <v>7500</v>
      </c>
      <c r="F542" s="0" t="n">
        <f aca="false">IF(C542&gt;1,IF(C542&lt;99,VLOOKUP(C542,'MSA-Lookup'!$H$1:$I$86,2),C542),C542)</f>
        <v>5170</v>
      </c>
      <c r="G542" s="0" t="n">
        <f aca="false">VLOOKUP(E542,'MSA-Lookup'!$AA$1:$AB$25,2)</f>
        <v>7362</v>
      </c>
      <c r="H542" s="0" t="n">
        <f aca="false">IF(C542&gt;1,IF(C542&lt;99,VLOOKUP(F542,'MSA-Lookup'!$AA$1:$AB$25,2),C542),C542)</f>
        <v>5170</v>
      </c>
    </row>
    <row r="543" customFormat="false" ht="12.75" hidden="false" customHeight="false" outlineLevel="0" collapsed="false">
      <c r="A543" s="0" t="n">
        <f aca="false">B543*1000+C543</f>
        <v>14026</v>
      </c>
      <c r="B543" s="0" t="n">
        <v>14</v>
      </c>
      <c r="C543" s="0" t="n">
        <v>26</v>
      </c>
      <c r="D543" s="0" t="n">
        <v>0</v>
      </c>
      <c r="E543" s="0" t="n">
        <f aca="false">VLOOKUP(B543,'MSA-Lookup'!$H$2:$I$86,2)</f>
        <v>7500</v>
      </c>
      <c r="F543" s="0" t="n">
        <f aca="false">IF(C543&gt;1,IF(C543&lt;99,VLOOKUP(C543,'MSA-Lookup'!$H$1:$I$86,2),C543),C543)</f>
        <v>9999</v>
      </c>
      <c r="G543" s="0" t="n">
        <f aca="false">VLOOKUP(E543,'MSA-Lookup'!$AA$1:$AB$25,2)</f>
        <v>7362</v>
      </c>
      <c r="H543" s="0" t="n">
        <f aca="false">IF(C543&gt;1,IF(C543&lt;99,VLOOKUP(F543,'MSA-Lookup'!$AA$1:$AB$25,2),C543),C543)</f>
        <v>9999</v>
      </c>
    </row>
    <row r="544" customFormat="false" ht="12.75" hidden="false" customHeight="false" outlineLevel="0" collapsed="false">
      <c r="A544" s="0" t="n">
        <f aca="false">B544*1000+C544</f>
        <v>14028</v>
      </c>
      <c r="B544" s="0" t="n">
        <v>14</v>
      </c>
      <c r="C544" s="0" t="n">
        <v>28</v>
      </c>
      <c r="D544" s="0" t="n">
        <v>117</v>
      </c>
      <c r="E544" s="0" t="n">
        <f aca="false">VLOOKUP(B544,'MSA-Lookup'!$H$2:$I$86,2)</f>
        <v>7500</v>
      </c>
      <c r="F544" s="0" t="n">
        <f aca="false">IF(C544&gt;1,IF(C544&lt;99,VLOOKUP(C544,'MSA-Lookup'!$H$1:$I$86,2),C544),C544)</f>
        <v>6920</v>
      </c>
      <c r="G544" s="0" t="n">
        <f aca="false">VLOOKUP(E544,'MSA-Lookup'!$AA$1:$AB$25,2)</f>
        <v>7362</v>
      </c>
      <c r="H544" s="0" t="n">
        <f aca="false">IF(C544&gt;1,IF(C544&lt;99,VLOOKUP(F544,'MSA-Lookup'!$AA$1:$AB$25,2),C544),C544)</f>
        <v>6920</v>
      </c>
    </row>
    <row r="545" customFormat="false" ht="12.75" hidden="false" customHeight="false" outlineLevel="0" collapsed="false">
      <c r="A545" s="0" t="n">
        <f aca="false">B545*1000+C545</f>
        <v>14029</v>
      </c>
      <c r="B545" s="0" t="n">
        <v>14</v>
      </c>
      <c r="C545" s="0" t="n">
        <v>29</v>
      </c>
      <c r="D545" s="0" t="n">
        <v>0</v>
      </c>
      <c r="E545" s="0" t="n">
        <f aca="false">VLOOKUP(B545,'MSA-Lookup'!$H$2:$I$86,2)</f>
        <v>7500</v>
      </c>
      <c r="F545" s="0" t="n">
        <f aca="false">IF(C545&gt;1,IF(C545&lt;99,VLOOKUP(C545,'MSA-Lookup'!$H$1:$I$86,2),C545),C545)</f>
        <v>6920</v>
      </c>
      <c r="G545" s="0" t="n">
        <f aca="false">VLOOKUP(E545,'MSA-Lookup'!$AA$1:$AB$25,2)</f>
        <v>7362</v>
      </c>
      <c r="H545" s="0" t="n">
        <f aca="false">IF(C545&gt;1,IF(C545&lt;99,VLOOKUP(F545,'MSA-Lookup'!$AA$1:$AB$25,2),C545),C545)</f>
        <v>6920</v>
      </c>
    </row>
    <row r="546" customFormat="false" ht="12.75" hidden="false" customHeight="false" outlineLevel="0" collapsed="false">
      <c r="A546" s="0" t="n">
        <f aca="false">B546*1000+C546</f>
        <v>14033</v>
      </c>
      <c r="B546" s="0" t="n">
        <v>14</v>
      </c>
      <c r="C546" s="0" t="n">
        <v>33</v>
      </c>
      <c r="D546" s="0" t="n">
        <v>0</v>
      </c>
      <c r="E546" s="0" t="n">
        <f aca="false">VLOOKUP(B546,'MSA-Lookup'!$H$2:$I$86,2)</f>
        <v>7500</v>
      </c>
      <c r="F546" s="0" t="n">
        <f aca="false">IF(C546&gt;1,IF(C546&lt;99,VLOOKUP(C546,'MSA-Lookup'!$H$1:$I$86,2),C546),C546)</f>
        <v>7320</v>
      </c>
      <c r="G546" s="0" t="n">
        <f aca="false">VLOOKUP(E546,'MSA-Lookup'!$AA$1:$AB$25,2)</f>
        <v>7362</v>
      </c>
      <c r="H546" s="0" t="n">
        <f aca="false">IF(C546&gt;1,IF(C546&lt;99,VLOOKUP(F546,'MSA-Lookup'!$AA$1:$AB$25,2),C546),C546)</f>
        <v>7320</v>
      </c>
    </row>
    <row r="547" customFormat="false" ht="12.75" hidden="false" customHeight="false" outlineLevel="0" collapsed="false">
      <c r="A547" s="0" t="n">
        <f aca="false">B547*1000+C547</f>
        <v>14034</v>
      </c>
      <c r="B547" s="0" t="n">
        <v>14</v>
      </c>
      <c r="C547" s="0" t="n">
        <v>34</v>
      </c>
      <c r="D547" s="0" t="n">
        <v>0</v>
      </c>
      <c r="E547" s="0" t="n">
        <f aca="false">VLOOKUP(B547,'MSA-Lookup'!$H$2:$I$86,2)</f>
        <v>7500</v>
      </c>
      <c r="F547" s="0" t="n">
        <f aca="false">IF(C547&gt;1,IF(C547&lt;99,VLOOKUP(C547,'MSA-Lookup'!$H$1:$I$86,2),C547),C547)</f>
        <v>7320</v>
      </c>
      <c r="G547" s="0" t="n">
        <f aca="false">VLOOKUP(E547,'MSA-Lookup'!$AA$1:$AB$25,2)</f>
        <v>7362</v>
      </c>
      <c r="H547" s="0" t="n">
        <f aca="false">IF(C547&gt;1,IF(C547&lt;99,VLOOKUP(F547,'MSA-Lookup'!$AA$1:$AB$25,2),C547),C547)</f>
        <v>7320</v>
      </c>
    </row>
    <row r="548" customFormat="false" ht="12.75" hidden="false" customHeight="false" outlineLevel="0" collapsed="false">
      <c r="A548" s="0" t="n">
        <f aca="false">B548*1000+C548</f>
        <v>14035</v>
      </c>
      <c r="B548" s="0" t="n">
        <v>14</v>
      </c>
      <c r="C548" s="0" t="n">
        <v>35</v>
      </c>
      <c r="D548" s="0" t="n">
        <v>156</v>
      </c>
      <c r="E548" s="0" t="n">
        <f aca="false">VLOOKUP(B548,'MSA-Lookup'!$H$2:$I$86,2)</f>
        <v>7500</v>
      </c>
      <c r="F548" s="0" t="n">
        <f aca="false">IF(C548&gt;1,IF(C548&lt;99,VLOOKUP(C548,'MSA-Lookup'!$H$1:$I$86,2),C548),C548)</f>
        <v>7320</v>
      </c>
      <c r="G548" s="0" t="n">
        <f aca="false">VLOOKUP(E548,'MSA-Lookup'!$AA$1:$AB$25,2)</f>
        <v>7362</v>
      </c>
      <c r="H548" s="0" t="n">
        <f aca="false">IF(C548&gt;1,IF(C548&lt;99,VLOOKUP(F548,'MSA-Lookup'!$AA$1:$AB$25,2),C548),C548)</f>
        <v>7320</v>
      </c>
    </row>
    <row r="549" customFormat="false" ht="12.75" hidden="false" customHeight="false" outlineLevel="0" collapsed="false">
      <c r="A549" s="0" t="n">
        <f aca="false">B549*1000+C549</f>
        <v>14037</v>
      </c>
      <c r="B549" s="0" t="n">
        <v>14</v>
      </c>
      <c r="C549" s="0" t="n">
        <v>37</v>
      </c>
      <c r="D549" s="0" t="n">
        <v>0</v>
      </c>
      <c r="E549" s="0" t="n">
        <f aca="false">VLOOKUP(B549,'MSA-Lookup'!$H$2:$I$86,2)</f>
        <v>7500</v>
      </c>
      <c r="F549" s="0" t="n">
        <f aca="false">IF(C549&gt;1,IF(C549&lt;99,VLOOKUP(C549,'MSA-Lookup'!$H$1:$I$86,2),C549),C549)</f>
        <v>7320</v>
      </c>
      <c r="G549" s="0" t="n">
        <f aca="false">VLOOKUP(E549,'MSA-Lookup'!$AA$1:$AB$25,2)</f>
        <v>7362</v>
      </c>
      <c r="H549" s="0" t="n">
        <f aca="false">IF(C549&gt;1,IF(C549&lt;99,VLOOKUP(F549,'MSA-Lookup'!$AA$1:$AB$25,2),C549),C549)</f>
        <v>7320</v>
      </c>
    </row>
    <row r="550" customFormat="false" ht="12.75" hidden="false" customHeight="false" outlineLevel="0" collapsed="false">
      <c r="A550" s="0" t="n">
        <f aca="false">B550*1000+C550</f>
        <v>14039</v>
      </c>
      <c r="B550" s="0" t="n">
        <v>14</v>
      </c>
      <c r="C550" s="0" t="n">
        <v>39</v>
      </c>
      <c r="D550" s="0" t="n">
        <v>0</v>
      </c>
      <c r="E550" s="0" t="n">
        <f aca="false">VLOOKUP(B550,'MSA-Lookup'!$H$2:$I$86,2)</f>
        <v>7500</v>
      </c>
      <c r="F550" s="0" t="n">
        <f aca="false">IF(C550&gt;1,IF(C550&lt;99,VLOOKUP(C550,'MSA-Lookup'!$H$1:$I$86,2),C550),C550)</f>
        <v>7120</v>
      </c>
      <c r="G550" s="0" t="n">
        <f aca="false">VLOOKUP(E550,'MSA-Lookup'!$AA$1:$AB$25,2)</f>
        <v>7362</v>
      </c>
      <c r="H550" s="0" t="n">
        <f aca="false">IF(C550&gt;1,IF(C550&lt;99,VLOOKUP(F550,'MSA-Lookup'!$AA$1:$AB$25,2),C550),C550)</f>
        <v>7120</v>
      </c>
    </row>
    <row r="551" customFormat="false" ht="12.75" hidden="false" customHeight="false" outlineLevel="0" collapsed="false">
      <c r="A551" s="0" t="n">
        <f aca="false">B551*1000+C551</f>
        <v>14040</v>
      </c>
      <c r="B551" s="0" t="n">
        <v>14</v>
      </c>
      <c r="C551" s="0" t="n">
        <v>40</v>
      </c>
      <c r="D551" s="0" t="n">
        <v>0</v>
      </c>
      <c r="E551" s="0" t="n">
        <f aca="false">VLOOKUP(B551,'MSA-Lookup'!$H$2:$I$86,2)</f>
        <v>7500</v>
      </c>
      <c r="F551" s="0" t="n">
        <f aca="false">IF(C551&gt;1,IF(C551&lt;99,VLOOKUP(C551,'MSA-Lookup'!$H$1:$I$86,2),C551),C551)</f>
        <v>2840</v>
      </c>
      <c r="G551" s="0" t="n">
        <f aca="false">VLOOKUP(E551,'MSA-Lookup'!$AA$1:$AB$25,2)</f>
        <v>7362</v>
      </c>
      <c r="H551" s="0" t="n">
        <f aca="false">IF(C551&gt;1,IF(C551&lt;99,VLOOKUP(F551,'MSA-Lookup'!$AA$1:$AB$25,2),C551),C551)</f>
        <v>2840</v>
      </c>
    </row>
    <row r="552" customFormat="false" ht="12.75" hidden="false" customHeight="false" outlineLevel="0" collapsed="false">
      <c r="A552" s="0" t="n">
        <f aca="false">B552*1000+C552</f>
        <v>14041</v>
      </c>
      <c r="B552" s="0" t="n">
        <v>14</v>
      </c>
      <c r="C552" s="0" t="n">
        <v>41</v>
      </c>
      <c r="D552" s="0" t="n">
        <v>0</v>
      </c>
      <c r="E552" s="0" t="n">
        <f aca="false">VLOOKUP(B552,'MSA-Lookup'!$H$2:$I$86,2)</f>
        <v>7500</v>
      </c>
      <c r="F552" s="0" t="n">
        <f aca="false">IF(C552&gt;1,IF(C552&lt;99,VLOOKUP(C552,'MSA-Lookup'!$H$1:$I$86,2),C552),C552)</f>
        <v>2840</v>
      </c>
      <c r="G552" s="0" t="n">
        <f aca="false">VLOOKUP(E552,'MSA-Lookup'!$AA$1:$AB$25,2)</f>
        <v>7362</v>
      </c>
      <c r="H552" s="0" t="n">
        <f aca="false">IF(C552&gt;1,IF(C552&lt;99,VLOOKUP(F552,'MSA-Lookup'!$AA$1:$AB$25,2),C552),C552)</f>
        <v>2840</v>
      </c>
    </row>
    <row r="553" customFormat="false" ht="12.75" hidden="false" customHeight="false" outlineLevel="0" collapsed="false">
      <c r="A553" s="0" t="n">
        <f aca="false">B553*1000+C553</f>
        <v>14042</v>
      </c>
      <c r="B553" s="0" t="n">
        <v>14</v>
      </c>
      <c r="C553" s="0" t="n">
        <v>42</v>
      </c>
      <c r="D553" s="0" t="n">
        <v>0</v>
      </c>
      <c r="E553" s="0" t="n">
        <f aca="false">VLOOKUP(B553,'MSA-Lookup'!$H$2:$I$86,2)</f>
        <v>7500</v>
      </c>
      <c r="F553" s="0" t="n">
        <f aca="false">IF(C553&gt;1,IF(C553&lt;99,VLOOKUP(C553,'MSA-Lookup'!$H$1:$I$86,2),C553),C553)</f>
        <v>360</v>
      </c>
      <c r="G553" s="0" t="n">
        <f aca="false">VLOOKUP(E553,'MSA-Lookup'!$AA$1:$AB$25,2)</f>
        <v>7362</v>
      </c>
      <c r="H553" s="0" t="n">
        <f aca="false">IF(C553&gt;1,IF(C553&lt;99,VLOOKUP(F553,'MSA-Lookup'!$AA$1:$AB$25,2),C553),C553)</f>
        <v>4472</v>
      </c>
    </row>
    <row r="554" customFormat="false" ht="12.75" hidden="false" customHeight="false" outlineLevel="0" collapsed="false">
      <c r="A554" s="0" t="n">
        <f aca="false">B554*1000+C554</f>
        <v>14048</v>
      </c>
      <c r="B554" s="0" t="n">
        <v>14</v>
      </c>
      <c r="C554" s="0" t="n">
        <v>48</v>
      </c>
      <c r="D554" s="0" t="n">
        <v>0</v>
      </c>
      <c r="E554" s="0" t="n">
        <f aca="false">VLOOKUP(B554,'MSA-Lookup'!$H$2:$I$86,2)</f>
        <v>7500</v>
      </c>
      <c r="F554" s="0" t="n">
        <f aca="false">IF(C554&gt;1,IF(C554&lt;99,VLOOKUP(C554,'MSA-Lookup'!$H$1:$I$86,2),C554),C554)</f>
        <v>360</v>
      </c>
      <c r="G554" s="0" t="n">
        <f aca="false">VLOOKUP(E554,'MSA-Lookup'!$AA$1:$AB$25,2)</f>
        <v>7362</v>
      </c>
      <c r="H554" s="0" t="n">
        <f aca="false">IF(C554&gt;1,IF(C554&lt;99,VLOOKUP(F554,'MSA-Lookup'!$AA$1:$AB$25,2),C554),C554)</f>
        <v>4472</v>
      </c>
    </row>
    <row r="555" customFormat="false" ht="12.75" hidden="false" customHeight="false" outlineLevel="0" collapsed="false">
      <c r="A555" s="0" t="n">
        <f aca="false">B555*1000+C555</f>
        <v>14049</v>
      </c>
      <c r="B555" s="0" t="n">
        <v>14</v>
      </c>
      <c r="C555" s="0" t="n">
        <v>49</v>
      </c>
      <c r="D555" s="0" t="n">
        <v>91</v>
      </c>
      <c r="E555" s="0" t="n">
        <f aca="false">VLOOKUP(B555,'MSA-Lookup'!$H$2:$I$86,2)</f>
        <v>7500</v>
      </c>
      <c r="F555" s="0" t="n">
        <f aca="false">IF(C555&gt;1,IF(C555&lt;99,VLOOKUP(C555,'MSA-Lookup'!$H$1:$I$86,2),C555),C555)</f>
        <v>7400</v>
      </c>
      <c r="G555" s="0" t="n">
        <f aca="false">VLOOKUP(E555,'MSA-Lookup'!$AA$1:$AB$25,2)</f>
        <v>7362</v>
      </c>
      <c r="H555" s="0" t="n">
        <f aca="false">IF(C555&gt;1,IF(C555&lt;99,VLOOKUP(F555,'MSA-Lookup'!$AA$1:$AB$25,2),C555),C555)</f>
        <v>7362</v>
      </c>
    </row>
    <row r="556" customFormat="false" ht="12.75" hidden="false" customHeight="false" outlineLevel="0" collapsed="false">
      <c r="A556" s="0" t="n">
        <f aca="false">B556*1000+C556</f>
        <v>14050</v>
      </c>
      <c r="B556" s="0" t="n">
        <v>14</v>
      </c>
      <c r="C556" s="0" t="n">
        <v>50</v>
      </c>
      <c r="D556" s="0" t="n">
        <v>0</v>
      </c>
      <c r="E556" s="0" t="n">
        <f aca="false">VLOOKUP(B556,'MSA-Lookup'!$H$2:$I$86,2)</f>
        <v>7500</v>
      </c>
      <c r="F556" s="0" t="n">
        <f aca="false">IF(C556&gt;1,IF(C556&lt;99,VLOOKUP(C556,'MSA-Lookup'!$H$1:$I$86,2),C556),C556)</f>
        <v>7400</v>
      </c>
      <c r="G556" s="0" t="n">
        <f aca="false">VLOOKUP(E556,'MSA-Lookup'!$AA$1:$AB$25,2)</f>
        <v>7362</v>
      </c>
      <c r="H556" s="0" t="n">
        <f aca="false">IF(C556&gt;1,IF(C556&lt;99,VLOOKUP(F556,'MSA-Lookup'!$AA$1:$AB$25,2),C556),C556)</f>
        <v>7362</v>
      </c>
    </row>
    <row r="557" customFormat="false" ht="12.75" hidden="false" customHeight="false" outlineLevel="0" collapsed="false">
      <c r="A557" s="0" t="n">
        <f aca="false">B557*1000+C557</f>
        <v>14051</v>
      </c>
      <c r="B557" s="0" t="n">
        <v>14</v>
      </c>
      <c r="C557" s="0" t="n">
        <v>51</v>
      </c>
      <c r="D557" s="0" t="n">
        <v>260</v>
      </c>
      <c r="E557" s="0" t="n">
        <f aca="false">VLOOKUP(B557,'MSA-Lookup'!$H$2:$I$86,2)</f>
        <v>7500</v>
      </c>
      <c r="F557" s="0" t="n">
        <f aca="false">IF(C557&gt;1,IF(C557&lt;99,VLOOKUP(C557,'MSA-Lookup'!$H$1:$I$86,2),C557),C557)</f>
        <v>7400</v>
      </c>
      <c r="G557" s="0" t="n">
        <f aca="false">VLOOKUP(E557,'MSA-Lookup'!$AA$1:$AB$25,2)</f>
        <v>7362</v>
      </c>
      <c r="H557" s="0" t="n">
        <f aca="false">IF(C557&gt;1,IF(C557&lt;99,VLOOKUP(F557,'MSA-Lookup'!$AA$1:$AB$25,2),C557),C557)</f>
        <v>7362</v>
      </c>
    </row>
    <row r="558" customFormat="false" ht="12.75" hidden="false" customHeight="false" outlineLevel="0" collapsed="false">
      <c r="A558" s="0" t="n">
        <f aca="false">B558*1000+C558</f>
        <v>14052</v>
      </c>
      <c r="B558" s="0" t="n">
        <v>14</v>
      </c>
      <c r="C558" s="0" t="n">
        <v>52</v>
      </c>
      <c r="D558" s="0" t="n">
        <v>65</v>
      </c>
      <c r="E558" s="0" t="n">
        <f aca="false">VLOOKUP(B558,'MSA-Lookup'!$H$2:$I$86,2)</f>
        <v>7500</v>
      </c>
      <c r="F558" s="0" t="n">
        <f aca="false">IF(C558&gt;1,IF(C558&lt;99,VLOOKUP(C558,'MSA-Lookup'!$H$1:$I$86,2),C558),C558)</f>
        <v>4480</v>
      </c>
      <c r="G558" s="0" t="n">
        <f aca="false">VLOOKUP(E558,'MSA-Lookup'!$AA$1:$AB$25,2)</f>
        <v>7362</v>
      </c>
      <c r="H558" s="0" t="n">
        <f aca="false">IF(C558&gt;1,IF(C558&lt;99,VLOOKUP(F558,'MSA-Lookup'!$AA$1:$AB$25,2),C558),C558)</f>
        <v>4472</v>
      </c>
    </row>
    <row r="559" customFormat="false" ht="12.75" hidden="false" customHeight="false" outlineLevel="0" collapsed="false">
      <c r="A559" s="0" t="n">
        <f aca="false">B559*1000+C559</f>
        <v>14053</v>
      </c>
      <c r="B559" s="0" t="n">
        <v>14</v>
      </c>
      <c r="C559" s="0" t="n">
        <v>53</v>
      </c>
      <c r="D559" s="0" t="n">
        <v>0</v>
      </c>
      <c r="E559" s="0" t="n">
        <f aca="false">VLOOKUP(B559,'MSA-Lookup'!$H$2:$I$86,2)</f>
        <v>7500</v>
      </c>
      <c r="F559" s="0" t="n">
        <f aca="false">IF(C559&gt;1,IF(C559&lt;99,VLOOKUP(C559,'MSA-Lookup'!$H$1:$I$86,2),C559),C559)</f>
        <v>4480</v>
      </c>
      <c r="G559" s="0" t="n">
        <f aca="false">VLOOKUP(E559,'MSA-Lookup'!$AA$1:$AB$25,2)</f>
        <v>7362</v>
      </c>
      <c r="H559" s="0" t="n">
        <f aca="false">IF(C559&gt;1,IF(C559&lt;99,VLOOKUP(F559,'MSA-Lookup'!$AA$1:$AB$25,2),C559),C559)</f>
        <v>4472</v>
      </c>
    </row>
    <row r="560" customFormat="false" ht="12.75" hidden="false" customHeight="false" outlineLevel="0" collapsed="false">
      <c r="A560" s="0" t="n">
        <f aca="false">B560*1000+C560</f>
        <v>14060</v>
      </c>
      <c r="B560" s="0" t="n">
        <v>14</v>
      </c>
      <c r="C560" s="0" t="n">
        <v>60</v>
      </c>
      <c r="D560" s="0" t="n">
        <v>0</v>
      </c>
      <c r="E560" s="0" t="n">
        <f aca="false">VLOOKUP(B560,'MSA-Lookup'!$H$2:$I$86,2)</f>
        <v>7500</v>
      </c>
      <c r="F560" s="0" t="n">
        <f aca="false">IF(C560&gt;1,IF(C560&lt;99,VLOOKUP(C560,'MSA-Lookup'!$H$1:$I$86,2),C560),C560)</f>
        <v>4480</v>
      </c>
      <c r="G560" s="0" t="n">
        <f aca="false">VLOOKUP(E560,'MSA-Lookup'!$AA$1:$AB$25,2)</f>
        <v>7362</v>
      </c>
      <c r="H560" s="0" t="n">
        <f aca="false">IF(C560&gt;1,IF(C560&lt;99,VLOOKUP(F560,'MSA-Lookup'!$AA$1:$AB$25,2),C560),C560)</f>
        <v>4472</v>
      </c>
    </row>
    <row r="561" customFormat="false" ht="12.75" hidden="false" customHeight="false" outlineLevel="0" collapsed="false">
      <c r="A561" s="0" t="n">
        <f aca="false">B561*1000+C561</f>
        <v>14064</v>
      </c>
      <c r="B561" s="0" t="n">
        <v>14</v>
      </c>
      <c r="C561" s="0" t="n">
        <v>64</v>
      </c>
      <c r="D561" s="0" t="n">
        <v>0</v>
      </c>
      <c r="E561" s="0" t="n">
        <f aca="false">VLOOKUP(B561,'MSA-Lookup'!$H$2:$I$86,2)</f>
        <v>7500</v>
      </c>
      <c r="F561" s="0" t="n">
        <f aca="false">IF(C561&gt;1,IF(C561&lt;99,VLOOKUP(C561,'MSA-Lookup'!$H$1:$I$86,2),C561),C561)</f>
        <v>4480</v>
      </c>
      <c r="G561" s="0" t="n">
        <f aca="false">VLOOKUP(E561,'MSA-Lookup'!$AA$1:$AB$25,2)</f>
        <v>7362</v>
      </c>
      <c r="H561" s="0" t="n">
        <f aca="false">IF(C561&gt;1,IF(C561&lt;99,VLOOKUP(F561,'MSA-Lookup'!$AA$1:$AB$25,2),C561),C561)</f>
        <v>4472</v>
      </c>
    </row>
    <row r="562" customFormat="false" ht="12.75" hidden="false" customHeight="false" outlineLevel="0" collapsed="false">
      <c r="A562" s="0" t="n">
        <f aca="false">B562*1000+C562</f>
        <v>14065</v>
      </c>
      <c r="B562" s="0" t="n">
        <v>14</v>
      </c>
      <c r="C562" s="0" t="n">
        <v>65</v>
      </c>
      <c r="D562" s="0" t="n">
        <v>0</v>
      </c>
      <c r="E562" s="0" t="n">
        <f aca="false">VLOOKUP(B562,'MSA-Lookup'!$H$2:$I$86,2)</f>
        <v>7500</v>
      </c>
      <c r="F562" s="0" t="n">
        <f aca="false">IF(C562&gt;1,IF(C562&lt;99,VLOOKUP(C562,'MSA-Lookup'!$H$1:$I$86,2),C562),C562)</f>
        <v>4480</v>
      </c>
      <c r="G562" s="0" t="n">
        <f aca="false">VLOOKUP(E562,'MSA-Lookup'!$AA$1:$AB$25,2)</f>
        <v>7362</v>
      </c>
      <c r="H562" s="0" t="n">
        <f aca="false">IF(C562&gt;1,IF(C562&lt;99,VLOOKUP(F562,'MSA-Lookup'!$AA$1:$AB$25,2),C562),C562)</f>
        <v>4472</v>
      </c>
    </row>
    <row r="563" customFormat="false" ht="12.75" hidden="false" customHeight="false" outlineLevel="0" collapsed="false">
      <c r="A563" s="0" t="n">
        <f aca="false">B563*1000+C563</f>
        <v>14067</v>
      </c>
      <c r="B563" s="0" t="n">
        <v>14</v>
      </c>
      <c r="C563" s="0" t="n">
        <v>67</v>
      </c>
      <c r="D563" s="0" t="n">
        <v>0</v>
      </c>
      <c r="E563" s="0" t="n">
        <f aca="false">VLOOKUP(B563,'MSA-Lookup'!$H$2:$I$86,2)</f>
        <v>7500</v>
      </c>
      <c r="F563" s="0" t="n">
        <f aca="false">IF(C563&gt;1,IF(C563&lt;99,VLOOKUP(C563,'MSA-Lookup'!$H$1:$I$86,2),C563),C563)</f>
        <v>6000</v>
      </c>
      <c r="G563" s="0" t="n">
        <f aca="false">VLOOKUP(E563,'MSA-Lookup'!$AA$1:$AB$25,2)</f>
        <v>7362</v>
      </c>
      <c r="H563" s="0" t="n">
        <f aca="false">IF(C563&gt;1,IF(C563&lt;99,VLOOKUP(F563,'MSA-Lookup'!$AA$1:$AB$25,2),C563),C563)</f>
        <v>4472</v>
      </c>
    </row>
    <row r="564" customFormat="false" ht="12.75" hidden="false" customHeight="false" outlineLevel="0" collapsed="false">
      <c r="A564" s="0" t="n">
        <f aca="false">B564*1000+C564</f>
        <v>14069</v>
      </c>
      <c r="B564" s="0" t="n">
        <v>14</v>
      </c>
      <c r="C564" s="0" t="n">
        <v>69</v>
      </c>
      <c r="D564" s="0" t="n">
        <v>130</v>
      </c>
      <c r="E564" s="0" t="n">
        <f aca="false">VLOOKUP(B564,'MSA-Lookup'!$H$2:$I$86,2)</f>
        <v>7500</v>
      </c>
      <c r="F564" s="0" t="n">
        <f aca="false">IF(C564&gt;1,IF(C564&lt;99,VLOOKUP(C564,'MSA-Lookup'!$H$1:$I$86,2),C564),C564)</f>
        <v>6780</v>
      </c>
      <c r="G564" s="0" t="n">
        <f aca="false">VLOOKUP(E564,'MSA-Lookup'!$AA$1:$AB$25,2)</f>
        <v>7362</v>
      </c>
      <c r="H564" s="0" t="n">
        <f aca="false">IF(C564&gt;1,IF(C564&lt;99,VLOOKUP(F564,'MSA-Lookup'!$AA$1:$AB$25,2),C564),C564)</f>
        <v>4472</v>
      </c>
    </row>
    <row r="565" customFormat="false" ht="12.75" hidden="false" customHeight="false" outlineLevel="0" collapsed="false">
      <c r="A565" s="0" t="n">
        <f aca="false">B565*1000+C565</f>
        <v>14072</v>
      </c>
      <c r="B565" s="0" t="n">
        <v>14</v>
      </c>
      <c r="C565" s="0" t="n">
        <v>72</v>
      </c>
      <c r="D565" s="0" t="n">
        <v>0</v>
      </c>
      <c r="E565" s="0" t="n">
        <f aca="false">VLOOKUP(B565,'MSA-Lookup'!$H$2:$I$86,2)</f>
        <v>7500</v>
      </c>
      <c r="F565" s="0" t="n">
        <f aca="false">IF(C565&gt;1,IF(C565&lt;99,VLOOKUP(C565,'MSA-Lookup'!$H$1:$I$86,2),C565),C565)</f>
        <v>6780</v>
      </c>
      <c r="G565" s="0" t="n">
        <f aca="false">VLOOKUP(E565,'MSA-Lookup'!$AA$1:$AB$25,2)</f>
        <v>7362</v>
      </c>
      <c r="H565" s="0" t="n">
        <f aca="false">IF(C565&gt;1,IF(C565&lt;99,VLOOKUP(F565,'MSA-Lookup'!$AA$1:$AB$25,2),C565),C565)</f>
        <v>4472</v>
      </c>
    </row>
    <row r="566" customFormat="false" ht="12.75" hidden="false" customHeight="false" outlineLevel="0" collapsed="false">
      <c r="A566" s="0" t="n">
        <f aca="false">B566*1000+C566</f>
        <v>14073</v>
      </c>
      <c r="B566" s="0" t="n">
        <v>14</v>
      </c>
      <c r="C566" s="0" t="n">
        <v>73</v>
      </c>
      <c r="D566" s="0" t="n">
        <v>988</v>
      </c>
      <c r="E566" s="0" t="n">
        <f aca="false">VLOOKUP(B566,'MSA-Lookup'!$H$2:$I$86,2)</f>
        <v>7500</v>
      </c>
      <c r="F566" s="0" t="n">
        <f aca="false">IF(C566&gt;1,IF(C566&lt;99,VLOOKUP(C566,'MSA-Lookup'!$H$1:$I$86,2),C566),C566)</f>
        <v>8720</v>
      </c>
      <c r="G566" s="0" t="n">
        <f aca="false">VLOOKUP(E566,'MSA-Lookup'!$AA$1:$AB$25,2)</f>
        <v>7362</v>
      </c>
      <c r="H566" s="0" t="n">
        <f aca="false">IF(C566&gt;1,IF(C566&lt;99,VLOOKUP(F566,'MSA-Lookup'!$AA$1:$AB$25,2),C566),C566)</f>
        <v>7362</v>
      </c>
    </row>
    <row r="567" customFormat="false" ht="12.75" hidden="false" customHeight="false" outlineLevel="0" collapsed="false">
      <c r="A567" s="0" t="n">
        <f aca="false">B567*1000+C567</f>
        <v>14075</v>
      </c>
      <c r="B567" s="0" t="n">
        <v>14</v>
      </c>
      <c r="C567" s="0" t="n">
        <v>75</v>
      </c>
      <c r="D567" s="0" t="n">
        <v>0</v>
      </c>
      <c r="E567" s="0" t="n">
        <f aca="false">VLOOKUP(B567,'MSA-Lookup'!$H$2:$I$86,2)</f>
        <v>7500</v>
      </c>
      <c r="F567" s="0" t="n">
        <f aca="false">IF(C567&gt;1,IF(C567&lt;99,VLOOKUP(C567,'MSA-Lookup'!$H$1:$I$86,2),C567),C567)</f>
        <v>8780</v>
      </c>
      <c r="G567" s="0" t="n">
        <f aca="false">VLOOKUP(E567,'MSA-Lookup'!$AA$1:$AB$25,2)</f>
        <v>7362</v>
      </c>
      <c r="H567" s="0" t="n">
        <f aca="false">IF(C567&gt;1,IF(C567&lt;99,VLOOKUP(F567,'MSA-Lookup'!$AA$1:$AB$25,2),C567),C567)</f>
        <v>8780</v>
      </c>
    </row>
    <row r="568" customFormat="false" ht="12.75" hidden="false" customHeight="false" outlineLevel="0" collapsed="false">
      <c r="A568" s="0" t="n">
        <f aca="false">B568*1000+C568</f>
        <v>14079</v>
      </c>
      <c r="B568" s="0" t="n">
        <v>14</v>
      </c>
      <c r="C568" s="0" t="n">
        <v>79</v>
      </c>
      <c r="D568" s="0" t="n">
        <v>0</v>
      </c>
      <c r="E568" s="0" t="n">
        <f aca="false">VLOOKUP(B568,'MSA-Lookup'!$H$2:$I$86,2)</f>
        <v>7500</v>
      </c>
      <c r="F568" s="0" t="n">
        <f aca="false">IF(C568&gt;1,IF(C568&lt;99,VLOOKUP(C568,'MSA-Lookup'!$H$1:$I$86,2),C568),C568)</f>
        <v>680</v>
      </c>
      <c r="G568" s="0" t="n">
        <f aca="false">VLOOKUP(E568,'MSA-Lookup'!$AA$1:$AB$25,2)</f>
        <v>7362</v>
      </c>
      <c r="H568" s="0" t="n">
        <f aca="false">IF(C568&gt;1,IF(C568&lt;99,VLOOKUP(F568,'MSA-Lookup'!$AA$1:$AB$25,2),C568),C568)</f>
        <v>680</v>
      </c>
    </row>
    <row r="569" customFormat="false" ht="12.75" hidden="false" customHeight="false" outlineLevel="0" collapsed="false">
      <c r="A569" s="0" t="n">
        <f aca="false">B569*1000+C569</f>
        <v>14080</v>
      </c>
      <c r="B569" s="0" t="n">
        <v>14</v>
      </c>
      <c r="C569" s="0" t="n">
        <v>80</v>
      </c>
      <c r="D569" s="0" t="n">
        <v>0</v>
      </c>
      <c r="E569" s="0" t="n">
        <f aca="false">VLOOKUP(B569,'MSA-Lookup'!$H$2:$I$86,2)</f>
        <v>7500</v>
      </c>
      <c r="F569" s="0" t="n">
        <f aca="false">IF(C569&gt;1,IF(C569&lt;99,VLOOKUP(C569,'MSA-Lookup'!$H$1:$I$86,2),C569),C569)</f>
        <v>9999</v>
      </c>
      <c r="G569" s="0" t="n">
        <f aca="false">VLOOKUP(E569,'MSA-Lookup'!$AA$1:$AB$25,2)</f>
        <v>7362</v>
      </c>
      <c r="H569" s="0" t="n">
        <f aca="false">IF(C569&gt;1,IF(C569&lt;99,VLOOKUP(F569,'MSA-Lookup'!$AA$1:$AB$25,2),C569),C569)</f>
        <v>9999</v>
      </c>
    </row>
    <row r="570" customFormat="false" ht="12.75" hidden="false" customHeight="false" outlineLevel="0" collapsed="false">
      <c r="A570" s="0" t="n">
        <f aca="false">B570*1000+C570</f>
        <v>14085</v>
      </c>
      <c r="B570" s="0" t="n">
        <v>14</v>
      </c>
      <c r="C570" s="0" t="n">
        <v>85</v>
      </c>
      <c r="D570" s="0" t="n">
        <v>130</v>
      </c>
      <c r="E570" s="0" t="n">
        <f aca="false">VLOOKUP(B570,'MSA-Lookup'!$H$2:$I$86,2)</f>
        <v>7500</v>
      </c>
      <c r="F570" s="0" t="n">
        <f aca="false">IF(C570&gt;1,IF(C570&lt;99,VLOOKUP(C570,'MSA-Lookup'!$H$1:$I$86,2),C570),C570)</f>
        <v>8120</v>
      </c>
      <c r="G570" s="0" t="n">
        <f aca="false">VLOOKUP(E570,'MSA-Lookup'!$AA$1:$AB$25,2)</f>
        <v>7362</v>
      </c>
      <c r="H570" s="0" t="n">
        <f aca="false">IF(C570&gt;1,IF(C570&lt;99,VLOOKUP(F570,'MSA-Lookup'!$AA$1:$AB$25,2),C570),C570)</f>
        <v>8120</v>
      </c>
    </row>
    <row r="571" customFormat="false" ht="12.75" hidden="false" customHeight="false" outlineLevel="0" collapsed="false">
      <c r="A571" s="0" t="n">
        <f aca="false">B571*1000+C571</f>
        <v>14999</v>
      </c>
      <c r="B571" s="0" t="n">
        <v>14</v>
      </c>
      <c r="C571" s="0" t="n">
        <v>999</v>
      </c>
      <c r="D571" s="0" t="n">
        <v>0</v>
      </c>
      <c r="E571" s="0" t="n">
        <f aca="false">VLOOKUP(B571,'MSA-Lookup'!$H$2:$I$86,2)</f>
        <v>7500</v>
      </c>
      <c r="F571" s="0" t="n">
        <f aca="false">IF(C571&gt;1,IF(C571&lt;99,VLOOKUP(C571,'MSA-Lookup'!$H$1:$I$86,2),C571),C571)</f>
        <v>999</v>
      </c>
      <c r="G571" s="0" t="n">
        <f aca="false">VLOOKUP(E571,'MSA-Lookup'!$AA$1:$AB$25,2)</f>
        <v>7362</v>
      </c>
      <c r="H571" s="0" t="n">
        <f aca="false">IF(C571&gt;1,IF(C571&lt;99,VLOOKUP(F571,'MSA-Lookup'!$AA$1:$AB$25,2),C571),C571)</f>
        <v>999</v>
      </c>
    </row>
    <row r="572" customFormat="false" ht="12.75" hidden="false" customHeight="false" outlineLevel="0" collapsed="false">
      <c r="A572" s="0" t="n">
        <f aca="false">B572*1000+C572</f>
        <v>15000</v>
      </c>
      <c r="B572" s="0" t="n">
        <v>15</v>
      </c>
      <c r="C572" s="0" t="n">
        <v>0</v>
      </c>
      <c r="D572" s="0" t="n">
        <v>103519</v>
      </c>
      <c r="E572" s="0" t="n">
        <f aca="false">VLOOKUP(B572,'MSA-Lookup'!$H$2:$I$86,2)</f>
        <v>7360</v>
      </c>
      <c r="F572" s="0" t="n">
        <f aca="false">IF(C572&gt;1,IF(C572&lt;99,VLOOKUP(C572,'MSA-Lookup'!$H$1:$I$86,2),C572),C572)</f>
        <v>0</v>
      </c>
      <c r="G572" s="0" t="n">
        <f aca="false">VLOOKUP(E572,'MSA-Lookup'!$AA$1:$AB$25,2)</f>
        <v>7362</v>
      </c>
      <c r="H572" s="0" t="n">
        <f aca="false">IF(C572&gt;1,IF(C572&lt;99,VLOOKUP(F572,'MSA-Lookup'!$AA$1:$AB$25,2),C572),C572)</f>
        <v>0</v>
      </c>
    </row>
    <row r="573" customFormat="false" ht="12.75" hidden="false" customHeight="false" outlineLevel="0" collapsed="false">
      <c r="A573" s="0" t="n">
        <f aca="false">B573*1000+C573</f>
        <v>15001</v>
      </c>
      <c r="B573" s="0" t="n">
        <v>15</v>
      </c>
      <c r="C573" s="0" t="n">
        <v>1</v>
      </c>
      <c r="D573" s="0" t="n">
        <v>0</v>
      </c>
      <c r="E573" s="0" t="n">
        <f aca="false">VLOOKUP(B573,'MSA-Lookup'!$H$2:$I$86,2)</f>
        <v>7360</v>
      </c>
      <c r="F573" s="0" t="n">
        <f aca="false">IF(C573&gt;1,IF(C573&lt;99,VLOOKUP(C573,'MSA-Lookup'!$H$1:$I$86,2),C573),C573)</f>
        <v>1</v>
      </c>
      <c r="G573" s="0" t="n">
        <f aca="false">VLOOKUP(E573,'MSA-Lookup'!$AA$1:$AB$25,2)</f>
        <v>7362</v>
      </c>
      <c r="H573" s="0" t="n">
        <f aca="false">IF(C573&gt;1,IF(C573&lt;99,VLOOKUP(F573,'MSA-Lookup'!$AA$1:$AB$25,2),C573),C573)</f>
        <v>1</v>
      </c>
    </row>
    <row r="574" customFormat="false" ht="12.75" hidden="false" customHeight="false" outlineLevel="0" collapsed="false">
      <c r="A574" s="0" t="n">
        <f aca="false">B574*1000+C574</f>
        <v>15002</v>
      </c>
      <c r="B574" s="0" t="n">
        <v>15</v>
      </c>
      <c r="C574" s="0" t="n">
        <v>2</v>
      </c>
      <c r="D574" s="0" t="n">
        <v>0</v>
      </c>
      <c r="E574" s="0" t="n">
        <f aca="false">VLOOKUP(B574,'MSA-Lookup'!$H$2:$I$86,2)</f>
        <v>7360</v>
      </c>
      <c r="F574" s="0" t="n">
        <f aca="false">IF(C574&gt;1,IF(C574&lt;99,VLOOKUP(C574,'MSA-Lookup'!$H$1:$I$86,2),C574),C574)</f>
        <v>9999</v>
      </c>
      <c r="G574" s="0" t="n">
        <f aca="false">VLOOKUP(E574,'MSA-Lookup'!$AA$1:$AB$25,2)</f>
        <v>7362</v>
      </c>
      <c r="H574" s="0" t="n">
        <f aca="false">IF(C574&gt;1,IF(C574&lt;99,VLOOKUP(F574,'MSA-Lookup'!$AA$1:$AB$25,2),C574),C574)</f>
        <v>9999</v>
      </c>
    </row>
    <row r="575" customFormat="false" ht="12.75" hidden="false" customHeight="false" outlineLevel="0" collapsed="false">
      <c r="A575" s="0" t="n">
        <f aca="false">B575*1000+C575</f>
        <v>15003</v>
      </c>
      <c r="B575" s="0" t="n">
        <v>15</v>
      </c>
      <c r="C575" s="0" t="n">
        <v>3</v>
      </c>
      <c r="D575" s="0" t="n">
        <v>104</v>
      </c>
      <c r="E575" s="0" t="n">
        <f aca="false">VLOOKUP(B575,'MSA-Lookup'!$H$2:$I$86,2)</f>
        <v>7360</v>
      </c>
      <c r="F575" s="0" t="n">
        <f aca="false">IF(C575&gt;1,IF(C575&lt;99,VLOOKUP(C575,'MSA-Lookup'!$H$1:$I$86,2),C575),C575)</f>
        <v>6690</v>
      </c>
      <c r="G575" s="0" t="n">
        <f aca="false">VLOOKUP(E575,'MSA-Lookup'!$AA$1:$AB$25,2)</f>
        <v>7362</v>
      </c>
      <c r="H575" s="0" t="n">
        <f aca="false">IF(C575&gt;1,IF(C575&lt;99,VLOOKUP(F575,'MSA-Lookup'!$AA$1:$AB$25,2),C575),C575)</f>
        <v>6690</v>
      </c>
    </row>
    <row r="576" customFormat="false" ht="12.75" hidden="false" customHeight="false" outlineLevel="0" collapsed="false">
      <c r="A576" s="0" t="n">
        <f aca="false">B576*1000+C576</f>
        <v>15004</v>
      </c>
      <c r="B576" s="0" t="n">
        <v>15</v>
      </c>
      <c r="C576" s="0" t="n">
        <v>4</v>
      </c>
      <c r="D576" s="0" t="n">
        <v>130</v>
      </c>
      <c r="E576" s="0" t="n">
        <f aca="false">VLOOKUP(B576,'MSA-Lookup'!$H$2:$I$86,2)</f>
        <v>7360</v>
      </c>
      <c r="F576" s="0" t="n">
        <f aca="false">IF(C576&gt;1,IF(C576&lt;99,VLOOKUP(C576,'MSA-Lookup'!$H$1:$I$86,2),C576),C576)</f>
        <v>9999</v>
      </c>
      <c r="G576" s="0" t="n">
        <f aca="false">VLOOKUP(E576,'MSA-Lookup'!$AA$1:$AB$25,2)</f>
        <v>7362</v>
      </c>
      <c r="H576" s="0" t="n">
        <f aca="false">IF(C576&gt;1,IF(C576&lt;99,VLOOKUP(F576,'MSA-Lookup'!$AA$1:$AB$25,2),C576),C576)</f>
        <v>9999</v>
      </c>
    </row>
    <row r="577" customFormat="false" ht="12.75" hidden="false" customHeight="false" outlineLevel="0" collapsed="false">
      <c r="A577" s="0" t="n">
        <f aca="false">B577*1000+C577</f>
        <v>15005</v>
      </c>
      <c r="B577" s="0" t="n">
        <v>15</v>
      </c>
      <c r="C577" s="0" t="n">
        <v>5</v>
      </c>
      <c r="D577" s="0" t="n">
        <v>0</v>
      </c>
      <c r="E577" s="0" t="n">
        <f aca="false">VLOOKUP(B577,'MSA-Lookup'!$H$2:$I$86,2)</f>
        <v>7360</v>
      </c>
      <c r="F577" s="0" t="n">
        <f aca="false">IF(C577&gt;1,IF(C577&lt;99,VLOOKUP(C577,'MSA-Lookup'!$H$1:$I$86,2),C577),C577)</f>
        <v>9999</v>
      </c>
      <c r="G577" s="0" t="n">
        <f aca="false">VLOOKUP(E577,'MSA-Lookup'!$AA$1:$AB$25,2)</f>
        <v>7362</v>
      </c>
      <c r="H577" s="0" t="n">
        <f aca="false">IF(C577&gt;1,IF(C577&lt;99,VLOOKUP(F577,'MSA-Lookup'!$AA$1:$AB$25,2),C577),C577)</f>
        <v>9999</v>
      </c>
    </row>
    <row r="578" customFormat="false" ht="12.75" hidden="false" customHeight="false" outlineLevel="0" collapsed="false">
      <c r="A578" s="0" t="n">
        <f aca="false">B578*1000+C578</f>
        <v>15006</v>
      </c>
      <c r="B578" s="0" t="n">
        <v>15</v>
      </c>
      <c r="C578" s="0" t="n">
        <v>6</v>
      </c>
      <c r="D578" s="0" t="n">
        <v>0</v>
      </c>
      <c r="E578" s="0" t="n">
        <f aca="false">VLOOKUP(B578,'MSA-Lookup'!$H$2:$I$86,2)</f>
        <v>7360</v>
      </c>
      <c r="F578" s="0" t="n">
        <f aca="false">IF(C578&gt;1,IF(C578&lt;99,VLOOKUP(C578,'MSA-Lookup'!$H$1:$I$86,2),C578),C578)</f>
        <v>1620</v>
      </c>
      <c r="G578" s="0" t="n">
        <f aca="false">VLOOKUP(E578,'MSA-Lookup'!$AA$1:$AB$25,2)</f>
        <v>7362</v>
      </c>
      <c r="H578" s="0" t="n">
        <f aca="false">IF(C578&gt;1,IF(C578&lt;99,VLOOKUP(F578,'MSA-Lookup'!$AA$1:$AB$25,2),C578),C578)</f>
        <v>1620</v>
      </c>
    </row>
    <row r="579" customFormat="false" ht="12.75" hidden="false" customHeight="false" outlineLevel="0" collapsed="false">
      <c r="A579" s="0" t="n">
        <f aca="false">B579*1000+C579</f>
        <v>15007</v>
      </c>
      <c r="B579" s="0" t="n">
        <v>15</v>
      </c>
      <c r="C579" s="0" t="n">
        <v>7</v>
      </c>
      <c r="D579" s="0" t="n">
        <v>0</v>
      </c>
      <c r="E579" s="0" t="n">
        <f aca="false">VLOOKUP(B579,'MSA-Lookup'!$H$2:$I$86,2)</f>
        <v>7360</v>
      </c>
      <c r="F579" s="0" t="n">
        <f aca="false">IF(C579&gt;1,IF(C579&lt;99,VLOOKUP(C579,'MSA-Lookup'!$H$1:$I$86,2),C579),C579)</f>
        <v>9999</v>
      </c>
      <c r="G579" s="0" t="n">
        <f aca="false">VLOOKUP(E579,'MSA-Lookup'!$AA$1:$AB$25,2)</f>
        <v>7362</v>
      </c>
      <c r="H579" s="0" t="n">
        <f aca="false">IF(C579&gt;1,IF(C579&lt;99,VLOOKUP(F579,'MSA-Lookup'!$AA$1:$AB$25,2),C579),C579)</f>
        <v>9999</v>
      </c>
    </row>
    <row r="580" customFormat="false" ht="12.75" hidden="false" customHeight="false" outlineLevel="0" collapsed="false">
      <c r="A580" s="0" t="n">
        <f aca="false">B580*1000+C580</f>
        <v>15008</v>
      </c>
      <c r="B580" s="0" t="n">
        <v>15</v>
      </c>
      <c r="C580" s="0" t="n">
        <v>8</v>
      </c>
      <c r="D580" s="0" t="n">
        <v>195</v>
      </c>
      <c r="E580" s="0" t="n">
        <f aca="false">VLOOKUP(B580,'MSA-Lookup'!$H$2:$I$86,2)</f>
        <v>7360</v>
      </c>
      <c r="F580" s="0" t="n">
        <f aca="false">IF(C580&gt;1,IF(C580&lt;99,VLOOKUP(C580,'MSA-Lookup'!$H$1:$I$86,2),C580),C580)</f>
        <v>9340</v>
      </c>
      <c r="G580" s="0" t="n">
        <f aca="false">VLOOKUP(E580,'MSA-Lookup'!$AA$1:$AB$25,2)</f>
        <v>7362</v>
      </c>
      <c r="H580" s="0" t="n">
        <f aca="false">IF(C580&gt;1,IF(C580&lt;99,VLOOKUP(F580,'MSA-Lookup'!$AA$1:$AB$25,2),C580),C580)</f>
        <v>9340</v>
      </c>
    </row>
    <row r="581" customFormat="false" ht="12.75" hidden="false" customHeight="false" outlineLevel="0" collapsed="false">
      <c r="A581" s="0" t="n">
        <f aca="false">B581*1000+C581</f>
        <v>15009</v>
      </c>
      <c r="B581" s="0" t="n">
        <v>15</v>
      </c>
      <c r="C581" s="0" t="n">
        <v>9</v>
      </c>
      <c r="D581" s="0" t="n">
        <v>104</v>
      </c>
      <c r="E581" s="0" t="n">
        <f aca="false">VLOOKUP(B581,'MSA-Lookup'!$H$2:$I$86,2)</f>
        <v>7360</v>
      </c>
      <c r="F581" s="0" t="n">
        <f aca="false">IF(C581&gt;1,IF(C581&lt;99,VLOOKUP(C581,'MSA-Lookup'!$H$1:$I$86,2),C581),C581)</f>
        <v>8720</v>
      </c>
      <c r="G581" s="0" t="n">
        <f aca="false">VLOOKUP(E581,'MSA-Lookup'!$AA$1:$AB$25,2)</f>
        <v>7362</v>
      </c>
      <c r="H581" s="0" t="n">
        <f aca="false">IF(C581&gt;1,IF(C581&lt;99,VLOOKUP(F581,'MSA-Lookup'!$AA$1:$AB$25,2),C581),C581)</f>
        <v>7362</v>
      </c>
    </row>
    <row r="582" customFormat="false" ht="12.75" hidden="false" customHeight="false" outlineLevel="0" collapsed="false">
      <c r="A582" s="0" t="n">
        <f aca="false">B582*1000+C582</f>
        <v>15010</v>
      </c>
      <c r="B582" s="0" t="n">
        <v>15</v>
      </c>
      <c r="C582" s="0" t="n">
        <v>10</v>
      </c>
      <c r="D582" s="0" t="n">
        <v>65</v>
      </c>
      <c r="E582" s="0" t="n">
        <f aca="false">VLOOKUP(B582,'MSA-Lookup'!$H$2:$I$86,2)</f>
        <v>7360</v>
      </c>
      <c r="F582" s="0" t="n">
        <f aca="false">IF(C582&gt;1,IF(C582&lt;99,VLOOKUP(C582,'MSA-Lookup'!$H$1:$I$86,2),C582),C582)</f>
        <v>6920</v>
      </c>
      <c r="G582" s="0" t="n">
        <f aca="false">VLOOKUP(E582,'MSA-Lookup'!$AA$1:$AB$25,2)</f>
        <v>7362</v>
      </c>
      <c r="H582" s="0" t="n">
        <f aca="false">IF(C582&gt;1,IF(C582&lt;99,VLOOKUP(F582,'MSA-Lookup'!$AA$1:$AB$25,2),C582),C582)</f>
        <v>6920</v>
      </c>
    </row>
    <row r="583" customFormat="false" ht="12.75" hidden="false" customHeight="false" outlineLevel="0" collapsed="false">
      <c r="A583" s="0" t="n">
        <f aca="false">B583*1000+C583</f>
        <v>15011</v>
      </c>
      <c r="B583" s="0" t="n">
        <v>15</v>
      </c>
      <c r="C583" s="0" t="n">
        <v>11</v>
      </c>
      <c r="D583" s="0" t="n">
        <v>0</v>
      </c>
      <c r="E583" s="0" t="n">
        <f aca="false">VLOOKUP(B583,'MSA-Lookup'!$H$2:$I$86,2)</f>
        <v>7360</v>
      </c>
      <c r="F583" s="0" t="n">
        <f aca="false">IF(C583&gt;1,IF(C583&lt;99,VLOOKUP(C583,'MSA-Lookup'!$H$1:$I$86,2),C583),C583)</f>
        <v>6920</v>
      </c>
      <c r="G583" s="0" t="n">
        <f aca="false">VLOOKUP(E583,'MSA-Lookup'!$AA$1:$AB$25,2)</f>
        <v>7362</v>
      </c>
      <c r="H583" s="0" t="n">
        <f aca="false">IF(C583&gt;1,IF(C583&lt;99,VLOOKUP(F583,'MSA-Lookup'!$AA$1:$AB$25,2),C583),C583)</f>
        <v>6920</v>
      </c>
    </row>
    <row r="584" customFormat="false" ht="12.75" hidden="false" customHeight="false" outlineLevel="0" collapsed="false">
      <c r="A584" s="0" t="n">
        <f aca="false">B584*1000+C584</f>
        <v>15012</v>
      </c>
      <c r="B584" s="0" t="n">
        <v>15</v>
      </c>
      <c r="C584" s="0" t="n">
        <v>12</v>
      </c>
      <c r="D584" s="0" t="n">
        <v>0</v>
      </c>
      <c r="E584" s="0" t="n">
        <f aca="false">VLOOKUP(B584,'MSA-Lookup'!$H$2:$I$86,2)</f>
        <v>7360</v>
      </c>
      <c r="F584" s="0" t="n">
        <f aca="false">IF(C584&gt;1,IF(C584&lt;99,VLOOKUP(C584,'MSA-Lookup'!$H$1:$I$86,2),C584),C584)</f>
        <v>6920</v>
      </c>
      <c r="G584" s="0" t="n">
        <f aca="false">VLOOKUP(E584,'MSA-Lookup'!$AA$1:$AB$25,2)</f>
        <v>7362</v>
      </c>
      <c r="H584" s="0" t="n">
        <f aca="false">IF(C584&gt;1,IF(C584&lt;99,VLOOKUP(F584,'MSA-Lookup'!$AA$1:$AB$25,2),C584),C584)</f>
        <v>6920</v>
      </c>
    </row>
    <row r="585" customFormat="false" ht="12.75" hidden="false" customHeight="false" outlineLevel="0" collapsed="false">
      <c r="A585" s="0" t="n">
        <f aca="false">B585*1000+C585</f>
        <v>15013</v>
      </c>
      <c r="B585" s="0" t="n">
        <v>15</v>
      </c>
      <c r="C585" s="0" t="n">
        <v>13</v>
      </c>
      <c r="D585" s="0" t="n">
        <v>494</v>
      </c>
      <c r="E585" s="0" t="n">
        <f aca="false">VLOOKUP(B585,'MSA-Lookup'!$H$2:$I$86,2)</f>
        <v>7360</v>
      </c>
      <c r="F585" s="0" t="n">
        <f aca="false">IF(C585&gt;1,IF(C585&lt;99,VLOOKUP(C585,'MSA-Lookup'!$H$1:$I$86,2),C585),C585)</f>
        <v>7500</v>
      </c>
      <c r="G585" s="0" t="n">
        <f aca="false">VLOOKUP(E585,'MSA-Lookup'!$AA$1:$AB$25,2)</f>
        <v>7362</v>
      </c>
      <c r="H585" s="0" t="n">
        <f aca="false">IF(C585&gt;1,IF(C585&lt;99,VLOOKUP(F585,'MSA-Lookup'!$AA$1:$AB$25,2),C585),C585)</f>
        <v>7362</v>
      </c>
    </row>
    <row r="586" customFormat="false" ht="12.75" hidden="false" customHeight="false" outlineLevel="0" collapsed="false">
      <c r="A586" s="0" t="n">
        <f aca="false">B586*1000+C586</f>
        <v>15014</v>
      </c>
      <c r="B586" s="0" t="n">
        <v>15</v>
      </c>
      <c r="C586" s="0" t="n">
        <v>14</v>
      </c>
      <c r="D586" s="0" t="n">
        <v>2535</v>
      </c>
      <c r="E586" s="0" t="n">
        <f aca="false">VLOOKUP(B586,'MSA-Lookup'!$H$2:$I$86,2)</f>
        <v>7360</v>
      </c>
      <c r="F586" s="0" t="n">
        <f aca="false">IF(C586&gt;1,IF(C586&lt;99,VLOOKUP(C586,'MSA-Lookup'!$H$1:$I$86,2),C586),C586)</f>
        <v>7500</v>
      </c>
      <c r="G586" s="0" t="n">
        <f aca="false">VLOOKUP(E586,'MSA-Lookup'!$AA$1:$AB$25,2)</f>
        <v>7362</v>
      </c>
      <c r="H586" s="0" t="n">
        <f aca="false">IF(C586&gt;1,IF(C586&lt;99,VLOOKUP(F586,'MSA-Lookup'!$AA$1:$AB$25,2),C586),C586)</f>
        <v>7362</v>
      </c>
    </row>
    <row r="587" customFormat="false" ht="12.75" hidden="false" customHeight="false" outlineLevel="0" collapsed="false">
      <c r="A587" s="0" t="n">
        <f aca="false">B587*1000+C587</f>
        <v>15015</v>
      </c>
      <c r="B587" s="0" t="n">
        <v>15</v>
      </c>
      <c r="C587" s="0" t="n">
        <v>15</v>
      </c>
      <c r="D587" s="0" t="n">
        <v>72592</v>
      </c>
      <c r="E587" s="0" t="n">
        <f aca="false">VLOOKUP(B587,'MSA-Lookup'!$H$2:$I$86,2)</f>
        <v>7360</v>
      </c>
      <c r="F587" s="0" t="n">
        <f aca="false">IF(C587&gt;1,IF(C587&lt;99,VLOOKUP(C587,'MSA-Lookup'!$H$1:$I$86,2),C587),C587)</f>
        <v>7360</v>
      </c>
      <c r="G587" s="0" t="n">
        <f aca="false">VLOOKUP(E587,'MSA-Lookup'!$AA$1:$AB$25,2)</f>
        <v>7362</v>
      </c>
      <c r="H587" s="0" t="n">
        <f aca="false">IF(C587&gt;1,IF(C587&lt;99,VLOOKUP(F587,'MSA-Lookup'!$AA$1:$AB$25,2),C587),C587)</f>
        <v>7362</v>
      </c>
    </row>
    <row r="588" customFormat="false" ht="12.75" hidden="false" customHeight="false" outlineLevel="0" collapsed="false">
      <c r="A588" s="0" t="n">
        <f aca="false">B588*1000+C588</f>
        <v>15016</v>
      </c>
      <c r="B588" s="0" t="n">
        <v>15</v>
      </c>
      <c r="C588" s="0" t="n">
        <v>16</v>
      </c>
      <c r="D588" s="0" t="n">
        <v>364</v>
      </c>
      <c r="E588" s="0" t="n">
        <f aca="false">VLOOKUP(B588,'MSA-Lookup'!$H$2:$I$86,2)</f>
        <v>7360</v>
      </c>
      <c r="F588" s="0" t="n">
        <f aca="false">IF(C588&gt;1,IF(C588&lt;99,VLOOKUP(C588,'MSA-Lookup'!$H$1:$I$86,2),C588),C588)</f>
        <v>8720</v>
      </c>
      <c r="G588" s="0" t="n">
        <f aca="false">VLOOKUP(E588,'MSA-Lookup'!$AA$1:$AB$25,2)</f>
        <v>7362</v>
      </c>
      <c r="H588" s="0" t="n">
        <f aca="false">IF(C588&gt;1,IF(C588&lt;99,VLOOKUP(F588,'MSA-Lookup'!$AA$1:$AB$25,2),C588),C588)</f>
        <v>7362</v>
      </c>
    </row>
    <row r="589" customFormat="false" ht="12.75" hidden="false" customHeight="false" outlineLevel="0" collapsed="false">
      <c r="A589" s="0" t="n">
        <f aca="false">B589*1000+C589</f>
        <v>15017</v>
      </c>
      <c r="B589" s="0" t="n">
        <v>15</v>
      </c>
      <c r="C589" s="0" t="n">
        <v>17</v>
      </c>
      <c r="D589" s="0" t="n">
        <v>1469</v>
      </c>
      <c r="E589" s="0" t="n">
        <f aca="false">VLOOKUP(B589,'MSA-Lookup'!$H$2:$I$86,2)</f>
        <v>7360</v>
      </c>
      <c r="F589" s="0" t="n">
        <f aca="false">IF(C589&gt;1,IF(C589&lt;99,VLOOKUP(C589,'MSA-Lookup'!$H$1:$I$86,2),C589),C589)</f>
        <v>5775</v>
      </c>
      <c r="G589" s="0" t="n">
        <f aca="false">VLOOKUP(E589,'MSA-Lookup'!$AA$1:$AB$25,2)</f>
        <v>7362</v>
      </c>
      <c r="H589" s="0" t="n">
        <f aca="false">IF(C589&gt;1,IF(C589&lt;99,VLOOKUP(F589,'MSA-Lookup'!$AA$1:$AB$25,2),C589),C589)</f>
        <v>7362</v>
      </c>
    </row>
    <row r="590" customFormat="false" ht="12.75" hidden="false" customHeight="false" outlineLevel="0" collapsed="false">
      <c r="A590" s="0" t="n">
        <f aca="false">B590*1000+C590</f>
        <v>15018</v>
      </c>
      <c r="B590" s="0" t="n">
        <v>15</v>
      </c>
      <c r="C590" s="0" t="n">
        <v>18</v>
      </c>
      <c r="D590" s="0" t="n">
        <v>2925</v>
      </c>
      <c r="E590" s="0" t="n">
        <f aca="false">VLOOKUP(B590,'MSA-Lookup'!$H$2:$I$86,2)</f>
        <v>7360</v>
      </c>
      <c r="F590" s="0" t="n">
        <f aca="false">IF(C590&gt;1,IF(C590&lt;99,VLOOKUP(C590,'MSA-Lookup'!$H$1:$I$86,2),C590),C590)</f>
        <v>5775</v>
      </c>
      <c r="G590" s="0" t="n">
        <f aca="false">VLOOKUP(E590,'MSA-Lookup'!$AA$1:$AB$25,2)</f>
        <v>7362</v>
      </c>
      <c r="H590" s="0" t="n">
        <f aca="false">IF(C590&gt;1,IF(C590&lt;99,VLOOKUP(F590,'MSA-Lookup'!$AA$1:$AB$25,2),C590),C590)</f>
        <v>7362</v>
      </c>
    </row>
    <row r="591" customFormat="false" ht="12.75" hidden="false" customHeight="false" outlineLevel="0" collapsed="false">
      <c r="A591" s="0" t="n">
        <f aca="false">B591*1000+C591</f>
        <v>15019</v>
      </c>
      <c r="B591" s="0" t="n">
        <v>15</v>
      </c>
      <c r="C591" s="0" t="n">
        <v>19</v>
      </c>
      <c r="D591" s="0" t="n">
        <v>33098</v>
      </c>
      <c r="E591" s="0" t="n">
        <f aca="false">VLOOKUP(B591,'MSA-Lookup'!$H$2:$I$86,2)</f>
        <v>7360</v>
      </c>
      <c r="F591" s="0" t="n">
        <f aca="false">IF(C591&gt;1,IF(C591&lt;99,VLOOKUP(C591,'MSA-Lookup'!$H$1:$I$86,2),C591),C591)</f>
        <v>7360</v>
      </c>
      <c r="G591" s="0" t="n">
        <f aca="false">VLOOKUP(E591,'MSA-Lookup'!$AA$1:$AB$25,2)</f>
        <v>7362</v>
      </c>
      <c r="H591" s="0" t="n">
        <f aca="false">IF(C591&gt;1,IF(C591&lt;99,VLOOKUP(F591,'MSA-Lookup'!$AA$1:$AB$25,2),C591),C591)</f>
        <v>7362</v>
      </c>
    </row>
    <row r="592" customFormat="false" ht="12.75" hidden="false" customHeight="false" outlineLevel="0" collapsed="false">
      <c r="A592" s="0" t="n">
        <f aca="false">B592*1000+C592</f>
        <v>15020</v>
      </c>
      <c r="B592" s="0" t="n">
        <v>15</v>
      </c>
      <c r="C592" s="0" t="n">
        <v>20</v>
      </c>
      <c r="D592" s="0" t="n">
        <v>1456</v>
      </c>
      <c r="E592" s="0" t="n">
        <f aca="false">VLOOKUP(B592,'MSA-Lookup'!$H$2:$I$86,2)</f>
        <v>7360</v>
      </c>
      <c r="F592" s="0" t="n">
        <f aca="false">IF(C592&gt;1,IF(C592&lt;99,VLOOKUP(C592,'MSA-Lookup'!$H$1:$I$86,2),C592),C592)</f>
        <v>5775</v>
      </c>
      <c r="G592" s="0" t="n">
        <f aca="false">VLOOKUP(E592,'MSA-Lookup'!$AA$1:$AB$25,2)</f>
        <v>7362</v>
      </c>
      <c r="H592" s="0" t="n">
        <f aca="false">IF(C592&gt;1,IF(C592&lt;99,VLOOKUP(F592,'MSA-Lookup'!$AA$1:$AB$25,2),C592),C592)</f>
        <v>7362</v>
      </c>
    </row>
    <row r="593" customFormat="false" ht="12.75" hidden="false" customHeight="false" outlineLevel="0" collapsed="false">
      <c r="A593" s="0" t="n">
        <f aca="false">B593*1000+C593</f>
        <v>15021</v>
      </c>
      <c r="B593" s="0" t="n">
        <v>15</v>
      </c>
      <c r="C593" s="0" t="n">
        <v>21</v>
      </c>
      <c r="D593" s="0" t="n">
        <v>3666</v>
      </c>
      <c r="E593" s="0" t="n">
        <f aca="false">VLOOKUP(B593,'MSA-Lookup'!$H$2:$I$86,2)</f>
        <v>7360</v>
      </c>
      <c r="F593" s="0" t="n">
        <f aca="false">IF(C593&gt;1,IF(C593&lt;99,VLOOKUP(C593,'MSA-Lookup'!$H$1:$I$86,2),C593),C593)</f>
        <v>5775</v>
      </c>
      <c r="G593" s="0" t="n">
        <f aca="false">VLOOKUP(E593,'MSA-Lookup'!$AA$1:$AB$25,2)</f>
        <v>7362</v>
      </c>
      <c r="H593" s="0" t="n">
        <f aca="false">IF(C593&gt;1,IF(C593&lt;99,VLOOKUP(F593,'MSA-Lookup'!$AA$1:$AB$25,2),C593),C593)</f>
        <v>7362</v>
      </c>
    </row>
    <row r="594" customFormat="false" ht="12.75" hidden="false" customHeight="false" outlineLevel="0" collapsed="false">
      <c r="A594" s="0" t="n">
        <f aca="false">B594*1000+C594</f>
        <v>15022</v>
      </c>
      <c r="B594" s="0" t="n">
        <v>15</v>
      </c>
      <c r="C594" s="0" t="n">
        <v>22</v>
      </c>
      <c r="D594" s="0" t="n">
        <v>3744</v>
      </c>
      <c r="E594" s="0" t="n">
        <f aca="false">VLOOKUP(B594,'MSA-Lookup'!$H$2:$I$86,2)</f>
        <v>7360</v>
      </c>
      <c r="F594" s="0" t="n">
        <f aca="false">IF(C594&gt;1,IF(C594&lt;99,VLOOKUP(C594,'MSA-Lookup'!$H$1:$I$86,2),C594),C594)</f>
        <v>7360</v>
      </c>
      <c r="G594" s="0" t="n">
        <f aca="false">VLOOKUP(E594,'MSA-Lookup'!$AA$1:$AB$25,2)</f>
        <v>7362</v>
      </c>
      <c r="H594" s="0" t="n">
        <f aca="false">IF(C594&gt;1,IF(C594&lt;99,VLOOKUP(F594,'MSA-Lookup'!$AA$1:$AB$25,2),C594),C594)</f>
        <v>7362</v>
      </c>
    </row>
    <row r="595" customFormat="false" ht="12.75" hidden="false" customHeight="false" outlineLevel="0" collapsed="false">
      <c r="A595" s="0" t="n">
        <f aca="false">B595*1000+C595</f>
        <v>15023</v>
      </c>
      <c r="B595" s="0" t="n">
        <v>15</v>
      </c>
      <c r="C595" s="0" t="n">
        <v>23</v>
      </c>
      <c r="D595" s="0" t="n">
        <v>0</v>
      </c>
      <c r="E595" s="0" t="n">
        <f aca="false">VLOOKUP(B595,'MSA-Lookup'!$H$2:$I$86,2)</f>
        <v>7360</v>
      </c>
      <c r="F595" s="0" t="n">
        <f aca="false">IF(C595&gt;1,IF(C595&lt;99,VLOOKUP(C595,'MSA-Lookup'!$H$1:$I$86,2),C595),C595)</f>
        <v>8120</v>
      </c>
      <c r="G595" s="0" t="n">
        <f aca="false">VLOOKUP(E595,'MSA-Lookup'!$AA$1:$AB$25,2)</f>
        <v>7362</v>
      </c>
      <c r="H595" s="0" t="n">
        <f aca="false">IF(C595&gt;1,IF(C595&lt;99,VLOOKUP(F595,'MSA-Lookup'!$AA$1:$AB$25,2),C595),C595)</f>
        <v>8120</v>
      </c>
    </row>
    <row r="596" customFormat="false" ht="12.75" hidden="false" customHeight="false" outlineLevel="0" collapsed="false">
      <c r="A596" s="0" t="n">
        <f aca="false">B596*1000+C596</f>
        <v>15024</v>
      </c>
      <c r="B596" s="0" t="n">
        <v>15</v>
      </c>
      <c r="C596" s="0" t="n">
        <v>24</v>
      </c>
      <c r="D596" s="0" t="n">
        <v>104</v>
      </c>
      <c r="E596" s="0" t="n">
        <f aca="false">VLOOKUP(B596,'MSA-Lookup'!$H$2:$I$86,2)</f>
        <v>7360</v>
      </c>
      <c r="F596" s="0" t="n">
        <f aca="false">IF(C596&gt;1,IF(C596&lt;99,VLOOKUP(C596,'MSA-Lookup'!$H$1:$I$86,2),C596),C596)</f>
        <v>5170</v>
      </c>
      <c r="G596" s="0" t="n">
        <f aca="false">VLOOKUP(E596,'MSA-Lookup'!$AA$1:$AB$25,2)</f>
        <v>7362</v>
      </c>
      <c r="H596" s="0" t="n">
        <f aca="false">IF(C596&gt;1,IF(C596&lt;99,VLOOKUP(F596,'MSA-Lookup'!$AA$1:$AB$25,2),C596),C596)</f>
        <v>5170</v>
      </c>
    </row>
    <row r="597" customFormat="false" ht="12.75" hidden="false" customHeight="false" outlineLevel="0" collapsed="false">
      <c r="A597" s="0" t="n">
        <f aca="false">B597*1000+C597</f>
        <v>15025</v>
      </c>
      <c r="B597" s="0" t="n">
        <v>15</v>
      </c>
      <c r="C597" s="0" t="n">
        <v>25</v>
      </c>
      <c r="D597" s="0" t="n">
        <v>0</v>
      </c>
      <c r="E597" s="0" t="n">
        <f aca="false">VLOOKUP(B597,'MSA-Lookup'!$H$2:$I$86,2)</f>
        <v>7360</v>
      </c>
      <c r="F597" s="0" t="n">
        <f aca="false">IF(C597&gt;1,IF(C597&lt;99,VLOOKUP(C597,'MSA-Lookup'!$H$1:$I$86,2),C597),C597)</f>
        <v>5170</v>
      </c>
      <c r="G597" s="0" t="n">
        <f aca="false">VLOOKUP(E597,'MSA-Lookup'!$AA$1:$AB$25,2)</f>
        <v>7362</v>
      </c>
      <c r="H597" s="0" t="n">
        <f aca="false">IF(C597&gt;1,IF(C597&lt;99,VLOOKUP(F597,'MSA-Lookup'!$AA$1:$AB$25,2),C597),C597)</f>
        <v>5170</v>
      </c>
    </row>
    <row r="598" customFormat="false" ht="12.75" hidden="false" customHeight="false" outlineLevel="0" collapsed="false">
      <c r="A598" s="0" t="n">
        <f aca="false">B598*1000+C598</f>
        <v>15026</v>
      </c>
      <c r="B598" s="0" t="n">
        <v>15</v>
      </c>
      <c r="C598" s="0" t="n">
        <v>26</v>
      </c>
      <c r="D598" s="0" t="n">
        <v>0</v>
      </c>
      <c r="E598" s="0" t="n">
        <f aca="false">VLOOKUP(B598,'MSA-Lookup'!$H$2:$I$86,2)</f>
        <v>7360</v>
      </c>
      <c r="F598" s="0" t="n">
        <f aca="false">IF(C598&gt;1,IF(C598&lt;99,VLOOKUP(C598,'MSA-Lookup'!$H$1:$I$86,2),C598),C598)</f>
        <v>9999</v>
      </c>
      <c r="G598" s="0" t="n">
        <f aca="false">VLOOKUP(E598,'MSA-Lookup'!$AA$1:$AB$25,2)</f>
        <v>7362</v>
      </c>
      <c r="H598" s="0" t="n">
        <f aca="false">IF(C598&gt;1,IF(C598&lt;99,VLOOKUP(F598,'MSA-Lookup'!$AA$1:$AB$25,2),C598),C598)</f>
        <v>9999</v>
      </c>
    </row>
    <row r="599" customFormat="false" ht="12.75" hidden="false" customHeight="false" outlineLevel="0" collapsed="false">
      <c r="A599" s="0" t="n">
        <f aca="false">B599*1000+C599</f>
        <v>15028</v>
      </c>
      <c r="B599" s="0" t="n">
        <v>15</v>
      </c>
      <c r="C599" s="0" t="n">
        <v>28</v>
      </c>
      <c r="D599" s="0" t="n">
        <v>325</v>
      </c>
      <c r="E599" s="0" t="n">
        <f aca="false">VLOOKUP(B599,'MSA-Lookup'!$H$2:$I$86,2)</f>
        <v>7360</v>
      </c>
      <c r="F599" s="0" t="n">
        <f aca="false">IF(C599&gt;1,IF(C599&lt;99,VLOOKUP(C599,'MSA-Lookup'!$H$1:$I$86,2),C599),C599)</f>
        <v>6920</v>
      </c>
      <c r="G599" s="0" t="n">
        <f aca="false">VLOOKUP(E599,'MSA-Lookup'!$AA$1:$AB$25,2)</f>
        <v>7362</v>
      </c>
      <c r="H599" s="0" t="n">
        <f aca="false">IF(C599&gt;1,IF(C599&lt;99,VLOOKUP(F599,'MSA-Lookup'!$AA$1:$AB$25,2),C599),C599)</f>
        <v>6920</v>
      </c>
    </row>
    <row r="600" customFormat="false" ht="12.75" hidden="false" customHeight="false" outlineLevel="0" collapsed="false">
      <c r="A600" s="0" t="n">
        <f aca="false">B600*1000+C600</f>
        <v>15029</v>
      </c>
      <c r="B600" s="0" t="n">
        <v>15</v>
      </c>
      <c r="C600" s="0" t="n">
        <v>29</v>
      </c>
      <c r="D600" s="0" t="n">
        <v>0</v>
      </c>
      <c r="E600" s="0" t="n">
        <f aca="false">VLOOKUP(B600,'MSA-Lookup'!$H$2:$I$86,2)</f>
        <v>7360</v>
      </c>
      <c r="F600" s="0" t="n">
        <f aca="false">IF(C600&gt;1,IF(C600&lt;99,VLOOKUP(C600,'MSA-Lookup'!$H$1:$I$86,2),C600),C600)</f>
        <v>6920</v>
      </c>
      <c r="G600" s="0" t="n">
        <f aca="false">VLOOKUP(E600,'MSA-Lookup'!$AA$1:$AB$25,2)</f>
        <v>7362</v>
      </c>
      <c r="H600" s="0" t="n">
        <f aca="false">IF(C600&gt;1,IF(C600&lt;99,VLOOKUP(F600,'MSA-Lookup'!$AA$1:$AB$25,2),C600),C600)</f>
        <v>6920</v>
      </c>
    </row>
    <row r="601" customFormat="false" ht="12.75" hidden="false" customHeight="false" outlineLevel="0" collapsed="false">
      <c r="A601" s="0" t="n">
        <f aca="false">B601*1000+C601</f>
        <v>15033</v>
      </c>
      <c r="B601" s="0" t="n">
        <v>15</v>
      </c>
      <c r="C601" s="0" t="n">
        <v>33</v>
      </c>
      <c r="D601" s="0" t="n">
        <v>0</v>
      </c>
      <c r="E601" s="0" t="n">
        <f aca="false">VLOOKUP(B601,'MSA-Lookup'!$H$2:$I$86,2)</f>
        <v>7360</v>
      </c>
      <c r="F601" s="0" t="n">
        <f aca="false">IF(C601&gt;1,IF(C601&lt;99,VLOOKUP(C601,'MSA-Lookup'!$H$1:$I$86,2),C601),C601)</f>
        <v>7320</v>
      </c>
      <c r="G601" s="0" t="n">
        <f aca="false">VLOOKUP(E601,'MSA-Lookup'!$AA$1:$AB$25,2)</f>
        <v>7362</v>
      </c>
      <c r="H601" s="0" t="n">
        <f aca="false">IF(C601&gt;1,IF(C601&lt;99,VLOOKUP(F601,'MSA-Lookup'!$AA$1:$AB$25,2),C601),C601)</f>
        <v>7320</v>
      </c>
    </row>
    <row r="602" customFormat="false" ht="12.75" hidden="false" customHeight="false" outlineLevel="0" collapsed="false">
      <c r="A602" s="0" t="n">
        <f aca="false">B602*1000+C602</f>
        <v>15034</v>
      </c>
      <c r="B602" s="0" t="n">
        <v>15</v>
      </c>
      <c r="C602" s="0" t="n">
        <v>34</v>
      </c>
      <c r="D602" s="0" t="n">
        <v>0</v>
      </c>
      <c r="E602" s="0" t="n">
        <f aca="false">VLOOKUP(B602,'MSA-Lookup'!$H$2:$I$86,2)</f>
        <v>7360</v>
      </c>
      <c r="F602" s="0" t="n">
        <f aca="false">IF(C602&gt;1,IF(C602&lt;99,VLOOKUP(C602,'MSA-Lookup'!$H$1:$I$86,2),C602),C602)</f>
        <v>7320</v>
      </c>
      <c r="G602" s="0" t="n">
        <f aca="false">VLOOKUP(E602,'MSA-Lookup'!$AA$1:$AB$25,2)</f>
        <v>7362</v>
      </c>
      <c r="H602" s="0" t="n">
        <f aca="false">IF(C602&gt;1,IF(C602&lt;99,VLOOKUP(F602,'MSA-Lookup'!$AA$1:$AB$25,2),C602),C602)</f>
        <v>7320</v>
      </c>
    </row>
    <row r="603" customFormat="false" ht="12.75" hidden="false" customHeight="false" outlineLevel="0" collapsed="false">
      <c r="A603" s="0" t="n">
        <f aca="false">B603*1000+C603</f>
        <v>15035</v>
      </c>
      <c r="B603" s="0" t="n">
        <v>15</v>
      </c>
      <c r="C603" s="0" t="n">
        <v>35</v>
      </c>
      <c r="D603" s="0" t="n">
        <v>0</v>
      </c>
      <c r="E603" s="0" t="n">
        <f aca="false">VLOOKUP(B603,'MSA-Lookup'!$H$2:$I$86,2)</f>
        <v>7360</v>
      </c>
      <c r="F603" s="0" t="n">
        <f aca="false">IF(C603&gt;1,IF(C603&lt;99,VLOOKUP(C603,'MSA-Lookup'!$H$1:$I$86,2),C603),C603)</f>
        <v>7320</v>
      </c>
      <c r="G603" s="0" t="n">
        <f aca="false">VLOOKUP(E603,'MSA-Lookup'!$AA$1:$AB$25,2)</f>
        <v>7362</v>
      </c>
      <c r="H603" s="0" t="n">
        <f aca="false">IF(C603&gt;1,IF(C603&lt;99,VLOOKUP(F603,'MSA-Lookup'!$AA$1:$AB$25,2),C603),C603)</f>
        <v>7320</v>
      </c>
    </row>
    <row r="604" customFormat="false" ht="12.75" hidden="false" customHeight="false" outlineLevel="0" collapsed="false">
      <c r="A604" s="0" t="n">
        <f aca="false">B604*1000+C604</f>
        <v>15037</v>
      </c>
      <c r="B604" s="0" t="n">
        <v>15</v>
      </c>
      <c r="C604" s="0" t="n">
        <v>37</v>
      </c>
      <c r="D604" s="0" t="n">
        <v>156</v>
      </c>
      <c r="E604" s="0" t="n">
        <f aca="false">VLOOKUP(B604,'MSA-Lookup'!$H$2:$I$86,2)</f>
        <v>7360</v>
      </c>
      <c r="F604" s="0" t="n">
        <f aca="false">IF(C604&gt;1,IF(C604&lt;99,VLOOKUP(C604,'MSA-Lookup'!$H$1:$I$86,2),C604),C604)</f>
        <v>7320</v>
      </c>
      <c r="G604" s="0" t="n">
        <f aca="false">VLOOKUP(E604,'MSA-Lookup'!$AA$1:$AB$25,2)</f>
        <v>7362</v>
      </c>
      <c r="H604" s="0" t="n">
        <f aca="false">IF(C604&gt;1,IF(C604&lt;99,VLOOKUP(F604,'MSA-Lookup'!$AA$1:$AB$25,2),C604),C604)</f>
        <v>7320</v>
      </c>
    </row>
    <row r="605" customFormat="false" ht="12.75" hidden="false" customHeight="false" outlineLevel="0" collapsed="false">
      <c r="A605" s="0" t="n">
        <f aca="false">B605*1000+C605</f>
        <v>15039</v>
      </c>
      <c r="B605" s="0" t="n">
        <v>15</v>
      </c>
      <c r="C605" s="0" t="n">
        <v>39</v>
      </c>
      <c r="D605" s="0" t="n">
        <v>0</v>
      </c>
      <c r="E605" s="0" t="n">
        <f aca="false">VLOOKUP(B605,'MSA-Lookup'!$H$2:$I$86,2)</f>
        <v>7360</v>
      </c>
      <c r="F605" s="0" t="n">
        <f aca="false">IF(C605&gt;1,IF(C605&lt;99,VLOOKUP(C605,'MSA-Lookup'!$H$1:$I$86,2),C605),C605)</f>
        <v>7120</v>
      </c>
      <c r="G605" s="0" t="n">
        <f aca="false">VLOOKUP(E605,'MSA-Lookup'!$AA$1:$AB$25,2)</f>
        <v>7362</v>
      </c>
      <c r="H605" s="0" t="n">
        <f aca="false">IF(C605&gt;1,IF(C605&lt;99,VLOOKUP(F605,'MSA-Lookup'!$AA$1:$AB$25,2),C605),C605)</f>
        <v>7120</v>
      </c>
    </row>
    <row r="606" customFormat="false" ht="12.75" hidden="false" customHeight="false" outlineLevel="0" collapsed="false">
      <c r="A606" s="0" t="n">
        <f aca="false">B606*1000+C606</f>
        <v>15040</v>
      </c>
      <c r="B606" s="0" t="n">
        <v>15</v>
      </c>
      <c r="C606" s="0" t="n">
        <v>40</v>
      </c>
      <c r="D606" s="0" t="n">
        <v>0</v>
      </c>
      <c r="E606" s="0" t="n">
        <f aca="false">VLOOKUP(B606,'MSA-Lookup'!$H$2:$I$86,2)</f>
        <v>7360</v>
      </c>
      <c r="F606" s="0" t="n">
        <f aca="false">IF(C606&gt;1,IF(C606&lt;99,VLOOKUP(C606,'MSA-Lookup'!$H$1:$I$86,2),C606),C606)</f>
        <v>2840</v>
      </c>
      <c r="G606" s="0" t="n">
        <f aca="false">VLOOKUP(E606,'MSA-Lookup'!$AA$1:$AB$25,2)</f>
        <v>7362</v>
      </c>
      <c r="H606" s="0" t="n">
        <f aca="false">IF(C606&gt;1,IF(C606&lt;99,VLOOKUP(F606,'MSA-Lookup'!$AA$1:$AB$25,2),C606),C606)</f>
        <v>2840</v>
      </c>
    </row>
    <row r="607" customFormat="false" ht="12.75" hidden="false" customHeight="false" outlineLevel="0" collapsed="false">
      <c r="A607" s="0" t="n">
        <f aca="false">B607*1000+C607</f>
        <v>15041</v>
      </c>
      <c r="B607" s="0" t="n">
        <v>15</v>
      </c>
      <c r="C607" s="0" t="n">
        <v>41</v>
      </c>
      <c r="D607" s="0" t="n">
        <v>91</v>
      </c>
      <c r="E607" s="0" t="n">
        <f aca="false">VLOOKUP(B607,'MSA-Lookup'!$H$2:$I$86,2)</f>
        <v>7360</v>
      </c>
      <c r="F607" s="0" t="n">
        <f aca="false">IF(C607&gt;1,IF(C607&lt;99,VLOOKUP(C607,'MSA-Lookup'!$H$1:$I$86,2),C607),C607)</f>
        <v>2840</v>
      </c>
      <c r="G607" s="0" t="n">
        <f aca="false">VLOOKUP(E607,'MSA-Lookup'!$AA$1:$AB$25,2)</f>
        <v>7362</v>
      </c>
      <c r="H607" s="0" t="n">
        <f aca="false">IF(C607&gt;1,IF(C607&lt;99,VLOOKUP(F607,'MSA-Lookup'!$AA$1:$AB$25,2),C607),C607)</f>
        <v>2840</v>
      </c>
    </row>
    <row r="608" customFormat="false" ht="12.75" hidden="false" customHeight="false" outlineLevel="0" collapsed="false">
      <c r="A608" s="0" t="n">
        <f aca="false">B608*1000+C608</f>
        <v>15042</v>
      </c>
      <c r="B608" s="0" t="n">
        <v>15</v>
      </c>
      <c r="C608" s="0" t="n">
        <v>42</v>
      </c>
      <c r="D608" s="0" t="n">
        <v>0</v>
      </c>
      <c r="E608" s="0" t="n">
        <f aca="false">VLOOKUP(B608,'MSA-Lookup'!$H$2:$I$86,2)</f>
        <v>7360</v>
      </c>
      <c r="F608" s="0" t="n">
        <f aca="false">IF(C608&gt;1,IF(C608&lt;99,VLOOKUP(C608,'MSA-Lookup'!$H$1:$I$86,2),C608),C608)</f>
        <v>360</v>
      </c>
      <c r="G608" s="0" t="n">
        <f aca="false">VLOOKUP(E608,'MSA-Lookup'!$AA$1:$AB$25,2)</f>
        <v>7362</v>
      </c>
      <c r="H608" s="0" t="n">
        <f aca="false">IF(C608&gt;1,IF(C608&lt;99,VLOOKUP(F608,'MSA-Lookup'!$AA$1:$AB$25,2),C608),C608)</f>
        <v>4472</v>
      </c>
    </row>
    <row r="609" customFormat="false" ht="12.75" hidden="false" customHeight="false" outlineLevel="0" collapsed="false">
      <c r="A609" s="0" t="n">
        <f aca="false">B609*1000+C609</f>
        <v>15048</v>
      </c>
      <c r="B609" s="0" t="n">
        <v>15</v>
      </c>
      <c r="C609" s="0" t="n">
        <v>48</v>
      </c>
      <c r="D609" s="0" t="n">
        <v>0</v>
      </c>
      <c r="E609" s="0" t="n">
        <f aca="false">VLOOKUP(B609,'MSA-Lookup'!$H$2:$I$86,2)</f>
        <v>7360</v>
      </c>
      <c r="F609" s="0" t="n">
        <f aca="false">IF(C609&gt;1,IF(C609&lt;99,VLOOKUP(C609,'MSA-Lookup'!$H$1:$I$86,2),C609),C609)</f>
        <v>360</v>
      </c>
      <c r="G609" s="0" t="n">
        <f aca="false">VLOOKUP(E609,'MSA-Lookup'!$AA$1:$AB$25,2)</f>
        <v>7362</v>
      </c>
      <c r="H609" s="0" t="n">
        <f aca="false">IF(C609&gt;1,IF(C609&lt;99,VLOOKUP(F609,'MSA-Lookup'!$AA$1:$AB$25,2),C609),C609)</f>
        <v>4472</v>
      </c>
    </row>
    <row r="610" customFormat="false" ht="12.75" hidden="false" customHeight="false" outlineLevel="0" collapsed="false">
      <c r="A610" s="0" t="n">
        <f aca="false">B610*1000+C610</f>
        <v>15049</v>
      </c>
      <c r="B610" s="0" t="n">
        <v>15</v>
      </c>
      <c r="C610" s="0" t="n">
        <v>49</v>
      </c>
      <c r="D610" s="0" t="n">
        <v>143</v>
      </c>
      <c r="E610" s="0" t="n">
        <f aca="false">VLOOKUP(B610,'MSA-Lookup'!$H$2:$I$86,2)</f>
        <v>7360</v>
      </c>
      <c r="F610" s="0" t="n">
        <f aca="false">IF(C610&gt;1,IF(C610&lt;99,VLOOKUP(C610,'MSA-Lookup'!$H$1:$I$86,2),C610),C610)</f>
        <v>7400</v>
      </c>
      <c r="G610" s="0" t="n">
        <f aca="false">VLOOKUP(E610,'MSA-Lookup'!$AA$1:$AB$25,2)</f>
        <v>7362</v>
      </c>
      <c r="H610" s="0" t="n">
        <f aca="false">IF(C610&gt;1,IF(C610&lt;99,VLOOKUP(F610,'MSA-Lookup'!$AA$1:$AB$25,2),C610),C610)</f>
        <v>7362</v>
      </c>
    </row>
    <row r="611" customFormat="false" ht="12.75" hidden="false" customHeight="false" outlineLevel="0" collapsed="false">
      <c r="A611" s="0" t="n">
        <f aca="false">B611*1000+C611</f>
        <v>15050</v>
      </c>
      <c r="B611" s="0" t="n">
        <v>15</v>
      </c>
      <c r="C611" s="0" t="n">
        <v>50</v>
      </c>
      <c r="D611" s="0" t="n">
        <v>208</v>
      </c>
      <c r="E611" s="0" t="n">
        <f aca="false">VLOOKUP(B611,'MSA-Lookup'!$H$2:$I$86,2)</f>
        <v>7360</v>
      </c>
      <c r="F611" s="0" t="n">
        <f aca="false">IF(C611&gt;1,IF(C611&lt;99,VLOOKUP(C611,'MSA-Lookup'!$H$1:$I$86,2),C611),C611)</f>
        <v>7400</v>
      </c>
      <c r="G611" s="0" t="n">
        <f aca="false">VLOOKUP(E611,'MSA-Lookup'!$AA$1:$AB$25,2)</f>
        <v>7362</v>
      </c>
      <c r="H611" s="0" t="n">
        <f aca="false">IF(C611&gt;1,IF(C611&lt;99,VLOOKUP(F611,'MSA-Lookup'!$AA$1:$AB$25,2),C611),C611)</f>
        <v>7362</v>
      </c>
    </row>
    <row r="612" customFormat="false" ht="12.75" hidden="false" customHeight="false" outlineLevel="0" collapsed="false">
      <c r="A612" s="0" t="n">
        <f aca="false">B612*1000+C612</f>
        <v>15051</v>
      </c>
      <c r="B612" s="0" t="n">
        <v>15</v>
      </c>
      <c r="C612" s="0" t="n">
        <v>51</v>
      </c>
      <c r="D612" s="0" t="n">
        <v>0</v>
      </c>
      <c r="E612" s="0" t="n">
        <f aca="false">VLOOKUP(B612,'MSA-Lookup'!$H$2:$I$86,2)</f>
        <v>7360</v>
      </c>
      <c r="F612" s="0" t="n">
        <f aca="false">IF(C612&gt;1,IF(C612&lt;99,VLOOKUP(C612,'MSA-Lookup'!$H$1:$I$86,2),C612),C612)</f>
        <v>7400</v>
      </c>
      <c r="G612" s="0" t="n">
        <f aca="false">VLOOKUP(E612,'MSA-Lookup'!$AA$1:$AB$25,2)</f>
        <v>7362</v>
      </c>
      <c r="H612" s="0" t="n">
        <f aca="false">IF(C612&gt;1,IF(C612&lt;99,VLOOKUP(F612,'MSA-Lookup'!$AA$1:$AB$25,2),C612),C612)</f>
        <v>7362</v>
      </c>
    </row>
    <row r="613" customFormat="false" ht="12.75" hidden="false" customHeight="false" outlineLevel="0" collapsed="false">
      <c r="A613" s="0" t="n">
        <f aca="false">B613*1000+C613</f>
        <v>15052</v>
      </c>
      <c r="B613" s="0" t="n">
        <v>15</v>
      </c>
      <c r="C613" s="0" t="n">
        <v>52</v>
      </c>
      <c r="D613" s="0" t="n">
        <v>0</v>
      </c>
      <c r="E613" s="0" t="n">
        <f aca="false">VLOOKUP(B613,'MSA-Lookup'!$H$2:$I$86,2)</f>
        <v>7360</v>
      </c>
      <c r="F613" s="0" t="n">
        <f aca="false">IF(C613&gt;1,IF(C613&lt;99,VLOOKUP(C613,'MSA-Lookup'!$H$1:$I$86,2),C613),C613)</f>
        <v>4480</v>
      </c>
      <c r="G613" s="0" t="n">
        <f aca="false">VLOOKUP(E613,'MSA-Lookup'!$AA$1:$AB$25,2)</f>
        <v>7362</v>
      </c>
      <c r="H613" s="0" t="n">
        <f aca="false">IF(C613&gt;1,IF(C613&lt;99,VLOOKUP(F613,'MSA-Lookup'!$AA$1:$AB$25,2),C613),C613)</f>
        <v>4472</v>
      </c>
    </row>
    <row r="614" customFormat="false" ht="12.75" hidden="false" customHeight="false" outlineLevel="0" collapsed="false">
      <c r="A614" s="0" t="n">
        <f aca="false">B614*1000+C614</f>
        <v>15053</v>
      </c>
      <c r="B614" s="0" t="n">
        <v>15</v>
      </c>
      <c r="C614" s="0" t="n">
        <v>53</v>
      </c>
      <c r="D614" s="0" t="n">
        <v>0</v>
      </c>
      <c r="E614" s="0" t="n">
        <f aca="false">VLOOKUP(B614,'MSA-Lookup'!$H$2:$I$86,2)</f>
        <v>7360</v>
      </c>
      <c r="F614" s="0" t="n">
        <f aca="false">IF(C614&gt;1,IF(C614&lt;99,VLOOKUP(C614,'MSA-Lookup'!$H$1:$I$86,2),C614),C614)</f>
        <v>4480</v>
      </c>
      <c r="G614" s="0" t="n">
        <f aca="false">VLOOKUP(E614,'MSA-Lookup'!$AA$1:$AB$25,2)</f>
        <v>7362</v>
      </c>
      <c r="H614" s="0" t="n">
        <f aca="false">IF(C614&gt;1,IF(C614&lt;99,VLOOKUP(F614,'MSA-Lookup'!$AA$1:$AB$25,2),C614),C614)</f>
        <v>4472</v>
      </c>
    </row>
    <row r="615" customFormat="false" ht="12.75" hidden="false" customHeight="false" outlineLevel="0" collapsed="false">
      <c r="A615" s="0" t="n">
        <f aca="false">B615*1000+C615</f>
        <v>15060</v>
      </c>
      <c r="B615" s="0" t="n">
        <v>15</v>
      </c>
      <c r="C615" s="0" t="n">
        <v>60</v>
      </c>
      <c r="D615" s="0" t="n">
        <v>0</v>
      </c>
      <c r="E615" s="0" t="n">
        <f aca="false">VLOOKUP(B615,'MSA-Lookup'!$H$2:$I$86,2)</f>
        <v>7360</v>
      </c>
      <c r="F615" s="0" t="n">
        <f aca="false">IF(C615&gt;1,IF(C615&lt;99,VLOOKUP(C615,'MSA-Lookup'!$H$1:$I$86,2),C615),C615)</f>
        <v>4480</v>
      </c>
      <c r="G615" s="0" t="n">
        <f aca="false">VLOOKUP(E615,'MSA-Lookup'!$AA$1:$AB$25,2)</f>
        <v>7362</v>
      </c>
      <c r="H615" s="0" t="n">
        <f aca="false">IF(C615&gt;1,IF(C615&lt;99,VLOOKUP(F615,'MSA-Lookup'!$AA$1:$AB$25,2),C615),C615)</f>
        <v>4472</v>
      </c>
    </row>
    <row r="616" customFormat="false" ht="12.75" hidden="false" customHeight="false" outlineLevel="0" collapsed="false">
      <c r="A616" s="0" t="n">
        <f aca="false">B616*1000+C616</f>
        <v>15064</v>
      </c>
      <c r="B616" s="0" t="n">
        <v>15</v>
      </c>
      <c r="C616" s="0" t="n">
        <v>64</v>
      </c>
      <c r="D616" s="0" t="n">
        <v>104</v>
      </c>
      <c r="E616" s="0" t="n">
        <f aca="false">VLOOKUP(B616,'MSA-Lookup'!$H$2:$I$86,2)</f>
        <v>7360</v>
      </c>
      <c r="F616" s="0" t="n">
        <f aca="false">IF(C616&gt;1,IF(C616&lt;99,VLOOKUP(C616,'MSA-Lookup'!$H$1:$I$86,2),C616),C616)</f>
        <v>4480</v>
      </c>
      <c r="G616" s="0" t="n">
        <f aca="false">VLOOKUP(E616,'MSA-Lookup'!$AA$1:$AB$25,2)</f>
        <v>7362</v>
      </c>
      <c r="H616" s="0" t="n">
        <f aca="false">IF(C616&gt;1,IF(C616&lt;99,VLOOKUP(F616,'MSA-Lookup'!$AA$1:$AB$25,2),C616),C616)</f>
        <v>4472</v>
      </c>
    </row>
    <row r="617" customFormat="false" ht="12.75" hidden="false" customHeight="false" outlineLevel="0" collapsed="false">
      <c r="A617" s="0" t="n">
        <f aca="false">B617*1000+C617</f>
        <v>15065</v>
      </c>
      <c r="B617" s="0" t="n">
        <v>15</v>
      </c>
      <c r="C617" s="0" t="n">
        <v>65</v>
      </c>
      <c r="D617" s="0" t="n">
        <v>143</v>
      </c>
      <c r="E617" s="0" t="n">
        <f aca="false">VLOOKUP(B617,'MSA-Lookup'!$H$2:$I$86,2)</f>
        <v>7360</v>
      </c>
      <c r="F617" s="0" t="n">
        <f aca="false">IF(C617&gt;1,IF(C617&lt;99,VLOOKUP(C617,'MSA-Lookup'!$H$1:$I$86,2),C617),C617)</f>
        <v>4480</v>
      </c>
      <c r="G617" s="0" t="n">
        <f aca="false">VLOOKUP(E617,'MSA-Lookup'!$AA$1:$AB$25,2)</f>
        <v>7362</v>
      </c>
      <c r="H617" s="0" t="n">
        <f aca="false">IF(C617&gt;1,IF(C617&lt;99,VLOOKUP(F617,'MSA-Lookup'!$AA$1:$AB$25,2),C617),C617)</f>
        <v>4472</v>
      </c>
    </row>
    <row r="618" customFormat="false" ht="12.75" hidden="false" customHeight="false" outlineLevel="0" collapsed="false">
      <c r="A618" s="0" t="n">
        <f aca="false">B618*1000+C618</f>
        <v>15067</v>
      </c>
      <c r="B618" s="0" t="n">
        <v>15</v>
      </c>
      <c r="C618" s="0" t="n">
        <v>67</v>
      </c>
      <c r="D618" s="0" t="n">
        <v>0</v>
      </c>
      <c r="E618" s="0" t="n">
        <f aca="false">VLOOKUP(B618,'MSA-Lookup'!$H$2:$I$86,2)</f>
        <v>7360</v>
      </c>
      <c r="F618" s="0" t="n">
        <f aca="false">IF(C618&gt;1,IF(C618&lt;99,VLOOKUP(C618,'MSA-Lookup'!$H$1:$I$86,2),C618),C618)</f>
        <v>6000</v>
      </c>
      <c r="G618" s="0" t="n">
        <f aca="false">VLOOKUP(E618,'MSA-Lookup'!$AA$1:$AB$25,2)</f>
        <v>7362</v>
      </c>
      <c r="H618" s="0" t="n">
        <f aca="false">IF(C618&gt;1,IF(C618&lt;99,VLOOKUP(F618,'MSA-Lookup'!$AA$1:$AB$25,2),C618),C618)</f>
        <v>4472</v>
      </c>
    </row>
    <row r="619" customFormat="false" ht="12.75" hidden="false" customHeight="false" outlineLevel="0" collapsed="false">
      <c r="A619" s="0" t="n">
        <f aca="false">B619*1000+C619</f>
        <v>15069</v>
      </c>
      <c r="B619" s="0" t="n">
        <v>15</v>
      </c>
      <c r="C619" s="0" t="n">
        <v>69</v>
      </c>
      <c r="D619" s="0" t="n">
        <v>0</v>
      </c>
      <c r="E619" s="0" t="n">
        <f aca="false">VLOOKUP(B619,'MSA-Lookup'!$H$2:$I$86,2)</f>
        <v>7360</v>
      </c>
      <c r="F619" s="0" t="n">
        <f aca="false">IF(C619&gt;1,IF(C619&lt;99,VLOOKUP(C619,'MSA-Lookup'!$H$1:$I$86,2),C619),C619)</f>
        <v>6780</v>
      </c>
      <c r="G619" s="0" t="n">
        <f aca="false">VLOOKUP(E619,'MSA-Lookup'!$AA$1:$AB$25,2)</f>
        <v>7362</v>
      </c>
      <c r="H619" s="0" t="n">
        <f aca="false">IF(C619&gt;1,IF(C619&lt;99,VLOOKUP(F619,'MSA-Lookup'!$AA$1:$AB$25,2),C619),C619)</f>
        <v>4472</v>
      </c>
    </row>
    <row r="620" customFormat="false" ht="12.75" hidden="false" customHeight="false" outlineLevel="0" collapsed="false">
      <c r="A620" s="0" t="n">
        <f aca="false">B620*1000+C620</f>
        <v>15072</v>
      </c>
      <c r="B620" s="0" t="n">
        <v>15</v>
      </c>
      <c r="C620" s="0" t="n">
        <v>72</v>
      </c>
      <c r="D620" s="0" t="n">
        <v>0</v>
      </c>
      <c r="E620" s="0" t="n">
        <f aca="false">VLOOKUP(B620,'MSA-Lookup'!$H$2:$I$86,2)</f>
        <v>7360</v>
      </c>
      <c r="F620" s="0" t="n">
        <f aca="false">IF(C620&gt;1,IF(C620&lt;99,VLOOKUP(C620,'MSA-Lookup'!$H$1:$I$86,2),C620),C620)</f>
        <v>6780</v>
      </c>
      <c r="G620" s="0" t="n">
        <f aca="false">VLOOKUP(E620,'MSA-Lookup'!$AA$1:$AB$25,2)</f>
        <v>7362</v>
      </c>
      <c r="H620" s="0" t="n">
        <f aca="false">IF(C620&gt;1,IF(C620&lt;99,VLOOKUP(F620,'MSA-Lookup'!$AA$1:$AB$25,2),C620),C620)</f>
        <v>4472</v>
      </c>
    </row>
    <row r="621" customFormat="false" ht="12.75" hidden="false" customHeight="false" outlineLevel="0" collapsed="false">
      <c r="A621" s="0" t="n">
        <f aca="false">B621*1000+C621</f>
        <v>15073</v>
      </c>
      <c r="B621" s="0" t="n">
        <v>15</v>
      </c>
      <c r="C621" s="0" t="n">
        <v>73</v>
      </c>
      <c r="D621" s="0" t="n">
        <v>663</v>
      </c>
      <c r="E621" s="0" t="n">
        <f aca="false">VLOOKUP(B621,'MSA-Lookup'!$H$2:$I$86,2)</f>
        <v>7360</v>
      </c>
      <c r="F621" s="0" t="n">
        <f aca="false">IF(C621&gt;1,IF(C621&lt;99,VLOOKUP(C621,'MSA-Lookup'!$H$1:$I$86,2),C621),C621)</f>
        <v>8720</v>
      </c>
      <c r="G621" s="0" t="n">
        <f aca="false">VLOOKUP(E621,'MSA-Lookup'!$AA$1:$AB$25,2)</f>
        <v>7362</v>
      </c>
      <c r="H621" s="0" t="n">
        <f aca="false">IF(C621&gt;1,IF(C621&lt;99,VLOOKUP(F621,'MSA-Lookup'!$AA$1:$AB$25,2),C621),C621)</f>
        <v>7362</v>
      </c>
    </row>
    <row r="622" customFormat="false" ht="12.75" hidden="false" customHeight="false" outlineLevel="0" collapsed="false">
      <c r="A622" s="0" t="n">
        <f aca="false">B622*1000+C622</f>
        <v>15075</v>
      </c>
      <c r="B622" s="0" t="n">
        <v>15</v>
      </c>
      <c r="C622" s="0" t="n">
        <v>75</v>
      </c>
      <c r="D622" s="0" t="n">
        <v>0</v>
      </c>
      <c r="E622" s="0" t="n">
        <f aca="false">VLOOKUP(B622,'MSA-Lookup'!$H$2:$I$86,2)</f>
        <v>7360</v>
      </c>
      <c r="F622" s="0" t="n">
        <f aca="false">IF(C622&gt;1,IF(C622&lt;99,VLOOKUP(C622,'MSA-Lookup'!$H$1:$I$86,2),C622),C622)</f>
        <v>8780</v>
      </c>
      <c r="G622" s="0" t="n">
        <f aca="false">VLOOKUP(E622,'MSA-Lookup'!$AA$1:$AB$25,2)</f>
        <v>7362</v>
      </c>
      <c r="H622" s="0" t="n">
        <f aca="false">IF(C622&gt;1,IF(C622&lt;99,VLOOKUP(F622,'MSA-Lookup'!$AA$1:$AB$25,2),C622),C622)</f>
        <v>8780</v>
      </c>
    </row>
    <row r="623" customFormat="false" ht="12.75" hidden="false" customHeight="false" outlineLevel="0" collapsed="false">
      <c r="A623" s="0" t="n">
        <f aca="false">B623*1000+C623</f>
        <v>15079</v>
      </c>
      <c r="B623" s="0" t="n">
        <v>15</v>
      </c>
      <c r="C623" s="0" t="n">
        <v>79</v>
      </c>
      <c r="D623" s="0" t="n">
        <v>0</v>
      </c>
      <c r="E623" s="0" t="n">
        <f aca="false">VLOOKUP(B623,'MSA-Lookup'!$H$2:$I$86,2)</f>
        <v>7360</v>
      </c>
      <c r="F623" s="0" t="n">
        <f aca="false">IF(C623&gt;1,IF(C623&lt;99,VLOOKUP(C623,'MSA-Lookup'!$H$1:$I$86,2),C623),C623)</f>
        <v>680</v>
      </c>
      <c r="G623" s="0" t="n">
        <f aca="false">VLOOKUP(E623,'MSA-Lookup'!$AA$1:$AB$25,2)</f>
        <v>7362</v>
      </c>
      <c r="H623" s="0" t="n">
        <f aca="false">IF(C623&gt;1,IF(C623&lt;99,VLOOKUP(F623,'MSA-Lookup'!$AA$1:$AB$25,2),C623),C623)</f>
        <v>680</v>
      </c>
    </row>
    <row r="624" customFormat="false" ht="12.75" hidden="false" customHeight="false" outlineLevel="0" collapsed="false">
      <c r="A624" s="0" t="n">
        <f aca="false">B624*1000+C624</f>
        <v>15080</v>
      </c>
      <c r="B624" s="0" t="n">
        <v>15</v>
      </c>
      <c r="C624" s="0" t="n">
        <v>80</v>
      </c>
      <c r="D624" s="0" t="n">
        <v>0</v>
      </c>
      <c r="E624" s="0" t="n">
        <f aca="false">VLOOKUP(B624,'MSA-Lookup'!$H$2:$I$86,2)</f>
        <v>7360</v>
      </c>
      <c r="F624" s="0" t="n">
        <f aca="false">IF(C624&gt;1,IF(C624&lt;99,VLOOKUP(C624,'MSA-Lookup'!$H$1:$I$86,2),C624),C624)</f>
        <v>9999</v>
      </c>
      <c r="G624" s="0" t="n">
        <f aca="false">VLOOKUP(E624,'MSA-Lookup'!$AA$1:$AB$25,2)</f>
        <v>7362</v>
      </c>
      <c r="H624" s="0" t="n">
        <f aca="false">IF(C624&gt;1,IF(C624&lt;99,VLOOKUP(F624,'MSA-Lookup'!$AA$1:$AB$25,2),C624),C624)</f>
        <v>9999</v>
      </c>
    </row>
    <row r="625" customFormat="false" ht="12.75" hidden="false" customHeight="false" outlineLevel="0" collapsed="false">
      <c r="A625" s="0" t="n">
        <f aca="false">B625*1000+C625</f>
        <v>15085</v>
      </c>
      <c r="B625" s="0" t="n">
        <v>15</v>
      </c>
      <c r="C625" s="0" t="n">
        <v>85</v>
      </c>
      <c r="D625" s="0" t="n">
        <v>0</v>
      </c>
      <c r="E625" s="0" t="n">
        <f aca="false">VLOOKUP(B625,'MSA-Lookup'!$H$2:$I$86,2)</f>
        <v>7360</v>
      </c>
      <c r="F625" s="0" t="n">
        <f aca="false">IF(C625&gt;1,IF(C625&lt;99,VLOOKUP(C625,'MSA-Lookup'!$H$1:$I$86,2),C625),C625)</f>
        <v>8120</v>
      </c>
      <c r="G625" s="0" t="n">
        <f aca="false">VLOOKUP(E625,'MSA-Lookup'!$AA$1:$AB$25,2)</f>
        <v>7362</v>
      </c>
      <c r="H625" s="0" t="n">
        <f aca="false">IF(C625&gt;1,IF(C625&lt;99,VLOOKUP(F625,'MSA-Lookup'!$AA$1:$AB$25,2),C625),C625)</f>
        <v>8120</v>
      </c>
    </row>
    <row r="626" customFormat="false" ht="12.75" hidden="false" customHeight="false" outlineLevel="0" collapsed="false">
      <c r="A626" s="0" t="n">
        <f aca="false">B626*1000+C626</f>
        <v>15999</v>
      </c>
      <c r="B626" s="0" t="n">
        <v>15</v>
      </c>
      <c r="C626" s="0" t="n">
        <v>999</v>
      </c>
      <c r="D626" s="0" t="n">
        <v>533</v>
      </c>
      <c r="E626" s="0" t="n">
        <f aca="false">VLOOKUP(B626,'MSA-Lookup'!$H$2:$I$86,2)</f>
        <v>7360</v>
      </c>
      <c r="F626" s="0" t="n">
        <f aca="false">IF(C626&gt;1,IF(C626&lt;99,VLOOKUP(C626,'MSA-Lookup'!$H$1:$I$86,2),C626),C626)</f>
        <v>999</v>
      </c>
      <c r="G626" s="0" t="n">
        <f aca="false">VLOOKUP(E626,'MSA-Lookup'!$AA$1:$AB$25,2)</f>
        <v>7362</v>
      </c>
      <c r="H626" s="0" t="n">
        <f aca="false">IF(C626&gt;1,IF(C626&lt;99,VLOOKUP(F626,'MSA-Lookup'!$AA$1:$AB$25,2),C626),C626)</f>
        <v>999</v>
      </c>
    </row>
    <row r="627" customFormat="false" ht="12.75" hidden="false" customHeight="false" outlineLevel="0" collapsed="false">
      <c r="A627" s="0" t="n">
        <f aca="false">B627*1000+C627</f>
        <v>16000</v>
      </c>
      <c r="B627" s="0" t="n">
        <v>16</v>
      </c>
      <c r="C627" s="0" t="n">
        <v>0</v>
      </c>
      <c r="D627" s="0" t="n">
        <v>125190</v>
      </c>
      <c r="E627" s="0" t="n">
        <f aca="false">VLOOKUP(B627,'MSA-Lookup'!$H$2:$I$86,2)</f>
        <v>8720</v>
      </c>
      <c r="F627" s="0" t="n">
        <f aca="false">IF(C627&gt;1,IF(C627&lt;99,VLOOKUP(C627,'MSA-Lookup'!$H$1:$I$86,2),C627),C627)</f>
        <v>0</v>
      </c>
      <c r="G627" s="0" t="n">
        <f aca="false">VLOOKUP(E627,'MSA-Lookup'!$AA$1:$AB$25,2)</f>
        <v>7362</v>
      </c>
      <c r="H627" s="0" t="n">
        <f aca="false">IF(C627&gt;1,IF(C627&lt;99,VLOOKUP(F627,'MSA-Lookup'!$AA$1:$AB$25,2),C627),C627)</f>
        <v>0</v>
      </c>
    </row>
    <row r="628" customFormat="false" ht="12.75" hidden="false" customHeight="false" outlineLevel="0" collapsed="false">
      <c r="A628" s="0" t="n">
        <f aca="false">B628*1000+C628</f>
        <v>16001</v>
      </c>
      <c r="B628" s="0" t="n">
        <v>16</v>
      </c>
      <c r="C628" s="0" t="n">
        <v>1</v>
      </c>
      <c r="D628" s="0" t="n">
        <v>91</v>
      </c>
      <c r="E628" s="0" t="n">
        <f aca="false">VLOOKUP(B628,'MSA-Lookup'!$H$2:$I$86,2)</f>
        <v>8720</v>
      </c>
      <c r="F628" s="0" t="n">
        <f aca="false">IF(C628&gt;1,IF(C628&lt;99,VLOOKUP(C628,'MSA-Lookup'!$H$1:$I$86,2),C628),C628)</f>
        <v>1</v>
      </c>
      <c r="G628" s="0" t="n">
        <f aca="false">VLOOKUP(E628,'MSA-Lookup'!$AA$1:$AB$25,2)</f>
        <v>7362</v>
      </c>
      <c r="H628" s="0" t="n">
        <f aca="false">IF(C628&gt;1,IF(C628&lt;99,VLOOKUP(F628,'MSA-Lookup'!$AA$1:$AB$25,2),C628),C628)</f>
        <v>1</v>
      </c>
    </row>
    <row r="629" customFormat="false" ht="12.75" hidden="false" customHeight="false" outlineLevel="0" collapsed="false">
      <c r="A629" s="0" t="n">
        <f aca="false">B629*1000+C629</f>
        <v>16002</v>
      </c>
      <c r="B629" s="0" t="n">
        <v>16</v>
      </c>
      <c r="C629" s="0" t="n">
        <v>2</v>
      </c>
      <c r="D629" s="0" t="n">
        <v>0</v>
      </c>
      <c r="E629" s="0" t="n">
        <f aca="false">VLOOKUP(B629,'MSA-Lookup'!$H$2:$I$86,2)</f>
        <v>8720</v>
      </c>
      <c r="F629" s="0" t="n">
        <f aca="false">IF(C629&gt;1,IF(C629&lt;99,VLOOKUP(C629,'MSA-Lookup'!$H$1:$I$86,2),C629),C629)</f>
        <v>9999</v>
      </c>
      <c r="G629" s="0" t="n">
        <f aca="false">VLOOKUP(E629,'MSA-Lookup'!$AA$1:$AB$25,2)</f>
        <v>7362</v>
      </c>
      <c r="H629" s="0" t="n">
        <f aca="false">IF(C629&gt;1,IF(C629&lt;99,VLOOKUP(F629,'MSA-Lookup'!$AA$1:$AB$25,2),C629),C629)</f>
        <v>9999</v>
      </c>
    </row>
    <row r="630" customFormat="false" ht="12.75" hidden="false" customHeight="false" outlineLevel="0" collapsed="false">
      <c r="A630" s="0" t="n">
        <f aca="false">B630*1000+C630</f>
        <v>16003</v>
      </c>
      <c r="B630" s="0" t="n">
        <v>16</v>
      </c>
      <c r="C630" s="0" t="n">
        <v>3</v>
      </c>
      <c r="D630" s="0" t="n">
        <v>0</v>
      </c>
      <c r="E630" s="0" t="n">
        <f aca="false">VLOOKUP(B630,'MSA-Lookup'!$H$2:$I$86,2)</f>
        <v>8720</v>
      </c>
      <c r="F630" s="0" t="n">
        <f aca="false">IF(C630&gt;1,IF(C630&lt;99,VLOOKUP(C630,'MSA-Lookup'!$H$1:$I$86,2),C630),C630)</f>
        <v>6690</v>
      </c>
      <c r="G630" s="0" t="n">
        <f aca="false">VLOOKUP(E630,'MSA-Lookup'!$AA$1:$AB$25,2)</f>
        <v>7362</v>
      </c>
      <c r="H630" s="0" t="n">
        <f aca="false">IF(C630&gt;1,IF(C630&lt;99,VLOOKUP(F630,'MSA-Lookup'!$AA$1:$AB$25,2),C630),C630)</f>
        <v>6690</v>
      </c>
    </row>
    <row r="631" customFormat="false" ht="12.75" hidden="false" customHeight="false" outlineLevel="0" collapsed="false">
      <c r="A631" s="0" t="n">
        <f aca="false">B631*1000+C631</f>
        <v>16004</v>
      </c>
      <c r="B631" s="0" t="n">
        <v>16</v>
      </c>
      <c r="C631" s="0" t="n">
        <v>4</v>
      </c>
      <c r="D631" s="0" t="n">
        <v>0</v>
      </c>
      <c r="E631" s="0" t="n">
        <f aca="false">VLOOKUP(B631,'MSA-Lookup'!$H$2:$I$86,2)</f>
        <v>8720</v>
      </c>
      <c r="F631" s="0" t="n">
        <f aca="false">IF(C631&gt;1,IF(C631&lt;99,VLOOKUP(C631,'MSA-Lookup'!$H$1:$I$86,2),C631),C631)</f>
        <v>9999</v>
      </c>
      <c r="G631" s="0" t="n">
        <f aca="false">VLOOKUP(E631,'MSA-Lookup'!$AA$1:$AB$25,2)</f>
        <v>7362</v>
      </c>
      <c r="H631" s="0" t="n">
        <f aca="false">IF(C631&gt;1,IF(C631&lt;99,VLOOKUP(F631,'MSA-Lookup'!$AA$1:$AB$25,2),C631),C631)</f>
        <v>9999</v>
      </c>
    </row>
    <row r="632" customFormat="false" ht="12.75" hidden="false" customHeight="false" outlineLevel="0" collapsed="false">
      <c r="A632" s="0" t="n">
        <f aca="false">B632*1000+C632</f>
        <v>16005</v>
      </c>
      <c r="B632" s="0" t="n">
        <v>16</v>
      </c>
      <c r="C632" s="0" t="n">
        <v>5</v>
      </c>
      <c r="D632" s="0" t="n">
        <v>0</v>
      </c>
      <c r="E632" s="0" t="n">
        <f aca="false">VLOOKUP(B632,'MSA-Lookup'!$H$2:$I$86,2)</f>
        <v>8720</v>
      </c>
      <c r="F632" s="0" t="n">
        <f aca="false">IF(C632&gt;1,IF(C632&lt;99,VLOOKUP(C632,'MSA-Lookup'!$H$1:$I$86,2),C632),C632)</f>
        <v>9999</v>
      </c>
      <c r="G632" s="0" t="n">
        <f aca="false">VLOOKUP(E632,'MSA-Lookup'!$AA$1:$AB$25,2)</f>
        <v>7362</v>
      </c>
      <c r="H632" s="0" t="n">
        <f aca="false">IF(C632&gt;1,IF(C632&lt;99,VLOOKUP(F632,'MSA-Lookup'!$AA$1:$AB$25,2),C632),C632)</f>
        <v>9999</v>
      </c>
    </row>
    <row r="633" customFormat="false" ht="12.75" hidden="false" customHeight="false" outlineLevel="0" collapsed="false">
      <c r="A633" s="0" t="n">
        <f aca="false">B633*1000+C633</f>
        <v>16006</v>
      </c>
      <c r="B633" s="0" t="n">
        <v>16</v>
      </c>
      <c r="C633" s="0" t="n">
        <v>6</v>
      </c>
      <c r="D633" s="0" t="n">
        <v>0</v>
      </c>
      <c r="E633" s="0" t="n">
        <f aca="false">VLOOKUP(B633,'MSA-Lookup'!$H$2:$I$86,2)</f>
        <v>8720</v>
      </c>
      <c r="F633" s="0" t="n">
        <f aca="false">IF(C633&gt;1,IF(C633&lt;99,VLOOKUP(C633,'MSA-Lookup'!$H$1:$I$86,2),C633),C633)</f>
        <v>1620</v>
      </c>
      <c r="G633" s="0" t="n">
        <f aca="false">VLOOKUP(E633,'MSA-Lookup'!$AA$1:$AB$25,2)</f>
        <v>7362</v>
      </c>
      <c r="H633" s="0" t="n">
        <f aca="false">IF(C633&gt;1,IF(C633&lt;99,VLOOKUP(F633,'MSA-Lookup'!$AA$1:$AB$25,2),C633),C633)</f>
        <v>1620</v>
      </c>
    </row>
    <row r="634" customFormat="false" ht="12.75" hidden="false" customHeight="false" outlineLevel="0" collapsed="false">
      <c r="A634" s="0" t="n">
        <f aca="false">B634*1000+C634</f>
        <v>16007</v>
      </c>
      <c r="B634" s="0" t="n">
        <v>16</v>
      </c>
      <c r="C634" s="0" t="n">
        <v>7</v>
      </c>
      <c r="D634" s="0" t="n">
        <v>0</v>
      </c>
      <c r="E634" s="0" t="n">
        <f aca="false">VLOOKUP(B634,'MSA-Lookup'!$H$2:$I$86,2)</f>
        <v>8720</v>
      </c>
      <c r="F634" s="0" t="n">
        <f aca="false">IF(C634&gt;1,IF(C634&lt;99,VLOOKUP(C634,'MSA-Lookup'!$H$1:$I$86,2),C634),C634)</f>
        <v>9999</v>
      </c>
      <c r="G634" s="0" t="n">
        <f aca="false">VLOOKUP(E634,'MSA-Lookup'!$AA$1:$AB$25,2)</f>
        <v>7362</v>
      </c>
      <c r="H634" s="0" t="n">
        <f aca="false">IF(C634&gt;1,IF(C634&lt;99,VLOOKUP(F634,'MSA-Lookup'!$AA$1:$AB$25,2),C634),C634)</f>
        <v>9999</v>
      </c>
    </row>
    <row r="635" customFormat="false" ht="12.75" hidden="false" customHeight="false" outlineLevel="0" collapsed="false">
      <c r="A635" s="0" t="n">
        <f aca="false">B635*1000+C635</f>
        <v>16008</v>
      </c>
      <c r="B635" s="0" t="n">
        <v>16</v>
      </c>
      <c r="C635" s="0" t="n">
        <v>8</v>
      </c>
      <c r="D635" s="0" t="n">
        <v>104</v>
      </c>
      <c r="E635" s="0" t="n">
        <f aca="false">VLOOKUP(B635,'MSA-Lookup'!$H$2:$I$86,2)</f>
        <v>8720</v>
      </c>
      <c r="F635" s="0" t="n">
        <f aca="false">IF(C635&gt;1,IF(C635&lt;99,VLOOKUP(C635,'MSA-Lookup'!$H$1:$I$86,2),C635),C635)</f>
        <v>9340</v>
      </c>
      <c r="G635" s="0" t="n">
        <f aca="false">VLOOKUP(E635,'MSA-Lookup'!$AA$1:$AB$25,2)</f>
        <v>7362</v>
      </c>
      <c r="H635" s="0" t="n">
        <f aca="false">IF(C635&gt;1,IF(C635&lt;99,VLOOKUP(F635,'MSA-Lookup'!$AA$1:$AB$25,2),C635),C635)</f>
        <v>9340</v>
      </c>
    </row>
    <row r="636" customFormat="false" ht="12.75" hidden="false" customHeight="false" outlineLevel="0" collapsed="false">
      <c r="A636" s="0" t="n">
        <f aca="false">B636*1000+C636</f>
        <v>16009</v>
      </c>
      <c r="B636" s="0" t="n">
        <v>16</v>
      </c>
      <c r="C636" s="0" t="n">
        <v>9</v>
      </c>
      <c r="D636" s="0" t="n">
        <v>2691</v>
      </c>
      <c r="E636" s="0" t="n">
        <f aca="false">VLOOKUP(B636,'MSA-Lookup'!$H$2:$I$86,2)</f>
        <v>8720</v>
      </c>
      <c r="F636" s="0" t="n">
        <f aca="false">IF(C636&gt;1,IF(C636&lt;99,VLOOKUP(C636,'MSA-Lookup'!$H$1:$I$86,2),C636),C636)</f>
        <v>8720</v>
      </c>
      <c r="G636" s="0" t="n">
        <f aca="false">VLOOKUP(E636,'MSA-Lookup'!$AA$1:$AB$25,2)</f>
        <v>7362</v>
      </c>
      <c r="H636" s="0" t="n">
        <f aca="false">IF(C636&gt;1,IF(C636&lt;99,VLOOKUP(F636,'MSA-Lookup'!$AA$1:$AB$25,2),C636),C636)</f>
        <v>7362</v>
      </c>
    </row>
    <row r="637" customFormat="false" ht="12.75" hidden="false" customHeight="false" outlineLevel="0" collapsed="false">
      <c r="A637" s="0" t="n">
        <f aca="false">B637*1000+C637</f>
        <v>16010</v>
      </c>
      <c r="B637" s="0" t="n">
        <v>16</v>
      </c>
      <c r="C637" s="0" t="n">
        <v>10</v>
      </c>
      <c r="D637" s="0" t="n">
        <v>2691</v>
      </c>
      <c r="E637" s="0" t="n">
        <f aca="false">VLOOKUP(B637,'MSA-Lookup'!$H$2:$I$86,2)</f>
        <v>8720</v>
      </c>
      <c r="F637" s="0" t="n">
        <f aca="false">IF(C637&gt;1,IF(C637&lt;99,VLOOKUP(C637,'MSA-Lookup'!$H$1:$I$86,2),C637),C637)</f>
        <v>6920</v>
      </c>
      <c r="G637" s="0" t="n">
        <f aca="false">VLOOKUP(E637,'MSA-Lookup'!$AA$1:$AB$25,2)</f>
        <v>7362</v>
      </c>
      <c r="H637" s="0" t="n">
        <f aca="false">IF(C637&gt;1,IF(C637&lt;99,VLOOKUP(F637,'MSA-Lookup'!$AA$1:$AB$25,2),C637),C637)</f>
        <v>6920</v>
      </c>
    </row>
    <row r="638" customFormat="false" ht="12.75" hidden="false" customHeight="false" outlineLevel="0" collapsed="false">
      <c r="A638" s="0" t="n">
        <f aca="false">B638*1000+C638</f>
        <v>16011</v>
      </c>
      <c r="B638" s="0" t="n">
        <v>16</v>
      </c>
      <c r="C638" s="0" t="n">
        <v>11</v>
      </c>
      <c r="D638" s="0" t="n">
        <v>260</v>
      </c>
      <c r="E638" s="0" t="n">
        <f aca="false">VLOOKUP(B638,'MSA-Lookup'!$H$2:$I$86,2)</f>
        <v>8720</v>
      </c>
      <c r="F638" s="0" t="n">
        <f aca="false">IF(C638&gt;1,IF(C638&lt;99,VLOOKUP(C638,'MSA-Lookup'!$H$1:$I$86,2),C638),C638)</f>
        <v>6920</v>
      </c>
      <c r="G638" s="0" t="n">
        <f aca="false">VLOOKUP(E638,'MSA-Lookup'!$AA$1:$AB$25,2)</f>
        <v>7362</v>
      </c>
      <c r="H638" s="0" t="n">
        <f aca="false">IF(C638&gt;1,IF(C638&lt;99,VLOOKUP(F638,'MSA-Lookup'!$AA$1:$AB$25,2),C638),C638)</f>
        <v>6920</v>
      </c>
    </row>
    <row r="639" customFormat="false" ht="12.75" hidden="false" customHeight="false" outlineLevel="0" collapsed="false">
      <c r="A639" s="0" t="n">
        <f aca="false">B639*1000+C639</f>
        <v>16012</v>
      </c>
      <c r="B639" s="0" t="n">
        <v>16</v>
      </c>
      <c r="C639" s="0" t="n">
        <v>12</v>
      </c>
      <c r="D639" s="0" t="n">
        <v>0</v>
      </c>
      <c r="E639" s="0" t="n">
        <f aca="false">VLOOKUP(B639,'MSA-Lookup'!$H$2:$I$86,2)</f>
        <v>8720</v>
      </c>
      <c r="F639" s="0" t="n">
        <f aca="false">IF(C639&gt;1,IF(C639&lt;99,VLOOKUP(C639,'MSA-Lookup'!$H$1:$I$86,2),C639),C639)</f>
        <v>6920</v>
      </c>
      <c r="G639" s="0" t="n">
        <f aca="false">VLOOKUP(E639,'MSA-Lookup'!$AA$1:$AB$25,2)</f>
        <v>7362</v>
      </c>
      <c r="H639" s="0" t="n">
        <f aca="false">IF(C639&gt;1,IF(C639&lt;99,VLOOKUP(F639,'MSA-Lookup'!$AA$1:$AB$25,2),C639),C639)</f>
        <v>6920</v>
      </c>
    </row>
    <row r="640" customFormat="false" ht="12.75" hidden="false" customHeight="false" outlineLevel="0" collapsed="false">
      <c r="A640" s="0" t="n">
        <f aca="false">B640*1000+C640</f>
        <v>16013</v>
      </c>
      <c r="B640" s="0" t="n">
        <v>16</v>
      </c>
      <c r="C640" s="0" t="n">
        <v>13</v>
      </c>
      <c r="D640" s="0" t="n">
        <v>0</v>
      </c>
      <c r="E640" s="0" t="n">
        <f aca="false">VLOOKUP(B640,'MSA-Lookup'!$H$2:$I$86,2)</f>
        <v>8720</v>
      </c>
      <c r="F640" s="0" t="n">
        <f aca="false">IF(C640&gt;1,IF(C640&lt;99,VLOOKUP(C640,'MSA-Lookup'!$H$1:$I$86,2),C640),C640)</f>
        <v>7500</v>
      </c>
      <c r="G640" s="0" t="n">
        <f aca="false">VLOOKUP(E640,'MSA-Lookup'!$AA$1:$AB$25,2)</f>
        <v>7362</v>
      </c>
      <c r="H640" s="0" t="n">
        <f aca="false">IF(C640&gt;1,IF(C640&lt;99,VLOOKUP(F640,'MSA-Lookup'!$AA$1:$AB$25,2),C640),C640)</f>
        <v>7362</v>
      </c>
    </row>
    <row r="641" customFormat="false" ht="12.75" hidden="false" customHeight="false" outlineLevel="0" collapsed="false">
      <c r="A641" s="0" t="n">
        <f aca="false">B641*1000+C641</f>
        <v>16014</v>
      </c>
      <c r="B641" s="0" t="n">
        <v>16</v>
      </c>
      <c r="C641" s="0" t="n">
        <v>14</v>
      </c>
      <c r="D641" s="0" t="n">
        <v>520</v>
      </c>
      <c r="E641" s="0" t="n">
        <f aca="false">VLOOKUP(B641,'MSA-Lookup'!$H$2:$I$86,2)</f>
        <v>8720</v>
      </c>
      <c r="F641" s="0" t="n">
        <f aca="false">IF(C641&gt;1,IF(C641&lt;99,VLOOKUP(C641,'MSA-Lookup'!$H$1:$I$86,2),C641),C641)</f>
        <v>7500</v>
      </c>
      <c r="G641" s="0" t="n">
        <f aca="false">VLOOKUP(E641,'MSA-Lookup'!$AA$1:$AB$25,2)</f>
        <v>7362</v>
      </c>
      <c r="H641" s="0" t="n">
        <f aca="false">IF(C641&gt;1,IF(C641&lt;99,VLOOKUP(F641,'MSA-Lookup'!$AA$1:$AB$25,2),C641),C641)</f>
        <v>7362</v>
      </c>
    </row>
    <row r="642" customFormat="false" ht="12.75" hidden="false" customHeight="false" outlineLevel="0" collapsed="false">
      <c r="A642" s="0" t="n">
        <f aca="false">B642*1000+C642</f>
        <v>16015</v>
      </c>
      <c r="B642" s="0" t="n">
        <v>16</v>
      </c>
      <c r="C642" s="0" t="n">
        <v>15</v>
      </c>
      <c r="D642" s="0" t="n">
        <v>923</v>
      </c>
      <c r="E642" s="0" t="n">
        <f aca="false">VLOOKUP(B642,'MSA-Lookup'!$H$2:$I$86,2)</f>
        <v>8720</v>
      </c>
      <c r="F642" s="0" t="n">
        <f aca="false">IF(C642&gt;1,IF(C642&lt;99,VLOOKUP(C642,'MSA-Lookup'!$H$1:$I$86,2),C642),C642)</f>
        <v>7360</v>
      </c>
      <c r="G642" s="0" t="n">
        <f aca="false">VLOOKUP(E642,'MSA-Lookup'!$AA$1:$AB$25,2)</f>
        <v>7362</v>
      </c>
      <c r="H642" s="0" t="n">
        <f aca="false">IF(C642&gt;1,IF(C642&lt;99,VLOOKUP(F642,'MSA-Lookup'!$AA$1:$AB$25,2),C642),C642)</f>
        <v>7362</v>
      </c>
    </row>
    <row r="643" customFormat="false" ht="12.75" hidden="false" customHeight="false" outlineLevel="0" collapsed="false">
      <c r="A643" s="0" t="n">
        <f aca="false">B643*1000+C643</f>
        <v>16016</v>
      </c>
      <c r="B643" s="0" t="n">
        <v>16</v>
      </c>
      <c r="C643" s="0" t="n">
        <v>16</v>
      </c>
      <c r="D643" s="0" t="n">
        <v>64883</v>
      </c>
      <c r="E643" s="0" t="n">
        <f aca="false">VLOOKUP(B643,'MSA-Lookup'!$H$2:$I$86,2)</f>
        <v>8720</v>
      </c>
      <c r="F643" s="0" t="n">
        <f aca="false">IF(C643&gt;1,IF(C643&lt;99,VLOOKUP(C643,'MSA-Lookup'!$H$1:$I$86,2),C643),C643)</f>
        <v>8720</v>
      </c>
      <c r="G643" s="0" t="n">
        <f aca="false">VLOOKUP(E643,'MSA-Lookup'!$AA$1:$AB$25,2)</f>
        <v>7362</v>
      </c>
      <c r="H643" s="0" t="n">
        <f aca="false">IF(C643&gt;1,IF(C643&lt;99,VLOOKUP(F643,'MSA-Lookup'!$AA$1:$AB$25,2),C643),C643)</f>
        <v>7362</v>
      </c>
    </row>
    <row r="644" customFormat="false" ht="12.75" hidden="false" customHeight="false" outlineLevel="0" collapsed="false">
      <c r="A644" s="0" t="n">
        <f aca="false">B644*1000+C644</f>
        <v>16017</v>
      </c>
      <c r="B644" s="0" t="n">
        <v>16</v>
      </c>
      <c r="C644" s="0" t="n">
        <v>17</v>
      </c>
      <c r="D644" s="0" t="n">
        <v>2600</v>
      </c>
      <c r="E644" s="0" t="n">
        <f aca="false">VLOOKUP(B644,'MSA-Lookup'!$H$2:$I$86,2)</f>
        <v>8720</v>
      </c>
      <c r="F644" s="0" t="n">
        <f aca="false">IF(C644&gt;1,IF(C644&lt;99,VLOOKUP(C644,'MSA-Lookup'!$H$1:$I$86,2),C644),C644)</f>
        <v>5775</v>
      </c>
      <c r="G644" s="0" t="n">
        <f aca="false">VLOOKUP(E644,'MSA-Lookup'!$AA$1:$AB$25,2)</f>
        <v>7362</v>
      </c>
      <c r="H644" s="0" t="n">
        <f aca="false">IF(C644&gt;1,IF(C644&lt;99,VLOOKUP(F644,'MSA-Lookup'!$AA$1:$AB$25,2),C644),C644)</f>
        <v>7362</v>
      </c>
    </row>
    <row r="645" customFormat="false" ht="12.75" hidden="false" customHeight="false" outlineLevel="0" collapsed="false">
      <c r="A645" s="0" t="n">
        <f aca="false">B645*1000+C645</f>
        <v>16018</v>
      </c>
      <c r="B645" s="0" t="n">
        <v>16</v>
      </c>
      <c r="C645" s="0" t="n">
        <v>18</v>
      </c>
      <c r="D645" s="0" t="n">
        <v>12350</v>
      </c>
      <c r="E645" s="0" t="n">
        <f aca="false">VLOOKUP(B645,'MSA-Lookup'!$H$2:$I$86,2)</f>
        <v>8720</v>
      </c>
      <c r="F645" s="0" t="n">
        <f aca="false">IF(C645&gt;1,IF(C645&lt;99,VLOOKUP(C645,'MSA-Lookup'!$H$1:$I$86,2),C645),C645)</f>
        <v>5775</v>
      </c>
      <c r="G645" s="0" t="n">
        <f aca="false">VLOOKUP(E645,'MSA-Lookup'!$AA$1:$AB$25,2)</f>
        <v>7362</v>
      </c>
      <c r="H645" s="0" t="n">
        <f aca="false">IF(C645&gt;1,IF(C645&lt;99,VLOOKUP(F645,'MSA-Lookup'!$AA$1:$AB$25,2),C645),C645)</f>
        <v>7362</v>
      </c>
    </row>
    <row r="646" customFormat="false" ht="12.75" hidden="false" customHeight="false" outlineLevel="0" collapsed="false">
      <c r="A646" s="0" t="n">
        <f aca="false">B646*1000+C646</f>
        <v>16019</v>
      </c>
      <c r="B646" s="0" t="n">
        <v>16</v>
      </c>
      <c r="C646" s="0" t="n">
        <v>19</v>
      </c>
      <c r="D646" s="0" t="n">
        <v>3835</v>
      </c>
      <c r="E646" s="0" t="n">
        <f aca="false">VLOOKUP(B646,'MSA-Lookup'!$H$2:$I$86,2)</f>
        <v>8720</v>
      </c>
      <c r="F646" s="0" t="n">
        <f aca="false">IF(C646&gt;1,IF(C646&lt;99,VLOOKUP(C646,'MSA-Lookup'!$H$1:$I$86,2),C646),C646)</f>
        <v>7360</v>
      </c>
      <c r="G646" s="0" t="n">
        <f aca="false">VLOOKUP(E646,'MSA-Lookup'!$AA$1:$AB$25,2)</f>
        <v>7362</v>
      </c>
      <c r="H646" s="0" t="n">
        <f aca="false">IF(C646&gt;1,IF(C646&lt;99,VLOOKUP(F646,'MSA-Lookup'!$AA$1:$AB$25,2),C646),C646)</f>
        <v>7362</v>
      </c>
    </row>
    <row r="647" customFormat="false" ht="12.75" hidden="false" customHeight="false" outlineLevel="0" collapsed="false">
      <c r="A647" s="0" t="n">
        <f aca="false">B647*1000+C647</f>
        <v>16020</v>
      </c>
      <c r="B647" s="0" t="n">
        <v>16</v>
      </c>
      <c r="C647" s="0" t="n">
        <v>20</v>
      </c>
      <c r="D647" s="0" t="n">
        <v>1196</v>
      </c>
      <c r="E647" s="0" t="n">
        <f aca="false">VLOOKUP(B647,'MSA-Lookup'!$H$2:$I$86,2)</f>
        <v>8720</v>
      </c>
      <c r="F647" s="0" t="n">
        <f aca="false">IF(C647&gt;1,IF(C647&lt;99,VLOOKUP(C647,'MSA-Lookup'!$H$1:$I$86,2),C647),C647)</f>
        <v>5775</v>
      </c>
      <c r="G647" s="0" t="n">
        <f aca="false">VLOOKUP(E647,'MSA-Lookup'!$AA$1:$AB$25,2)</f>
        <v>7362</v>
      </c>
      <c r="H647" s="0" t="n">
        <f aca="false">IF(C647&gt;1,IF(C647&lt;99,VLOOKUP(F647,'MSA-Lookup'!$AA$1:$AB$25,2),C647),C647)</f>
        <v>7362</v>
      </c>
    </row>
    <row r="648" customFormat="false" ht="12.75" hidden="false" customHeight="false" outlineLevel="0" collapsed="false">
      <c r="A648" s="0" t="n">
        <f aca="false">B648*1000+C648</f>
        <v>16021</v>
      </c>
      <c r="B648" s="0" t="n">
        <v>16</v>
      </c>
      <c r="C648" s="0" t="n">
        <v>21</v>
      </c>
      <c r="D648" s="0" t="n">
        <v>3107</v>
      </c>
      <c r="E648" s="0" t="n">
        <f aca="false">VLOOKUP(B648,'MSA-Lookup'!$H$2:$I$86,2)</f>
        <v>8720</v>
      </c>
      <c r="F648" s="0" t="n">
        <f aca="false">IF(C648&gt;1,IF(C648&lt;99,VLOOKUP(C648,'MSA-Lookup'!$H$1:$I$86,2),C648),C648)</f>
        <v>5775</v>
      </c>
      <c r="G648" s="0" t="n">
        <f aca="false">VLOOKUP(E648,'MSA-Lookup'!$AA$1:$AB$25,2)</f>
        <v>7362</v>
      </c>
      <c r="H648" s="0" t="n">
        <f aca="false">IF(C648&gt;1,IF(C648&lt;99,VLOOKUP(F648,'MSA-Lookup'!$AA$1:$AB$25,2),C648),C648)</f>
        <v>7362</v>
      </c>
    </row>
    <row r="649" customFormat="false" ht="12.75" hidden="false" customHeight="false" outlineLevel="0" collapsed="false">
      <c r="A649" s="0" t="n">
        <f aca="false">B649*1000+C649</f>
        <v>16022</v>
      </c>
      <c r="B649" s="0" t="n">
        <v>16</v>
      </c>
      <c r="C649" s="0" t="n">
        <v>22</v>
      </c>
      <c r="D649" s="0" t="n">
        <v>1495</v>
      </c>
      <c r="E649" s="0" t="n">
        <f aca="false">VLOOKUP(B649,'MSA-Lookup'!$H$2:$I$86,2)</f>
        <v>8720</v>
      </c>
      <c r="F649" s="0" t="n">
        <f aca="false">IF(C649&gt;1,IF(C649&lt;99,VLOOKUP(C649,'MSA-Lookup'!$H$1:$I$86,2),C649),C649)</f>
        <v>7360</v>
      </c>
      <c r="G649" s="0" t="n">
        <f aca="false">VLOOKUP(E649,'MSA-Lookup'!$AA$1:$AB$25,2)</f>
        <v>7362</v>
      </c>
      <c r="H649" s="0" t="n">
        <f aca="false">IF(C649&gt;1,IF(C649&lt;99,VLOOKUP(F649,'MSA-Lookup'!$AA$1:$AB$25,2),C649),C649)</f>
        <v>7362</v>
      </c>
    </row>
    <row r="650" customFormat="false" ht="12.75" hidden="false" customHeight="false" outlineLevel="0" collapsed="false">
      <c r="A650" s="0" t="n">
        <f aca="false">B650*1000+C650</f>
        <v>16023</v>
      </c>
      <c r="B650" s="0" t="n">
        <v>16</v>
      </c>
      <c r="C650" s="0" t="n">
        <v>23</v>
      </c>
      <c r="D650" s="0" t="n">
        <v>91</v>
      </c>
      <c r="E650" s="0" t="n">
        <f aca="false">VLOOKUP(B650,'MSA-Lookup'!$H$2:$I$86,2)</f>
        <v>8720</v>
      </c>
      <c r="F650" s="0" t="n">
        <f aca="false">IF(C650&gt;1,IF(C650&lt;99,VLOOKUP(C650,'MSA-Lookup'!$H$1:$I$86,2),C650),C650)</f>
        <v>8120</v>
      </c>
      <c r="G650" s="0" t="n">
        <f aca="false">VLOOKUP(E650,'MSA-Lookup'!$AA$1:$AB$25,2)</f>
        <v>7362</v>
      </c>
      <c r="H650" s="0" t="n">
        <f aca="false">IF(C650&gt;1,IF(C650&lt;99,VLOOKUP(F650,'MSA-Lookup'!$AA$1:$AB$25,2),C650),C650)</f>
        <v>8120</v>
      </c>
    </row>
    <row r="651" customFormat="false" ht="12.75" hidden="false" customHeight="false" outlineLevel="0" collapsed="false">
      <c r="A651" s="0" t="n">
        <f aca="false">B651*1000+C651</f>
        <v>16024</v>
      </c>
      <c r="B651" s="0" t="n">
        <v>16</v>
      </c>
      <c r="C651" s="0" t="n">
        <v>24</v>
      </c>
      <c r="D651" s="0" t="n">
        <v>91</v>
      </c>
      <c r="E651" s="0" t="n">
        <f aca="false">VLOOKUP(B651,'MSA-Lookup'!$H$2:$I$86,2)</f>
        <v>8720</v>
      </c>
      <c r="F651" s="0" t="n">
        <f aca="false">IF(C651&gt;1,IF(C651&lt;99,VLOOKUP(C651,'MSA-Lookup'!$H$1:$I$86,2),C651),C651)</f>
        <v>5170</v>
      </c>
      <c r="G651" s="0" t="n">
        <f aca="false">VLOOKUP(E651,'MSA-Lookup'!$AA$1:$AB$25,2)</f>
        <v>7362</v>
      </c>
      <c r="H651" s="0" t="n">
        <f aca="false">IF(C651&gt;1,IF(C651&lt;99,VLOOKUP(F651,'MSA-Lookup'!$AA$1:$AB$25,2),C651),C651)</f>
        <v>5170</v>
      </c>
    </row>
    <row r="652" customFormat="false" ht="12.75" hidden="false" customHeight="false" outlineLevel="0" collapsed="false">
      <c r="A652" s="0" t="n">
        <f aca="false">B652*1000+C652</f>
        <v>16025</v>
      </c>
      <c r="B652" s="0" t="n">
        <v>16</v>
      </c>
      <c r="C652" s="0" t="n">
        <v>25</v>
      </c>
      <c r="D652" s="0" t="n">
        <v>0</v>
      </c>
      <c r="E652" s="0" t="n">
        <f aca="false">VLOOKUP(B652,'MSA-Lookup'!$H$2:$I$86,2)</f>
        <v>8720</v>
      </c>
      <c r="F652" s="0" t="n">
        <f aca="false">IF(C652&gt;1,IF(C652&lt;99,VLOOKUP(C652,'MSA-Lookup'!$H$1:$I$86,2),C652),C652)</f>
        <v>5170</v>
      </c>
      <c r="G652" s="0" t="n">
        <f aca="false">VLOOKUP(E652,'MSA-Lookup'!$AA$1:$AB$25,2)</f>
        <v>7362</v>
      </c>
      <c r="H652" s="0" t="n">
        <f aca="false">IF(C652&gt;1,IF(C652&lt;99,VLOOKUP(F652,'MSA-Lookup'!$AA$1:$AB$25,2),C652),C652)</f>
        <v>5170</v>
      </c>
    </row>
    <row r="653" customFormat="false" ht="12.75" hidden="false" customHeight="false" outlineLevel="0" collapsed="false">
      <c r="A653" s="0" t="n">
        <f aca="false">B653*1000+C653</f>
        <v>16026</v>
      </c>
      <c r="B653" s="0" t="n">
        <v>16</v>
      </c>
      <c r="C653" s="0" t="n">
        <v>26</v>
      </c>
      <c r="D653" s="0" t="n">
        <v>0</v>
      </c>
      <c r="E653" s="0" t="n">
        <f aca="false">VLOOKUP(B653,'MSA-Lookup'!$H$2:$I$86,2)</f>
        <v>8720</v>
      </c>
      <c r="F653" s="0" t="n">
        <f aca="false">IF(C653&gt;1,IF(C653&lt;99,VLOOKUP(C653,'MSA-Lookup'!$H$1:$I$86,2),C653),C653)</f>
        <v>9999</v>
      </c>
      <c r="G653" s="0" t="n">
        <f aca="false">VLOOKUP(E653,'MSA-Lookup'!$AA$1:$AB$25,2)</f>
        <v>7362</v>
      </c>
      <c r="H653" s="0" t="n">
        <f aca="false">IF(C653&gt;1,IF(C653&lt;99,VLOOKUP(F653,'MSA-Lookup'!$AA$1:$AB$25,2),C653),C653)</f>
        <v>9999</v>
      </c>
    </row>
    <row r="654" customFormat="false" ht="12.75" hidden="false" customHeight="false" outlineLevel="0" collapsed="false">
      <c r="A654" s="0" t="n">
        <f aca="false">B654*1000+C654</f>
        <v>16027</v>
      </c>
      <c r="B654" s="0" t="n">
        <v>16</v>
      </c>
      <c r="C654" s="0" t="n">
        <v>27</v>
      </c>
      <c r="D654" s="0" t="n">
        <v>65</v>
      </c>
      <c r="E654" s="0" t="n">
        <f aca="false">VLOOKUP(B654,'MSA-Lookup'!$H$2:$I$86,2)</f>
        <v>8720</v>
      </c>
      <c r="F654" s="0" t="n">
        <f aca="false">IF(C654&gt;1,IF(C654&lt;99,VLOOKUP(C654,'MSA-Lookup'!$H$1:$I$86,2),C654),C654)</f>
        <v>9999</v>
      </c>
      <c r="G654" s="0" t="n">
        <f aca="false">VLOOKUP(E654,'MSA-Lookup'!$AA$1:$AB$25,2)</f>
        <v>7362</v>
      </c>
      <c r="H654" s="0" t="n">
        <f aca="false">IF(C654&gt;1,IF(C654&lt;99,VLOOKUP(F654,'MSA-Lookup'!$AA$1:$AB$25,2),C654),C654)</f>
        <v>9999</v>
      </c>
    </row>
    <row r="655" customFormat="false" ht="12.75" hidden="false" customHeight="false" outlineLevel="0" collapsed="false">
      <c r="A655" s="0" t="n">
        <f aca="false">B655*1000+C655</f>
        <v>16028</v>
      </c>
      <c r="B655" s="0" t="n">
        <v>16</v>
      </c>
      <c r="C655" s="0" t="n">
        <v>28</v>
      </c>
      <c r="D655" s="0" t="n">
        <v>3081</v>
      </c>
      <c r="E655" s="0" t="n">
        <f aca="false">VLOOKUP(B655,'MSA-Lookup'!$H$2:$I$86,2)</f>
        <v>8720</v>
      </c>
      <c r="F655" s="0" t="n">
        <f aca="false">IF(C655&gt;1,IF(C655&lt;99,VLOOKUP(C655,'MSA-Lookup'!$H$1:$I$86,2),C655),C655)</f>
        <v>6920</v>
      </c>
      <c r="G655" s="0" t="n">
        <f aca="false">VLOOKUP(E655,'MSA-Lookup'!$AA$1:$AB$25,2)</f>
        <v>7362</v>
      </c>
      <c r="H655" s="0" t="n">
        <f aca="false">IF(C655&gt;1,IF(C655&lt;99,VLOOKUP(F655,'MSA-Lookup'!$AA$1:$AB$25,2),C655),C655)</f>
        <v>6920</v>
      </c>
    </row>
    <row r="656" customFormat="false" ht="12.75" hidden="false" customHeight="false" outlineLevel="0" collapsed="false">
      <c r="A656" s="0" t="n">
        <f aca="false">B656*1000+C656</f>
        <v>16029</v>
      </c>
      <c r="B656" s="0" t="n">
        <v>16</v>
      </c>
      <c r="C656" s="0" t="n">
        <v>29</v>
      </c>
      <c r="D656" s="0" t="n">
        <v>546</v>
      </c>
      <c r="E656" s="0" t="n">
        <f aca="false">VLOOKUP(B656,'MSA-Lookup'!$H$2:$I$86,2)</f>
        <v>8720</v>
      </c>
      <c r="F656" s="0" t="n">
        <f aca="false">IF(C656&gt;1,IF(C656&lt;99,VLOOKUP(C656,'MSA-Lookup'!$H$1:$I$86,2),C656),C656)</f>
        <v>6920</v>
      </c>
      <c r="G656" s="0" t="n">
        <f aca="false">VLOOKUP(E656,'MSA-Lookup'!$AA$1:$AB$25,2)</f>
        <v>7362</v>
      </c>
      <c r="H656" s="0" t="n">
        <f aca="false">IF(C656&gt;1,IF(C656&lt;99,VLOOKUP(F656,'MSA-Lookup'!$AA$1:$AB$25,2),C656),C656)</f>
        <v>6920</v>
      </c>
    </row>
    <row r="657" customFormat="false" ht="12.75" hidden="false" customHeight="false" outlineLevel="0" collapsed="false">
      <c r="A657" s="0" t="n">
        <f aca="false">B657*1000+C657</f>
        <v>16030</v>
      </c>
      <c r="B657" s="0" t="n">
        <v>16</v>
      </c>
      <c r="C657" s="0" t="n">
        <v>30</v>
      </c>
      <c r="D657" s="0" t="n">
        <v>52</v>
      </c>
      <c r="E657" s="0" t="n">
        <f aca="false">VLOOKUP(B657,'MSA-Lookup'!$H$2:$I$86,2)</f>
        <v>8720</v>
      </c>
      <c r="F657" s="0" t="n">
        <f aca="false">IF(C657&gt;1,IF(C657&lt;99,VLOOKUP(C657,'MSA-Lookup'!$H$1:$I$86,2),C657),C657)</f>
        <v>4940</v>
      </c>
      <c r="G657" s="0" t="n">
        <f aca="false">VLOOKUP(E657,'MSA-Lookup'!$AA$1:$AB$25,2)</f>
        <v>7362</v>
      </c>
      <c r="H657" s="0" t="n">
        <f aca="false">IF(C657&gt;1,IF(C657&lt;99,VLOOKUP(F657,'MSA-Lookup'!$AA$1:$AB$25,2),C657),C657)</f>
        <v>4940</v>
      </c>
    </row>
    <row r="658" customFormat="false" ht="12.75" hidden="false" customHeight="false" outlineLevel="0" collapsed="false">
      <c r="A658" s="0" t="n">
        <f aca="false">B658*1000+C658</f>
        <v>16033</v>
      </c>
      <c r="B658" s="0" t="n">
        <v>16</v>
      </c>
      <c r="C658" s="0" t="n">
        <v>33</v>
      </c>
      <c r="D658" s="0" t="n">
        <v>0</v>
      </c>
      <c r="E658" s="0" t="n">
        <f aca="false">VLOOKUP(B658,'MSA-Lookup'!$H$2:$I$86,2)</f>
        <v>8720</v>
      </c>
      <c r="F658" s="0" t="n">
        <f aca="false">IF(C658&gt;1,IF(C658&lt;99,VLOOKUP(C658,'MSA-Lookup'!$H$1:$I$86,2),C658),C658)</f>
        <v>7320</v>
      </c>
      <c r="G658" s="0" t="n">
        <f aca="false">VLOOKUP(E658,'MSA-Lookup'!$AA$1:$AB$25,2)</f>
        <v>7362</v>
      </c>
      <c r="H658" s="0" t="n">
        <f aca="false">IF(C658&gt;1,IF(C658&lt;99,VLOOKUP(F658,'MSA-Lookup'!$AA$1:$AB$25,2),C658),C658)</f>
        <v>7320</v>
      </c>
    </row>
    <row r="659" customFormat="false" ht="12.75" hidden="false" customHeight="false" outlineLevel="0" collapsed="false">
      <c r="A659" s="0" t="n">
        <f aca="false">B659*1000+C659</f>
        <v>16034</v>
      </c>
      <c r="B659" s="0" t="n">
        <v>16</v>
      </c>
      <c r="C659" s="0" t="n">
        <v>34</v>
      </c>
      <c r="D659" s="0" t="n">
        <v>0</v>
      </c>
      <c r="E659" s="0" t="n">
        <f aca="false">VLOOKUP(B659,'MSA-Lookup'!$H$2:$I$86,2)</f>
        <v>8720</v>
      </c>
      <c r="F659" s="0" t="n">
        <f aca="false">IF(C659&gt;1,IF(C659&lt;99,VLOOKUP(C659,'MSA-Lookup'!$H$1:$I$86,2),C659),C659)</f>
        <v>7320</v>
      </c>
      <c r="G659" s="0" t="n">
        <f aca="false">VLOOKUP(E659,'MSA-Lookup'!$AA$1:$AB$25,2)</f>
        <v>7362</v>
      </c>
      <c r="H659" s="0" t="n">
        <f aca="false">IF(C659&gt;1,IF(C659&lt;99,VLOOKUP(F659,'MSA-Lookup'!$AA$1:$AB$25,2),C659),C659)</f>
        <v>7320</v>
      </c>
    </row>
    <row r="660" customFormat="false" ht="12.75" hidden="false" customHeight="false" outlineLevel="0" collapsed="false">
      <c r="A660" s="0" t="n">
        <f aca="false">B660*1000+C660</f>
        <v>16035</v>
      </c>
      <c r="B660" s="0" t="n">
        <v>16</v>
      </c>
      <c r="C660" s="0" t="n">
        <v>35</v>
      </c>
      <c r="D660" s="0" t="n">
        <v>0</v>
      </c>
      <c r="E660" s="0" t="n">
        <f aca="false">VLOOKUP(B660,'MSA-Lookup'!$H$2:$I$86,2)</f>
        <v>8720</v>
      </c>
      <c r="F660" s="0" t="n">
        <f aca="false">IF(C660&gt;1,IF(C660&lt;99,VLOOKUP(C660,'MSA-Lookup'!$H$1:$I$86,2),C660),C660)</f>
        <v>7320</v>
      </c>
      <c r="G660" s="0" t="n">
        <f aca="false">VLOOKUP(E660,'MSA-Lookup'!$AA$1:$AB$25,2)</f>
        <v>7362</v>
      </c>
      <c r="H660" s="0" t="n">
        <f aca="false">IF(C660&gt;1,IF(C660&lt;99,VLOOKUP(F660,'MSA-Lookup'!$AA$1:$AB$25,2),C660),C660)</f>
        <v>7320</v>
      </c>
    </row>
    <row r="661" customFormat="false" ht="12.75" hidden="false" customHeight="false" outlineLevel="0" collapsed="false">
      <c r="A661" s="0" t="n">
        <f aca="false">B661*1000+C661</f>
        <v>16037</v>
      </c>
      <c r="B661" s="0" t="n">
        <v>16</v>
      </c>
      <c r="C661" s="0" t="n">
        <v>37</v>
      </c>
      <c r="D661" s="0" t="n">
        <v>0</v>
      </c>
      <c r="E661" s="0" t="n">
        <f aca="false">VLOOKUP(B661,'MSA-Lookup'!$H$2:$I$86,2)</f>
        <v>8720</v>
      </c>
      <c r="F661" s="0" t="n">
        <f aca="false">IF(C661&gt;1,IF(C661&lt;99,VLOOKUP(C661,'MSA-Lookup'!$H$1:$I$86,2),C661),C661)</f>
        <v>7320</v>
      </c>
      <c r="G661" s="0" t="n">
        <f aca="false">VLOOKUP(E661,'MSA-Lookup'!$AA$1:$AB$25,2)</f>
        <v>7362</v>
      </c>
      <c r="H661" s="0" t="n">
        <f aca="false">IF(C661&gt;1,IF(C661&lt;99,VLOOKUP(F661,'MSA-Lookup'!$AA$1:$AB$25,2),C661),C661)</f>
        <v>7320</v>
      </c>
    </row>
    <row r="662" customFormat="false" ht="12.75" hidden="false" customHeight="false" outlineLevel="0" collapsed="false">
      <c r="A662" s="0" t="n">
        <f aca="false">B662*1000+C662</f>
        <v>16039</v>
      </c>
      <c r="B662" s="0" t="n">
        <v>16</v>
      </c>
      <c r="C662" s="0" t="n">
        <v>39</v>
      </c>
      <c r="D662" s="0" t="n">
        <v>78</v>
      </c>
      <c r="E662" s="0" t="n">
        <f aca="false">VLOOKUP(B662,'MSA-Lookup'!$H$2:$I$86,2)</f>
        <v>8720</v>
      </c>
      <c r="F662" s="0" t="n">
        <f aca="false">IF(C662&gt;1,IF(C662&lt;99,VLOOKUP(C662,'MSA-Lookup'!$H$1:$I$86,2),C662),C662)</f>
        <v>7120</v>
      </c>
      <c r="G662" s="0" t="n">
        <f aca="false">VLOOKUP(E662,'MSA-Lookup'!$AA$1:$AB$25,2)</f>
        <v>7362</v>
      </c>
      <c r="H662" s="0" t="n">
        <f aca="false">IF(C662&gt;1,IF(C662&lt;99,VLOOKUP(F662,'MSA-Lookup'!$AA$1:$AB$25,2),C662),C662)</f>
        <v>7120</v>
      </c>
    </row>
    <row r="663" customFormat="false" ht="12.75" hidden="false" customHeight="false" outlineLevel="0" collapsed="false">
      <c r="A663" s="0" t="n">
        <f aca="false">B663*1000+C663</f>
        <v>16040</v>
      </c>
      <c r="B663" s="0" t="n">
        <v>16</v>
      </c>
      <c r="C663" s="0" t="n">
        <v>40</v>
      </c>
      <c r="D663" s="0" t="n">
        <v>0</v>
      </c>
      <c r="E663" s="0" t="n">
        <f aca="false">VLOOKUP(B663,'MSA-Lookup'!$H$2:$I$86,2)</f>
        <v>8720</v>
      </c>
      <c r="F663" s="0" t="n">
        <f aca="false">IF(C663&gt;1,IF(C663&lt;99,VLOOKUP(C663,'MSA-Lookup'!$H$1:$I$86,2),C663),C663)</f>
        <v>2840</v>
      </c>
      <c r="G663" s="0" t="n">
        <f aca="false">VLOOKUP(E663,'MSA-Lookup'!$AA$1:$AB$25,2)</f>
        <v>7362</v>
      </c>
      <c r="H663" s="0" t="n">
        <f aca="false">IF(C663&gt;1,IF(C663&lt;99,VLOOKUP(F663,'MSA-Lookup'!$AA$1:$AB$25,2),C663),C663)</f>
        <v>2840</v>
      </c>
    </row>
    <row r="664" customFormat="false" ht="12.75" hidden="false" customHeight="false" outlineLevel="0" collapsed="false">
      <c r="A664" s="0" t="n">
        <f aca="false">B664*1000+C664</f>
        <v>16041</v>
      </c>
      <c r="B664" s="0" t="n">
        <v>16</v>
      </c>
      <c r="C664" s="0" t="n">
        <v>41</v>
      </c>
      <c r="D664" s="0" t="n">
        <v>0</v>
      </c>
      <c r="E664" s="0" t="n">
        <f aca="false">VLOOKUP(B664,'MSA-Lookup'!$H$2:$I$86,2)</f>
        <v>8720</v>
      </c>
      <c r="F664" s="0" t="n">
        <f aca="false">IF(C664&gt;1,IF(C664&lt;99,VLOOKUP(C664,'MSA-Lookup'!$H$1:$I$86,2),C664),C664)</f>
        <v>2840</v>
      </c>
      <c r="G664" s="0" t="n">
        <f aca="false">VLOOKUP(E664,'MSA-Lookup'!$AA$1:$AB$25,2)</f>
        <v>7362</v>
      </c>
      <c r="H664" s="0" t="n">
        <f aca="false">IF(C664&gt;1,IF(C664&lt;99,VLOOKUP(F664,'MSA-Lookup'!$AA$1:$AB$25,2),C664),C664)</f>
        <v>2840</v>
      </c>
    </row>
    <row r="665" customFormat="false" ht="12.75" hidden="false" customHeight="false" outlineLevel="0" collapsed="false">
      <c r="A665" s="0" t="n">
        <f aca="false">B665*1000+C665</f>
        <v>16042</v>
      </c>
      <c r="B665" s="0" t="n">
        <v>16</v>
      </c>
      <c r="C665" s="0" t="n">
        <v>42</v>
      </c>
      <c r="D665" s="0" t="n">
        <v>0</v>
      </c>
      <c r="E665" s="0" t="n">
        <f aca="false">VLOOKUP(B665,'MSA-Lookup'!$H$2:$I$86,2)</f>
        <v>8720</v>
      </c>
      <c r="F665" s="0" t="n">
        <f aca="false">IF(C665&gt;1,IF(C665&lt;99,VLOOKUP(C665,'MSA-Lookup'!$H$1:$I$86,2),C665),C665)</f>
        <v>360</v>
      </c>
      <c r="G665" s="0" t="n">
        <f aca="false">VLOOKUP(E665,'MSA-Lookup'!$AA$1:$AB$25,2)</f>
        <v>7362</v>
      </c>
      <c r="H665" s="0" t="n">
        <f aca="false">IF(C665&gt;1,IF(C665&lt;99,VLOOKUP(F665,'MSA-Lookup'!$AA$1:$AB$25,2),C665),C665)</f>
        <v>4472</v>
      </c>
    </row>
    <row r="666" customFormat="false" ht="12.75" hidden="false" customHeight="false" outlineLevel="0" collapsed="false">
      <c r="A666" s="0" t="n">
        <f aca="false">B666*1000+C666</f>
        <v>16048</v>
      </c>
      <c r="B666" s="0" t="n">
        <v>16</v>
      </c>
      <c r="C666" s="0" t="n">
        <v>48</v>
      </c>
      <c r="D666" s="0" t="n">
        <v>0</v>
      </c>
      <c r="E666" s="0" t="n">
        <f aca="false">VLOOKUP(B666,'MSA-Lookup'!$H$2:$I$86,2)</f>
        <v>8720</v>
      </c>
      <c r="F666" s="0" t="n">
        <f aca="false">IF(C666&gt;1,IF(C666&lt;99,VLOOKUP(C666,'MSA-Lookup'!$H$1:$I$86,2),C666),C666)</f>
        <v>360</v>
      </c>
      <c r="G666" s="0" t="n">
        <f aca="false">VLOOKUP(E666,'MSA-Lookup'!$AA$1:$AB$25,2)</f>
        <v>7362</v>
      </c>
      <c r="H666" s="0" t="n">
        <f aca="false">IF(C666&gt;1,IF(C666&lt;99,VLOOKUP(F666,'MSA-Lookup'!$AA$1:$AB$25,2),C666),C666)</f>
        <v>4472</v>
      </c>
    </row>
    <row r="667" customFormat="false" ht="12.75" hidden="false" customHeight="false" outlineLevel="0" collapsed="false">
      <c r="A667" s="0" t="n">
        <f aca="false">B667*1000+C667</f>
        <v>16049</v>
      </c>
      <c r="B667" s="0" t="n">
        <v>16</v>
      </c>
      <c r="C667" s="0" t="n">
        <v>49</v>
      </c>
      <c r="D667" s="0" t="n">
        <v>273</v>
      </c>
      <c r="E667" s="0" t="n">
        <f aca="false">VLOOKUP(B667,'MSA-Lookup'!$H$2:$I$86,2)</f>
        <v>8720</v>
      </c>
      <c r="F667" s="0" t="n">
        <f aca="false">IF(C667&gt;1,IF(C667&lt;99,VLOOKUP(C667,'MSA-Lookup'!$H$1:$I$86,2),C667),C667)</f>
        <v>7400</v>
      </c>
      <c r="G667" s="0" t="n">
        <f aca="false">VLOOKUP(E667,'MSA-Lookup'!$AA$1:$AB$25,2)</f>
        <v>7362</v>
      </c>
      <c r="H667" s="0" t="n">
        <f aca="false">IF(C667&gt;1,IF(C667&lt;99,VLOOKUP(F667,'MSA-Lookup'!$AA$1:$AB$25,2),C667),C667)</f>
        <v>7362</v>
      </c>
    </row>
    <row r="668" customFormat="false" ht="12.75" hidden="false" customHeight="false" outlineLevel="0" collapsed="false">
      <c r="A668" s="0" t="n">
        <f aca="false">B668*1000+C668</f>
        <v>16050</v>
      </c>
      <c r="B668" s="0" t="n">
        <v>16</v>
      </c>
      <c r="C668" s="0" t="n">
        <v>50</v>
      </c>
      <c r="D668" s="0" t="n">
        <v>0</v>
      </c>
      <c r="E668" s="0" t="n">
        <f aca="false">VLOOKUP(B668,'MSA-Lookup'!$H$2:$I$86,2)</f>
        <v>8720</v>
      </c>
      <c r="F668" s="0" t="n">
        <f aca="false">IF(C668&gt;1,IF(C668&lt;99,VLOOKUP(C668,'MSA-Lookup'!$H$1:$I$86,2),C668),C668)</f>
        <v>7400</v>
      </c>
      <c r="G668" s="0" t="n">
        <f aca="false">VLOOKUP(E668,'MSA-Lookup'!$AA$1:$AB$25,2)</f>
        <v>7362</v>
      </c>
      <c r="H668" s="0" t="n">
        <f aca="false">IF(C668&gt;1,IF(C668&lt;99,VLOOKUP(F668,'MSA-Lookup'!$AA$1:$AB$25,2),C668),C668)</f>
        <v>7362</v>
      </c>
    </row>
    <row r="669" customFormat="false" ht="12.75" hidden="false" customHeight="false" outlineLevel="0" collapsed="false">
      <c r="A669" s="0" t="n">
        <f aca="false">B669*1000+C669</f>
        <v>16051</v>
      </c>
      <c r="B669" s="0" t="n">
        <v>16</v>
      </c>
      <c r="C669" s="0" t="n">
        <v>51</v>
      </c>
      <c r="D669" s="0" t="n">
        <v>169</v>
      </c>
      <c r="E669" s="0" t="n">
        <f aca="false">VLOOKUP(B669,'MSA-Lookup'!$H$2:$I$86,2)</f>
        <v>8720</v>
      </c>
      <c r="F669" s="0" t="n">
        <f aca="false">IF(C669&gt;1,IF(C669&lt;99,VLOOKUP(C669,'MSA-Lookup'!$H$1:$I$86,2),C669),C669)</f>
        <v>7400</v>
      </c>
      <c r="G669" s="0" t="n">
        <f aca="false">VLOOKUP(E669,'MSA-Lookup'!$AA$1:$AB$25,2)</f>
        <v>7362</v>
      </c>
      <c r="H669" s="0" t="n">
        <f aca="false">IF(C669&gt;1,IF(C669&lt;99,VLOOKUP(F669,'MSA-Lookup'!$AA$1:$AB$25,2),C669),C669)</f>
        <v>7362</v>
      </c>
    </row>
    <row r="670" customFormat="false" ht="12.75" hidden="false" customHeight="false" outlineLevel="0" collapsed="false">
      <c r="A670" s="0" t="n">
        <f aca="false">B670*1000+C670</f>
        <v>16052</v>
      </c>
      <c r="B670" s="0" t="n">
        <v>16</v>
      </c>
      <c r="C670" s="0" t="n">
        <v>52</v>
      </c>
      <c r="D670" s="0" t="n">
        <v>0</v>
      </c>
      <c r="E670" s="0" t="n">
        <f aca="false">VLOOKUP(B670,'MSA-Lookup'!$H$2:$I$86,2)</f>
        <v>8720</v>
      </c>
      <c r="F670" s="0" t="n">
        <f aca="false">IF(C670&gt;1,IF(C670&lt;99,VLOOKUP(C670,'MSA-Lookup'!$H$1:$I$86,2),C670),C670)</f>
        <v>4480</v>
      </c>
      <c r="G670" s="0" t="n">
        <f aca="false">VLOOKUP(E670,'MSA-Lookup'!$AA$1:$AB$25,2)</f>
        <v>7362</v>
      </c>
      <c r="H670" s="0" t="n">
        <f aca="false">IF(C670&gt;1,IF(C670&lt;99,VLOOKUP(F670,'MSA-Lookup'!$AA$1:$AB$25,2),C670),C670)</f>
        <v>4472</v>
      </c>
    </row>
    <row r="671" customFormat="false" ht="12.75" hidden="false" customHeight="false" outlineLevel="0" collapsed="false">
      <c r="A671" s="0" t="n">
        <f aca="false">B671*1000+C671</f>
        <v>16053</v>
      </c>
      <c r="B671" s="0" t="n">
        <v>16</v>
      </c>
      <c r="C671" s="0" t="n">
        <v>53</v>
      </c>
      <c r="D671" s="0" t="n">
        <v>0</v>
      </c>
      <c r="E671" s="0" t="n">
        <f aca="false">VLOOKUP(B671,'MSA-Lookup'!$H$2:$I$86,2)</f>
        <v>8720</v>
      </c>
      <c r="F671" s="0" t="n">
        <f aca="false">IF(C671&gt;1,IF(C671&lt;99,VLOOKUP(C671,'MSA-Lookup'!$H$1:$I$86,2),C671),C671)</f>
        <v>4480</v>
      </c>
      <c r="G671" s="0" t="n">
        <f aca="false">VLOOKUP(E671,'MSA-Lookup'!$AA$1:$AB$25,2)</f>
        <v>7362</v>
      </c>
      <c r="H671" s="0" t="n">
        <f aca="false">IF(C671&gt;1,IF(C671&lt;99,VLOOKUP(F671,'MSA-Lookup'!$AA$1:$AB$25,2),C671),C671)</f>
        <v>4472</v>
      </c>
    </row>
    <row r="672" customFormat="false" ht="12.75" hidden="false" customHeight="false" outlineLevel="0" collapsed="false">
      <c r="A672" s="0" t="n">
        <f aca="false">B672*1000+C672</f>
        <v>16060</v>
      </c>
      <c r="B672" s="0" t="n">
        <v>16</v>
      </c>
      <c r="C672" s="0" t="n">
        <v>60</v>
      </c>
      <c r="D672" s="0" t="n">
        <v>0</v>
      </c>
      <c r="E672" s="0" t="n">
        <f aca="false">VLOOKUP(B672,'MSA-Lookup'!$H$2:$I$86,2)</f>
        <v>8720</v>
      </c>
      <c r="F672" s="0" t="n">
        <f aca="false">IF(C672&gt;1,IF(C672&lt;99,VLOOKUP(C672,'MSA-Lookup'!$H$1:$I$86,2),C672),C672)</f>
        <v>4480</v>
      </c>
      <c r="G672" s="0" t="n">
        <f aca="false">VLOOKUP(E672,'MSA-Lookup'!$AA$1:$AB$25,2)</f>
        <v>7362</v>
      </c>
      <c r="H672" s="0" t="n">
        <f aca="false">IF(C672&gt;1,IF(C672&lt;99,VLOOKUP(F672,'MSA-Lookup'!$AA$1:$AB$25,2),C672),C672)</f>
        <v>4472</v>
      </c>
    </row>
    <row r="673" customFormat="false" ht="12.75" hidden="false" customHeight="false" outlineLevel="0" collapsed="false">
      <c r="A673" s="0" t="n">
        <f aca="false">B673*1000+C673</f>
        <v>16064</v>
      </c>
      <c r="B673" s="0" t="n">
        <v>16</v>
      </c>
      <c r="C673" s="0" t="n">
        <v>64</v>
      </c>
      <c r="D673" s="0" t="n">
        <v>0</v>
      </c>
      <c r="E673" s="0" t="n">
        <f aca="false">VLOOKUP(B673,'MSA-Lookup'!$H$2:$I$86,2)</f>
        <v>8720</v>
      </c>
      <c r="F673" s="0" t="n">
        <f aca="false">IF(C673&gt;1,IF(C673&lt;99,VLOOKUP(C673,'MSA-Lookup'!$H$1:$I$86,2),C673),C673)</f>
        <v>4480</v>
      </c>
      <c r="G673" s="0" t="n">
        <f aca="false">VLOOKUP(E673,'MSA-Lookup'!$AA$1:$AB$25,2)</f>
        <v>7362</v>
      </c>
      <c r="H673" s="0" t="n">
        <f aca="false">IF(C673&gt;1,IF(C673&lt;99,VLOOKUP(F673,'MSA-Lookup'!$AA$1:$AB$25,2),C673),C673)</f>
        <v>4472</v>
      </c>
    </row>
    <row r="674" customFormat="false" ht="12.75" hidden="false" customHeight="false" outlineLevel="0" collapsed="false">
      <c r="A674" s="0" t="n">
        <f aca="false">B674*1000+C674</f>
        <v>16065</v>
      </c>
      <c r="B674" s="0" t="n">
        <v>16</v>
      </c>
      <c r="C674" s="0" t="n">
        <v>65</v>
      </c>
      <c r="D674" s="0" t="n">
        <v>0</v>
      </c>
      <c r="E674" s="0" t="n">
        <f aca="false">VLOOKUP(B674,'MSA-Lookup'!$H$2:$I$86,2)</f>
        <v>8720</v>
      </c>
      <c r="F674" s="0" t="n">
        <f aca="false">IF(C674&gt;1,IF(C674&lt;99,VLOOKUP(C674,'MSA-Lookup'!$H$1:$I$86,2),C674),C674)</f>
        <v>4480</v>
      </c>
      <c r="G674" s="0" t="n">
        <f aca="false">VLOOKUP(E674,'MSA-Lookup'!$AA$1:$AB$25,2)</f>
        <v>7362</v>
      </c>
      <c r="H674" s="0" t="n">
        <f aca="false">IF(C674&gt;1,IF(C674&lt;99,VLOOKUP(F674,'MSA-Lookup'!$AA$1:$AB$25,2),C674),C674)</f>
        <v>4472</v>
      </c>
    </row>
    <row r="675" customFormat="false" ht="12.75" hidden="false" customHeight="false" outlineLevel="0" collapsed="false">
      <c r="A675" s="0" t="n">
        <f aca="false">B675*1000+C675</f>
        <v>16067</v>
      </c>
      <c r="B675" s="0" t="n">
        <v>16</v>
      </c>
      <c r="C675" s="0" t="n">
        <v>67</v>
      </c>
      <c r="D675" s="0" t="n">
        <v>0</v>
      </c>
      <c r="E675" s="0" t="n">
        <f aca="false">VLOOKUP(B675,'MSA-Lookup'!$H$2:$I$86,2)</f>
        <v>8720</v>
      </c>
      <c r="F675" s="0" t="n">
        <f aca="false">IF(C675&gt;1,IF(C675&lt;99,VLOOKUP(C675,'MSA-Lookup'!$H$1:$I$86,2),C675),C675)</f>
        <v>6000</v>
      </c>
      <c r="G675" s="0" t="n">
        <f aca="false">VLOOKUP(E675,'MSA-Lookup'!$AA$1:$AB$25,2)</f>
        <v>7362</v>
      </c>
      <c r="H675" s="0" t="n">
        <f aca="false">IF(C675&gt;1,IF(C675&lt;99,VLOOKUP(F675,'MSA-Lookup'!$AA$1:$AB$25,2),C675),C675)</f>
        <v>4472</v>
      </c>
    </row>
    <row r="676" customFormat="false" ht="12.75" hidden="false" customHeight="false" outlineLevel="0" collapsed="false">
      <c r="A676" s="0" t="n">
        <f aca="false">B676*1000+C676</f>
        <v>16069</v>
      </c>
      <c r="B676" s="0" t="n">
        <v>16</v>
      </c>
      <c r="C676" s="0" t="n">
        <v>69</v>
      </c>
      <c r="D676" s="0" t="n">
        <v>0</v>
      </c>
      <c r="E676" s="0" t="n">
        <f aca="false">VLOOKUP(B676,'MSA-Lookup'!$H$2:$I$86,2)</f>
        <v>8720</v>
      </c>
      <c r="F676" s="0" t="n">
        <f aca="false">IF(C676&gt;1,IF(C676&lt;99,VLOOKUP(C676,'MSA-Lookup'!$H$1:$I$86,2),C676),C676)</f>
        <v>6780</v>
      </c>
      <c r="G676" s="0" t="n">
        <f aca="false">VLOOKUP(E676,'MSA-Lookup'!$AA$1:$AB$25,2)</f>
        <v>7362</v>
      </c>
      <c r="H676" s="0" t="n">
        <f aca="false">IF(C676&gt;1,IF(C676&lt;99,VLOOKUP(F676,'MSA-Lookup'!$AA$1:$AB$25,2),C676),C676)</f>
        <v>4472</v>
      </c>
    </row>
    <row r="677" customFormat="false" ht="12.75" hidden="false" customHeight="false" outlineLevel="0" collapsed="false">
      <c r="A677" s="0" t="n">
        <f aca="false">B677*1000+C677</f>
        <v>16072</v>
      </c>
      <c r="B677" s="0" t="n">
        <v>16</v>
      </c>
      <c r="C677" s="0" t="n">
        <v>72</v>
      </c>
      <c r="D677" s="0" t="n">
        <v>0</v>
      </c>
      <c r="E677" s="0" t="n">
        <f aca="false">VLOOKUP(B677,'MSA-Lookup'!$H$2:$I$86,2)</f>
        <v>8720</v>
      </c>
      <c r="F677" s="0" t="n">
        <f aca="false">IF(C677&gt;1,IF(C677&lt;99,VLOOKUP(C677,'MSA-Lookup'!$H$1:$I$86,2),C677),C677)</f>
        <v>6780</v>
      </c>
      <c r="G677" s="0" t="n">
        <f aca="false">VLOOKUP(E677,'MSA-Lookup'!$AA$1:$AB$25,2)</f>
        <v>7362</v>
      </c>
      <c r="H677" s="0" t="n">
        <f aca="false">IF(C677&gt;1,IF(C677&lt;99,VLOOKUP(F677,'MSA-Lookup'!$AA$1:$AB$25,2),C677),C677)</f>
        <v>4472</v>
      </c>
    </row>
    <row r="678" customFormat="false" ht="12.75" hidden="false" customHeight="false" outlineLevel="0" collapsed="false">
      <c r="A678" s="0" t="n">
        <f aca="false">B678*1000+C678</f>
        <v>16073</v>
      </c>
      <c r="B678" s="0" t="n">
        <v>16</v>
      </c>
      <c r="C678" s="0" t="n">
        <v>73</v>
      </c>
      <c r="D678" s="0" t="n">
        <v>7982</v>
      </c>
      <c r="E678" s="0" t="n">
        <f aca="false">VLOOKUP(B678,'MSA-Lookup'!$H$2:$I$86,2)</f>
        <v>8720</v>
      </c>
      <c r="F678" s="0" t="n">
        <f aca="false">IF(C678&gt;1,IF(C678&lt;99,VLOOKUP(C678,'MSA-Lookup'!$H$1:$I$86,2),C678),C678)</f>
        <v>8720</v>
      </c>
      <c r="G678" s="0" t="n">
        <f aca="false">VLOOKUP(E678,'MSA-Lookup'!$AA$1:$AB$25,2)</f>
        <v>7362</v>
      </c>
      <c r="H678" s="0" t="n">
        <f aca="false">IF(C678&gt;1,IF(C678&lt;99,VLOOKUP(F678,'MSA-Lookup'!$AA$1:$AB$25,2),C678),C678)</f>
        <v>7362</v>
      </c>
    </row>
    <row r="679" customFormat="false" ht="12.75" hidden="false" customHeight="false" outlineLevel="0" collapsed="false">
      <c r="A679" s="0" t="n">
        <f aca="false">B679*1000+C679</f>
        <v>16075</v>
      </c>
      <c r="B679" s="0" t="n">
        <v>16</v>
      </c>
      <c r="C679" s="0" t="n">
        <v>75</v>
      </c>
      <c r="D679" s="0" t="n">
        <v>0</v>
      </c>
      <c r="E679" s="0" t="n">
        <f aca="false">VLOOKUP(B679,'MSA-Lookup'!$H$2:$I$86,2)</f>
        <v>8720</v>
      </c>
      <c r="F679" s="0" t="n">
        <f aca="false">IF(C679&gt;1,IF(C679&lt;99,VLOOKUP(C679,'MSA-Lookup'!$H$1:$I$86,2),C679),C679)</f>
        <v>8780</v>
      </c>
      <c r="G679" s="0" t="n">
        <f aca="false">VLOOKUP(E679,'MSA-Lookup'!$AA$1:$AB$25,2)</f>
        <v>7362</v>
      </c>
      <c r="H679" s="0" t="n">
        <f aca="false">IF(C679&gt;1,IF(C679&lt;99,VLOOKUP(F679,'MSA-Lookup'!$AA$1:$AB$25,2),C679),C679)</f>
        <v>8780</v>
      </c>
    </row>
    <row r="680" customFormat="false" ht="12.75" hidden="false" customHeight="false" outlineLevel="0" collapsed="false">
      <c r="A680" s="0" t="n">
        <f aca="false">B680*1000+C680</f>
        <v>16079</v>
      </c>
      <c r="B680" s="0" t="n">
        <v>16</v>
      </c>
      <c r="C680" s="0" t="n">
        <v>79</v>
      </c>
      <c r="D680" s="0" t="n">
        <v>0</v>
      </c>
      <c r="E680" s="0" t="n">
        <f aca="false">VLOOKUP(B680,'MSA-Lookup'!$H$2:$I$86,2)</f>
        <v>8720</v>
      </c>
      <c r="F680" s="0" t="n">
        <f aca="false">IF(C680&gt;1,IF(C680&lt;99,VLOOKUP(C680,'MSA-Lookup'!$H$1:$I$86,2),C680),C680)</f>
        <v>680</v>
      </c>
      <c r="G680" s="0" t="n">
        <f aca="false">VLOOKUP(E680,'MSA-Lookup'!$AA$1:$AB$25,2)</f>
        <v>7362</v>
      </c>
      <c r="H680" s="0" t="n">
        <f aca="false">IF(C680&gt;1,IF(C680&lt;99,VLOOKUP(F680,'MSA-Lookup'!$AA$1:$AB$25,2),C680),C680)</f>
        <v>680</v>
      </c>
    </row>
    <row r="681" customFormat="false" ht="12.75" hidden="false" customHeight="false" outlineLevel="0" collapsed="false">
      <c r="A681" s="0" t="n">
        <f aca="false">B681*1000+C681</f>
        <v>16080</v>
      </c>
      <c r="B681" s="0" t="n">
        <v>16</v>
      </c>
      <c r="C681" s="0" t="n">
        <v>80</v>
      </c>
      <c r="D681" s="0" t="n">
        <v>104</v>
      </c>
      <c r="E681" s="0" t="n">
        <f aca="false">VLOOKUP(B681,'MSA-Lookup'!$H$2:$I$86,2)</f>
        <v>8720</v>
      </c>
      <c r="F681" s="0" t="n">
        <f aca="false">IF(C681&gt;1,IF(C681&lt;99,VLOOKUP(C681,'MSA-Lookup'!$H$1:$I$86,2),C681),C681)</f>
        <v>9999</v>
      </c>
      <c r="G681" s="0" t="n">
        <f aca="false">VLOOKUP(E681,'MSA-Lookup'!$AA$1:$AB$25,2)</f>
        <v>7362</v>
      </c>
      <c r="H681" s="0" t="n">
        <f aca="false">IF(C681&gt;1,IF(C681&lt;99,VLOOKUP(F681,'MSA-Lookup'!$AA$1:$AB$25,2),C681),C681)</f>
        <v>9999</v>
      </c>
    </row>
    <row r="682" customFormat="false" ht="12.75" hidden="false" customHeight="false" outlineLevel="0" collapsed="false">
      <c r="A682" s="0" t="n">
        <f aca="false">B682*1000+C682</f>
        <v>16085</v>
      </c>
      <c r="B682" s="0" t="n">
        <v>16</v>
      </c>
      <c r="C682" s="0" t="n">
        <v>85</v>
      </c>
      <c r="D682" s="0" t="n">
        <v>65</v>
      </c>
      <c r="E682" s="0" t="n">
        <f aca="false">VLOOKUP(B682,'MSA-Lookup'!$H$2:$I$86,2)</f>
        <v>8720</v>
      </c>
      <c r="F682" s="0" t="n">
        <f aca="false">IF(C682&gt;1,IF(C682&lt;99,VLOOKUP(C682,'MSA-Lookup'!$H$1:$I$86,2),C682),C682)</f>
        <v>8120</v>
      </c>
      <c r="G682" s="0" t="n">
        <f aca="false">VLOOKUP(E682,'MSA-Lookup'!$AA$1:$AB$25,2)</f>
        <v>7362</v>
      </c>
      <c r="H682" s="0" t="n">
        <f aca="false">IF(C682&gt;1,IF(C682&lt;99,VLOOKUP(F682,'MSA-Lookup'!$AA$1:$AB$25,2),C682),C682)</f>
        <v>8120</v>
      </c>
    </row>
    <row r="683" customFormat="false" ht="12.75" hidden="false" customHeight="false" outlineLevel="0" collapsed="false">
      <c r="A683" s="0" t="n">
        <f aca="false">B683*1000+C683</f>
        <v>16999</v>
      </c>
      <c r="B683" s="0" t="n">
        <v>16</v>
      </c>
      <c r="C683" s="0" t="n">
        <v>999</v>
      </c>
      <c r="D683" s="0" t="n">
        <v>195</v>
      </c>
      <c r="E683" s="0" t="n">
        <f aca="false">VLOOKUP(B683,'MSA-Lookup'!$H$2:$I$86,2)</f>
        <v>8720</v>
      </c>
      <c r="F683" s="0" t="n">
        <f aca="false">IF(C683&gt;1,IF(C683&lt;99,VLOOKUP(C683,'MSA-Lookup'!$H$1:$I$86,2),C683),C683)</f>
        <v>999</v>
      </c>
      <c r="G683" s="0" t="n">
        <f aca="false">VLOOKUP(E683,'MSA-Lookup'!$AA$1:$AB$25,2)</f>
        <v>7362</v>
      </c>
      <c r="H683" s="0" t="n">
        <f aca="false">IF(C683&gt;1,IF(C683&lt;99,VLOOKUP(F683,'MSA-Lookup'!$AA$1:$AB$25,2),C683),C683)</f>
        <v>999</v>
      </c>
    </row>
    <row r="684" customFormat="false" ht="12.75" hidden="false" customHeight="false" outlineLevel="0" collapsed="false">
      <c r="A684" s="0" t="n">
        <f aca="false">B684*1000+C684</f>
        <v>17000</v>
      </c>
      <c r="B684" s="0" t="n">
        <v>17</v>
      </c>
      <c r="C684" s="0" t="n">
        <v>0</v>
      </c>
      <c r="D684" s="0" t="n">
        <v>61399</v>
      </c>
      <c r="E684" s="0" t="n">
        <f aca="false">VLOOKUP(B684,'MSA-Lookup'!$H$2:$I$86,2)</f>
        <v>5775</v>
      </c>
      <c r="F684" s="0" t="n">
        <f aca="false">IF(C684&gt;1,IF(C684&lt;99,VLOOKUP(C684,'MSA-Lookup'!$H$1:$I$86,2),C684),C684)</f>
        <v>0</v>
      </c>
      <c r="G684" s="0" t="n">
        <f aca="false">VLOOKUP(E684,'MSA-Lookup'!$AA$1:$AB$25,2)</f>
        <v>7362</v>
      </c>
      <c r="H684" s="0" t="n">
        <f aca="false">IF(C684&gt;1,IF(C684&lt;99,VLOOKUP(F684,'MSA-Lookup'!$AA$1:$AB$25,2),C684),C684)</f>
        <v>0</v>
      </c>
    </row>
    <row r="685" customFormat="false" ht="12.75" hidden="false" customHeight="false" outlineLevel="0" collapsed="false">
      <c r="A685" s="0" t="n">
        <f aca="false">B685*1000+C685</f>
        <v>17001</v>
      </c>
      <c r="B685" s="0" t="n">
        <v>17</v>
      </c>
      <c r="C685" s="0" t="n">
        <v>1</v>
      </c>
      <c r="D685" s="0" t="n">
        <v>0</v>
      </c>
      <c r="E685" s="0" t="n">
        <f aca="false">VLOOKUP(B685,'MSA-Lookup'!$H$2:$I$86,2)</f>
        <v>5775</v>
      </c>
      <c r="F685" s="0" t="n">
        <f aca="false">IF(C685&gt;1,IF(C685&lt;99,VLOOKUP(C685,'MSA-Lookup'!$H$1:$I$86,2),C685),C685)</f>
        <v>1</v>
      </c>
      <c r="G685" s="0" t="n">
        <f aca="false">VLOOKUP(E685,'MSA-Lookup'!$AA$1:$AB$25,2)</f>
        <v>7362</v>
      </c>
      <c r="H685" s="0" t="n">
        <f aca="false">IF(C685&gt;1,IF(C685&lt;99,VLOOKUP(F685,'MSA-Lookup'!$AA$1:$AB$25,2),C685),C685)</f>
        <v>1</v>
      </c>
    </row>
    <row r="686" customFormat="false" ht="12.75" hidden="false" customHeight="false" outlineLevel="0" collapsed="false">
      <c r="A686" s="0" t="n">
        <f aca="false">B686*1000+C686</f>
        <v>17002</v>
      </c>
      <c r="B686" s="0" t="n">
        <v>17</v>
      </c>
      <c r="C686" s="0" t="n">
        <v>2</v>
      </c>
      <c r="D686" s="0" t="n">
        <v>0</v>
      </c>
      <c r="E686" s="0" t="n">
        <f aca="false">VLOOKUP(B686,'MSA-Lookup'!$H$2:$I$86,2)</f>
        <v>5775</v>
      </c>
      <c r="F686" s="0" t="n">
        <f aca="false">IF(C686&gt;1,IF(C686&lt;99,VLOOKUP(C686,'MSA-Lookup'!$H$1:$I$86,2),C686),C686)</f>
        <v>9999</v>
      </c>
      <c r="G686" s="0" t="n">
        <f aca="false">VLOOKUP(E686,'MSA-Lookup'!$AA$1:$AB$25,2)</f>
        <v>7362</v>
      </c>
      <c r="H686" s="0" t="n">
        <f aca="false">IF(C686&gt;1,IF(C686&lt;99,VLOOKUP(F686,'MSA-Lookup'!$AA$1:$AB$25,2),C686),C686)</f>
        <v>9999</v>
      </c>
    </row>
    <row r="687" customFormat="false" ht="12.75" hidden="false" customHeight="false" outlineLevel="0" collapsed="false">
      <c r="A687" s="0" t="n">
        <f aca="false">B687*1000+C687</f>
        <v>17003</v>
      </c>
      <c r="B687" s="0" t="n">
        <v>17</v>
      </c>
      <c r="C687" s="0" t="n">
        <v>3</v>
      </c>
      <c r="D687" s="0" t="n">
        <v>0</v>
      </c>
      <c r="E687" s="0" t="n">
        <f aca="false">VLOOKUP(B687,'MSA-Lookup'!$H$2:$I$86,2)</f>
        <v>5775</v>
      </c>
      <c r="F687" s="0" t="n">
        <f aca="false">IF(C687&gt;1,IF(C687&lt;99,VLOOKUP(C687,'MSA-Lookup'!$H$1:$I$86,2),C687),C687)</f>
        <v>6690</v>
      </c>
      <c r="G687" s="0" t="n">
        <f aca="false">VLOOKUP(E687,'MSA-Lookup'!$AA$1:$AB$25,2)</f>
        <v>7362</v>
      </c>
      <c r="H687" s="0" t="n">
        <f aca="false">IF(C687&gt;1,IF(C687&lt;99,VLOOKUP(F687,'MSA-Lookup'!$AA$1:$AB$25,2),C687),C687)</f>
        <v>6690</v>
      </c>
    </row>
    <row r="688" customFormat="false" ht="12.75" hidden="false" customHeight="false" outlineLevel="0" collapsed="false">
      <c r="A688" s="0" t="n">
        <f aca="false">B688*1000+C688</f>
        <v>17004</v>
      </c>
      <c r="B688" s="0" t="n">
        <v>17</v>
      </c>
      <c r="C688" s="0" t="n">
        <v>4</v>
      </c>
      <c r="D688" s="0" t="n">
        <v>0</v>
      </c>
      <c r="E688" s="0" t="n">
        <f aca="false">VLOOKUP(B688,'MSA-Lookup'!$H$2:$I$86,2)</f>
        <v>5775</v>
      </c>
      <c r="F688" s="0" t="n">
        <f aca="false">IF(C688&gt;1,IF(C688&lt;99,VLOOKUP(C688,'MSA-Lookup'!$H$1:$I$86,2),C688),C688)</f>
        <v>9999</v>
      </c>
      <c r="G688" s="0" t="n">
        <f aca="false">VLOOKUP(E688,'MSA-Lookup'!$AA$1:$AB$25,2)</f>
        <v>7362</v>
      </c>
      <c r="H688" s="0" t="n">
        <f aca="false">IF(C688&gt;1,IF(C688&lt;99,VLOOKUP(F688,'MSA-Lookup'!$AA$1:$AB$25,2),C688),C688)</f>
        <v>9999</v>
      </c>
    </row>
    <row r="689" customFormat="false" ht="12.75" hidden="false" customHeight="false" outlineLevel="0" collapsed="false">
      <c r="A689" s="0" t="n">
        <f aca="false">B689*1000+C689</f>
        <v>17005</v>
      </c>
      <c r="B689" s="0" t="n">
        <v>17</v>
      </c>
      <c r="C689" s="0" t="n">
        <v>5</v>
      </c>
      <c r="D689" s="0" t="n">
        <v>0</v>
      </c>
      <c r="E689" s="0" t="n">
        <f aca="false">VLOOKUP(B689,'MSA-Lookup'!$H$2:$I$86,2)</f>
        <v>5775</v>
      </c>
      <c r="F689" s="0" t="n">
        <f aca="false">IF(C689&gt;1,IF(C689&lt;99,VLOOKUP(C689,'MSA-Lookup'!$H$1:$I$86,2),C689),C689)</f>
        <v>9999</v>
      </c>
      <c r="G689" s="0" t="n">
        <f aca="false">VLOOKUP(E689,'MSA-Lookup'!$AA$1:$AB$25,2)</f>
        <v>7362</v>
      </c>
      <c r="H689" s="0" t="n">
        <f aca="false">IF(C689&gt;1,IF(C689&lt;99,VLOOKUP(F689,'MSA-Lookup'!$AA$1:$AB$25,2),C689),C689)</f>
        <v>9999</v>
      </c>
    </row>
    <row r="690" customFormat="false" ht="12.75" hidden="false" customHeight="false" outlineLevel="0" collapsed="false">
      <c r="A690" s="0" t="n">
        <f aca="false">B690*1000+C690</f>
        <v>17006</v>
      </c>
      <c r="B690" s="0" t="n">
        <v>17</v>
      </c>
      <c r="C690" s="0" t="n">
        <v>6</v>
      </c>
      <c r="D690" s="0" t="n">
        <v>0</v>
      </c>
      <c r="E690" s="0" t="n">
        <f aca="false">VLOOKUP(B690,'MSA-Lookup'!$H$2:$I$86,2)</f>
        <v>5775</v>
      </c>
      <c r="F690" s="0" t="n">
        <f aca="false">IF(C690&gt;1,IF(C690&lt;99,VLOOKUP(C690,'MSA-Lookup'!$H$1:$I$86,2),C690),C690)</f>
        <v>1620</v>
      </c>
      <c r="G690" s="0" t="n">
        <f aca="false">VLOOKUP(E690,'MSA-Lookup'!$AA$1:$AB$25,2)</f>
        <v>7362</v>
      </c>
      <c r="H690" s="0" t="n">
        <f aca="false">IF(C690&gt;1,IF(C690&lt;99,VLOOKUP(F690,'MSA-Lookup'!$AA$1:$AB$25,2),C690),C690)</f>
        <v>1620</v>
      </c>
    </row>
    <row r="691" customFormat="false" ht="12.75" hidden="false" customHeight="false" outlineLevel="0" collapsed="false">
      <c r="A691" s="0" t="n">
        <f aca="false">B691*1000+C691</f>
        <v>17007</v>
      </c>
      <c r="B691" s="0" t="n">
        <v>17</v>
      </c>
      <c r="C691" s="0" t="n">
        <v>7</v>
      </c>
      <c r="D691" s="0" t="n">
        <v>0</v>
      </c>
      <c r="E691" s="0" t="n">
        <f aca="false">VLOOKUP(B691,'MSA-Lookup'!$H$2:$I$86,2)</f>
        <v>5775</v>
      </c>
      <c r="F691" s="0" t="n">
        <f aca="false">IF(C691&gt;1,IF(C691&lt;99,VLOOKUP(C691,'MSA-Lookup'!$H$1:$I$86,2),C691),C691)</f>
        <v>9999</v>
      </c>
      <c r="G691" s="0" t="n">
        <f aca="false">VLOOKUP(E691,'MSA-Lookup'!$AA$1:$AB$25,2)</f>
        <v>7362</v>
      </c>
      <c r="H691" s="0" t="n">
        <f aca="false">IF(C691&gt;1,IF(C691&lt;99,VLOOKUP(F691,'MSA-Lookup'!$AA$1:$AB$25,2),C691),C691)</f>
        <v>9999</v>
      </c>
    </row>
    <row r="692" customFormat="false" ht="12.75" hidden="false" customHeight="false" outlineLevel="0" collapsed="false">
      <c r="A692" s="0" t="n">
        <f aca="false">B692*1000+C692</f>
        <v>17008</v>
      </c>
      <c r="B692" s="0" t="n">
        <v>17</v>
      </c>
      <c r="C692" s="0" t="n">
        <v>8</v>
      </c>
      <c r="D692" s="0" t="n">
        <v>0</v>
      </c>
      <c r="E692" s="0" t="n">
        <f aca="false">VLOOKUP(B692,'MSA-Lookup'!$H$2:$I$86,2)</f>
        <v>5775</v>
      </c>
      <c r="F692" s="0" t="n">
        <f aca="false">IF(C692&gt;1,IF(C692&lt;99,VLOOKUP(C692,'MSA-Lookup'!$H$1:$I$86,2),C692),C692)</f>
        <v>9340</v>
      </c>
      <c r="G692" s="0" t="n">
        <f aca="false">VLOOKUP(E692,'MSA-Lookup'!$AA$1:$AB$25,2)</f>
        <v>7362</v>
      </c>
      <c r="H692" s="0" t="n">
        <f aca="false">IF(C692&gt;1,IF(C692&lt;99,VLOOKUP(F692,'MSA-Lookup'!$AA$1:$AB$25,2),C692),C692)</f>
        <v>9340</v>
      </c>
    </row>
    <row r="693" customFormat="false" ht="12.75" hidden="false" customHeight="false" outlineLevel="0" collapsed="false">
      <c r="A693" s="0" t="n">
        <f aca="false">B693*1000+C693</f>
        <v>17009</v>
      </c>
      <c r="B693" s="0" t="n">
        <v>17</v>
      </c>
      <c r="C693" s="0" t="n">
        <v>9</v>
      </c>
      <c r="D693" s="0" t="n">
        <v>0</v>
      </c>
      <c r="E693" s="0" t="n">
        <f aca="false">VLOOKUP(B693,'MSA-Lookup'!$H$2:$I$86,2)</f>
        <v>5775</v>
      </c>
      <c r="F693" s="0" t="n">
        <f aca="false">IF(C693&gt;1,IF(C693&lt;99,VLOOKUP(C693,'MSA-Lookup'!$H$1:$I$86,2),C693),C693)</f>
        <v>8720</v>
      </c>
      <c r="G693" s="0" t="n">
        <f aca="false">VLOOKUP(E693,'MSA-Lookup'!$AA$1:$AB$25,2)</f>
        <v>7362</v>
      </c>
      <c r="H693" s="0" t="n">
        <f aca="false">IF(C693&gt;1,IF(C693&lt;99,VLOOKUP(F693,'MSA-Lookup'!$AA$1:$AB$25,2),C693),C693)</f>
        <v>7362</v>
      </c>
    </row>
    <row r="694" customFormat="false" ht="12.75" hidden="false" customHeight="false" outlineLevel="0" collapsed="false">
      <c r="A694" s="0" t="n">
        <f aca="false">B694*1000+C694</f>
        <v>17010</v>
      </c>
      <c r="B694" s="0" t="n">
        <v>17</v>
      </c>
      <c r="C694" s="0" t="n">
        <v>10</v>
      </c>
      <c r="D694" s="0" t="n">
        <v>91</v>
      </c>
      <c r="E694" s="0" t="n">
        <f aca="false">VLOOKUP(B694,'MSA-Lookup'!$H$2:$I$86,2)</f>
        <v>5775</v>
      </c>
      <c r="F694" s="0" t="n">
        <f aca="false">IF(C694&gt;1,IF(C694&lt;99,VLOOKUP(C694,'MSA-Lookup'!$H$1:$I$86,2),C694),C694)</f>
        <v>6920</v>
      </c>
      <c r="G694" s="0" t="n">
        <f aca="false">VLOOKUP(E694,'MSA-Lookup'!$AA$1:$AB$25,2)</f>
        <v>7362</v>
      </c>
      <c r="H694" s="0" t="n">
        <f aca="false">IF(C694&gt;1,IF(C694&lt;99,VLOOKUP(F694,'MSA-Lookup'!$AA$1:$AB$25,2),C694),C694)</f>
        <v>6920</v>
      </c>
    </row>
    <row r="695" customFormat="false" ht="12.75" hidden="false" customHeight="false" outlineLevel="0" collapsed="false">
      <c r="A695" s="0" t="n">
        <f aca="false">B695*1000+C695</f>
        <v>17011</v>
      </c>
      <c r="B695" s="0" t="n">
        <v>17</v>
      </c>
      <c r="C695" s="0" t="n">
        <v>11</v>
      </c>
      <c r="D695" s="0" t="n">
        <v>0</v>
      </c>
      <c r="E695" s="0" t="n">
        <f aca="false">VLOOKUP(B695,'MSA-Lookup'!$H$2:$I$86,2)</f>
        <v>5775</v>
      </c>
      <c r="F695" s="0" t="n">
        <f aca="false">IF(C695&gt;1,IF(C695&lt;99,VLOOKUP(C695,'MSA-Lookup'!$H$1:$I$86,2),C695),C695)</f>
        <v>6920</v>
      </c>
      <c r="G695" s="0" t="n">
        <f aca="false">VLOOKUP(E695,'MSA-Lookup'!$AA$1:$AB$25,2)</f>
        <v>7362</v>
      </c>
      <c r="H695" s="0" t="n">
        <f aca="false">IF(C695&gt;1,IF(C695&lt;99,VLOOKUP(F695,'MSA-Lookup'!$AA$1:$AB$25,2),C695),C695)</f>
        <v>6920</v>
      </c>
    </row>
    <row r="696" customFormat="false" ht="12.75" hidden="false" customHeight="false" outlineLevel="0" collapsed="false">
      <c r="A696" s="0" t="n">
        <f aca="false">B696*1000+C696</f>
        <v>17012</v>
      </c>
      <c r="B696" s="0" t="n">
        <v>17</v>
      </c>
      <c r="C696" s="0" t="n">
        <v>12</v>
      </c>
      <c r="D696" s="0" t="n">
        <v>0</v>
      </c>
      <c r="E696" s="0" t="n">
        <f aca="false">VLOOKUP(B696,'MSA-Lookup'!$H$2:$I$86,2)</f>
        <v>5775</v>
      </c>
      <c r="F696" s="0" t="n">
        <f aca="false">IF(C696&gt;1,IF(C696&lt;99,VLOOKUP(C696,'MSA-Lookup'!$H$1:$I$86,2),C696),C696)</f>
        <v>6920</v>
      </c>
      <c r="G696" s="0" t="n">
        <f aca="false">VLOOKUP(E696,'MSA-Lookup'!$AA$1:$AB$25,2)</f>
        <v>7362</v>
      </c>
      <c r="H696" s="0" t="n">
        <f aca="false">IF(C696&gt;1,IF(C696&lt;99,VLOOKUP(F696,'MSA-Lookup'!$AA$1:$AB$25,2),C696),C696)</f>
        <v>6920</v>
      </c>
    </row>
    <row r="697" customFormat="false" ht="12.75" hidden="false" customHeight="false" outlineLevel="0" collapsed="false">
      <c r="A697" s="0" t="n">
        <f aca="false">B697*1000+C697</f>
        <v>17013</v>
      </c>
      <c r="B697" s="0" t="n">
        <v>17</v>
      </c>
      <c r="C697" s="0" t="n">
        <v>13</v>
      </c>
      <c r="D697" s="0" t="n">
        <v>0</v>
      </c>
      <c r="E697" s="0" t="n">
        <f aca="false">VLOOKUP(B697,'MSA-Lookup'!$H$2:$I$86,2)</f>
        <v>5775</v>
      </c>
      <c r="F697" s="0" t="n">
        <f aca="false">IF(C697&gt;1,IF(C697&lt;99,VLOOKUP(C697,'MSA-Lookup'!$H$1:$I$86,2),C697),C697)</f>
        <v>7500</v>
      </c>
      <c r="G697" s="0" t="n">
        <f aca="false">VLOOKUP(E697,'MSA-Lookup'!$AA$1:$AB$25,2)</f>
        <v>7362</v>
      </c>
      <c r="H697" s="0" t="n">
        <f aca="false">IF(C697&gt;1,IF(C697&lt;99,VLOOKUP(F697,'MSA-Lookup'!$AA$1:$AB$25,2),C697),C697)</f>
        <v>7362</v>
      </c>
    </row>
    <row r="698" customFormat="false" ht="12.75" hidden="false" customHeight="false" outlineLevel="0" collapsed="false">
      <c r="A698" s="0" t="n">
        <f aca="false">B698*1000+C698</f>
        <v>17014</v>
      </c>
      <c r="B698" s="0" t="n">
        <v>17</v>
      </c>
      <c r="C698" s="0" t="n">
        <v>14</v>
      </c>
      <c r="D698" s="0" t="n">
        <v>0</v>
      </c>
      <c r="E698" s="0" t="n">
        <f aca="false">VLOOKUP(B698,'MSA-Lookup'!$H$2:$I$86,2)</f>
        <v>5775</v>
      </c>
      <c r="F698" s="0" t="n">
        <f aca="false">IF(C698&gt;1,IF(C698&lt;99,VLOOKUP(C698,'MSA-Lookup'!$H$1:$I$86,2),C698),C698)</f>
        <v>7500</v>
      </c>
      <c r="G698" s="0" t="n">
        <f aca="false">VLOOKUP(E698,'MSA-Lookup'!$AA$1:$AB$25,2)</f>
        <v>7362</v>
      </c>
      <c r="H698" s="0" t="n">
        <f aca="false">IF(C698&gt;1,IF(C698&lt;99,VLOOKUP(F698,'MSA-Lookup'!$AA$1:$AB$25,2),C698),C698)</f>
        <v>7362</v>
      </c>
    </row>
    <row r="699" customFormat="false" ht="12.75" hidden="false" customHeight="false" outlineLevel="0" collapsed="false">
      <c r="A699" s="0" t="n">
        <f aca="false">B699*1000+C699</f>
        <v>17015</v>
      </c>
      <c r="B699" s="0" t="n">
        <v>17</v>
      </c>
      <c r="C699" s="0" t="n">
        <v>15</v>
      </c>
      <c r="D699" s="0" t="n">
        <v>1794</v>
      </c>
      <c r="E699" s="0" t="n">
        <f aca="false">VLOOKUP(B699,'MSA-Lookup'!$H$2:$I$86,2)</f>
        <v>5775</v>
      </c>
      <c r="F699" s="0" t="n">
        <f aca="false">IF(C699&gt;1,IF(C699&lt;99,VLOOKUP(C699,'MSA-Lookup'!$H$1:$I$86,2),C699),C699)</f>
        <v>7360</v>
      </c>
      <c r="G699" s="0" t="n">
        <f aca="false">VLOOKUP(E699,'MSA-Lookup'!$AA$1:$AB$25,2)</f>
        <v>7362</v>
      </c>
      <c r="H699" s="0" t="n">
        <f aca="false">IF(C699&gt;1,IF(C699&lt;99,VLOOKUP(F699,'MSA-Lookup'!$AA$1:$AB$25,2),C699),C699)</f>
        <v>7362</v>
      </c>
    </row>
    <row r="700" customFormat="false" ht="12.75" hidden="false" customHeight="false" outlineLevel="0" collapsed="false">
      <c r="A700" s="0" t="n">
        <f aca="false">B700*1000+C700</f>
        <v>17016</v>
      </c>
      <c r="B700" s="0" t="n">
        <v>17</v>
      </c>
      <c r="C700" s="0" t="n">
        <v>16</v>
      </c>
      <c r="D700" s="0" t="n">
        <v>585</v>
      </c>
      <c r="E700" s="0" t="n">
        <f aca="false">VLOOKUP(B700,'MSA-Lookup'!$H$2:$I$86,2)</f>
        <v>5775</v>
      </c>
      <c r="F700" s="0" t="n">
        <f aca="false">IF(C700&gt;1,IF(C700&lt;99,VLOOKUP(C700,'MSA-Lookup'!$H$1:$I$86,2),C700),C700)</f>
        <v>8720</v>
      </c>
      <c r="G700" s="0" t="n">
        <f aca="false">VLOOKUP(E700,'MSA-Lookup'!$AA$1:$AB$25,2)</f>
        <v>7362</v>
      </c>
      <c r="H700" s="0" t="n">
        <f aca="false">IF(C700&gt;1,IF(C700&lt;99,VLOOKUP(F700,'MSA-Lookup'!$AA$1:$AB$25,2),C700),C700)</f>
        <v>7362</v>
      </c>
    </row>
    <row r="701" customFormat="false" ht="12.75" hidden="false" customHeight="false" outlineLevel="0" collapsed="false">
      <c r="A701" s="0" t="n">
        <f aca="false">B701*1000+C701</f>
        <v>17017</v>
      </c>
      <c r="B701" s="0" t="n">
        <v>17</v>
      </c>
      <c r="C701" s="0" t="n">
        <v>17</v>
      </c>
      <c r="D701" s="0" t="n">
        <v>13533</v>
      </c>
      <c r="E701" s="0" t="n">
        <f aca="false">VLOOKUP(B701,'MSA-Lookup'!$H$2:$I$86,2)</f>
        <v>5775</v>
      </c>
      <c r="F701" s="0" t="n">
        <f aca="false">IF(C701&gt;1,IF(C701&lt;99,VLOOKUP(C701,'MSA-Lookup'!$H$1:$I$86,2),C701),C701)</f>
        <v>5775</v>
      </c>
      <c r="G701" s="0" t="n">
        <f aca="false">VLOOKUP(E701,'MSA-Lookup'!$AA$1:$AB$25,2)</f>
        <v>7362</v>
      </c>
      <c r="H701" s="0" t="n">
        <f aca="false">IF(C701&gt;1,IF(C701&lt;99,VLOOKUP(F701,'MSA-Lookup'!$AA$1:$AB$25,2),C701),C701)</f>
        <v>7362</v>
      </c>
    </row>
    <row r="702" customFormat="false" ht="12.75" hidden="false" customHeight="false" outlineLevel="0" collapsed="false">
      <c r="A702" s="0" t="n">
        <f aca="false">B702*1000+C702</f>
        <v>17018</v>
      </c>
      <c r="B702" s="0" t="n">
        <v>17</v>
      </c>
      <c r="C702" s="0" t="n">
        <v>18</v>
      </c>
      <c r="D702" s="0" t="n">
        <v>7527</v>
      </c>
      <c r="E702" s="0" t="n">
        <f aca="false">VLOOKUP(B702,'MSA-Lookup'!$H$2:$I$86,2)</f>
        <v>5775</v>
      </c>
      <c r="F702" s="0" t="n">
        <f aca="false">IF(C702&gt;1,IF(C702&lt;99,VLOOKUP(C702,'MSA-Lookup'!$H$1:$I$86,2),C702),C702)</f>
        <v>5775</v>
      </c>
      <c r="G702" s="0" t="n">
        <f aca="false">VLOOKUP(E702,'MSA-Lookup'!$AA$1:$AB$25,2)</f>
        <v>7362</v>
      </c>
      <c r="H702" s="0" t="n">
        <f aca="false">IF(C702&gt;1,IF(C702&lt;99,VLOOKUP(F702,'MSA-Lookup'!$AA$1:$AB$25,2),C702),C702)</f>
        <v>7362</v>
      </c>
    </row>
    <row r="703" customFormat="false" ht="12.75" hidden="false" customHeight="false" outlineLevel="0" collapsed="false">
      <c r="A703" s="0" t="n">
        <f aca="false">B703*1000+C703</f>
        <v>17019</v>
      </c>
      <c r="B703" s="0" t="n">
        <v>17</v>
      </c>
      <c r="C703" s="0" t="n">
        <v>19</v>
      </c>
      <c r="D703" s="0" t="n">
        <v>7852</v>
      </c>
      <c r="E703" s="0" t="n">
        <f aca="false">VLOOKUP(B703,'MSA-Lookup'!$H$2:$I$86,2)</f>
        <v>5775</v>
      </c>
      <c r="F703" s="0" t="n">
        <f aca="false">IF(C703&gt;1,IF(C703&lt;99,VLOOKUP(C703,'MSA-Lookup'!$H$1:$I$86,2),C703),C703)</f>
        <v>7360</v>
      </c>
      <c r="G703" s="0" t="n">
        <f aca="false">VLOOKUP(E703,'MSA-Lookup'!$AA$1:$AB$25,2)</f>
        <v>7362</v>
      </c>
      <c r="H703" s="0" t="n">
        <f aca="false">IF(C703&gt;1,IF(C703&lt;99,VLOOKUP(F703,'MSA-Lookup'!$AA$1:$AB$25,2),C703),C703)</f>
        <v>7362</v>
      </c>
    </row>
    <row r="704" customFormat="false" ht="12.75" hidden="false" customHeight="false" outlineLevel="0" collapsed="false">
      <c r="A704" s="0" t="n">
        <f aca="false">B704*1000+C704</f>
        <v>17020</v>
      </c>
      <c r="B704" s="0" t="n">
        <v>17</v>
      </c>
      <c r="C704" s="0" t="n">
        <v>20</v>
      </c>
      <c r="D704" s="0" t="n">
        <v>5707</v>
      </c>
      <c r="E704" s="0" t="n">
        <f aca="false">VLOOKUP(B704,'MSA-Lookup'!$H$2:$I$86,2)</f>
        <v>5775</v>
      </c>
      <c r="F704" s="0" t="n">
        <f aca="false">IF(C704&gt;1,IF(C704&lt;99,VLOOKUP(C704,'MSA-Lookup'!$H$1:$I$86,2),C704),C704)</f>
        <v>5775</v>
      </c>
      <c r="G704" s="0" t="n">
        <f aca="false">VLOOKUP(E704,'MSA-Lookup'!$AA$1:$AB$25,2)</f>
        <v>7362</v>
      </c>
      <c r="H704" s="0" t="n">
        <f aca="false">IF(C704&gt;1,IF(C704&lt;99,VLOOKUP(F704,'MSA-Lookup'!$AA$1:$AB$25,2),C704),C704)</f>
        <v>7362</v>
      </c>
    </row>
    <row r="705" customFormat="false" ht="12.75" hidden="false" customHeight="false" outlineLevel="0" collapsed="false">
      <c r="A705" s="0" t="n">
        <f aca="false">B705*1000+C705</f>
        <v>17021</v>
      </c>
      <c r="B705" s="0" t="n">
        <v>17</v>
      </c>
      <c r="C705" s="0" t="n">
        <v>21</v>
      </c>
      <c r="D705" s="0" t="n">
        <v>8619</v>
      </c>
      <c r="E705" s="0" t="n">
        <f aca="false">VLOOKUP(B705,'MSA-Lookup'!$H$2:$I$86,2)</f>
        <v>5775</v>
      </c>
      <c r="F705" s="0" t="n">
        <f aca="false">IF(C705&gt;1,IF(C705&lt;99,VLOOKUP(C705,'MSA-Lookup'!$H$1:$I$86,2),C705),C705)</f>
        <v>5775</v>
      </c>
      <c r="G705" s="0" t="n">
        <f aca="false">VLOOKUP(E705,'MSA-Lookup'!$AA$1:$AB$25,2)</f>
        <v>7362</v>
      </c>
      <c r="H705" s="0" t="n">
        <f aca="false">IF(C705&gt;1,IF(C705&lt;99,VLOOKUP(F705,'MSA-Lookup'!$AA$1:$AB$25,2),C705),C705)</f>
        <v>7362</v>
      </c>
    </row>
    <row r="706" customFormat="false" ht="12.75" hidden="false" customHeight="false" outlineLevel="0" collapsed="false">
      <c r="A706" s="0" t="n">
        <f aca="false">B706*1000+C706</f>
        <v>17022</v>
      </c>
      <c r="B706" s="0" t="n">
        <v>17</v>
      </c>
      <c r="C706" s="0" t="n">
        <v>22</v>
      </c>
      <c r="D706" s="0" t="n">
        <v>507</v>
      </c>
      <c r="E706" s="0" t="n">
        <f aca="false">VLOOKUP(B706,'MSA-Lookup'!$H$2:$I$86,2)</f>
        <v>5775</v>
      </c>
      <c r="F706" s="0" t="n">
        <f aca="false">IF(C706&gt;1,IF(C706&lt;99,VLOOKUP(C706,'MSA-Lookup'!$H$1:$I$86,2),C706),C706)</f>
        <v>7360</v>
      </c>
      <c r="G706" s="0" t="n">
        <f aca="false">VLOOKUP(E706,'MSA-Lookup'!$AA$1:$AB$25,2)</f>
        <v>7362</v>
      </c>
      <c r="H706" s="0" t="n">
        <f aca="false">IF(C706&gt;1,IF(C706&lt;99,VLOOKUP(F706,'MSA-Lookup'!$AA$1:$AB$25,2),C706),C706)</f>
        <v>7362</v>
      </c>
    </row>
    <row r="707" customFormat="false" ht="12.75" hidden="false" customHeight="false" outlineLevel="0" collapsed="false">
      <c r="A707" s="0" t="n">
        <f aca="false">B707*1000+C707</f>
        <v>17023</v>
      </c>
      <c r="B707" s="0" t="n">
        <v>17</v>
      </c>
      <c r="C707" s="0" t="n">
        <v>23</v>
      </c>
      <c r="D707" s="0" t="n">
        <v>0</v>
      </c>
      <c r="E707" s="0" t="n">
        <f aca="false">VLOOKUP(B707,'MSA-Lookup'!$H$2:$I$86,2)</f>
        <v>5775</v>
      </c>
      <c r="F707" s="0" t="n">
        <f aca="false">IF(C707&gt;1,IF(C707&lt;99,VLOOKUP(C707,'MSA-Lookup'!$H$1:$I$86,2),C707),C707)</f>
        <v>8120</v>
      </c>
      <c r="G707" s="0" t="n">
        <f aca="false">VLOOKUP(E707,'MSA-Lookup'!$AA$1:$AB$25,2)</f>
        <v>7362</v>
      </c>
      <c r="H707" s="0" t="n">
        <f aca="false">IF(C707&gt;1,IF(C707&lt;99,VLOOKUP(F707,'MSA-Lookup'!$AA$1:$AB$25,2),C707),C707)</f>
        <v>8120</v>
      </c>
    </row>
    <row r="708" customFormat="false" ht="12.75" hidden="false" customHeight="false" outlineLevel="0" collapsed="false">
      <c r="A708" s="0" t="n">
        <f aca="false">B708*1000+C708</f>
        <v>17024</v>
      </c>
      <c r="B708" s="0" t="n">
        <v>17</v>
      </c>
      <c r="C708" s="0" t="n">
        <v>24</v>
      </c>
      <c r="D708" s="0" t="n">
        <v>0</v>
      </c>
      <c r="E708" s="0" t="n">
        <f aca="false">VLOOKUP(B708,'MSA-Lookup'!$H$2:$I$86,2)</f>
        <v>5775</v>
      </c>
      <c r="F708" s="0" t="n">
        <f aca="false">IF(C708&gt;1,IF(C708&lt;99,VLOOKUP(C708,'MSA-Lookup'!$H$1:$I$86,2),C708),C708)</f>
        <v>5170</v>
      </c>
      <c r="G708" s="0" t="n">
        <f aca="false">VLOOKUP(E708,'MSA-Lookup'!$AA$1:$AB$25,2)</f>
        <v>7362</v>
      </c>
      <c r="H708" s="0" t="n">
        <f aca="false">IF(C708&gt;1,IF(C708&lt;99,VLOOKUP(F708,'MSA-Lookup'!$AA$1:$AB$25,2),C708),C708)</f>
        <v>5170</v>
      </c>
    </row>
    <row r="709" customFormat="false" ht="12.75" hidden="false" customHeight="false" outlineLevel="0" collapsed="false">
      <c r="A709" s="0" t="n">
        <f aca="false">B709*1000+C709</f>
        <v>17025</v>
      </c>
      <c r="B709" s="0" t="n">
        <v>17</v>
      </c>
      <c r="C709" s="0" t="n">
        <v>25</v>
      </c>
      <c r="D709" s="0" t="n">
        <v>0</v>
      </c>
      <c r="E709" s="0" t="n">
        <f aca="false">VLOOKUP(B709,'MSA-Lookup'!$H$2:$I$86,2)</f>
        <v>5775</v>
      </c>
      <c r="F709" s="0" t="n">
        <f aca="false">IF(C709&gt;1,IF(C709&lt;99,VLOOKUP(C709,'MSA-Lookup'!$H$1:$I$86,2),C709),C709)</f>
        <v>5170</v>
      </c>
      <c r="G709" s="0" t="n">
        <f aca="false">VLOOKUP(E709,'MSA-Lookup'!$AA$1:$AB$25,2)</f>
        <v>7362</v>
      </c>
      <c r="H709" s="0" t="n">
        <f aca="false">IF(C709&gt;1,IF(C709&lt;99,VLOOKUP(F709,'MSA-Lookup'!$AA$1:$AB$25,2),C709),C709)</f>
        <v>5170</v>
      </c>
    </row>
    <row r="710" customFormat="false" ht="12.75" hidden="false" customHeight="false" outlineLevel="0" collapsed="false">
      <c r="A710" s="0" t="n">
        <f aca="false">B710*1000+C710</f>
        <v>17026</v>
      </c>
      <c r="B710" s="0" t="n">
        <v>17</v>
      </c>
      <c r="C710" s="0" t="n">
        <v>26</v>
      </c>
      <c r="D710" s="0" t="n">
        <v>0</v>
      </c>
      <c r="E710" s="0" t="n">
        <f aca="false">VLOOKUP(B710,'MSA-Lookup'!$H$2:$I$86,2)</f>
        <v>5775</v>
      </c>
      <c r="F710" s="0" t="n">
        <f aca="false">IF(C710&gt;1,IF(C710&lt;99,VLOOKUP(C710,'MSA-Lookup'!$H$1:$I$86,2),C710),C710)</f>
        <v>9999</v>
      </c>
      <c r="G710" s="0" t="n">
        <f aca="false">VLOOKUP(E710,'MSA-Lookup'!$AA$1:$AB$25,2)</f>
        <v>7362</v>
      </c>
      <c r="H710" s="0" t="n">
        <f aca="false">IF(C710&gt;1,IF(C710&lt;99,VLOOKUP(F710,'MSA-Lookup'!$AA$1:$AB$25,2),C710),C710)</f>
        <v>9999</v>
      </c>
    </row>
    <row r="711" customFormat="false" ht="12.75" hidden="false" customHeight="false" outlineLevel="0" collapsed="false">
      <c r="A711" s="0" t="n">
        <f aca="false">B711*1000+C711</f>
        <v>17027</v>
      </c>
      <c r="B711" s="0" t="n">
        <v>17</v>
      </c>
      <c r="C711" s="0" t="n">
        <v>27</v>
      </c>
      <c r="D711" s="0" t="n">
        <v>0</v>
      </c>
      <c r="E711" s="0" t="n">
        <f aca="false">VLOOKUP(B711,'MSA-Lookup'!$H$2:$I$86,2)</f>
        <v>5775</v>
      </c>
      <c r="F711" s="0" t="n">
        <f aca="false">IF(C711&gt;1,IF(C711&lt;99,VLOOKUP(C711,'MSA-Lookup'!$H$1:$I$86,2),C711),C711)</f>
        <v>9999</v>
      </c>
      <c r="G711" s="0" t="n">
        <f aca="false">VLOOKUP(E711,'MSA-Lookup'!$AA$1:$AB$25,2)</f>
        <v>7362</v>
      </c>
      <c r="H711" s="0" t="n">
        <f aca="false">IF(C711&gt;1,IF(C711&lt;99,VLOOKUP(F711,'MSA-Lookup'!$AA$1:$AB$25,2),C711),C711)</f>
        <v>9999</v>
      </c>
    </row>
    <row r="712" customFormat="false" ht="12.75" hidden="false" customHeight="false" outlineLevel="0" collapsed="false">
      <c r="A712" s="0" t="n">
        <f aca="false">B712*1000+C712</f>
        <v>17028</v>
      </c>
      <c r="B712" s="0" t="n">
        <v>17</v>
      </c>
      <c r="C712" s="0" t="n">
        <v>28</v>
      </c>
      <c r="D712" s="0" t="n">
        <v>0</v>
      </c>
      <c r="E712" s="0" t="n">
        <f aca="false">VLOOKUP(B712,'MSA-Lookup'!$H$2:$I$86,2)</f>
        <v>5775</v>
      </c>
      <c r="F712" s="0" t="n">
        <f aca="false">IF(C712&gt;1,IF(C712&lt;99,VLOOKUP(C712,'MSA-Lookup'!$H$1:$I$86,2),C712),C712)</f>
        <v>6920</v>
      </c>
      <c r="G712" s="0" t="n">
        <f aca="false">VLOOKUP(E712,'MSA-Lookup'!$AA$1:$AB$25,2)</f>
        <v>7362</v>
      </c>
      <c r="H712" s="0" t="n">
        <f aca="false">IF(C712&gt;1,IF(C712&lt;99,VLOOKUP(F712,'MSA-Lookup'!$AA$1:$AB$25,2),C712),C712)</f>
        <v>6920</v>
      </c>
    </row>
    <row r="713" customFormat="false" ht="12.75" hidden="false" customHeight="false" outlineLevel="0" collapsed="false">
      <c r="A713" s="0" t="n">
        <f aca="false">B713*1000+C713</f>
        <v>17029</v>
      </c>
      <c r="B713" s="0" t="n">
        <v>17</v>
      </c>
      <c r="C713" s="0" t="n">
        <v>29</v>
      </c>
      <c r="D713" s="0" t="n">
        <v>0</v>
      </c>
      <c r="E713" s="0" t="n">
        <f aca="false">VLOOKUP(B713,'MSA-Lookup'!$H$2:$I$86,2)</f>
        <v>5775</v>
      </c>
      <c r="F713" s="0" t="n">
        <f aca="false">IF(C713&gt;1,IF(C713&lt;99,VLOOKUP(C713,'MSA-Lookup'!$H$1:$I$86,2),C713),C713)</f>
        <v>6920</v>
      </c>
      <c r="G713" s="0" t="n">
        <f aca="false">VLOOKUP(E713,'MSA-Lookup'!$AA$1:$AB$25,2)</f>
        <v>7362</v>
      </c>
      <c r="H713" s="0" t="n">
        <f aca="false">IF(C713&gt;1,IF(C713&lt;99,VLOOKUP(F713,'MSA-Lookup'!$AA$1:$AB$25,2),C713),C713)</f>
        <v>6920</v>
      </c>
    </row>
    <row r="714" customFormat="false" ht="12.75" hidden="false" customHeight="false" outlineLevel="0" collapsed="false">
      <c r="A714" s="0" t="n">
        <f aca="false">B714*1000+C714</f>
        <v>17030</v>
      </c>
      <c r="B714" s="0" t="n">
        <v>17</v>
      </c>
      <c r="C714" s="0" t="n">
        <v>30</v>
      </c>
      <c r="D714" s="0" t="n">
        <v>0</v>
      </c>
      <c r="E714" s="0" t="n">
        <f aca="false">VLOOKUP(B714,'MSA-Lookup'!$H$2:$I$86,2)</f>
        <v>5775</v>
      </c>
      <c r="F714" s="0" t="n">
        <f aca="false">IF(C714&gt;1,IF(C714&lt;99,VLOOKUP(C714,'MSA-Lookup'!$H$1:$I$86,2),C714),C714)</f>
        <v>4940</v>
      </c>
      <c r="G714" s="0" t="n">
        <f aca="false">VLOOKUP(E714,'MSA-Lookup'!$AA$1:$AB$25,2)</f>
        <v>7362</v>
      </c>
      <c r="H714" s="0" t="n">
        <f aca="false">IF(C714&gt;1,IF(C714&lt;99,VLOOKUP(F714,'MSA-Lookup'!$AA$1:$AB$25,2),C714),C714)</f>
        <v>4940</v>
      </c>
    </row>
    <row r="715" customFormat="false" ht="12.75" hidden="false" customHeight="false" outlineLevel="0" collapsed="false">
      <c r="A715" s="0" t="n">
        <f aca="false">B715*1000+C715</f>
        <v>17033</v>
      </c>
      <c r="B715" s="0" t="n">
        <v>17</v>
      </c>
      <c r="C715" s="0" t="n">
        <v>33</v>
      </c>
      <c r="D715" s="0" t="n">
        <v>0</v>
      </c>
      <c r="E715" s="0" t="n">
        <f aca="false">VLOOKUP(B715,'MSA-Lookup'!$H$2:$I$86,2)</f>
        <v>5775</v>
      </c>
      <c r="F715" s="0" t="n">
        <f aca="false">IF(C715&gt;1,IF(C715&lt;99,VLOOKUP(C715,'MSA-Lookup'!$H$1:$I$86,2),C715),C715)</f>
        <v>7320</v>
      </c>
      <c r="G715" s="0" t="n">
        <f aca="false">VLOOKUP(E715,'MSA-Lookup'!$AA$1:$AB$25,2)</f>
        <v>7362</v>
      </c>
      <c r="H715" s="0" t="n">
        <f aca="false">IF(C715&gt;1,IF(C715&lt;99,VLOOKUP(F715,'MSA-Lookup'!$AA$1:$AB$25,2),C715),C715)</f>
        <v>7320</v>
      </c>
    </row>
    <row r="716" customFormat="false" ht="12.75" hidden="false" customHeight="false" outlineLevel="0" collapsed="false">
      <c r="A716" s="0" t="n">
        <f aca="false">B716*1000+C716</f>
        <v>17034</v>
      </c>
      <c r="B716" s="0" t="n">
        <v>17</v>
      </c>
      <c r="C716" s="0" t="n">
        <v>34</v>
      </c>
      <c r="D716" s="0" t="n">
        <v>0</v>
      </c>
      <c r="E716" s="0" t="n">
        <f aca="false">VLOOKUP(B716,'MSA-Lookup'!$H$2:$I$86,2)</f>
        <v>5775</v>
      </c>
      <c r="F716" s="0" t="n">
        <f aca="false">IF(C716&gt;1,IF(C716&lt;99,VLOOKUP(C716,'MSA-Lookup'!$H$1:$I$86,2),C716),C716)</f>
        <v>7320</v>
      </c>
      <c r="G716" s="0" t="n">
        <f aca="false">VLOOKUP(E716,'MSA-Lookup'!$AA$1:$AB$25,2)</f>
        <v>7362</v>
      </c>
      <c r="H716" s="0" t="n">
        <f aca="false">IF(C716&gt;1,IF(C716&lt;99,VLOOKUP(F716,'MSA-Lookup'!$AA$1:$AB$25,2),C716),C716)</f>
        <v>7320</v>
      </c>
    </row>
    <row r="717" customFormat="false" ht="12.75" hidden="false" customHeight="false" outlineLevel="0" collapsed="false">
      <c r="A717" s="0" t="n">
        <f aca="false">B717*1000+C717</f>
        <v>17035</v>
      </c>
      <c r="B717" s="0" t="n">
        <v>17</v>
      </c>
      <c r="C717" s="0" t="n">
        <v>35</v>
      </c>
      <c r="D717" s="0" t="n">
        <v>0</v>
      </c>
      <c r="E717" s="0" t="n">
        <f aca="false">VLOOKUP(B717,'MSA-Lookup'!$H$2:$I$86,2)</f>
        <v>5775</v>
      </c>
      <c r="F717" s="0" t="n">
        <f aca="false">IF(C717&gt;1,IF(C717&lt;99,VLOOKUP(C717,'MSA-Lookup'!$H$1:$I$86,2),C717),C717)</f>
        <v>7320</v>
      </c>
      <c r="G717" s="0" t="n">
        <f aca="false">VLOOKUP(E717,'MSA-Lookup'!$AA$1:$AB$25,2)</f>
        <v>7362</v>
      </c>
      <c r="H717" s="0" t="n">
        <f aca="false">IF(C717&gt;1,IF(C717&lt;99,VLOOKUP(F717,'MSA-Lookup'!$AA$1:$AB$25,2),C717),C717)</f>
        <v>7320</v>
      </c>
    </row>
    <row r="718" customFormat="false" ht="12.75" hidden="false" customHeight="false" outlineLevel="0" collapsed="false">
      <c r="A718" s="0" t="n">
        <f aca="false">B718*1000+C718</f>
        <v>17037</v>
      </c>
      <c r="B718" s="0" t="n">
        <v>17</v>
      </c>
      <c r="C718" s="0" t="n">
        <v>37</v>
      </c>
      <c r="D718" s="0" t="n">
        <v>0</v>
      </c>
      <c r="E718" s="0" t="n">
        <f aca="false">VLOOKUP(B718,'MSA-Lookup'!$H$2:$I$86,2)</f>
        <v>5775</v>
      </c>
      <c r="F718" s="0" t="n">
        <f aca="false">IF(C718&gt;1,IF(C718&lt;99,VLOOKUP(C718,'MSA-Lookup'!$H$1:$I$86,2),C718),C718)</f>
        <v>7320</v>
      </c>
      <c r="G718" s="0" t="n">
        <f aca="false">VLOOKUP(E718,'MSA-Lookup'!$AA$1:$AB$25,2)</f>
        <v>7362</v>
      </c>
      <c r="H718" s="0" t="n">
        <f aca="false">IF(C718&gt;1,IF(C718&lt;99,VLOOKUP(F718,'MSA-Lookup'!$AA$1:$AB$25,2),C718),C718)</f>
        <v>7320</v>
      </c>
    </row>
    <row r="719" customFormat="false" ht="12.75" hidden="false" customHeight="false" outlineLevel="0" collapsed="false">
      <c r="A719" s="0" t="n">
        <f aca="false">B719*1000+C719</f>
        <v>17039</v>
      </c>
      <c r="B719" s="0" t="n">
        <v>17</v>
      </c>
      <c r="C719" s="0" t="n">
        <v>39</v>
      </c>
      <c r="D719" s="0" t="n">
        <v>0</v>
      </c>
      <c r="E719" s="0" t="n">
        <f aca="false">VLOOKUP(B719,'MSA-Lookup'!$H$2:$I$86,2)</f>
        <v>5775</v>
      </c>
      <c r="F719" s="0" t="n">
        <f aca="false">IF(C719&gt;1,IF(C719&lt;99,VLOOKUP(C719,'MSA-Lookup'!$H$1:$I$86,2),C719),C719)</f>
        <v>7120</v>
      </c>
      <c r="G719" s="0" t="n">
        <f aca="false">VLOOKUP(E719,'MSA-Lookup'!$AA$1:$AB$25,2)</f>
        <v>7362</v>
      </c>
      <c r="H719" s="0" t="n">
        <f aca="false">IF(C719&gt;1,IF(C719&lt;99,VLOOKUP(F719,'MSA-Lookup'!$AA$1:$AB$25,2),C719),C719)</f>
        <v>7120</v>
      </c>
    </row>
    <row r="720" customFormat="false" ht="12.75" hidden="false" customHeight="false" outlineLevel="0" collapsed="false">
      <c r="A720" s="0" t="n">
        <f aca="false">B720*1000+C720</f>
        <v>17040</v>
      </c>
      <c r="B720" s="0" t="n">
        <v>17</v>
      </c>
      <c r="C720" s="0" t="n">
        <v>40</v>
      </c>
      <c r="D720" s="0" t="n">
        <v>0</v>
      </c>
      <c r="E720" s="0" t="n">
        <f aca="false">VLOOKUP(B720,'MSA-Lookup'!$H$2:$I$86,2)</f>
        <v>5775</v>
      </c>
      <c r="F720" s="0" t="n">
        <f aca="false">IF(C720&gt;1,IF(C720&lt;99,VLOOKUP(C720,'MSA-Lookup'!$H$1:$I$86,2),C720),C720)</f>
        <v>2840</v>
      </c>
      <c r="G720" s="0" t="n">
        <f aca="false">VLOOKUP(E720,'MSA-Lookup'!$AA$1:$AB$25,2)</f>
        <v>7362</v>
      </c>
      <c r="H720" s="0" t="n">
        <f aca="false">IF(C720&gt;1,IF(C720&lt;99,VLOOKUP(F720,'MSA-Lookup'!$AA$1:$AB$25,2),C720),C720)</f>
        <v>2840</v>
      </c>
    </row>
    <row r="721" customFormat="false" ht="12.75" hidden="false" customHeight="false" outlineLevel="0" collapsed="false">
      <c r="A721" s="0" t="n">
        <f aca="false">B721*1000+C721</f>
        <v>17041</v>
      </c>
      <c r="B721" s="0" t="n">
        <v>17</v>
      </c>
      <c r="C721" s="0" t="n">
        <v>41</v>
      </c>
      <c r="D721" s="0" t="n">
        <v>0</v>
      </c>
      <c r="E721" s="0" t="n">
        <f aca="false">VLOOKUP(B721,'MSA-Lookup'!$H$2:$I$86,2)</f>
        <v>5775</v>
      </c>
      <c r="F721" s="0" t="n">
        <f aca="false">IF(C721&gt;1,IF(C721&lt;99,VLOOKUP(C721,'MSA-Lookup'!$H$1:$I$86,2),C721),C721)</f>
        <v>2840</v>
      </c>
      <c r="G721" s="0" t="n">
        <f aca="false">VLOOKUP(E721,'MSA-Lookup'!$AA$1:$AB$25,2)</f>
        <v>7362</v>
      </c>
      <c r="H721" s="0" t="n">
        <f aca="false">IF(C721&gt;1,IF(C721&lt;99,VLOOKUP(F721,'MSA-Lookup'!$AA$1:$AB$25,2),C721),C721)</f>
        <v>2840</v>
      </c>
    </row>
    <row r="722" customFormat="false" ht="12.75" hidden="false" customHeight="false" outlineLevel="0" collapsed="false">
      <c r="A722" s="0" t="n">
        <f aca="false">B722*1000+C722</f>
        <v>17042</v>
      </c>
      <c r="B722" s="0" t="n">
        <v>17</v>
      </c>
      <c r="C722" s="0" t="n">
        <v>42</v>
      </c>
      <c r="D722" s="0" t="n">
        <v>0</v>
      </c>
      <c r="E722" s="0" t="n">
        <f aca="false">VLOOKUP(B722,'MSA-Lookup'!$H$2:$I$86,2)</f>
        <v>5775</v>
      </c>
      <c r="F722" s="0" t="n">
        <f aca="false">IF(C722&gt;1,IF(C722&lt;99,VLOOKUP(C722,'MSA-Lookup'!$H$1:$I$86,2),C722),C722)</f>
        <v>360</v>
      </c>
      <c r="G722" s="0" t="n">
        <f aca="false">VLOOKUP(E722,'MSA-Lookup'!$AA$1:$AB$25,2)</f>
        <v>7362</v>
      </c>
      <c r="H722" s="0" t="n">
        <f aca="false">IF(C722&gt;1,IF(C722&lt;99,VLOOKUP(F722,'MSA-Lookup'!$AA$1:$AB$25,2),C722),C722)</f>
        <v>4472</v>
      </c>
    </row>
    <row r="723" customFormat="false" ht="12.75" hidden="false" customHeight="false" outlineLevel="0" collapsed="false">
      <c r="A723" s="0" t="n">
        <f aca="false">B723*1000+C723</f>
        <v>17048</v>
      </c>
      <c r="B723" s="0" t="n">
        <v>17</v>
      </c>
      <c r="C723" s="0" t="n">
        <v>48</v>
      </c>
      <c r="D723" s="0" t="n">
        <v>0</v>
      </c>
      <c r="E723" s="0" t="n">
        <f aca="false">VLOOKUP(B723,'MSA-Lookup'!$H$2:$I$86,2)</f>
        <v>5775</v>
      </c>
      <c r="F723" s="0" t="n">
        <f aca="false">IF(C723&gt;1,IF(C723&lt;99,VLOOKUP(C723,'MSA-Lookup'!$H$1:$I$86,2),C723),C723)</f>
        <v>360</v>
      </c>
      <c r="G723" s="0" t="n">
        <f aca="false">VLOOKUP(E723,'MSA-Lookup'!$AA$1:$AB$25,2)</f>
        <v>7362</v>
      </c>
      <c r="H723" s="0" t="n">
        <f aca="false">IF(C723&gt;1,IF(C723&lt;99,VLOOKUP(F723,'MSA-Lookup'!$AA$1:$AB$25,2),C723),C723)</f>
        <v>4472</v>
      </c>
    </row>
    <row r="724" customFormat="false" ht="12.75" hidden="false" customHeight="false" outlineLevel="0" collapsed="false">
      <c r="A724" s="0" t="n">
        <f aca="false">B724*1000+C724</f>
        <v>17049</v>
      </c>
      <c r="B724" s="0" t="n">
        <v>17</v>
      </c>
      <c r="C724" s="0" t="n">
        <v>49</v>
      </c>
      <c r="D724" s="0" t="n">
        <v>0</v>
      </c>
      <c r="E724" s="0" t="n">
        <f aca="false">VLOOKUP(B724,'MSA-Lookup'!$H$2:$I$86,2)</f>
        <v>5775</v>
      </c>
      <c r="F724" s="0" t="n">
        <f aca="false">IF(C724&gt;1,IF(C724&lt;99,VLOOKUP(C724,'MSA-Lookup'!$H$1:$I$86,2),C724),C724)</f>
        <v>7400</v>
      </c>
      <c r="G724" s="0" t="n">
        <f aca="false">VLOOKUP(E724,'MSA-Lookup'!$AA$1:$AB$25,2)</f>
        <v>7362</v>
      </c>
      <c r="H724" s="0" t="n">
        <f aca="false">IF(C724&gt;1,IF(C724&lt;99,VLOOKUP(F724,'MSA-Lookup'!$AA$1:$AB$25,2),C724),C724)</f>
        <v>7362</v>
      </c>
    </row>
    <row r="725" customFormat="false" ht="12.75" hidden="false" customHeight="false" outlineLevel="0" collapsed="false">
      <c r="A725" s="0" t="n">
        <f aca="false">B725*1000+C725</f>
        <v>17050</v>
      </c>
      <c r="B725" s="0" t="n">
        <v>17</v>
      </c>
      <c r="C725" s="0" t="n">
        <v>50</v>
      </c>
      <c r="D725" s="0" t="n">
        <v>0</v>
      </c>
      <c r="E725" s="0" t="n">
        <f aca="false">VLOOKUP(B725,'MSA-Lookup'!$H$2:$I$86,2)</f>
        <v>5775</v>
      </c>
      <c r="F725" s="0" t="n">
        <f aca="false">IF(C725&gt;1,IF(C725&lt;99,VLOOKUP(C725,'MSA-Lookup'!$H$1:$I$86,2),C725),C725)</f>
        <v>7400</v>
      </c>
      <c r="G725" s="0" t="n">
        <f aca="false">VLOOKUP(E725,'MSA-Lookup'!$AA$1:$AB$25,2)</f>
        <v>7362</v>
      </c>
      <c r="H725" s="0" t="n">
        <f aca="false">IF(C725&gt;1,IF(C725&lt;99,VLOOKUP(F725,'MSA-Lookup'!$AA$1:$AB$25,2),C725),C725)</f>
        <v>7362</v>
      </c>
    </row>
    <row r="726" customFormat="false" ht="12.75" hidden="false" customHeight="false" outlineLevel="0" collapsed="false">
      <c r="A726" s="0" t="n">
        <f aca="false">B726*1000+C726</f>
        <v>17051</v>
      </c>
      <c r="B726" s="0" t="n">
        <v>17</v>
      </c>
      <c r="C726" s="0" t="n">
        <v>51</v>
      </c>
      <c r="D726" s="0" t="n">
        <v>0</v>
      </c>
      <c r="E726" s="0" t="n">
        <f aca="false">VLOOKUP(B726,'MSA-Lookup'!$H$2:$I$86,2)</f>
        <v>5775</v>
      </c>
      <c r="F726" s="0" t="n">
        <f aca="false">IF(C726&gt;1,IF(C726&lt;99,VLOOKUP(C726,'MSA-Lookup'!$H$1:$I$86,2),C726),C726)</f>
        <v>7400</v>
      </c>
      <c r="G726" s="0" t="n">
        <f aca="false">VLOOKUP(E726,'MSA-Lookup'!$AA$1:$AB$25,2)</f>
        <v>7362</v>
      </c>
      <c r="H726" s="0" t="n">
        <f aca="false">IF(C726&gt;1,IF(C726&lt;99,VLOOKUP(F726,'MSA-Lookup'!$AA$1:$AB$25,2),C726),C726)</f>
        <v>7362</v>
      </c>
    </row>
    <row r="727" customFormat="false" ht="12.75" hidden="false" customHeight="false" outlineLevel="0" collapsed="false">
      <c r="A727" s="0" t="n">
        <f aca="false">B727*1000+C727</f>
        <v>17052</v>
      </c>
      <c r="B727" s="0" t="n">
        <v>17</v>
      </c>
      <c r="C727" s="0" t="n">
        <v>52</v>
      </c>
      <c r="D727" s="0" t="n">
        <v>0</v>
      </c>
      <c r="E727" s="0" t="n">
        <f aca="false">VLOOKUP(B727,'MSA-Lookup'!$H$2:$I$86,2)</f>
        <v>5775</v>
      </c>
      <c r="F727" s="0" t="n">
        <f aca="false">IF(C727&gt;1,IF(C727&lt;99,VLOOKUP(C727,'MSA-Lookup'!$H$1:$I$86,2),C727),C727)</f>
        <v>4480</v>
      </c>
      <c r="G727" s="0" t="n">
        <f aca="false">VLOOKUP(E727,'MSA-Lookup'!$AA$1:$AB$25,2)</f>
        <v>7362</v>
      </c>
      <c r="H727" s="0" t="n">
        <f aca="false">IF(C727&gt;1,IF(C727&lt;99,VLOOKUP(F727,'MSA-Lookup'!$AA$1:$AB$25,2),C727),C727)</f>
        <v>4472</v>
      </c>
    </row>
    <row r="728" customFormat="false" ht="12.75" hidden="false" customHeight="false" outlineLevel="0" collapsed="false">
      <c r="A728" s="0" t="n">
        <f aca="false">B728*1000+C728</f>
        <v>17053</v>
      </c>
      <c r="B728" s="0" t="n">
        <v>17</v>
      </c>
      <c r="C728" s="0" t="n">
        <v>53</v>
      </c>
      <c r="D728" s="0" t="n">
        <v>0</v>
      </c>
      <c r="E728" s="0" t="n">
        <f aca="false">VLOOKUP(B728,'MSA-Lookup'!$H$2:$I$86,2)</f>
        <v>5775</v>
      </c>
      <c r="F728" s="0" t="n">
        <f aca="false">IF(C728&gt;1,IF(C728&lt;99,VLOOKUP(C728,'MSA-Lookup'!$H$1:$I$86,2),C728),C728)</f>
        <v>4480</v>
      </c>
      <c r="G728" s="0" t="n">
        <f aca="false">VLOOKUP(E728,'MSA-Lookup'!$AA$1:$AB$25,2)</f>
        <v>7362</v>
      </c>
      <c r="H728" s="0" t="n">
        <f aca="false">IF(C728&gt;1,IF(C728&lt;99,VLOOKUP(F728,'MSA-Lookup'!$AA$1:$AB$25,2),C728),C728)</f>
        <v>4472</v>
      </c>
    </row>
    <row r="729" customFormat="false" ht="12.75" hidden="false" customHeight="false" outlineLevel="0" collapsed="false">
      <c r="A729" s="0" t="n">
        <f aca="false">B729*1000+C729</f>
        <v>17060</v>
      </c>
      <c r="B729" s="0" t="n">
        <v>17</v>
      </c>
      <c r="C729" s="0" t="n">
        <v>60</v>
      </c>
      <c r="D729" s="0" t="n">
        <v>0</v>
      </c>
      <c r="E729" s="0" t="n">
        <f aca="false">VLOOKUP(B729,'MSA-Lookup'!$H$2:$I$86,2)</f>
        <v>5775</v>
      </c>
      <c r="F729" s="0" t="n">
        <f aca="false">IF(C729&gt;1,IF(C729&lt;99,VLOOKUP(C729,'MSA-Lookup'!$H$1:$I$86,2),C729),C729)</f>
        <v>4480</v>
      </c>
      <c r="G729" s="0" t="n">
        <f aca="false">VLOOKUP(E729,'MSA-Lookup'!$AA$1:$AB$25,2)</f>
        <v>7362</v>
      </c>
      <c r="H729" s="0" t="n">
        <f aca="false">IF(C729&gt;1,IF(C729&lt;99,VLOOKUP(F729,'MSA-Lookup'!$AA$1:$AB$25,2),C729),C729)</f>
        <v>4472</v>
      </c>
    </row>
    <row r="730" customFormat="false" ht="12.75" hidden="false" customHeight="false" outlineLevel="0" collapsed="false">
      <c r="A730" s="0" t="n">
        <f aca="false">B730*1000+C730</f>
        <v>17064</v>
      </c>
      <c r="B730" s="0" t="n">
        <v>17</v>
      </c>
      <c r="C730" s="0" t="n">
        <v>64</v>
      </c>
      <c r="D730" s="0" t="n">
        <v>0</v>
      </c>
      <c r="E730" s="0" t="n">
        <f aca="false">VLOOKUP(B730,'MSA-Lookup'!$H$2:$I$86,2)</f>
        <v>5775</v>
      </c>
      <c r="F730" s="0" t="n">
        <f aca="false">IF(C730&gt;1,IF(C730&lt;99,VLOOKUP(C730,'MSA-Lookup'!$H$1:$I$86,2),C730),C730)</f>
        <v>4480</v>
      </c>
      <c r="G730" s="0" t="n">
        <f aca="false">VLOOKUP(E730,'MSA-Lookup'!$AA$1:$AB$25,2)</f>
        <v>7362</v>
      </c>
      <c r="H730" s="0" t="n">
        <f aca="false">IF(C730&gt;1,IF(C730&lt;99,VLOOKUP(F730,'MSA-Lookup'!$AA$1:$AB$25,2),C730),C730)</f>
        <v>4472</v>
      </c>
    </row>
    <row r="731" customFormat="false" ht="12.75" hidden="false" customHeight="false" outlineLevel="0" collapsed="false">
      <c r="A731" s="0" t="n">
        <f aca="false">B731*1000+C731</f>
        <v>17065</v>
      </c>
      <c r="B731" s="0" t="n">
        <v>17</v>
      </c>
      <c r="C731" s="0" t="n">
        <v>65</v>
      </c>
      <c r="D731" s="0" t="n">
        <v>0</v>
      </c>
      <c r="E731" s="0" t="n">
        <f aca="false">VLOOKUP(B731,'MSA-Lookup'!$H$2:$I$86,2)</f>
        <v>5775</v>
      </c>
      <c r="F731" s="0" t="n">
        <f aca="false">IF(C731&gt;1,IF(C731&lt;99,VLOOKUP(C731,'MSA-Lookup'!$H$1:$I$86,2),C731),C731)</f>
        <v>4480</v>
      </c>
      <c r="G731" s="0" t="n">
        <f aca="false">VLOOKUP(E731,'MSA-Lookup'!$AA$1:$AB$25,2)</f>
        <v>7362</v>
      </c>
      <c r="H731" s="0" t="n">
        <f aca="false">IF(C731&gt;1,IF(C731&lt;99,VLOOKUP(F731,'MSA-Lookup'!$AA$1:$AB$25,2),C731),C731)</f>
        <v>4472</v>
      </c>
    </row>
    <row r="732" customFormat="false" ht="12.75" hidden="false" customHeight="false" outlineLevel="0" collapsed="false">
      <c r="A732" s="0" t="n">
        <f aca="false">B732*1000+C732</f>
        <v>17067</v>
      </c>
      <c r="B732" s="0" t="n">
        <v>17</v>
      </c>
      <c r="C732" s="0" t="n">
        <v>67</v>
      </c>
      <c r="D732" s="0" t="n">
        <v>0</v>
      </c>
      <c r="E732" s="0" t="n">
        <f aca="false">VLOOKUP(B732,'MSA-Lookup'!$H$2:$I$86,2)</f>
        <v>5775</v>
      </c>
      <c r="F732" s="0" t="n">
        <f aca="false">IF(C732&gt;1,IF(C732&lt;99,VLOOKUP(C732,'MSA-Lookup'!$H$1:$I$86,2),C732),C732)</f>
        <v>6000</v>
      </c>
      <c r="G732" s="0" t="n">
        <f aca="false">VLOOKUP(E732,'MSA-Lookup'!$AA$1:$AB$25,2)</f>
        <v>7362</v>
      </c>
      <c r="H732" s="0" t="n">
        <f aca="false">IF(C732&gt;1,IF(C732&lt;99,VLOOKUP(F732,'MSA-Lookup'!$AA$1:$AB$25,2),C732),C732)</f>
        <v>4472</v>
      </c>
    </row>
    <row r="733" customFormat="false" ht="12.75" hidden="false" customHeight="false" outlineLevel="0" collapsed="false">
      <c r="A733" s="0" t="n">
        <f aca="false">B733*1000+C733</f>
        <v>17069</v>
      </c>
      <c r="B733" s="0" t="n">
        <v>17</v>
      </c>
      <c r="C733" s="0" t="n">
        <v>69</v>
      </c>
      <c r="D733" s="0" t="n">
        <v>0</v>
      </c>
      <c r="E733" s="0" t="n">
        <f aca="false">VLOOKUP(B733,'MSA-Lookup'!$H$2:$I$86,2)</f>
        <v>5775</v>
      </c>
      <c r="F733" s="0" t="n">
        <f aca="false">IF(C733&gt;1,IF(C733&lt;99,VLOOKUP(C733,'MSA-Lookup'!$H$1:$I$86,2),C733),C733)</f>
        <v>6780</v>
      </c>
      <c r="G733" s="0" t="n">
        <f aca="false">VLOOKUP(E733,'MSA-Lookup'!$AA$1:$AB$25,2)</f>
        <v>7362</v>
      </c>
      <c r="H733" s="0" t="n">
        <f aca="false">IF(C733&gt;1,IF(C733&lt;99,VLOOKUP(F733,'MSA-Lookup'!$AA$1:$AB$25,2),C733),C733)</f>
        <v>4472</v>
      </c>
    </row>
    <row r="734" customFormat="false" ht="12.75" hidden="false" customHeight="false" outlineLevel="0" collapsed="false">
      <c r="A734" s="0" t="n">
        <f aca="false">B734*1000+C734</f>
        <v>17072</v>
      </c>
      <c r="B734" s="0" t="n">
        <v>17</v>
      </c>
      <c r="C734" s="0" t="n">
        <v>72</v>
      </c>
      <c r="D734" s="0" t="n">
        <v>0</v>
      </c>
      <c r="E734" s="0" t="n">
        <f aca="false">VLOOKUP(B734,'MSA-Lookup'!$H$2:$I$86,2)</f>
        <v>5775</v>
      </c>
      <c r="F734" s="0" t="n">
        <f aca="false">IF(C734&gt;1,IF(C734&lt;99,VLOOKUP(C734,'MSA-Lookup'!$H$1:$I$86,2),C734),C734)</f>
        <v>6780</v>
      </c>
      <c r="G734" s="0" t="n">
        <f aca="false">VLOOKUP(E734,'MSA-Lookup'!$AA$1:$AB$25,2)</f>
        <v>7362</v>
      </c>
      <c r="H734" s="0" t="n">
        <f aca="false">IF(C734&gt;1,IF(C734&lt;99,VLOOKUP(F734,'MSA-Lookup'!$AA$1:$AB$25,2),C734),C734)</f>
        <v>4472</v>
      </c>
    </row>
    <row r="735" customFormat="false" ht="12.75" hidden="false" customHeight="false" outlineLevel="0" collapsed="false">
      <c r="A735" s="0" t="n">
        <f aca="false">B735*1000+C735</f>
        <v>17073</v>
      </c>
      <c r="B735" s="0" t="n">
        <v>17</v>
      </c>
      <c r="C735" s="0" t="n">
        <v>73</v>
      </c>
      <c r="D735" s="0" t="n">
        <v>481</v>
      </c>
      <c r="E735" s="0" t="n">
        <f aca="false">VLOOKUP(B735,'MSA-Lookup'!$H$2:$I$86,2)</f>
        <v>5775</v>
      </c>
      <c r="F735" s="0" t="n">
        <f aca="false">IF(C735&gt;1,IF(C735&lt;99,VLOOKUP(C735,'MSA-Lookup'!$H$1:$I$86,2),C735),C735)</f>
        <v>8720</v>
      </c>
      <c r="G735" s="0" t="n">
        <f aca="false">VLOOKUP(E735,'MSA-Lookup'!$AA$1:$AB$25,2)</f>
        <v>7362</v>
      </c>
      <c r="H735" s="0" t="n">
        <f aca="false">IF(C735&gt;1,IF(C735&lt;99,VLOOKUP(F735,'MSA-Lookup'!$AA$1:$AB$25,2),C735),C735)</f>
        <v>7362</v>
      </c>
    </row>
    <row r="736" customFormat="false" ht="12.75" hidden="false" customHeight="false" outlineLevel="0" collapsed="false">
      <c r="A736" s="0" t="n">
        <f aca="false">B736*1000+C736</f>
        <v>17075</v>
      </c>
      <c r="B736" s="0" t="n">
        <v>17</v>
      </c>
      <c r="C736" s="0" t="n">
        <v>75</v>
      </c>
      <c r="D736" s="0" t="n">
        <v>0</v>
      </c>
      <c r="E736" s="0" t="n">
        <f aca="false">VLOOKUP(B736,'MSA-Lookup'!$H$2:$I$86,2)</f>
        <v>5775</v>
      </c>
      <c r="F736" s="0" t="n">
        <f aca="false">IF(C736&gt;1,IF(C736&lt;99,VLOOKUP(C736,'MSA-Lookup'!$H$1:$I$86,2),C736),C736)</f>
        <v>8780</v>
      </c>
      <c r="G736" s="0" t="n">
        <f aca="false">VLOOKUP(E736,'MSA-Lookup'!$AA$1:$AB$25,2)</f>
        <v>7362</v>
      </c>
      <c r="H736" s="0" t="n">
        <f aca="false">IF(C736&gt;1,IF(C736&lt;99,VLOOKUP(F736,'MSA-Lookup'!$AA$1:$AB$25,2),C736),C736)</f>
        <v>8780</v>
      </c>
    </row>
    <row r="737" customFormat="false" ht="12.75" hidden="false" customHeight="false" outlineLevel="0" collapsed="false">
      <c r="A737" s="0" t="n">
        <f aca="false">B737*1000+C737</f>
        <v>17079</v>
      </c>
      <c r="B737" s="0" t="n">
        <v>17</v>
      </c>
      <c r="C737" s="0" t="n">
        <v>79</v>
      </c>
      <c r="D737" s="0" t="n">
        <v>0</v>
      </c>
      <c r="E737" s="0" t="n">
        <f aca="false">VLOOKUP(B737,'MSA-Lookup'!$H$2:$I$86,2)</f>
        <v>5775</v>
      </c>
      <c r="F737" s="0" t="n">
        <f aca="false">IF(C737&gt;1,IF(C737&lt;99,VLOOKUP(C737,'MSA-Lookup'!$H$1:$I$86,2),C737),C737)</f>
        <v>680</v>
      </c>
      <c r="G737" s="0" t="n">
        <f aca="false">VLOOKUP(E737,'MSA-Lookup'!$AA$1:$AB$25,2)</f>
        <v>7362</v>
      </c>
      <c r="H737" s="0" t="n">
        <f aca="false">IF(C737&gt;1,IF(C737&lt;99,VLOOKUP(F737,'MSA-Lookup'!$AA$1:$AB$25,2),C737),C737)</f>
        <v>680</v>
      </c>
    </row>
    <row r="738" customFormat="false" ht="12.75" hidden="false" customHeight="false" outlineLevel="0" collapsed="false">
      <c r="A738" s="0" t="n">
        <f aca="false">B738*1000+C738</f>
        <v>17080</v>
      </c>
      <c r="B738" s="0" t="n">
        <v>17</v>
      </c>
      <c r="C738" s="0" t="n">
        <v>80</v>
      </c>
      <c r="D738" s="0" t="n">
        <v>0</v>
      </c>
      <c r="E738" s="0" t="n">
        <f aca="false">VLOOKUP(B738,'MSA-Lookup'!$H$2:$I$86,2)</f>
        <v>5775</v>
      </c>
      <c r="F738" s="0" t="n">
        <f aca="false">IF(C738&gt;1,IF(C738&lt;99,VLOOKUP(C738,'MSA-Lookup'!$H$1:$I$86,2),C738),C738)</f>
        <v>9999</v>
      </c>
      <c r="G738" s="0" t="n">
        <f aca="false">VLOOKUP(E738,'MSA-Lookup'!$AA$1:$AB$25,2)</f>
        <v>7362</v>
      </c>
      <c r="H738" s="0" t="n">
        <f aca="false">IF(C738&gt;1,IF(C738&lt;99,VLOOKUP(F738,'MSA-Lookup'!$AA$1:$AB$25,2),C738),C738)</f>
        <v>9999</v>
      </c>
    </row>
    <row r="739" customFormat="false" ht="12.75" hidden="false" customHeight="false" outlineLevel="0" collapsed="false">
      <c r="A739" s="0" t="n">
        <f aca="false">B739*1000+C739</f>
        <v>17085</v>
      </c>
      <c r="B739" s="0" t="n">
        <v>17</v>
      </c>
      <c r="C739" s="0" t="n">
        <v>85</v>
      </c>
      <c r="D739" s="0" t="n">
        <v>0</v>
      </c>
      <c r="E739" s="0" t="n">
        <f aca="false">VLOOKUP(B739,'MSA-Lookup'!$H$2:$I$86,2)</f>
        <v>5775</v>
      </c>
      <c r="F739" s="0" t="n">
        <f aca="false">IF(C739&gt;1,IF(C739&lt;99,VLOOKUP(C739,'MSA-Lookup'!$H$1:$I$86,2),C739),C739)</f>
        <v>8120</v>
      </c>
      <c r="G739" s="0" t="n">
        <f aca="false">VLOOKUP(E739,'MSA-Lookup'!$AA$1:$AB$25,2)</f>
        <v>7362</v>
      </c>
      <c r="H739" s="0" t="n">
        <f aca="false">IF(C739&gt;1,IF(C739&lt;99,VLOOKUP(F739,'MSA-Lookup'!$AA$1:$AB$25,2),C739),C739)</f>
        <v>8120</v>
      </c>
    </row>
    <row r="740" customFormat="false" ht="12.75" hidden="false" customHeight="false" outlineLevel="0" collapsed="false">
      <c r="A740" s="0" t="n">
        <f aca="false">B740*1000+C740</f>
        <v>17999</v>
      </c>
      <c r="B740" s="0" t="n">
        <v>17</v>
      </c>
      <c r="C740" s="0" t="n">
        <v>999</v>
      </c>
      <c r="D740" s="0" t="n">
        <v>0</v>
      </c>
      <c r="E740" s="0" t="n">
        <f aca="false">VLOOKUP(B740,'MSA-Lookup'!$H$2:$I$86,2)</f>
        <v>5775</v>
      </c>
      <c r="F740" s="0" t="n">
        <f aca="false">IF(C740&gt;1,IF(C740&lt;99,VLOOKUP(C740,'MSA-Lookup'!$H$1:$I$86,2),C740),C740)</f>
        <v>999</v>
      </c>
      <c r="G740" s="0" t="n">
        <f aca="false">VLOOKUP(E740,'MSA-Lookup'!$AA$1:$AB$25,2)</f>
        <v>7362</v>
      </c>
      <c r="H740" s="0" t="n">
        <f aca="false">IF(C740&gt;1,IF(C740&lt;99,VLOOKUP(F740,'MSA-Lookup'!$AA$1:$AB$25,2),C740),C740)</f>
        <v>999</v>
      </c>
    </row>
    <row r="741" customFormat="false" ht="12.75" hidden="false" customHeight="false" outlineLevel="0" collapsed="false">
      <c r="A741" s="0" t="n">
        <f aca="false">B741*1000+C741</f>
        <v>18000</v>
      </c>
      <c r="B741" s="0" t="n">
        <v>18</v>
      </c>
      <c r="C741" s="0" t="n">
        <v>0</v>
      </c>
      <c r="D741" s="0" t="n">
        <v>340483</v>
      </c>
      <c r="E741" s="0" t="n">
        <f aca="false">VLOOKUP(B741,'MSA-Lookup'!$H$2:$I$86,2)</f>
        <v>5775</v>
      </c>
      <c r="F741" s="0" t="n">
        <f aca="false">IF(C741&gt;1,IF(C741&lt;99,VLOOKUP(C741,'MSA-Lookup'!$H$1:$I$86,2),C741),C741)</f>
        <v>0</v>
      </c>
      <c r="G741" s="0" t="n">
        <f aca="false">VLOOKUP(E741,'MSA-Lookup'!$AA$1:$AB$25,2)</f>
        <v>7362</v>
      </c>
      <c r="H741" s="0" t="n">
        <f aca="false">IF(C741&gt;1,IF(C741&lt;99,VLOOKUP(F741,'MSA-Lookup'!$AA$1:$AB$25,2),C741),C741)</f>
        <v>0</v>
      </c>
    </row>
    <row r="742" customFormat="false" ht="12.75" hidden="false" customHeight="false" outlineLevel="0" collapsed="false">
      <c r="A742" s="0" t="n">
        <f aca="false">B742*1000+C742</f>
        <v>18001</v>
      </c>
      <c r="B742" s="0" t="n">
        <v>18</v>
      </c>
      <c r="C742" s="0" t="n">
        <v>1</v>
      </c>
      <c r="D742" s="0" t="n">
        <v>273</v>
      </c>
      <c r="E742" s="0" t="n">
        <f aca="false">VLOOKUP(B742,'MSA-Lookup'!$H$2:$I$86,2)</f>
        <v>5775</v>
      </c>
      <c r="F742" s="0" t="n">
        <f aca="false">IF(C742&gt;1,IF(C742&lt;99,VLOOKUP(C742,'MSA-Lookup'!$H$1:$I$86,2),C742),C742)</f>
        <v>1</v>
      </c>
      <c r="G742" s="0" t="n">
        <f aca="false">VLOOKUP(E742,'MSA-Lookup'!$AA$1:$AB$25,2)</f>
        <v>7362</v>
      </c>
      <c r="H742" s="0" t="n">
        <f aca="false">IF(C742&gt;1,IF(C742&lt;99,VLOOKUP(F742,'MSA-Lookup'!$AA$1:$AB$25,2),C742),C742)</f>
        <v>1</v>
      </c>
    </row>
    <row r="743" customFormat="false" ht="12.75" hidden="false" customHeight="false" outlineLevel="0" collapsed="false">
      <c r="A743" s="0" t="n">
        <f aca="false">B743*1000+C743</f>
        <v>18002</v>
      </c>
      <c r="B743" s="0" t="n">
        <v>18</v>
      </c>
      <c r="C743" s="0" t="n">
        <v>2</v>
      </c>
      <c r="D743" s="0" t="n">
        <v>117</v>
      </c>
      <c r="E743" s="0" t="n">
        <f aca="false">VLOOKUP(B743,'MSA-Lookup'!$H$2:$I$86,2)</f>
        <v>5775</v>
      </c>
      <c r="F743" s="0" t="n">
        <f aca="false">IF(C743&gt;1,IF(C743&lt;99,VLOOKUP(C743,'MSA-Lookup'!$H$1:$I$86,2),C743),C743)</f>
        <v>9999</v>
      </c>
      <c r="G743" s="0" t="n">
        <f aca="false">VLOOKUP(E743,'MSA-Lookup'!$AA$1:$AB$25,2)</f>
        <v>7362</v>
      </c>
      <c r="H743" s="0" t="n">
        <f aca="false">IF(C743&gt;1,IF(C743&lt;99,VLOOKUP(F743,'MSA-Lookup'!$AA$1:$AB$25,2),C743),C743)</f>
        <v>9999</v>
      </c>
    </row>
    <row r="744" customFormat="false" ht="12.75" hidden="false" customHeight="false" outlineLevel="0" collapsed="false">
      <c r="A744" s="0" t="n">
        <f aca="false">B744*1000+C744</f>
        <v>18003</v>
      </c>
      <c r="B744" s="0" t="n">
        <v>18</v>
      </c>
      <c r="C744" s="0" t="n">
        <v>3</v>
      </c>
      <c r="D744" s="0" t="n">
        <v>0</v>
      </c>
      <c r="E744" s="0" t="n">
        <f aca="false">VLOOKUP(B744,'MSA-Lookup'!$H$2:$I$86,2)</f>
        <v>5775</v>
      </c>
      <c r="F744" s="0" t="n">
        <f aca="false">IF(C744&gt;1,IF(C744&lt;99,VLOOKUP(C744,'MSA-Lookup'!$H$1:$I$86,2),C744),C744)</f>
        <v>6690</v>
      </c>
      <c r="G744" s="0" t="n">
        <f aca="false">VLOOKUP(E744,'MSA-Lookup'!$AA$1:$AB$25,2)</f>
        <v>7362</v>
      </c>
      <c r="H744" s="0" t="n">
        <f aca="false">IF(C744&gt;1,IF(C744&lt;99,VLOOKUP(F744,'MSA-Lookup'!$AA$1:$AB$25,2),C744),C744)</f>
        <v>6690</v>
      </c>
    </row>
    <row r="745" customFormat="false" ht="12.75" hidden="false" customHeight="false" outlineLevel="0" collapsed="false">
      <c r="A745" s="0" t="n">
        <f aca="false">B745*1000+C745</f>
        <v>18004</v>
      </c>
      <c r="B745" s="0" t="n">
        <v>18</v>
      </c>
      <c r="C745" s="0" t="n">
        <v>4</v>
      </c>
      <c r="D745" s="0" t="n">
        <v>182</v>
      </c>
      <c r="E745" s="0" t="n">
        <f aca="false">VLOOKUP(B745,'MSA-Lookup'!$H$2:$I$86,2)</f>
        <v>5775</v>
      </c>
      <c r="F745" s="0" t="n">
        <f aca="false">IF(C745&gt;1,IF(C745&lt;99,VLOOKUP(C745,'MSA-Lookup'!$H$1:$I$86,2),C745),C745)</f>
        <v>9999</v>
      </c>
      <c r="G745" s="0" t="n">
        <f aca="false">VLOOKUP(E745,'MSA-Lookup'!$AA$1:$AB$25,2)</f>
        <v>7362</v>
      </c>
      <c r="H745" s="0" t="n">
        <f aca="false">IF(C745&gt;1,IF(C745&lt;99,VLOOKUP(F745,'MSA-Lookup'!$AA$1:$AB$25,2),C745),C745)</f>
        <v>9999</v>
      </c>
    </row>
    <row r="746" customFormat="false" ht="12.75" hidden="false" customHeight="false" outlineLevel="0" collapsed="false">
      <c r="A746" s="0" t="n">
        <f aca="false">B746*1000+C746</f>
        <v>18005</v>
      </c>
      <c r="B746" s="0" t="n">
        <v>18</v>
      </c>
      <c r="C746" s="0" t="n">
        <v>5</v>
      </c>
      <c r="D746" s="0" t="n">
        <v>0</v>
      </c>
      <c r="E746" s="0" t="n">
        <f aca="false">VLOOKUP(B746,'MSA-Lookup'!$H$2:$I$86,2)</f>
        <v>5775</v>
      </c>
      <c r="F746" s="0" t="n">
        <f aca="false">IF(C746&gt;1,IF(C746&lt;99,VLOOKUP(C746,'MSA-Lookup'!$H$1:$I$86,2),C746),C746)</f>
        <v>9999</v>
      </c>
      <c r="G746" s="0" t="n">
        <f aca="false">VLOOKUP(E746,'MSA-Lookup'!$AA$1:$AB$25,2)</f>
        <v>7362</v>
      </c>
      <c r="H746" s="0" t="n">
        <f aca="false">IF(C746&gt;1,IF(C746&lt;99,VLOOKUP(F746,'MSA-Lookup'!$AA$1:$AB$25,2),C746),C746)</f>
        <v>9999</v>
      </c>
    </row>
    <row r="747" customFormat="false" ht="12.75" hidden="false" customHeight="false" outlineLevel="0" collapsed="false">
      <c r="A747" s="0" t="n">
        <f aca="false">B747*1000+C747</f>
        <v>18006</v>
      </c>
      <c r="B747" s="0" t="n">
        <v>18</v>
      </c>
      <c r="C747" s="0" t="n">
        <v>6</v>
      </c>
      <c r="D747" s="0" t="n">
        <v>143</v>
      </c>
      <c r="E747" s="0" t="n">
        <f aca="false">VLOOKUP(B747,'MSA-Lookup'!$H$2:$I$86,2)</f>
        <v>5775</v>
      </c>
      <c r="F747" s="0" t="n">
        <f aca="false">IF(C747&gt;1,IF(C747&lt;99,VLOOKUP(C747,'MSA-Lookup'!$H$1:$I$86,2),C747),C747)</f>
        <v>1620</v>
      </c>
      <c r="G747" s="0" t="n">
        <f aca="false">VLOOKUP(E747,'MSA-Lookup'!$AA$1:$AB$25,2)</f>
        <v>7362</v>
      </c>
      <c r="H747" s="0" t="n">
        <f aca="false">IF(C747&gt;1,IF(C747&lt;99,VLOOKUP(F747,'MSA-Lookup'!$AA$1:$AB$25,2),C747),C747)</f>
        <v>1620</v>
      </c>
    </row>
    <row r="748" customFormat="false" ht="12.75" hidden="false" customHeight="false" outlineLevel="0" collapsed="false">
      <c r="A748" s="0" t="n">
        <f aca="false">B748*1000+C748</f>
        <v>18007</v>
      </c>
      <c r="B748" s="0" t="n">
        <v>18</v>
      </c>
      <c r="C748" s="0" t="n">
        <v>7</v>
      </c>
      <c r="D748" s="0" t="n">
        <v>0</v>
      </c>
      <c r="E748" s="0" t="n">
        <f aca="false">VLOOKUP(B748,'MSA-Lookup'!$H$2:$I$86,2)</f>
        <v>5775</v>
      </c>
      <c r="F748" s="0" t="n">
        <f aca="false">IF(C748&gt;1,IF(C748&lt;99,VLOOKUP(C748,'MSA-Lookup'!$H$1:$I$86,2),C748),C748)</f>
        <v>9999</v>
      </c>
      <c r="G748" s="0" t="n">
        <f aca="false">VLOOKUP(E748,'MSA-Lookup'!$AA$1:$AB$25,2)</f>
        <v>7362</v>
      </c>
      <c r="H748" s="0" t="n">
        <f aca="false">IF(C748&gt;1,IF(C748&lt;99,VLOOKUP(F748,'MSA-Lookup'!$AA$1:$AB$25,2),C748),C748)</f>
        <v>9999</v>
      </c>
    </row>
    <row r="749" customFormat="false" ht="12.75" hidden="false" customHeight="false" outlineLevel="0" collapsed="false">
      <c r="A749" s="0" t="n">
        <f aca="false">B749*1000+C749</f>
        <v>18008</v>
      </c>
      <c r="B749" s="0" t="n">
        <v>18</v>
      </c>
      <c r="C749" s="0" t="n">
        <v>8</v>
      </c>
      <c r="D749" s="0" t="n">
        <v>0</v>
      </c>
      <c r="E749" s="0" t="n">
        <f aca="false">VLOOKUP(B749,'MSA-Lookup'!$H$2:$I$86,2)</f>
        <v>5775</v>
      </c>
      <c r="F749" s="0" t="n">
        <f aca="false">IF(C749&gt;1,IF(C749&lt;99,VLOOKUP(C749,'MSA-Lookup'!$H$1:$I$86,2),C749),C749)</f>
        <v>9340</v>
      </c>
      <c r="G749" s="0" t="n">
        <f aca="false">VLOOKUP(E749,'MSA-Lookup'!$AA$1:$AB$25,2)</f>
        <v>7362</v>
      </c>
      <c r="H749" s="0" t="n">
        <f aca="false">IF(C749&gt;1,IF(C749&lt;99,VLOOKUP(F749,'MSA-Lookup'!$AA$1:$AB$25,2),C749),C749)</f>
        <v>9340</v>
      </c>
    </row>
    <row r="750" customFormat="false" ht="12.75" hidden="false" customHeight="false" outlineLevel="0" collapsed="false">
      <c r="A750" s="0" t="n">
        <f aca="false">B750*1000+C750</f>
        <v>18009</v>
      </c>
      <c r="B750" s="0" t="n">
        <v>18</v>
      </c>
      <c r="C750" s="0" t="n">
        <v>9</v>
      </c>
      <c r="D750" s="0" t="n">
        <v>533</v>
      </c>
      <c r="E750" s="0" t="n">
        <f aca="false">VLOOKUP(B750,'MSA-Lookup'!$H$2:$I$86,2)</f>
        <v>5775</v>
      </c>
      <c r="F750" s="0" t="n">
        <f aca="false">IF(C750&gt;1,IF(C750&lt;99,VLOOKUP(C750,'MSA-Lookup'!$H$1:$I$86,2),C750),C750)</f>
        <v>8720</v>
      </c>
      <c r="G750" s="0" t="n">
        <f aca="false">VLOOKUP(E750,'MSA-Lookup'!$AA$1:$AB$25,2)</f>
        <v>7362</v>
      </c>
      <c r="H750" s="0" t="n">
        <f aca="false">IF(C750&gt;1,IF(C750&lt;99,VLOOKUP(F750,'MSA-Lookup'!$AA$1:$AB$25,2),C750),C750)</f>
        <v>7362</v>
      </c>
    </row>
    <row r="751" customFormat="false" ht="12.75" hidden="false" customHeight="false" outlineLevel="0" collapsed="false">
      <c r="A751" s="0" t="n">
        <f aca="false">B751*1000+C751</f>
        <v>18010</v>
      </c>
      <c r="B751" s="0" t="n">
        <v>18</v>
      </c>
      <c r="C751" s="0" t="n">
        <v>10</v>
      </c>
      <c r="D751" s="0" t="n">
        <v>65</v>
      </c>
      <c r="E751" s="0" t="n">
        <f aca="false">VLOOKUP(B751,'MSA-Lookup'!$H$2:$I$86,2)</f>
        <v>5775</v>
      </c>
      <c r="F751" s="0" t="n">
        <f aca="false">IF(C751&gt;1,IF(C751&lt;99,VLOOKUP(C751,'MSA-Lookup'!$H$1:$I$86,2),C751),C751)</f>
        <v>6920</v>
      </c>
      <c r="G751" s="0" t="n">
        <f aca="false">VLOOKUP(E751,'MSA-Lookup'!$AA$1:$AB$25,2)</f>
        <v>7362</v>
      </c>
      <c r="H751" s="0" t="n">
        <f aca="false">IF(C751&gt;1,IF(C751&lt;99,VLOOKUP(F751,'MSA-Lookup'!$AA$1:$AB$25,2),C751),C751)</f>
        <v>6920</v>
      </c>
    </row>
    <row r="752" customFormat="false" ht="12.75" hidden="false" customHeight="false" outlineLevel="0" collapsed="false">
      <c r="A752" s="0" t="n">
        <f aca="false">B752*1000+C752</f>
        <v>18011</v>
      </c>
      <c r="B752" s="0" t="n">
        <v>18</v>
      </c>
      <c r="C752" s="0" t="n">
        <v>11</v>
      </c>
      <c r="D752" s="0" t="n">
        <v>338</v>
      </c>
      <c r="E752" s="0" t="n">
        <f aca="false">VLOOKUP(B752,'MSA-Lookup'!$H$2:$I$86,2)</f>
        <v>5775</v>
      </c>
      <c r="F752" s="0" t="n">
        <f aca="false">IF(C752&gt;1,IF(C752&lt;99,VLOOKUP(C752,'MSA-Lookup'!$H$1:$I$86,2),C752),C752)</f>
        <v>6920</v>
      </c>
      <c r="G752" s="0" t="n">
        <f aca="false">VLOOKUP(E752,'MSA-Lookup'!$AA$1:$AB$25,2)</f>
        <v>7362</v>
      </c>
      <c r="H752" s="0" t="n">
        <f aca="false">IF(C752&gt;1,IF(C752&lt;99,VLOOKUP(F752,'MSA-Lookup'!$AA$1:$AB$25,2),C752),C752)</f>
        <v>6920</v>
      </c>
    </row>
    <row r="753" customFormat="false" ht="12.75" hidden="false" customHeight="false" outlineLevel="0" collapsed="false">
      <c r="A753" s="0" t="n">
        <f aca="false">B753*1000+C753</f>
        <v>18012</v>
      </c>
      <c r="B753" s="0" t="n">
        <v>18</v>
      </c>
      <c r="C753" s="0" t="n">
        <v>12</v>
      </c>
      <c r="D753" s="0" t="n">
        <v>234</v>
      </c>
      <c r="E753" s="0" t="n">
        <f aca="false">VLOOKUP(B753,'MSA-Lookup'!$H$2:$I$86,2)</f>
        <v>5775</v>
      </c>
      <c r="F753" s="0" t="n">
        <f aca="false">IF(C753&gt;1,IF(C753&lt;99,VLOOKUP(C753,'MSA-Lookup'!$H$1:$I$86,2),C753),C753)</f>
        <v>6920</v>
      </c>
      <c r="G753" s="0" t="n">
        <f aca="false">VLOOKUP(E753,'MSA-Lookup'!$AA$1:$AB$25,2)</f>
        <v>7362</v>
      </c>
      <c r="H753" s="0" t="n">
        <f aca="false">IF(C753&gt;1,IF(C753&lt;99,VLOOKUP(F753,'MSA-Lookup'!$AA$1:$AB$25,2),C753),C753)</f>
        <v>6920</v>
      </c>
    </row>
    <row r="754" customFormat="false" ht="12.75" hidden="false" customHeight="false" outlineLevel="0" collapsed="false">
      <c r="A754" s="0" t="n">
        <f aca="false">B754*1000+C754</f>
        <v>18013</v>
      </c>
      <c r="B754" s="0" t="n">
        <v>18</v>
      </c>
      <c r="C754" s="0" t="n">
        <v>13</v>
      </c>
      <c r="D754" s="0" t="n">
        <v>104</v>
      </c>
      <c r="E754" s="0" t="n">
        <f aca="false">VLOOKUP(B754,'MSA-Lookup'!$H$2:$I$86,2)</f>
        <v>5775</v>
      </c>
      <c r="F754" s="0" t="n">
        <f aca="false">IF(C754&gt;1,IF(C754&lt;99,VLOOKUP(C754,'MSA-Lookup'!$H$1:$I$86,2),C754),C754)</f>
        <v>7500</v>
      </c>
      <c r="G754" s="0" t="n">
        <f aca="false">VLOOKUP(E754,'MSA-Lookup'!$AA$1:$AB$25,2)</f>
        <v>7362</v>
      </c>
      <c r="H754" s="0" t="n">
        <f aca="false">IF(C754&gt;1,IF(C754&lt;99,VLOOKUP(F754,'MSA-Lookup'!$AA$1:$AB$25,2),C754),C754)</f>
        <v>7362</v>
      </c>
    </row>
    <row r="755" customFormat="false" ht="12.75" hidden="false" customHeight="false" outlineLevel="0" collapsed="false">
      <c r="A755" s="0" t="n">
        <f aca="false">B755*1000+C755</f>
        <v>18014</v>
      </c>
      <c r="B755" s="0" t="n">
        <v>18</v>
      </c>
      <c r="C755" s="0" t="n">
        <v>14</v>
      </c>
      <c r="D755" s="0" t="n">
        <v>338</v>
      </c>
      <c r="E755" s="0" t="n">
        <f aca="false">VLOOKUP(B755,'MSA-Lookup'!$H$2:$I$86,2)</f>
        <v>5775</v>
      </c>
      <c r="F755" s="0" t="n">
        <f aca="false">IF(C755&gt;1,IF(C755&lt;99,VLOOKUP(C755,'MSA-Lookup'!$H$1:$I$86,2),C755),C755)</f>
        <v>7500</v>
      </c>
      <c r="G755" s="0" t="n">
        <f aca="false">VLOOKUP(E755,'MSA-Lookup'!$AA$1:$AB$25,2)</f>
        <v>7362</v>
      </c>
      <c r="H755" s="0" t="n">
        <f aca="false">IF(C755&gt;1,IF(C755&lt;99,VLOOKUP(F755,'MSA-Lookup'!$AA$1:$AB$25,2),C755),C755)</f>
        <v>7362</v>
      </c>
    </row>
    <row r="756" customFormat="false" ht="12.75" hidden="false" customHeight="false" outlineLevel="0" collapsed="false">
      <c r="A756" s="0" t="n">
        <f aca="false">B756*1000+C756</f>
        <v>18015</v>
      </c>
      <c r="B756" s="0" t="n">
        <v>18</v>
      </c>
      <c r="C756" s="0" t="n">
        <v>15</v>
      </c>
      <c r="D756" s="0" t="n">
        <v>1859</v>
      </c>
      <c r="E756" s="0" t="n">
        <f aca="false">VLOOKUP(B756,'MSA-Lookup'!$H$2:$I$86,2)</f>
        <v>5775</v>
      </c>
      <c r="F756" s="0" t="n">
        <f aca="false">IF(C756&gt;1,IF(C756&lt;99,VLOOKUP(C756,'MSA-Lookup'!$H$1:$I$86,2),C756),C756)</f>
        <v>7360</v>
      </c>
      <c r="G756" s="0" t="n">
        <f aca="false">VLOOKUP(E756,'MSA-Lookup'!$AA$1:$AB$25,2)</f>
        <v>7362</v>
      </c>
      <c r="H756" s="0" t="n">
        <f aca="false">IF(C756&gt;1,IF(C756&lt;99,VLOOKUP(F756,'MSA-Lookup'!$AA$1:$AB$25,2),C756),C756)</f>
        <v>7362</v>
      </c>
    </row>
    <row r="757" customFormat="false" ht="12.75" hidden="false" customHeight="false" outlineLevel="0" collapsed="false">
      <c r="A757" s="0" t="n">
        <f aca="false">B757*1000+C757</f>
        <v>18016</v>
      </c>
      <c r="B757" s="0" t="n">
        <v>18</v>
      </c>
      <c r="C757" s="0" t="n">
        <v>16</v>
      </c>
      <c r="D757" s="0" t="n">
        <v>3549</v>
      </c>
      <c r="E757" s="0" t="n">
        <f aca="false">VLOOKUP(B757,'MSA-Lookup'!$H$2:$I$86,2)</f>
        <v>5775</v>
      </c>
      <c r="F757" s="0" t="n">
        <f aca="false">IF(C757&gt;1,IF(C757&lt;99,VLOOKUP(C757,'MSA-Lookup'!$H$1:$I$86,2),C757),C757)</f>
        <v>8720</v>
      </c>
      <c r="G757" s="0" t="n">
        <f aca="false">VLOOKUP(E757,'MSA-Lookup'!$AA$1:$AB$25,2)</f>
        <v>7362</v>
      </c>
      <c r="H757" s="0" t="n">
        <f aca="false">IF(C757&gt;1,IF(C757&lt;99,VLOOKUP(F757,'MSA-Lookup'!$AA$1:$AB$25,2),C757),C757)</f>
        <v>7362</v>
      </c>
    </row>
    <row r="758" customFormat="false" ht="12.75" hidden="false" customHeight="false" outlineLevel="0" collapsed="false">
      <c r="A758" s="0" t="n">
        <f aca="false">B758*1000+C758</f>
        <v>18017</v>
      </c>
      <c r="B758" s="0" t="n">
        <v>18</v>
      </c>
      <c r="C758" s="0" t="n">
        <v>17</v>
      </c>
      <c r="D758" s="0" t="n">
        <v>13598</v>
      </c>
      <c r="E758" s="0" t="n">
        <f aca="false">VLOOKUP(B758,'MSA-Lookup'!$H$2:$I$86,2)</f>
        <v>5775</v>
      </c>
      <c r="F758" s="0" t="n">
        <f aca="false">IF(C758&gt;1,IF(C758&lt;99,VLOOKUP(C758,'MSA-Lookup'!$H$1:$I$86,2),C758),C758)</f>
        <v>5775</v>
      </c>
      <c r="G758" s="0" t="n">
        <f aca="false">VLOOKUP(E758,'MSA-Lookup'!$AA$1:$AB$25,2)</f>
        <v>7362</v>
      </c>
      <c r="H758" s="0" t="n">
        <f aca="false">IF(C758&gt;1,IF(C758&lt;99,VLOOKUP(F758,'MSA-Lookup'!$AA$1:$AB$25,2),C758),C758)</f>
        <v>7362</v>
      </c>
    </row>
    <row r="759" customFormat="false" ht="12.75" hidden="false" customHeight="false" outlineLevel="0" collapsed="false">
      <c r="A759" s="0" t="n">
        <f aca="false">B759*1000+C759</f>
        <v>18018</v>
      </c>
      <c r="B759" s="0" t="n">
        <v>18</v>
      </c>
      <c r="C759" s="0" t="n">
        <v>18</v>
      </c>
      <c r="D759" s="0" t="n">
        <v>209313</v>
      </c>
      <c r="E759" s="0" t="n">
        <f aca="false">VLOOKUP(B759,'MSA-Lookup'!$H$2:$I$86,2)</f>
        <v>5775</v>
      </c>
      <c r="F759" s="0" t="n">
        <f aca="false">IF(C759&gt;1,IF(C759&lt;99,VLOOKUP(C759,'MSA-Lookup'!$H$1:$I$86,2),C759),C759)</f>
        <v>5775</v>
      </c>
      <c r="G759" s="0" t="n">
        <f aca="false">VLOOKUP(E759,'MSA-Lookup'!$AA$1:$AB$25,2)</f>
        <v>7362</v>
      </c>
      <c r="H759" s="0" t="n">
        <f aca="false">IF(C759&gt;1,IF(C759&lt;99,VLOOKUP(F759,'MSA-Lookup'!$AA$1:$AB$25,2),C759),C759)</f>
        <v>7362</v>
      </c>
    </row>
    <row r="760" customFormat="false" ht="12.75" hidden="false" customHeight="false" outlineLevel="0" collapsed="false">
      <c r="A760" s="0" t="n">
        <f aca="false">B760*1000+C760</f>
        <v>18019</v>
      </c>
      <c r="B760" s="0" t="n">
        <v>18</v>
      </c>
      <c r="C760" s="0" t="n">
        <v>19</v>
      </c>
      <c r="D760" s="0" t="n">
        <v>37583</v>
      </c>
      <c r="E760" s="0" t="n">
        <f aca="false">VLOOKUP(B760,'MSA-Lookup'!$H$2:$I$86,2)</f>
        <v>5775</v>
      </c>
      <c r="F760" s="0" t="n">
        <f aca="false">IF(C760&gt;1,IF(C760&lt;99,VLOOKUP(C760,'MSA-Lookup'!$H$1:$I$86,2),C760),C760)</f>
        <v>7360</v>
      </c>
      <c r="G760" s="0" t="n">
        <f aca="false">VLOOKUP(E760,'MSA-Lookup'!$AA$1:$AB$25,2)</f>
        <v>7362</v>
      </c>
      <c r="H760" s="0" t="n">
        <f aca="false">IF(C760&gt;1,IF(C760&lt;99,VLOOKUP(F760,'MSA-Lookup'!$AA$1:$AB$25,2),C760),C760)</f>
        <v>7362</v>
      </c>
    </row>
    <row r="761" customFormat="false" ht="12.75" hidden="false" customHeight="false" outlineLevel="0" collapsed="false">
      <c r="A761" s="0" t="n">
        <f aca="false">B761*1000+C761</f>
        <v>18020</v>
      </c>
      <c r="B761" s="0" t="n">
        <v>18</v>
      </c>
      <c r="C761" s="0" t="n">
        <v>20</v>
      </c>
      <c r="D761" s="0" t="n">
        <v>15041</v>
      </c>
      <c r="E761" s="0" t="n">
        <f aca="false">VLOOKUP(B761,'MSA-Lookup'!$H$2:$I$86,2)</f>
        <v>5775</v>
      </c>
      <c r="F761" s="0" t="n">
        <f aca="false">IF(C761&gt;1,IF(C761&lt;99,VLOOKUP(C761,'MSA-Lookup'!$H$1:$I$86,2),C761),C761)</f>
        <v>5775</v>
      </c>
      <c r="G761" s="0" t="n">
        <f aca="false">VLOOKUP(E761,'MSA-Lookup'!$AA$1:$AB$25,2)</f>
        <v>7362</v>
      </c>
      <c r="H761" s="0" t="n">
        <f aca="false">IF(C761&gt;1,IF(C761&lt;99,VLOOKUP(F761,'MSA-Lookup'!$AA$1:$AB$25,2),C761),C761)</f>
        <v>7362</v>
      </c>
    </row>
    <row r="762" customFormat="false" ht="12.75" hidden="false" customHeight="false" outlineLevel="0" collapsed="false">
      <c r="A762" s="0" t="n">
        <f aca="false">B762*1000+C762</f>
        <v>18021</v>
      </c>
      <c r="B762" s="0" t="n">
        <v>18</v>
      </c>
      <c r="C762" s="0" t="n">
        <v>21</v>
      </c>
      <c r="D762" s="0" t="n">
        <v>53898</v>
      </c>
      <c r="E762" s="0" t="n">
        <f aca="false">VLOOKUP(B762,'MSA-Lookup'!$H$2:$I$86,2)</f>
        <v>5775</v>
      </c>
      <c r="F762" s="0" t="n">
        <f aca="false">IF(C762&gt;1,IF(C762&lt;99,VLOOKUP(C762,'MSA-Lookup'!$H$1:$I$86,2),C762),C762)</f>
        <v>5775</v>
      </c>
      <c r="G762" s="0" t="n">
        <f aca="false">VLOOKUP(E762,'MSA-Lookup'!$AA$1:$AB$25,2)</f>
        <v>7362</v>
      </c>
      <c r="H762" s="0" t="n">
        <f aca="false">IF(C762&gt;1,IF(C762&lt;99,VLOOKUP(F762,'MSA-Lookup'!$AA$1:$AB$25,2),C762),C762)</f>
        <v>7362</v>
      </c>
    </row>
    <row r="763" customFormat="false" ht="12.75" hidden="false" customHeight="false" outlineLevel="0" collapsed="false">
      <c r="A763" s="0" t="n">
        <f aca="false">B763*1000+C763</f>
        <v>18022</v>
      </c>
      <c r="B763" s="0" t="n">
        <v>18</v>
      </c>
      <c r="C763" s="0" t="n">
        <v>22</v>
      </c>
      <c r="D763" s="0" t="n">
        <v>6708</v>
      </c>
      <c r="E763" s="0" t="n">
        <f aca="false">VLOOKUP(B763,'MSA-Lookup'!$H$2:$I$86,2)</f>
        <v>5775</v>
      </c>
      <c r="F763" s="0" t="n">
        <f aca="false">IF(C763&gt;1,IF(C763&lt;99,VLOOKUP(C763,'MSA-Lookup'!$H$1:$I$86,2),C763),C763)</f>
        <v>7360</v>
      </c>
      <c r="G763" s="0" t="n">
        <f aca="false">VLOOKUP(E763,'MSA-Lookup'!$AA$1:$AB$25,2)</f>
        <v>7362</v>
      </c>
      <c r="H763" s="0" t="n">
        <f aca="false">IF(C763&gt;1,IF(C763&lt;99,VLOOKUP(F763,'MSA-Lookup'!$AA$1:$AB$25,2),C763),C763)</f>
        <v>7362</v>
      </c>
    </row>
    <row r="764" customFormat="false" ht="12.75" hidden="false" customHeight="false" outlineLevel="0" collapsed="false">
      <c r="A764" s="0" t="n">
        <f aca="false">B764*1000+C764</f>
        <v>18023</v>
      </c>
      <c r="B764" s="0" t="n">
        <v>18</v>
      </c>
      <c r="C764" s="0" t="n">
        <v>23</v>
      </c>
      <c r="D764" s="0" t="n">
        <v>351</v>
      </c>
      <c r="E764" s="0" t="n">
        <f aca="false">VLOOKUP(B764,'MSA-Lookup'!$H$2:$I$86,2)</f>
        <v>5775</v>
      </c>
      <c r="F764" s="0" t="n">
        <f aca="false">IF(C764&gt;1,IF(C764&lt;99,VLOOKUP(C764,'MSA-Lookup'!$H$1:$I$86,2),C764),C764)</f>
        <v>8120</v>
      </c>
      <c r="G764" s="0" t="n">
        <f aca="false">VLOOKUP(E764,'MSA-Lookup'!$AA$1:$AB$25,2)</f>
        <v>7362</v>
      </c>
      <c r="H764" s="0" t="n">
        <f aca="false">IF(C764&gt;1,IF(C764&lt;99,VLOOKUP(F764,'MSA-Lookup'!$AA$1:$AB$25,2),C764),C764)</f>
        <v>8120</v>
      </c>
    </row>
    <row r="765" customFormat="false" ht="12.75" hidden="false" customHeight="false" outlineLevel="0" collapsed="false">
      <c r="A765" s="0" t="n">
        <f aca="false">B765*1000+C765</f>
        <v>18024</v>
      </c>
      <c r="B765" s="0" t="n">
        <v>18</v>
      </c>
      <c r="C765" s="0" t="n">
        <v>24</v>
      </c>
      <c r="D765" s="0" t="n">
        <v>0</v>
      </c>
      <c r="E765" s="0" t="n">
        <f aca="false">VLOOKUP(B765,'MSA-Lookup'!$H$2:$I$86,2)</f>
        <v>5775</v>
      </c>
      <c r="F765" s="0" t="n">
        <f aca="false">IF(C765&gt;1,IF(C765&lt;99,VLOOKUP(C765,'MSA-Lookup'!$H$1:$I$86,2),C765),C765)</f>
        <v>5170</v>
      </c>
      <c r="G765" s="0" t="n">
        <f aca="false">VLOOKUP(E765,'MSA-Lookup'!$AA$1:$AB$25,2)</f>
        <v>7362</v>
      </c>
      <c r="H765" s="0" t="n">
        <f aca="false">IF(C765&gt;1,IF(C765&lt;99,VLOOKUP(F765,'MSA-Lookup'!$AA$1:$AB$25,2),C765),C765)</f>
        <v>5170</v>
      </c>
    </row>
    <row r="766" customFormat="false" ht="12.75" hidden="false" customHeight="false" outlineLevel="0" collapsed="false">
      <c r="A766" s="0" t="n">
        <f aca="false">B766*1000+C766</f>
        <v>18025</v>
      </c>
      <c r="B766" s="0" t="n">
        <v>18</v>
      </c>
      <c r="C766" s="0" t="n">
        <v>25</v>
      </c>
      <c r="D766" s="0" t="n">
        <v>0</v>
      </c>
      <c r="E766" s="0" t="n">
        <f aca="false">VLOOKUP(B766,'MSA-Lookup'!$H$2:$I$86,2)</f>
        <v>5775</v>
      </c>
      <c r="F766" s="0" t="n">
        <f aca="false">IF(C766&gt;1,IF(C766&lt;99,VLOOKUP(C766,'MSA-Lookup'!$H$1:$I$86,2),C766),C766)</f>
        <v>5170</v>
      </c>
      <c r="G766" s="0" t="n">
        <f aca="false">VLOOKUP(E766,'MSA-Lookup'!$AA$1:$AB$25,2)</f>
        <v>7362</v>
      </c>
      <c r="H766" s="0" t="n">
        <f aca="false">IF(C766&gt;1,IF(C766&lt;99,VLOOKUP(F766,'MSA-Lookup'!$AA$1:$AB$25,2),C766),C766)</f>
        <v>5170</v>
      </c>
    </row>
    <row r="767" customFormat="false" ht="12.75" hidden="false" customHeight="false" outlineLevel="0" collapsed="false">
      <c r="A767" s="0" t="n">
        <f aca="false">B767*1000+C767</f>
        <v>18026</v>
      </c>
      <c r="B767" s="0" t="n">
        <v>18</v>
      </c>
      <c r="C767" s="0" t="n">
        <v>26</v>
      </c>
      <c r="D767" s="0" t="n">
        <v>130</v>
      </c>
      <c r="E767" s="0" t="n">
        <f aca="false">VLOOKUP(B767,'MSA-Lookup'!$H$2:$I$86,2)</f>
        <v>5775</v>
      </c>
      <c r="F767" s="0" t="n">
        <f aca="false">IF(C767&gt;1,IF(C767&lt;99,VLOOKUP(C767,'MSA-Lookup'!$H$1:$I$86,2),C767),C767)</f>
        <v>9999</v>
      </c>
      <c r="G767" s="0" t="n">
        <f aca="false">VLOOKUP(E767,'MSA-Lookup'!$AA$1:$AB$25,2)</f>
        <v>7362</v>
      </c>
      <c r="H767" s="0" t="n">
        <f aca="false">IF(C767&gt;1,IF(C767&lt;99,VLOOKUP(F767,'MSA-Lookup'!$AA$1:$AB$25,2),C767),C767)</f>
        <v>9999</v>
      </c>
    </row>
    <row r="768" customFormat="false" ht="12.75" hidden="false" customHeight="false" outlineLevel="0" collapsed="false">
      <c r="A768" s="0" t="n">
        <f aca="false">B768*1000+C768</f>
        <v>18027</v>
      </c>
      <c r="B768" s="0" t="n">
        <v>18</v>
      </c>
      <c r="C768" s="0" t="n">
        <v>27</v>
      </c>
      <c r="D768" s="0" t="n">
        <v>0</v>
      </c>
      <c r="E768" s="0" t="n">
        <f aca="false">VLOOKUP(B768,'MSA-Lookup'!$H$2:$I$86,2)</f>
        <v>5775</v>
      </c>
      <c r="F768" s="0" t="n">
        <f aca="false">IF(C768&gt;1,IF(C768&lt;99,VLOOKUP(C768,'MSA-Lookup'!$H$1:$I$86,2),C768),C768)</f>
        <v>9999</v>
      </c>
      <c r="G768" s="0" t="n">
        <f aca="false">VLOOKUP(E768,'MSA-Lookup'!$AA$1:$AB$25,2)</f>
        <v>7362</v>
      </c>
      <c r="H768" s="0" t="n">
        <f aca="false">IF(C768&gt;1,IF(C768&lt;99,VLOOKUP(F768,'MSA-Lookup'!$AA$1:$AB$25,2),C768),C768)</f>
        <v>9999</v>
      </c>
    </row>
    <row r="769" customFormat="false" ht="12.75" hidden="false" customHeight="false" outlineLevel="0" collapsed="false">
      <c r="A769" s="0" t="n">
        <f aca="false">B769*1000+C769</f>
        <v>18028</v>
      </c>
      <c r="B769" s="0" t="n">
        <v>18</v>
      </c>
      <c r="C769" s="0" t="n">
        <v>28</v>
      </c>
      <c r="D769" s="0" t="n">
        <v>468</v>
      </c>
      <c r="E769" s="0" t="n">
        <f aca="false">VLOOKUP(B769,'MSA-Lookup'!$H$2:$I$86,2)</f>
        <v>5775</v>
      </c>
      <c r="F769" s="0" t="n">
        <f aca="false">IF(C769&gt;1,IF(C769&lt;99,VLOOKUP(C769,'MSA-Lookup'!$H$1:$I$86,2),C769),C769)</f>
        <v>6920</v>
      </c>
      <c r="G769" s="0" t="n">
        <f aca="false">VLOOKUP(E769,'MSA-Lookup'!$AA$1:$AB$25,2)</f>
        <v>7362</v>
      </c>
      <c r="H769" s="0" t="n">
        <f aca="false">IF(C769&gt;1,IF(C769&lt;99,VLOOKUP(F769,'MSA-Lookup'!$AA$1:$AB$25,2),C769),C769)</f>
        <v>6920</v>
      </c>
    </row>
    <row r="770" customFormat="false" ht="12.75" hidden="false" customHeight="false" outlineLevel="0" collapsed="false">
      <c r="A770" s="0" t="n">
        <f aca="false">B770*1000+C770</f>
        <v>18029</v>
      </c>
      <c r="B770" s="0" t="n">
        <v>18</v>
      </c>
      <c r="C770" s="0" t="n">
        <v>29</v>
      </c>
      <c r="D770" s="0" t="n">
        <v>91</v>
      </c>
      <c r="E770" s="0" t="n">
        <f aca="false">VLOOKUP(B770,'MSA-Lookup'!$H$2:$I$86,2)</f>
        <v>5775</v>
      </c>
      <c r="F770" s="0" t="n">
        <f aca="false">IF(C770&gt;1,IF(C770&lt;99,VLOOKUP(C770,'MSA-Lookup'!$H$1:$I$86,2),C770),C770)</f>
        <v>6920</v>
      </c>
      <c r="G770" s="0" t="n">
        <f aca="false">VLOOKUP(E770,'MSA-Lookup'!$AA$1:$AB$25,2)</f>
        <v>7362</v>
      </c>
      <c r="H770" s="0" t="n">
        <f aca="false">IF(C770&gt;1,IF(C770&lt;99,VLOOKUP(F770,'MSA-Lookup'!$AA$1:$AB$25,2),C770),C770)</f>
        <v>6920</v>
      </c>
    </row>
    <row r="771" customFormat="false" ht="12.75" hidden="false" customHeight="false" outlineLevel="0" collapsed="false">
      <c r="A771" s="0" t="n">
        <f aca="false">B771*1000+C771</f>
        <v>18030</v>
      </c>
      <c r="B771" s="0" t="n">
        <v>18</v>
      </c>
      <c r="C771" s="0" t="n">
        <v>30</v>
      </c>
      <c r="D771" s="0" t="n">
        <v>0</v>
      </c>
      <c r="E771" s="0" t="n">
        <f aca="false">VLOOKUP(B771,'MSA-Lookup'!$H$2:$I$86,2)</f>
        <v>5775</v>
      </c>
      <c r="F771" s="0" t="n">
        <f aca="false">IF(C771&gt;1,IF(C771&lt;99,VLOOKUP(C771,'MSA-Lookup'!$H$1:$I$86,2),C771),C771)</f>
        <v>4940</v>
      </c>
      <c r="G771" s="0" t="n">
        <f aca="false">VLOOKUP(E771,'MSA-Lookup'!$AA$1:$AB$25,2)</f>
        <v>7362</v>
      </c>
      <c r="H771" s="0" t="n">
        <f aca="false">IF(C771&gt;1,IF(C771&lt;99,VLOOKUP(F771,'MSA-Lookup'!$AA$1:$AB$25,2),C771),C771)</f>
        <v>4940</v>
      </c>
    </row>
    <row r="772" customFormat="false" ht="12.75" hidden="false" customHeight="false" outlineLevel="0" collapsed="false">
      <c r="A772" s="0" t="n">
        <f aca="false">B772*1000+C772</f>
        <v>18031</v>
      </c>
      <c r="B772" s="0" t="n">
        <v>18</v>
      </c>
      <c r="C772" s="0" t="n">
        <v>31</v>
      </c>
      <c r="D772" s="0" t="n">
        <v>117</v>
      </c>
      <c r="E772" s="0" t="n">
        <f aca="false">VLOOKUP(B772,'MSA-Lookup'!$H$2:$I$86,2)</f>
        <v>5775</v>
      </c>
      <c r="F772" s="0" t="n">
        <f aca="false">IF(C772&gt;1,IF(C772&lt;99,VLOOKUP(C772,'MSA-Lookup'!$H$1:$I$86,2),C772),C772)</f>
        <v>9999</v>
      </c>
      <c r="G772" s="0" t="n">
        <f aca="false">VLOOKUP(E772,'MSA-Lookup'!$AA$1:$AB$25,2)</f>
        <v>7362</v>
      </c>
      <c r="H772" s="0" t="n">
        <f aca="false">IF(C772&gt;1,IF(C772&lt;99,VLOOKUP(F772,'MSA-Lookup'!$AA$1:$AB$25,2),C772),C772)</f>
        <v>9999</v>
      </c>
    </row>
    <row r="773" customFormat="false" ht="12.75" hidden="false" customHeight="false" outlineLevel="0" collapsed="false">
      <c r="A773" s="0" t="n">
        <f aca="false">B773*1000+C773</f>
        <v>18032</v>
      </c>
      <c r="B773" s="0" t="n">
        <v>18</v>
      </c>
      <c r="C773" s="0" t="n">
        <v>32</v>
      </c>
      <c r="D773" s="0" t="n">
        <v>104</v>
      </c>
      <c r="E773" s="0" t="n">
        <f aca="false">VLOOKUP(B773,'MSA-Lookup'!$H$2:$I$86,2)</f>
        <v>5775</v>
      </c>
      <c r="F773" s="0" t="n">
        <f aca="false">IF(C773&gt;1,IF(C773&lt;99,VLOOKUP(C773,'MSA-Lookup'!$H$1:$I$86,2),C773),C773)</f>
        <v>7480</v>
      </c>
      <c r="G773" s="0" t="n">
        <f aca="false">VLOOKUP(E773,'MSA-Lookup'!$AA$1:$AB$25,2)</f>
        <v>7362</v>
      </c>
      <c r="H773" s="0" t="n">
        <f aca="false">IF(C773&gt;1,IF(C773&lt;99,VLOOKUP(F773,'MSA-Lookup'!$AA$1:$AB$25,2),C773),C773)</f>
        <v>7480</v>
      </c>
    </row>
    <row r="774" customFormat="false" ht="12.75" hidden="false" customHeight="false" outlineLevel="0" collapsed="false">
      <c r="A774" s="0" t="n">
        <f aca="false">B774*1000+C774</f>
        <v>18033</v>
      </c>
      <c r="B774" s="0" t="n">
        <v>18</v>
      </c>
      <c r="C774" s="0" t="n">
        <v>33</v>
      </c>
      <c r="D774" s="0" t="n">
        <v>325</v>
      </c>
      <c r="E774" s="0" t="n">
        <f aca="false">VLOOKUP(B774,'MSA-Lookup'!$H$2:$I$86,2)</f>
        <v>5775</v>
      </c>
      <c r="F774" s="0" t="n">
        <f aca="false">IF(C774&gt;1,IF(C774&lt;99,VLOOKUP(C774,'MSA-Lookup'!$H$1:$I$86,2),C774),C774)</f>
        <v>7320</v>
      </c>
      <c r="G774" s="0" t="n">
        <f aca="false">VLOOKUP(E774,'MSA-Lookup'!$AA$1:$AB$25,2)</f>
        <v>7362</v>
      </c>
      <c r="H774" s="0" t="n">
        <f aca="false">IF(C774&gt;1,IF(C774&lt;99,VLOOKUP(F774,'MSA-Lookup'!$AA$1:$AB$25,2),C774),C774)</f>
        <v>7320</v>
      </c>
    </row>
    <row r="775" customFormat="false" ht="12.75" hidden="false" customHeight="false" outlineLevel="0" collapsed="false">
      <c r="A775" s="0" t="n">
        <f aca="false">B775*1000+C775</f>
        <v>18034</v>
      </c>
      <c r="B775" s="0" t="n">
        <v>18</v>
      </c>
      <c r="C775" s="0" t="n">
        <v>34</v>
      </c>
      <c r="D775" s="0" t="n">
        <v>0</v>
      </c>
      <c r="E775" s="0" t="n">
        <f aca="false">VLOOKUP(B775,'MSA-Lookup'!$H$2:$I$86,2)</f>
        <v>5775</v>
      </c>
      <c r="F775" s="0" t="n">
        <f aca="false">IF(C775&gt;1,IF(C775&lt;99,VLOOKUP(C775,'MSA-Lookup'!$H$1:$I$86,2),C775),C775)</f>
        <v>7320</v>
      </c>
      <c r="G775" s="0" t="n">
        <f aca="false">VLOOKUP(E775,'MSA-Lookup'!$AA$1:$AB$25,2)</f>
        <v>7362</v>
      </c>
      <c r="H775" s="0" t="n">
        <f aca="false">IF(C775&gt;1,IF(C775&lt;99,VLOOKUP(F775,'MSA-Lookup'!$AA$1:$AB$25,2),C775),C775)</f>
        <v>7320</v>
      </c>
    </row>
    <row r="776" customFormat="false" ht="12.75" hidden="false" customHeight="false" outlineLevel="0" collapsed="false">
      <c r="A776" s="0" t="n">
        <f aca="false">B776*1000+C776</f>
        <v>18035</v>
      </c>
      <c r="B776" s="0" t="n">
        <v>18</v>
      </c>
      <c r="C776" s="0" t="n">
        <v>35</v>
      </c>
      <c r="D776" s="0" t="n">
        <v>0</v>
      </c>
      <c r="E776" s="0" t="n">
        <f aca="false">VLOOKUP(B776,'MSA-Lookup'!$H$2:$I$86,2)</f>
        <v>5775</v>
      </c>
      <c r="F776" s="0" t="n">
        <f aca="false">IF(C776&gt;1,IF(C776&lt;99,VLOOKUP(C776,'MSA-Lookup'!$H$1:$I$86,2),C776),C776)</f>
        <v>7320</v>
      </c>
      <c r="G776" s="0" t="n">
        <f aca="false">VLOOKUP(E776,'MSA-Lookup'!$AA$1:$AB$25,2)</f>
        <v>7362</v>
      </c>
      <c r="H776" s="0" t="n">
        <f aca="false">IF(C776&gt;1,IF(C776&lt;99,VLOOKUP(F776,'MSA-Lookup'!$AA$1:$AB$25,2),C776),C776)</f>
        <v>7320</v>
      </c>
    </row>
    <row r="777" customFormat="false" ht="12.75" hidden="false" customHeight="false" outlineLevel="0" collapsed="false">
      <c r="A777" s="0" t="n">
        <f aca="false">B777*1000+C777</f>
        <v>18037</v>
      </c>
      <c r="B777" s="0" t="n">
        <v>18</v>
      </c>
      <c r="C777" s="0" t="n">
        <v>37</v>
      </c>
      <c r="D777" s="0" t="n">
        <v>169</v>
      </c>
      <c r="E777" s="0" t="n">
        <f aca="false">VLOOKUP(B777,'MSA-Lookup'!$H$2:$I$86,2)</f>
        <v>5775</v>
      </c>
      <c r="F777" s="0" t="n">
        <f aca="false">IF(C777&gt;1,IF(C777&lt;99,VLOOKUP(C777,'MSA-Lookup'!$H$1:$I$86,2),C777),C777)</f>
        <v>7320</v>
      </c>
      <c r="G777" s="0" t="n">
        <f aca="false">VLOOKUP(E777,'MSA-Lookup'!$AA$1:$AB$25,2)</f>
        <v>7362</v>
      </c>
      <c r="H777" s="0" t="n">
        <f aca="false">IF(C777&gt;1,IF(C777&lt;99,VLOOKUP(F777,'MSA-Lookup'!$AA$1:$AB$25,2),C777),C777)</f>
        <v>7320</v>
      </c>
    </row>
    <row r="778" customFormat="false" ht="12.75" hidden="false" customHeight="false" outlineLevel="0" collapsed="false">
      <c r="A778" s="0" t="n">
        <f aca="false">B778*1000+C778</f>
        <v>18039</v>
      </c>
      <c r="B778" s="0" t="n">
        <v>18</v>
      </c>
      <c r="C778" s="0" t="n">
        <v>39</v>
      </c>
      <c r="D778" s="0" t="n">
        <v>0</v>
      </c>
      <c r="E778" s="0" t="n">
        <f aca="false">VLOOKUP(B778,'MSA-Lookup'!$H$2:$I$86,2)</f>
        <v>5775</v>
      </c>
      <c r="F778" s="0" t="n">
        <f aca="false">IF(C778&gt;1,IF(C778&lt;99,VLOOKUP(C778,'MSA-Lookup'!$H$1:$I$86,2),C778),C778)</f>
        <v>7120</v>
      </c>
      <c r="G778" s="0" t="n">
        <f aca="false">VLOOKUP(E778,'MSA-Lookup'!$AA$1:$AB$25,2)</f>
        <v>7362</v>
      </c>
      <c r="H778" s="0" t="n">
        <f aca="false">IF(C778&gt;1,IF(C778&lt;99,VLOOKUP(F778,'MSA-Lookup'!$AA$1:$AB$25,2),C778),C778)</f>
        <v>7120</v>
      </c>
    </row>
    <row r="779" customFormat="false" ht="12.75" hidden="false" customHeight="false" outlineLevel="0" collapsed="false">
      <c r="A779" s="0" t="n">
        <f aca="false">B779*1000+C779</f>
        <v>18040</v>
      </c>
      <c r="B779" s="0" t="n">
        <v>18</v>
      </c>
      <c r="C779" s="0" t="n">
        <v>40</v>
      </c>
      <c r="D779" s="0" t="n">
        <v>104</v>
      </c>
      <c r="E779" s="0" t="n">
        <f aca="false">VLOOKUP(B779,'MSA-Lookup'!$H$2:$I$86,2)</f>
        <v>5775</v>
      </c>
      <c r="F779" s="0" t="n">
        <f aca="false">IF(C779&gt;1,IF(C779&lt;99,VLOOKUP(C779,'MSA-Lookup'!$H$1:$I$86,2),C779),C779)</f>
        <v>2840</v>
      </c>
      <c r="G779" s="0" t="n">
        <f aca="false">VLOOKUP(E779,'MSA-Lookup'!$AA$1:$AB$25,2)</f>
        <v>7362</v>
      </c>
      <c r="H779" s="0" t="n">
        <f aca="false">IF(C779&gt;1,IF(C779&lt;99,VLOOKUP(F779,'MSA-Lookup'!$AA$1:$AB$25,2),C779),C779)</f>
        <v>2840</v>
      </c>
    </row>
    <row r="780" customFormat="false" ht="12.75" hidden="false" customHeight="false" outlineLevel="0" collapsed="false">
      <c r="A780" s="0" t="n">
        <f aca="false">B780*1000+C780</f>
        <v>18041</v>
      </c>
      <c r="B780" s="0" t="n">
        <v>18</v>
      </c>
      <c r="C780" s="0" t="n">
        <v>41</v>
      </c>
      <c r="D780" s="0" t="n">
        <v>0</v>
      </c>
      <c r="E780" s="0" t="n">
        <f aca="false">VLOOKUP(B780,'MSA-Lookup'!$H$2:$I$86,2)</f>
        <v>5775</v>
      </c>
      <c r="F780" s="0" t="n">
        <f aca="false">IF(C780&gt;1,IF(C780&lt;99,VLOOKUP(C780,'MSA-Lookup'!$H$1:$I$86,2),C780),C780)</f>
        <v>2840</v>
      </c>
      <c r="G780" s="0" t="n">
        <f aca="false">VLOOKUP(E780,'MSA-Lookup'!$AA$1:$AB$25,2)</f>
        <v>7362</v>
      </c>
      <c r="H780" s="0" t="n">
        <f aca="false">IF(C780&gt;1,IF(C780&lt;99,VLOOKUP(F780,'MSA-Lookup'!$AA$1:$AB$25,2),C780),C780)</f>
        <v>2840</v>
      </c>
    </row>
    <row r="781" customFormat="false" ht="12.75" hidden="false" customHeight="false" outlineLevel="0" collapsed="false">
      <c r="A781" s="0" t="n">
        <f aca="false">B781*1000+C781</f>
        <v>18042</v>
      </c>
      <c r="B781" s="0" t="n">
        <v>18</v>
      </c>
      <c r="C781" s="0" t="n">
        <v>42</v>
      </c>
      <c r="D781" s="0" t="n">
        <v>65</v>
      </c>
      <c r="E781" s="0" t="n">
        <f aca="false">VLOOKUP(B781,'MSA-Lookup'!$H$2:$I$86,2)</f>
        <v>5775</v>
      </c>
      <c r="F781" s="0" t="n">
        <f aca="false">IF(C781&gt;1,IF(C781&lt;99,VLOOKUP(C781,'MSA-Lookup'!$H$1:$I$86,2),C781),C781)</f>
        <v>360</v>
      </c>
      <c r="G781" s="0" t="n">
        <f aca="false">VLOOKUP(E781,'MSA-Lookup'!$AA$1:$AB$25,2)</f>
        <v>7362</v>
      </c>
      <c r="H781" s="0" t="n">
        <f aca="false">IF(C781&gt;1,IF(C781&lt;99,VLOOKUP(F781,'MSA-Lookup'!$AA$1:$AB$25,2),C781),C781)</f>
        <v>4472</v>
      </c>
    </row>
    <row r="782" customFormat="false" ht="12.75" hidden="false" customHeight="false" outlineLevel="0" collapsed="false">
      <c r="A782" s="0" t="n">
        <f aca="false">B782*1000+C782</f>
        <v>18048</v>
      </c>
      <c r="B782" s="0" t="n">
        <v>18</v>
      </c>
      <c r="C782" s="0" t="n">
        <v>48</v>
      </c>
      <c r="D782" s="0" t="n">
        <v>143</v>
      </c>
      <c r="E782" s="0" t="n">
        <f aca="false">VLOOKUP(B782,'MSA-Lookup'!$H$2:$I$86,2)</f>
        <v>5775</v>
      </c>
      <c r="F782" s="0" t="n">
        <f aca="false">IF(C782&gt;1,IF(C782&lt;99,VLOOKUP(C782,'MSA-Lookup'!$H$1:$I$86,2),C782),C782)</f>
        <v>360</v>
      </c>
      <c r="G782" s="0" t="n">
        <f aca="false">VLOOKUP(E782,'MSA-Lookup'!$AA$1:$AB$25,2)</f>
        <v>7362</v>
      </c>
      <c r="H782" s="0" t="n">
        <f aca="false">IF(C782&gt;1,IF(C782&lt;99,VLOOKUP(F782,'MSA-Lookup'!$AA$1:$AB$25,2),C782),C782)</f>
        <v>4472</v>
      </c>
    </row>
    <row r="783" customFormat="false" ht="12.75" hidden="false" customHeight="false" outlineLevel="0" collapsed="false">
      <c r="A783" s="0" t="n">
        <f aca="false">B783*1000+C783</f>
        <v>18049</v>
      </c>
      <c r="B783" s="0" t="n">
        <v>18</v>
      </c>
      <c r="C783" s="0" t="n">
        <v>49</v>
      </c>
      <c r="D783" s="0" t="n">
        <v>2938</v>
      </c>
      <c r="E783" s="0" t="n">
        <f aca="false">VLOOKUP(B783,'MSA-Lookup'!$H$2:$I$86,2)</f>
        <v>5775</v>
      </c>
      <c r="F783" s="0" t="n">
        <f aca="false">IF(C783&gt;1,IF(C783&lt;99,VLOOKUP(C783,'MSA-Lookup'!$H$1:$I$86,2),C783),C783)</f>
        <v>7400</v>
      </c>
      <c r="G783" s="0" t="n">
        <f aca="false">VLOOKUP(E783,'MSA-Lookup'!$AA$1:$AB$25,2)</f>
        <v>7362</v>
      </c>
      <c r="H783" s="0" t="n">
        <f aca="false">IF(C783&gt;1,IF(C783&lt;99,VLOOKUP(F783,'MSA-Lookup'!$AA$1:$AB$25,2),C783),C783)</f>
        <v>7362</v>
      </c>
    </row>
    <row r="784" customFormat="false" ht="12.75" hidden="false" customHeight="false" outlineLevel="0" collapsed="false">
      <c r="A784" s="0" t="n">
        <f aca="false">B784*1000+C784</f>
        <v>18050</v>
      </c>
      <c r="B784" s="0" t="n">
        <v>18</v>
      </c>
      <c r="C784" s="0" t="n">
        <v>50</v>
      </c>
      <c r="D784" s="0" t="n">
        <v>806</v>
      </c>
      <c r="E784" s="0" t="n">
        <f aca="false">VLOOKUP(B784,'MSA-Lookup'!$H$2:$I$86,2)</f>
        <v>5775</v>
      </c>
      <c r="F784" s="0" t="n">
        <f aca="false">IF(C784&gt;1,IF(C784&lt;99,VLOOKUP(C784,'MSA-Lookup'!$H$1:$I$86,2),C784),C784)</f>
        <v>7400</v>
      </c>
      <c r="G784" s="0" t="n">
        <f aca="false">VLOOKUP(E784,'MSA-Lookup'!$AA$1:$AB$25,2)</f>
        <v>7362</v>
      </c>
      <c r="H784" s="0" t="n">
        <f aca="false">IF(C784&gt;1,IF(C784&lt;99,VLOOKUP(F784,'MSA-Lookup'!$AA$1:$AB$25,2),C784),C784)</f>
        <v>7362</v>
      </c>
    </row>
    <row r="785" customFormat="false" ht="12.75" hidden="false" customHeight="false" outlineLevel="0" collapsed="false">
      <c r="A785" s="0" t="n">
        <f aca="false">B785*1000+C785</f>
        <v>18051</v>
      </c>
      <c r="B785" s="0" t="n">
        <v>18</v>
      </c>
      <c r="C785" s="0" t="n">
        <v>51</v>
      </c>
      <c r="D785" s="0" t="n">
        <v>1924</v>
      </c>
      <c r="E785" s="0" t="n">
        <f aca="false">VLOOKUP(B785,'MSA-Lookup'!$H$2:$I$86,2)</f>
        <v>5775</v>
      </c>
      <c r="F785" s="0" t="n">
        <f aca="false">IF(C785&gt;1,IF(C785&lt;99,VLOOKUP(C785,'MSA-Lookup'!$H$1:$I$86,2),C785),C785)</f>
        <v>7400</v>
      </c>
      <c r="G785" s="0" t="n">
        <f aca="false">VLOOKUP(E785,'MSA-Lookup'!$AA$1:$AB$25,2)</f>
        <v>7362</v>
      </c>
      <c r="H785" s="0" t="n">
        <f aca="false">IF(C785&gt;1,IF(C785&lt;99,VLOOKUP(F785,'MSA-Lookup'!$AA$1:$AB$25,2),C785),C785)</f>
        <v>7362</v>
      </c>
    </row>
    <row r="786" customFormat="false" ht="12.75" hidden="false" customHeight="false" outlineLevel="0" collapsed="false">
      <c r="A786" s="0" t="n">
        <f aca="false">B786*1000+C786</f>
        <v>18052</v>
      </c>
      <c r="B786" s="0" t="n">
        <v>18</v>
      </c>
      <c r="C786" s="0" t="n">
        <v>52</v>
      </c>
      <c r="D786" s="0" t="n">
        <v>0</v>
      </c>
      <c r="E786" s="0" t="n">
        <f aca="false">VLOOKUP(B786,'MSA-Lookup'!$H$2:$I$86,2)</f>
        <v>5775</v>
      </c>
      <c r="F786" s="0" t="n">
        <f aca="false">IF(C786&gt;1,IF(C786&lt;99,VLOOKUP(C786,'MSA-Lookup'!$H$1:$I$86,2),C786),C786)</f>
        <v>4480</v>
      </c>
      <c r="G786" s="0" t="n">
        <f aca="false">VLOOKUP(E786,'MSA-Lookup'!$AA$1:$AB$25,2)</f>
        <v>7362</v>
      </c>
      <c r="H786" s="0" t="n">
        <f aca="false">IF(C786&gt;1,IF(C786&lt;99,VLOOKUP(F786,'MSA-Lookup'!$AA$1:$AB$25,2),C786),C786)</f>
        <v>4472</v>
      </c>
    </row>
    <row r="787" customFormat="false" ht="12.75" hidden="false" customHeight="false" outlineLevel="0" collapsed="false">
      <c r="A787" s="0" t="n">
        <f aca="false">B787*1000+C787</f>
        <v>18053</v>
      </c>
      <c r="B787" s="0" t="n">
        <v>18</v>
      </c>
      <c r="C787" s="0" t="n">
        <v>53</v>
      </c>
      <c r="D787" s="0" t="n">
        <v>143</v>
      </c>
      <c r="E787" s="0" t="n">
        <f aca="false">VLOOKUP(B787,'MSA-Lookup'!$H$2:$I$86,2)</f>
        <v>5775</v>
      </c>
      <c r="F787" s="0" t="n">
        <f aca="false">IF(C787&gt;1,IF(C787&lt;99,VLOOKUP(C787,'MSA-Lookup'!$H$1:$I$86,2),C787),C787)</f>
        <v>4480</v>
      </c>
      <c r="G787" s="0" t="n">
        <f aca="false">VLOOKUP(E787,'MSA-Lookup'!$AA$1:$AB$25,2)</f>
        <v>7362</v>
      </c>
      <c r="H787" s="0" t="n">
        <f aca="false">IF(C787&gt;1,IF(C787&lt;99,VLOOKUP(F787,'MSA-Lookup'!$AA$1:$AB$25,2),C787),C787)</f>
        <v>4472</v>
      </c>
    </row>
    <row r="788" customFormat="false" ht="12.75" hidden="false" customHeight="false" outlineLevel="0" collapsed="false">
      <c r="A788" s="0" t="n">
        <f aca="false">B788*1000+C788</f>
        <v>18055</v>
      </c>
      <c r="B788" s="0" t="n">
        <v>18</v>
      </c>
      <c r="C788" s="0" t="n">
        <v>55</v>
      </c>
      <c r="D788" s="0" t="n">
        <v>130</v>
      </c>
      <c r="E788" s="0" t="n">
        <f aca="false">VLOOKUP(B788,'MSA-Lookup'!$H$2:$I$86,2)</f>
        <v>5775</v>
      </c>
      <c r="F788" s="0" t="n">
        <f aca="false">IF(C788&gt;1,IF(C788&lt;99,VLOOKUP(C788,'MSA-Lookup'!$H$1:$I$86,2),C788),C788)</f>
        <v>4480</v>
      </c>
      <c r="G788" s="0" t="n">
        <f aca="false">VLOOKUP(E788,'MSA-Lookup'!$AA$1:$AB$25,2)</f>
        <v>7362</v>
      </c>
      <c r="H788" s="0" t="n">
        <f aca="false">IF(C788&gt;1,IF(C788&lt;99,VLOOKUP(F788,'MSA-Lookup'!$AA$1:$AB$25,2),C788),C788)</f>
        <v>4472</v>
      </c>
    </row>
    <row r="789" customFormat="false" ht="12.75" hidden="false" customHeight="false" outlineLevel="0" collapsed="false">
      <c r="A789" s="0" t="n">
        <f aca="false">B789*1000+C789</f>
        <v>18057</v>
      </c>
      <c r="B789" s="0" t="n">
        <v>18</v>
      </c>
      <c r="C789" s="0" t="n">
        <v>57</v>
      </c>
      <c r="D789" s="0" t="n">
        <v>52</v>
      </c>
      <c r="E789" s="0" t="n">
        <f aca="false">VLOOKUP(B789,'MSA-Lookup'!$H$2:$I$86,2)</f>
        <v>5775</v>
      </c>
      <c r="F789" s="0" t="n">
        <f aca="false">IF(C789&gt;1,IF(C789&lt;99,VLOOKUP(C789,'MSA-Lookup'!$H$1:$I$86,2),C789),C789)</f>
        <v>4480</v>
      </c>
      <c r="G789" s="0" t="n">
        <f aca="false">VLOOKUP(E789,'MSA-Lookup'!$AA$1:$AB$25,2)</f>
        <v>7362</v>
      </c>
      <c r="H789" s="0" t="n">
        <f aca="false">IF(C789&gt;1,IF(C789&lt;99,VLOOKUP(F789,'MSA-Lookup'!$AA$1:$AB$25,2),C789),C789)</f>
        <v>4472</v>
      </c>
    </row>
    <row r="790" customFormat="false" ht="12.75" hidden="false" customHeight="false" outlineLevel="0" collapsed="false">
      <c r="A790" s="0" t="n">
        <f aca="false">B790*1000+C790</f>
        <v>18060</v>
      </c>
      <c r="B790" s="0" t="n">
        <v>18</v>
      </c>
      <c r="C790" s="0" t="n">
        <v>60</v>
      </c>
      <c r="D790" s="0" t="n">
        <v>0</v>
      </c>
      <c r="E790" s="0" t="n">
        <f aca="false">VLOOKUP(B790,'MSA-Lookup'!$H$2:$I$86,2)</f>
        <v>5775</v>
      </c>
      <c r="F790" s="0" t="n">
        <f aca="false">IF(C790&gt;1,IF(C790&lt;99,VLOOKUP(C790,'MSA-Lookup'!$H$1:$I$86,2),C790),C790)</f>
        <v>4480</v>
      </c>
      <c r="G790" s="0" t="n">
        <f aca="false">VLOOKUP(E790,'MSA-Lookup'!$AA$1:$AB$25,2)</f>
        <v>7362</v>
      </c>
      <c r="H790" s="0" t="n">
        <f aca="false">IF(C790&gt;1,IF(C790&lt;99,VLOOKUP(F790,'MSA-Lookup'!$AA$1:$AB$25,2),C790),C790)</f>
        <v>4472</v>
      </c>
    </row>
    <row r="791" customFormat="false" ht="12.75" hidden="false" customHeight="false" outlineLevel="0" collapsed="false">
      <c r="A791" s="0" t="n">
        <f aca="false">B791*1000+C791</f>
        <v>18062</v>
      </c>
      <c r="B791" s="0" t="n">
        <v>18</v>
      </c>
      <c r="C791" s="0" t="n">
        <v>62</v>
      </c>
      <c r="D791" s="0" t="n">
        <v>104</v>
      </c>
      <c r="E791" s="0" t="n">
        <f aca="false">VLOOKUP(B791,'MSA-Lookup'!$H$2:$I$86,2)</f>
        <v>5775</v>
      </c>
      <c r="F791" s="0" t="n">
        <f aca="false">IF(C791&gt;1,IF(C791&lt;99,VLOOKUP(C791,'MSA-Lookup'!$H$1:$I$86,2),C791),C791)</f>
        <v>4480</v>
      </c>
      <c r="G791" s="0" t="n">
        <f aca="false">VLOOKUP(E791,'MSA-Lookup'!$AA$1:$AB$25,2)</f>
        <v>7362</v>
      </c>
      <c r="H791" s="0" t="n">
        <f aca="false">IF(C791&gt;1,IF(C791&lt;99,VLOOKUP(F791,'MSA-Lookup'!$AA$1:$AB$25,2),C791),C791)</f>
        <v>4472</v>
      </c>
    </row>
    <row r="792" customFormat="false" ht="12.75" hidden="false" customHeight="false" outlineLevel="0" collapsed="false">
      <c r="A792" s="0" t="n">
        <f aca="false">B792*1000+C792</f>
        <v>18064</v>
      </c>
      <c r="B792" s="0" t="n">
        <v>18</v>
      </c>
      <c r="C792" s="0" t="n">
        <v>64</v>
      </c>
      <c r="D792" s="0" t="n">
        <v>247</v>
      </c>
      <c r="E792" s="0" t="n">
        <f aca="false">VLOOKUP(B792,'MSA-Lookup'!$H$2:$I$86,2)</f>
        <v>5775</v>
      </c>
      <c r="F792" s="0" t="n">
        <f aca="false">IF(C792&gt;1,IF(C792&lt;99,VLOOKUP(C792,'MSA-Lookup'!$H$1:$I$86,2),C792),C792)</f>
        <v>4480</v>
      </c>
      <c r="G792" s="0" t="n">
        <f aca="false">VLOOKUP(E792,'MSA-Lookup'!$AA$1:$AB$25,2)</f>
        <v>7362</v>
      </c>
      <c r="H792" s="0" t="n">
        <f aca="false">IF(C792&gt;1,IF(C792&lt;99,VLOOKUP(F792,'MSA-Lookup'!$AA$1:$AB$25,2),C792),C792)</f>
        <v>4472</v>
      </c>
    </row>
    <row r="793" customFormat="false" ht="12.75" hidden="false" customHeight="false" outlineLevel="0" collapsed="false">
      <c r="A793" s="0" t="n">
        <f aca="false">B793*1000+C793</f>
        <v>18065</v>
      </c>
      <c r="B793" s="0" t="n">
        <v>18</v>
      </c>
      <c r="C793" s="0" t="n">
        <v>65</v>
      </c>
      <c r="D793" s="0" t="n">
        <v>130</v>
      </c>
      <c r="E793" s="0" t="n">
        <f aca="false">VLOOKUP(B793,'MSA-Lookup'!$H$2:$I$86,2)</f>
        <v>5775</v>
      </c>
      <c r="F793" s="0" t="n">
        <f aca="false">IF(C793&gt;1,IF(C793&lt;99,VLOOKUP(C793,'MSA-Lookup'!$H$1:$I$86,2),C793),C793)</f>
        <v>4480</v>
      </c>
      <c r="G793" s="0" t="n">
        <f aca="false">VLOOKUP(E793,'MSA-Lookup'!$AA$1:$AB$25,2)</f>
        <v>7362</v>
      </c>
      <c r="H793" s="0" t="n">
        <f aca="false">IF(C793&gt;1,IF(C793&lt;99,VLOOKUP(F793,'MSA-Lookup'!$AA$1:$AB$25,2),C793),C793)</f>
        <v>4472</v>
      </c>
    </row>
    <row r="794" customFormat="false" ht="12.75" hidden="false" customHeight="false" outlineLevel="0" collapsed="false">
      <c r="A794" s="0" t="n">
        <f aca="false">B794*1000+C794</f>
        <v>18067</v>
      </c>
      <c r="B794" s="0" t="n">
        <v>18</v>
      </c>
      <c r="C794" s="0" t="n">
        <v>67</v>
      </c>
      <c r="D794" s="0" t="n">
        <v>0</v>
      </c>
      <c r="E794" s="0" t="n">
        <f aca="false">VLOOKUP(B794,'MSA-Lookup'!$H$2:$I$86,2)</f>
        <v>5775</v>
      </c>
      <c r="F794" s="0" t="n">
        <f aca="false">IF(C794&gt;1,IF(C794&lt;99,VLOOKUP(C794,'MSA-Lookup'!$H$1:$I$86,2),C794),C794)</f>
        <v>6000</v>
      </c>
      <c r="G794" s="0" t="n">
        <f aca="false">VLOOKUP(E794,'MSA-Lookup'!$AA$1:$AB$25,2)</f>
        <v>7362</v>
      </c>
      <c r="H794" s="0" t="n">
        <f aca="false">IF(C794&gt;1,IF(C794&lt;99,VLOOKUP(F794,'MSA-Lookup'!$AA$1:$AB$25,2),C794),C794)</f>
        <v>4472</v>
      </c>
    </row>
    <row r="795" customFormat="false" ht="12.75" hidden="false" customHeight="false" outlineLevel="0" collapsed="false">
      <c r="A795" s="0" t="n">
        <f aca="false">B795*1000+C795</f>
        <v>18069</v>
      </c>
      <c r="B795" s="0" t="n">
        <v>18</v>
      </c>
      <c r="C795" s="0" t="n">
        <v>69</v>
      </c>
      <c r="D795" s="0" t="n">
        <v>0</v>
      </c>
      <c r="E795" s="0" t="n">
        <f aca="false">VLOOKUP(B795,'MSA-Lookup'!$H$2:$I$86,2)</f>
        <v>5775</v>
      </c>
      <c r="F795" s="0" t="n">
        <f aca="false">IF(C795&gt;1,IF(C795&lt;99,VLOOKUP(C795,'MSA-Lookup'!$H$1:$I$86,2),C795),C795)</f>
        <v>6780</v>
      </c>
      <c r="G795" s="0" t="n">
        <f aca="false">VLOOKUP(E795,'MSA-Lookup'!$AA$1:$AB$25,2)</f>
        <v>7362</v>
      </c>
      <c r="H795" s="0" t="n">
        <f aca="false">IF(C795&gt;1,IF(C795&lt;99,VLOOKUP(F795,'MSA-Lookup'!$AA$1:$AB$25,2),C795),C795)</f>
        <v>4472</v>
      </c>
    </row>
    <row r="796" customFormat="false" ht="12.75" hidden="false" customHeight="false" outlineLevel="0" collapsed="false">
      <c r="A796" s="0" t="n">
        <f aca="false">B796*1000+C796</f>
        <v>18071</v>
      </c>
      <c r="B796" s="0" t="n">
        <v>18</v>
      </c>
      <c r="C796" s="0" t="n">
        <v>71</v>
      </c>
      <c r="D796" s="0" t="n">
        <v>91</v>
      </c>
      <c r="E796" s="0" t="n">
        <f aca="false">VLOOKUP(B796,'MSA-Lookup'!$H$2:$I$86,2)</f>
        <v>5775</v>
      </c>
      <c r="F796" s="0" t="n">
        <f aca="false">IF(C796&gt;1,IF(C796&lt;99,VLOOKUP(C796,'MSA-Lookup'!$H$1:$I$86,2),C796),C796)</f>
        <v>6780</v>
      </c>
      <c r="G796" s="0" t="n">
        <f aca="false">VLOOKUP(E796,'MSA-Lookup'!$AA$1:$AB$25,2)</f>
        <v>7362</v>
      </c>
      <c r="H796" s="0" t="n">
        <f aca="false">IF(C796&gt;1,IF(C796&lt;99,VLOOKUP(F796,'MSA-Lookup'!$AA$1:$AB$25,2),C796),C796)</f>
        <v>4472</v>
      </c>
    </row>
    <row r="797" customFormat="false" ht="12.75" hidden="false" customHeight="false" outlineLevel="0" collapsed="false">
      <c r="A797" s="0" t="n">
        <f aca="false">B797*1000+C797</f>
        <v>18072</v>
      </c>
      <c r="B797" s="0" t="n">
        <v>18</v>
      </c>
      <c r="C797" s="0" t="n">
        <v>72</v>
      </c>
      <c r="D797" s="0" t="n">
        <v>78</v>
      </c>
      <c r="E797" s="0" t="n">
        <f aca="false">VLOOKUP(B797,'MSA-Lookup'!$H$2:$I$86,2)</f>
        <v>5775</v>
      </c>
      <c r="F797" s="0" t="n">
        <f aca="false">IF(C797&gt;1,IF(C797&lt;99,VLOOKUP(C797,'MSA-Lookup'!$H$1:$I$86,2),C797),C797)</f>
        <v>6780</v>
      </c>
      <c r="G797" s="0" t="n">
        <f aca="false">VLOOKUP(E797,'MSA-Lookup'!$AA$1:$AB$25,2)</f>
        <v>7362</v>
      </c>
      <c r="H797" s="0" t="n">
        <f aca="false">IF(C797&gt;1,IF(C797&lt;99,VLOOKUP(F797,'MSA-Lookup'!$AA$1:$AB$25,2),C797),C797)</f>
        <v>4472</v>
      </c>
    </row>
    <row r="798" customFormat="false" ht="12.75" hidden="false" customHeight="false" outlineLevel="0" collapsed="false">
      <c r="A798" s="0" t="n">
        <f aca="false">B798*1000+C798</f>
        <v>18073</v>
      </c>
      <c r="B798" s="0" t="n">
        <v>18</v>
      </c>
      <c r="C798" s="0" t="n">
        <v>73</v>
      </c>
      <c r="D798" s="0" t="n">
        <v>1443</v>
      </c>
      <c r="E798" s="0" t="n">
        <f aca="false">VLOOKUP(B798,'MSA-Lookup'!$H$2:$I$86,2)</f>
        <v>5775</v>
      </c>
      <c r="F798" s="0" t="n">
        <f aca="false">IF(C798&gt;1,IF(C798&lt;99,VLOOKUP(C798,'MSA-Lookup'!$H$1:$I$86,2),C798),C798)</f>
        <v>8720</v>
      </c>
      <c r="G798" s="0" t="n">
        <f aca="false">VLOOKUP(E798,'MSA-Lookup'!$AA$1:$AB$25,2)</f>
        <v>7362</v>
      </c>
      <c r="H798" s="0" t="n">
        <f aca="false">IF(C798&gt;1,IF(C798&lt;99,VLOOKUP(F798,'MSA-Lookup'!$AA$1:$AB$25,2),C798),C798)</f>
        <v>7362</v>
      </c>
    </row>
    <row r="799" customFormat="false" ht="12.75" hidden="false" customHeight="false" outlineLevel="0" collapsed="false">
      <c r="A799" s="0" t="n">
        <f aca="false">B799*1000+C799</f>
        <v>18075</v>
      </c>
      <c r="B799" s="0" t="n">
        <v>18</v>
      </c>
      <c r="C799" s="0" t="n">
        <v>75</v>
      </c>
      <c r="D799" s="0" t="n">
        <v>117</v>
      </c>
      <c r="E799" s="0" t="n">
        <f aca="false">VLOOKUP(B799,'MSA-Lookup'!$H$2:$I$86,2)</f>
        <v>5775</v>
      </c>
      <c r="F799" s="0" t="n">
        <f aca="false">IF(C799&gt;1,IF(C799&lt;99,VLOOKUP(C799,'MSA-Lookup'!$H$1:$I$86,2),C799),C799)</f>
        <v>8780</v>
      </c>
      <c r="G799" s="0" t="n">
        <f aca="false">VLOOKUP(E799,'MSA-Lookup'!$AA$1:$AB$25,2)</f>
        <v>7362</v>
      </c>
      <c r="H799" s="0" t="n">
        <f aca="false">IF(C799&gt;1,IF(C799&lt;99,VLOOKUP(F799,'MSA-Lookup'!$AA$1:$AB$25,2),C799),C799)</f>
        <v>8780</v>
      </c>
    </row>
    <row r="800" customFormat="false" ht="12.75" hidden="false" customHeight="false" outlineLevel="0" collapsed="false">
      <c r="A800" s="0" t="n">
        <f aca="false">B800*1000+C800</f>
        <v>18076</v>
      </c>
      <c r="B800" s="0" t="n">
        <v>18</v>
      </c>
      <c r="C800" s="0" t="n">
        <v>76</v>
      </c>
      <c r="D800" s="0" t="n">
        <v>52</v>
      </c>
      <c r="E800" s="0" t="n">
        <f aca="false">VLOOKUP(B800,'MSA-Lookup'!$H$2:$I$86,2)</f>
        <v>5775</v>
      </c>
      <c r="F800" s="0" t="n">
        <f aca="false">IF(C800&gt;1,IF(C800&lt;99,VLOOKUP(C800,'MSA-Lookup'!$H$1:$I$86,2),C800),C800)</f>
        <v>7485</v>
      </c>
      <c r="G800" s="0" t="n">
        <f aca="false">VLOOKUP(E800,'MSA-Lookup'!$AA$1:$AB$25,2)</f>
        <v>7362</v>
      </c>
      <c r="H800" s="0" t="n">
        <f aca="false">IF(C800&gt;1,IF(C800&lt;99,VLOOKUP(F800,'MSA-Lookup'!$AA$1:$AB$25,2),C800),C800)</f>
        <v>7362</v>
      </c>
    </row>
    <row r="801" customFormat="false" ht="12.75" hidden="false" customHeight="false" outlineLevel="0" collapsed="false">
      <c r="A801" s="0" t="n">
        <f aca="false">B801*1000+C801</f>
        <v>18079</v>
      </c>
      <c r="B801" s="0" t="n">
        <v>18</v>
      </c>
      <c r="C801" s="0" t="n">
        <v>79</v>
      </c>
      <c r="D801" s="0" t="n">
        <v>0</v>
      </c>
      <c r="E801" s="0" t="n">
        <f aca="false">VLOOKUP(B801,'MSA-Lookup'!$H$2:$I$86,2)</f>
        <v>5775</v>
      </c>
      <c r="F801" s="0" t="n">
        <f aca="false">IF(C801&gt;1,IF(C801&lt;99,VLOOKUP(C801,'MSA-Lookup'!$H$1:$I$86,2),C801),C801)</f>
        <v>680</v>
      </c>
      <c r="G801" s="0" t="n">
        <f aca="false">VLOOKUP(E801,'MSA-Lookup'!$AA$1:$AB$25,2)</f>
        <v>7362</v>
      </c>
      <c r="H801" s="0" t="n">
        <f aca="false">IF(C801&gt;1,IF(C801&lt;99,VLOOKUP(F801,'MSA-Lookup'!$AA$1:$AB$25,2),C801),C801)</f>
        <v>680</v>
      </c>
    </row>
    <row r="802" customFormat="false" ht="12.75" hidden="false" customHeight="false" outlineLevel="0" collapsed="false">
      <c r="A802" s="0" t="n">
        <f aca="false">B802*1000+C802</f>
        <v>18080</v>
      </c>
      <c r="B802" s="0" t="n">
        <v>18</v>
      </c>
      <c r="C802" s="0" t="n">
        <v>80</v>
      </c>
      <c r="D802" s="0" t="n">
        <v>52</v>
      </c>
      <c r="E802" s="0" t="n">
        <f aca="false">VLOOKUP(B802,'MSA-Lookup'!$H$2:$I$86,2)</f>
        <v>5775</v>
      </c>
      <c r="F802" s="0" t="n">
        <f aca="false">IF(C802&gt;1,IF(C802&lt;99,VLOOKUP(C802,'MSA-Lookup'!$H$1:$I$86,2),C802),C802)</f>
        <v>9999</v>
      </c>
      <c r="G802" s="0" t="n">
        <f aca="false">VLOOKUP(E802,'MSA-Lookup'!$AA$1:$AB$25,2)</f>
        <v>7362</v>
      </c>
      <c r="H802" s="0" t="n">
        <f aca="false">IF(C802&gt;1,IF(C802&lt;99,VLOOKUP(F802,'MSA-Lookup'!$AA$1:$AB$25,2),C802),C802)</f>
        <v>9999</v>
      </c>
    </row>
    <row r="803" customFormat="false" ht="12.75" hidden="false" customHeight="false" outlineLevel="0" collapsed="false">
      <c r="A803" s="0" t="n">
        <f aca="false">B803*1000+C803</f>
        <v>18085</v>
      </c>
      <c r="B803" s="0" t="n">
        <v>18</v>
      </c>
      <c r="C803" s="0" t="n">
        <v>85</v>
      </c>
      <c r="D803" s="0" t="n">
        <v>273</v>
      </c>
      <c r="E803" s="0" t="n">
        <f aca="false">VLOOKUP(B803,'MSA-Lookup'!$H$2:$I$86,2)</f>
        <v>5775</v>
      </c>
      <c r="F803" s="0" t="n">
        <f aca="false">IF(C803&gt;1,IF(C803&lt;99,VLOOKUP(C803,'MSA-Lookup'!$H$1:$I$86,2),C803),C803)</f>
        <v>8120</v>
      </c>
      <c r="G803" s="0" t="n">
        <f aca="false">VLOOKUP(E803,'MSA-Lookup'!$AA$1:$AB$25,2)</f>
        <v>7362</v>
      </c>
      <c r="H803" s="0" t="n">
        <f aca="false">IF(C803&gt;1,IF(C803&lt;99,VLOOKUP(F803,'MSA-Lookup'!$AA$1:$AB$25,2),C803),C803)</f>
        <v>8120</v>
      </c>
    </row>
    <row r="804" customFormat="false" ht="12.75" hidden="false" customHeight="false" outlineLevel="0" collapsed="false">
      <c r="A804" s="0" t="n">
        <f aca="false">B804*1000+C804</f>
        <v>18858</v>
      </c>
      <c r="B804" s="0" t="n">
        <v>18</v>
      </c>
      <c r="C804" s="0" t="n">
        <v>858</v>
      </c>
      <c r="D804" s="0" t="n">
        <v>78</v>
      </c>
      <c r="E804" s="0" t="n">
        <f aca="false">VLOOKUP(B804,'MSA-Lookup'!$H$2:$I$86,2)</f>
        <v>5775</v>
      </c>
      <c r="F804" s="0" t="n">
        <f aca="false">IF(C804&gt;1,IF(C804&lt;99,VLOOKUP(C804,'MSA-Lookup'!$H$1:$I$86,2),C804),C804)</f>
        <v>858</v>
      </c>
      <c r="G804" s="0" t="n">
        <f aca="false">VLOOKUP(E804,'MSA-Lookup'!$AA$1:$AB$25,2)</f>
        <v>7362</v>
      </c>
      <c r="H804" s="0" t="n">
        <f aca="false">IF(C804&gt;1,IF(C804&lt;99,VLOOKUP(F804,'MSA-Lookup'!$AA$1:$AB$25,2),C804),C804)</f>
        <v>858</v>
      </c>
    </row>
    <row r="805" customFormat="false" ht="12.75" hidden="false" customHeight="false" outlineLevel="0" collapsed="false">
      <c r="A805" s="0" t="n">
        <f aca="false">B805*1000+C805</f>
        <v>18999</v>
      </c>
      <c r="B805" s="0" t="n">
        <v>18</v>
      </c>
      <c r="C805" s="0" t="n">
        <v>999</v>
      </c>
      <c r="D805" s="0" t="n">
        <v>351</v>
      </c>
      <c r="E805" s="0" t="n">
        <f aca="false">VLOOKUP(B805,'MSA-Lookup'!$H$2:$I$86,2)</f>
        <v>5775</v>
      </c>
      <c r="F805" s="0" t="n">
        <f aca="false">IF(C805&gt;1,IF(C805&lt;99,VLOOKUP(C805,'MSA-Lookup'!$H$1:$I$86,2),C805),C805)</f>
        <v>999</v>
      </c>
      <c r="G805" s="0" t="n">
        <f aca="false">VLOOKUP(E805,'MSA-Lookup'!$AA$1:$AB$25,2)</f>
        <v>7362</v>
      </c>
      <c r="H805" s="0" t="n">
        <f aca="false">IF(C805&gt;1,IF(C805&lt;99,VLOOKUP(F805,'MSA-Lookup'!$AA$1:$AB$25,2),C805),C805)</f>
        <v>999</v>
      </c>
    </row>
    <row r="806" customFormat="false" ht="12.75" hidden="false" customHeight="false" outlineLevel="0" collapsed="false">
      <c r="A806" s="0" t="n">
        <f aca="false">B806*1000+C806</f>
        <v>19000</v>
      </c>
      <c r="B806" s="0" t="n">
        <v>19</v>
      </c>
      <c r="C806" s="0" t="n">
        <v>0</v>
      </c>
      <c r="D806" s="0" t="n">
        <v>347230</v>
      </c>
      <c r="E806" s="0" t="n">
        <f aca="false">VLOOKUP(B806,'MSA-Lookup'!$H$2:$I$86,2)</f>
        <v>7360</v>
      </c>
      <c r="F806" s="0" t="n">
        <f aca="false">IF(C806&gt;1,IF(C806&lt;99,VLOOKUP(C806,'MSA-Lookup'!$H$1:$I$86,2),C806),C806)</f>
        <v>0</v>
      </c>
      <c r="G806" s="0" t="n">
        <f aca="false">VLOOKUP(E806,'MSA-Lookup'!$AA$1:$AB$25,2)</f>
        <v>7362</v>
      </c>
      <c r="H806" s="0" t="n">
        <f aca="false">IF(C806&gt;1,IF(C806&lt;99,VLOOKUP(F806,'MSA-Lookup'!$AA$1:$AB$25,2),C806),C806)</f>
        <v>0</v>
      </c>
    </row>
    <row r="807" customFormat="false" ht="12.75" hidden="false" customHeight="false" outlineLevel="0" collapsed="false">
      <c r="A807" s="0" t="n">
        <f aca="false">B807*1000+C807</f>
        <v>19001</v>
      </c>
      <c r="B807" s="0" t="n">
        <v>19</v>
      </c>
      <c r="C807" s="0" t="n">
        <v>1</v>
      </c>
      <c r="D807" s="0" t="n">
        <v>143</v>
      </c>
      <c r="E807" s="0" t="n">
        <f aca="false">VLOOKUP(B807,'MSA-Lookup'!$H$2:$I$86,2)</f>
        <v>7360</v>
      </c>
      <c r="F807" s="0" t="n">
        <f aca="false">IF(C807&gt;1,IF(C807&lt;99,VLOOKUP(C807,'MSA-Lookup'!$H$1:$I$86,2),C807),C807)</f>
        <v>1</v>
      </c>
      <c r="G807" s="0" t="n">
        <f aca="false">VLOOKUP(E807,'MSA-Lookup'!$AA$1:$AB$25,2)</f>
        <v>7362</v>
      </c>
      <c r="H807" s="0" t="n">
        <f aca="false">IF(C807&gt;1,IF(C807&lt;99,VLOOKUP(F807,'MSA-Lookup'!$AA$1:$AB$25,2),C807),C807)</f>
        <v>1</v>
      </c>
    </row>
    <row r="808" customFormat="false" ht="12.75" hidden="false" customHeight="false" outlineLevel="0" collapsed="false">
      <c r="A808" s="0" t="n">
        <f aca="false">B808*1000+C808</f>
        <v>19002</v>
      </c>
      <c r="B808" s="0" t="n">
        <v>19</v>
      </c>
      <c r="C808" s="0" t="n">
        <v>2</v>
      </c>
      <c r="D808" s="0" t="n">
        <v>78</v>
      </c>
      <c r="E808" s="0" t="n">
        <f aca="false">VLOOKUP(B808,'MSA-Lookup'!$H$2:$I$86,2)</f>
        <v>7360</v>
      </c>
      <c r="F808" s="0" t="n">
        <f aca="false">IF(C808&gt;1,IF(C808&lt;99,VLOOKUP(C808,'MSA-Lookup'!$H$1:$I$86,2),C808),C808)</f>
        <v>9999</v>
      </c>
      <c r="G808" s="0" t="n">
        <f aca="false">VLOOKUP(E808,'MSA-Lookup'!$AA$1:$AB$25,2)</f>
        <v>7362</v>
      </c>
      <c r="H808" s="0" t="n">
        <f aca="false">IF(C808&gt;1,IF(C808&lt;99,VLOOKUP(F808,'MSA-Lookup'!$AA$1:$AB$25,2),C808),C808)</f>
        <v>9999</v>
      </c>
    </row>
    <row r="809" customFormat="false" ht="12.75" hidden="false" customHeight="false" outlineLevel="0" collapsed="false">
      <c r="A809" s="0" t="n">
        <f aca="false">B809*1000+C809</f>
        <v>19003</v>
      </c>
      <c r="B809" s="0" t="n">
        <v>19</v>
      </c>
      <c r="C809" s="0" t="n">
        <v>3</v>
      </c>
      <c r="D809" s="0" t="n">
        <v>156</v>
      </c>
      <c r="E809" s="0" t="n">
        <f aca="false">VLOOKUP(B809,'MSA-Lookup'!$H$2:$I$86,2)</f>
        <v>7360</v>
      </c>
      <c r="F809" s="0" t="n">
        <f aca="false">IF(C809&gt;1,IF(C809&lt;99,VLOOKUP(C809,'MSA-Lookup'!$H$1:$I$86,2),C809),C809)</f>
        <v>6690</v>
      </c>
      <c r="G809" s="0" t="n">
        <f aca="false">VLOOKUP(E809,'MSA-Lookup'!$AA$1:$AB$25,2)</f>
        <v>7362</v>
      </c>
      <c r="H809" s="0" t="n">
        <f aca="false">IF(C809&gt;1,IF(C809&lt;99,VLOOKUP(F809,'MSA-Lookup'!$AA$1:$AB$25,2),C809),C809)</f>
        <v>6690</v>
      </c>
    </row>
    <row r="810" customFormat="false" ht="12.75" hidden="false" customHeight="false" outlineLevel="0" collapsed="false">
      <c r="A810" s="0" t="n">
        <f aca="false">B810*1000+C810</f>
        <v>19004</v>
      </c>
      <c r="B810" s="0" t="n">
        <v>19</v>
      </c>
      <c r="C810" s="0" t="n">
        <v>4</v>
      </c>
      <c r="D810" s="0" t="n">
        <v>182</v>
      </c>
      <c r="E810" s="0" t="n">
        <f aca="false">VLOOKUP(B810,'MSA-Lookup'!$H$2:$I$86,2)</f>
        <v>7360</v>
      </c>
      <c r="F810" s="0" t="n">
        <f aca="false">IF(C810&gt;1,IF(C810&lt;99,VLOOKUP(C810,'MSA-Lookup'!$H$1:$I$86,2),C810),C810)</f>
        <v>9999</v>
      </c>
      <c r="G810" s="0" t="n">
        <f aca="false">VLOOKUP(E810,'MSA-Lookup'!$AA$1:$AB$25,2)</f>
        <v>7362</v>
      </c>
      <c r="H810" s="0" t="n">
        <f aca="false">IF(C810&gt;1,IF(C810&lt;99,VLOOKUP(F810,'MSA-Lookup'!$AA$1:$AB$25,2),C810),C810)</f>
        <v>9999</v>
      </c>
    </row>
    <row r="811" customFormat="false" ht="12.75" hidden="false" customHeight="false" outlineLevel="0" collapsed="false">
      <c r="A811" s="0" t="n">
        <f aca="false">B811*1000+C811</f>
        <v>19005</v>
      </c>
      <c r="B811" s="0" t="n">
        <v>19</v>
      </c>
      <c r="C811" s="0" t="n">
        <v>5</v>
      </c>
      <c r="D811" s="0" t="n">
        <v>0</v>
      </c>
      <c r="E811" s="0" t="n">
        <f aca="false">VLOOKUP(B811,'MSA-Lookup'!$H$2:$I$86,2)</f>
        <v>7360</v>
      </c>
      <c r="F811" s="0" t="n">
        <f aca="false">IF(C811&gt;1,IF(C811&lt;99,VLOOKUP(C811,'MSA-Lookup'!$H$1:$I$86,2),C811),C811)</f>
        <v>9999</v>
      </c>
      <c r="G811" s="0" t="n">
        <f aca="false">VLOOKUP(E811,'MSA-Lookup'!$AA$1:$AB$25,2)</f>
        <v>7362</v>
      </c>
      <c r="H811" s="0" t="n">
        <f aca="false">IF(C811&gt;1,IF(C811&lt;99,VLOOKUP(F811,'MSA-Lookup'!$AA$1:$AB$25,2),C811),C811)</f>
        <v>9999</v>
      </c>
    </row>
    <row r="812" customFormat="false" ht="12.75" hidden="false" customHeight="false" outlineLevel="0" collapsed="false">
      <c r="A812" s="0" t="n">
        <f aca="false">B812*1000+C812</f>
        <v>19006</v>
      </c>
      <c r="B812" s="0" t="n">
        <v>19</v>
      </c>
      <c r="C812" s="0" t="n">
        <v>6</v>
      </c>
      <c r="D812" s="0" t="n">
        <v>0</v>
      </c>
      <c r="E812" s="0" t="n">
        <f aca="false">VLOOKUP(B812,'MSA-Lookup'!$H$2:$I$86,2)</f>
        <v>7360</v>
      </c>
      <c r="F812" s="0" t="n">
        <f aca="false">IF(C812&gt;1,IF(C812&lt;99,VLOOKUP(C812,'MSA-Lookup'!$H$1:$I$86,2),C812),C812)</f>
        <v>1620</v>
      </c>
      <c r="G812" s="0" t="n">
        <f aca="false">VLOOKUP(E812,'MSA-Lookup'!$AA$1:$AB$25,2)</f>
        <v>7362</v>
      </c>
      <c r="H812" s="0" t="n">
        <f aca="false">IF(C812&gt;1,IF(C812&lt;99,VLOOKUP(F812,'MSA-Lookup'!$AA$1:$AB$25,2),C812),C812)</f>
        <v>1620</v>
      </c>
    </row>
    <row r="813" customFormat="false" ht="12.75" hidden="false" customHeight="false" outlineLevel="0" collapsed="false">
      <c r="A813" s="0" t="n">
        <f aca="false">B813*1000+C813</f>
        <v>19007</v>
      </c>
      <c r="B813" s="0" t="n">
        <v>19</v>
      </c>
      <c r="C813" s="0" t="n">
        <v>7</v>
      </c>
      <c r="D813" s="0" t="n">
        <v>78</v>
      </c>
      <c r="E813" s="0" t="n">
        <f aca="false">VLOOKUP(B813,'MSA-Lookup'!$H$2:$I$86,2)</f>
        <v>7360</v>
      </c>
      <c r="F813" s="0" t="n">
        <f aca="false">IF(C813&gt;1,IF(C813&lt;99,VLOOKUP(C813,'MSA-Lookup'!$H$1:$I$86,2),C813),C813)</f>
        <v>9999</v>
      </c>
      <c r="G813" s="0" t="n">
        <f aca="false">VLOOKUP(E813,'MSA-Lookup'!$AA$1:$AB$25,2)</f>
        <v>7362</v>
      </c>
      <c r="H813" s="0" t="n">
        <f aca="false">IF(C813&gt;1,IF(C813&lt;99,VLOOKUP(F813,'MSA-Lookup'!$AA$1:$AB$25,2),C813),C813)</f>
        <v>9999</v>
      </c>
    </row>
    <row r="814" customFormat="false" ht="12.75" hidden="false" customHeight="false" outlineLevel="0" collapsed="false">
      <c r="A814" s="0" t="n">
        <f aca="false">B814*1000+C814</f>
        <v>19008</v>
      </c>
      <c r="B814" s="0" t="n">
        <v>19</v>
      </c>
      <c r="C814" s="0" t="n">
        <v>8</v>
      </c>
      <c r="D814" s="0" t="n">
        <v>0</v>
      </c>
      <c r="E814" s="0" t="n">
        <f aca="false">VLOOKUP(B814,'MSA-Lookup'!$H$2:$I$86,2)</f>
        <v>7360</v>
      </c>
      <c r="F814" s="0" t="n">
        <f aca="false">IF(C814&gt;1,IF(C814&lt;99,VLOOKUP(C814,'MSA-Lookup'!$H$1:$I$86,2),C814),C814)</f>
        <v>9340</v>
      </c>
      <c r="G814" s="0" t="n">
        <f aca="false">VLOOKUP(E814,'MSA-Lookup'!$AA$1:$AB$25,2)</f>
        <v>7362</v>
      </c>
      <c r="H814" s="0" t="n">
        <f aca="false">IF(C814&gt;1,IF(C814&lt;99,VLOOKUP(F814,'MSA-Lookup'!$AA$1:$AB$25,2),C814),C814)</f>
        <v>9340</v>
      </c>
    </row>
    <row r="815" customFormat="false" ht="12.75" hidden="false" customHeight="false" outlineLevel="0" collapsed="false">
      <c r="A815" s="0" t="n">
        <f aca="false">B815*1000+C815</f>
        <v>19009</v>
      </c>
      <c r="B815" s="0" t="n">
        <v>19</v>
      </c>
      <c r="C815" s="0" t="n">
        <v>9</v>
      </c>
      <c r="D815" s="0" t="n">
        <v>130</v>
      </c>
      <c r="E815" s="0" t="n">
        <f aca="false">VLOOKUP(B815,'MSA-Lookup'!$H$2:$I$86,2)</f>
        <v>7360</v>
      </c>
      <c r="F815" s="0" t="n">
        <f aca="false">IF(C815&gt;1,IF(C815&lt;99,VLOOKUP(C815,'MSA-Lookup'!$H$1:$I$86,2),C815),C815)</f>
        <v>8720</v>
      </c>
      <c r="G815" s="0" t="n">
        <f aca="false">VLOOKUP(E815,'MSA-Lookup'!$AA$1:$AB$25,2)</f>
        <v>7362</v>
      </c>
      <c r="H815" s="0" t="n">
        <f aca="false">IF(C815&gt;1,IF(C815&lt;99,VLOOKUP(F815,'MSA-Lookup'!$AA$1:$AB$25,2),C815),C815)</f>
        <v>7362</v>
      </c>
    </row>
    <row r="816" customFormat="false" ht="12.75" hidden="false" customHeight="false" outlineLevel="0" collapsed="false">
      <c r="A816" s="0" t="n">
        <f aca="false">B816*1000+C816</f>
        <v>19010</v>
      </c>
      <c r="B816" s="0" t="n">
        <v>19</v>
      </c>
      <c r="C816" s="0" t="n">
        <v>10</v>
      </c>
      <c r="D816" s="0" t="n">
        <v>0</v>
      </c>
      <c r="E816" s="0" t="n">
        <f aca="false">VLOOKUP(B816,'MSA-Lookup'!$H$2:$I$86,2)</f>
        <v>7360</v>
      </c>
      <c r="F816" s="0" t="n">
        <f aca="false">IF(C816&gt;1,IF(C816&lt;99,VLOOKUP(C816,'MSA-Lookup'!$H$1:$I$86,2),C816),C816)</f>
        <v>6920</v>
      </c>
      <c r="G816" s="0" t="n">
        <f aca="false">VLOOKUP(E816,'MSA-Lookup'!$AA$1:$AB$25,2)</f>
        <v>7362</v>
      </c>
      <c r="H816" s="0" t="n">
        <f aca="false">IF(C816&gt;1,IF(C816&lt;99,VLOOKUP(F816,'MSA-Lookup'!$AA$1:$AB$25,2),C816),C816)</f>
        <v>6920</v>
      </c>
    </row>
    <row r="817" customFormat="false" ht="12.75" hidden="false" customHeight="false" outlineLevel="0" collapsed="false">
      <c r="A817" s="0" t="n">
        <f aca="false">B817*1000+C817</f>
        <v>19011</v>
      </c>
      <c r="B817" s="0" t="n">
        <v>19</v>
      </c>
      <c r="C817" s="0" t="n">
        <v>11</v>
      </c>
      <c r="D817" s="0" t="n">
        <v>117</v>
      </c>
      <c r="E817" s="0" t="n">
        <f aca="false">VLOOKUP(B817,'MSA-Lookup'!$H$2:$I$86,2)</f>
        <v>7360</v>
      </c>
      <c r="F817" s="0" t="n">
        <f aca="false">IF(C817&gt;1,IF(C817&lt;99,VLOOKUP(C817,'MSA-Lookup'!$H$1:$I$86,2),C817),C817)</f>
        <v>6920</v>
      </c>
      <c r="G817" s="0" t="n">
        <f aca="false">VLOOKUP(E817,'MSA-Lookup'!$AA$1:$AB$25,2)</f>
        <v>7362</v>
      </c>
      <c r="H817" s="0" t="n">
        <f aca="false">IF(C817&gt;1,IF(C817&lt;99,VLOOKUP(F817,'MSA-Lookup'!$AA$1:$AB$25,2),C817),C817)</f>
        <v>6920</v>
      </c>
    </row>
    <row r="818" customFormat="false" ht="12.75" hidden="false" customHeight="false" outlineLevel="0" collapsed="false">
      <c r="A818" s="0" t="n">
        <f aca="false">B818*1000+C818</f>
        <v>19012</v>
      </c>
      <c r="B818" s="0" t="n">
        <v>19</v>
      </c>
      <c r="C818" s="0" t="n">
        <v>12</v>
      </c>
      <c r="D818" s="0" t="n">
        <v>0</v>
      </c>
      <c r="E818" s="0" t="n">
        <f aca="false">VLOOKUP(B818,'MSA-Lookup'!$H$2:$I$86,2)</f>
        <v>7360</v>
      </c>
      <c r="F818" s="0" t="n">
        <f aca="false">IF(C818&gt;1,IF(C818&lt;99,VLOOKUP(C818,'MSA-Lookup'!$H$1:$I$86,2),C818),C818)</f>
        <v>6920</v>
      </c>
      <c r="G818" s="0" t="n">
        <f aca="false">VLOOKUP(E818,'MSA-Lookup'!$AA$1:$AB$25,2)</f>
        <v>7362</v>
      </c>
      <c r="H818" s="0" t="n">
        <f aca="false">IF(C818&gt;1,IF(C818&lt;99,VLOOKUP(F818,'MSA-Lookup'!$AA$1:$AB$25,2),C818),C818)</f>
        <v>6920</v>
      </c>
    </row>
    <row r="819" customFormat="false" ht="12.75" hidden="false" customHeight="false" outlineLevel="0" collapsed="false">
      <c r="A819" s="0" t="n">
        <f aca="false">B819*1000+C819</f>
        <v>19013</v>
      </c>
      <c r="B819" s="0" t="n">
        <v>19</v>
      </c>
      <c r="C819" s="0" t="n">
        <v>13</v>
      </c>
      <c r="D819" s="0" t="n">
        <v>143</v>
      </c>
      <c r="E819" s="0" t="n">
        <f aca="false">VLOOKUP(B819,'MSA-Lookup'!$H$2:$I$86,2)</f>
        <v>7360</v>
      </c>
      <c r="F819" s="0" t="n">
        <f aca="false">IF(C819&gt;1,IF(C819&lt;99,VLOOKUP(C819,'MSA-Lookup'!$H$1:$I$86,2),C819),C819)</f>
        <v>7500</v>
      </c>
      <c r="G819" s="0" t="n">
        <f aca="false">VLOOKUP(E819,'MSA-Lookup'!$AA$1:$AB$25,2)</f>
        <v>7362</v>
      </c>
      <c r="H819" s="0" t="n">
        <f aca="false">IF(C819&gt;1,IF(C819&lt;99,VLOOKUP(F819,'MSA-Lookup'!$AA$1:$AB$25,2),C819),C819)</f>
        <v>7362</v>
      </c>
    </row>
    <row r="820" customFormat="false" ht="12.75" hidden="false" customHeight="false" outlineLevel="0" collapsed="false">
      <c r="A820" s="0" t="n">
        <f aca="false">B820*1000+C820</f>
        <v>19014</v>
      </c>
      <c r="B820" s="0" t="n">
        <v>19</v>
      </c>
      <c r="C820" s="0" t="n">
        <v>14</v>
      </c>
      <c r="D820" s="0" t="n">
        <v>494</v>
      </c>
      <c r="E820" s="0" t="n">
        <f aca="false">VLOOKUP(B820,'MSA-Lookup'!$H$2:$I$86,2)</f>
        <v>7360</v>
      </c>
      <c r="F820" s="0" t="n">
        <f aca="false">IF(C820&gt;1,IF(C820&lt;99,VLOOKUP(C820,'MSA-Lookup'!$H$1:$I$86,2),C820),C820)</f>
        <v>7500</v>
      </c>
      <c r="G820" s="0" t="n">
        <f aca="false">VLOOKUP(E820,'MSA-Lookup'!$AA$1:$AB$25,2)</f>
        <v>7362</v>
      </c>
      <c r="H820" s="0" t="n">
        <f aca="false">IF(C820&gt;1,IF(C820&lt;99,VLOOKUP(F820,'MSA-Lookup'!$AA$1:$AB$25,2),C820),C820)</f>
        <v>7362</v>
      </c>
    </row>
    <row r="821" customFormat="false" ht="12.75" hidden="false" customHeight="false" outlineLevel="0" collapsed="false">
      <c r="A821" s="0" t="n">
        <f aca="false">B821*1000+C821</f>
        <v>19015</v>
      </c>
      <c r="B821" s="0" t="n">
        <v>19</v>
      </c>
      <c r="C821" s="0" t="n">
        <v>15</v>
      </c>
      <c r="D821" s="0" t="n">
        <v>4095</v>
      </c>
      <c r="E821" s="0" t="n">
        <f aca="false">VLOOKUP(B821,'MSA-Lookup'!$H$2:$I$86,2)</f>
        <v>7360</v>
      </c>
      <c r="F821" s="0" t="n">
        <f aca="false">IF(C821&gt;1,IF(C821&lt;99,VLOOKUP(C821,'MSA-Lookup'!$H$1:$I$86,2),C821),C821)</f>
        <v>7360</v>
      </c>
      <c r="G821" s="0" t="n">
        <f aca="false">VLOOKUP(E821,'MSA-Lookup'!$AA$1:$AB$25,2)</f>
        <v>7362</v>
      </c>
      <c r="H821" s="0" t="n">
        <f aca="false">IF(C821&gt;1,IF(C821&lt;99,VLOOKUP(F821,'MSA-Lookup'!$AA$1:$AB$25,2),C821),C821)</f>
        <v>7362</v>
      </c>
    </row>
    <row r="822" customFormat="false" ht="12.75" hidden="false" customHeight="false" outlineLevel="0" collapsed="false">
      <c r="A822" s="0" t="n">
        <f aca="false">B822*1000+C822</f>
        <v>19016</v>
      </c>
      <c r="B822" s="0" t="n">
        <v>19</v>
      </c>
      <c r="C822" s="0" t="n">
        <v>16</v>
      </c>
      <c r="D822" s="0" t="n">
        <v>143</v>
      </c>
      <c r="E822" s="0" t="n">
        <f aca="false">VLOOKUP(B822,'MSA-Lookup'!$H$2:$I$86,2)</f>
        <v>7360</v>
      </c>
      <c r="F822" s="0" t="n">
        <f aca="false">IF(C822&gt;1,IF(C822&lt;99,VLOOKUP(C822,'MSA-Lookup'!$H$1:$I$86,2),C822),C822)</f>
        <v>8720</v>
      </c>
      <c r="G822" s="0" t="n">
        <f aca="false">VLOOKUP(E822,'MSA-Lookup'!$AA$1:$AB$25,2)</f>
        <v>7362</v>
      </c>
      <c r="H822" s="0" t="n">
        <f aca="false">IF(C822&gt;1,IF(C822&lt;99,VLOOKUP(F822,'MSA-Lookup'!$AA$1:$AB$25,2),C822),C822)</f>
        <v>7362</v>
      </c>
    </row>
    <row r="823" customFormat="false" ht="12.75" hidden="false" customHeight="false" outlineLevel="0" collapsed="false">
      <c r="A823" s="0" t="n">
        <f aca="false">B823*1000+C823</f>
        <v>19017</v>
      </c>
      <c r="B823" s="0" t="n">
        <v>19</v>
      </c>
      <c r="C823" s="0" t="n">
        <v>17</v>
      </c>
      <c r="D823" s="0" t="n">
        <v>975</v>
      </c>
      <c r="E823" s="0" t="n">
        <f aca="false">VLOOKUP(B823,'MSA-Lookup'!$H$2:$I$86,2)</f>
        <v>7360</v>
      </c>
      <c r="F823" s="0" t="n">
        <f aca="false">IF(C823&gt;1,IF(C823&lt;99,VLOOKUP(C823,'MSA-Lookup'!$H$1:$I$86,2),C823),C823)</f>
        <v>5775</v>
      </c>
      <c r="G823" s="0" t="n">
        <f aca="false">VLOOKUP(E823,'MSA-Lookup'!$AA$1:$AB$25,2)</f>
        <v>7362</v>
      </c>
      <c r="H823" s="0" t="n">
        <f aca="false">IF(C823&gt;1,IF(C823&lt;99,VLOOKUP(F823,'MSA-Lookup'!$AA$1:$AB$25,2),C823),C823)</f>
        <v>7362</v>
      </c>
    </row>
    <row r="824" customFormat="false" ht="12.75" hidden="false" customHeight="false" outlineLevel="0" collapsed="false">
      <c r="A824" s="0" t="n">
        <f aca="false">B824*1000+C824</f>
        <v>19018</v>
      </c>
      <c r="B824" s="0" t="n">
        <v>19</v>
      </c>
      <c r="C824" s="0" t="n">
        <v>18</v>
      </c>
      <c r="D824" s="0" t="n">
        <v>5174</v>
      </c>
      <c r="E824" s="0" t="n">
        <f aca="false">VLOOKUP(B824,'MSA-Lookup'!$H$2:$I$86,2)</f>
        <v>7360</v>
      </c>
      <c r="F824" s="0" t="n">
        <f aca="false">IF(C824&gt;1,IF(C824&lt;99,VLOOKUP(C824,'MSA-Lookup'!$H$1:$I$86,2),C824),C824)</f>
        <v>5775</v>
      </c>
      <c r="G824" s="0" t="n">
        <f aca="false">VLOOKUP(E824,'MSA-Lookup'!$AA$1:$AB$25,2)</f>
        <v>7362</v>
      </c>
      <c r="H824" s="0" t="n">
        <f aca="false">IF(C824&gt;1,IF(C824&lt;99,VLOOKUP(F824,'MSA-Lookup'!$AA$1:$AB$25,2),C824),C824)</f>
        <v>7362</v>
      </c>
    </row>
    <row r="825" customFormat="false" ht="12.75" hidden="false" customHeight="false" outlineLevel="0" collapsed="false">
      <c r="A825" s="0" t="n">
        <f aca="false">B825*1000+C825</f>
        <v>19019</v>
      </c>
      <c r="B825" s="0" t="n">
        <v>19</v>
      </c>
      <c r="C825" s="0" t="n">
        <v>19</v>
      </c>
      <c r="D825" s="0" t="n">
        <v>313768</v>
      </c>
      <c r="E825" s="0" t="n">
        <f aca="false">VLOOKUP(B825,'MSA-Lookup'!$H$2:$I$86,2)</f>
        <v>7360</v>
      </c>
      <c r="F825" s="0" t="n">
        <f aca="false">IF(C825&gt;1,IF(C825&lt;99,VLOOKUP(C825,'MSA-Lookup'!$H$1:$I$86,2),C825),C825)</f>
        <v>7360</v>
      </c>
      <c r="G825" s="0" t="n">
        <f aca="false">VLOOKUP(E825,'MSA-Lookup'!$AA$1:$AB$25,2)</f>
        <v>7362</v>
      </c>
      <c r="H825" s="0" t="n">
        <f aca="false">IF(C825&gt;1,IF(C825&lt;99,VLOOKUP(F825,'MSA-Lookup'!$AA$1:$AB$25,2),C825),C825)</f>
        <v>7362</v>
      </c>
    </row>
    <row r="826" customFormat="false" ht="12.75" hidden="false" customHeight="false" outlineLevel="0" collapsed="false">
      <c r="A826" s="0" t="n">
        <f aca="false">B826*1000+C826</f>
        <v>19020</v>
      </c>
      <c r="B826" s="0" t="n">
        <v>19</v>
      </c>
      <c r="C826" s="0" t="n">
        <v>20</v>
      </c>
      <c r="D826" s="0" t="n">
        <v>5512</v>
      </c>
      <c r="E826" s="0" t="n">
        <f aca="false">VLOOKUP(B826,'MSA-Lookup'!$H$2:$I$86,2)</f>
        <v>7360</v>
      </c>
      <c r="F826" s="0" t="n">
        <f aca="false">IF(C826&gt;1,IF(C826&lt;99,VLOOKUP(C826,'MSA-Lookup'!$H$1:$I$86,2),C826),C826)</f>
        <v>5775</v>
      </c>
      <c r="G826" s="0" t="n">
        <f aca="false">VLOOKUP(E826,'MSA-Lookup'!$AA$1:$AB$25,2)</f>
        <v>7362</v>
      </c>
      <c r="H826" s="0" t="n">
        <f aca="false">IF(C826&gt;1,IF(C826&lt;99,VLOOKUP(F826,'MSA-Lookup'!$AA$1:$AB$25,2),C826),C826)</f>
        <v>7362</v>
      </c>
    </row>
    <row r="827" customFormat="false" ht="12.75" hidden="false" customHeight="false" outlineLevel="0" collapsed="false">
      <c r="A827" s="0" t="n">
        <f aca="false">B827*1000+C827</f>
        <v>19021</v>
      </c>
      <c r="B827" s="0" t="n">
        <v>19</v>
      </c>
      <c r="C827" s="0" t="n">
        <v>21</v>
      </c>
      <c r="D827" s="0" t="n">
        <v>14248</v>
      </c>
      <c r="E827" s="0" t="n">
        <f aca="false">VLOOKUP(B827,'MSA-Lookup'!$H$2:$I$86,2)</f>
        <v>7360</v>
      </c>
      <c r="F827" s="0" t="n">
        <f aca="false">IF(C827&gt;1,IF(C827&lt;99,VLOOKUP(C827,'MSA-Lookup'!$H$1:$I$86,2),C827),C827)</f>
        <v>5775</v>
      </c>
      <c r="G827" s="0" t="n">
        <f aca="false">VLOOKUP(E827,'MSA-Lookup'!$AA$1:$AB$25,2)</f>
        <v>7362</v>
      </c>
      <c r="H827" s="0" t="n">
        <f aca="false">IF(C827&gt;1,IF(C827&lt;99,VLOOKUP(F827,'MSA-Lookup'!$AA$1:$AB$25,2),C827),C827)</f>
        <v>7362</v>
      </c>
    </row>
    <row r="828" customFormat="false" ht="12.75" hidden="false" customHeight="false" outlineLevel="0" collapsed="false">
      <c r="A828" s="0" t="n">
        <f aca="false">B828*1000+C828</f>
        <v>19022</v>
      </c>
      <c r="B828" s="0" t="n">
        <v>19</v>
      </c>
      <c r="C828" s="0" t="n">
        <v>22</v>
      </c>
      <c r="D828" s="0" t="n">
        <v>29393</v>
      </c>
      <c r="E828" s="0" t="n">
        <f aca="false">VLOOKUP(B828,'MSA-Lookup'!$H$2:$I$86,2)</f>
        <v>7360</v>
      </c>
      <c r="F828" s="0" t="n">
        <f aca="false">IF(C828&gt;1,IF(C828&lt;99,VLOOKUP(C828,'MSA-Lookup'!$H$1:$I$86,2),C828),C828)</f>
        <v>7360</v>
      </c>
      <c r="G828" s="0" t="n">
        <f aca="false">VLOOKUP(E828,'MSA-Lookup'!$AA$1:$AB$25,2)</f>
        <v>7362</v>
      </c>
      <c r="H828" s="0" t="n">
        <f aca="false">IF(C828&gt;1,IF(C828&lt;99,VLOOKUP(F828,'MSA-Lookup'!$AA$1:$AB$25,2),C828),C828)</f>
        <v>7362</v>
      </c>
    </row>
    <row r="829" customFormat="false" ht="12.75" hidden="false" customHeight="false" outlineLevel="0" collapsed="false">
      <c r="A829" s="0" t="n">
        <f aca="false">B829*1000+C829</f>
        <v>19023</v>
      </c>
      <c r="B829" s="0" t="n">
        <v>19</v>
      </c>
      <c r="C829" s="0" t="n">
        <v>23</v>
      </c>
      <c r="D829" s="0" t="n">
        <v>117</v>
      </c>
      <c r="E829" s="0" t="n">
        <f aca="false">VLOOKUP(B829,'MSA-Lookup'!$H$2:$I$86,2)</f>
        <v>7360</v>
      </c>
      <c r="F829" s="0" t="n">
        <f aca="false">IF(C829&gt;1,IF(C829&lt;99,VLOOKUP(C829,'MSA-Lookup'!$H$1:$I$86,2),C829),C829)</f>
        <v>8120</v>
      </c>
      <c r="G829" s="0" t="n">
        <f aca="false">VLOOKUP(E829,'MSA-Lookup'!$AA$1:$AB$25,2)</f>
        <v>7362</v>
      </c>
      <c r="H829" s="0" t="n">
        <f aca="false">IF(C829&gt;1,IF(C829&lt;99,VLOOKUP(F829,'MSA-Lookup'!$AA$1:$AB$25,2),C829),C829)</f>
        <v>8120</v>
      </c>
    </row>
    <row r="830" customFormat="false" ht="12.75" hidden="false" customHeight="false" outlineLevel="0" collapsed="false">
      <c r="A830" s="0" t="n">
        <f aca="false">B830*1000+C830</f>
        <v>19024</v>
      </c>
      <c r="B830" s="0" t="n">
        <v>19</v>
      </c>
      <c r="C830" s="0" t="n">
        <v>24</v>
      </c>
      <c r="D830" s="0" t="n">
        <v>91</v>
      </c>
      <c r="E830" s="0" t="n">
        <f aca="false">VLOOKUP(B830,'MSA-Lookup'!$H$2:$I$86,2)</f>
        <v>7360</v>
      </c>
      <c r="F830" s="0" t="n">
        <f aca="false">IF(C830&gt;1,IF(C830&lt;99,VLOOKUP(C830,'MSA-Lookup'!$H$1:$I$86,2),C830),C830)</f>
        <v>5170</v>
      </c>
      <c r="G830" s="0" t="n">
        <f aca="false">VLOOKUP(E830,'MSA-Lookup'!$AA$1:$AB$25,2)</f>
        <v>7362</v>
      </c>
      <c r="H830" s="0" t="n">
        <f aca="false">IF(C830&gt;1,IF(C830&lt;99,VLOOKUP(F830,'MSA-Lookup'!$AA$1:$AB$25,2),C830),C830)</f>
        <v>5170</v>
      </c>
    </row>
    <row r="831" customFormat="false" ht="12.75" hidden="false" customHeight="false" outlineLevel="0" collapsed="false">
      <c r="A831" s="0" t="n">
        <f aca="false">B831*1000+C831</f>
        <v>19025</v>
      </c>
      <c r="B831" s="0" t="n">
        <v>19</v>
      </c>
      <c r="C831" s="0" t="n">
        <v>25</v>
      </c>
      <c r="D831" s="0" t="n">
        <v>143</v>
      </c>
      <c r="E831" s="0" t="n">
        <f aca="false">VLOOKUP(B831,'MSA-Lookup'!$H$2:$I$86,2)</f>
        <v>7360</v>
      </c>
      <c r="F831" s="0" t="n">
        <f aca="false">IF(C831&gt;1,IF(C831&lt;99,VLOOKUP(C831,'MSA-Lookup'!$H$1:$I$86,2),C831),C831)</f>
        <v>5170</v>
      </c>
      <c r="G831" s="0" t="n">
        <f aca="false">VLOOKUP(E831,'MSA-Lookup'!$AA$1:$AB$25,2)</f>
        <v>7362</v>
      </c>
      <c r="H831" s="0" t="n">
        <f aca="false">IF(C831&gt;1,IF(C831&lt;99,VLOOKUP(F831,'MSA-Lookup'!$AA$1:$AB$25,2),C831),C831)</f>
        <v>5170</v>
      </c>
    </row>
    <row r="832" customFormat="false" ht="12.75" hidden="false" customHeight="false" outlineLevel="0" collapsed="false">
      <c r="A832" s="0" t="n">
        <f aca="false">B832*1000+C832</f>
        <v>19026</v>
      </c>
      <c r="B832" s="0" t="n">
        <v>19</v>
      </c>
      <c r="C832" s="0" t="n">
        <v>26</v>
      </c>
      <c r="D832" s="0" t="n">
        <v>0</v>
      </c>
      <c r="E832" s="0" t="n">
        <f aca="false">VLOOKUP(B832,'MSA-Lookup'!$H$2:$I$86,2)</f>
        <v>7360</v>
      </c>
      <c r="F832" s="0" t="n">
        <f aca="false">IF(C832&gt;1,IF(C832&lt;99,VLOOKUP(C832,'MSA-Lookup'!$H$1:$I$86,2),C832),C832)</f>
        <v>9999</v>
      </c>
      <c r="G832" s="0" t="n">
        <f aca="false">VLOOKUP(E832,'MSA-Lookup'!$AA$1:$AB$25,2)</f>
        <v>7362</v>
      </c>
      <c r="H832" s="0" t="n">
        <f aca="false">IF(C832&gt;1,IF(C832&lt;99,VLOOKUP(F832,'MSA-Lookup'!$AA$1:$AB$25,2),C832),C832)</f>
        <v>9999</v>
      </c>
    </row>
    <row r="833" customFormat="false" ht="12.75" hidden="false" customHeight="false" outlineLevel="0" collapsed="false">
      <c r="A833" s="0" t="n">
        <f aca="false">B833*1000+C833</f>
        <v>19027</v>
      </c>
      <c r="B833" s="0" t="n">
        <v>19</v>
      </c>
      <c r="C833" s="0" t="n">
        <v>27</v>
      </c>
      <c r="D833" s="0" t="n">
        <v>0</v>
      </c>
      <c r="E833" s="0" t="n">
        <f aca="false">VLOOKUP(B833,'MSA-Lookup'!$H$2:$I$86,2)</f>
        <v>7360</v>
      </c>
      <c r="F833" s="0" t="n">
        <f aca="false">IF(C833&gt;1,IF(C833&lt;99,VLOOKUP(C833,'MSA-Lookup'!$H$1:$I$86,2),C833),C833)</f>
        <v>9999</v>
      </c>
      <c r="G833" s="0" t="n">
        <f aca="false">VLOOKUP(E833,'MSA-Lookup'!$AA$1:$AB$25,2)</f>
        <v>7362</v>
      </c>
      <c r="H833" s="0" t="n">
        <f aca="false">IF(C833&gt;1,IF(C833&lt;99,VLOOKUP(F833,'MSA-Lookup'!$AA$1:$AB$25,2),C833),C833)</f>
        <v>9999</v>
      </c>
    </row>
    <row r="834" customFormat="false" ht="12.75" hidden="false" customHeight="false" outlineLevel="0" collapsed="false">
      <c r="A834" s="0" t="n">
        <f aca="false">B834*1000+C834</f>
        <v>19028</v>
      </c>
      <c r="B834" s="0" t="n">
        <v>19</v>
      </c>
      <c r="C834" s="0" t="n">
        <v>28</v>
      </c>
      <c r="D834" s="0" t="n">
        <v>104</v>
      </c>
      <c r="E834" s="0" t="n">
        <f aca="false">VLOOKUP(B834,'MSA-Lookup'!$H$2:$I$86,2)</f>
        <v>7360</v>
      </c>
      <c r="F834" s="0" t="n">
        <f aca="false">IF(C834&gt;1,IF(C834&lt;99,VLOOKUP(C834,'MSA-Lookup'!$H$1:$I$86,2),C834),C834)</f>
        <v>6920</v>
      </c>
      <c r="G834" s="0" t="n">
        <f aca="false">VLOOKUP(E834,'MSA-Lookup'!$AA$1:$AB$25,2)</f>
        <v>7362</v>
      </c>
      <c r="H834" s="0" t="n">
        <f aca="false">IF(C834&gt;1,IF(C834&lt;99,VLOOKUP(F834,'MSA-Lookup'!$AA$1:$AB$25,2),C834),C834)</f>
        <v>6920</v>
      </c>
    </row>
    <row r="835" customFormat="false" ht="12.75" hidden="false" customHeight="false" outlineLevel="0" collapsed="false">
      <c r="A835" s="0" t="n">
        <f aca="false">B835*1000+C835</f>
        <v>19029</v>
      </c>
      <c r="B835" s="0" t="n">
        <v>19</v>
      </c>
      <c r="C835" s="0" t="n">
        <v>29</v>
      </c>
      <c r="D835" s="0" t="n">
        <v>0</v>
      </c>
      <c r="E835" s="0" t="n">
        <f aca="false">VLOOKUP(B835,'MSA-Lookup'!$H$2:$I$86,2)</f>
        <v>7360</v>
      </c>
      <c r="F835" s="0" t="n">
        <f aca="false">IF(C835&gt;1,IF(C835&lt;99,VLOOKUP(C835,'MSA-Lookup'!$H$1:$I$86,2),C835),C835)</f>
        <v>6920</v>
      </c>
      <c r="G835" s="0" t="n">
        <f aca="false">VLOOKUP(E835,'MSA-Lookup'!$AA$1:$AB$25,2)</f>
        <v>7362</v>
      </c>
      <c r="H835" s="0" t="n">
        <f aca="false">IF(C835&gt;1,IF(C835&lt;99,VLOOKUP(F835,'MSA-Lookup'!$AA$1:$AB$25,2),C835),C835)</f>
        <v>6920</v>
      </c>
    </row>
    <row r="836" customFormat="false" ht="12.75" hidden="false" customHeight="false" outlineLevel="0" collapsed="false">
      <c r="A836" s="0" t="n">
        <f aca="false">B836*1000+C836</f>
        <v>19030</v>
      </c>
      <c r="B836" s="0" t="n">
        <v>19</v>
      </c>
      <c r="C836" s="0" t="n">
        <v>30</v>
      </c>
      <c r="D836" s="0" t="n">
        <v>0</v>
      </c>
      <c r="E836" s="0" t="n">
        <f aca="false">VLOOKUP(B836,'MSA-Lookup'!$H$2:$I$86,2)</f>
        <v>7360</v>
      </c>
      <c r="F836" s="0" t="n">
        <f aca="false">IF(C836&gt;1,IF(C836&lt;99,VLOOKUP(C836,'MSA-Lookup'!$H$1:$I$86,2),C836),C836)</f>
        <v>4940</v>
      </c>
      <c r="G836" s="0" t="n">
        <f aca="false">VLOOKUP(E836,'MSA-Lookup'!$AA$1:$AB$25,2)</f>
        <v>7362</v>
      </c>
      <c r="H836" s="0" t="n">
        <f aca="false">IF(C836&gt;1,IF(C836&lt;99,VLOOKUP(F836,'MSA-Lookup'!$AA$1:$AB$25,2),C836),C836)</f>
        <v>4940</v>
      </c>
    </row>
    <row r="837" customFormat="false" ht="12.75" hidden="false" customHeight="false" outlineLevel="0" collapsed="false">
      <c r="A837" s="0" t="n">
        <f aca="false">B837*1000+C837</f>
        <v>19031</v>
      </c>
      <c r="B837" s="0" t="n">
        <v>19</v>
      </c>
      <c r="C837" s="0" t="n">
        <v>31</v>
      </c>
      <c r="D837" s="0" t="n">
        <v>0</v>
      </c>
      <c r="E837" s="0" t="n">
        <f aca="false">VLOOKUP(B837,'MSA-Lookup'!$H$2:$I$86,2)</f>
        <v>7360</v>
      </c>
      <c r="F837" s="0" t="n">
        <f aca="false">IF(C837&gt;1,IF(C837&lt;99,VLOOKUP(C837,'MSA-Lookup'!$H$1:$I$86,2),C837),C837)</f>
        <v>9999</v>
      </c>
      <c r="G837" s="0" t="n">
        <f aca="false">VLOOKUP(E837,'MSA-Lookup'!$AA$1:$AB$25,2)</f>
        <v>7362</v>
      </c>
      <c r="H837" s="0" t="n">
        <f aca="false">IF(C837&gt;1,IF(C837&lt;99,VLOOKUP(F837,'MSA-Lookup'!$AA$1:$AB$25,2),C837),C837)</f>
        <v>9999</v>
      </c>
    </row>
    <row r="838" customFormat="false" ht="12.75" hidden="false" customHeight="false" outlineLevel="0" collapsed="false">
      <c r="A838" s="0" t="n">
        <f aca="false">B838*1000+C838</f>
        <v>19032</v>
      </c>
      <c r="B838" s="0" t="n">
        <v>19</v>
      </c>
      <c r="C838" s="0" t="n">
        <v>32</v>
      </c>
      <c r="D838" s="0" t="n">
        <v>104</v>
      </c>
      <c r="E838" s="0" t="n">
        <f aca="false">VLOOKUP(B838,'MSA-Lookup'!$H$2:$I$86,2)</f>
        <v>7360</v>
      </c>
      <c r="F838" s="0" t="n">
        <f aca="false">IF(C838&gt;1,IF(C838&lt;99,VLOOKUP(C838,'MSA-Lookup'!$H$1:$I$86,2),C838),C838)</f>
        <v>7480</v>
      </c>
      <c r="G838" s="0" t="n">
        <f aca="false">VLOOKUP(E838,'MSA-Lookup'!$AA$1:$AB$25,2)</f>
        <v>7362</v>
      </c>
      <c r="H838" s="0" t="n">
        <f aca="false">IF(C838&gt;1,IF(C838&lt;99,VLOOKUP(F838,'MSA-Lookup'!$AA$1:$AB$25,2),C838),C838)</f>
        <v>7480</v>
      </c>
    </row>
    <row r="839" customFormat="false" ht="12.75" hidden="false" customHeight="false" outlineLevel="0" collapsed="false">
      <c r="A839" s="0" t="n">
        <f aca="false">B839*1000+C839</f>
        <v>19033</v>
      </c>
      <c r="B839" s="0" t="n">
        <v>19</v>
      </c>
      <c r="C839" s="0" t="n">
        <v>33</v>
      </c>
      <c r="D839" s="0" t="n">
        <v>0</v>
      </c>
      <c r="E839" s="0" t="n">
        <f aca="false">VLOOKUP(B839,'MSA-Lookup'!$H$2:$I$86,2)</f>
        <v>7360</v>
      </c>
      <c r="F839" s="0" t="n">
        <f aca="false">IF(C839&gt;1,IF(C839&lt;99,VLOOKUP(C839,'MSA-Lookup'!$H$1:$I$86,2),C839),C839)</f>
        <v>7320</v>
      </c>
      <c r="G839" s="0" t="n">
        <f aca="false">VLOOKUP(E839,'MSA-Lookup'!$AA$1:$AB$25,2)</f>
        <v>7362</v>
      </c>
      <c r="H839" s="0" t="n">
        <f aca="false">IF(C839&gt;1,IF(C839&lt;99,VLOOKUP(F839,'MSA-Lookup'!$AA$1:$AB$25,2),C839),C839)</f>
        <v>7320</v>
      </c>
    </row>
    <row r="840" customFormat="false" ht="12.75" hidden="false" customHeight="false" outlineLevel="0" collapsed="false">
      <c r="A840" s="0" t="n">
        <f aca="false">B840*1000+C840</f>
        <v>19034</v>
      </c>
      <c r="B840" s="0" t="n">
        <v>19</v>
      </c>
      <c r="C840" s="0" t="n">
        <v>34</v>
      </c>
      <c r="D840" s="0" t="n">
        <v>0</v>
      </c>
      <c r="E840" s="0" t="n">
        <f aca="false">VLOOKUP(B840,'MSA-Lookup'!$H$2:$I$86,2)</f>
        <v>7360</v>
      </c>
      <c r="F840" s="0" t="n">
        <f aca="false">IF(C840&gt;1,IF(C840&lt;99,VLOOKUP(C840,'MSA-Lookup'!$H$1:$I$86,2),C840),C840)</f>
        <v>7320</v>
      </c>
      <c r="G840" s="0" t="n">
        <f aca="false">VLOOKUP(E840,'MSA-Lookup'!$AA$1:$AB$25,2)</f>
        <v>7362</v>
      </c>
      <c r="H840" s="0" t="n">
        <f aca="false">IF(C840&gt;1,IF(C840&lt;99,VLOOKUP(F840,'MSA-Lookup'!$AA$1:$AB$25,2),C840),C840)</f>
        <v>7320</v>
      </c>
    </row>
    <row r="841" customFormat="false" ht="12.75" hidden="false" customHeight="false" outlineLevel="0" collapsed="false">
      <c r="A841" s="0" t="n">
        <f aca="false">B841*1000+C841</f>
        <v>19035</v>
      </c>
      <c r="B841" s="0" t="n">
        <v>19</v>
      </c>
      <c r="C841" s="0" t="n">
        <v>35</v>
      </c>
      <c r="D841" s="0" t="n">
        <v>0</v>
      </c>
      <c r="E841" s="0" t="n">
        <f aca="false">VLOOKUP(B841,'MSA-Lookup'!$H$2:$I$86,2)</f>
        <v>7360</v>
      </c>
      <c r="F841" s="0" t="n">
        <f aca="false">IF(C841&gt;1,IF(C841&lt;99,VLOOKUP(C841,'MSA-Lookup'!$H$1:$I$86,2),C841),C841)</f>
        <v>7320</v>
      </c>
      <c r="G841" s="0" t="n">
        <f aca="false">VLOOKUP(E841,'MSA-Lookup'!$AA$1:$AB$25,2)</f>
        <v>7362</v>
      </c>
      <c r="H841" s="0" t="n">
        <f aca="false">IF(C841&gt;1,IF(C841&lt;99,VLOOKUP(F841,'MSA-Lookup'!$AA$1:$AB$25,2),C841),C841)</f>
        <v>7320</v>
      </c>
    </row>
    <row r="842" customFormat="false" ht="12.75" hidden="false" customHeight="false" outlineLevel="0" collapsed="false">
      <c r="A842" s="0" t="n">
        <f aca="false">B842*1000+C842</f>
        <v>19037</v>
      </c>
      <c r="B842" s="0" t="n">
        <v>19</v>
      </c>
      <c r="C842" s="0" t="n">
        <v>37</v>
      </c>
      <c r="D842" s="0" t="n">
        <v>104</v>
      </c>
      <c r="E842" s="0" t="n">
        <f aca="false">VLOOKUP(B842,'MSA-Lookup'!$H$2:$I$86,2)</f>
        <v>7360</v>
      </c>
      <c r="F842" s="0" t="n">
        <f aca="false">IF(C842&gt;1,IF(C842&lt;99,VLOOKUP(C842,'MSA-Lookup'!$H$1:$I$86,2),C842),C842)</f>
        <v>7320</v>
      </c>
      <c r="G842" s="0" t="n">
        <f aca="false">VLOOKUP(E842,'MSA-Lookup'!$AA$1:$AB$25,2)</f>
        <v>7362</v>
      </c>
      <c r="H842" s="0" t="n">
        <f aca="false">IF(C842&gt;1,IF(C842&lt;99,VLOOKUP(F842,'MSA-Lookup'!$AA$1:$AB$25,2),C842),C842)</f>
        <v>7320</v>
      </c>
    </row>
    <row r="843" customFormat="false" ht="12.75" hidden="false" customHeight="false" outlineLevel="0" collapsed="false">
      <c r="A843" s="0" t="n">
        <f aca="false">B843*1000+C843</f>
        <v>19038</v>
      </c>
      <c r="B843" s="0" t="n">
        <v>19</v>
      </c>
      <c r="C843" s="0" t="n">
        <v>38</v>
      </c>
      <c r="D843" s="0" t="n">
        <v>143</v>
      </c>
      <c r="E843" s="0" t="n">
        <f aca="false">VLOOKUP(B843,'MSA-Lookup'!$H$2:$I$86,2)</f>
        <v>7360</v>
      </c>
      <c r="F843" s="0" t="n">
        <f aca="false">IF(C843&gt;1,IF(C843&lt;99,VLOOKUP(C843,'MSA-Lookup'!$H$1:$I$86,2),C843),C843)</f>
        <v>7120</v>
      </c>
      <c r="G843" s="0" t="n">
        <f aca="false">VLOOKUP(E843,'MSA-Lookup'!$AA$1:$AB$25,2)</f>
        <v>7362</v>
      </c>
      <c r="H843" s="0" t="n">
        <f aca="false">IF(C843&gt;1,IF(C843&lt;99,VLOOKUP(F843,'MSA-Lookup'!$AA$1:$AB$25,2),C843),C843)</f>
        <v>7120</v>
      </c>
    </row>
    <row r="844" customFormat="false" ht="12.75" hidden="false" customHeight="false" outlineLevel="0" collapsed="false">
      <c r="A844" s="0" t="n">
        <f aca="false">B844*1000+C844</f>
        <v>19039</v>
      </c>
      <c r="B844" s="0" t="n">
        <v>19</v>
      </c>
      <c r="C844" s="0" t="n">
        <v>39</v>
      </c>
      <c r="D844" s="0" t="n">
        <v>104</v>
      </c>
      <c r="E844" s="0" t="n">
        <f aca="false">VLOOKUP(B844,'MSA-Lookup'!$H$2:$I$86,2)</f>
        <v>7360</v>
      </c>
      <c r="F844" s="0" t="n">
        <f aca="false">IF(C844&gt;1,IF(C844&lt;99,VLOOKUP(C844,'MSA-Lookup'!$H$1:$I$86,2),C844),C844)</f>
        <v>7120</v>
      </c>
      <c r="G844" s="0" t="n">
        <f aca="false">VLOOKUP(E844,'MSA-Lookup'!$AA$1:$AB$25,2)</f>
        <v>7362</v>
      </c>
      <c r="H844" s="0" t="n">
        <f aca="false">IF(C844&gt;1,IF(C844&lt;99,VLOOKUP(F844,'MSA-Lookup'!$AA$1:$AB$25,2),C844),C844)</f>
        <v>7120</v>
      </c>
    </row>
    <row r="845" customFormat="false" ht="12.75" hidden="false" customHeight="false" outlineLevel="0" collapsed="false">
      <c r="A845" s="0" t="n">
        <f aca="false">B845*1000+C845</f>
        <v>19040</v>
      </c>
      <c r="B845" s="0" t="n">
        <v>19</v>
      </c>
      <c r="C845" s="0" t="n">
        <v>40</v>
      </c>
      <c r="D845" s="0" t="n">
        <v>0</v>
      </c>
      <c r="E845" s="0" t="n">
        <f aca="false">VLOOKUP(B845,'MSA-Lookup'!$H$2:$I$86,2)</f>
        <v>7360</v>
      </c>
      <c r="F845" s="0" t="n">
        <f aca="false">IF(C845&gt;1,IF(C845&lt;99,VLOOKUP(C845,'MSA-Lookup'!$H$1:$I$86,2),C845),C845)</f>
        <v>2840</v>
      </c>
      <c r="G845" s="0" t="n">
        <f aca="false">VLOOKUP(E845,'MSA-Lookup'!$AA$1:$AB$25,2)</f>
        <v>7362</v>
      </c>
      <c r="H845" s="0" t="n">
        <f aca="false">IF(C845&gt;1,IF(C845&lt;99,VLOOKUP(F845,'MSA-Lookup'!$AA$1:$AB$25,2),C845),C845)</f>
        <v>2840</v>
      </c>
    </row>
    <row r="846" customFormat="false" ht="12.75" hidden="false" customHeight="false" outlineLevel="0" collapsed="false">
      <c r="A846" s="0" t="n">
        <f aca="false">B846*1000+C846</f>
        <v>19041</v>
      </c>
      <c r="B846" s="0" t="n">
        <v>19</v>
      </c>
      <c r="C846" s="0" t="n">
        <v>41</v>
      </c>
      <c r="D846" s="0" t="n">
        <v>0</v>
      </c>
      <c r="E846" s="0" t="n">
        <f aca="false">VLOOKUP(B846,'MSA-Lookup'!$H$2:$I$86,2)</f>
        <v>7360</v>
      </c>
      <c r="F846" s="0" t="n">
        <f aca="false">IF(C846&gt;1,IF(C846&lt;99,VLOOKUP(C846,'MSA-Lookup'!$H$1:$I$86,2),C846),C846)</f>
        <v>2840</v>
      </c>
      <c r="G846" s="0" t="n">
        <f aca="false">VLOOKUP(E846,'MSA-Lookup'!$AA$1:$AB$25,2)</f>
        <v>7362</v>
      </c>
      <c r="H846" s="0" t="n">
        <f aca="false">IF(C846&gt;1,IF(C846&lt;99,VLOOKUP(F846,'MSA-Lookup'!$AA$1:$AB$25,2),C846),C846)</f>
        <v>2840</v>
      </c>
    </row>
    <row r="847" customFormat="false" ht="12.75" hidden="false" customHeight="false" outlineLevel="0" collapsed="false">
      <c r="A847" s="0" t="n">
        <f aca="false">B847*1000+C847</f>
        <v>19042</v>
      </c>
      <c r="B847" s="0" t="n">
        <v>19</v>
      </c>
      <c r="C847" s="0" t="n">
        <v>42</v>
      </c>
      <c r="D847" s="0" t="n">
        <v>0</v>
      </c>
      <c r="E847" s="0" t="n">
        <f aca="false">VLOOKUP(B847,'MSA-Lookup'!$H$2:$I$86,2)</f>
        <v>7360</v>
      </c>
      <c r="F847" s="0" t="n">
        <f aca="false">IF(C847&gt;1,IF(C847&lt;99,VLOOKUP(C847,'MSA-Lookup'!$H$1:$I$86,2),C847),C847)</f>
        <v>360</v>
      </c>
      <c r="G847" s="0" t="n">
        <f aca="false">VLOOKUP(E847,'MSA-Lookup'!$AA$1:$AB$25,2)</f>
        <v>7362</v>
      </c>
      <c r="H847" s="0" t="n">
        <f aca="false">IF(C847&gt;1,IF(C847&lt;99,VLOOKUP(F847,'MSA-Lookup'!$AA$1:$AB$25,2),C847),C847)</f>
        <v>4472</v>
      </c>
    </row>
    <row r="848" customFormat="false" ht="12.75" hidden="false" customHeight="false" outlineLevel="0" collapsed="false">
      <c r="A848" s="0" t="n">
        <f aca="false">B848*1000+C848</f>
        <v>19048</v>
      </c>
      <c r="B848" s="0" t="n">
        <v>19</v>
      </c>
      <c r="C848" s="0" t="n">
        <v>48</v>
      </c>
      <c r="D848" s="0" t="n">
        <v>0</v>
      </c>
      <c r="E848" s="0" t="n">
        <f aca="false">VLOOKUP(B848,'MSA-Lookup'!$H$2:$I$86,2)</f>
        <v>7360</v>
      </c>
      <c r="F848" s="0" t="n">
        <f aca="false">IF(C848&gt;1,IF(C848&lt;99,VLOOKUP(C848,'MSA-Lookup'!$H$1:$I$86,2),C848),C848)</f>
        <v>360</v>
      </c>
      <c r="G848" s="0" t="n">
        <f aca="false">VLOOKUP(E848,'MSA-Lookup'!$AA$1:$AB$25,2)</f>
        <v>7362</v>
      </c>
      <c r="H848" s="0" t="n">
        <f aca="false">IF(C848&gt;1,IF(C848&lt;99,VLOOKUP(F848,'MSA-Lookup'!$AA$1:$AB$25,2),C848),C848)</f>
        <v>4472</v>
      </c>
    </row>
    <row r="849" customFormat="false" ht="12.75" hidden="false" customHeight="false" outlineLevel="0" collapsed="false">
      <c r="A849" s="0" t="n">
        <f aca="false">B849*1000+C849</f>
        <v>19049</v>
      </c>
      <c r="B849" s="0" t="n">
        <v>19</v>
      </c>
      <c r="C849" s="0" t="n">
        <v>49</v>
      </c>
      <c r="D849" s="0" t="n">
        <v>6214</v>
      </c>
      <c r="E849" s="0" t="n">
        <f aca="false">VLOOKUP(B849,'MSA-Lookup'!$H$2:$I$86,2)</f>
        <v>7360</v>
      </c>
      <c r="F849" s="0" t="n">
        <f aca="false">IF(C849&gt;1,IF(C849&lt;99,VLOOKUP(C849,'MSA-Lookup'!$H$1:$I$86,2),C849),C849)</f>
        <v>7400</v>
      </c>
      <c r="G849" s="0" t="n">
        <f aca="false">VLOOKUP(E849,'MSA-Lookup'!$AA$1:$AB$25,2)</f>
        <v>7362</v>
      </c>
      <c r="H849" s="0" t="n">
        <f aca="false">IF(C849&gt;1,IF(C849&lt;99,VLOOKUP(F849,'MSA-Lookup'!$AA$1:$AB$25,2),C849),C849)</f>
        <v>7362</v>
      </c>
    </row>
    <row r="850" customFormat="false" ht="12.75" hidden="false" customHeight="false" outlineLevel="0" collapsed="false">
      <c r="A850" s="0" t="n">
        <f aca="false">B850*1000+C850</f>
        <v>19050</v>
      </c>
      <c r="B850" s="0" t="n">
        <v>19</v>
      </c>
      <c r="C850" s="0" t="n">
        <v>50</v>
      </c>
      <c r="D850" s="0" t="n">
        <v>975</v>
      </c>
      <c r="E850" s="0" t="n">
        <f aca="false">VLOOKUP(B850,'MSA-Lookup'!$H$2:$I$86,2)</f>
        <v>7360</v>
      </c>
      <c r="F850" s="0" t="n">
        <f aca="false">IF(C850&gt;1,IF(C850&lt;99,VLOOKUP(C850,'MSA-Lookup'!$H$1:$I$86,2),C850),C850)</f>
        <v>7400</v>
      </c>
      <c r="G850" s="0" t="n">
        <f aca="false">VLOOKUP(E850,'MSA-Lookup'!$AA$1:$AB$25,2)</f>
        <v>7362</v>
      </c>
      <c r="H850" s="0" t="n">
        <f aca="false">IF(C850&gt;1,IF(C850&lt;99,VLOOKUP(F850,'MSA-Lookup'!$AA$1:$AB$25,2),C850),C850)</f>
        <v>7362</v>
      </c>
    </row>
    <row r="851" customFormat="false" ht="12.75" hidden="false" customHeight="false" outlineLevel="0" collapsed="false">
      <c r="A851" s="0" t="n">
        <f aca="false">B851*1000+C851</f>
        <v>19051</v>
      </c>
      <c r="B851" s="0" t="n">
        <v>19</v>
      </c>
      <c r="C851" s="0" t="n">
        <v>51</v>
      </c>
      <c r="D851" s="0" t="n">
        <v>1170</v>
      </c>
      <c r="E851" s="0" t="n">
        <f aca="false">VLOOKUP(B851,'MSA-Lookup'!$H$2:$I$86,2)</f>
        <v>7360</v>
      </c>
      <c r="F851" s="0" t="n">
        <f aca="false">IF(C851&gt;1,IF(C851&lt;99,VLOOKUP(C851,'MSA-Lookup'!$H$1:$I$86,2),C851),C851)</f>
        <v>7400</v>
      </c>
      <c r="G851" s="0" t="n">
        <f aca="false">VLOOKUP(E851,'MSA-Lookup'!$AA$1:$AB$25,2)</f>
        <v>7362</v>
      </c>
      <c r="H851" s="0" t="n">
        <f aca="false">IF(C851&gt;1,IF(C851&lt;99,VLOOKUP(F851,'MSA-Lookup'!$AA$1:$AB$25,2),C851),C851)</f>
        <v>7362</v>
      </c>
    </row>
    <row r="852" customFormat="false" ht="12.75" hidden="false" customHeight="false" outlineLevel="0" collapsed="false">
      <c r="A852" s="0" t="n">
        <f aca="false">B852*1000+C852</f>
        <v>19052</v>
      </c>
      <c r="B852" s="0" t="n">
        <v>19</v>
      </c>
      <c r="C852" s="0" t="n">
        <v>52</v>
      </c>
      <c r="D852" s="0" t="n">
        <v>0</v>
      </c>
      <c r="E852" s="0" t="n">
        <f aca="false">VLOOKUP(B852,'MSA-Lookup'!$H$2:$I$86,2)</f>
        <v>7360</v>
      </c>
      <c r="F852" s="0" t="n">
        <f aca="false">IF(C852&gt;1,IF(C852&lt;99,VLOOKUP(C852,'MSA-Lookup'!$H$1:$I$86,2),C852),C852)</f>
        <v>4480</v>
      </c>
      <c r="G852" s="0" t="n">
        <f aca="false">VLOOKUP(E852,'MSA-Lookup'!$AA$1:$AB$25,2)</f>
        <v>7362</v>
      </c>
      <c r="H852" s="0" t="n">
        <f aca="false">IF(C852&gt;1,IF(C852&lt;99,VLOOKUP(F852,'MSA-Lookup'!$AA$1:$AB$25,2),C852),C852)</f>
        <v>4472</v>
      </c>
    </row>
    <row r="853" customFormat="false" ht="12.75" hidden="false" customHeight="false" outlineLevel="0" collapsed="false">
      <c r="A853" s="0" t="n">
        <f aca="false">B853*1000+C853</f>
        <v>19053</v>
      </c>
      <c r="B853" s="0" t="n">
        <v>19</v>
      </c>
      <c r="C853" s="0" t="n">
        <v>53</v>
      </c>
      <c r="D853" s="0" t="n">
        <v>0</v>
      </c>
      <c r="E853" s="0" t="n">
        <f aca="false">VLOOKUP(B853,'MSA-Lookup'!$H$2:$I$86,2)</f>
        <v>7360</v>
      </c>
      <c r="F853" s="0" t="n">
        <f aca="false">IF(C853&gt;1,IF(C853&lt;99,VLOOKUP(C853,'MSA-Lookup'!$H$1:$I$86,2),C853),C853)</f>
        <v>4480</v>
      </c>
      <c r="G853" s="0" t="n">
        <f aca="false">VLOOKUP(E853,'MSA-Lookup'!$AA$1:$AB$25,2)</f>
        <v>7362</v>
      </c>
      <c r="H853" s="0" t="n">
        <f aca="false">IF(C853&gt;1,IF(C853&lt;99,VLOOKUP(F853,'MSA-Lookup'!$AA$1:$AB$25,2),C853),C853)</f>
        <v>4472</v>
      </c>
    </row>
    <row r="854" customFormat="false" ht="12.75" hidden="false" customHeight="false" outlineLevel="0" collapsed="false">
      <c r="A854" s="0" t="n">
        <f aca="false">B854*1000+C854</f>
        <v>19055</v>
      </c>
      <c r="B854" s="0" t="n">
        <v>19</v>
      </c>
      <c r="C854" s="0" t="n">
        <v>55</v>
      </c>
      <c r="D854" s="0" t="n">
        <v>91</v>
      </c>
      <c r="E854" s="0" t="n">
        <f aca="false">VLOOKUP(B854,'MSA-Lookup'!$H$2:$I$86,2)</f>
        <v>7360</v>
      </c>
      <c r="F854" s="0" t="n">
        <f aca="false">IF(C854&gt;1,IF(C854&lt;99,VLOOKUP(C854,'MSA-Lookup'!$H$1:$I$86,2),C854),C854)</f>
        <v>4480</v>
      </c>
      <c r="G854" s="0" t="n">
        <f aca="false">VLOOKUP(E854,'MSA-Lookup'!$AA$1:$AB$25,2)</f>
        <v>7362</v>
      </c>
      <c r="H854" s="0" t="n">
        <f aca="false">IF(C854&gt;1,IF(C854&lt;99,VLOOKUP(F854,'MSA-Lookup'!$AA$1:$AB$25,2),C854),C854)</f>
        <v>4472</v>
      </c>
    </row>
    <row r="855" customFormat="false" ht="12.75" hidden="false" customHeight="false" outlineLevel="0" collapsed="false">
      <c r="A855" s="0" t="n">
        <f aca="false">B855*1000+C855</f>
        <v>19057</v>
      </c>
      <c r="B855" s="0" t="n">
        <v>19</v>
      </c>
      <c r="C855" s="0" t="n">
        <v>57</v>
      </c>
      <c r="D855" s="0" t="n">
        <v>0</v>
      </c>
      <c r="E855" s="0" t="n">
        <f aca="false">VLOOKUP(B855,'MSA-Lookup'!$H$2:$I$86,2)</f>
        <v>7360</v>
      </c>
      <c r="F855" s="0" t="n">
        <f aca="false">IF(C855&gt;1,IF(C855&lt;99,VLOOKUP(C855,'MSA-Lookup'!$H$1:$I$86,2),C855),C855)</f>
        <v>4480</v>
      </c>
      <c r="G855" s="0" t="n">
        <f aca="false">VLOOKUP(E855,'MSA-Lookup'!$AA$1:$AB$25,2)</f>
        <v>7362</v>
      </c>
      <c r="H855" s="0" t="n">
        <f aca="false">IF(C855&gt;1,IF(C855&lt;99,VLOOKUP(F855,'MSA-Lookup'!$AA$1:$AB$25,2),C855),C855)</f>
        <v>4472</v>
      </c>
    </row>
    <row r="856" customFormat="false" ht="12.75" hidden="false" customHeight="false" outlineLevel="0" collapsed="false">
      <c r="A856" s="0" t="n">
        <f aca="false">B856*1000+C856</f>
        <v>19060</v>
      </c>
      <c r="B856" s="0" t="n">
        <v>19</v>
      </c>
      <c r="C856" s="0" t="n">
        <v>60</v>
      </c>
      <c r="D856" s="0" t="n">
        <v>0</v>
      </c>
      <c r="E856" s="0" t="n">
        <f aca="false">VLOOKUP(B856,'MSA-Lookup'!$H$2:$I$86,2)</f>
        <v>7360</v>
      </c>
      <c r="F856" s="0" t="n">
        <f aca="false">IF(C856&gt;1,IF(C856&lt;99,VLOOKUP(C856,'MSA-Lookup'!$H$1:$I$86,2),C856),C856)</f>
        <v>4480</v>
      </c>
      <c r="G856" s="0" t="n">
        <f aca="false">VLOOKUP(E856,'MSA-Lookup'!$AA$1:$AB$25,2)</f>
        <v>7362</v>
      </c>
      <c r="H856" s="0" t="n">
        <f aca="false">IF(C856&gt;1,IF(C856&lt;99,VLOOKUP(F856,'MSA-Lookup'!$AA$1:$AB$25,2),C856),C856)</f>
        <v>4472</v>
      </c>
    </row>
    <row r="857" customFormat="false" ht="12.75" hidden="false" customHeight="false" outlineLevel="0" collapsed="false">
      <c r="A857" s="0" t="n">
        <f aca="false">B857*1000+C857</f>
        <v>19062</v>
      </c>
      <c r="B857" s="0" t="n">
        <v>19</v>
      </c>
      <c r="C857" s="0" t="n">
        <v>62</v>
      </c>
      <c r="D857" s="0" t="n">
        <v>182</v>
      </c>
      <c r="E857" s="0" t="n">
        <f aca="false">VLOOKUP(B857,'MSA-Lookup'!$H$2:$I$86,2)</f>
        <v>7360</v>
      </c>
      <c r="F857" s="0" t="n">
        <f aca="false">IF(C857&gt;1,IF(C857&lt;99,VLOOKUP(C857,'MSA-Lookup'!$H$1:$I$86,2),C857),C857)</f>
        <v>4480</v>
      </c>
      <c r="G857" s="0" t="n">
        <f aca="false">VLOOKUP(E857,'MSA-Lookup'!$AA$1:$AB$25,2)</f>
        <v>7362</v>
      </c>
      <c r="H857" s="0" t="n">
        <f aca="false">IF(C857&gt;1,IF(C857&lt;99,VLOOKUP(F857,'MSA-Lookup'!$AA$1:$AB$25,2),C857),C857)</f>
        <v>4472</v>
      </c>
    </row>
    <row r="858" customFormat="false" ht="12.75" hidden="false" customHeight="false" outlineLevel="0" collapsed="false">
      <c r="A858" s="0" t="n">
        <f aca="false">B858*1000+C858</f>
        <v>19064</v>
      </c>
      <c r="B858" s="0" t="n">
        <v>19</v>
      </c>
      <c r="C858" s="0" t="n">
        <v>64</v>
      </c>
      <c r="D858" s="0" t="n">
        <v>91</v>
      </c>
      <c r="E858" s="0" t="n">
        <f aca="false">VLOOKUP(B858,'MSA-Lookup'!$H$2:$I$86,2)</f>
        <v>7360</v>
      </c>
      <c r="F858" s="0" t="n">
        <f aca="false">IF(C858&gt;1,IF(C858&lt;99,VLOOKUP(C858,'MSA-Lookup'!$H$1:$I$86,2),C858),C858)</f>
        <v>4480</v>
      </c>
      <c r="G858" s="0" t="n">
        <f aca="false">VLOOKUP(E858,'MSA-Lookup'!$AA$1:$AB$25,2)</f>
        <v>7362</v>
      </c>
      <c r="H858" s="0" t="n">
        <f aca="false">IF(C858&gt;1,IF(C858&lt;99,VLOOKUP(F858,'MSA-Lookup'!$AA$1:$AB$25,2),C858),C858)</f>
        <v>4472</v>
      </c>
    </row>
    <row r="859" customFormat="false" ht="12.75" hidden="false" customHeight="false" outlineLevel="0" collapsed="false">
      <c r="A859" s="0" t="n">
        <f aca="false">B859*1000+C859</f>
        <v>19065</v>
      </c>
      <c r="B859" s="0" t="n">
        <v>19</v>
      </c>
      <c r="C859" s="0" t="n">
        <v>65</v>
      </c>
      <c r="D859" s="0" t="n">
        <v>273</v>
      </c>
      <c r="E859" s="0" t="n">
        <f aca="false">VLOOKUP(B859,'MSA-Lookup'!$H$2:$I$86,2)</f>
        <v>7360</v>
      </c>
      <c r="F859" s="0" t="n">
        <f aca="false">IF(C859&gt;1,IF(C859&lt;99,VLOOKUP(C859,'MSA-Lookup'!$H$1:$I$86,2),C859),C859)</f>
        <v>4480</v>
      </c>
      <c r="G859" s="0" t="n">
        <f aca="false">VLOOKUP(E859,'MSA-Lookup'!$AA$1:$AB$25,2)</f>
        <v>7362</v>
      </c>
      <c r="H859" s="0" t="n">
        <f aca="false">IF(C859&gt;1,IF(C859&lt;99,VLOOKUP(F859,'MSA-Lookup'!$AA$1:$AB$25,2),C859),C859)</f>
        <v>4472</v>
      </c>
    </row>
    <row r="860" customFormat="false" ht="12.75" hidden="false" customHeight="false" outlineLevel="0" collapsed="false">
      <c r="A860" s="0" t="n">
        <f aca="false">B860*1000+C860</f>
        <v>19066</v>
      </c>
      <c r="B860" s="0" t="n">
        <v>19</v>
      </c>
      <c r="C860" s="0" t="n">
        <v>66</v>
      </c>
      <c r="D860" s="0" t="n">
        <v>130</v>
      </c>
      <c r="E860" s="0" t="n">
        <f aca="false">VLOOKUP(B860,'MSA-Lookup'!$H$2:$I$86,2)</f>
        <v>7360</v>
      </c>
      <c r="F860" s="0" t="n">
        <f aca="false">IF(C860&gt;1,IF(C860&lt;99,VLOOKUP(C860,'MSA-Lookup'!$H$1:$I$86,2),C860),C860)</f>
        <v>4480</v>
      </c>
      <c r="G860" s="0" t="n">
        <f aca="false">VLOOKUP(E860,'MSA-Lookup'!$AA$1:$AB$25,2)</f>
        <v>7362</v>
      </c>
      <c r="H860" s="0" t="n">
        <f aca="false">IF(C860&gt;1,IF(C860&lt;99,VLOOKUP(F860,'MSA-Lookup'!$AA$1:$AB$25,2),C860),C860)</f>
        <v>4472</v>
      </c>
    </row>
    <row r="861" customFormat="false" ht="12.75" hidden="false" customHeight="false" outlineLevel="0" collapsed="false">
      <c r="A861" s="0" t="n">
        <f aca="false">B861*1000+C861</f>
        <v>19067</v>
      </c>
      <c r="B861" s="0" t="n">
        <v>19</v>
      </c>
      <c r="C861" s="0" t="n">
        <v>67</v>
      </c>
      <c r="D861" s="0" t="n">
        <v>0</v>
      </c>
      <c r="E861" s="0" t="n">
        <f aca="false">VLOOKUP(B861,'MSA-Lookup'!$H$2:$I$86,2)</f>
        <v>7360</v>
      </c>
      <c r="F861" s="0" t="n">
        <f aca="false">IF(C861&gt;1,IF(C861&lt;99,VLOOKUP(C861,'MSA-Lookup'!$H$1:$I$86,2),C861),C861)</f>
        <v>6000</v>
      </c>
      <c r="G861" s="0" t="n">
        <f aca="false">VLOOKUP(E861,'MSA-Lookup'!$AA$1:$AB$25,2)</f>
        <v>7362</v>
      </c>
      <c r="H861" s="0" t="n">
        <f aca="false">IF(C861&gt;1,IF(C861&lt;99,VLOOKUP(F861,'MSA-Lookup'!$AA$1:$AB$25,2),C861),C861)</f>
        <v>4472</v>
      </c>
    </row>
    <row r="862" customFormat="false" ht="12.75" hidden="false" customHeight="false" outlineLevel="0" collapsed="false">
      <c r="A862" s="0" t="n">
        <f aca="false">B862*1000+C862</f>
        <v>19069</v>
      </c>
      <c r="B862" s="0" t="n">
        <v>19</v>
      </c>
      <c r="C862" s="0" t="n">
        <v>69</v>
      </c>
      <c r="D862" s="0" t="n">
        <v>0</v>
      </c>
      <c r="E862" s="0" t="n">
        <f aca="false">VLOOKUP(B862,'MSA-Lookup'!$H$2:$I$86,2)</f>
        <v>7360</v>
      </c>
      <c r="F862" s="0" t="n">
        <f aca="false">IF(C862&gt;1,IF(C862&lt;99,VLOOKUP(C862,'MSA-Lookup'!$H$1:$I$86,2),C862),C862)</f>
        <v>6780</v>
      </c>
      <c r="G862" s="0" t="n">
        <f aca="false">VLOOKUP(E862,'MSA-Lookup'!$AA$1:$AB$25,2)</f>
        <v>7362</v>
      </c>
      <c r="H862" s="0" t="n">
        <f aca="false">IF(C862&gt;1,IF(C862&lt;99,VLOOKUP(F862,'MSA-Lookup'!$AA$1:$AB$25,2),C862),C862)</f>
        <v>4472</v>
      </c>
    </row>
    <row r="863" customFormat="false" ht="12.75" hidden="false" customHeight="false" outlineLevel="0" collapsed="false">
      <c r="A863" s="0" t="n">
        <f aca="false">B863*1000+C863</f>
        <v>19071</v>
      </c>
      <c r="B863" s="0" t="n">
        <v>19</v>
      </c>
      <c r="C863" s="0" t="n">
        <v>71</v>
      </c>
      <c r="D863" s="0" t="n">
        <v>0</v>
      </c>
      <c r="E863" s="0" t="n">
        <f aca="false">VLOOKUP(B863,'MSA-Lookup'!$H$2:$I$86,2)</f>
        <v>7360</v>
      </c>
      <c r="F863" s="0" t="n">
        <f aca="false">IF(C863&gt;1,IF(C863&lt;99,VLOOKUP(C863,'MSA-Lookup'!$H$1:$I$86,2),C863),C863)</f>
        <v>6780</v>
      </c>
      <c r="G863" s="0" t="n">
        <f aca="false">VLOOKUP(E863,'MSA-Lookup'!$AA$1:$AB$25,2)</f>
        <v>7362</v>
      </c>
      <c r="H863" s="0" t="n">
        <f aca="false">IF(C863&gt;1,IF(C863&lt;99,VLOOKUP(F863,'MSA-Lookup'!$AA$1:$AB$25,2),C863),C863)</f>
        <v>4472</v>
      </c>
    </row>
    <row r="864" customFormat="false" ht="12.75" hidden="false" customHeight="false" outlineLevel="0" collapsed="false">
      <c r="A864" s="0" t="n">
        <f aca="false">B864*1000+C864</f>
        <v>19072</v>
      </c>
      <c r="B864" s="0" t="n">
        <v>19</v>
      </c>
      <c r="C864" s="0" t="n">
        <v>72</v>
      </c>
      <c r="D864" s="0" t="n">
        <v>0</v>
      </c>
      <c r="E864" s="0" t="n">
        <f aca="false">VLOOKUP(B864,'MSA-Lookup'!$H$2:$I$86,2)</f>
        <v>7360</v>
      </c>
      <c r="F864" s="0" t="n">
        <f aca="false">IF(C864&gt;1,IF(C864&lt;99,VLOOKUP(C864,'MSA-Lookup'!$H$1:$I$86,2),C864),C864)</f>
        <v>6780</v>
      </c>
      <c r="G864" s="0" t="n">
        <f aca="false">VLOOKUP(E864,'MSA-Lookup'!$AA$1:$AB$25,2)</f>
        <v>7362</v>
      </c>
      <c r="H864" s="0" t="n">
        <f aca="false">IF(C864&gt;1,IF(C864&lt;99,VLOOKUP(F864,'MSA-Lookup'!$AA$1:$AB$25,2),C864),C864)</f>
        <v>4472</v>
      </c>
    </row>
    <row r="865" customFormat="false" ht="12.75" hidden="false" customHeight="false" outlineLevel="0" collapsed="false">
      <c r="A865" s="0" t="n">
        <f aca="false">B865*1000+C865</f>
        <v>19073</v>
      </c>
      <c r="B865" s="0" t="n">
        <v>19</v>
      </c>
      <c r="C865" s="0" t="n">
        <v>73</v>
      </c>
      <c r="D865" s="0" t="n">
        <v>299</v>
      </c>
      <c r="E865" s="0" t="n">
        <f aca="false">VLOOKUP(B865,'MSA-Lookup'!$H$2:$I$86,2)</f>
        <v>7360</v>
      </c>
      <c r="F865" s="0" t="n">
        <f aca="false">IF(C865&gt;1,IF(C865&lt;99,VLOOKUP(C865,'MSA-Lookup'!$H$1:$I$86,2),C865),C865)</f>
        <v>8720</v>
      </c>
      <c r="G865" s="0" t="n">
        <f aca="false">VLOOKUP(E865,'MSA-Lookup'!$AA$1:$AB$25,2)</f>
        <v>7362</v>
      </c>
      <c r="H865" s="0" t="n">
        <f aca="false">IF(C865&gt;1,IF(C865&lt;99,VLOOKUP(F865,'MSA-Lookup'!$AA$1:$AB$25,2),C865),C865)</f>
        <v>7362</v>
      </c>
    </row>
    <row r="866" customFormat="false" ht="12.75" hidden="false" customHeight="false" outlineLevel="0" collapsed="false">
      <c r="A866" s="0" t="n">
        <f aca="false">B866*1000+C866</f>
        <v>19075</v>
      </c>
      <c r="B866" s="0" t="n">
        <v>19</v>
      </c>
      <c r="C866" s="0" t="n">
        <v>75</v>
      </c>
      <c r="D866" s="0" t="n">
        <v>0</v>
      </c>
      <c r="E866" s="0" t="n">
        <f aca="false">VLOOKUP(B866,'MSA-Lookup'!$H$2:$I$86,2)</f>
        <v>7360</v>
      </c>
      <c r="F866" s="0" t="n">
        <f aca="false">IF(C866&gt;1,IF(C866&lt;99,VLOOKUP(C866,'MSA-Lookup'!$H$1:$I$86,2),C866),C866)</f>
        <v>8780</v>
      </c>
      <c r="G866" s="0" t="n">
        <f aca="false">VLOOKUP(E866,'MSA-Lookup'!$AA$1:$AB$25,2)</f>
        <v>7362</v>
      </c>
      <c r="H866" s="0" t="n">
        <f aca="false">IF(C866&gt;1,IF(C866&lt;99,VLOOKUP(F866,'MSA-Lookup'!$AA$1:$AB$25,2),C866),C866)</f>
        <v>8780</v>
      </c>
    </row>
    <row r="867" customFormat="false" ht="12.75" hidden="false" customHeight="false" outlineLevel="0" collapsed="false">
      <c r="A867" s="0" t="n">
        <f aca="false">B867*1000+C867</f>
        <v>19076</v>
      </c>
      <c r="B867" s="0" t="n">
        <v>19</v>
      </c>
      <c r="C867" s="0" t="n">
        <v>76</v>
      </c>
      <c r="D867" s="0" t="n">
        <v>299</v>
      </c>
      <c r="E867" s="0" t="n">
        <f aca="false">VLOOKUP(B867,'MSA-Lookup'!$H$2:$I$86,2)</f>
        <v>7360</v>
      </c>
      <c r="F867" s="0" t="n">
        <f aca="false">IF(C867&gt;1,IF(C867&lt;99,VLOOKUP(C867,'MSA-Lookup'!$H$1:$I$86,2),C867),C867)</f>
        <v>7485</v>
      </c>
      <c r="G867" s="0" t="n">
        <f aca="false">VLOOKUP(E867,'MSA-Lookup'!$AA$1:$AB$25,2)</f>
        <v>7362</v>
      </c>
      <c r="H867" s="0" t="n">
        <f aca="false">IF(C867&gt;1,IF(C867&lt;99,VLOOKUP(F867,'MSA-Lookup'!$AA$1:$AB$25,2),C867),C867)</f>
        <v>7362</v>
      </c>
    </row>
    <row r="868" customFormat="false" ht="12.75" hidden="false" customHeight="false" outlineLevel="0" collapsed="false">
      <c r="A868" s="0" t="n">
        <f aca="false">B868*1000+C868</f>
        <v>19079</v>
      </c>
      <c r="B868" s="0" t="n">
        <v>19</v>
      </c>
      <c r="C868" s="0" t="n">
        <v>79</v>
      </c>
      <c r="D868" s="0" t="n">
        <v>0</v>
      </c>
      <c r="E868" s="0" t="n">
        <f aca="false">VLOOKUP(B868,'MSA-Lookup'!$H$2:$I$86,2)</f>
        <v>7360</v>
      </c>
      <c r="F868" s="0" t="n">
        <f aca="false">IF(C868&gt;1,IF(C868&lt;99,VLOOKUP(C868,'MSA-Lookup'!$H$1:$I$86,2),C868),C868)</f>
        <v>680</v>
      </c>
      <c r="G868" s="0" t="n">
        <f aca="false">VLOOKUP(E868,'MSA-Lookup'!$AA$1:$AB$25,2)</f>
        <v>7362</v>
      </c>
      <c r="H868" s="0" t="n">
        <f aca="false">IF(C868&gt;1,IF(C868&lt;99,VLOOKUP(F868,'MSA-Lookup'!$AA$1:$AB$25,2),C868),C868)</f>
        <v>680</v>
      </c>
    </row>
    <row r="869" customFormat="false" ht="12.75" hidden="false" customHeight="false" outlineLevel="0" collapsed="false">
      <c r="A869" s="0" t="n">
        <f aca="false">B869*1000+C869</f>
        <v>19080</v>
      </c>
      <c r="B869" s="0" t="n">
        <v>19</v>
      </c>
      <c r="C869" s="0" t="n">
        <v>80</v>
      </c>
      <c r="D869" s="0" t="n">
        <v>0</v>
      </c>
      <c r="E869" s="0" t="n">
        <f aca="false">VLOOKUP(B869,'MSA-Lookup'!$H$2:$I$86,2)</f>
        <v>7360</v>
      </c>
      <c r="F869" s="0" t="n">
        <f aca="false">IF(C869&gt;1,IF(C869&lt;99,VLOOKUP(C869,'MSA-Lookup'!$H$1:$I$86,2),C869),C869)</f>
        <v>9999</v>
      </c>
      <c r="G869" s="0" t="n">
        <f aca="false">VLOOKUP(E869,'MSA-Lookup'!$AA$1:$AB$25,2)</f>
        <v>7362</v>
      </c>
      <c r="H869" s="0" t="n">
        <f aca="false">IF(C869&gt;1,IF(C869&lt;99,VLOOKUP(F869,'MSA-Lookup'!$AA$1:$AB$25,2),C869),C869)</f>
        <v>9999</v>
      </c>
    </row>
    <row r="870" customFormat="false" ht="12.75" hidden="false" customHeight="false" outlineLevel="0" collapsed="false">
      <c r="A870" s="0" t="n">
        <f aca="false">B870*1000+C870</f>
        <v>19082</v>
      </c>
      <c r="B870" s="0" t="n">
        <v>19</v>
      </c>
      <c r="C870" s="0" t="n">
        <v>82</v>
      </c>
      <c r="D870" s="0" t="n">
        <v>117</v>
      </c>
      <c r="E870" s="0" t="n">
        <f aca="false">VLOOKUP(B870,'MSA-Lookup'!$H$2:$I$86,2)</f>
        <v>7360</v>
      </c>
      <c r="F870" s="0" t="n">
        <f aca="false">IF(C870&gt;1,IF(C870&lt;99,VLOOKUP(C870,'MSA-Lookup'!$H$1:$I$86,2),C870),C870)</f>
        <v>6780</v>
      </c>
      <c r="G870" s="0" t="n">
        <f aca="false">VLOOKUP(E870,'MSA-Lookup'!$AA$1:$AB$25,2)</f>
        <v>7362</v>
      </c>
      <c r="H870" s="0" t="n">
        <f aca="false">IF(C870&gt;1,IF(C870&lt;99,VLOOKUP(F870,'MSA-Lookup'!$AA$1:$AB$25,2),C870),C870)</f>
        <v>4472</v>
      </c>
    </row>
    <row r="871" customFormat="false" ht="12.75" hidden="false" customHeight="false" outlineLevel="0" collapsed="false">
      <c r="A871" s="0" t="n">
        <f aca="false">B871*1000+C871</f>
        <v>19085</v>
      </c>
      <c r="B871" s="0" t="n">
        <v>19</v>
      </c>
      <c r="C871" s="0" t="n">
        <v>85</v>
      </c>
      <c r="D871" s="0" t="n">
        <v>0</v>
      </c>
      <c r="E871" s="0" t="n">
        <f aca="false">VLOOKUP(B871,'MSA-Lookup'!$H$2:$I$86,2)</f>
        <v>7360</v>
      </c>
      <c r="F871" s="0" t="n">
        <f aca="false">IF(C871&gt;1,IF(C871&lt;99,VLOOKUP(C871,'MSA-Lookup'!$H$1:$I$86,2),C871),C871)</f>
        <v>8120</v>
      </c>
      <c r="G871" s="0" t="n">
        <f aca="false">VLOOKUP(E871,'MSA-Lookup'!$AA$1:$AB$25,2)</f>
        <v>7362</v>
      </c>
      <c r="H871" s="0" t="n">
        <f aca="false">IF(C871&gt;1,IF(C871&lt;99,VLOOKUP(F871,'MSA-Lookup'!$AA$1:$AB$25,2),C871),C871)</f>
        <v>8120</v>
      </c>
    </row>
    <row r="872" customFormat="false" ht="12.75" hidden="false" customHeight="false" outlineLevel="0" collapsed="false">
      <c r="A872" s="0" t="n">
        <f aca="false">B872*1000+C872</f>
        <v>19858</v>
      </c>
      <c r="B872" s="0" t="n">
        <v>19</v>
      </c>
      <c r="C872" s="0" t="n">
        <v>858</v>
      </c>
      <c r="D872" s="0" t="n">
        <v>0</v>
      </c>
      <c r="E872" s="0" t="n">
        <f aca="false">VLOOKUP(B872,'MSA-Lookup'!$H$2:$I$86,2)</f>
        <v>7360</v>
      </c>
      <c r="F872" s="0" t="n">
        <f aca="false">IF(C872&gt;1,IF(C872&lt;99,VLOOKUP(C872,'MSA-Lookup'!$H$1:$I$86,2),C872),C872)</f>
        <v>858</v>
      </c>
      <c r="G872" s="0" t="n">
        <f aca="false">VLOOKUP(E872,'MSA-Lookup'!$AA$1:$AB$25,2)</f>
        <v>7362</v>
      </c>
      <c r="H872" s="0" t="n">
        <f aca="false">IF(C872&gt;1,IF(C872&lt;99,VLOOKUP(F872,'MSA-Lookup'!$AA$1:$AB$25,2),C872),C872)</f>
        <v>858</v>
      </c>
    </row>
    <row r="873" customFormat="false" ht="12.75" hidden="false" customHeight="false" outlineLevel="0" collapsed="false">
      <c r="A873" s="0" t="n">
        <f aca="false">B873*1000+C873</f>
        <v>19999</v>
      </c>
      <c r="B873" s="0" t="n">
        <v>19</v>
      </c>
      <c r="C873" s="0" t="n">
        <v>999</v>
      </c>
      <c r="D873" s="0" t="n">
        <v>351</v>
      </c>
      <c r="E873" s="0" t="n">
        <f aca="false">VLOOKUP(B873,'MSA-Lookup'!$H$2:$I$86,2)</f>
        <v>7360</v>
      </c>
      <c r="F873" s="0" t="n">
        <f aca="false">IF(C873&gt;1,IF(C873&lt;99,VLOOKUP(C873,'MSA-Lookup'!$H$1:$I$86,2),C873),C873)</f>
        <v>999</v>
      </c>
      <c r="G873" s="0" t="n">
        <f aca="false">VLOOKUP(E873,'MSA-Lookup'!$AA$1:$AB$25,2)</f>
        <v>7362</v>
      </c>
      <c r="H873" s="0" t="n">
        <f aca="false">IF(C873&gt;1,IF(C873&lt;99,VLOOKUP(F873,'MSA-Lookup'!$AA$1:$AB$25,2),C873),C873)</f>
        <v>999</v>
      </c>
    </row>
    <row r="874" customFormat="false" ht="12.75" hidden="false" customHeight="false" outlineLevel="0" collapsed="false">
      <c r="A874" s="0" t="n">
        <f aca="false">B874*1000+C874</f>
        <v>20000</v>
      </c>
      <c r="B874" s="0" t="n">
        <v>20</v>
      </c>
      <c r="C874" s="0" t="n">
        <v>0</v>
      </c>
      <c r="D874" s="0" t="n">
        <v>56017</v>
      </c>
      <c r="E874" s="0" t="n">
        <f aca="false">VLOOKUP(B874,'MSA-Lookup'!$H$2:$I$86,2)</f>
        <v>5775</v>
      </c>
      <c r="F874" s="0" t="n">
        <f aca="false">IF(C874&gt;1,IF(C874&lt;99,VLOOKUP(C874,'MSA-Lookup'!$H$1:$I$86,2),C874),C874)</f>
        <v>0</v>
      </c>
      <c r="G874" s="0" t="n">
        <f aca="false">VLOOKUP(E874,'MSA-Lookup'!$AA$1:$AB$25,2)</f>
        <v>7362</v>
      </c>
      <c r="H874" s="0" t="n">
        <f aca="false">IF(C874&gt;1,IF(C874&lt;99,VLOOKUP(F874,'MSA-Lookup'!$AA$1:$AB$25,2),C874),C874)</f>
        <v>0</v>
      </c>
    </row>
    <row r="875" customFormat="false" ht="12.75" hidden="false" customHeight="false" outlineLevel="0" collapsed="false">
      <c r="A875" s="0" t="n">
        <f aca="false">B875*1000+C875</f>
        <v>20001</v>
      </c>
      <c r="B875" s="0" t="n">
        <v>20</v>
      </c>
      <c r="C875" s="0" t="n">
        <v>1</v>
      </c>
      <c r="D875" s="0" t="n">
        <v>0</v>
      </c>
      <c r="E875" s="0" t="n">
        <f aca="false">VLOOKUP(B875,'MSA-Lookup'!$H$2:$I$86,2)</f>
        <v>5775</v>
      </c>
      <c r="F875" s="0" t="n">
        <f aca="false">IF(C875&gt;1,IF(C875&lt;99,VLOOKUP(C875,'MSA-Lookup'!$H$1:$I$86,2),C875),C875)</f>
        <v>1</v>
      </c>
      <c r="G875" s="0" t="n">
        <f aca="false">VLOOKUP(E875,'MSA-Lookup'!$AA$1:$AB$25,2)</f>
        <v>7362</v>
      </c>
      <c r="H875" s="0" t="n">
        <f aca="false">IF(C875&gt;1,IF(C875&lt;99,VLOOKUP(F875,'MSA-Lookup'!$AA$1:$AB$25,2),C875),C875)</f>
        <v>1</v>
      </c>
    </row>
    <row r="876" customFormat="false" ht="12.75" hidden="false" customHeight="false" outlineLevel="0" collapsed="false">
      <c r="A876" s="0" t="n">
        <f aca="false">B876*1000+C876</f>
        <v>20002</v>
      </c>
      <c r="B876" s="0" t="n">
        <v>20</v>
      </c>
      <c r="C876" s="0" t="n">
        <v>2</v>
      </c>
      <c r="D876" s="0" t="n">
        <v>0</v>
      </c>
      <c r="E876" s="0" t="n">
        <f aca="false">VLOOKUP(B876,'MSA-Lookup'!$H$2:$I$86,2)</f>
        <v>5775</v>
      </c>
      <c r="F876" s="0" t="n">
        <f aca="false">IF(C876&gt;1,IF(C876&lt;99,VLOOKUP(C876,'MSA-Lookup'!$H$1:$I$86,2),C876),C876)</f>
        <v>9999</v>
      </c>
      <c r="G876" s="0" t="n">
        <f aca="false">VLOOKUP(E876,'MSA-Lookup'!$AA$1:$AB$25,2)</f>
        <v>7362</v>
      </c>
      <c r="H876" s="0" t="n">
        <f aca="false">IF(C876&gt;1,IF(C876&lt;99,VLOOKUP(F876,'MSA-Lookup'!$AA$1:$AB$25,2),C876),C876)</f>
        <v>9999</v>
      </c>
    </row>
    <row r="877" customFormat="false" ht="12.75" hidden="false" customHeight="false" outlineLevel="0" collapsed="false">
      <c r="A877" s="0" t="n">
        <f aca="false">B877*1000+C877</f>
        <v>20003</v>
      </c>
      <c r="B877" s="0" t="n">
        <v>20</v>
      </c>
      <c r="C877" s="0" t="n">
        <v>3</v>
      </c>
      <c r="D877" s="0" t="n">
        <v>0</v>
      </c>
      <c r="E877" s="0" t="n">
        <f aca="false">VLOOKUP(B877,'MSA-Lookup'!$H$2:$I$86,2)</f>
        <v>5775</v>
      </c>
      <c r="F877" s="0" t="n">
        <f aca="false">IF(C877&gt;1,IF(C877&lt;99,VLOOKUP(C877,'MSA-Lookup'!$H$1:$I$86,2),C877),C877)</f>
        <v>6690</v>
      </c>
      <c r="G877" s="0" t="n">
        <f aca="false">VLOOKUP(E877,'MSA-Lookup'!$AA$1:$AB$25,2)</f>
        <v>7362</v>
      </c>
      <c r="H877" s="0" t="n">
        <f aca="false">IF(C877&gt;1,IF(C877&lt;99,VLOOKUP(F877,'MSA-Lookup'!$AA$1:$AB$25,2),C877),C877)</f>
        <v>6690</v>
      </c>
    </row>
    <row r="878" customFormat="false" ht="12.75" hidden="false" customHeight="false" outlineLevel="0" collapsed="false">
      <c r="A878" s="0" t="n">
        <f aca="false">B878*1000+C878</f>
        <v>20004</v>
      </c>
      <c r="B878" s="0" t="n">
        <v>20</v>
      </c>
      <c r="C878" s="0" t="n">
        <v>4</v>
      </c>
      <c r="D878" s="0" t="n">
        <v>0</v>
      </c>
      <c r="E878" s="0" t="n">
        <f aca="false">VLOOKUP(B878,'MSA-Lookup'!$H$2:$I$86,2)</f>
        <v>5775</v>
      </c>
      <c r="F878" s="0" t="n">
        <f aca="false">IF(C878&gt;1,IF(C878&lt;99,VLOOKUP(C878,'MSA-Lookup'!$H$1:$I$86,2),C878),C878)</f>
        <v>9999</v>
      </c>
      <c r="G878" s="0" t="n">
        <f aca="false">VLOOKUP(E878,'MSA-Lookup'!$AA$1:$AB$25,2)</f>
        <v>7362</v>
      </c>
      <c r="H878" s="0" t="n">
        <f aca="false">IF(C878&gt;1,IF(C878&lt;99,VLOOKUP(F878,'MSA-Lookup'!$AA$1:$AB$25,2),C878),C878)</f>
        <v>9999</v>
      </c>
    </row>
    <row r="879" customFormat="false" ht="12.75" hidden="false" customHeight="false" outlineLevel="0" collapsed="false">
      <c r="A879" s="0" t="n">
        <f aca="false">B879*1000+C879</f>
        <v>20005</v>
      </c>
      <c r="B879" s="0" t="n">
        <v>20</v>
      </c>
      <c r="C879" s="0" t="n">
        <v>5</v>
      </c>
      <c r="D879" s="0" t="n">
        <v>0</v>
      </c>
      <c r="E879" s="0" t="n">
        <f aca="false">VLOOKUP(B879,'MSA-Lookup'!$H$2:$I$86,2)</f>
        <v>5775</v>
      </c>
      <c r="F879" s="0" t="n">
        <f aca="false">IF(C879&gt;1,IF(C879&lt;99,VLOOKUP(C879,'MSA-Lookup'!$H$1:$I$86,2),C879),C879)</f>
        <v>9999</v>
      </c>
      <c r="G879" s="0" t="n">
        <f aca="false">VLOOKUP(E879,'MSA-Lookup'!$AA$1:$AB$25,2)</f>
        <v>7362</v>
      </c>
      <c r="H879" s="0" t="n">
        <f aca="false">IF(C879&gt;1,IF(C879&lt;99,VLOOKUP(F879,'MSA-Lookup'!$AA$1:$AB$25,2),C879),C879)</f>
        <v>9999</v>
      </c>
    </row>
    <row r="880" customFormat="false" ht="12.75" hidden="false" customHeight="false" outlineLevel="0" collapsed="false">
      <c r="A880" s="0" t="n">
        <f aca="false">B880*1000+C880</f>
        <v>20006</v>
      </c>
      <c r="B880" s="0" t="n">
        <v>20</v>
      </c>
      <c r="C880" s="0" t="n">
        <v>6</v>
      </c>
      <c r="D880" s="0" t="n">
        <v>78</v>
      </c>
      <c r="E880" s="0" t="n">
        <f aca="false">VLOOKUP(B880,'MSA-Lookup'!$H$2:$I$86,2)</f>
        <v>5775</v>
      </c>
      <c r="F880" s="0" t="n">
        <f aca="false">IF(C880&gt;1,IF(C880&lt;99,VLOOKUP(C880,'MSA-Lookup'!$H$1:$I$86,2),C880),C880)</f>
        <v>1620</v>
      </c>
      <c r="G880" s="0" t="n">
        <f aca="false">VLOOKUP(E880,'MSA-Lookup'!$AA$1:$AB$25,2)</f>
        <v>7362</v>
      </c>
      <c r="H880" s="0" t="n">
        <f aca="false">IF(C880&gt;1,IF(C880&lt;99,VLOOKUP(F880,'MSA-Lookup'!$AA$1:$AB$25,2),C880),C880)</f>
        <v>1620</v>
      </c>
    </row>
    <row r="881" customFormat="false" ht="12.75" hidden="false" customHeight="false" outlineLevel="0" collapsed="false">
      <c r="A881" s="0" t="n">
        <f aca="false">B881*1000+C881</f>
        <v>20007</v>
      </c>
      <c r="B881" s="0" t="n">
        <v>20</v>
      </c>
      <c r="C881" s="0" t="n">
        <v>7</v>
      </c>
      <c r="D881" s="0" t="n">
        <v>0</v>
      </c>
      <c r="E881" s="0" t="n">
        <f aca="false">VLOOKUP(B881,'MSA-Lookup'!$H$2:$I$86,2)</f>
        <v>5775</v>
      </c>
      <c r="F881" s="0" t="n">
        <f aca="false">IF(C881&gt;1,IF(C881&lt;99,VLOOKUP(C881,'MSA-Lookup'!$H$1:$I$86,2),C881),C881)</f>
        <v>9999</v>
      </c>
      <c r="G881" s="0" t="n">
        <f aca="false">VLOOKUP(E881,'MSA-Lookup'!$AA$1:$AB$25,2)</f>
        <v>7362</v>
      </c>
      <c r="H881" s="0" t="n">
        <f aca="false">IF(C881&gt;1,IF(C881&lt;99,VLOOKUP(F881,'MSA-Lookup'!$AA$1:$AB$25,2),C881),C881)</f>
        <v>9999</v>
      </c>
    </row>
    <row r="882" customFormat="false" ht="12.75" hidden="false" customHeight="false" outlineLevel="0" collapsed="false">
      <c r="A882" s="0" t="n">
        <f aca="false">B882*1000+C882</f>
        <v>20008</v>
      </c>
      <c r="B882" s="0" t="n">
        <v>20</v>
      </c>
      <c r="C882" s="0" t="n">
        <v>8</v>
      </c>
      <c r="D882" s="0" t="n">
        <v>0</v>
      </c>
      <c r="E882" s="0" t="n">
        <f aca="false">VLOOKUP(B882,'MSA-Lookup'!$H$2:$I$86,2)</f>
        <v>5775</v>
      </c>
      <c r="F882" s="0" t="n">
        <f aca="false">IF(C882&gt;1,IF(C882&lt;99,VLOOKUP(C882,'MSA-Lookup'!$H$1:$I$86,2),C882),C882)</f>
        <v>9340</v>
      </c>
      <c r="G882" s="0" t="n">
        <f aca="false">VLOOKUP(E882,'MSA-Lookup'!$AA$1:$AB$25,2)</f>
        <v>7362</v>
      </c>
      <c r="H882" s="0" t="n">
        <f aca="false">IF(C882&gt;1,IF(C882&lt;99,VLOOKUP(F882,'MSA-Lookup'!$AA$1:$AB$25,2),C882),C882)</f>
        <v>9340</v>
      </c>
    </row>
    <row r="883" customFormat="false" ht="12.75" hidden="false" customHeight="false" outlineLevel="0" collapsed="false">
      <c r="A883" s="0" t="n">
        <f aca="false">B883*1000+C883</f>
        <v>20009</v>
      </c>
      <c r="B883" s="0" t="n">
        <v>20</v>
      </c>
      <c r="C883" s="0" t="n">
        <v>9</v>
      </c>
      <c r="D883" s="0" t="n">
        <v>78</v>
      </c>
      <c r="E883" s="0" t="n">
        <f aca="false">VLOOKUP(B883,'MSA-Lookup'!$H$2:$I$86,2)</f>
        <v>5775</v>
      </c>
      <c r="F883" s="0" t="n">
        <f aca="false">IF(C883&gt;1,IF(C883&lt;99,VLOOKUP(C883,'MSA-Lookup'!$H$1:$I$86,2),C883),C883)</f>
        <v>8720</v>
      </c>
      <c r="G883" s="0" t="n">
        <f aca="false">VLOOKUP(E883,'MSA-Lookup'!$AA$1:$AB$25,2)</f>
        <v>7362</v>
      </c>
      <c r="H883" s="0" t="n">
        <f aca="false">IF(C883&gt;1,IF(C883&lt;99,VLOOKUP(F883,'MSA-Lookup'!$AA$1:$AB$25,2),C883),C883)</f>
        <v>7362</v>
      </c>
    </row>
    <row r="884" customFormat="false" ht="12.75" hidden="false" customHeight="false" outlineLevel="0" collapsed="false">
      <c r="A884" s="0" t="n">
        <f aca="false">B884*1000+C884</f>
        <v>20010</v>
      </c>
      <c r="B884" s="0" t="n">
        <v>20</v>
      </c>
      <c r="C884" s="0" t="n">
        <v>10</v>
      </c>
      <c r="D884" s="0" t="n">
        <v>91</v>
      </c>
      <c r="E884" s="0" t="n">
        <f aca="false">VLOOKUP(B884,'MSA-Lookup'!$H$2:$I$86,2)</f>
        <v>5775</v>
      </c>
      <c r="F884" s="0" t="n">
        <f aca="false">IF(C884&gt;1,IF(C884&lt;99,VLOOKUP(C884,'MSA-Lookup'!$H$1:$I$86,2),C884),C884)</f>
        <v>6920</v>
      </c>
      <c r="G884" s="0" t="n">
        <f aca="false">VLOOKUP(E884,'MSA-Lookup'!$AA$1:$AB$25,2)</f>
        <v>7362</v>
      </c>
      <c r="H884" s="0" t="n">
        <f aca="false">IF(C884&gt;1,IF(C884&lt;99,VLOOKUP(F884,'MSA-Lookup'!$AA$1:$AB$25,2),C884),C884)</f>
        <v>6920</v>
      </c>
    </row>
    <row r="885" customFormat="false" ht="12.75" hidden="false" customHeight="false" outlineLevel="0" collapsed="false">
      <c r="A885" s="0" t="n">
        <f aca="false">B885*1000+C885</f>
        <v>20011</v>
      </c>
      <c r="B885" s="0" t="n">
        <v>20</v>
      </c>
      <c r="C885" s="0" t="n">
        <v>11</v>
      </c>
      <c r="D885" s="0" t="n">
        <v>0</v>
      </c>
      <c r="E885" s="0" t="n">
        <f aca="false">VLOOKUP(B885,'MSA-Lookup'!$H$2:$I$86,2)</f>
        <v>5775</v>
      </c>
      <c r="F885" s="0" t="n">
        <f aca="false">IF(C885&gt;1,IF(C885&lt;99,VLOOKUP(C885,'MSA-Lookup'!$H$1:$I$86,2),C885),C885)</f>
        <v>6920</v>
      </c>
      <c r="G885" s="0" t="n">
        <f aca="false">VLOOKUP(E885,'MSA-Lookup'!$AA$1:$AB$25,2)</f>
        <v>7362</v>
      </c>
      <c r="H885" s="0" t="n">
        <f aca="false">IF(C885&gt;1,IF(C885&lt;99,VLOOKUP(F885,'MSA-Lookup'!$AA$1:$AB$25,2),C885),C885)</f>
        <v>6920</v>
      </c>
    </row>
    <row r="886" customFormat="false" ht="12.75" hidden="false" customHeight="false" outlineLevel="0" collapsed="false">
      <c r="A886" s="0" t="n">
        <f aca="false">B886*1000+C886</f>
        <v>20012</v>
      </c>
      <c r="B886" s="0" t="n">
        <v>20</v>
      </c>
      <c r="C886" s="0" t="n">
        <v>12</v>
      </c>
      <c r="D886" s="0" t="n">
        <v>0</v>
      </c>
      <c r="E886" s="0" t="n">
        <f aca="false">VLOOKUP(B886,'MSA-Lookup'!$H$2:$I$86,2)</f>
        <v>5775</v>
      </c>
      <c r="F886" s="0" t="n">
        <f aca="false">IF(C886&gt;1,IF(C886&lt;99,VLOOKUP(C886,'MSA-Lookup'!$H$1:$I$86,2),C886),C886)</f>
        <v>6920</v>
      </c>
      <c r="G886" s="0" t="n">
        <f aca="false">VLOOKUP(E886,'MSA-Lookup'!$AA$1:$AB$25,2)</f>
        <v>7362</v>
      </c>
      <c r="H886" s="0" t="n">
        <f aca="false">IF(C886&gt;1,IF(C886&lt;99,VLOOKUP(F886,'MSA-Lookup'!$AA$1:$AB$25,2),C886),C886)</f>
        <v>6920</v>
      </c>
    </row>
    <row r="887" customFormat="false" ht="12.75" hidden="false" customHeight="false" outlineLevel="0" collapsed="false">
      <c r="A887" s="0" t="n">
        <f aca="false">B887*1000+C887</f>
        <v>20013</v>
      </c>
      <c r="B887" s="0" t="n">
        <v>20</v>
      </c>
      <c r="C887" s="0" t="n">
        <v>13</v>
      </c>
      <c r="D887" s="0" t="n">
        <v>130</v>
      </c>
      <c r="E887" s="0" t="n">
        <f aca="false">VLOOKUP(B887,'MSA-Lookup'!$H$2:$I$86,2)</f>
        <v>5775</v>
      </c>
      <c r="F887" s="0" t="n">
        <f aca="false">IF(C887&gt;1,IF(C887&lt;99,VLOOKUP(C887,'MSA-Lookup'!$H$1:$I$86,2),C887),C887)</f>
        <v>7500</v>
      </c>
      <c r="G887" s="0" t="n">
        <f aca="false">VLOOKUP(E887,'MSA-Lookup'!$AA$1:$AB$25,2)</f>
        <v>7362</v>
      </c>
      <c r="H887" s="0" t="n">
        <f aca="false">IF(C887&gt;1,IF(C887&lt;99,VLOOKUP(F887,'MSA-Lookup'!$AA$1:$AB$25,2),C887),C887)</f>
        <v>7362</v>
      </c>
    </row>
    <row r="888" customFormat="false" ht="12.75" hidden="false" customHeight="false" outlineLevel="0" collapsed="false">
      <c r="A888" s="0" t="n">
        <f aca="false">B888*1000+C888</f>
        <v>20014</v>
      </c>
      <c r="B888" s="0" t="n">
        <v>20</v>
      </c>
      <c r="C888" s="0" t="n">
        <v>14</v>
      </c>
      <c r="D888" s="0" t="n">
        <v>247</v>
      </c>
      <c r="E888" s="0" t="n">
        <f aca="false">VLOOKUP(B888,'MSA-Lookup'!$H$2:$I$86,2)</f>
        <v>5775</v>
      </c>
      <c r="F888" s="0" t="n">
        <f aca="false">IF(C888&gt;1,IF(C888&lt;99,VLOOKUP(C888,'MSA-Lookup'!$H$1:$I$86,2),C888),C888)</f>
        <v>7500</v>
      </c>
      <c r="G888" s="0" t="n">
        <f aca="false">VLOOKUP(E888,'MSA-Lookup'!$AA$1:$AB$25,2)</f>
        <v>7362</v>
      </c>
      <c r="H888" s="0" t="n">
        <f aca="false">IF(C888&gt;1,IF(C888&lt;99,VLOOKUP(F888,'MSA-Lookup'!$AA$1:$AB$25,2),C888),C888)</f>
        <v>7362</v>
      </c>
    </row>
    <row r="889" customFormat="false" ht="12.75" hidden="false" customHeight="false" outlineLevel="0" collapsed="false">
      <c r="A889" s="0" t="n">
        <f aca="false">B889*1000+C889</f>
        <v>20015</v>
      </c>
      <c r="B889" s="0" t="n">
        <v>20</v>
      </c>
      <c r="C889" s="0" t="n">
        <v>15</v>
      </c>
      <c r="D889" s="0" t="n">
        <v>559</v>
      </c>
      <c r="E889" s="0" t="n">
        <f aca="false">VLOOKUP(B889,'MSA-Lookup'!$H$2:$I$86,2)</f>
        <v>5775</v>
      </c>
      <c r="F889" s="0" t="n">
        <f aca="false">IF(C889&gt;1,IF(C889&lt;99,VLOOKUP(C889,'MSA-Lookup'!$H$1:$I$86,2),C889),C889)</f>
        <v>7360</v>
      </c>
      <c r="G889" s="0" t="n">
        <f aca="false">VLOOKUP(E889,'MSA-Lookup'!$AA$1:$AB$25,2)</f>
        <v>7362</v>
      </c>
      <c r="H889" s="0" t="n">
        <f aca="false">IF(C889&gt;1,IF(C889&lt;99,VLOOKUP(F889,'MSA-Lookup'!$AA$1:$AB$25,2),C889),C889)</f>
        <v>7362</v>
      </c>
    </row>
    <row r="890" customFormat="false" ht="12.75" hidden="false" customHeight="false" outlineLevel="0" collapsed="false">
      <c r="A890" s="0" t="n">
        <f aca="false">B890*1000+C890</f>
        <v>20016</v>
      </c>
      <c r="B890" s="0" t="n">
        <v>20</v>
      </c>
      <c r="C890" s="0" t="n">
        <v>16</v>
      </c>
      <c r="D890" s="0" t="n">
        <v>0</v>
      </c>
      <c r="E890" s="0" t="n">
        <f aca="false">VLOOKUP(B890,'MSA-Lookup'!$H$2:$I$86,2)</f>
        <v>5775</v>
      </c>
      <c r="F890" s="0" t="n">
        <f aca="false">IF(C890&gt;1,IF(C890&lt;99,VLOOKUP(C890,'MSA-Lookup'!$H$1:$I$86,2),C890),C890)</f>
        <v>8720</v>
      </c>
      <c r="G890" s="0" t="n">
        <f aca="false">VLOOKUP(E890,'MSA-Lookup'!$AA$1:$AB$25,2)</f>
        <v>7362</v>
      </c>
      <c r="H890" s="0" t="n">
        <f aca="false">IF(C890&gt;1,IF(C890&lt;99,VLOOKUP(F890,'MSA-Lookup'!$AA$1:$AB$25,2),C890),C890)</f>
        <v>7362</v>
      </c>
    </row>
    <row r="891" customFormat="false" ht="12.75" hidden="false" customHeight="false" outlineLevel="0" collapsed="false">
      <c r="A891" s="0" t="n">
        <f aca="false">B891*1000+C891</f>
        <v>20017</v>
      </c>
      <c r="B891" s="0" t="n">
        <v>20</v>
      </c>
      <c r="C891" s="0" t="n">
        <v>17</v>
      </c>
      <c r="D891" s="0" t="n">
        <v>2574</v>
      </c>
      <c r="E891" s="0" t="n">
        <f aca="false">VLOOKUP(B891,'MSA-Lookup'!$H$2:$I$86,2)</f>
        <v>5775</v>
      </c>
      <c r="F891" s="0" t="n">
        <f aca="false">IF(C891&gt;1,IF(C891&lt;99,VLOOKUP(C891,'MSA-Lookup'!$H$1:$I$86,2),C891),C891)</f>
        <v>5775</v>
      </c>
      <c r="G891" s="0" t="n">
        <f aca="false">VLOOKUP(E891,'MSA-Lookup'!$AA$1:$AB$25,2)</f>
        <v>7362</v>
      </c>
      <c r="H891" s="0" t="n">
        <f aca="false">IF(C891&gt;1,IF(C891&lt;99,VLOOKUP(F891,'MSA-Lookup'!$AA$1:$AB$25,2),C891),C891)</f>
        <v>7362</v>
      </c>
    </row>
    <row r="892" customFormat="false" ht="12.75" hidden="false" customHeight="false" outlineLevel="0" collapsed="false">
      <c r="A892" s="0" t="n">
        <f aca="false">B892*1000+C892</f>
        <v>20018</v>
      </c>
      <c r="B892" s="0" t="n">
        <v>20</v>
      </c>
      <c r="C892" s="0" t="n">
        <v>18</v>
      </c>
      <c r="D892" s="0" t="n">
        <v>3705</v>
      </c>
      <c r="E892" s="0" t="n">
        <f aca="false">VLOOKUP(B892,'MSA-Lookup'!$H$2:$I$86,2)</f>
        <v>5775</v>
      </c>
      <c r="F892" s="0" t="n">
        <f aca="false">IF(C892&gt;1,IF(C892&lt;99,VLOOKUP(C892,'MSA-Lookup'!$H$1:$I$86,2),C892),C892)</f>
        <v>5775</v>
      </c>
      <c r="G892" s="0" t="n">
        <f aca="false">VLOOKUP(E892,'MSA-Lookup'!$AA$1:$AB$25,2)</f>
        <v>7362</v>
      </c>
      <c r="H892" s="0" t="n">
        <f aca="false">IF(C892&gt;1,IF(C892&lt;99,VLOOKUP(F892,'MSA-Lookup'!$AA$1:$AB$25,2),C892),C892)</f>
        <v>7362</v>
      </c>
    </row>
    <row r="893" customFormat="false" ht="12.75" hidden="false" customHeight="false" outlineLevel="0" collapsed="false">
      <c r="A893" s="0" t="n">
        <f aca="false">B893*1000+C893</f>
        <v>20019</v>
      </c>
      <c r="B893" s="0" t="n">
        <v>20</v>
      </c>
      <c r="C893" s="0" t="n">
        <v>19</v>
      </c>
      <c r="D893" s="0" t="n">
        <v>7085</v>
      </c>
      <c r="E893" s="0" t="n">
        <f aca="false">VLOOKUP(B893,'MSA-Lookup'!$H$2:$I$86,2)</f>
        <v>5775</v>
      </c>
      <c r="F893" s="0" t="n">
        <f aca="false">IF(C893&gt;1,IF(C893&lt;99,VLOOKUP(C893,'MSA-Lookup'!$H$1:$I$86,2),C893),C893)</f>
        <v>7360</v>
      </c>
      <c r="G893" s="0" t="n">
        <f aca="false">VLOOKUP(E893,'MSA-Lookup'!$AA$1:$AB$25,2)</f>
        <v>7362</v>
      </c>
      <c r="H893" s="0" t="n">
        <f aca="false">IF(C893&gt;1,IF(C893&lt;99,VLOOKUP(F893,'MSA-Lookup'!$AA$1:$AB$25,2),C893),C893)</f>
        <v>7362</v>
      </c>
    </row>
    <row r="894" customFormat="false" ht="12.75" hidden="false" customHeight="false" outlineLevel="0" collapsed="false">
      <c r="A894" s="0" t="n">
        <f aca="false">B894*1000+C894</f>
        <v>20020</v>
      </c>
      <c r="B894" s="0" t="n">
        <v>20</v>
      </c>
      <c r="C894" s="0" t="n">
        <v>20</v>
      </c>
      <c r="D894" s="0" t="n">
        <v>36374</v>
      </c>
      <c r="E894" s="0" t="n">
        <f aca="false">VLOOKUP(B894,'MSA-Lookup'!$H$2:$I$86,2)</f>
        <v>5775</v>
      </c>
      <c r="F894" s="0" t="n">
        <f aca="false">IF(C894&gt;1,IF(C894&lt;99,VLOOKUP(C894,'MSA-Lookup'!$H$1:$I$86,2),C894),C894)</f>
        <v>5775</v>
      </c>
      <c r="G894" s="0" t="n">
        <f aca="false">VLOOKUP(E894,'MSA-Lookup'!$AA$1:$AB$25,2)</f>
        <v>7362</v>
      </c>
      <c r="H894" s="0" t="n">
        <f aca="false">IF(C894&gt;1,IF(C894&lt;99,VLOOKUP(F894,'MSA-Lookup'!$AA$1:$AB$25,2),C894),C894)</f>
        <v>7362</v>
      </c>
    </row>
    <row r="895" customFormat="false" ht="12.75" hidden="false" customHeight="false" outlineLevel="0" collapsed="false">
      <c r="A895" s="0" t="n">
        <f aca="false">B895*1000+C895</f>
        <v>20021</v>
      </c>
      <c r="B895" s="0" t="n">
        <v>20</v>
      </c>
      <c r="C895" s="0" t="n">
        <v>21</v>
      </c>
      <c r="D895" s="0" t="n">
        <v>13780</v>
      </c>
      <c r="E895" s="0" t="n">
        <f aca="false">VLOOKUP(B895,'MSA-Lookup'!$H$2:$I$86,2)</f>
        <v>5775</v>
      </c>
      <c r="F895" s="0" t="n">
        <f aca="false">IF(C895&gt;1,IF(C895&lt;99,VLOOKUP(C895,'MSA-Lookup'!$H$1:$I$86,2),C895),C895)</f>
        <v>5775</v>
      </c>
      <c r="G895" s="0" t="n">
        <f aca="false">VLOOKUP(E895,'MSA-Lookup'!$AA$1:$AB$25,2)</f>
        <v>7362</v>
      </c>
      <c r="H895" s="0" t="n">
        <f aca="false">IF(C895&gt;1,IF(C895&lt;99,VLOOKUP(F895,'MSA-Lookup'!$AA$1:$AB$25,2),C895),C895)</f>
        <v>7362</v>
      </c>
    </row>
    <row r="896" customFormat="false" ht="12.75" hidden="false" customHeight="false" outlineLevel="0" collapsed="false">
      <c r="A896" s="0" t="n">
        <f aca="false">B896*1000+C896</f>
        <v>20022</v>
      </c>
      <c r="B896" s="0" t="n">
        <v>20</v>
      </c>
      <c r="C896" s="0" t="n">
        <v>22</v>
      </c>
      <c r="D896" s="0" t="n">
        <v>1014</v>
      </c>
      <c r="E896" s="0" t="n">
        <f aca="false">VLOOKUP(B896,'MSA-Lookup'!$H$2:$I$86,2)</f>
        <v>5775</v>
      </c>
      <c r="F896" s="0" t="n">
        <f aca="false">IF(C896&gt;1,IF(C896&lt;99,VLOOKUP(C896,'MSA-Lookup'!$H$1:$I$86,2),C896),C896)</f>
        <v>7360</v>
      </c>
      <c r="G896" s="0" t="n">
        <f aca="false">VLOOKUP(E896,'MSA-Lookup'!$AA$1:$AB$25,2)</f>
        <v>7362</v>
      </c>
      <c r="H896" s="0" t="n">
        <f aca="false">IF(C896&gt;1,IF(C896&lt;99,VLOOKUP(F896,'MSA-Lookup'!$AA$1:$AB$25,2),C896),C896)</f>
        <v>7362</v>
      </c>
    </row>
    <row r="897" customFormat="false" ht="12.75" hidden="false" customHeight="false" outlineLevel="0" collapsed="false">
      <c r="A897" s="0" t="n">
        <f aca="false">B897*1000+C897</f>
        <v>20023</v>
      </c>
      <c r="B897" s="0" t="n">
        <v>20</v>
      </c>
      <c r="C897" s="0" t="n">
        <v>23</v>
      </c>
      <c r="D897" s="0" t="n">
        <v>0</v>
      </c>
      <c r="E897" s="0" t="n">
        <f aca="false">VLOOKUP(B897,'MSA-Lookup'!$H$2:$I$86,2)</f>
        <v>5775</v>
      </c>
      <c r="F897" s="0" t="n">
        <f aca="false">IF(C897&gt;1,IF(C897&lt;99,VLOOKUP(C897,'MSA-Lookup'!$H$1:$I$86,2),C897),C897)</f>
        <v>8120</v>
      </c>
      <c r="G897" s="0" t="n">
        <f aca="false">VLOOKUP(E897,'MSA-Lookup'!$AA$1:$AB$25,2)</f>
        <v>7362</v>
      </c>
      <c r="H897" s="0" t="n">
        <f aca="false">IF(C897&gt;1,IF(C897&lt;99,VLOOKUP(F897,'MSA-Lookup'!$AA$1:$AB$25,2),C897),C897)</f>
        <v>8120</v>
      </c>
    </row>
    <row r="898" customFormat="false" ht="12.75" hidden="false" customHeight="false" outlineLevel="0" collapsed="false">
      <c r="A898" s="0" t="n">
        <f aca="false">B898*1000+C898</f>
        <v>20024</v>
      </c>
      <c r="B898" s="0" t="n">
        <v>20</v>
      </c>
      <c r="C898" s="0" t="n">
        <v>24</v>
      </c>
      <c r="D898" s="0" t="n">
        <v>0</v>
      </c>
      <c r="E898" s="0" t="n">
        <f aca="false">VLOOKUP(B898,'MSA-Lookup'!$H$2:$I$86,2)</f>
        <v>5775</v>
      </c>
      <c r="F898" s="0" t="n">
        <f aca="false">IF(C898&gt;1,IF(C898&lt;99,VLOOKUP(C898,'MSA-Lookup'!$H$1:$I$86,2),C898),C898)</f>
        <v>5170</v>
      </c>
      <c r="G898" s="0" t="n">
        <f aca="false">VLOOKUP(E898,'MSA-Lookup'!$AA$1:$AB$25,2)</f>
        <v>7362</v>
      </c>
      <c r="H898" s="0" t="n">
        <f aca="false">IF(C898&gt;1,IF(C898&lt;99,VLOOKUP(F898,'MSA-Lookup'!$AA$1:$AB$25,2),C898),C898)</f>
        <v>5170</v>
      </c>
    </row>
    <row r="899" customFormat="false" ht="12.75" hidden="false" customHeight="false" outlineLevel="0" collapsed="false">
      <c r="A899" s="0" t="n">
        <f aca="false">B899*1000+C899</f>
        <v>20025</v>
      </c>
      <c r="B899" s="0" t="n">
        <v>20</v>
      </c>
      <c r="C899" s="0" t="n">
        <v>25</v>
      </c>
      <c r="D899" s="0" t="n">
        <v>0</v>
      </c>
      <c r="E899" s="0" t="n">
        <f aca="false">VLOOKUP(B899,'MSA-Lookup'!$H$2:$I$86,2)</f>
        <v>5775</v>
      </c>
      <c r="F899" s="0" t="n">
        <f aca="false">IF(C899&gt;1,IF(C899&lt;99,VLOOKUP(C899,'MSA-Lookup'!$H$1:$I$86,2),C899),C899)</f>
        <v>5170</v>
      </c>
      <c r="G899" s="0" t="n">
        <f aca="false">VLOOKUP(E899,'MSA-Lookup'!$AA$1:$AB$25,2)</f>
        <v>7362</v>
      </c>
      <c r="H899" s="0" t="n">
        <f aca="false">IF(C899&gt;1,IF(C899&lt;99,VLOOKUP(F899,'MSA-Lookup'!$AA$1:$AB$25,2),C899),C899)</f>
        <v>5170</v>
      </c>
    </row>
    <row r="900" customFormat="false" ht="12.75" hidden="false" customHeight="false" outlineLevel="0" collapsed="false">
      <c r="A900" s="0" t="n">
        <f aca="false">B900*1000+C900</f>
        <v>20026</v>
      </c>
      <c r="B900" s="0" t="n">
        <v>20</v>
      </c>
      <c r="C900" s="0" t="n">
        <v>26</v>
      </c>
      <c r="D900" s="0" t="n">
        <v>0</v>
      </c>
      <c r="E900" s="0" t="n">
        <f aca="false">VLOOKUP(B900,'MSA-Lookup'!$H$2:$I$86,2)</f>
        <v>5775</v>
      </c>
      <c r="F900" s="0" t="n">
        <f aca="false">IF(C900&gt;1,IF(C900&lt;99,VLOOKUP(C900,'MSA-Lookup'!$H$1:$I$86,2),C900),C900)</f>
        <v>9999</v>
      </c>
      <c r="G900" s="0" t="n">
        <f aca="false">VLOOKUP(E900,'MSA-Lookup'!$AA$1:$AB$25,2)</f>
        <v>7362</v>
      </c>
      <c r="H900" s="0" t="n">
        <f aca="false">IF(C900&gt;1,IF(C900&lt;99,VLOOKUP(F900,'MSA-Lookup'!$AA$1:$AB$25,2),C900),C900)</f>
        <v>9999</v>
      </c>
    </row>
    <row r="901" customFormat="false" ht="12.75" hidden="false" customHeight="false" outlineLevel="0" collapsed="false">
      <c r="A901" s="0" t="n">
        <f aca="false">B901*1000+C901</f>
        <v>20027</v>
      </c>
      <c r="B901" s="0" t="n">
        <v>20</v>
      </c>
      <c r="C901" s="0" t="n">
        <v>27</v>
      </c>
      <c r="D901" s="0" t="n">
        <v>0</v>
      </c>
      <c r="E901" s="0" t="n">
        <f aca="false">VLOOKUP(B901,'MSA-Lookup'!$H$2:$I$86,2)</f>
        <v>5775</v>
      </c>
      <c r="F901" s="0" t="n">
        <f aca="false">IF(C901&gt;1,IF(C901&lt;99,VLOOKUP(C901,'MSA-Lookup'!$H$1:$I$86,2),C901),C901)</f>
        <v>9999</v>
      </c>
      <c r="G901" s="0" t="n">
        <f aca="false">VLOOKUP(E901,'MSA-Lookup'!$AA$1:$AB$25,2)</f>
        <v>7362</v>
      </c>
      <c r="H901" s="0" t="n">
        <f aca="false">IF(C901&gt;1,IF(C901&lt;99,VLOOKUP(F901,'MSA-Lookup'!$AA$1:$AB$25,2),C901),C901)</f>
        <v>9999</v>
      </c>
    </row>
    <row r="902" customFormat="false" ht="12.75" hidden="false" customHeight="false" outlineLevel="0" collapsed="false">
      <c r="A902" s="0" t="n">
        <f aca="false">B902*1000+C902</f>
        <v>20028</v>
      </c>
      <c r="B902" s="0" t="n">
        <v>20</v>
      </c>
      <c r="C902" s="0" t="n">
        <v>28</v>
      </c>
      <c r="D902" s="0" t="n">
        <v>0</v>
      </c>
      <c r="E902" s="0" t="n">
        <f aca="false">VLOOKUP(B902,'MSA-Lookup'!$H$2:$I$86,2)</f>
        <v>5775</v>
      </c>
      <c r="F902" s="0" t="n">
        <f aca="false">IF(C902&gt;1,IF(C902&lt;99,VLOOKUP(C902,'MSA-Lookup'!$H$1:$I$86,2),C902),C902)</f>
        <v>6920</v>
      </c>
      <c r="G902" s="0" t="n">
        <f aca="false">VLOOKUP(E902,'MSA-Lookup'!$AA$1:$AB$25,2)</f>
        <v>7362</v>
      </c>
      <c r="H902" s="0" t="n">
        <f aca="false">IF(C902&gt;1,IF(C902&lt;99,VLOOKUP(F902,'MSA-Lookup'!$AA$1:$AB$25,2),C902),C902)</f>
        <v>6920</v>
      </c>
    </row>
    <row r="903" customFormat="false" ht="12.75" hidden="false" customHeight="false" outlineLevel="0" collapsed="false">
      <c r="A903" s="0" t="n">
        <f aca="false">B903*1000+C903</f>
        <v>20029</v>
      </c>
      <c r="B903" s="0" t="n">
        <v>20</v>
      </c>
      <c r="C903" s="0" t="n">
        <v>29</v>
      </c>
      <c r="D903" s="0" t="n">
        <v>0</v>
      </c>
      <c r="E903" s="0" t="n">
        <f aca="false">VLOOKUP(B903,'MSA-Lookup'!$H$2:$I$86,2)</f>
        <v>5775</v>
      </c>
      <c r="F903" s="0" t="n">
        <f aca="false">IF(C903&gt;1,IF(C903&lt;99,VLOOKUP(C903,'MSA-Lookup'!$H$1:$I$86,2),C903),C903)</f>
        <v>6920</v>
      </c>
      <c r="G903" s="0" t="n">
        <f aca="false">VLOOKUP(E903,'MSA-Lookup'!$AA$1:$AB$25,2)</f>
        <v>7362</v>
      </c>
      <c r="H903" s="0" t="n">
        <f aca="false">IF(C903&gt;1,IF(C903&lt;99,VLOOKUP(F903,'MSA-Lookup'!$AA$1:$AB$25,2),C903),C903)</f>
        <v>6920</v>
      </c>
    </row>
    <row r="904" customFormat="false" ht="12.75" hidden="false" customHeight="false" outlineLevel="0" collapsed="false">
      <c r="A904" s="0" t="n">
        <f aca="false">B904*1000+C904</f>
        <v>20030</v>
      </c>
      <c r="B904" s="0" t="n">
        <v>20</v>
      </c>
      <c r="C904" s="0" t="n">
        <v>30</v>
      </c>
      <c r="D904" s="0" t="n">
        <v>0</v>
      </c>
      <c r="E904" s="0" t="n">
        <f aca="false">VLOOKUP(B904,'MSA-Lookup'!$H$2:$I$86,2)</f>
        <v>5775</v>
      </c>
      <c r="F904" s="0" t="n">
        <f aca="false">IF(C904&gt;1,IF(C904&lt;99,VLOOKUP(C904,'MSA-Lookup'!$H$1:$I$86,2),C904),C904)</f>
        <v>4940</v>
      </c>
      <c r="G904" s="0" t="n">
        <f aca="false">VLOOKUP(E904,'MSA-Lookup'!$AA$1:$AB$25,2)</f>
        <v>7362</v>
      </c>
      <c r="H904" s="0" t="n">
        <f aca="false">IF(C904&gt;1,IF(C904&lt;99,VLOOKUP(F904,'MSA-Lookup'!$AA$1:$AB$25,2),C904),C904)</f>
        <v>4940</v>
      </c>
    </row>
    <row r="905" customFormat="false" ht="12.75" hidden="false" customHeight="false" outlineLevel="0" collapsed="false">
      <c r="A905" s="0" t="n">
        <f aca="false">B905*1000+C905</f>
        <v>20031</v>
      </c>
      <c r="B905" s="0" t="n">
        <v>20</v>
      </c>
      <c r="C905" s="0" t="n">
        <v>31</v>
      </c>
      <c r="D905" s="0" t="n">
        <v>0</v>
      </c>
      <c r="E905" s="0" t="n">
        <f aca="false">VLOOKUP(B905,'MSA-Lookup'!$H$2:$I$86,2)</f>
        <v>5775</v>
      </c>
      <c r="F905" s="0" t="n">
        <f aca="false">IF(C905&gt;1,IF(C905&lt;99,VLOOKUP(C905,'MSA-Lookup'!$H$1:$I$86,2),C905),C905)</f>
        <v>9999</v>
      </c>
      <c r="G905" s="0" t="n">
        <f aca="false">VLOOKUP(E905,'MSA-Lookup'!$AA$1:$AB$25,2)</f>
        <v>7362</v>
      </c>
      <c r="H905" s="0" t="n">
        <f aca="false">IF(C905&gt;1,IF(C905&lt;99,VLOOKUP(F905,'MSA-Lookup'!$AA$1:$AB$25,2),C905),C905)</f>
        <v>9999</v>
      </c>
    </row>
    <row r="906" customFormat="false" ht="12.75" hidden="false" customHeight="false" outlineLevel="0" collapsed="false">
      <c r="A906" s="0" t="n">
        <f aca="false">B906*1000+C906</f>
        <v>20032</v>
      </c>
      <c r="B906" s="0" t="n">
        <v>20</v>
      </c>
      <c r="C906" s="0" t="n">
        <v>32</v>
      </c>
      <c r="D906" s="0" t="n">
        <v>0</v>
      </c>
      <c r="E906" s="0" t="n">
        <f aca="false">VLOOKUP(B906,'MSA-Lookup'!$H$2:$I$86,2)</f>
        <v>5775</v>
      </c>
      <c r="F906" s="0" t="n">
        <f aca="false">IF(C906&gt;1,IF(C906&lt;99,VLOOKUP(C906,'MSA-Lookup'!$H$1:$I$86,2),C906),C906)</f>
        <v>7480</v>
      </c>
      <c r="G906" s="0" t="n">
        <f aca="false">VLOOKUP(E906,'MSA-Lookup'!$AA$1:$AB$25,2)</f>
        <v>7362</v>
      </c>
      <c r="H906" s="0" t="n">
        <f aca="false">IF(C906&gt;1,IF(C906&lt;99,VLOOKUP(F906,'MSA-Lookup'!$AA$1:$AB$25,2),C906),C906)</f>
        <v>7480</v>
      </c>
    </row>
    <row r="907" customFormat="false" ht="12.75" hidden="false" customHeight="false" outlineLevel="0" collapsed="false">
      <c r="A907" s="0" t="n">
        <f aca="false">B907*1000+C907</f>
        <v>20033</v>
      </c>
      <c r="B907" s="0" t="n">
        <v>20</v>
      </c>
      <c r="C907" s="0" t="n">
        <v>33</v>
      </c>
      <c r="D907" s="0" t="n">
        <v>0</v>
      </c>
      <c r="E907" s="0" t="n">
        <f aca="false">VLOOKUP(B907,'MSA-Lookup'!$H$2:$I$86,2)</f>
        <v>5775</v>
      </c>
      <c r="F907" s="0" t="n">
        <f aca="false">IF(C907&gt;1,IF(C907&lt;99,VLOOKUP(C907,'MSA-Lookup'!$H$1:$I$86,2),C907),C907)</f>
        <v>7320</v>
      </c>
      <c r="G907" s="0" t="n">
        <f aca="false">VLOOKUP(E907,'MSA-Lookup'!$AA$1:$AB$25,2)</f>
        <v>7362</v>
      </c>
      <c r="H907" s="0" t="n">
        <f aca="false">IF(C907&gt;1,IF(C907&lt;99,VLOOKUP(F907,'MSA-Lookup'!$AA$1:$AB$25,2),C907),C907)</f>
        <v>7320</v>
      </c>
    </row>
    <row r="908" customFormat="false" ht="12.75" hidden="false" customHeight="false" outlineLevel="0" collapsed="false">
      <c r="A908" s="0" t="n">
        <f aca="false">B908*1000+C908</f>
        <v>20034</v>
      </c>
      <c r="B908" s="0" t="n">
        <v>20</v>
      </c>
      <c r="C908" s="0" t="n">
        <v>34</v>
      </c>
      <c r="D908" s="0" t="n">
        <v>0</v>
      </c>
      <c r="E908" s="0" t="n">
        <f aca="false">VLOOKUP(B908,'MSA-Lookup'!$H$2:$I$86,2)</f>
        <v>5775</v>
      </c>
      <c r="F908" s="0" t="n">
        <f aca="false">IF(C908&gt;1,IF(C908&lt;99,VLOOKUP(C908,'MSA-Lookup'!$H$1:$I$86,2),C908),C908)</f>
        <v>7320</v>
      </c>
      <c r="G908" s="0" t="n">
        <f aca="false">VLOOKUP(E908,'MSA-Lookup'!$AA$1:$AB$25,2)</f>
        <v>7362</v>
      </c>
      <c r="H908" s="0" t="n">
        <f aca="false">IF(C908&gt;1,IF(C908&lt;99,VLOOKUP(F908,'MSA-Lookup'!$AA$1:$AB$25,2),C908),C908)</f>
        <v>7320</v>
      </c>
    </row>
    <row r="909" customFormat="false" ht="12.75" hidden="false" customHeight="false" outlineLevel="0" collapsed="false">
      <c r="A909" s="0" t="n">
        <f aca="false">B909*1000+C909</f>
        <v>20035</v>
      </c>
      <c r="B909" s="0" t="n">
        <v>20</v>
      </c>
      <c r="C909" s="0" t="n">
        <v>35</v>
      </c>
      <c r="D909" s="0" t="n">
        <v>0</v>
      </c>
      <c r="E909" s="0" t="n">
        <f aca="false">VLOOKUP(B909,'MSA-Lookup'!$H$2:$I$86,2)</f>
        <v>5775</v>
      </c>
      <c r="F909" s="0" t="n">
        <f aca="false">IF(C909&gt;1,IF(C909&lt;99,VLOOKUP(C909,'MSA-Lookup'!$H$1:$I$86,2),C909),C909)</f>
        <v>7320</v>
      </c>
      <c r="G909" s="0" t="n">
        <f aca="false">VLOOKUP(E909,'MSA-Lookup'!$AA$1:$AB$25,2)</f>
        <v>7362</v>
      </c>
      <c r="H909" s="0" t="n">
        <f aca="false">IF(C909&gt;1,IF(C909&lt;99,VLOOKUP(F909,'MSA-Lookup'!$AA$1:$AB$25,2),C909),C909)</f>
        <v>7320</v>
      </c>
    </row>
    <row r="910" customFormat="false" ht="12.75" hidden="false" customHeight="false" outlineLevel="0" collapsed="false">
      <c r="A910" s="0" t="n">
        <f aca="false">B910*1000+C910</f>
        <v>20037</v>
      </c>
      <c r="B910" s="0" t="n">
        <v>20</v>
      </c>
      <c r="C910" s="0" t="n">
        <v>37</v>
      </c>
      <c r="D910" s="0" t="n">
        <v>0</v>
      </c>
      <c r="E910" s="0" t="n">
        <f aca="false">VLOOKUP(B910,'MSA-Lookup'!$H$2:$I$86,2)</f>
        <v>5775</v>
      </c>
      <c r="F910" s="0" t="n">
        <f aca="false">IF(C910&gt;1,IF(C910&lt;99,VLOOKUP(C910,'MSA-Lookup'!$H$1:$I$86,2),C910),C910)</f>
        <v>7320</v>
      </c>
      <c r="G910" s="0" t="n">
        <f aca="false">VLOOKUP(E910,'MSA-Lookup'!$AA$1:$AB$25,2)</f>
        <v>7362</v>
      </c>
      <c r="H910" s="0" t="n">
        <f aca="false">IF(C910&gt;1,IF(C910&lt;99,VLOOKUP(F910,'MSA-Lookup'!$AA$1:$AB$25,2),C910),C910)</f>
        <v>7320</v>
      </c>
    </row>
    <row r="911" customFormat="false" ht="12.75" hidden="false" customHeight="false" outlineLevel="0" collapsed="false">
      <c r="A911" s="0" t="n">
        <f aca="false">B911*1000+C911</f>
        <v>20038</v>
      </c>
      <c r="B911" s="0" t="n">
        <v>20</v>
      </c>
      <c r="C911" s="0" t="n">
        <v>38</v>
      </c>
      <c r="D911" s="0" t="n">
        <v>0</v>
      </c>
      <c r="E911" s="0" t="n">
        <f aca="false">VLOOKUP(B911,'MSA-Lookup'!$H$2:$I$86,2)</f>
        <v>5775</v>
      </c>
      <c r="F911" s="0" t="n">
        <f aca="false">IF(C911&gt;1,IF(C911&lt;99,VLOOKUP(C911,'MSA-Lookup'!$H$1:$I$86,2),C911),C911)</f>
        <v>7120</v>
      </c>
      <c r="G911" s="0" t="n">
        <f aca="false">VLOOKUP(E911,'MSA-Lookup'!$AA$1:$AB$25,2)</f>
        <v>7362</v>
      </c>
      <c r="H911" s="0" t="n">
        <f aca="false">IF(C911&gt;1,IF(C911&lt;99,VLOOKUP(F911,'MSA-Lookup'!$AA$1:$AB$25,2),C911),C911)</f>
        <v>7120</v>
      </c>
    </row>
    <row r="912" customFormat="false" ht="12.75" hidden="false" customHeight="false" outlineLevel="0" collapsed="false">
      <c r="A912" s="0" t="n">
        <f aca="false">B912*1000+C912</f>
        <v>20039</v>
      </c>
      <c r="B912" s="0" t="n">
        <v>20</v>
      </c>
      <c r="C912" s="0" t="n">
        <v>39</v>
      </c>
      <c r="D912" s="0" t="n">
        <v>0</v>
      </c>
      <c r="E912" s="0" t="n">
        <f aca="false">VLOOKUP(B912,'MSA-Lookup'!$H$2:$I$86,2)</f>
        <v>5775</v>
      </c>
      <c r="F912" s="0" t="n">
        <f aca="false">IF(C912&gt;1,IF(C912&lt;99,VLOOKUP(C912,'MSA-Lookup'!$H$1:$I$86,2),C912),C912)</f>
        <v>7120</v>
      </c>
      <c r="G912" s="0" t="n">
        <f aca="false">VLOOKUP(E912,'MSA-Lookup'!$AA$1:$AB$25,2)</f>
        <v>7362</v>
      </c>
      <c r="H912" s="0" t="n">
        <f aca="false">IF(C912&gt;1,IF(C912&lt;99,VLOOKUP(F912,'MSA-Lookup'!$AA$1:$AB$25,2),C912),C912)</f>
        <v>7120</v>
      </c>
    </row>
    <row r="913" customFormat="false" ht="12.75" hidden="false" customHeight="false" outlineLevel="0" collapsed="false">
      <c r="A913" s="0" t="n">
        <f aca="false">B913*1000+C913</f>
        <v>20040</v>
      </c>
      <c r="B913" s="0" t="n">
        <v>20</v>
      </c>
      <c r="C913" s="0" t="n">
        <v>40</v>
      </c>
      <c r="D913" s="0" t="n">
        <v>0</v>
      </c>
      <c r="E913" s="0" t="n">
        <f aca="false">VLOOKUP(B913,'MSA-Lookup'!$H$2:$I$86,2)</f>
        <v>5775</v>
      </c>
      <c r="F913" s="0" t="n">
        <f aca="false">IF(C913&gt;1,IF(C913&lt;99,VLOOKUP(C913,'MSA-Lookup'!$H$1:$I$86,2),C913),C913)</f>
        <v>2840</v>
      </c>
      <c r="G913" s="0" t="n">
        <f aca="false">VLOOKUP(E913,'MSA-Lookup'!$AA$1:$AB$25,2)</f>
        <v>7362</v>
      </c>
      <c r="H913" s="0" t="n">
        <f aca="false">IF(C913&gt;1,IF(C913&lt;99,VLOOKUP(F913,'MSA-Lookup'!$AA$1:$AB$25,2),C913),C913)</f>
        <v>2840</v>
      </c>
    </row>
    <row r="914" customFormat="false" ht="12.75" hidden="false" customHeight="false" outlineLevel="0" collapsed="false">
      <c r="A914" s="0" t="n">
        <f aca="false">B914*1000+C914</f>
        <v>20041</v>
      </c>
      <c r="B914" s="0" t="n">
        <v>20</v>
      </c>
      <c r="C914" s="0" t="n">
        <v>41</v>
      </c>
      <c r="D914" s="0" t="n">
        <v>0</v>
      </c>
      <c r="E914" s="0" t="n">
        <f aca="false">VLOOKUP(B914,'MSA-Lookup'!$H$2:$I$86,2)</f>
        <v>5775</v>
      </c>
      <c r="F914" s="0" t="n">
        <f aca="false">IF(C914&gt;1,IF(C914&lt;99,VLOOKUP(C914,'MSA-Lookup'!$H$1:$I$86,2),C914),C914)</f>
        <v>2840</v>
      </c>
      <c r="G914" s="0" t="n">
        <f aca="false">VLOOKUP(E914,'MSA-Lookup'!$AA$1:$AB$25,2)</f>
        <v>7362</v>
      </c>
      <c r="H914" s="0" t="n">
        <f aca="false">IF(C914&gt;1,IF(C914&lt;99,VLOOKUP(F914,'MSA-Lookup'!$AA$1:$AB$25,2),C914),C914)</f>
        <v>2840</v>
      </c>
    </row>
    <row r="915" customFormat="false" ht="12.75" hidden="false" customHeight="false" outlineLevel="0" collapsed="false">
      <c r="A915" s="0" t="n">
        <f aca="false">B915*1000+C915</f>
        <v>20042</v>
      </c>
      <c r="B915" s="0" t="n">
        <v>20</v>
      </c>
      <c r="C915" s="0" t="n">
        <v>42</v>
      </c>
      <c r="D915" s="0" t="n">
        <v>0</v>
      </c>
      <c r="E915" s="0" t="n">
        <f aca="false">VLOOKUP(B915,'MSA-Lookup'!$H$2:$I$86,2)</f>
        <v>5775</v>
      </c>
      <c r="F915" s="0" t="n">
        <f aca="false">IF(C915&gt;1,IF(C915&lt;99,VLOOKUP(C915,'MSA-Lookup'!$H$1:$I$86,2),C915),C915)</f>
        <v>360</v>
      </c>
      <c r="G915" s="0" t="n">
        <f aca="false">VLOOKUP(E915,'MSA-Lookup'!$AA$1:$AB$25,2)</f>
        <v>7362</v>
      </c>
      <c r="H915" s="0" t="n">
        <f aca="false">IF(C915&gt;1,IF(C915&lt;99,VLOOKUP(F915,'MSA-Lookup'!$AA$1:$AB$25,2),C915),C915)</f>
        <v>4472</v>
      </c>
    </row>
    <row r="916" customFormat="false" ht="12.75" hidden="false" customHeight="false" outlineLevel="0" collapsed="false">
      <c r="A916" s="0" t="n">
        <f aca="false">B916*1000+C916</f>
        <v>20048</v>
      </c>
      <c r="B916" s="0" t="n">
        <v>20</v>
      </c>
      <c r="C916" s="0" t="n">
        <v>48</v>
      </c>
      <c r="D916" s="0" t="n">
        <v>0</v>
      </c>
      <c r="E916" s="0" t="n">
        <f aca="false">VLOOKUP(B916,'MSA-Lookup'!$H$2:$I$86,2)</f>
        <v>5775</v>
      </c>
      <c r="F916" s="0" t="n">
        <f aca="false">IF(C916&gt;1,IF(C916&lt;99,VLOOKUP(C916,'MSA-Lookup'!$H$1:$I$86,2),C916),C916)</f>
        <v>360</v>
      </c>
      <c r="G916" s="0" t="n">
        <f aca="false">VLOOKUP(E916,'MSA-Lookup'!$AA$1:$AB$25,2)</f>
        <v>7362</v>
      </c>
      <c r="H916" s="0" t="n">
        <f aca="false">IF(C916&gt;1,IF(C916&lt;99,VLOOKUP(F916,'MSA-Lookup'!$AA$1:$AB$25,2),C916),C916)</f>
        <v>4472</v>
      </c>
    </row>
    <row r="917" customFormat="false" ht="12.75" hidden="false" customHeight="false" outlineLevel="0" collapsed="false">
      <c r="A917" s="0" t="n">
        <f aca="false">B917*1000+C917</f>
        <v>20049</v>
      </c>
      <c r="B917" s="0" t="n">
        <v>20</v>
      </c>
      <c r="C917" s="0" t="n">
        <v>49</v>
      </c>
      <c r="D917" s="0" t="n">
        <v>390</v>
      </c>
      <c r="E917" s="0" t="n">
        <f aca="false">VLOOKUP(B917,'MSA-Lookup'!$H$2:$I$86,2)</f>
        <v>5775</v>
      </c>
      <c r="F917" s="0" t="n">
        <f aca="false">IF(C917&gt;1,IF(C917&lt;99,VLOOKUP(C917,'MSA-Lookup'!$H$1:$I$86,2),C917),C917)</f>
        <v>7400</v>
      </c>
      <c r="G917" s="0" t="n">
        <f aca="false">VLOOKUP(E917,'MSA-Lookup'!$AA$1:$AB$25,2)</f>
        <v>7362</v>
      </c>
      <c r="H917" s="0" t="n">
        <f aca="false">IF(C917&gt;1,IF(C917&lt;99,VLOOKUP(F917,'MSA-Lookup'!$AA$1:$AB$25,2),C917),C917)</f>
        <v>7362</v>
      </c>
    </row>
    <row r="918" customFormat="false" ht="12.75" hidden="false" customHeight="false" outlineLevel="0" collapsed="false">
      <c r="A918" s="0" t="n">
        <f aca="false">B918*1000+C918</f>
        <v>20050</v>
      </c>
      <c r="B918" s="0" t="n">
        <v>20</v>
      </c>
      <c r="C918" s="0" t="n">
        <v>50</v>
      </c>
      <c r="D918" s="0" t="n">
        <v>0</v>
      </c>
      <c r="E918" s="0" t="n">
        <f aca="false">VLOOKUP(B918,'MSA-Lookup'!$H$2:$I$86,2)</f>
        <v>5775</v>
      </c>
      <c r="F918" s="0" t="n">
        <f aca="false">IF(C918&gt;1,IF(C918&lt;99,VLOOKUP(C918,'MSA-Lookup'!$H$1:$I$86,2),C918),C918)</f>
        <v>7400</v>
      </c>
      <c r="G918" s="0" t="n">
        <f aca="false">VLOOKUP(E918,'MSA-Lookup'!$AA$1:$AB$25,2)</f>
        <v>7362</v>
      </c>
      <c r="H918" s="0" t="n">
        <f aca="false">IF(C918&gt;1,IF(C918&lt;99,VLOOKUP(F918,'MSA-Lookup'!$AA$1:$AB$25,2),C918),C918)</f>
        <v>7362</v>
      </c>
    </row>
    <row r="919" customFormat="false" ht="12.75" hidden="false" customHeight="false" outlineLevel="0" collapsed="false">
      <c r="A919" s="0" t="n">
        <f aca="false">B919*1000+C919</f>
        <v>20051</v>
      </c>
      <c r="B919" s="0" t="n">
        <v>20</v>
      </c>
      <c r="C919" s="0" t="n">
        <v>51</v>
      </c>
      <c r="D919" s="0" t="n">
        <v>377</v>
      </c>
      <c r="E919" s="0" t="n">
        <f aca="false">VLOOKUP(B919,'MSA-Lookup'!$H$2:$I$86,2)</f>
        <v>5775</v>
      </c>
      <c r="F919" s="0" t="n">
        <f aca="false">IF(C919&gt;1,IF(C919&lt;99,VLOOKUP(C919,'MSA-Lookup'!$H$1:$I$86,2),C919),C919)</f>
        <v>7400</v>
      </c>
      <c r="G919" s="0" t="n">
        <f aca="false">VLOOKUP(E919,'MSA-Lookup'!$AA$1:$AB$25,2)</f>
        <v>7362</v>
      </c>
      <c r="H919" s="0" t="n">
        <f aca="false">IF(C919&gt;1,IF(C919&lt;99,VLOOKUP(F919,'MSA-Lookup'!$AA$1:$AB$25,2),C919),C919)</f>
        <v>7362</v>
      </c>
    </row>
    <row r="920" customFormat="false" ht="12.75" hidden="false" customHeight="false" outlineLevel="0" collapsed="false">
      <c r="A920" s="0" t="n">
        <f aca="false">B920*1000+C920</f>
        <v>20052</v>
      </c>
      <c r="B920" s="0" t="n">
        <v>20</v>
      </c>
      <c r="C920" s="0" t="n">
        <v>52</v>
      </c>
      <c r="D920" s="0" t="n">
        <v>65</v>
      </c>
      <c r="E920" s="0" t="n">
        <f aca="false">VLOOKUP(B920,'MSA-Lookup'!$H$2:$I$86,2)</f>
        <v>5775</v>
      </c>
      <c r="F920" s="0" t="n">
        <f aca="false">IF(C920&gt;1,IF(C920&lt;99,VLOOKUP(C920,'MSA-Lookup'!$H$1:$I$86,2),C920),C920)</f>
        <v>4480</v>
      </c>
      <c r="G920" s="0" t="n">
        <f aca="false">VLOOKUP(E920,'MSA-Lookup'!$AA$1:$AB$25,2)</f>
        <v>7362</v>
      </c>
      <c r="H920" s="0" t="n">
        <f aca="false">IF(C920&gt;1,IF(C920&lt;99,VLOOKUP(F920,'MSA-Lookup'!$AA$1:$AB$25,2),C920),C920)</f>
        <v>4472</v>
      </c>
    </row>
    <row r="921" customFormat="false" ht="12.75" hidden="false" customHeight="false" outlineLevel="0" collapsed="false">
      <c r="A921" s="0" t="n">
        <f aca="false">B921*1000+C921</f>
        <v>20053</v>
      </c>
      <c r="B921" s="0" t="n">
        <v>20</v>
      </c>
      <c r="C921" s="0" t="n">
        <v>53</v>
      </c>
      <c r="D921" s="0" t="n">
        <v>0</v>
      </c>
      <c r="E921" s="0" t="n">
        <f aca="false">VLOOKUP(B921,'MSA-Lookup'!$H$2:$I$86,2)</f>
        <v>5775</v>
      </c>
      <c r="F921" s="0" t="n">
        <f aca="false">IF(C921&gt;1,IF(C921&lt;99,VLOOKUP(C921,'MSA-Lookup'!$H$1:$I$86,2),C921),C921)</f>
        <v>4480</v>
      </c>
      <c r="G921" s="0" t="n">
        <f aca="false">VLOOKUP(E921,'MSA-Lookup'!$AA$1:$AB$25,2)</f>
        <v>7362</v>
      </c>
      <c r="H921" s="0" t="n">
        <f aca="false">IF(C921&gt;1,IF(C921&lt;99,VLOOKUP(F921,'MSA-Lookup'!$AA$1:$AB$25,2),C921),C921)</f>
        <v>4472</v>
      </c>
    </row>
    <row r="922" customFormat="false" ht="12.75" hidden="false" customHeight="false" outlineLevel="0" collapsed="false">
      <c r="A922" s="0" t="n">
        <f aca="false">B922*1000+C922</f>
        <v>20055</v>
      </c>
      <c r="B922" s="0" t="n">
        <v>20</v>
      </c>
      <c r="C922" s="0" t="n">
        <v>55</v>
      </c>
      <c r="D922" s="0" t="n">
        <v>0</v>
      </c>
      <c r="E922" s="0" t="n">
        <f aca="false">VLOOKUP(B922,'MSA-Lookup'!$H$2:$I$86,2)</f>
        <v>5775</v>
      </c>
      <c r="F922" s="0" t="n">
        <f aca="false">IF(C922&gt;1,IF(C922&lt;99,VLOOKUP(C922,'MSA-Lookup'!$H$1:$I$86,2),C922),C922)</f>
        <v>4480</v>
      </c>
      <c r="G922" s="0" t="n">
        <f aca="false">VLOOKUP(E922,'MSA-Lookup'!$AA$1:$AB$25,2)</f>
        <v>7362</v>
      </c>
      <c r="H922" s="0" t="n">
        <f aca="false">IF(C922&gt;1,IF(C922&lt;99,VLOOKUP(F922,'MSA-Lookup'!$AA$1:$AB$25,2),C922),C922)</f>
        <v>4472</v>
      </c>
    </row>
    <row r="923" customFormat="false" ht="12.75" hidden="false" customHeight="false" outlineLevel="0" collapsed="false">
      <c r="A923" s="0" t="n">
        <f aca="false">B923*1000+C923</f>
        <v>20057</v>
      </c>
      <c r="B923" s="0" t="n">
        <v>20</v>
      </c>
      <c r="C923" s="0" t="n">
        <v>57</v>
      </c>
      <c r="D923" s="0" t="n">
        <v>0</v>
      </c>
      <c r="E923" s="0" t="n">
        <f aca="false">VLOOKUP(B923,'MSA-Lookup'!$H$2:$I$86,2)</f>
        <v>5775</v>
      </c>
      <c r="F923" s="0" t="n">
        <f aca="false">IF(C923&gt;1,IF(C923&lt;99,VLOOKUP(C923,'MSA-Lookup'!$H$1:$I$86,2),C923),C923)</f>
        <v>4480</v>
      </c>
      <c r="G923" s="0" t="n">
        <f aca="false">VLOOKUP(E923,'MSA-Lookup'!$AA$1:$AB$25,2)</f>
        <v>7362</v>
      </c>
      <c r="H923" s="0" t="n">
        <f aca="false">IF(C923&gt;1,IF(C923&lt;99,VLOOKUP(F923,'MSA-Lookup'!$AA$1:$AB$25,2),C923),C923)</f>
        <v>4472</v>
      </c>
    </row>
    <row r="924" customFormat="false" ht="12.75" hidden="false" customHeight="false" outlineLevel="0" collapsed="false">
      <c r="A924" s="0" t="n">
        <f aca="false">B924*1000+C924</f>
        <v>20060</v>
      </c>
      <c r="B924" s="0" t="n">
        <v>20</v>
      </c>
      <c r="C924" s="0" t="n">
        <v>60</v>
      </c>
      <c r="D924" s="0" t="n">
        <v>0</v>
      </c>
      <c r="E924" s="0" t="n">
        <f aca="false">VLOOKUP(B924,'MSA-Lookup'!$H$2:$I$86,2)</f>
        <v>5775</v>
      </c>
      <c r="F924" s="0" t="n">
        <f aca="false">IF(C924&gt;1,IF(C924&lt;99,VLOOKUP(C924,'MSA-Lookup'!$H$1:$I$86,2),C924),C924)</f>
        <v>4480</v>
      </c>
      <c r="G924" s="0" t="n">
        <f aca="false">VLOOKUP(E924,'MSA-Lookup'!$AA$1:$AB$25,2)</f>
        <v>7362</v>
      </c>
      <c r="H924" s="0" t="n">
        <f aca="false">IF(C924&gt;1,IF(C924&lt;99,VLOOKUP(F924,'MSA-Lookup'!$AA$1:$AB$25,2),C924),C924)</f>
        <v>4472</v>
      </c>
    </row>
    <row r="925" customFormat="false" ht="12.75" hidden="false" customHeight="false" outlineLevel="0" collapsed="false">
      <c r="A925" s="0" t="n">
        <f aca="false">B925*1000+C925</f>
        <v>20062</v>
      </c>
      <c r="B925" s="0" t="n">
        <v>20</v>
      </c>
      <c r="C925" s="0" t="n">
        <v>62</v>
      </c>
      <c r="D925" s="0" t="n">
        <v>0</v>
      </c>
      <c r="E925" s="0" t="n">
        <f aca="false">VLOOKUP(B925,'MSA-Lookup'!$H$2:$I$86,2)</f>
        <v>5775</v>
      </c>
      <c r="F925" s="0" t="n">
        <f aca="false">IF(C925&gt;1,IF(C925&lt;99,VLOOKUP(C925,'MSA-Lookup'!$H$1:$I$86,2),C925),C925)</f>
        <v>4480</v>
      </c>
      <c r="G925" s="0" t="n">
        <f aca="false">VLOOKUP(E925,'MSA-Lookup'!$AA$1:$AB$25,2)</f>
        <v>7362</v>
      </c>
      <c r="H925" s="0" t="n">
        <f aca="false">IF(C925&gt;1,IF(C925&lt;99,VLOOKUP(F925,'MSA-Lookup'!$AA$1:$AB$25,2),C925),C925)</f>
        <v>4472</v>
      </c>
    </row>
    <row r="926" customFormat="false" ht="12.75" hidden="false" customHeight="false" outlineLevel="0" collapsed="false">
      <c r="A926" s="0" t="n">
        <f aca="false">B926*1000+C926</f>
        <v>20064</v>
      </c>
      <c r="B926" s="0" t="n">
        <v>20</v>
      </c>
      <c r="C926" s="0" t="n">
        <v>64</v>
      </c>
      <c r="D926" s="0" t="n">
        <v>78</v>
      </c>
      <c r="E926" s="0" t="n">
        <f aca="false">VLOOKUP(B926,'MSA-Lookup'!$H$2:$I$86,2)</f>
        <v>5775</v>
      </c>
      <c r="F926" s="0" t="n">
        <f aca="false">IF(C926&gt;1,IF(C926&lt;99,VLOOKUP(C926,'MSA-Lookup'!$H$1:$I$86,2),C926),C926)</f>
        <v>4480</v>
      </c>
      <c r="G926" s="0" t="n">
        <f aca="false">VLOOKUP(E926,'MSA-Lookup'!$AA$1:$AB$25,2)</f>
        <v>7362</v>
      </c>
      <c r="H926" s="0" t="n">
        <f aca="false">IF(C926&gt;1,IF(C926&lt;99,VLOOKUP(F926,'MSA-Lookup'!$AA$1:$AB$25,2),C926),C926)</f>
        <v>4472</v>
      </c>
    </row>
    <row r="927" customFormat="false" ht="12.75" hidden="false" customHeight="false" outlineLevel="0" collapsed="false">
      <c r="A927" s="0" t="n">
        <f aca="false">B927*1000+C927</f>
        <v>20065</v>
      </c>
      <c r="B927" s="0" t="n">
        <v>20</v>
      </c>
      <c r="C927" s="0" t="n">
        <v>65</v>
      </c>
      <c r="D927" s="0" t="n">
        <v>143</v>
      </c>
      <c r="E927" s="0" t="n">
        <f aca="false">VLOOKUP(B927,'MSA-Lookup'!$H$2:$I$86,2)</f>
        <v>5775</v>
      </c>
      <c r="F927" s="0" t="n">
        <f aca="false">IF(C927&gt;1,IF(C927&lt;99,VLOOKUP(C927,'MSA-Lookup'!$H$1:$I$86,2),C927),C927)</f>
        <v>4480</v>
      </c>
      <c r="G927" s="0" t="n">
        <f aca="false">VLOOKUP(E927,'MSA-Lookup'!$AA$1:$AB$25,2)</f>
        <v>7362</v>
      </c>
      <c r="H927" s="0" t="n">
        <f aca="false">IF(C927&gt;1,IF(C927&lt;99,VLOOKUP(F927,'MSA-Lookup'!$AA$1:$AB$25,2),C927),C927)</f>
        <v>4472</v>
      </c>
    </row>
    <row r="928" customFormat="false" ht="12.75" hidden="false" customHeight="false" outlineLevel="0" collapsed="false">
      <c r="A928" s="0" t="n">
        <f aca="false">B928*1000+C928</f>
        <v>20066</v>
      </c>
      <c r="B928" s="0" t="n">
        <v>20</v>
      </c>
      <c r="C928" s="0" t="n">
        <v>66</v>
      </c>
      <c r="D928" s="0" t="n">
        <v>0</v>
      </c>
      <c r="E928" s="0" t="n">
        <f aca="false">VLOOKUP(B928,'MSA-Lookup'!$H$2:$I$86,2)</f>
        <v>5775</v>
      </c>
      <c r="F928" s="0" t="n">
        <f aca="false">IF(C928&gt;1,IF(C928&lt;99,VLOOKUP(C928,'MSA-Lookup'!$H$1:$I$86,2),C928),C928)</f>
        <v>4480</v>
      </c>
      <c r="G928" s="0" t="n">
        <f aca="false">VLOOKUP(E928,'MSA-Lookup'!$AA$1:$AB$25,2)</f>
        <v>7362</v>
      </c>
      <c r="H928" s="0" t="n">
        <f aca="false">IF(C928&gt;1,IF(C928&lt;99,VLOOKUP(F928,'MSA-Lookup'!$AA$1:$AB$25,2),C928),C928)</f>
        <v>4472</v>
      </c>
    </row>
    <row r="929" customFormat="false" ht="12.75" hidden="false" customHeight="false" outlineLevel="0" collapsed="false">
      <c r="A929" s="0" t="n">
        <f aca="false">B929*1000+C929</f>
        <v>20067</v>
      </c>
      <c r="B929" s="0" t="n">
        <v>20</v>
      </c>
      <c r="C929" s="0" t="n">
        <v>67</v>
      </c>
      <c r="D929" s="0" t="n">
        <v>0</v>
      </c>
      <c r="E929" s="0" t="n">
        <f aca="false">VLOOKUP(B929,'MSA-Lookup'!$H$2:$I$86,2)</f>
        <v>5775</v>
      </c>
      <c r="F929" s="0" t="n">
        <f aca="false">IF(C929&gt;1,IF(C929&lt;99,VLOOKUP(C929,'MSA-Lookup'!$H$1:$I$86,2),C929),C929)</f>
        <v>6000</v>
      </c>
      <c r="G929" s="0" t="n">
        <f aca="false">VLOOKUP(E929,'MSA-Lookup'!$AA$1:$AB$25,2)</f>
        <v>7362</v>
      </c>
      <c r="H929" s="0" t="n">
        <f aca="false">IF(C929&gt;1,IF(C929&lt;99,VLOOKUP(F929,'MSA-Lookup'!$AA$1:$AB$25,2),C929),C929)</f>
        <v>4472</v>
      </c>
    </row>
    <row r="930" customFormat="false" ht="12.75" hidden="false" customHeight="false" outlineLevel="0" collapsed="false">
      <c r="A930" s="0" t="n">
        <f aca="false">B930*1000+C930</f>
        <v>20069</v>
      </c>
      <c r="B930" s="0" t="n">
        <v>20</v>
      </c>
      <c r="C930" s="0" t="n">
        <v>69</v>
      </c>
      <c r="D930" s="0" t="n">
        <v>0</v>
      </c>
      <c r="E930" s="0" t="n">
        <f aca="false">VLOOKUP(B930,'MSA-Lookup'!$H$2:$I$86,2)</f>
        <v>5775</v>
      </c>
      <c r="F930" s="0" t="n">
        <f aca="false">IF(C930&gt;1,IF(C930&lt;99,VLOOKUP(C930,'MSA-Lookup'!$H$1:$I$86,2),C930),C930)</f>
        <v>6780</v>
      </c>
      <c r="G930" s="0" t="n">
        <f aca="false">VLOOKUP(E930,'MSA-Lookup'!$AA$1:$AB$25,2)</f>
        <v>7362</v>
      </c>
      <c r="H930" s="0" t="n">
        <f aca="false">IF(C930&gt;1,IF(C930&lt;99,VLOOKUP(F930,'MSA-Lookup'!$AA$1:$AB$25,2),C930),C930)</f>
        <v>4472</v>
      </c>
    </row>
    <row r="931" customFormat="false" ht="12.75" hidden="false" customHeight="false" outlineLevel="0" collapsed="false">
      <c r="A931" s="0" t="n">
        <f aca="false">B931*1000+C931</f>
        <v>20071</v>
      </c>
      <c r="B931" s="0" t="n">
        <v>20</v>
      </c>
      <c r="C931" s="0" t="n">
        <v>71</v>
      </c>
      <c r="D931" s="0" t="n">
        <v>0</v>
      </c>
      <c r="E931" s="0" t="n">
        <f aca="false">VLOOKUP(B931,'MSA-Lookup'!$H$2:$I$86,2)</f>
        <v>5775</v>
      </c>
      <c r="F931" s="0" t="n">
        <f aca="false">IF(C931&gt;1,IF(C931&lt;99,VLOOKUP(C931,'MSA-Lookup'!$H$1:$I$86,2),C931),C931)</f>
        <v>6780</v>
      </c>
      <c r="G931" s="0" t="n">
        <f aca="false">VLOOKUP(E931,'MSA-Lookup'!$AA$1:$AB$25,2)</f>
        <v>7362</v>
      </c>
      <c r="H931" s="0" t="n">
        <f aca="false">IF(C931&gt;1,IF(C931&lt;99,VLOOKUP(F931,'MSA-Lookup'!$AA$1:$AB$25,2),C931),C931)</f>
        <v>4472</v>
      </c>
    </row>
    <row r="932" customFormat="false" ht="12.75" hidden="false" customHeight="false" outlineLevel="0" collapsed="false">
      <c r="A932" s="0" t="n">
        <f aca="false">B932*1000+C932</f>
        <v>20072</v>
      </c>
      <c r="B932" s="0" t="n">
        <v>20</v>
      </c>
      <c r="C932" s="0" t="n">
        <v>72</v>
      </c>
      <c r="D932" s="0" t="n">
        <v>0</v>
      </c>
      <c r="E932" s="0" t="n">
        <f aca="false">VLOOKUP(B932,'MSA-Lookup'!$H$2:$I$86,2)</f>
        <v>5775</v>
      </c>
      <c r="F932" s="0" t="n">
        <f aca="false">IF(C932&gt;1,IF(C932&lt;99,VLOOKUP(C932,'MSA-Lookup'!$H$1:$I$86,2),C932),C932)</f>
        <v>6780</v>
      </c>
      <c r="G932" s="0" t="n">
        <f aca="false">VLOOKUP(E932,'MSA-Lookup'!$AA$1:$AB$25,2)</f>
        <v>7362</v>
      </c>
      <c r="H932" s="0" t="n">
        <f aca="false">IF(C932&gt;1,IF(C932&lt;99,VLOOKUP(F932,'MSA-Lookup'!$AA$1:$AB$25,2),C932),C932)</f>
        <v>4472</v>
      </c>
    </row>
    <row r="933" customFormat="false" ht="12.75" hidden="false" customHeight="false" outlineLevel="0" collapsed="false">
      <c r="A933" s="0" t="n">
        <f aca="false">B933*1000+C933</f>
        <v>20073</v>
      </c>
      <c r="B933" s="0" t="n">
        <v>20</v>
      </c>
      <c r="C933" s="0" t="n">
        <v>73</v>
      </c>
      <c r="D933" s="0" t="n">
        <v>117</v>
      </c>
      <c r="E933" s="0" t="n">
        <f aca="false">VLOOKUP(B933,'MSA-Lookup'!$H$2:$I$86,2)</f>
        <v>5775</v>
      </c>
      <c r="F933" s="0" t="n">
        <f aca="false">IF(C933&gt;1,IF(C933&lt;99,VLOOKUP(C933,'MSA-Lookup'!$H$1:$I$86,2),C933),C933)</f>
        <v>8720</v>
      </c>
      <c r="G933" s="0" t="n">
        <f aca="false">VLOOKUP(E933,'MSA-Lookup'!$AA$1:$AB$25,2)</f>
        <v>7362</v>
      </c>
      <c r="H933" s="0" t="n">
        <f aca="false">IF(C933&gt;1,IF(C933&lt;99,VLOOKUP(F933,'MSA-Lookup'!$AA$1:$AB$25,2),C933),C933)</f>
        <v>7362</v>
      </c>
    </row>
    <row r="934" customFormat="false" ht="12.75" hidden="false" customHeight="false" outlineLevel="0" collapsed="false">
      <c r="A934" s="0" t="n">
        <f aca="false">B934*1000+C934</f>
        <v>20075</v>
      </c>
      <c r="B934" s="0" t="n">
        <v>20</v>
      </c>
      <c r="C934" s="0" t="n">
        <v>75</v>
      </c>
      <c r="D934" s="0" t="n">
        <v>0</v>
      </c>
      <c r="E934" s="0" t="n">
        <f aca="false">VLOOKUP(B934,'MSA-Lookup'!$H$2:$I$86,2)</f>
        <v>5775</v>
      </c>
      <c r="F934" s="0" t="n">
        <f aca="false">IF(C934&gt;1,IF(C934&lt;99,VLOOKUP(C934,'MSA-Lookup'!$H$1:$I$86,2),C934),C934)</f>
        <v>8780</v>
      </c>
      <c r="G934" s="0" t="n">
        <f aca="false">VLOOKUP(E934,'MSA-Lookup'!$AA$1:$AB$25,2)</f>
        <v>7362</v>
      </c>
      <c r="H934" s="0" t="n">
        <f aca="false">IF(C934&gt;1,IF(C934&lt;99,VLOOKUP(F934,'MSA-Lookup'!$AA$1:$AB$25,2),C934),C934)</f>
        <v>8780</v>
      </c>
    </row>
    <row r="935" customFormat="false" ht="12.75" hidden="false" customHeight="false" outlineLevel="0" collapsed="false">
      <c r="A935" s="0" t="n">
        <f aca="false">B935*1000+C935</f>
        <v>20076</v>
      </c>
      <c r="B935" s="0" t="n">
        <v>20</v>
      </c>
      <c r="C935" s="0" t="n">
        <v>76</v>
      </c>
      <c r="D935" s="0" t="n">
        <v>0</v>
      </c>
      <c r="E935" s="0" t="n">
        <f aca="false">VLOOKUP(B935,'MSA-Lookup'!$H$2:$I$86,2)</f>
        <v>5775</v>
      </c>
      <c r="F935" s="0" t="n">
        <f aca="false">IF(C935&gt;1,IF(C935&lt;99,VLOOKUP(C935,'MSA-Lookup'!$H$1:$I$86,2),C935),C935)</f>
        <v>7485</v>
      </c>
      <c r="G935" s="0" t="n">
        <f aca="false">VLOOKUP(E935,'MSA-Lookup'!$AA$1:$AB$25,2)</f>
        <v>7362</v>
      </c>
      <c r="H935" s="0" t="n">
        <f aca="false">IF(C935&gt;1,IF(C935&lt;99,VLOOKUP(F935,'MSA-Lookup'!$AA$1:$AB$25,2),C935),C935)</f>
        <v>7362</v>
      </c>
    </row>
    <row r="936" customFormat="false" ht="12.75" hidden="false" customHeight="false" outlineLevel="0" collapsed="false">
      <c r="A936" s="0" t="n">
        <f aca="false">B936*1000+C936</f>
        <v>20079</v>
      </c>
      <c r="B936" s="0" t="n">
        <v>20</v>
      </c>
      <c r="C936" s="0" t="n">
        <v>79</v>
      </c>
      <c r="D936" s="0" t="n">
        <v>0</v>
      </c>
      <c r="E936" s="0" t="n">
        <f aca="false">VLOOKUP(B936,'MSA-Lookup'!$H$2:$I$86,2)</f>
        <v>5775</v>
      </c>
      <c r="F936" s="0" t="n">
        <f aca="false">IF(C936&gt;1,IF(C936&lt;99,VLOOKUP(C936,'MSA-Lookup'!$H$1:$I$86,2),C936),C936)</f>
        <v>680</v>
      </c>
      <c r="G936" s="0" t="n">
        <f aca="false">VLOOKUP(E936,'MSA-Lookup'!$AA$1:$AB$25,2)</f>
        <v>7362</v>
      </c>
      <c r="H936" s="0" t="n">
        <f aca="false">IF(C936&gt;1,IF(C936&lt;99,VLOOKUP(F936,'MSA-Lookup'!$AA$1:$AB$25,2),C936),C936)</f>
        <v>680</v>
      </c>
    </row>
    <row r="937" customFormat="false" ht="12.75" hidden="false" customHeight="false" outlineLevel="0" collapsed="false">
      <c r="A937" s="0" t="n">
        <f aca="false">B937*1000+C937</f>
        <v>20080</v>
      </c>
      <c r="B937" s="0" t="n">
        <v>20</v>
      </c>
      <c r="C937" s="0" t="n">
        <v>80</v>
      </c>
      <c r="D937" s="0" t="n">
        <v>0</v>
      </c>
      <c r="E937" s="0" t="n">
        <f aca="false">VLOOKUP(B937,'MSA-Lookup'!$H$2:$I$86,2)</f>
        <v>5775</v>
      </c>
      <c r="F937" s="0" t="n">
        <f aca="false">IF(C937&gt;1,IF(C937&lt;99,VLOOKUP(C937,'MSA-Lookup'!$H$1:$I$86,2),C937),C937)</f>
        <v>9999</v>
      </c>
      <c r="G937" s="0" t="n">
        <f aca="false">VLOOKUP(E937,'MSA-Lookup'!$AA$1:$AB$25,2)</f>
        <v>7362</v>
      </c>
      <c r="H937" s="0" t="n">
        <f aca="false">IF(C937&gt;1,IF(C937&lt;99,VLOOKUP(F937,'MSA-Lookup'!$AA$1:$AB$25,2),C937),C937)</f>
        <v>9999</v>
      </c>
    </row>
    <row r="938" customFormat="false" ht="12.75" hidden="false" customHeight="false" outlineLevel="0" collapsed="false">
      <c r="A938" s="0" t="n">
        <f aca="false">B938*1000+C938</f>
        <v>20082</v>
      </c>
      <c r="B938" s="0" t="n">
        <v>20</v>
      </c>
      <c r="C938" s="0" t="n">
        <v>82</v>
      </c>
      <c r="D938" s="0" t="n">
        <v>0</v>
      </c>
      <c r="E938" s="0" t="n">
        <f aca="false">VLOOKUP(B938,'MSA-Lookup'!$H$2:$I$86,2)</f>
        <v>5775</v>
      </c>
      <c r="F938" s="0" t="n">
        <f aca="false">IF(C938&gt;1,IF(C938&lt;99,VLOOKUP(C938,'MSA-Lookup'!$H$1:$I$86,2),C938),C938)</f>
        <v>6780</v>
      </c>
      <c r="G938" s="0" t="n">
        <f aca="false">VLOOKUP(E938,'MSA-Lookup'!$AA$1:$AB$25,2)</f>
        <v>7362</v>
      </c>
      <c r="H938" s="0" t="n">
        <f aca="false">IF(C938&gt;1,IF(C938&lt;99,VLOOKUP(F938,'MSA-Lookup'!$AA$1:$AB$25,2),C938),C938)</f>
        <v>4472</v>
      </c>
    </row>
    <row r="939" customFormat="false" ht="12.75" hidden="false" customHeight="false" outlineLevel="0" collapsed="false">
      <c r="A939" s="0" t="n">
        <f aca="false">B939*1000+C939</f>
        <v>20085</v>
      </c>
      <c r="B939" s="0" t="n">
        <v>20</v>
      </c>
      <c r="C939" s="0" t="n">
        <v>85</v>
      </c>
      <c r="D939" s="0" t="n">
        <v>0</v>
      </c>
      <c r="E939" s="0" t="n">
        <f aca="false">VLOOKUP(B939,'MSA-Lookup'!$H$2:$I$86,2)</f>
        <v>5775</v>
      </c>
      <c r="F939" s="0" t="n">
        <f aca="false">IF(C939&gt;1,IF(C939&lt;99,VLOOKUP(C939,'MSA-Lookup'!$H$1:$I$86,2),C939),C939)</f>
        <v>8120</v>
      </c>
      <c r="G939" s="0" t="n">
        <f aca="false">VLOOKUP(E939,'MSA-Lookup'!$AA$1:$AB$25,2)</f>
        <v>7362</v>
      </c>
      <c r="H939" s="0" t="n">
        <f aca="false">IF(C939&gt;1,IF(C939&lt;99,VLOOKUP(F939,'MSA-Lookup'!$AA$1:$AB$25,2),C939),C939)</f>
        <v>8120</v>
      </c>
    </row>
    <row r="940" customFormat="false" ht="12.75" hidden="false" customHeight="false" outlineLevel="0" collapsed="false">
      <c r="A940" s="0" t="n">
        <f aca="false">B940*1000+C940</f>
        <v>20858</v>
      </c>
      <c r="B940" s="0" t="n">
        <v>20</v>
      </c>
      <c r="C940" s="0" t="n">
        <v>858</v>
      </c>
      <c r="D940" s="0" t="n">
        <v>0</v>
      </c>
      <c r="E940" s="0" t="n">
        <f aca="false">VLOOKUP(B940,'MSA-Lookup'!$H$2:$I$86,2)</f>
        <v>5775</v>
      </c>
      <c r="F940" s="0" t="n">
        <f aca="false">IF(C940&gt;1,IF(C940&lt;99,VLOOKUP(C940,'MSA-Lookup'!$H$1:$I$86,2),C940),C940)</f>
        <v>858</v>
      </c>
      <c r="G940" s="0" t="n">
        <f aca="false">VLOOKUP(E940,'MSA-Lookup'!$AA$1:$AB$25,2)</f>
        <v>7362</v>
      </c>
      <c r="H940" s="0" t="n">
        <f aca="false">IF(C940&gt;1,IF(C940&lt;99,VLOOKUP(F940,'MSA-Lookup'!$AA$1:$AB$25,2),C940),C940)</f>
        <v>858</v>
      </c>
    </row>
    <row r="941" customFormat="false" ht="12.75" hidden="false" customHeight="false" outlineLevel="0" collapsed="false">
      <c r="A941" s="0" t="n">
        <f aca="false">B941*1000+C941</f>
        <v>20999</v>
      </c>
      <c r="B941" s="0" t="n">
        <v>20</v>
      </c>
      <c r="C941" s="0" t="n">
        <v>999</v>
      </c>
      <c r="D941" s="0" t="n">
        <v>0</v>
      </c>
      <c r="E941" s="0" t="n">
        <f aca="false">VLOOKUP(B941,'MSA-Lookup'!$H$2:$I$86,2)</f>
        <v>5775</v>
      </c>
      <c r="F941" s="0" t="n">
        <f aca="false">IF(C941&gt;1,IF(C941&lt;99,VLOOKUP(C941,'MSA-Lookup'!$H$1:$I$86,2),C941),C941)</f>
        <v>999</v>
      </c>
      <c r="G941" s="0" t="n">
        <f aca="false">VLOOKUP(E941,'MSA-Lookup'!$AA$1:$AB$25,2)</f>
        <v>7362</v>
      </c>
      <c r="H941" s="0" t="n">
        <f aca="false">IF(C941&gt;1,IF(C941&lt;99,VLOOKUP(F941,'MSA-Lookup'!$AA$1:$AB$25,2),C941),C941)</f>
        <v>999</v>
      </c>
    </row>
    <row r="942" customFormat="false" ht="12.75" hidden="false" customHeight="false" outlineLevel="0" collapsed="false">
      <c r="A942" s="0" t="n">
        <f aca="false">B942*1000+C942</f>
        <v>21000</v>
      </c>
      <c r="B942" s="0" t="n">
        <v>21</v>
      </c>
      <c r="C942" s="0" t="n">
        <v>0</v>
      </c>
      <c r="D942" s="0" t="n">
        <v>377273</v>
      </c>
      <c r="E942" s="0" t="n">
        <f aca="false">VLOOKUP(B942,'MSA-Lookup'!$H$2:$I$86,2)</f>
        <v>5775</v>
      </c>
      <c r="F942" s="0" t="n">
        <f aca="false">IF(C942&gt;1,IF(C942&lt;99,VLOOKUP(C942,'MSA-Lookup'!$H$1:$I$86,2),C942),C942)</f>
        <v>0</v>
      </c>
      <c r="G942" s="0" t="n">
        <f aca="false">VLOOKUP(E942,'MSA-Lookup'!$AA$1:$AB$25,2)</f>
        <v>7362</v>
      </c>
      <c r="H942" s="0" t="n">
        <f aca="false">IF(C942&gt;1,IF(C942&lt;99,VLOOKUP(F942,'MSA-Lookup'!$AA$1:$AB$25,2),C942),C942)</f>
        <v>0</v>
      </c>
    </row>
    <row r="943" customFormat="false" ht="12.75" hidden="false" customHeight="false" outlineLevel="0" collapsed="false">
      <c r="A943" s="0" t="n">
        <f aca="false">B943*1000+C943</f>
        <v>21001</v>
      </c>
      <c r="B943" s="0" t="n">
        <v>21</v>
      </c>
      <c r="C943" s="0" t="n">
        <v>1</v>
      </c>
      <c r="D943" s="0" t="n">
        <v>91</v>
      </c>
      <c r="E943" s="0" t="n">
        <f aca="false">VLOOKUP(B943,'MSA-Lookup'!$H$2:$I$86,2)</f>
        <v>5775</v>
      </c>
      <c r="F943" s="0" t="n">
        <f aca="false">IF(C943&gt;1,IF(C943&lt;99,VLOOKUP(C943,'MSA-Lookup'!$H$1:$I$86,2),C943),C943)</f>
        <v>1</v>
      </c>
      <c r="G943" s="0" t="n">
        <f aca="false">VLOOKUP(E943,'MSA-Lookup'!$AA$1:$AB$25,2)</f>
        <v>7362</v>
      </c>
      <c r="H943" s="0" t="n">
        <f aca="false">IF(C943&gt;1,IF(C943&lt;99,VLOOKUP(F943,'MSA-Lookup'!$AA$1:$AB$25,2),C943),C943)</f>
        <v>1</v>
      </c>
    </row>
    <row r="944" customFormat="false" ht="12.75" hidden="false" customHeight="false" outlineLevel="0" collapsed="false">
      <c r="A944" s="0" t="n">
        <f aca="false">B944*1000+C944</f>
        <v>21002</v>
      </c>
      <c r="B944" s="0" t="n">
        <v>21</v>
      </c>
      <c r="C944" s="0" t="n">
        <v>2</v>
      </c>
      <c r="D944" s="0" t="n">
        <v>0</v>
      </c>
      <c r="E944" s="0" t="n">
        <f aca="false">VLOOKUP(B944,'MSA-Lookup'!$H$2:$I$86,2)</f>
        <v>5775</v>
      </c>
      <c r="F944" s="0" t="n">
        <f aca="false">IF(C944&gt;1,IF(C944&lt;99,VLOOKUP(C944,'MSA-Lookup'!$H$1:$I$86,2),C944),C944)</f>
        <v>9999</v>
      </c>
      <c r="G944" s="0" t="n">
        <f aca="false">VLOOKUP(E944,'MSA-Lookup'!$AA$1:$AB$25,2)</f>
        <v>7362</v>
      </c>
      <c r="H944" s="0" t="n">
        <f aca="false">IF(C944&gt;1,IF(C944&lt;99,VLOOKUP(F944,'MSA-Lookup'!$AA$1:$AB$25,2),C944),C944)</f>
        <v>9999</v>
      </c>
    </row>
    <row r="945" customFormat="false" ht="12.75" hidden="false" customHeight="false" outlineLevel="0" collapsed="false">
      <c r="A945" s="0" t="n">
        <f aca="false">B945*1000+C945</f>
        <v>21003</v>
      </c>
      <c r="B945" s="0" t="n">
        <v>21</v>
      </c>
      <c r="C945" s="0" t="n">
        <v>3</v>
      </c>
      <c r="D945" s="0" t="n">
        <v>130</v>
      </c>
      <c r="E945" s="0" t="n">
        <f aca="false">VLOOKUP(B945,'MSA-Lookup'!$H$2:$I$86,2)</f>
        <v>5775</v>
      </c>
      <c r="F945" s="0" t="n">
        <f aca="false">IF(C945&gt;1,IF(C945&lt;99,VLOOKUP(C945,'MSA-Lookup'!$H$1:$I$86,2),C945),C945)</f>
        <v>6690</v>
      </c>
      <c r="G945" s="0" t="n">
        <f aca="false">VLOOKUP(E945,'MSA-Lookup'!$AA$1:$AB$25,2)</f>
        <v>7362</v>
      </c>
      <c r="H945" s="0" t="n">
        <f aca="false">IF(C945&gt;1,IF(C945&lt;99,VLOOKUP(F945,'MSA-Lookup'!$AA$1:$AB$25,2),C945),C945)</f>
        <v>6690</v>
      </c>
    </row>
    <row r="946" customFormat="false" ht="12.75" hidden="false" customHeight="false" outlineLevel="0" collapsed="false">
      <c r="A946" s="0" t="n">
        <f aca="false">B946*1000+C946</f>
        <v>21004</v>
      </c>
      <c r="B946" s="0" t="n">
        <v>21</v>
      </c>
      <c r="C946" s="0" t="n">
        <v>4</v>
      </c>
      <c r="D946" s="0" t="n">
        <v>0</v>
      </c>
      <c r="E946" s="0" t="n">
        <f aca="false">VLOOKUP(B946,'MSA-Lookup'!$H$2:$I$86,2)</f>
        <v>5775</v>
      </c>
      <c r="F946" s="0" t="n">
        <f aca="false">IF(C946&gt;1,IF(C946&lt;99,VLOOKUP(C946,'MSA-Lookup'!$H$1:$I$86,2),C946),C946)</f>
        <v>9999</v>
      </c>
      <c r="G946" s="0" t="n">
        <f aca="false">VLOOKUP(E946,'MSA-Lookup'!$AA$1:$AB$25,2)</f>
        <v>7362</v>
      </c>
      <c r="H946" s="0" t="n">
        <f aca="false">IF(C946&gt;1,IF(C946&lt;99,VLOOKUP(F946,'MSA-Lookup'!$AA$1:$AB$25,2),C946),C946)</f>
        <v>9999</v>
      </c>
    </row>
    <row r="947" customFormat="false" ht="12.75" hidden="false" customHeight="false" outlineLevel="0" collapsed="false">
      <c r="A947" s="0" t="n">
        <f aca="false">B947*1000+C947</f>
        <v>21005</v>
      </c>
      <c r="B947" s="0" t="n">
        <v>21</v>
      </c>
      <c r="C947" s="0" t="n">
        <v>5</v>
      </c>
      <c r="D947" s="0" t="n">
        <v>0</v>
      </c>
      <c r="E947" s="0" t="n">
        <f aca="false">VLOOKUP(B947,'MSA-Lookup'!$H$2:$I$86,2)</f>
        <v>5775</v>
      </c>
      <c r="F947" s="0" t="n">
        <f aca="false">IF(C947&gt;1,IF(C947&lt;99,VLOOKUP(C947,'MSA-Lookup'!$H$1:$I$86,2),C947),C947)</f>
        <v>9999</v>
      </c>
      <c r="G947" s="0" t="n">
        <f aca="false">VLOOKUP(E947,'MSA-Lookup'!$AA$1:$AB$25,2)</f>
        <v>7362</v>
      </c>
      <c r="H947" s="0" t="n">
        <f aca="false">IF(C947&gt;1,IF(C947&lt;99,VLOOKUP(F947,'MSA-Lookup'!$AA$1:$AB$25,2),C947),C947)</f>
        <v>9999</v>
      </c>
    </row>
    <row r="948" customFormat="false" ht="12.75" hidden="false" customHeight="false" outlineLevel="0" collapsed="false">
      <c r="A948" s="0" t="n">
        <f aca="false">B948*1000+C948</f>
        <v>21006</v>
      </c>
      <c r="B948" s="0" t="n">
        <v>21</v>
      </c>
      <c r="C948" s="0" t="n">
        <v>6</v>
      </c>
      <c r="D948" s="0" t="n">
        <v>0</v>
      </c>
      <c r="E948" s="0" t="n">
        <f aca="false">VLOOKUP(B948,'MSA-Lookup'!$H$2:$I$86,2)</f>
        <v>5775</v>
      </c>
      <c r="F948" s="0" t="n">
        <f aca="false">IF(C948&gt;1,IF(C948&lt;99,VLOOKUP(C948,'MSA-Lookup'!$H$1:$I$86,2),C948),C948)</f>
        <v>1620</v>
      </c>
      <c r="G948" s="0" t="n">
        <f aca="false">VLOOKUP(E948,'MSA-Lookup'!$AA$1:$AB$25,2)</f>
        <v>7362</v>
      </c>
      <c r="H948" s="0" t="n">
        <f aca="false">IF(C948&gt;1,IF(C948&lt;99,VLOOKUP(F948,'MSA-Lookup'!$AA$1:$AB$25,2),C948),C948)</f>
        <v>1620</v>
      </c>
    </row>
    <row r="949" customFormat="false" ht="12.75" hidden="false" customHeight="false" outlineLevel="0" collapsed="false">
      <c r="A949" s="0" t="n">
        <f aca="false">B949*1000+C949</f>
        <v>21007</v>
      </c>
      <c r="B949" s="0" t="n">
        <v>21</v>
      </c>
      <c r="C949" s="0" t="n">
        <v>7</v>
      </c>
      <c r="D949" s="0" t="n">
        <v>0</v>
      </c>
      <c r="E949" s="0" t="n">
        <f aca="false">VLOOKUP(B949,'MSA-Lookup'!$H$2:$I$86,2)</f>
        <v>5775</v>
      </c>
      <c r="F949" s="0" t="n">
        <f aca="false">IF(C949&gt;1,IF(C949&lt;99,VLOOKUP(C949,'MSA-Lookup'!$H$1:$I$86,2),C949),C949)</f>
        <v>9999</v>
      </c>
      <c r="G949" s="0" t="n">
        <f aca="false">VLOOKUP(E949,'MSA-Lookup'!$AA$1:$AB$25,2)</f>
        <v>7362</v>
      </c>
      <c r="H949" s="0" t="n">
        <f aca="false">IF(C949&gt;1,IF(C949&lt;99,VLOOKUP(F949,'MSA-Lookup'!$AA$1:$AB$25,2),C949),C949)</f>
        <v>9999</v>
      </c>
    </row>
    <row r="950" customFormat="false" ht="12.75" hidden="false" customHeight="false" outlineLevel="0" collapsed="false">
      <c r="A950" s="0" t="n">
        <f aca="false">B950*1000+C950</f>
        <v>21008</v>
      </c>
      <c r="B950" s="0" t="n">
        <v>21</v>
      </c>
      <c r="C950" s="0" t="n">
        <v>8</v>
      </c>
      <c r="D950" s="0" t="n">
        <v>0</v>
      </c>
      <c r="E950" s="0" t="n">
        <f aca="false">VLOOKUP(B950,'MSA-Lookup'!$H$2:$I$86,2)</f>
        <v>5775</v>
      </c>
      <c r="F950" s="0" t="n">
        <f aca="false">IF(C950&gt;1,IF(C950&lt;99,VLOOKUP(C950,'MSA-Lookup'!$H$1:$I$86,2),C950),C950)</f>
        <v>9340</v>
      </c>
      <c r="G950" s="0" t="n">
        <f aca="false">VLOOKUP(E950,'MSA-Lookup'!$AA$1:$AB$25,2)</f>
        <v>7362</v>
      </c>
      <c r="H950" s="0" t="n">
        <f aca="false">IF(C950&gt;1,IF(C950&lt;99,VLOOKUP(F950,'MSA-Lookup'!$AA$1:$AB$25,2),C950),C950)</f>
        <v>9340</v>
      </c>
    </row>
    <row r="951" customFormat="false" ht="12.75" hidden="false" customHeight="false" outlineLevel="0" collapsed="false">
      <c r="A951" s="0" t="n">
        <f aca="false">B951*1000+C951</f>
        <v>21009</v>
      </c>
      <c r="B951" s="0" t="n">
        <v>21</v>
      </c>
      <c r="C951" s="0" t="n">
        <v>9</v>
      </c>
      <c r="D951" s="0" t="n">
        <v>91</v>
      </c>
      <c r="E951" s="0" t="n">
        <f aca="false">VLOOKUP(B951,'MSA-Lookup'!$H$2:$I$86,2)</f>
        <v>5775</v>
      </c>
      <c r="F951" s="0" t="n">
        <f aca="false">IF(C951&gt;1,IF(C951&lt;99,VLOOKUP(C951,'MSA-Lookup'!$H$1:$I$86,2),C951),C951)</f>
        <v>8720</v>
      </c>
      <c r="G951" s="0" t="n">
        <f aca="false">VLOOKUP(E951,'MSA-Lookup'!$AA$1:$AB$25,2)</f>
        <v>7362</v>
      </c>
      <c r="H951" s="0" t="n">
        <f aca="false">IF(C951&gt;1,IF(C951&lt;99,VLOOKUP(F951,'MSA-Lookup'!$AA$1:$AB$25,2),C951),C951)</f>
        <v>7362</v>
      </c>
    </row>
    <row r="952" customFormat="false" ht="12.75" hidden="false" customHeight="false" outlineLevel="0" collapsed="false">
      <c r="A952" s="0" t="n">
        <f aca="false">B952*1000+C952</f>
        <v>21010</v>
      </c>
      <c r="B952" s="0" t="n">
        <v>21</v>
      </c>
      <c r="C952" s="0" t="n">
        <v>10</v>
      </c>
      <c r="D952" s="0" t="n">
        <v>0</v>
      </c>
      <c r="E952" s="0" t="n">
        <f aca="false">VLOOKUP(B952,'MSA-Lookup'!$H$2:$I$86,2)</f>
        <v>5775</v>
      </c>
      <c r="F952" s="0" t="n">
        <f aca="false">IF(C952&gt;1,IF(C952&lt;99,VLOOKUP(C952,'MSA-Lookup'!$H$1:$I$86,2),C952),C952)</f>
        <v>6920</v>
      </c>
      <c r="G952" s="0" t="n">
        <f aca="false">VLOOKUP(E952,'MSA-Lookup'!$AA$1:$AB$25,2)</f>
        <v>7362</v>
      </c>
      <c r="H952" s="0" t="n">
        <f aca="false">IF(C952&gt;1,IF(C952&lt;99,VLOOKUP(F952,'MSA-Lookup'!$AA$1:$AB$25,2),C952),C952)</f>
        <v>6920</v>
      </c>
    </row>
    <row r="953" customFormat="false" ht="12.75" hidden="false" customHeight="false" outlineLevel="0" collapsed="false">
      <c r="A953" s="0" t="n">
        <f aca="false">B953*1000+C953</f>
        <v>21011</v>
      </c>
      <c r="B953" s="0" t="n">
        <v>21</v>
      </c>
      <c r="C953" s="0" t="n">
        <v>11</v>
      </c>
      <c r="D953" s="0" t="n">
        <v>169</v>
      </c>
      <c r="E953" s="0" t="n">
        <f aca="false">VLOOKUP(B953,'MSA-Lookup'!$H$2:$I$86,2)</f>
        <v>5775</v>
      </c>
      <c r="F953" s="0" t="n">
        <f aca="false">IF(C953&gt;1,IF(C953&lt;99,VLOOKUP(C953,'MSA-Lookup'!$H$1:$I$86,2),C953),C953)</f>
        <v>6920</v>
      </c>
      <c r="G953" s="0" t="n">
        <f aca="false">VLOOKUP(E953,'MSA-Lookup'!$AA$1:$AB$25,2)</f>
        <v>7362</v>
      </c>
      <c r="H953" s="0" t="n">
        <f aca="false">IF(C953&gt;1,IF(C953&lt;99,VLOOKUP(F953,'MSA-Lookup'!$AA$1:$AB$25,2),C953),C953)</f>
        <v>6920</v>
      </c>
    </row>
    <row r="954" customFormat="false" ht="12.75" hidden="false" customHeight="false" outlineLevel="0" collapsed="false">
      <c r="A954" s="0" t="n">
        <f aca="false">B954*1000+C954</f>
        <v>21012</v>
      </c>
      <c r="B954" s="0" t="n">
        <v>21</v>
      </c>
      <c r="C954" s="0" t="n">
        <v>12</v>
      </c>
      <c r="D954" s="0" t="n">
        <v>117</v>
      </c>
      <c r="E954" s="0" t="n">
        <f aca="false">VLOOKUP(B954,'MSA-Lookup'!$H$2:$I$86,2)</f>
        <v>5775</v>
      </c>
      <c r="F954" s="0" t="n">
        <f aca="false">IF(C954&gt;1,IF(C954&lt;99,VLOOKUP(C954,'MSA-Lookup'!$H$1:$I$86,2),C954),C954)</f>
        <v>6920</v>
      </c>
      <c r="G954" s="0" t="n">
        <f aca="false">VLOOKUP(E954,'MSA-Lookup'!$AA$1:$AB$25,2)</f>
        <v>7362</v>
      </c>
      <c r="H954" s="0" t="n">
        <f aca="false">IF(C954&gt;1,IF(C954&lt;99,VLOOKUP(F954,'MSA-Lookup'!$AA$1:$AB$25,2),C954),C954)</f>
        <v>6920</v>
      </c>
    </row>
    <row r="955" customFormat="false" ht="12.75" hidden="false" customHeight="false" outlineLevel="0" collapsed="false">
      <c r="A955" s="0" t="n">
        <f aca="false">B955*1000+C955</f>
        <v>21013</v>
      </c>
      <c r="B955" s="0" t="n">
        <v>21</v>
      </c>
      <c r="C955" s="0" t="n">
        <v>13</v>
      </c>
      <c r="D955" s="0" t="n">
        <v>195</v>
      </c>
      <c r="E955" s="0" t="n">
        <f aca="false">VLOOKUP(B955,'MSA-Lookup'!$H$2:$I$86,2)</f>
        <v>5775</v>
      </c>
      <c r="F955" s="0" t="n">
        <f aca="false">IF(C955&gt;1,IF(C955&lt;99,VLOOKUP(C955,'MSA-Lookup'!$H$1:$I$86,2),C955),C955)</f>
        <v>7500</v>
      </c>
      <c r="G955" s="0" t="n">
        <f aca="false">VLOOKUP(E955,'MSA-Lookup'!$AA$1:$AB$25,2)</f>
        <v>7362</v>
      </c>
      <c r="H955" s="0" t="n">
        <f aca="false">IF(C955&gt;1,IF(C955&lt;99,VLOOKUP(F955,'MSA-Lookup'!$AA$1:$AB$25,2),C955),C955)</f>
        <v>7362</v>
      </c>
    </row>
    <row r="956" customFormat="false" ht="12.75" hidden="false" customHeight="false" outlineLevel="0" collapsed="false">
      <c r="A956" s="0" t="n">
        <f aca="false">B956*1000+C956</f>
        <v>21014</v>
      </c>
      <c r="B956" s="0" t="n">
        <v>21</v>
      </c>
      <c r="C956" s="0" t="n">
        <v>14</v>
      </c>
      <c r="D956" s="0" t="n">
        <v>169</v>
      </c>
      <c r="E956" s="0" t="n">
        <f aca="false">VLOOKUP(B956,'MSA-Lookup'!$H$2:$I$86,2)</f>
        <v>5775</v>
      </c>
      <c r="F956" s="0" t="n">
        <f aca="false">IF(C956&gt;1,IF(C956&lt;99,VLOOKUP(C956,'MSA-Lookup'!$H$1:$I$86,2),C956),C956)</f>
        <v>7500</v>
      </c>
      <c r="G956" s="0" t="n">
        <f aca="false">VLOOKUP(E956,'MSA-Lookup'!$AA$1:$AB$25,2)</f>
        <v>7362</v>
      </c>
      <c r="H956" s="0" t="n">
        <f aca="false">IF(C956&gt;1,IF(C956&lt;99,VLOOKUP(F956,'MSA-Lookup'!$AA$1:$AB$25,2),C956),C956)</f>
        <v>7362</v>
      </c>
    </row>
    <row r="957" customFormat="false" ht="12.75" hidden="false" customHeight="false" outlineLevel="0" collapsed="false">
      <c r="A957" s="0" t="n">
        <f aca="false">B957*1000+C957</f>
        <v>21015</v>
      </c>
      <c r="B957" s="0" t="n">
        <v>21</v>
      </c>
      <c r="C957" s="0" t="n">
        <v>15</v>
      </c>
      <c r="D957" s="0" t="n">
        <v>507</v>
      </c>
      <c r="E957" s="0" t="n">
        <f aca="false">VLOOKUP(B957,'MSA-Lookup'!$H$2:$I$86,2)</f>
        <v>5775</v>
      </c>
      <c r="F957" s="0" t="n">
        <f aca="false">IF(C957&gt;1,IF(C957&lt;99,VLOOKUP(C957,'MSA-Lookup'!$H$1:$I$86,2),C957),C957)</f>
        <v>7360</v>
      </c>
      <c r="G957" s="0" t="n">
        <f aca="false">VLOOKUP(E957,'MSA-Lookup'!$AA$1:$AB$25,2)</f>
        <v>7362</v>
      </c>
      <c r="H957" s="0" t="n">
        <f aca="false">IF(C957&gt;1,IF(C957&lt;99,VLOOKUP(F957,'MSA-Lookup'!$AA$1:$AB$25,2),C957),C957)</f>
        <v>7362</v>
      </c>
    </row>
    <row r="958" customFormat="false" ht="12.75" hidden="false" customHeight="false" outlineLevel="0" collapsed="false">
      <c r="A958" s="0" t="n">
        <f aca="false">B958*1000+C958</f>
        <v>21016</v>
      </c>
      <c r="B958" s="0" t="n">
        <v>21</v>
      </c>
      <c r="C958" s="0" t="n">
        <v>16</v>
      </c>
      <c r="D958" s="0" t="n">
        <v>507</v>
      </c>
      <c r="E958" s="0" t="n">
        <f aca="false">VLOOKUP(B958,'MSA-Lookup'!$H$2:$I$86,2)</f>
        <v>5775</v>
      </c>
      <c r="F958" s="0" t="n">
        <f aca="false">IF(C958&gt;1,IF(C958&lt;99,VLOOKUP(C958,'MSA-Lookup'!$H$1:$I$86,2),C958),C958)</f>
        <v>8720</v>
      </c>
      <c r="G958" s="0" t="n">
        <f aca="false">VLOOKUP(E958,'MSA-Lookup'!$AA$1:$AB$25,2)</f>
        <v>7362</v>
      </c>
      <c r="H958" s="0" t="n">
        <f aca="false">IF(C958&gt;1,IF(C958&lt;99,VLOOKUP(F958,'MSA-Lookup'!$AA$1:$AB$25,2),C958),C958)</f>
        <v>7362</v>
      </c>
    </row>
    <row r="959" customFormat="false" ht="12.75" hidden="false" customHeight="false" outlineLevel="0" collapsed="false">
      <c r="A959" s="0" t="n">
        <f aca="false">B959*1000+C959</f>
        <v>21017</v>
      </c>
      <c r="B959" s="0" t="n">
        <v>21</v>
      </c>
      <c r="C959" s="0" t="n">
        <v>17</v>
      </c>
      <c r="D959" s="0" t="n">
        <v>1937</v>
      </c>
      <c r="E959" s="0" t="n">
        <f aca="false">VLOOKUP(B959,'MSA-Lookup'!$H$2:$I$86,2)</f>
        <v>5775</v>
      </c>
      <c r="F959" s="0" t="n">
        <f aca="false">IF(C959&gt;1,IF(C959&lt;99,VLOOKUP(C959,'MSA-Lookup'!$H$1:$I$86,2),C959),C959)</f>
        <v>5775</v>
      </c>
      <c r="G959" s="0" t="n">
        <f aca="false">VLOOKUP(E959,'MSA-Lookup'!$AA$1:$AB$25,2)</f>
        <v>7362</v>
      </c>
      <c r="H959" s="0" t="n">
        <f aca="false">IF(C959&gt;1,IF(C959&lt;99,VLOOKUP(F959,'MSA-Lookup'!$AA$1:$AB$25,2),C959),C959)</f>
        <v>7362</v>
      </c>
    </row>
    <row r="960" customFormat="false" ht="12.75" hidden="false" customHeight="false" outlineLevel="0" collapsed="false">
      <c r="A960" s="0" t="n">
        <f aca="false">B960*1000+C960</f>
        <v>21018</v>
      </c>
      <c r="B960" s="0" t="n">
        <v>21</v>
      </c>
      <c r="C960" s="0" t="n">
        <v>18</v>
      </c>
      <c r="D960" s="0" t="n">
        <v>17823</v>
      </c>
      <c r="E960" s="0" t="n">
        <f aca="false">VLOOKUP(B960,'MSA-Lookup'!$H$2:$I$86,2)</f>
        <v>5775</v>
      </c>
      <c r="F960" s="0" t="n">
        <f aca="false">IF(C960&gt;1,IF(C960&lt;99,VLOOKUP(C960,'MSA-Lookup'!$H$1:$I$86,2),C960),C960)</f>
        <v>5775</v>
      </c>
      <c r="G960" s="0" t="n">
        <f aca="false">VLOOKUP(E960,'MSA-Lookup'!$AA$1:$AB$25,2)</f>
        <v>7362</v>
      </c>
      <c r="H960" s="0" t="n">
        <f aca="false">IF(C960&gt;1,IF(C960&lt;99,VLOOKUP(F960,'MSA-Lookup'!$AA$1:$AB$25,2),C960),C960)</f>
        <v>7362</v>
      </c>
    </row>
    <row r="961" customFormat="false" ht="12.75" hidden="false" customHeight="false" outlineLevel="0" collapsed="false">
      <c r="A961" s="0" t="n">
        <f aca="false">B961*1000+C961</f>
        <v>21019</v>
      </c>
      <c r="B961" s="0" t="n">
        <v>21</v>
      </c>
      <c r="C961" s="0" t="n">
        <v>19</v>
      </c>
      <c r="D961" s="0" t="n">
        <v>27664</v>
      </c>
      <c r="E961" s="0" t="n">
        <f aca="false">VLOOKUP(B961,'MSA-Lookup'!$H$2:$I$86,2)</f>
        <v>5775</v>
      </c>
      <c r="F961" s="0" t="n">
        <f aca="false">IF(C961&gt;1,IF(C961&lt;99,VLOOKUP(C961,'MSA-Lookup'!$H$1:$I$86,2),C961),C961)</f>
        <v>7360</v>
      </c>
      <c r="G961" s="0" t="n">
        <f aca="false">VLOOKUP(E961,'MSA-Lookup'!$AA$1:$AB$25,2)</f>
        <v>7362</v>
      </c>
      <c r="H961" s="0" t="n">
        <f aca="false">IF(C961&gt;1,IF(C961&lt;99,VLOOKUP(F961,'MSA-Lookup'!$AA$1:$AB$25,2),C961),C961)</f>
        <v>7362</v>
      </c>
    </row>
    <row r="962" customFormat="false" ht="12.75" hidden="false" customHeight="false" outlineLevel="0" collapsed="false">
      <c r="A962" s="0" t="n">
        <f aca="false">B962*1000+C962</f>
        <v>21020</v>
      </c>
      <c r="B962" s="0" t="n">
        <v>21</v>
      </c>
      <c r="C962" s="0" t="n">
        <v>20</v>
      </c>
      <c r="D962" s="0" t="n">
        <v>8229</v>
      </c>
      <c r="E962" s="0" t="n">
        <f aca="false">VLOOKUP(B962,'MSA-Lookup'!$H$2:$I$86,2)</f>
        <v>5775</v>
      </c>
      <c r="F962" s="0" t="n">
        <f aca="false">IF(C962&gt;1,IF(C962&lt;99,VLOOKUP(C962,'MSA-Lookup'!$H$1:$I$86,2),C962),C962)</f>
        <v>5775</v>
      </c>
      <c r="G962" s="0" t="n">
        <f aca="false">VLOOKUP(E962,'MSA-Lookup'!$AA$1:$AB$25,2)</f>
        <v>7362</v>
      </c>
      <c r="H962" s="0" t="n">
        <f aca="false">IF(C962&gt;1,IF(C962&lt;99,VLOOKUP(F962,'MSA-Lookup'!$AA$1:$AB$25,2),C962),C962)</f>
        <v>7362</v>
      </c>
    </row>
    <row r="963" customFormat="false" ht="12.75" hidden="false" customHeight="false" outlineLevel="0" collapsed="false">
      <c r="A963" s="0" t="n">
        <f aca="false">B963*1000+C963</f>
        <v>21021</v>
      </c>
      <c r="B963" s="0" t="n">
        <v>21</v>
      </c>
      <c r="C963" s="0" t="n">
        <v>21</v>
      </c>
      <c r="D963" s="0" t="n">
        <v>274924</v>
      </c>
      <c r="E963" s="0" t="n">
        <f aca="false">VLOOKUP(B963,'MSA-Lookup'!$H$2:$I$86,2)</f>
        <v>5775</v>
      </c>
      <c r="F963" s="0" t="n">
        <f aca="false">IF(C963&gt;1,IF(C963&lt;99,VLOOKUP(C963,'MSA-Lookup'!$H$1:$I$86,2),C963),C963)</f>
        <v>5775</v>
      </c>
      <c r="G963" s="0" t="n">
        <f aca="false">VLOOKUP(E963,'MSA-Lookup'!$AA$1:$AB$25,2)</f>
        <v>7362</v>
      </c>
      <c r="H963" s="0" t="n">
        <f aca="false">IF(C963&gt;1,IF(C963&lt;99,VLOOKUP(F963,'MSA-Lookup'!$AA$1:$AB$25,2),C963),C963)</f>
        <v>7362</v>
      </c>
    </row>
    <row r="964" customFormat="false" ht="12.75" hidden="false" customHeight="false" outlineLevel="0" collapsed="false">
      <c r="A964" s="0" t="n">
        <f aca="false">B964*1000+C964</f>
        <v>21022</v>
      </c>
      <c r="B964" s="0" t="n">
        <v>21</v>
      </c>
      <c r="C964" s="0" t="n">
        <v>22</v>
      </c>
      <c r="D964" s="0" t="n">
        <v>19318</v>
      </c>
      <c r="E964" s="0" t="n">
        <f aca="false">VLOOKUP(B964,'MSA-Lookup'!$H$2:$I$86,2)</f>
        <v>5775</v>
      </c>
      <c r="F964" s="0" t="n">
        <f aca="false">IF(C964&gt;1,IF(C964&lt;99,VLOOKUP(C964,'MSA-Lookup'!$H$1:$I$86,2),C964),C964)</f>
        <v>7360</v>
      </c>
      <c r="G964" s="0" t="n">
        <f aca="false">VLOOKUP(E964,'MSA-Lookup'!$AA$1:$AB$25,2)</f>
        <v>7362</v>
      </c>
      <c r="H964" s="0" t="n">
        <f aca="false">IF(C964&gt;1,IF(C964&lt;99,VLOOKUP(F964,'MSA-Lookup'!$AA$1:$AB$25,2),C964),C964)</f>
        <v>7362</v>
      </c>
    </row>
    <row r="965" customFormat="false" ht="12.75" hidden="false" customHeight="false" outlineLevel="0" collapsed="false">
      <c r="A965" s="0" t="n">
        <f aca="false">B965*1000+C965</f>
        <v>21023</v>
      </c>
      <c r="B965" s="0" t="n">
        <v>21</v>
      </c>
      <c r="C965" s="0" t="n">
        <v>23</v>
      </c>
      <c r="D965" s="0" t="n">
        <v>429</v>
      </c>
      <c r="E965" s="0" t="n">
        <f aca="false">VLOOKUP(B965,'MSA-Lookup'!$H$2:$I$86,2)</f>
        <v>5775</v>
      </c>
      <c r="F965" s="0" t="n">
        <f aca="false">IF(C965&gt;1,IF(C965&lt;99,VLOOKUP(C965,'MSA-Lookup'!$H$1:$I$86,2),C965),C965)</f>
        <v>8120</v>
      </c>
      <c r="G965" s="0" t="n">
        <f aca="false">VLOOKUP(E965,'MSA-Lookup'!$AA$1:$AB$25,2)</f>
        <v>7362</v>
      </c>
      <c r="H965" s="0" t="n">
        <f aca="false">IF(C965&gt;1,IF(C965&lt;99,VLOOKUP(F965,'MSA-Lookup'!$AA$1:$AB$25,2),C965),C965)</f>
        <v>8120</v>
      </c>
    </row>
    <row r="966" customFormat="false" ht="12.75" hidden="false" customHeight="false" outlineLevel="0" collapsed="false">
      <c r="A966" s="0" t="n">
        <f aca="false">B966*1000+C966</f>
        <v>21024</v>
      </c>
      <c r="B966" s="0" t="n">
        <v>21</v>
      </c>
      <c r="C966" s="0" t="n">
        <v>24</v>
      </c>
      <c r="D966" s="0" t="n">
        <v>104</v>
      </c>
      <c r="E966" s="0" t="n">
        <f aca="false">VLOOKUP(B966,'MSA-Lookup'!$H$2:$I$86,2)</f>
        <v>5775</v>
      </c>
      <c r="F966" s="0" t="n">
        <f aca="false">IF(C966&gt;1,IF(C966&lt;99,VLOOKUP(C966,'MSA-Lookup'!$H$1:$I$86,2),C966),C966)</f>
        <v>5170</v>
      </c>
      <c r="G966" s="0" t="n">
        <f aca="false">VLOOKUP(E966,'MSA-Lookup'!$AA$1:$AB$25,2)</f>
        <v>7362</v>
      </c>
      <c r="H966" s="0" t="n">
        <f aca="false">IF(C966&gt;1,IF(C966&lt;99,VLOOKUP(F966,'MSA-Lookup'!$AA$1:$AB$25,2),C966),C966)</f>
        <v>5170</v>
      </c>
    </row>
    <row r="967" customFormat="false" ht="12.75" hidden="false" customHeight="false" outlineLevel="0" collapsed="false">
      <c r="A967" s="0" t="n">
        <f aca="false">B967*1000+C967</f>
        <v>21025</v>
      </c>
      <c r="B967" s="0" t="n">
        <v>21</v>
      </c>
      <c r="C967" s="0" t="n">
        <v>25</v>
      </c>
      <c r="D967" s="0" t="n">
        <v>117</v>
      </c>
      <c r="E967" s="0" t="n">
        <f aca="false">VLOOKUP(B967,'MSA-Lookup'!$H$2:$I$86,2)</f>
        <v>5775</v>
      </c>
      <c r="F967" s="0" t="n">
        <f aca="false">IF(C967&gt;1,IF(C967&lt;99,VLOOKUP(C967,'MSA-Lookup'!$H$1:$I$86,2),C967),C967)</f>
        <v>5170</v>
      </c>
      <c r="G967" s="0" t="n">
        <f aca="false">VLOOKUP(E967,'MSA-Lookup'!$AA$1:$AB$25,2)</f>
        <v>7362</v>
      </c>
      <c r="H967" s="0" t="n">
        <f aca="false">IF(C967&gt;1,IF(C967&lt;99,VLOOKUP(F967,'MSA-Lookup'!$AA$1:$AB$25,2),C967),C967)</f>
        <v>5170</v>
      </c>
    </row>
    <row r="968" customFormat="false" ht="12.75" hidden="false" customHeight="false" outlineLevel="0" collapsed="false">
      <c r="A968" s="0" t="n">
        <f aca="false">B968*1000+C968</f>
        <v>21026</v>
      </c>
      <c r="B968" s="0" t="n">
        <v>21</v>
      </c>
      <c r="C968" s="0" t="n">
        <v>26</v>
      </c>
      <c r="D968" s="0" t="n">
        <v>0</v>
      </c>
      <c r="E968" s="0" t="n">
        <f aca="false">VLOOKUP(B968,'MSA-Lookup'!$H$2:$I$86,2)</f>
        <v>5775</v>
      </c>
      <c r="F968" s="0" t="n">
        <f aca="false">IF(C968&gt;1,IF(C968&lt;99,VLOOKUP(C968,'MSA-Lookup'!$H$1:$I$86,2),C968),C968)</f>
        <v>9999</v>
      </c>
      <c r="G968" s="0" t="n">
        <f aca="false">VLOOKUP(E968,'MSA-Lookup'!$AA$1:$AB$25,2)</f>
        <v>7362</v>
      </c>
      <c r="H968" s="0" t="n">
        <f aca="false">IF(C968&gt;1,IF(C968&lt;99,VLOOKUP(F968,'MSA-Lookup'!$AA$1:$AB$25,2),C968),C968)</f>
        <v>9999</v>
      </c>
    </row>
    <row r="969" customFormat="false" ht="12.75" hidden="false" customHeight="false" outlineLevel="0" collapsed="false">
      <c r="A969" s="0" t="n">
        <f aca="false">B969*1000+C969</f>
        <v>21027</v>
      </c>
      <c r="B969" s="0" t="n">
        <v>21</v>
      </c>
      <c r="C969" s="0" t="n">
        <v>27</v>
      </c>
      <c r="D969" s="0" t="n">
        <v>0</v>
      </c>
      <c r="E969" s="0" t="n">
        <f aca="false">VLOOKUP(B969,'MSA-Lookup'!$H$2:$I$86,2)</f>
        <v>5775</v>
      </c>
      <c r="F969" s="0" t="n">
        <f aca="false">IF(C969&gt;1,IF(C969&lt;99,VLOOKUP(C969,'MSA-Lookup'!$H$1:$I$86,2),C969),C969)</f>
        <v>9999</v>
      </c>
      <c r="G969" s="0" t="n">
        <f aca="false">VLOOKUP(E969,'MSA-Lookup'!$AA$1:$AB$25,2)</f>
        <v>7362</v>
      </c>
      <c r="H969" s="0" t="n">
        <f aca="false">IF(C969&gt;1,IF(C969&lt;99,VLOOKUP(F969,'MSA-Lookup'!$AA$1:$AB$25,2),C969),C969)</f>
        <v>9999</v>
      </c>
    </row>
    <row r="970" customFormat="false" ht="12.75" hidden="false" customHeight="false" outlineLevel="0" collapsed="false">
      <c r="A970" s="0" t="n">
        <f aca="false">B970*1000+C970</f>
        <v>21028</v>
      </c>
      <c r="B970" s="0" t="n">
        <v>21</v>
      </c>
      <c r="C970" s="0" t="n">
        <v>28</v>
      </c>
      <c r="D970" s="0" t="n">
        <v>182</v>
      </c>
      <c r="E970" s="0" t="n">
        <f aca="false">VLOOKUP(B970,'MSA-Lookup'!$H$2:$I$86,2)</f>
        <v>5775</v>
      </c>
      <c r="F970" s="0" t="n">
        <f aca="false">IF(C970&gt;1,IF(C970&lt;99,VLOOKUP(C970,'MSA-Lookup'!$H$1:$I$86,2),C970),C970)</f>
        <v>6920</v>
      </c>
      <c r="G970" s="0" t="n">
        <f aca="false">VLOOKUP(E970,'MSA-Lookup'!$AA$1:$AB$25,2)</f>
        <v>7362</v>
      </c>
      <c r="H970" s="0" t="n">
        <f aca="false">IF(C970&gt;1,IF(C970&lt;99,VLOOKUP(F970,'MSA-Lookup'!$AA$1:$AB$25,2),C970),C970)</f>
        <v>6920</v>
      </c>
    </row>
    <row r="971" customFormat="false" ht="12.75" hidden="false" customHeight="false" outlineLevel="0" collapsed="false">
      <c r="A971" s="0" t="n">
        <f aca="false">B971*1000+C971</f>
        <v>21029</v>
      </c>
      <c r="B971" s="0" t="n">
        <v>21</v>
      </c>
      <c r="C971" s="0" t="n">
        <v>29</v>
      </c>
      <c r="D971" s="0" t="n">
        <v>0</v>
      </c>
      <c r="E971" s="0" t="n">
        <f aca="false">VLOOKUP(B971,'MSA-Lookup'!$H$2:$I$86,2)</f>
        <v>5775</v>
      </c>
      <c r="F971" s="0" t="n">
        <f aca="false">IF(C971&gt;1,IF(C971&lt;99,VLOOKUP(C971,'MSA-Lookup'!$H$1:$I$86,2),C971),C971)</f>
        <v>6920</v>
      </c>
      <c r="G971" s="0" t="n">
        <f aca="false">VLOOKUP(E971,'MSA-Lookup'!$AA$1:$AB$25,2)</f>
        <v>7362</v>
      </c>
      <c r="H971" s="0" t="n">
        <f aca="false">IF(C971&gt;1,IF(C971&lt;99,VLOOKUP(F971,'MSA-Lookup'!$AA$1:$AB$25,2),C971),C971)</f>
        <v>6920</v>
      </c>
    </row>
    <row r="972" customFormat="false" ht="12.75" hidden="false" customHeight="false" outlineLevel="0" collapsed="false">
      <c r="A972" s="0" t="n">
        <f aca="false">B972*1000+C972</f>
        <v>21030</v>
      </c>
      <c r="B972" s="0" t="n">
        <v>21</v>
      </c>
      <c r="C972" s="0" t="n">
        <v>30</v>
      </c>
      <c r="D972" s="0" t="n">
        <v>0</v>
      </c>
      <c r="E972" s="0" t="n">
        <f aca="false">VLOOKUP(B972,'MSA-Lookup'!$H$2:$I$86,2)</f>
        <v>5775</v>
      </c>
      <c r="F972" s="0" t="n">
        <f aca="false">IF(C972&gt;1,IF(C972&lt;99,VLOOKUP(C972,'MSA-Lookup'!$H$1:$I$86,2),C972),C972)</f>
        <v>4940</v>
      </c>
      <c r="G972" s="0" t="n">
        <f aca="false">VLOOKUP(E972,'MSA-Lookup'!$AA$1:$AB$25,2)</f>
        <v>7362</v>
      </c>
      <c r="H972" s="0" t="n">
        <f aca="false">IF(C972&gt;1,IF(C972&lt;99,VLOOKUP(F972,'MSA-Lookup'!$AA$1:$AB$25,2),C972),C972)</f>
        <v>4940</v>
      </c>
    </row>
    <row r="973" customFormat="false" ht="12.75" hidden="false" customHeight="false" outlineLevel="0" collapsed="false">
      <c r="A973" s="0" t="n">
        <f aca="false">B973*1000+C973</f>
        <v>21031</v>
      </c>
      <c r="B973" s="0" t="n">
        <v>21</v>
      </c>
      <c r="C973" s="0" t="n">
        <v>31</v>
      </c>
      <c r="D973" s="0" t="n">
        <v>0</v>
      </c>
      <c r="E973" s="0" t="n">
        <f aca="false">VLOOKUP(B973,'MSA-Lookup'!$H$2:$I$86,2)</f>
        <v>5775</v>
      </c>
      <c r="F973" s="0" t="n">
        <f aca="false">IF(C973&gt;1,IF(C973&lt;99,VLOOKUP(C973,'MSA-Lookup'!$H$1:$I$86,2),C973),C973)</f>
        <v>9999</v>
      </c>
      <c r="G973" s="0" t="n">
        <f aca="false">VLOOKUP(E973,'MSA-Lookup'!$AA$1:$AB$25,2)</f>
        <v>7362</v>
      </c>
      <c r="H973" s="0" t="n">
        <f aca="false">IF(C973&gt;1,IF(C973&lt;99,VLOOKUP(F973,'MSA-Lookup'!$AA$1:$AB$25,2),C973),C973)</f>
        <v>9999</v>
      </c>
    </row>
    <row r="974" customFormat="false" ht="12.75" hidden="false" customHeight="false" outlineLevel="0" collapsed="false">
      <c r="A974" s="0" t="n">
        <f aca="false">B974*1000+C974</f>
        <v>21032</v>
      </c>
      <c r="B974" s="0" t="n">
        <v>21</v>
      </c>
      <c r="C974" s="0" t="n">
        <v>32</v>
      </c>
      <c r="D974" s="0" t="n">
        <v>0</v>
      </c>
      <c r="E974" s="0" t="n">
        <f aca="false">VLOOKUP(B974,'MSA-Lookup'!$H$2:$I$86,2)</f>
        <v>5775</v>
      </c>
      <c r="F974" s="0" t="n">
        <f aca="false">IF(C974&gt;1,IF(C974&lt;99,VLOOKUP(C974,'MSA-Lookup'!$H$1:$I$86,2),C974),C974)</f>
        <v>7480</v>
      </c>
      <c r="G974" s="0" t="n">
        <f aca="false">VLOOKUP(E974,'MSA-Lookup'!$AA$1:$AB$25,2)</f>
        <v>7362</v>
      </c>
      <c r="H974" s="0" t="n">
        <f aca="false">IF(C974&gt;1,IF(C974&lt;99,VLOOKUP(F974,'MSA-Lookup'!$AA$1:$AB$25,2),C974),C974)</f>
        <v>7480</v>
      </c>
    </row>
    <row r="975" customFormat="false" ht="12.75" hidden="false" customHeight="false" outlineLevel="0" collapsed="false">
      <c r="A975" s="0" t="n">
        <f aca="false">B975*1000+C975</f>
        <v>21033</v>
      </c>
      <c r="B975" s="0" t="n">
        <v>21</v>
      </c>
      <c r="C975" s="0" t="n">
        <v>33</v>
      </c>
      <c r="D975" s="0" t="n">
        <v>0</v>
      </c>
      <c r="E975" s="0" t="n">
        <f aca="false">VLOOKUP(B975,'MSA-Lookup'!$H$2:$I$86,2)</f>
        <v>5775</v>
      </c>
      <c r="F975" s="0" t="n">
        <f aca="false">IF(C975&gt;1,IF(C975&lt;99,VLOOKUP(C975,'MSA-Lookup'!$H$1:$I$86,2),C975),C975)</f>
        <v>7320</v>
      </c>
      <c r="G975" s="0" t="n">
        <f aca="false">VLOOKUP(E975,'MSA-Lookup'!$AA$1:$AB$25,2)</f>
        <v>7362</v>
      </c>
      <c r="H975" s="0" t="n">
        <f aca="false">IF(C975&gt;1,IF(C975&lt;99,VLOOKUP(F975,'MSA-Lookup'!$AA$1:$AB$25,2),C975),C975)</f>
        <v>7320</v>
      </c>
    </row>
    <row r="976" customFormat="false" ht="12.75" hidden="false" customHeight="false" outlineLevel="0" collapsed="false">
      <c r="A976" s="0" t="n">
        <f aca="false">B976*1000+C976</f>
        <v>21034</v>
      </c>
      <c r="B976" s="0" t="n">
        <v>21</v>
      </c>
      <c r="C976" s="0" t="n">
        <v>34</v>
      </c>
      <c r="D976" s="0" t="n">
        <v>0</v>
      </c>
      <c r="E976" s="0" t="n">
        <f aca="false">VLOOKUP(B976,'MSA-Lookup'!$H$2:$I$86,2)</f>
        <v>5775</v>
      </c>
      <c r="F976" s="0" t="n">
        <f aca="false">IF(C976&gt;1,IF(C976&lt;99,VLOOKUP(C976,'MSA-Lookup'!$H$1:$I$86,2),C976),C976)</f>
        <v>7320</v>
      </c>
      <c r="G976" s="0" t="n">
        <f aca="false">VLOOKUP(E976,'MSA-Lookup'!$AA$1:$AB$25,2)</f>
        <v>7362</v>
      </c>
      <c r="H976" s="0" t="n">
        <f aca="false">IF(C976&gt;1,IF(C976&lt;99,VLOOKUP(F976,'MSA-Lookup'!$AA$1:$AB$25,2),C976),C976)</f>
        <v>7320</v>
      </c>
    </row>
    <row r="977" customFormat="false" ht="12.75" hidden="false" customHeight="false" outlineLevel="0" collapsed="false">
      <c r="A977" s="0" t="n">
        <f aca="false">B977*1000+C977</f>
        <v>21035</v>
      </c>
      <c r="B977" s="0" t="n">
        <v>21</v>
      </c>
      <c r="C977" s="0" t="n">
        <v>35</v>
      </c>
      <c r="D977" s="0" t="n">
        <v>0</v>
      </c>
      <c r="E977" s="0" t="n">
        <f aca="false">VLOOKUP(B977,'MSA-Lookup'!$H$2:$I$86,2)</f>
        <v>5775</v>
      </c>
      <c r="F977" s="0" t="n">
        <f aca="false">IF(C977&gt;1,IF(C977&lt;99,VLOOKUP(C977,'MSA-Lookup'!$H$1:$I$86,2),C977),C977)</f>
        <v>7320</v>
      </c>
      <c r="G977" s="0" t="n">
        <f aca="false">VLOOKUP(E977,'MSA-Lookup'!$AA$1:$AB$25,2)</f>
        <v>7362</v>
      </c>
      <c r="H977" s="0" t="n">
        <f aca="false">IF(C977&gt;1,IF(C977&lt;99,VLOOKUP(F977,'MSA-Lookup'!$AA$1:$AB$25,2),C977),C977)</f>
        <v>7320</v>
      </c>
    </row>
    <row r="978" customFormat="false" ht="12.75" hidden="false" customHeight="false" outlineLevel="0" collapsed="false">
      <c r="A978" s="0" t="n">
        <f aca="false">B978*1000+C978</f>
        <v>21037</v>
      </c>
      <c r="B978" s="0" t="n">
        <v>21</v>
      </c>
      <c r="C978" s="0" t="n">
        <v>37</v>
      </c>
      <c r="D978" s="0" t="n">
        <v>0</v>
      </c>
      <c r="E978" s="0" t="n">
        <f aca="false">VLOOKUP(B978,'MSA-Lookup'!$H$2:$I$86,2)</f>
        <v>5775</v>
      </c>
      <c r="F978" s="0" t="n">
        <f aca="false">IF(C978&gt;1,IF(C978&lt;99,VLOOKUP(C978,'MSA-Lookup'!$H$1:$I$86,2),C978),C978)</f>
        <v>7320</v>
      </c>
      <c r="G978" s="0" t="n">
        <f aca="false">VLOOKUP(E978,'MSA-Lookup'!$AA$1:$AB$25,2)</f>
        <v>7362</v>
      </c>
      <c r="H978" s="0" t="n">
        <f aca="false">IF(C978&gt;1,IF(C978&lt;99,VLOOKUP(F978,'MSA-Lookup'!$AA$1:$AB$25,2),C978),C978)</f>
        <v>7320</v>
      </c>
    </row>
    <row r="979" customFormat="false" ht="12.75" hidden="false" customHeight="false" outlineLevel="0" collapsed="false">
      <c r="A979" s="0" t="n">
        <f aca="false">B979*1000+C979</f>
        <v>21038</v>
      </c>
      <c r="B979" s="0" t="n">
        <v>21</v>
      </c>
      <c r="C979" s="0" t="n">
        <v>38</v>
      </c>
      <c r="D979" s="0" t="n">
        <v>0</v>
      </c>
      <c r="E979" s="0" t="n">
        <f aca="false">VLOOKUP(B979,'MSA-Lookup'!$H$2:$I$86,2)</f>
        <v>5775</v>
      </c>
      <c r="F979" s="0" t="n">
        <f aca="false">IF(C979&gt;1,IF(C979&lt;99,VLOOKUP(C979,'MSA-Lookup'!$H$1:$I$86,2),C979),C979)</f>
        <v>7120</v>
      </c>
      <c r="G979" s="0" t="n">
        <f aca="false">VLOOKUP(E979,'MSA-Lookup'!$AA$1:$AB$25,2)</f>
        <v>7362</v>
      </c>
      <c r="H979" s="0" t="n">
        <f aca="false">IF(C979&gt;1,IF(C979&lt;99,VLOOKUP(F979,'MSA-Lookup'!$AA$1:$AB$25,2),C979),C979)</f>
        <v>7120</v>
      </c>
    </row>
    <row r="980" customFormat="false" ht="12.75" hidden="false" customHeight="false" outlineLevel="0" collapsed="false">
      <c r="A980" s="0" t="n">
        <f aca="false">B980*1000+C980</f>
        <v>21039</v>
      </c>
      <c r="B980" s="0" t="n">
        <v>21</v>
      </c>
      <c r="C980" s="0" t="n">
        <v>39</v>
      </c>
      <c r="D980" s="0" t="n">
        <v>0</v>
      </c>
      <c r="E980" s="0" t="n">
        <f aca="false">VLOOKUP(B980,'MSA-Lookup'!$H$2:$I$86,2)</f>
        <v>5775</v>
      </c>
      <c r="F980" s="0" t="n">
        <f aca="false">IF(C980&gt;1,IF(C980&lt;99,VLOOKUP(C980,'MSA-Lookup'!$H$1:$I$86,2),C980),C980)</f>
        <v>7120</v>
      </c>
      <c r="G980" s="0" t="n">
        <f aca="false">VLOOKUP(E980,'MSA-Lookup'!$AA$1:$AB$25,2)</f>
        <v>7362</v>
      </c>
      <c r="H980" s="0" t="n">
        <f aca="false">IF(C980&gt;1,IF(C980&lt;99,VLOOKUP(F980,'MSA-Lookup'!$AA$1:$AB$25,2),C980),C980)</f>
        <v>7120</v>
      </c>
    </row>
    <row r="981" customFormat="false" ht="12.75" hidden="false" customHeight="false" outlineLevel="0" collapsed="false">
      <c r="A981" s="0" t="n">
        <f aca="false">B981*1000+C981</f>
        <v>21040</v>
      </c>
      <c r="B981" s="0" t="n">
        <v>21</v>
      </c>
      <c r="C981" s="0" t="n">
        <v>40</v>
      </c>
      <c r="D981" s="0" t="n">
        <v>65</v>
      </c>
      <c r="E981" s="0" t="n">
        <f aca="false">VLOOKUP(B981,'MSA-Lookup'!$H$2:$I$86,2)</f>
        <v>5775</v>
      </c>
      <c r="F981" s="0" t="n">
        <f aca="false">IF(C981&gt;1,IF(C981&lt;99,VLOOKUP(C981,'MSA-Lookup'!$H$1:$I$86,2),C981),C981)</f>
        <v>2840</v>
      </c>
      <c r="G981" s="0" t="n">
        <f aca="false">VLOOKUP(E981,'MSA-Lookup'!$AA$1:$AB$25,2)</f>
        <v>7362</v>
      </c>
      <c r="H981" s="0" t="n">
        <f aca="false">IF(C981&gt;1,IF(C981&lt;99,VLOOKUP(F981,'MSA-Lookup'!$AA$1:$AB$25,2),C981),C981)</f>
        <v>2840</v>
      </c>
    </row>
    <row r="982" customFormat="false" ht="12.75" hidden="false" customHeight="false" outlineLevel="0" collapsed="false">
      <c r="A982" s="0" t="n">
        <f aca="false">B982*1000+C982</f>
        <v>21041</v>
      </c>
      <c r="B982" s="0" t="n">
        <v>21</v>
      </c>
      <c r="C982" s="0" t="n">
        <v>41</v>
      </c>
      <c r="D982" s="0" t="n">
        <v>0</v>
      </c>
      <c r="E982" s="0" t="n">
        <f aca="false">VLOOKUP(B982,'MSA-Lookup'!$H$2:$I$86,2)</f>
        <v>5775</v>
      </c>
      <c r="F982" s="0" t="n">
        <f aca="false">IF(C982&gt;1,IF(C982&lt;99,VLOOKUP(C982,'MSA-Lookup'!$H$1:$I$86,2),C982),C982)</f>
        <v>2840</v>
      </c>
      <c r="G982" s="0" t="n">
        <f aca="false">VLOOKUP(E982,'MSA-Lookup'!$AA$1:$AB$25,2)</f>
        <v>7362</v>
      </c>
      <c r="H982" s="0" t="n">
        <f aca="false">IF(C982&gt;1,IF(C982&lt;99,VLOOKUP(F982,'MSA-Lookup'!$AA$1:$AB$25,2),C982),C982)</f>
        <v>2840</v>
      </c>
    </row>
    <row r="983" customFormat="false" ht="12.75" hidden="false" customHeight="false" outlineLevel="0" collapsed="false">
      <c r="A983" s="0" t="n">
        <f aca="false">B983*1000+C983</f>
        <v>21042</v>
      </c>
      <c r="B983" s="0" t="n">
        <v>21</v>
      </c>
      <c r="C983" s="0" t="n">
        <v>42</v>
      </c>
      <c r="D983" s="0" t="n">
        <v>0</v>
      </c>
      <c r="E983" s="0" t="n">
        <f aca="false">VLOOKUP(B983,'MSA-Lookup'!$H$2:$I$86,2)</f>
        <v>5775</v>
      </c>
      <c r="F983" s="0" t="n">
        <f aca="false">IF(C983&gt;1,IF(C983&lt;99,VLOOKUP(C983,'MSA-Lookup'!$H$1:$I$86,2),C983),C983)</f>
        <v>360</v>
      </c>
      <c r="G983" s="0" t="n">
        <f aca="false">VLOOKUP(E983,'MSA-Lookup'!$AA$1:$AB$25,2)</f>
        <v>7362</v>
      </c>
      <c r="H983" s="0" t="n">
        <f aca="false">IF(C983&gt;1,IF(C983&lt;99,VLOOKUP(F983,'MSA-Lookup'!$AA$1:$AB$25,2),C983),C983)</f>
        <v>4472</v>
      </c>
    </row>
    <row r="984" customFormat="false" ht="12.75" hidden="false" customHeight="false" outlineLevel="0" collapsed="false">
      <c r="A984" s="0" t="n">
        <f aca="false">B984*1000+C984</f>
        <v>21043</v>
      </c>
      <c r="B984" s="0" t="n">
        <v>21</v>
      </c>
      <c r="C984" s="0" t="n">
        <v>43</v>
      </c>
      <c r="D984" s="0" t="n">
        <v>65</v>
      </c>
      <c r="E984" s="0" t="n">
        <f aca="false">VLOOKUP(B984,'MSA-Lookup'!$H$2:$I$86,2)</f>
        <v>5775</v>
      </c>
      <c r="F984" s="0" t="n">
        <f aca="false">IF(C984&gt;1,IF(C984&lt;99,VLOOKUP(C984,'MSA-Lookup'!$H$1:$I$86,2),C984),C984)</f>
        <v>360</v>
      </c>
      <c r="G984" s="0" t="n">
        <f aca="false">VLOOKUP(E984,'MSA-Lookup'!$AA$1:$AB$25,2)</f>
        <v>7362</v>
      </c>
      <c r="H984" s="0" t="n">
        <f aca="false">IF(C984&gt;1,IF(C984&lt;99,VLOOKUP(F984,'MSA-Lookup'!$AA$1:$AB$25,2),C984),C984)</f>
        <v>4472</v>
      </c>
    </row>
    <row r="985" customFormat="false" ht="12.75" hidden="false" customHeight="false" outlineLevel="0" collapsed="false">
      <c r="A985" s="0" t="n">
        <f aca="false">B985*1000+C985</f>
        <v>21046</v>
      </c>
      <c r="B985" s="0" t="n">
        <v>21</v>
      </c>
      <c r="C985" s="0" t="n">
        <v>46</v>
      </c>
      <c r="D985" s="0" t="n">
        <v>91</v>
      </c>
      <c r="E985" s="0" t="n">
        <f aca="false">VLOOKUP(B985,'MSA-Lookup'!$H$2:$I$86,2)</f>
        <v>5775</v>
      </c>
      <c r="F985" s="0" t="n">
        <f aca="false">IF(C985&gt;1,IF(C985&lt;99,VLOOKUP(C985,'MSA-Lookup'!$H$1:$I$86,2),C985),C985)</f>
        <v>360</v>
      </c>
      <c r="G985" s="0" t="n">
        <f aca="false">VLOOKUP(E985,'MSA-Lookup'!$AA$1:$AB$25,2)</f>
        <v>7362</v>
      </c>
      <c r="H985" s="0" t="n">
        <f aca="false">IF(C985&gt;1,IF(C985&lt;99,VLOOKUP(F985,'MSA-Lookup'!$AA$1:$AB$25,2),C985),C985)</f>
        <v>4472</v>
      </c>
    </row>
    <row r="986" customFormat="false" ht="12.75" hidden="false" customHeight="false" outlineLevel="0" collapsed="false">
      <c r="A986" s="0" t="n">
        <f aca="false">B986*1000+C986</f>
        <v>21048</v>
      </c>
      <c r="B986" s="0" t="n">
        <v>21</v>
      </c>
      <c r="C986" s="0" t="n">
        <v>48</v>
      </c>
      <c r="D986" s="0" t="n">
        <v>104</v>
      </c>
      <c r="E986" s="0" t="n">
        <f aca="false">VLOOKUP(B986,'MSA-Lookup'!$H$2:$I$86,2)</f>
        <v>5775</v>
      </c>
      <c r="F986" s="0" t="n">
        <f aca="false">IF(C986&gt;1,IF(C986&lt;99,VLOOKUP(C986,'MSA-Lookup'!$H$1:$I$86,2),C986),C986)</f>
        <v>360</v>
      </c>
      <c r="G986" s="0" t="n">
        <f aca="false">VLOOKUP(E986,'MSA-Lookup'!$AA$1:$AB$25,2)</f>
        <v>7362</v>
      </c>
      <c r="H986" s="0" t="n">
        <f aca="false">IF(C986&gt;1,IF(C986&lt;99,VLOOKUP(F986,'MSA-Lookup'!$AA$1:$AB$25,2),C986),C986)</f>
        <v>4472</v>
      </c>
    </row>
    <row r="987" customFormat="false" ht="12.75" hidden="false" customHeight="false" outlineLevel="0" collapsed="false">
      <c r="A987" s="0" t="n">
        <f aca="false">B987*1000+C987</f>
        <v>21049</v>
      </c>
      <c r="B987" s="0" t="n">
        <v>21</v>
      </c>
      <c r="C987" s="0" t="n">
        <v>49</v>
      </c>
      <c r="D987" s="0" t="n">
        <v>23803</v>
      </c>
      <c r="E987" s="0" t="n">
        <f aca="false">VLOOKUP(B987,'MSA-Lookup'!$H$2:$I$86,2)</f>
        <v>5775</v>
      </c>
      <c r="F987" s="0" t="n">
        <f aca="false">IF(C987&gt;1,IF(C987&lt;99,VLOOKUP(C987,'MSA-Lookup'!$H$1:$I$86,2),C987),C987)</f>
        <v>7400</v>
      </c>
      <c r="G987" s="0" t="n">
        <f aca="false">VLOOKUP(E987,'MSA-Lookup'!$AA$1:$AB$25,2)</f>
        <v>7362</v>
      </c>
      <c r="H987" s="0" t="n">
        <f aca="false">IF(C987&gt;1,IF(C987&lt;99,VLOOKUP(F987,'MSA-Lookup'!$AA$1:$AB$25,2),C987),C987)</f>
        <v>7362</v>
      </c>
    </row>
    <row r="988" customFormat="false" ht="12.75" hidden="false" customHeight="false" outlineLevel="0" collapsed="false">
      <c r="A988" s="0" t="n">
        <f aca="false">B988*1000+C988</f>
        <v>21050</v>
      </c>
      <c r="B988" s="0" t="n">
        <v>21</v>
      </c>
      <c r="C988" s="0" t="n">
        <v>50</v>
      </c>
      <c r="D988" s="0" t="n">
        <v>8255</v>
      </c>
      <c r="E988" s="0" t="n">
        <f aca="false">VLOOKUP(B988,'MSA-Lookup'!$H$2:$I$86,2)</f>
        <v>5775</v>
      </c>
      <c r="F988" s="0" t="n">
        <f aca="false">IF(C988&gt;1,IF(C988&lt;99,VLOOKUP(C988,'MSA-Lookup'!$H$1:$I$86,2),C988),C988)</f>
        <v>7400</v>
      </c>
      <c r="G988" s="0" t="n">
        <f aca="false">VLOOKUP(E988,'MSA-Lookup'!$AA$1:$AB$25,2)</f>
        <v>7362</v>
      </c>
      <c r="H988" s="0" t="n">
        <f aca="false">IF(C988&gt;1,IF(C988&lt;99,VLOOKUP(F988,'MSA-Lookup'!$AA$1:$AB$25,2),C988),C988)</f>
        <v>7362</v>
      </c>
    </row>
    <row r="989" customFormat="false" ht="12.75" hidden="false" customHeight="false" outlineLevel="0" collapsed="false">
      <c r="A989" s="0" t="n">
        <f aca="false">B989*1000+C989</f>
        <v>21051</v>
      </c>
      <c r="B989" s="0" t="n">
        <v>21</v>
      </c>
      <c r="C989" s="0" t="n">
        <v>51</v>
      </c>
      <c r="D989" s="0" t="n">
        <v>17420</v>
      </c>
      <c r="E989" s="0" t="n">
        <f aca="false">VLOOKUP(B989,'MSA-Lookup'!$H$2:$I$86,2)</f>
        <v>5775</v>
      </c>
      <c r="F989" s="0" t="n">
        <f aca="false">IF(C989&gt;1,IF(C989&lt;99,VLOOKUP(C989,'MSA-Lookup'!$H$1:$I$86,2),C989),C989)</f>
        <v>7400</v>
      </c>
      <c r="G989" s="0" t="n">
        <f aca="false">VLOOKUP(E989,'MSA-Lookup'!$AA$1:$AB$25,2)</f>
        <v>7362</v>
      </c>
      <c r="H989" s="0" t="n">
        <f aca="false">IF(C989&gt;1,IF(C989&lt;99,VLOOKUP(F989,'MSA-Lookup'!$AA$1:$AB$25,2),C989),C989)</f>
        <v>7362</v>
      </c>
    </row>
    <row r="990" customFormat="false" ht="12.75" hidden="false" customHeight="false" outlineLevel="0" collapsed="false">
      <c r="A990" s="0" t="n">
        <f aca="false">B990*1000+C990</f>
        <v>21052</v>
      </c>
      <c r="B990" s="0" t="n">
        <v>21</v>
      </c>
      <c r="C990" s="0" t="n">
        <v>52</v>
      </c>
      <c r="D990" s="0" t="n">
        <v>65</v>
      </c>
      <c r="E990" s="0" t="n">
        <f aca="false">VLOOKUP(B990,'MSA-Lookup'!$H$2:$I$86,2)</f>
        <v>5775</v>
      </c>
      <c r="F990" s="0" t="n">
        <f aca="false">IF(C990&gt;1,IF(C990&lt;99,VLOOKUP(C990,'MSA-Lookup'!$H$1:$I$86,2),C990),C990)</f>
        <v>4480</v>
      </c>
      <c r="G990" s="0" t="n">
        <f aca="false">VLOOKUP(E990,'MSA-Lookup'!$AA$1:$AB$25,2)</f>
        <v>7362</v>
      </c>
      <c r="H990" s="0" t="n">
        <f aca="false">IF(C990&gt;1,IF(C990&lt;99,VLOOKUP(F990,'MSA-Lookup'!$AA$1:$AB$25,2),C990),C990)</f>
        <v>4472</v>
      </c>
    </row>
    <row r="991" customFormat="false" ht="12.75" hidden="false" customHeight="false" outlineLevel="0" collapsed="false">
      <c r="A991" s="0" t="n">
        <f aca="false">B991*1000+C991</f>
        <v>21053</v>
      </c>
      <c r="B991" s="0" t="n">
        <v>21</v>
      </c>
      <c r="C991" s="0" t="n">
        <v>53</v>
      </c>
      <c r="D991" s="0" t="n">
        <v>117</v>
      </c>
      <c r="E991" s="0" t="n">
        <f aca="false">VLOOKUP(B991,'MSA-Lookup'!$H$2:$I$86,2)</f>
        <v>5775</v>
      </c>
      <c r="F991" s="0" t="n">
        <f aca="false">IF(C991&gt;1,IF(C991&lt;99,VLOOKUP(C991,'MSA-Lookup'!$H$1:$I$86,2),C991),C991)</f>
        <v>4480</v>
      </c>
      <c r="G991" s="0" t="n">
        <f aca="false">VLOOKUP(E991,'MSA-Lookup'!$AA$1:$AB$25,2)</f>
        <v>7362</v>
      </c>
      <c r="H991" s="0" t="n">
        <f aca="false">IF(C991&gt;1,IF(C991&lt;99,VLOOKUP(F991,'MSA-Lookup'!$AA$1:$AB$25,2),C991),C991)</f>
        <v>4472</v>
      </c>
    </row>
    <row r="992" customFormat="false" ht="12.75" hidden="false" customHeight="false" outlineLevel="0" collapsed="false">
      <c r="A992" s="0" t="n">
        <f aca="false">B992*1000+C992</f>
        <v>21054</v>
      </c>
      <c r="B992" s="0" t="n">
        <v>21</v>
      </c>
      <c r="C992" s="0" t="n">
        <v>54</v>
      </c>
      <c r="D992" s="0" t="n">
        <v>104</v>
      </c>
      <c r="E992" s="0" t="n">
        <f aca="false">VLOOKUP(B992,'MSA-Lookup'!$H$2:$I$86,2)</f>
        <v>5775</v>
      </c>
      <c r="F992" s="0" t="n">
        <f aca="false">IF(C992&gt;1,IF(C992&lt;99,VLOOKUP(C992,'MSA-Lookup'!$H$1:$I$86,2),C992),C992)</f>
        <v>4480</v>
      </c>
      <c r="G992" s="0" t="n">
        <f aca="false">VLOOKUP(E992,'MSA-Lookup'!$AA$1:$AB$25,2)</f>
        <v>7362</v>
      </c>
      <c r="H992" s="0" t="n">
        <f aca="false">IF(C992&gt;1,IF(C992&lt;99,VLOOKUP(F992,'MSA-Lookup'!$AA$1:$AB$25,2),C992),C992)</f>
        <v>4472</v>
      </c>
    </row>
    <row r="993" customFormat="false" ht="12.75" hidden="false" customHeight="false" outlineLevel="0" collapsed="false">
      <c r="A993" s="0" t="n">
        <f aca="false">B993*1000+C993</f>
        <v>21055</v>
      </c>
      <c r="B993" s="0" t="n">
        <v>21</v>
      </c>
      <c r="C993" s="0" t="n">
        <v>55</v>
      </c>
      <c r="D993" s="0" t="n">
        <v>0</v>
      </c>
      <c r="E993" s="0" t="n">
        <f aca="false">VLOOKUP(B993,'MSA-Lookup'!$H$2:$I$86,2)</f>
        <v>5775</v>
      </c>
      <c r="F993" s="0" t="n">
        <f aca="false">IF(C993&gt;1,IF(C993&lt;99,VLOOKUP(C993,'MSA-Lookup'!$H$1:$I$86,2),C993),C993)</f>
        <v>4480</v>
      </c>
      <c r="G993" s="0" t="n">
        <f aca="false">VLOOKUP(E993,'MSA-Lookup'!$AA$1:$AB$25,2)</f>
        <v>7362</v>
      </c>
      <c r="H993" s="0" t="n">
        <f aca="false">IF(C993&gt;1,IF(C993&lt;99,VLOOKUP(F993,'MSA-Lookup'!$AA$1:$AB$25,2),C993),C993)</f>
        <v>4472</v>
      </c>
    </row>
    <row r="994" customFormat="false" ht="12.75" hidden="false" customHeight="false" outlineLevel="0" collapsed="false">
      <c r="A994" s="0" t="n">
        <f aca="false">B994*1000+C994</f>
        <v>21057</v>
      </c>
      <c r="B994" s="0" t="n">
        <v>21</v>
      </c>
      <c r="C994" s="0" t="n">
        <v>57</v>
      </c>
      <c r="D994" s="0" t="n">
        <v>0</v>
      </c>
      <c r="E994" s="0" t="n">
        <f aca="false">VLOOKUP(B994,'MSA-Lookup'!$H$2:$I$86,2)</f>
        <v>5775</v>
      </c>
      <c r="F994" s="0" t="n">
        <f aca="false">IF(C994&gt;1,IF(C994&lt;99,VLOOKUP(C994,'MSA-Lookup'!$H$1:$I$86,2),C994),C994)</f>
        <v>4480</v>
      </c>
      <c r="G994" s="0" t="n">
        <f aca="false">VLOOKUP(E994,'MSA-Lookup'!$AA$1:$AB$25,2)</f>
        <v>7362</v>
      </c>
      <c r="H994" s="0" t="n">
        <f aca="false">IF(C994&gt;1,IF(C994&lt;99,VLOOKUP(F994,'MSA-Lookup'!$AA$1:$AB$25,2),C994),C994)</f>
        <v>4472</v>
      </c>
    </row>
    <row r="995" customFormat="false" ht="12.75" hidden="false" customHeight="false" outlineLevel="0" collapsed="false">
      <c r="A995" s="0" t="n">
        <f aca="false">B995*1000+C995</f>
        <v>21059</v>
      </c>
      <c r="B995" s="0" t="n">
        <v>21</v>
      </c>
      <c r="C995" s="0" t="n">
        <v>59</v>
      </c>
      <c r="D995" s="0" t="n">
        <v>91</v>
      </c>
      <c r="E995" s="0" t="n">
        <f aca="false">VLOOKUP(B995,'MSA-Lookup'!$H$2:$I$86,2)</f>
        <v>5775</v>
      </c>
      <c r="F995" s="0" t="n">
        <f aca="false">IF(C995&gt;1,IF(C995&lt;99,VLOOKUP(C995,'MSA-Lookup'!$H$1:$I$86,2),C995),C995)</f>
        <v>4480</v>
      </c>
      <c r="G995" s="0" t="n">
        <f aca="false">VLOOKUP(E995,'MSA-Lookup'!$AA$1:$AB$25,2)</f>
        <v>7362</v>
      </c>
      <c r="H995" s="0" t="n">
        <f aca="false">IF(C995&gt;1,IF(C995&lt;99,VLOOKUP(F995,'MSA-Lookup'!$AA$1:$AB$25,2),C995),C995)</f>
        <v>4472</v>
      </c>
    </row>
    <row r="996" customFormat="false" ht="12.75" hidden="false" customHeight="false" outlineLevel="0" collapsed="false">
      <c r="A996" s="0" t="n">
        <f aca="false">B996*1000+C996</f>
        <v>21060</v>
      </c>
      <c r="B996" s="0" t="n">
        <v>21</v>
      </c>
      <c r="C996" s="0" t="n">
        <v>60</v>
      </c>
      <c r="D996" s="0" t="n">
        <v>0</v>
      </c>
      <c r="E996" s="0" t="n">
        <f aca="false">VLOOKUP(B996,'MSA-Lookup'!$H$2:$I$86,2)</f>
        <v>5775</v>
      </c>
      <c r="F996" s="0" t="n">
        <f aca="false">IF(C996&gt;1,IF(C996&lt;99,VLOOKUP(C996,'MSA-Lookup'!$H$1:$I$86,2),C996),C996)</f>
        <v>4480</v>
      </c>
      <c r="G996" s="0" t="n">
        <f aca="false">VLOOKUP(E996,'MSA-Lookup'!$AA$1:$AB$25,2)</f>
        <v>7362</v>
      </c>
      <c r="H996" s="0" t="n">
        <f aca="false">IF(C996&gt;1,IF(C996&lt;99,VLOOKUP(F996,'MSA-Lookup'!$AA$1:$AB$25,2),C996),C996)</f>
        <v>4472</v>
      </c>
    </row>
    <row r="997" customFormat="false" ht="12.75" hidden="false" customHeight="false" outlineLevel="0" collapsed="false">
      <c r="A997" s="0" t="n">
        <f aca="false">B997*1000+C997</f>
        <v>21062</v>
      </c>
      <c r="B997" s="0" t="n">
        <v>21</v>
      </c>
      <c r="C997" s="0" t="n">
        <v>62</v>
      </c>
      <c r="D997" s="0" t="n">
        <v>0</v>
      </c>
      <c r="E997" s="0" t="n">
        <f aca="false">VLOOKUP(B997,'MSA-Lookup'!$H$2:$I$86,2)</f>
        <v>5775</v>
      </c>
      <c r="F997" s="0" t="n">
        <f aca="false">IF(C997&gt;1,IF(C997&lt;99,VLOOKUP(C997,'MSA-Lookup'!$H$1:$I$86,2),C997),C997)</f>
        <v>4480</v>
      </c>
      <c r="G997" s="0" t="n">
        <f aca="false">VLOOKUP(E997,'MSA-Lookup'!$AA$1:$AB$25,2)</f>
        <v>7362</v>
      </c>
      <c r="H997" s="0" t="n">
        <f aca="false">IF(C997&gt;1,IF(C997&lt;99,VLOOKUP(F997,'MSA-Lookup'!$AA$1:$AB$25,2),C997),C997)</f>
        <v>4472</v>
      </c>
    </row>
    <row r="998" customFormat="false" ht="12.75" hidden="false" customHeight="false" outlineLevel="0" collapsed="false">
      <c r="A998" s="0" t="n">
        <f aca="false">B998*1000+C998</f>
        <v>21064</v>
      </c>
      <c r="B998" s="0" t="n">
        <v>21</v>
      </c>
      <c r="C998" s="0" t="n">
        <v>64</v>
      </c>
      <c r="D998" s="0" t="n">
        <v>546</v>
      </c>
      <c r="E998" s="0" t="n">
        <f aca="false">VLOOKUP(B998,'MSA-Lookup'!$H$2:$I$86,2)</f>
        <v>5775</v>
      </c>
      <c r="F998" s="0" t="n">
        <f aca="false">IF(C998&gt;1,IF(C998&lt;99,VLOOKUP(C998,'MSA-Lookup'!$H$1:$I$86,2),C998),C998)</f>
        <v>4480</v>
      </c>
      <c r="G998" s="0" t="n">
        <f aca="false">VLOOKUP(E998,'MSA-Lookup'!$AA$1:$AB$25,2)</f>
        <v>7362</v>
      </c>
      <c r="H998" s="0" t="n">
        <f aca="false">IF(C998&gt;1,IF(C998&lt;99,VLOOKUP(F998,'MSA-Lookup'!$AA$1:$AB$25,2),C998),C998)</f>
        <v>4472</v>
      </c>
    </row>
    <row r="999" customFormat="false" ht="12.75" hidden="false" customHeight="false" outlineLevel="0" collapsed="false">
      <c r="A999" s="0" t="n">
        <f aca="false">B999*1000+C999</f>
        <v>21065</v>
      </c>
      <c r="B999" s="0" t="n">
        <v>21</v>
      </c>
      <c r="C999" s="0" t="n">
        <v>65</v>
      </c>
      <c r="D999" s="0" t="n">
        <v>247</v>
      </c>
      <c r="E999" s="0" t="n">
        <f aca="false">VLOOKUP(B999,'MSA-Lookup'!$H$2:$I$86,2)</f>
        <v>5775</v>
      </c>
      <c r="F999" s="0" t="n">
        <f aca="false">IF(C999&gt;1,IF(C999&lt;99,VLOOKUP(C999,'MSA-Lookup'!$H$1:$I$86,2),C999),C999)</f>
        <v>4480</v>
      </c>
      <c r="G999" s="0" t="n">
        <f aca="false">VLOOKUP(E999,'MSA-Lookup'!$AA$1:$AB$25,2)</f>
        <v>7362</v>
      </c>
      <c r="H999" s="0" t="n">
        <f aca="false">IF(C999&gt;1,IF(C999&lt;99,VLOOKUP(F999,'MSA-Lookup'!$AA$1:$AB$25,2),C999),C999)</f>
        <v>4472</v>
      </c>
    </row>
    <row r="1000" customFormat="false" ht="12.75" hidden="false" customHeight="false" outlineLevel="0" collapsed="false">
      <c r="A1000" s="0" t="n">
        <f aca="false">B1000*1000+C1000</f>
        <v>21066</v>
      </c>
      <c r="B1000" s="0" t="n">
        <v>21</v>
      </c>
      <c r="C1000" s="0" t="n">
        <v>66</v>
      </c>
      <c r="D1000" s="0" t="n">
        <v>0</v>
      </c>
      <c r="E1000" s="0" t="n">
        <f aca="false">VLOOKUP(B1000,'MSA-Lookup'!$H$2:$I$86,2)</f>
        <v>5775</v>
      </c>
      <c r="F1000" s="0" t="n">
        <f aca="false">IF(C1000&gt;1,IF(C1000&lt;99,VLOOKUP(C1000,'MSA-Lookup'!$H$1:$I$86,2),C1000),C1000)</f>
        <v>4480</v>
      </c>
      <c r="G1000" s="0" t="n">
        <f aca="false">VLOOKUP(E1000,'MSA-Lookup'!$AA$1:$AB$25,2)</f>
        <v>7362</v>
      </c>
      <c r="H1000" s="0" t="n">
        <f aca="false">IF(C1000&gt;1,IF(C1000&lt;99,VLOOKUP(F1000,'MSA-Lookup'!$AA$1:$AB$25,2),C1000),C1000)</f>
        <v>4472</v>
      </c>
    </row>
    <row r="1001" customFormat="false" ht="12.75" hidden="false" customHeight="false" outlineLevel="0" collapsed="false">
      <c r="A1001" s="0" t="n">
        <f aca="false">B1001*1000+C1001</f>
        <v>21067</v>
      </c>
      <c r="B1001" s="0" t="n">
        <v>21</v>
      </c>
      <c r="C1001" s="0" t="n">
        <v>67</v>
      </c>
      <c r="D1001" s="0" t="n">
        <v>0</v>
      </c>
      <c r="E1001" s="0" t="n">
        <f aca="false">VLOOKUP(B1001,'MSA-Lookup'!$H$2:$I$86,2)</f>
        <v>5775</v>
      </c>
      <c r="F1001" s="0" t="n">
        <f aca="false">IF(C1001&gt;1,IF(C1001&lt;99,VLOOKUP(C1001,'MSA-Lookup'!$H$1:$I$86,2),C1001),C1001)</f>
        <v>6000</v>
      </c>
      <c r="G1001" s="0" t="n">
        <f aca="false">VLOOKUP(E1001,'MSA-Lookup'!$AA$1:$AB$25,2)</f>
        <v>7362</v>
      </c>
      <c r="H1001" s="0" t="n">
        <f aca="false">IF(C1001&gt;1,IF(C1001&lt;99,VLOOKUP(F1001,'MSA-Lookup'!$AA$1:$AB$25,2),C1001),C1001)</f>
        <v>4472</v>
      </c>
    </row>
    <row r="1002" customFormat="false" ht="12.75" hidden="false" customHeight="false" outlineLevel="0" collapsed="false">
      <c r="A1002" s="0" t="n">
        <f aca="false">B1002*1000+C1002</f>
        <v>21069</v>
      </c>
      <c r="B1002" s="0" t="n">
        <v>21</v>
      </c>
      <c r="C1002" s="0" t="n">
        <v>69</v>
      </c>
      <c r="D1002" s="0" t="n">
        <v>0</v>
      </c>
      <c r="E1002" s="0" t="n">
        <f aca="false">VLOOKUP(B1002,'MSA-Lookup'!$H$2:$I$86,2)</f>
        <v>5775</v>
      </c>
      <c r="F1002" s="0" t="n">
        <f aca="false">IF(C1002&gt;1,IF(C1002&lt;99,VLOOKUP(C1002,'MSA-Lookup'!$H$1:$I$86,2),C1002),C1002)</f>
        <v>6780</v>
      </c>
      <c r="G1002" s="0" t="n">
        <f aca="false">VLOOKUP(E1002,'MSA-Lookup'!$AA$1:$AB$25,2)</f>
        <v>7362</v>
      </c>
      <c r="H1002" s="0" t="n">
        <f aca="false">IF(C1002&gt;1,IF(C1002&lt;99,VLOOKUP(F1002,'MSA-Lookup'!$AA$1:$AB$25,2),C1002),C1002)</f>
        <v>4472</v>
      </c>
    </row>
    <row r="1003" customFormat="false" ht="12.75" hidden="false" customHeight="false" outlineLevel="0" collapsed="false">
      <c r="A1003" s="0" t="n">
        <f aca="false">B1003*1000+C1003</f>
        <v>21071</v>
      </c>
      <c r="B1003" s="0" t="n">
        <v>21</v>
      </c>
      <c r="C1003" s="0" t="n">
        <v>71</v>
      </c>
      <c r="D1003" s="0" t="n">
        <v>0</v>
      </c>
      <c r="E1003" s="0" t="n">
        <f aca="false">VLOOKUP(B1003,'MSA-Lookup'!$H$2:$I$86,2)</f>
        <v>5775</v>
      </c>
      <c r="F1003" s="0" t="n">
        <f aca="false">IF(C1003&gt;1,IF(C1003&lt;99,VLOOKUP(C1003,'MSA-Lookup'!$H$1:$I$86,2),C1003),C1003)</f>
        <v>6780</v>
      </c>
      <c r="G1003" s="0" t="n">
        <f aca="false">VLOOKUP(E1003,'MSA-Lookup'!$AA$1:$AB$25,2)</f>
        <v>7362</v>
      </c>
      <c r="H1003" s="0" t="n">
        <f aca="false">IF(C1003&gt;1,IF(C1003&lt;99,VLOOKUP(F1003,'MSA-Lookup'!$AA$1:$AB$25,2),C1003),C1003)</f>
        <v>4472</v>
      </c>
    </row>
    <row r="1004" customFormat="false" ht="12.75" hidden="false" customHeight="false" outlineLevel="0" collapsed="false">
      <c r="A1004" s="0" t="n">
        <f aca="false">B1004*1000+C1004</f>
        <v>21072</v>
      </c>
      <c r="B1004" s="0" t="n">
        <v>21</v>
      </c>
      <c r="C1004" s="0" t="n">
        <v>72</v>
      </c>
      <c r="D1004" s="0" t="n">
        <v>0</v>
      </c>
      <c r="E1004" s="0" t="n">
        <f aca="false">VLOOKUP(B1004,'MSA-Lookup'!$H$2:$I$86,2)</f>
        <v>5775</v>
      </c>
      <c r="F1004" s="0" t="n">
        <f aca="false">IF(C1004&gt;1,IF(C1004&lt;99,VLOOKUP(C1004,'MSA-Lookup'!$H$1:$I$86,2),C1004),C1004)</f>
        <v>6780</v>
      </c>
      <c r="G1004" s="0" t="n">
        <f aca="false">VLOOKUP(E1004,'MSA-Lookup'!$AA$1:$AB$25,2)</f>
        <v>7362</v>
      </c>
      <c r="H1004" s="0" t="n">
        <f aca="false">IF(C1004&gt;1,IF(C1004&lt;99,VLOOKUP(F1004,'MSA-Lookup'!$AA$1:$AB$25,2),C1004),C1004)</f>
        <v>4472</v>
      </c>
    </row>
    <row r="1005" customFormat="false" ht="12.75" hidden="false" customHeight="false" outlineLevel="0" collapsed="false">
      <c r="A1005" s="0" t="n">
        <f aca="false">B1005*1000+C1005</f>
        <v>21073</v>
      </c>
      <c r="B1005" s="0" t="n">
        <v>21</v>
      </c>
      <c r="C1005" s="0" t="n">
        <v>73</v>
      </c>
      <c r="D1005" s="0" t="n">
        <v>234</v>
      </c>
      <c r="E1005" s="0" t="n">
        <f aca="false">VLOOKUP(B1005,'MSA-Lookup'!$H$2:$I$86,2)</f>
        <v>5775</v>
      </c>
      <c r="F1005" s="0" t="n">
        <f aca="false">IF(C1005&gt;1,IF(C1005&lt;99,VLOOKUP(C1005,'MSA-Lookup'!$H$1:$I$86,2),C1005),C1005)</f>
        <v>8720</v>
      </c>
      <c r="G1005" s="0" t="n">
        <f aca="false">VLOOKUP(E1005,'MSA-Lookup'!$AA$1:$AB$25,2)</f>
        <v>7362</v>
      </c>
      <c r="H1005" s="0" t="n">
        <f aca="false">IF(C1005&gt;1,IF(C1005&lt;99,VLOOKUP(F1005,'MSA-Lookup'!$AA$1:$AB$25,2),C1005),C1005)</f>
        <v>7362</v>
      </c>
    </row>
    <row r="1006" customFormat="false" ht="12.75" hidden="false" customHeight="false" outlineLevel="0" collapsed="false">
      <c r="A1006" s="0" t="n">
        <f aca="false">B1006*1000+C1006</f>
        <v>21075</v>
      </c>
      <c r="B1006" s="0" t="n">
        <v>21</v>
      </c>
      <c r="C1006" s="0" t="n">
        <v>75</v>
      </c>
      <c r="D1006" s="0" t="n">
        <v>0</v>
      </c>
      <c r="E1006" s="0" t="n">
        <f aca="false">VLOOKUP(B1006,'MSA-Lookup'!$H$2:$I$86,2)</f>
        <v>5775</v>
      </c>
      <c r="F1006" s="0" t="n">
        <f aca="false">IF(C1006&gt;1,IF(C1006&lt;99,VLOOKUP(C1006,'MSA-Lookup'!$H$1:$I$86,2),C1006),C1006)</f>
        <v>8780</v>
      </c>
      <c r="G1006" s="0" t="n">
        <f aca="false">VLOOKUP(E1006,'MSA-Lookup'!$AA$1:$AB$25,2)</f>
        <v>7362</v>
      </c>
      <c r="H1006" s="0" t="n">
        <f aca="false">IF(C1006&gt;1,IF(C1006&lt;99,VLOOKUP(F1006,'MSA-Lookup'!$AA$1:$AB$25,2),C1006),C1006)</f>
        <v>8780</v>
      </c>
    </row>
    <row r="1007" customFormat="false" ht="12.75" hidden="false" customHeight="false" outlineLevel="0" collapsed="false">
      <c r="A1007" s="0" t="n">
        <f aca="false">B1007*1000+C1007</f>
        <v>21076</v>
      </c>
      <c r="B1007" s="0" t="n">
        <v>21</v>
      </c>
      <c r="C1007" s="0" t="n">
        <v>76</v>
      </c>
      <c r="D1007" s="0" t="n">
        <v>442</v>
      </c>
      <c r="E1007" s="0" t="n">
        <f aca="false">VLOOKUP(B1007,'MSA-Lookup'!$H$2:$I$86,2)</f>
        <v>5775</v>
      </c>
      <c r="F1007" s="0" t="n">
        <f aca="false">IF(C1007&gt;1,IF(C1007&lt;99,VLOOKUP(C1007,'MSA-Lookup'!$H$1:$I$86,2),C1007),C1007)</f>
        <v>7485</v>
      </c>
      <c r="G1007" s="0" t="n">
        <f aca="false">VLOOKUP(E1007,'MSA-Lookup'!$AA$1:$AB$25,2)</f>
        <v>7362</v>
      </c>
      <c r="H1007" s="0" t="n">
        <f aca="false">IF(C1007&gt;1,IF(C1007&lt;99,VLOOKUP(F1007,'MSA-Lookup'!$AA$1:$AB$25,2),C1007),C1007)</f>
        <v>7362</v>
      </c>
    </row>
    <row r="1008" customFormat="false" ht="12.75" hidden="false" customHeight="false" outlineLevel="0" collapsed="false">
      <c r="A1008" s="0" t="n">
        <f aca="false">B1008*1000+C1008</f>
        <v>21079</v>
      </c>
      <c r="B1008" s="0" t="n">
        <v>21</v>
      </c>
      <c r="C1008" s="0" t="n">
        <v>79</v>
      </c>
      <c r="D1008" s="0" t="n">
        <v>0</v>
      </c>
      <c r="E1008" s="0" t="n">
        <f aca="false">VLOOKUP(B1008,'MSA-Lookup'!$H$2:$I$86,2)</f>
        <v>5775</v>
      </c>
      <c r="F1008" s="0" t="n">
        <f aca="false">IF(C1008&gt;1,IF(C1008&lt;99,VLOOKUP(C1008,'MSA-Lookup'!$H$1:$I$86,2),C1008),C1008)</f>
        <v>680</v>
      </c>
      <c r="G1008" s="0" t="n">
        <f aca="false">VLOOKUP(E1008,'MSA-Lookup'!$AA$1:$AB$25,2)</f>
        <v>7362</v>
      </c>
      <c r="H1008" s="0" t="n">
        <f aca="false">IF(C1008&gt;1,IF(C1008&lt;99,VLOOKUP(F1008,'MSA-Lookup'!$AA$1:$AB$25,2),C1008),C1008)</f>
        <v>680</v>
      </c>
    </row>
    <row r="1009" customFormat="false" ht="12.75" hidden="false" customHeight="false" outlineLevel="0" collapsed="false">
      <c r="A1009" s="0" t="n">
        <f aca="false">B1009*1000+C1009</f>
        <v>21080</v>
      </c>
      <c r="B1009" s="0" t="n">
        <v>21</v>
      </c>
      <c r="C1009" s="0" t="n">
        <v>80</v>
      </c>
      <c r="D1009" s="0" t="n">
        <v>0</v>
      </c>
      <c r="E1009" s="0" t="n">
        <f aca="false">VLOOKUP(B1009,'MSA-Lookup'!$H$2:$I$86,2)</f>
        <v>5775</v>
      </c>
      <c r="F1009" s="0" t="n">
        <f aca="false">IF(C1009&gt;1,IF(C1009&lt;99,VLOOKUP(C1009,'MSA-Lookup'!$H$1:$I$86,2),C1009),C1009)</f>
        <v>9999</v>
      </c>
      <c r="G1009" s="0" t="n">
        <f aca="false">VLOOKUP(E1009,'MSA-Lookup'!$AA$1:$AB$25,2)</f>
        <v>7362</v>
      </c>
      <c r="H1009" s="0" t="n">
        <f aca="false">IF(C1009&gt;1,IF(C1009&lt;99,VLOOKUP(F1009,'MSA-Lookup'!$AA$1:$AB$25,2),C1009),C1009)</f>
        <v>9999</v>
      </c>
    </row>
    <row r="1010" customFormat="false" ht="12.75" hidden="false" customHeight="false" outlineLevel="0" collapsed="false">
      <c r="A1010" s="0" t="n">
        <f aca="false">B1010*1000+C1010</f>
        <v>21082</v>
      </c>
      <c r="B1010" s="0" t="n">
        <v>21</v>
      </c>
      <c r="C1010" s="0" t="n">
        <v>82</v>
      </c>
      <c r="D1010" s="0" t="n">
        <v>0</v>
      </c>
      <c r="E1010" s="0" t="n">
        <f aca="false">VLOOKUP(B1010,'MSA-Lookup'!$H$2:$I$86,2)</f>
        <v>5775</v>
      </c>
      <c r="F1010" s="0" t="n">
        <f aca="false">IF(C1010&gt;1,IF(C1010&lt;99,VLOOKUP(C1010,'MSA-Lookup'!$H$1:$I$86,2),C1010),C1010)</f>
        <v>6780</v>
      </c>
      <c r="G1010" s="0" t="n">
        <f aca="false">VLOOKUP(E1010,'MSA-Lookup'!$AA$1:$AB$25,2)</f>
        <v>7362</v>
      </c>
      <c r="H1010" s="0" t="n">
        <f aca="false">IF(C1010&gt;1,IF(C1010&lt;99,VLOOKUP(F1010,'MSA-Lookup'!$AA$1:$AB$25,2),C1010),C1010)</f>
        <v>4472</v>
      </c>
    </row>
    <row r="1011" customFormat="false" ht="12.75" hidden="false" customHeight="false" outlineLevel="0" collapsed="false">
      <c r="A1011" s="0" t="n">
        <f aca="false">B1011*1000+C1011</f>
        <v>21085</v>
      </c>
      <c r="B1011" s="0" t="n">
        <v>21</v>
      </c>
      <c r="C1011" s="0" t="n">
        <v>85</v>
      </c>
      <c r="D1011" s="0" t="n">
        <v>0</v>
      </c>
      <c r="E1011" s="0" t="n">
        <f aca="false">VLOOKUP(B1011,'MSA-Lookup'!$H$2:$I$86,2)</f>
        <v>5775</v>
      </c>
      <c r="F1011" s="0" t="n">
        <f aca="false">IF(C1011&gt;1,IF(C1011&lt;99,VLOOKUP(C1011,'MSA-Lookup'!$H$1:$I$86,2),C1011),C1011)</f>
        <v>8120</v>
      </c>
      <c r="G1011" s="0" t="n">
        <f aca="false">VLOOKUP(E1011,'MSA-Lookup'!$AA$1:$AB$25,2)</f>
        <v>7362</v>
      </c>
      <c r="H1011" s="0" t="n">
        <f aca="false">IF(C1011&gt;1,IF(C1011&lt;99,VLOOKUP(F1011,'MSA-Lookup'!$AA$1:$AB$25,2),C1011),C1011)</f>
        <v>8120</v>
      </c>
    </row>
    <row r="1012" customFormat="false" ht="12.75" hidden="false" customHeight="false" outlineLevel="0" collapsed="false">
      <c r="A1012" s="0" t="n">
        <f aca="false">B1012*1000+C1012</f>
        <v>21858</v>
      </c>
      <c r="B1012" s="0" t="n">
        <v>21</v>
      </c>
      <c r="C1012" s="0" t="n">
        <v>858</v>
      </c>
      <c r="D1012" s="0" t="n">
        <v>0</v>
      </c>
      <c r="E1012" s="0" t="n">
        <f aca="false">VLOOKUP(B1012,'MSA-Lookup'!$H$2:$I$86,2)</f>
        <v>5775</v>
      </c>
      <c r="F1012" s="0" t="n">
        <f aca="false">IF(C1012&gt;1,IF(C1012&lt;99,VLOOKUP(C1012,'MSA-Lookup'!$H$1:$I$86,2),C1012),C1012)</f>
        <v>858</v>
      </c>
      <c r="G1012" s="0" t="n">
        <f aca="false">VLOOKUP(E1012,'MSA-Lookup'!$AA$1:$AB$25,2)</f>
        <v>7362</v>
      </c>
      <c r="H1012" s="0" t="n">
        <f aca="false">IF(C1012&gt;1,IF(C1012&lt;99,VLOOKUP(F1012,'MSA-Lookup'!$AA$1:$AB$25,2),C1012),C1012)</f>
        <v>858</v>
      </c>
    </row>
    <row r="1013" customFormat="false" ht="12.75" hidden="false" customHeight="false" outlineLevel="0" collapsed="false">
      <c r="A1013" s="0" t="n">
        <f aca="false">B1013*1000+C1013</f>
        <v>21999</v>
      </c>
      <c r="B1013" s="0" t="n">
        <v>21</v>
      </c>
      <c r="C1013" s="0" t="n">
        <v>999</v>
      </c>
      <c r="D1013" s="0" t="n">
        <v>403</v>
      </c>
      <c r="E1013" s="0" t="n">
        <f aca="false">VLOOKUP(B1013,'MSA-Lookup'!$H$2:$I$86,2)</f>
        <v>5775</v>
      </c>
      <c r="F1013" s="0" t="n">
        <f aca="false">IF(C1013&gt;1,IF(C1013&lt;99,VLOOKUP(C1013,'MSA-Lookup'!$H$1:$I$86,2),C1013),C1013)</f>
        <v>999</v>
      </c>
      <c r="G1013" s="0" t="n">
        <f aca="false">VLOOKUP(E1013,'MSA-Lookup'!$AA$1:$AB$25,2)</f>
        <v>7362</v>
      </c>
      <c r="H1013" s="0" t="n">
        <f aca="false">IF(C1013&gt;1,IF(C1013&lt;99,VLOOKUP(F1013,'MSA-Lookup'!$AA$1:$AB$25,2),C1013),C1013)</f>
        <v>999</v>
      </c>
    </row>
    <row r="1014" customFormat="false" ht="12.75" hidden="false" customHeight="false" outlineLevel="0" collapsed="false">
      <c r="A1014" s="0" t="n">
        <f aca="false">B1014*1000+C1014</f>
        <v>22000</v>
      </c>
      <c r="B1014" s="0" t="n">
        <v>22</v>
      </c>
      <c r="C1014" s="0" t="n">
        <v>0</v>
      </c>
      <c r="D1014" s="0" t="n">
        <v>313391</v>
      </c>
      <c r="E1014" s="0" t="n">
        <f aca="false">VLOOKUP(B1014,'MSA-Lookup'!$H$2:$I$86,2)</f>
        <v>7360</v>
      </c>
      <c r="F1014" s="0" t="n">
        <f aca="false">IF(C1014&gt;1,IF(C1014&lt;99,VLOOKUP(C1014,'MSA-Lookup'!$H$1:$I$86,2),C1014),C1014)</f>
        <v>0</v>
      </c>
      <c r="G1014" s="0" t="n">
        <f aca="false">VLOOKUP(E1014,'MSA-Lookup'!$AA$1:$AB$25,2)</f>
        <v>7362</v>
      </c>
      <c r="H1014" s="0" t="n">
        <f aca="false">IF(C1014&gt;1,IF(C1014&lt;99,VLOOKUP(F1014,'MSA-Lookup'!$AA$1:$AB$25,2),C1014),C1014)</f>
        <v>0</v>
      </c>
    </row>
    <row r="1015" customFormat="false" ht="12.75" hidden="false" customHeight="false" outlineLevel="0" collapsed="false">
      <c r="A1015" s="0" t="n">
        <f aca="false">B1015*1000+C1015</f>
        <v>22001</v>
      </c>
      <c r="B1015" s="0" t="n">
        <v>22</v>
      </c>
      <c r="C1015" s="0" t="n">
        <v>1</v>
      </c>
      <c r="D1015" s="0" t="n">
        <v>169</v>
      </c>
      <c r="E1015" s="0" t="n">
        <f aca="false">VLOOKUP(B1015,'MSA-Lookup'!$H$2:$I$86,2)</f>
        <v>7360</v>
      </c>
      <c r="F1015" s="0" t="n">
        <f aca="false">IF(C1015&gt;1,IF(C1015&lt;99,VLOOKUP(C1015,'MSA-Lookup'!$H$1:$I$86,2),C1015),C1015)</f>
        <v>1</v>
      </c>
      <c r="G1015" s="0" t="n">
        <f aca="false">VLOOKUP(E1015,'MSA-Lookup'!$AA$1:$AB$25,2)</f>
        <v>7362</v>
      </c>
      <c r="H1015" s="0" t="n">
        <f aca="false">IF(C1015&gt;1,IF(C1015&lt;99,VLOOKUP(F1015,'MSA-Lookup'!$AA$1:$AB$25,2),C1015),C1015)</f>
        <v>1</v>
      </c>
    </row>
    <row r="1016" customFormat="false" ht="12.75" hidden="false" customHeight="false" outlineLevel="0" collapsed="false">
      <c r="A1016" s="0" t="n">
        <f aca="false">B1016*1000+C1016</f>
        <v>22002</v>
      </c>
      <c r="B1016" s="0" t="n">
        <v>22</v>
      </c>
      <c r="C1016" s="0" t="n">
        <v>2</v>
      </c>
      <c r="D1016" s="0" t="n">
        <v>0</v>
      </c>
      <c r="E1016" s="0" t="n">
        <f aca="false">VLOOKUP(B1016,'MSA-Lookup'!$H$2:$I$86,2)</f>
        <v>7360</v>
      </c>
      <c r="F1016" s="0" t="n">
        <f aca="false">IF(C1016&gt;1,IF(C1016&lt;99,VLOOKUP(C1016,'MSA-Lookup'!$H$1:$I$86,2),C1016),C1016)</f>
        <v>9999</v>
      </c>
      <c r="G1016" s="0" t="n">
        <f aca="false">VLOOKUP(E1016,'MSA-Lookup'!$AA$1:$AB$25,2)</f>
        <v>7362</v>
      </c>
      <c r="H1016" s="0" t="n">
        <f aca="false">IF(C1016&gt;1,IF(C1016&lt;99,VLOOKUP(F1016,'MSA-Lookup'!$AA$1:$AB$25,2),C1016),C1016)</f>
        <v>9999</v>
      </c>
    </row>
    <row r="1017" customFormat="false" ht="12.75" hidden="false" customHeight="false" outlineLevel="0" collapsed="false">
      <c r="A1017" s="0" t="n">
        <f aca="false">B1017*1000+C1017</f>
        <v>22003</v>
      </c>
      <c r="B1017" s="0" t="n">
        <v>22</v>
      </c>
      <c r="C1017" s="0" t="n">
        <v>3</v>
      </c>
      <c r="D1017" s="0" t="n">
        <v>221</v>
      </c>
      <c r="E1017" s="0" t="n">
        <f aca="false">VLOOKUP(B1017,'MSA-Lookup'!$H$2:$I$86,2)</f>
        <v>7360</v>
      </c>
      <c r="F1017" s="0" t="n">
        <f aca="false">IF(C1017&gt;1,IF(C1017&lt;99,VLOOKUP(C1017,'MSA-Lookup'!$H$1:$I$86,2),C1017),C1017)</f>
        <v>6690</v>
      </c>
      <c r="G1017" s="0" t="n">
        <f aca="false">VLOOKUP(E1017,'MSA-Lookup'!$AA$1:$AB$25,2)</f>
        <v>7362</v>
      </c>
      <c r="H1017" s="0" t="n">
        <f aca="false">IF(C1017&gt;1,IF(C1017&lt;99,VLOOKUP(F1017,'MSA-Lookup'!$AA$1:$AB$25,2),C1017),C1017)</f>
        <v>6690</v>
      </c>
    </row>
    <row r="1018" customFormat="false" ht="12.75" hidden="false" customHeight="false" outlineLevel="0" collapsed="false">
      <c r="A1018" s="0" t="n">
        <f aca="false">B1018*1000+C1018</f>
        <v>22004</v>
      </c>
      <c r="B1018" s="0" t="n">
        <v>22</v>
      </c>
      <c r="C1018" s="0" t="n">
        <v>4</v>
      </c>
      <c r="D1018" s="0" t="n">
        <v>0</v>
      </c>
      <c r="E1018" s="0" t="n">
        <f aca="false">VLOOKUP(B1018,'MSA-Lookup'!$H$2:$I$86,2)</f>
        <v>7360</v>
      </c>
      <c r="F1018" s="0" t="n">
        <f aca="false">IF(C1018&gt;1,IF(C1018&lt;99,VLOOKUP(C1018,'MSA-Lookup'!$H$1:$I$86,2),C1018),C1018)</f>
        <v>9999</v>
      </c>
      <c r="G1018" s="0" t="n">
        <f aca="false">VLOOKUP(E1018,'MSA-Lookup'!$AA$1:$AB$25,2)</f>
        <v>7362</v>
      </c>
      <c r="H1018" s="0" t="n">
        <f aca="false">IF(C1018&gt;1,IF(C1018&lt;99,VLOOKUP(F1018,'MSA-Lookup'!$AA$1:$AB$25,2),C1018),C1018)</f>
        <v>9999</v>
      </c>
    </row>
    <row r="1019" customFormat="false" ht="12.75" hidden="false" customHeight="false" outlineLevel="0" collapsed="false">
      <c r="A1019" s="0" t="n">
        <f aca="false">B1019*1000+C1019</f>
        <v>22005</v>
      </c>
      <c r="B1019" s="0" t="n">
        <v>22</v>
      </c>
      <c r="C1019" s="0" t="n">
        <v>5</v>
      </c>
      <c r="D1019" s="0" t="n">
        <v>182</v>
      </c>
      <c r="E1019" s="0" t="n">
        <f aca="false">VLOOKUP(B1019,'MSA-Lookup'!$H$2:$I$86,2)</f>
        <v>7360</v>
      </c>
      <c r="F1019" s="0" t="n">
        <f aca="false">IF(C1019&gt;1,IF(C1019&lt;99,VLOOKUP(C1019,'MSA-Lookup'!$H$1:$I$86,2),C1019),C1019)</f>
        <v>9999</v>
      </c>
      <c r="G1019" s="0" t="n">
        <f aca="false">VLOOKUP(E1019,'MSA-Lookup'!$AA$1:$AB$25,2)</f>
        <v>7362</v>
      </c>
      <c r="H1019" s="0" t="n">
        <f aca="false">IF(C1019&gt;1,IF(C1019&lt;99,VLOOKUP(F1019,'MSA-Lookup'!$AA$1:$AB$25,2),C1019),C1019)</f>
        <v>9999</v>
      </c>
    </row>
    <row r="1020" customFormat="false" ht="12.75" hidden="false" customHeight="false" outlineLevel="0" collapsed="false">
      <c r="A1020" s="0" t="n">
        <f aca="false">B1020*1000+C1020</f>
        <v>22006</v>
      </c>
      <c r="B1020" s="0" t="n">
        <v>22</v>
      </c>
      <c r="C1020" s="0" t="n">
        <v>6</v>
      </c>
      <c r="D1020" s="0" t="n">
        <v>0</v>
      </c>
      <c r="E1020" s="0" t="n">
        <f aca="false">VLOOKUP(B1020,'MSA-Lookup'!$H$2:$I$86,2)</f>
        <v>7360</v>
      </c>
      <c r="F1020" s="0" t="n">
        <f aca="false">IF(C1020&gt;1,IF(C1020&lt;99,VLOOKUP(C1020,'MSA-Lookup'!$H$1:$I$86,2),C1020),C1020)</f>
        <v>1620</v>
      </c>
      <c r="G1020" s="0" t="n">
        <f aca="false">VLOOKUP(E1020,'MSA-Lookup'!$AA$1:$AB$25,2)</f>
        <v>7362</v>
      </c>
      <c r="H1020" s="0" t="n">
        <f aca="false">IF(C1020&gt;1,IF(C1020&lt;99,VLOOKUP(F1020,'MSA-Lookup'!$AA$1:$AB$25,2),C1020),C1020)</f>
        <v>1620</v>
      </c>
    </row>
    <row r="1021" customFormat="false" ht="12.75" hidden="false" customHeight="false" outlineLevel="0" collapsed="false">
      <c r="A1021" s="0" t="n">
        <f aca="false">B1021*1000+C1021</f>
        <v>22007</v>
      </c>
      <c r="B1021" s="0" t="n">
        <v>22</v>
      </c>
      <c r="C1021" s="0" t="n">
        <v>7</v>
      </c>
      <c r="D1021" s="0" t="n">
        <v>0</v>
      </c>
      <c r="E1021" s="0" t="n">
        <f aca="false">VLOOKUP(B1021,'MSA-Lookup'!$H$2:$I$86,2)</f>
        <v>7360</v>
      </c>
      <c r="F1021" s="0" t="n">
        <f aca="false">IF(C1021&gt;1,IF(C1021&lt;99,VLOOKUP(C1021,'MSA-Lookup'!$H$1:$I$86,2),C1021),C1021)</f>
        <v>9999</v>
      </c>
      <c r="G1021" s="0" t="n">
        <f aca="false">VLOOKUP(E1021,'MSA-Lookup'!$AA$1:$AB$25,2)</f>
        <v>7362</v>
      </c>
      <c r="H1021" s="0" t="n">
        <f aca="false">IF(C1021&gt;1,IF(C1021&lt;99,VLOOKUP(F1021,'MSA-Lookup'!$AA$1:$AB$25,2),C1021),C1021)</f>
        <v>9999</v>
      </c>
    </row>
    <row r="1022" customFormat="false" ht="12.75" hidden="false" customHeight="false" outlineLevel="0" collapsed="false">
      <c r="A1022" s="0" t="n">
        <f aca="false">B1022*1000+C1022</f>
        <v>22008</v>
      </c>
      <c r="B1022" s="0" t="n">
        <v>22</v>
      </c>
      <c r="C1022" s="0" t="n">
        <v>8</v>
      </c>
      <c r="D1022" s="0" t="n">
        <v>0</v>
      </c>
      <c r="E1022" s="0" t="n">
        <f aca="false">VLOOKUP(B1022,'MSA-Lookup'!$H$2:$I$86,2)</f>
        <v>7360</v>
      </c>
      <c r="F1022" s="0" t="n">
        <f aca="false">IF(C1022&gt;1,IF(C1022&lt;99,VLOOKUP(C1022,'MSA-Lookup'!$H$1:$I$86,2),C1022),C1022)</f>
        <v>9340</v>
      </c>
      <c r="G1022" s="0" t="n">
        <f aca="false">VLOOKUP(E1022,'MSA-Lookup'!$AA$1:$AB$25,2)</f>
        <v>7362</v>
      </c>
      <c r="H1022" s="0" t="n">
        <f aca="false">IF(C1022&gt;1,IF(C1022&lt;99,VLOOKUP(F1022,'MSA-Lookup'!$AA$1:$AB$25,2),C1022),C1022)</f>
        <v>9340</v>
      </c>
    </row>
    <row r="1023" customFormat="false" ht="12.75" hidden="false" customHeight="false" outlineLevel="0" collapsed="false">
      <c r="A1023" s="0" t="n">
        <f aca="false">B1023*1000+C1023</f>
        <v>22009</v>
      </c>
      <c r="B1023" s="0" t="n">
        <v>22</v>
      </c>
      <c r="C1023" s="0" t="n">
        <v>9</v>
      </c>
      <c r="D1023" s="0" t="n">
        <v>0</v>
      </c>
      <c r="E1023" s="0" t="n">
        <f aca="false">VLOOKUP(B1023,'MSA-Lookup'!$H$2:$I$86,2)</f>
        <v>7360</v>
      </c>
      <c r="F1023" s="0" t="n">
        <f aca="false">IF(C1023&gt;1,IF(C1023&lt;99,VLOOKUP(C1023,'MSA-Lookup'!$H$1:$I$86,2),C1023),C1023)</f>
        <v>8720</v>
      </c>
      <c r="G1023" s="0" t="n">
        <f aca="false">VLOOKUP(E1023,'MSA-Lookup'!$AA$1:$AB$25,2)</f>
        <v>7362</v>
      </c>
      <c r="H1023" s="0" t="n">
        <f aca="false">IF(C1023&gt;1,IF(C1023&lt;99,VLOOKUP(F1023,'MSA-Lookup'!$AA$1:$AB$25,2),C1023),C1023)</f>
        <v>7362</v>
      </c>
    </row>
    <row r="1024" customFormat="false" ht="12.75" hidden="false" customHeight="false" outlineLevel="0" collapsed="false">
      <c r="A1024" s="0" t="n">
        <f aca="false">B1024*1000+C1024</f>
        <v>22010</v>
      </c>
      <c r="B1024" s="0" t="n">
        <v>22</v>
      </c>
      <c r="C1024" s="0" t="n">
        <v>10</v>
      </c>
      <c r="D1024" s="0" t="n">
        <v>78</v>
      </c>
      <c r="E1024" s="0" t="n">
        <f aca="false">VLOOKUP(B1024,'MSA-Lookup'!$H$2:$I$86,2)</f>
        <v>7360</v>
      </c>
      <c r="F1024" s="0" t="n">
        <f aca="false">IF(C1024&gt;1,IF(C1024&lt;99,VLOOKUP(C1024,'MSA-Lookup'!$H$1:$I$86,2),C1024),C1024)</f>
        <v>6920</v>
      </c>
      <c r="G1024" s="0" t="n">
        <f aca="false">VLOOKUP(E1024,'MSA-Lookup'!$AA$1:$AB$25,2)</f>
        <v>7362</v>
      </c>
      <c r="H1024" s="0" t="n">
        <f aca="false">IF(C1024&gt;1,IF(C1024&lt;99,VLOOKUP(F1024,'MSA-Lookup'!$AA$1:$AB$25,2),C1024),C1024)</f>
        <v>6920</v>
      </c>
    </row>
    <row r="1025" customFormat="false" ht="12.75" hidden="false" customHeight="false" outlineLevel="0" collapsed="false">
      <c r="A1025" s="0" t="n">
        <f aca="false">B1025*1000+C1025</f>
        <v>22011</v>
      </c>
      <c r="B1025" s="0" t="n">
        <v>22</v>
      </c>
      <c r="C1025" s="0" t="n">
        <v>11</v>
      </c>
      <c r="D1025" s="0" t="n">
        <v>78</v>
      </c>
      <c r="E1025" s="0" t="n">
        <f aca="false">VLOOKUP(B1025,'MSA-Lookup'!$H$2:$I$86,2)</f>
        <v>7360</v>
      </c>
      <c r="F1025" s="0" t="n">
        <f aca="false">IF(C1025&gt;1,IF(C1025&lt;99,VLOOKUP(C1025,'MSA-Lookup'!$H$1:$I$86,2),C1025),C1025)</f>
        <v>6920</v>
      </c>
      <c r="G1025" s="0" t="n">
        <f aca="false">VLOOKUP(E1025,'MSA-Lookup'!$AA$1:$AB$25,2)</f>
        <v>7362</v>
      </c>
      <c r="H1025" s="0" t="n">
        <f aca="false">IF(C1025&gt;1,IF(C1025&lt;99,VLOOKUP(F1025,'MSA-Lookup'!$AA$1:$AB$25,2),C1025),C1025)</f>
        <v>6920</v>
      </c>
    </row>
    <row r="1026" customFormat="false" ht="12.75" hidden="false" customHeight="false" outlineLevel="0" collapsed="false">
      <c r="A1026" s="0" t="n">
        <f aca="false">B1026*1000+C1026</f>
        <v>22012</v>
      </c>
      <c r="B1026" s="0" t="n">
        <v>22</v>
      </c>
      <c r="C1026" s="0" t="n">
        <v>12</v>
      </c>
      <c r="D1026" s="0" t="n">
        <v>0</v>
      </c>
      <c r="E1026" s="0" t="n">
        <f aca="false">VLOOKUP(B1026,'MSA-Lookup'!$H$2:$I$86,2)</f>
        <v>7360</v>
      </c>
      <c r="F1026" s="0" t="n">
        <f aca="false">IF(C1026&gt;1,IF(C1026&lt;99,VLOOKUP(C1026,'MSA-Lookup'!$H$1:$I$86,2),C1026),C1026)</f>
        <v>6920</v>
      </c>
      <c r="G1026" s="0" t="n">
        <f aca="false">VLOOKUP(E1026,'MSA-Lookup'!$AA$1:$AB$25,2)</f>
        <v>7362</v>
      </c>
      <c r="H1026" s="0" t="n">
        <f aca="false">IF(C1026&gt;1,IF(C1026&lt;99,VLOOKUP(F1026,'MSA-Lookup'!$AA$1:$AB$25,2),C1026),C1026)</f>
        <v>6920</v>
      </c>
    </row>
    <row r="1027" customFormat="false" ht="12.75" hidden="false" customHeight="false" outlineLevel="0" collapsed="false">
      <c r="A1027" s="0" t="n">
        <f aca="false">B1027*1000+C1027</f>
        <v>22013</v>
      </c>
      <c r="B1027" s="0" t="n">
        <v>22</v>
      </c>
      <c r="C1027" s="0" t="n">
        <v>13</v>
      </c>
      <c r="D1027" s="0" t="n">
        <v>130</v>
      </c>
      <c r="E1027" s="0" t="n">
        <f aca="false">VLOOKUP(B1027,'MSA-Lookup'!$H$2:$I$86,2)</f>
        <v>7360</v>
      </c>
      <c r="F1027" s="0" t="n">
        <f aca="false">IF(C1027&gt;1,IF(C1027&lt;99,VLOOKUP(C1027,'MSA-Lookup'!$H$1:$I$86,2),C1027),C1027)</f>
        <v>7500</v>
      </c>
      <c r="G1027" s="0" t="n">
        <f aca="false">VLOOKUP(E1027,'MSA-Lookup'!$AA$1:$AB$25,2)</f>
        <v>7362</v>
      </c>
      <c r="H1027" s="0" t="n">
        <f aca="false">IF(C1027&gt;1,IF(C1027&lt;99,VLOOKUP(F1027,'MSA-Lookup'!$AA$1:$AB$25,2),C1027),C1027)</f>
        <v>7362</v>
      </c>
    </row>
    <row r="1028" customFormat="false" ht="12.75" hidden="false" customHeight="false" outlineLevel="0" collapsed="false">
      <c r="A1028" s="0" t="n">
        <f aca="false">B1028*1000+C1028</f>
        <v>22014</v>
      </c>
      <c r="B1028" s="0" t="n">
        <v>22</v>
      </c>
      <c r="C1028" s="0" t="n">
        <v>14</v>
      </c>
      <c r="D1028" s="0" t="n">
        <v>182</v>
      </c>
      <c r="E1028" s="0" t="n">
        <f aca="false">VLOOKUP(B1028,'MSA-Lookup'!$H$2:$I$86,2)</f>
        <v>7360</v>
      </c>
      <c r="F1028" s="0" t="n">
        <f aca="false">IF(C1028&gt;1,IF(C1028&lt;99,VLOOKUP(C1028,'MSA-Lookup'!$H$1:$I$86,2),C1028),C1028)</f>
        <v>7500</v>
      </c>
      <c r="G1028" s="0" t="n">
        <f aca="false">VLOOKUP(E1028,'MSA-Lookup'!$AA$1:$AB$25,2)</f>
        <v>7362</v>
      </c>
      <c r="H1028" s="0" t="n">
        <f aca="false">IF(C1028&gt;1,IF(C1028&lt;99,VLOOKUP(F1028,'MSA-Lookup'!$AA$1:$AB$25,2),C1028),C1028)</f>
        <v>7362</v>
      </c>
    </row>
    <row r="1029" customFormat="false" ht="12.75" hidden="false" customHeight="false" outlineLevel="0" collapsed="false">
      <c r="A1029" s="0" t="n">
        <f aca="false">B1029*1000+C1029</f>
        <v>22015</v>
      </c>
      <c r="B1029" s="0" t="n">
        <v>22</v>
      </c>
      <c r="C1029" s="0" t="n">
        <v>15</v>
      </c>
      <c r="D1029" s="0" t="n">
        <v>1196</v>
      </c>
      <c r="E1029" s="0" t="n">
        <f aca="false">VLOOKUP(B1029,'MSA-Lookup'!$H$2:$I$86,2)</f>
        <v>7360</v>
      </c>
      <c r="F1029" s="0" t="n">
        <f aca="false">IF(C1029&gt;1,IF(C1029&lt;99,VLOOKUP(C1029,'MSA-Lookup'!$H$1:$I$86,2),C1029),C1029)</f>
        <v>7360</v>
      </c>
      <c r="G1029" s="0" t="n">
        <f aca="false">VLOOKUP(E1029,'MSA-Lookup'!$AA$1:$AB$25,2)</f>
        <v>7362</v>
      </c>
      <c r="H1029" s="0" t="n">
        <f aca="false">IF(C1029&gt;1,IF(C1029&lt;99,VLOOKUP(F1029,'MSA-Lookup'!$AA$1:$AB$25,2),C1029),C1029)</f>
        <v>7362</v>
      </c>
    </row>
    <row r="1030" customFormat="false" ht="12.75" hidden="false" customHeight="false" outlineLevel="0" collapsed="false">
      <c r="A1030" s="0" t="n">
        <f aca="false">B1030*1000+C1030</f>
        <v>22016</v>
      </c>
      <c r="B1030" s="0" t="n">
        <v>22</v>
      </c>
      <c r="C1030" s="0" t="n">
        <v>16</v>
      </c>
      <c r="D1030" s="0" t="n">
        <v>65</v>
      </c>
      <c r="E1030" s="0" t="n">
        <f aca="false">VLOOKUP(B1030,'MSA-Lookup'!$H$2:$I$86,2)</f>
        <v>7360</v>
      </c>
      <c r="F1030" s="0" t="n">
        <f aca="false">IF(C1030&gt;1,IF(C1030&lt;99,VLOOKUP(C1030,'MSA-Lookup'!$H$1:$I$86,2),C1030),C1030)</f>
        <v>8720</v>
      </c>
      <c r="G1030" s="0" t="n">
        <f aca="false">VLOOKUP(E1030,'MSA-Lookup'!$AA$1:$AB$25,2)</f>
        <v>7362</v>
      </c>
      <c r="H1030" s="0" t="n">
        <f aca="false">IF(C1030&gt;1,IF(C1030&lt;99,VLOOKUP(F1030,'MSA-Lookup'!$AA$1:$AB$25,2),C1030),C1030)</f>
        <v>7362</v>
      </c>
    </row>
    <row r="1031" customFormat="false" ht="12.75" hidden="false" customHeight="false" outlineLevel="0" collapsed="false">
      <c r="A1031" s="0" t="n">
        <f aca="false">B1031*1000+C1031</f>
        <v>22017</v>
      </c>
      <c r="B1031" s="0" t="n">
        <v>22</v>
      </c>
      <c r="C1031" s="0" t="n">
        <v>17</v>
      </c>
      <c r="D1031" s="0" t="n">
        <v>260</v>
      </c>
      <c r="E1031" s="0" t="n">
        <f aca="false">VLOOKUP(B1031,'MSA-Lookup'!$H$2:$I$86,2)</f>
        <v>7360</v>
      </c>
      <c r="F1031" s="0" t="n">
        <f aca="false">IF(C1031&gt;1,IF(C1031&lt;99,VLOOKUP(C1031,'MSA-Lookup'!$H$1:$I$86,2),C1031),C1031)</f>
        <v>5775</v>
      </c>
      <c r="G1031" s="0" t="n">
        <f aca="false">VLOOKUP(E1031,'MSA-Lookup'!$AA$1:$AB$25,2)</f>
        <v>7362</v>
      </c>
      <c r="H1031" s="0" t="n">
        <f aca="false">IF(C1031&gt;1,IF(C1031&lt;99,VLOOKUP(F1031,'MSA-Lookup'!$AA$1:$AB$25,2),C1031),C1031)</f>
        <v>7362</v>
      </c>
    </row>
    <row r="1032" customFormat="false" ht="12.75" hidden="false" customHeight="false" outlineLevel="0" collapsed="false">
      <c r="A1032" s="0" t="n">
        <f aca="false">B1032*1000+C1032</f>
        <v>22018</v>
      </c>
      <c r="B1032" s="0" t="n">
        <v>22</v>
      </c>
      <c r="C1032" s="0" t="n">
        <v>18</v>
      </c>
      <c r="D1032" s="0" t="n">
        <v>3198</v>
      </c>
      <c r="E1032" s="0" t="n">
        <f aca="false">VLOOKUP(B1032,'MSA-Lookup'!$H$2:$I$86,2)</f>
        <v>7360</v>
      </c>
      <c r="F1032" s="0" t="n">
        <f aca="false">IF(C1032&gt;1,IF(C1032&lt;99,VLOOKUP(C1032,'MSA-Lookup'!$H$1:$I$86,2),C1032),C1032)</f>
        <v>5775</v>
      </c>
      <c r="G1032" s="0" t="n">
        <f aca="false">VLOOKUP(E1032,'MSA-Lookup'!$AA$1:$AB$25,2)</f>
        <v>7362</v>
      </c>
      <c r="H1032" s="0" t="n">
        <f aca="false">IF(C1032&gt;1,IF(C1032&lt;99,VLOOKUP(F1032,'MSA-Lookup'!$AA$1:$AB$25,2),C1032),C1032)</f>
        <v>7362</v>
      </c>
    </row>
    <row r="1033" customFormat="false" ht="12.75" hidden="false" customHeight="false" outlineLevel="0" collapsed="false">
      <c r="A1033" s="0" t="n">
        <f aca="false">B1033*1000+C1033</f>
        <v>22019</v>
      </c>
      <c r="B1033" s="0" t="n">
        <v>22</v>
      </c>
      <c r="C1033" s="0" t="n">
        <v>19</v>
      </c>
      <c r="D1033" s="0" t="n">
        <v>80925</v>
      </c>
      <c r="E1033" s="0" t="n">
        <f aca="false">VLOOKUP(B1033,'MSA-Lookup'!$H$2:$I$86,2)</f>
        <v>7360</v>
      </c>
      <c r="F1033" s="0" t="n">
        <f aca="false">IF(C1033&gt;1,IF(C1033&lt;99,VLOOKUP(C1033,'MSA-Lookup'!$H$1:$I$86,2),C1033),C1033)</f>
        <v>7360</v>
      </c>
      <c r="G1033" s="0" t="n">
        <f aca="false">VLOOKUP(E1033,'MSA-Lookup'!$AA$1:$AB$25,2)</f>
        <v>7362</v>
      </c>
      <c r="H1033" s="0" t="n">
        <f aca="false">IF(C1033&gt;1,IF(C1033&lt;99,VLOOKUP(F1033,'MSA-Lookup'!$AA$1:$AB$25,2),C1033),C1033)</f>
        <v>7362</v>
      </c>
    </row>
    <row r="1034" customFormat="false" ht="12.75" hidden="false" customHeight="false" outlineLevel="0" collapsed="false">
      <c r="A1034" s="0" t="n">
        <f aca="false">B1034*1000+C1034</f>
        <v>22020</v>
      </c>
      <c r="B1034" s="0" t="n">
        <v>22</v>
      </c>
      <c r="C1034" s="0" t="n">
        <v>20</v>
      </c>
      <c r="D1034" s="0" t="n">
        <v>2184</v>
      </c>
      <c r="E1034" s="0" t="n">
        <f aca="false">VLOOKUP(B1034,'MSA-Lookup'!$H$2:$I$86,2)</f>
        <v>7360</v>
      </c>
      <c r="F1034" s="0" t="n">
        <f aca="false">IF(C1034&gt;1,IF(C1034&lt;99,VLOOKUP(C1034,'MSA-Lookup'!$H$1:$I$86,2),C1034),C1034)</f>
        <v>5775</v>
      </c>
      <c r="G1034" s="0" t="n">
        <f aca="false">VLOOKUP(E1034,'MSA-Lookup'!$AA$1:$AB$25,2)</f>
        <v>7362</v>
      </c>
      <c r="H1034" s="0" t="n">
        <f aca="false">IF(C1034&gt;1,IF(C1034&lt;99,VLOOKUP(F1034,'MSA-Lookup'!$AA$1:$AB$25,2),C1034),C1034)</f>
        <v>7362</v>
      </c>
    </row>
    <row r="1035" customFormat="false" ht="12.75" hidden="false" customHeight="false" outlineLevel="0" collapsed="false">
      <c r="A1035" s="0" t="n">
        <f aca="false">B1035*1000+C1035</f>
        <v>22021</v>
      </c>
      <c r="B1035" s="0" t="n">
        <v>22</v>
      </c>
      <c r="C1035" s="0" t="n">
        <v>21</v>
      </c>
      <c r="D1035" s="0" t="n">
        <v>11505</v>
      </c>
      <c r="E1035" s="0" t="n">
        <f aca="false">VLOOKUP(B1035,'MSA-Lookup'!$H$2:$I$86,2)</f>
        <v>7360</v>
      </c>
      <c r="F1035" s="0" t="n">
        <f aca="false">IF(C1035&gt;1,IF(C1035&lt;99,VLOOKUP(C1035,'MSA-Lookup'!$H$1:$I$86,2),C1035),C1035)</f>
        <v>5775</v>
      </c>
      <c r="G1035" s="0" t="n">
        <f aca="false">VLOOKUP(E1035,'MSA-Lookup'!$AA$1:$AB$25,2)</f>
        <v>7362</v>
      </c>
      <c r="H1035" s="0" t="n">
        <f aca="false">IF(C1035&gt;1,IF(C1035&lt;99,VLOOKUP(F1035,'MSA-Lookup'!$AA$1:$AB$25,2),C1035),C1035)</f>
        <v>7362</v>
      </c>
    </row>
    <row r="1036" customFormat="false" ht="12.75" hidden="false" customHeight="false" outlineLevel="0" collapsed="false">
      <c r="A1036" s="0" t="n">
        <f aca="false">B1036*1000+C1036</f>
        <v>22022</v>
      </c>
      <c r="B1036" s="0" t="n">
        <v>22</v>
      </c>
      <c r="C1036" s="0" t="n">
        <v>22</v>
      </c>
      <c r="D1036" s="0" t="n">
        <v>203580</v>
      </c>
      <c r="E1036" s="0" t="n">
        <f aca="false">VLOOKUP(B1036,'MSA-Lookup'!$H$2:$I$86,2)</f>
        <v>7360</v>
      </c>
      <c r="F1036" s="0" t="n">
        <f aca="false">IF(C1036&gt;1,IF(C1036&lt;99,VLOOKUP(C1036,'MSA-Lookup'!$H$1:$I$86,2),C1036),C1036)</f>
        <v>7360</v>
      </c>
      <c r="G1036" s="0" t="n">
        <f aca="false">VLOOKUP(E1036,'MSA-Lookup'!$AA$1:$AB$25,2)</f>
        <v>7362</v>
      </c>
      <c r="H1036" s="0" t="n">
        <f aca="false">IF(C1036&gt;1,IF(C1036&lt;99,VLOOKUP(F1036,'MSA-Lookup'!$AA$1:$AB$25,2),C1036),C1036)</f>
        <v>7362</v>
      </c>
    </row>
    <row r="1037" customFormat="false" ht="12.75" hidden="false" customHeight="false" outlineLevel="0" collapsed="false">
      <c r="A1037" s="0" t="n">
        <f aca="false">B1037*1000+C1037</f>
        <v>22023</v>
      </c>
      <c r="B1037" s="0" t="n">
        <v>22</v>
      </c>
      <c r="C1037" s="0" t="n">
        <v>23</v>
      </c>
      <c r="D1037" s="0" t="n">
        <v>0</v>
      </c>
      <c r="E1037" s="0" t="n">
        <f aca="false">VLOOKUP(B1037,'MSA-Lookup'!$H$2:$I$86,2)</f>
        <v>7360</v>
      </c>
      <c r="F1037" s="0" t="n">
        <f aca="false">IF(C1037&gt;1,IF(C1037&lt;99,VLOOKUP(C1037,'MSA-Lookup'!$H$1:$I$86,2),C1037),C1037)</f>
        <v>8120</v>
      </c>
      <c r="G1037" s="0" t="n">
        <f aca="false">VLOOKUP(E1037,'MSA-Lookup'!$AA$1:$AB$25,2)</f>
        <v>7362</v>
      </c>
      <c r="H1037" s="0" t="n">
        <f aca="false">IF(C1037&gt;1,IF(C1037&lt;99,VLOOKUP(F1037,'MSA-Lookup'!$AA$1:$AB$25,2),C1037),C1037)</f>
        <v>8120</v>
      </c>
    </row>
    <row r="1038" customFormat="false" ht="12.75" hidden="false" customHeight="false" outlineLevel="0" collapsed="false">
      <c r="A1038" s="0" t="n">
        <f aca="false">B1038*1000+C1038</f>
        <v>22024</v>
      </c>
      <c r="B1038" s="0" t="n">
        <v>22</v>
      </c>
      <c r="C1038" s="0" t="n">
        <v>24</v>
      </c>
      <c r="D1038" s="0" t="n">
        <v>0</v>
      </c>
      <c r="E1038" s="0" t="n">
        <f aca="false">VLOOKUP(B1038,'MSA-Lookup'!$H$2:$I$86,2)</f>
        <v>7360</v>
      </c>
      <c r="F1038" s="0" t="n">
        <f aca="false">IF(C1038&gt;1,IF(C1038&lt;99,VLOOKUP(C1038,'MSA-Lookup'!$H$1:$I$86,2),C1038),C1038)</f>
        <v>5170</v>
      </c>
      <c r="G1038" s="0" t="n">
        <f aca="false">VLOOKUP(E1038,'MSA-Lookup'!$AA$1:$AB$25,2)</f>
        <v>7362</v>
      </c>
      <c r="H1038" s="0" t="n">
        <f aca="false">IF(C1038&gt;1,IF(C1038&lt;99,VLOOKUP(F1038,'MSA-Lookup'!$AA$1:$AB$25,2),C1038),C1038)</f>
        <v>5170</v>
      </c>
    </row>
    <row r="1039" customFormat="false" ht="12.75" hidden="false" customHeight="false" outlineLevel="0" collapsed="false">
      <c r="A1039" s="0" t="n">
        <f aca="false">B1039*1000+C1039</f>
        <v>22025</v>
      </c>
      <c r="B1039" s="0" t="n">
        <v>22</v>
      </c>
      <c r="C1039" s="0" t="n">
        <v>25</v>
      </c>
      <c r="D1039" s="0" t="n">
        <v>0</v>
      </c>
      <c r="E1039" s="0" t="n">
        <f aca="false">VLOOKUP(B1039,'MSA-Lookup'!$H$2:$I$86,2)</f>
        <v>7360</v>
      </c>
      <c r="F1039" s="0" t="n">
        <f aca="false">IF(C1039&gt;1,IF(C1039&lt;99,VLOOKUP(C1039,'MSA-Lookup'!$H$1:$I$86,2),C1039),C1039)</f>
        <v>5170</v>
      </c>
      <c r="G1039" s="0" t="n">
        <f aca="false">VLOOKUP(E1039,'MSA-Lookup'!$AA$1:$AB$25,2)</f>
        <v>7362</v>
      </c>
      <c r="H1039" s="0" t="n">
        <f aca="false">IF(C1039&gt;1,IF(C1039&lt;99,VLOOKUP(F1039,'MSA-Lookup'!$AA$1:$AB$25,2),C1039),C1039)</f>
        <v>5170</v>
      </c>
    </row>
    <row r="1040" customFormat="false" ht="12.75" hidden="false" customHeight="false" outlineLevel="0" collapsed="false">
      <c r="A1040" s="0" t="n">
        <f aca="false">B1040*1000+C1040</f>
        <v>22026</v>
      </c>
      <c r="B1040" s="0" t="n">
        <v>22</v>
      </c>
      <c r="C1040" s="0" t="n">
        <v>26</v>
      </c>
      <c r="D1040" s="0" t="n">
        <v>0</v>
      </c>
      <c r="E1040" s="0" t="n">
        <f aca="false">VLOOKUP(B1040,'MSA-Lookup'!$H$2:$I$86,2)</f>
        <v>7360</v>
      </c>
      <c r="F1040" s="0" t="n">
        <f aca="false">IF(C1040&gt;1,IF(C1040&lt;99,VLOOKUP(C1040,'MSA-Lookup'!$H$1:$I$86,2),C1040),C1040)</f>
        <v>9999</v>
      </c>
      <c r="G1040" s="0" t="n">
        <f aca="false">VLOOKUP(E1040,'MSA-Lookup'!$AA$1:$AB$25,2)</f>
        <v>7362</v>
      </c>
      <c r="H1040" s="0" t="n">
        <f aca="false">IF(C1040&gt;1,IF(C1040&lt;99,VLOOKUP(F1040,'MSA-Lookup'!$AA$1:$AB$25,2),C1040),C1040)</f>
        <v>9999</v>
      </c>
    </row>
    <row r="1041" customFormat="false" ht="12.75" hidden="false" customHeight="false" outlineLevel="0" collapsed="false">
      <c r="A1041" s="0" t="n">
        <f aca="false">B1041*1000+C1041</f>
        <v>22027</v>
      </c>
      <c r="B1041" s="0" t="n">
        <v>22</v>
      </c>
      <c r="C1041" s="0" t="n">
        <v>27</v>
      </c>
      <c r="D1041" s="0" t="n">
        <v>0</v>
      </c>
      <c r="E1041" s="0" t="n">
        <f aca="false">VLOOKUP(B1041,'MSA-Lookup'!$H$2:$I$86,2)</f>
        <v>7360</v>
      </c>
      <c r="F1041" s="0" t="n">
        <f aca="false">IF(C1041&gt;1,IF(C1041&lt;99,VLOOKUP(C1041,'MSA-Lookup'!$H$1:$I$86,2),C1041),C1041)</f>
        <v>9999</v>
      </c>
      <c r="G1041" s="0" t="n">
        <f aca="false">VLOOKUP(E1041,'MSA-Lookup'!$AA$1:$AB$25,2)</f>
        <v>7362</v>
      </c>
      <c r="H1041" s="0" t="n">
        <f aca="false">IF(C1041&gt;1,IF(C1041&lt;99,VLOOKUP(F1041,'MSA-Lookup'!$AA$1:$AB$25,2),C1041),C1041)</f>
        <v>9999</v>
      </c>
    </row>
    <row r="1042" customFormat="false" ht="12.75" hidden="false" customHeight="false" outlineLevel="0" collapsed="false">
      <c r="A1042" s="0" t="n">
        <f aca="false">B1042*1000+C1042</f>
        <v>22028</v>
      </c>
      <c r="B1042" s="0" t="n">
        <v>22</v>
      </c>
      <c r="C1042" s="0" t="n">
        <v>28</v>
      </c>
      <c r="D1042" s="0" t="n">
        <v>0</v>
      </c>
      <c r="E1042" s="0" t="n">
        <f aca="false">VLOOKUP(B1042,'MSA-Lookup'!$H$2:$I$86,2)</f>
        <v>7360</v>
      </c>
      <c r="F1042" s="0" t="n">
        <f aca="false">IF(C1042&gt;1,IF(C1042&lt;99,VLOOKUP(C1042,'MSA-Lookup'!$H$1:$I$86,2),C1042),C1042)</f>
        <v>6920</v>
      </c>
      <c r="G1042" s="0" t="n">
        <f aca="false">VLOOKUP(E1042,'MSA-Lookup'!$AA$1:$AB$25,2)</f>
        <v>7362</v>
      </c>
      <c r="H1042" s="0" t="n">
        <f aca="false">IF(C1042&gt;1,IF(C1042&lt;99,VLOOKUP(F1042,'MSA-Lookup'!$AA$1:$AB$25,2),C1042),C1042)</f>
        <v>6920</v>
      </c>
    </row>
    <row r="1043" customFormat="false" ht="12.75" hidden="false" customHeight="false" outlineLevel="0" collapsed="false">
      <c r="A1043" s="0" t="n">
        <f aca="false">B1043*1000+C1043</f>
        <v>22029</v>
      </c>
      <c r="B1043" s="0" t="n">
        <v>22</v>
      </c>
      <c r="C1043" s="0" t="n">
        <v>29</v>
      </c>
      <c r="D1043" s="0" t="n">
        <v>0</v>
      </c>
      <c r="E1043" s="0" t="n">
        <f aca="false">VLOOKUP(B1043,'MSA-Lookup'!$H$2:$I$86,2)</f>
        <v>7360</v>
      </c>
      <c r="F1043" s="0" t="n">
        <f aca="false">IF(C1043&gt;1,IF(C1043&lt;99,VLOOKUP(C1043,'MSA-Lookup'!$H$1:$I$86,2),C1043),C1043)</f>
        <v>6920</v>
      </c>
      <c r="G1043" s="0" t="n">
        <f aca="false">VLOOKUP(E1043,'MSA-Lookup'!$AA$1:$AB$25,2)</f>
        <v>7362</v>
      </c>
      <c r="H1043" s="0" t="n">
        <f aca="false">IF(C1043&gt;1,IF(C1043&lt;99,VLOOKUP(F1043,'MSA-Lookup'!$AA$1:$AB$25,2),C1043),C1043)</f>
        <v>6920</v>
      </c>
    </row>
    <row r="1044" customFormat="false" ht="12.75" hidden="false" customHeight="false" outlineLevel="0" collapsed="false">
      <c r="A1044" s="0" t="n">
        <f aca="false">B1044*1000+C1044</f>
        <v>22030</v>
      </c>
      <c r="B1044" s="0" t="n">
        <v>22</v>
      </c>
      <c r="C1044" s="0" t="n">
        <v>30</v>
      </c>
      <c r="D1044" s="0" t="n">
        <v>0</v>
      </c>
      <c r="E1044" s="0" t="n">
        <f aca="false">VLOOKUP(B1044,'MSA-Lookup'!$H$2:$I$86,2)</f>
        <v>7360</v>
      </c>
      <c r="F1044" s="0" t="n">
        <f aca="false">IF(C1044&gt;1,IF(C1044&lt;99,VLOOKUP(C1044,'MSA-Lookup'!$H$1:$I$86,2),C1044),C1044)</f>
        <v>4940</v>
      </c>
      <c r="G1044" s="0" t="n">
        <f aca="false">VLOOKUP(E1044,'MSA-Lookup'!$AA$1:$AB$25,2)</f>
        <v>7362</v>
      </c>
      <c r="H1044" s="0" t="n">
        <f aca="false">IF(C1044&gt;1,IF(C1044&lt;99,VLOOKUP(F1044,'MSA-Lookup'!$AA$1:$AB$25,2),C1044),C1044)</f>
        <v>4940</v>
      </c>
    </row>
    <row r="1045" customFormat="false" ht="12.75" hidden="false" customHeight="false" outlineLevel="0" collapsed="false">
      <c r="A1045" s="0" t="n">
        <f aca="false">B1045*1000+C1045</f>
        <v>22031</v>
      </c>
      <c r="B1045" s="0" t="n">
        <v>22</v>
      </c>
      <c r="C1045" s="0" t="n">
        <v>31</v>
      </c>
      <c r="D1045" s="0" t="n">
        <v>0</v>
      </c>
      <c r="E1045" s="0" t="n">
        <f aca="false">VLOOKUP(B1045,'MSA-Lookup'!$H$2:$I$86,2)</f>
        <v>7360</v>
      </c>
      <c r="F1045" s="0" t="n">
        <f aca="false">IF(C1045&gt;1,IF(C1045&lt;99,VLOOKUP(C1045,'MSA-Lookup'!$H$1:$I$86,2),C1045),C1045)</f>
        <v>9999</v>
      </c>
      <c r="G1045" s="0" t="n">
        <f aca="false">VLOOKUP(E1045,'MSA-Lookup'!$AA$1:$AB$25,2)</f>
        <v>7362</v>
      </c>
      <c r="H1045" s="0" t="n">
        <f aca="false">IF(C1045&gt;1,IF(C1045&lt;99,VLOOKUP(F1045,'MSA-Lookup'!$AA$1:$AB$25,2),C1045),C1045)</f>
        <v>9999</v>
      </c>
    </row>
    <row r="1046" customFormat="false" ht="12.75" hidden="false" customHeight="false" outlineLevel="0" collapsed="false">
      <c r="A1046" s="0" t="n">
        <f aca="false">B1046*1000+C1046</f>
        <v>22032</v>
      </c>
      <c r="B1046" s="0" t="n">
        <v>22</v>
      </c>
      <c r="C1046" s="0" t="n">
        <v>32</v>
      </c>
      <c r="D1046" s="0" t="n">
        <v>0</v>
      </c>
      <c r="E1046" s="0" t="n">
        <f aca="false">VLOOKUP(B1046,'MSA-Lookup'!$H$2:$I$86,2)</f>
        <v>7360</v>
      </c>
      <c r="F1046" s="0" t="n">
        <f aca="false">IF(C1046&gt;1,IF(C1046&lt;99,VLOOKUP(C1046,'MSA-Lookup'!$H$1:$I$86,2),C1046),C1046)</f>
        <v>7480</v>
      </c>
      <c r="G1046" s="0" t="n">
        <f aca="false">VLOOKUP(E1046,'MSA-Lookup'!$AA$1:$AB$25,2)</f>
        <v>7362</v>
      </c>
      <c r="H1046" s="0" t="n">
        <f aca="false">IF(C1046&gt;1,IF(C1046&lt;99,VLOOKUP(F1046,'MSA-Lookup'!$AA$1:$AB$25,2),C1046),C1046)</f>
        <v>7480</v>
      </c>
    </row>
    <row r="1047" customFormat="false" ht="12.75" hidden="false" customHeight="false" outlineLevel="0" collapsed="false">
      <c r="A1047" s="0" t="n">
        <f aca="false">B1047*1000+C1047</f>
        <v>22033</v>
      </c>
      <c r="B1047" s="0" t="n">
        <v>22</v>
      </c>
      <c r="C1047" s="0" t="n">
        <v>33</v>
      </c>
      <c r="D1047" s="0" t="n">
        <v>91</v>
      </c>
      <c r="E1047" s="0" t="n">
        <f aca="false">VLOOKUP(B1047,'MSA-Lookup'!$H$2:$I$86,2)</f>
        <v>7360</v>
      </c>
      <c r="F1047" s="0" t="n">
        <f aca="false">IF(C1047&gt;1,IF(C1047&lt;99,VLOOKUP(C1047,'MSA-Lookup'!$H$1:$I$86,2),C1047),C1047)</f>
        <v>7320</v>
      </c>
      <c r="G1047" s="0" t="n">
        <f aca="false">VLOOKUP(E1047,'MSA-Lookup'!$AA$1:$AB$25,2)</f>
        <v>7362</v>
      </c>
      <c r="H1047" s="0" t="n">
        <f aca="false">IF(C1047&gt;1,IF(C1047&lt;99,VLOOKUP(F1047,'MSA-Lookup'!$AA$1:$AB$25,2),C1047),C1047)</f>
        <v>7320</v>
      </c>
    </row>
    <row r="1048" customFormat="false" ht="12.75" hidden="false" customHeight="false" outlineLevel="0" collapsed="false">
      <c r="A1048" s="0" t="n">
        <f aca="false">B1048*1000+C1048</f>
        <v>22034</v>
      </c>
      <c r="B1048" s="0" t="n">
        <v>22</v>
      </c>
      <c r="C1048" s="0" t="n">
        <v>34</v>
      </c>
      <c r="D1048" s="0" t="n">
        <v>0</v>
      </c>
      <c r="E1048" s="0" t="n">
        <f aca="false">VLOOKUP(B1048,'MSA-Lookup'!$H$2:$I$86,2)</f>
        <v>7360</v>
      </c>
      <c r="F1048" s="0" t="n">
        <f aca="false">IF(C1048&gt;1,IF(C1048&lt;99,VLOOKUP(C1048,'MSA-Lookup'!$H$1:$I$86,2),C1048),C1048)</f>
        <v>7320</v>
      </c>
      <c r="G1048" s="0" t="n">
        <f aca="false">VLOOKUP(E1048,'MSA-Lookup'!$AA$1:$AB$25,2)</f>
        <v>7362</v>
      </c>
      <c r="H1048" s="0" t="n">
        <f aca="false">IF(C1048&gt;1,IF(C1048&lt;99,VLOOKUP(F1048,'MSA-Lookup'!$AA$1:$AB$25,2),C1048),C1048)</f>
        <v>7320</v>
      </c>
    </row>
    <row r="1049" customFormat="false" ht="12.75" hidden="false" customHeight="false" outlineLevel="0" collapsed="false">
      <c r="A1049" s="0" t="n">
        <f aca="false">B1049*1000+C1049</f>
        <v>22035</v>
      </c>
      <c r="B1049" s="0" t="n">
        <v>22</v>
      </c>
      <c r="C1049" s="0" t="n">
        <v>35</v>
      </c>
      <c r="D1049" s="0" t="n">
        <v>0</v>
      </c>
      <c r="E1049" s="0" t="n">
        <f aca="false">VLOOKUP(B1049,'MSA-Lookup'!$H$2:$I$86,2)</f>
        <v>7360</v>
      </c>
      <c r="F1049" s="0" t="n">
        <f aca="false">IF(C1049&gt;1,IF(C1049&lt;99,VLOOKUP(C1049,'MSA-Lookup'!$H$1:$I$86,2),C1049),C1049)</f>
        <v>7320</v>
      </c>
      <c r="G1049" s="0" t="n">
        <f aca="false">VLOOKUP(E1049,'MSA-Lookup'!$AA$1:$AB$25,2)</f>
        <v>7362</v>
      </c>
      <c r="H1049" s="0" t="n">
        <f aca="false">IF(C1049&gt;1,IF(C1049&lt;99,VLOOKUP(F1049,'MSA-Lookup'!$AA$1:$AB$25,2),C1049),C1049)</f>
        <v>7320</v>
      </c>
    </row>
    <row r="1050" customFormat="false" ht="12.75" hidden="false" customHeight="false" outlineLevel="0" collapsed="false">
      <c r="A1050" s="0" t="n">
        <f aca="false">B1050*1000+C1050</f>
        <v>22037</v>
      </c>
      <c r="B1050" s="0" t="n">
        <v>22</v>
      </c>
      <c r="C1050" s="0" t="n">
        <v>37</v>
      </c>
      <c r="D1050" s="0" t="n">
        <v>0</v>
      </c>
      <c r="E1050" s="0" t="n">
        <f aca="false">VLOOKUP(B1050,'MSA-Lookup'!$H$2:$I$86,2)</f>
        <v>7360</v>
      </c>
      <c r="F1050" s="0" t="n">
        <f aca="false">IF(C1050&gt;1,IF(C1050&lt;99,VLOOKUP(C1050,'MSA-Lookup'!$H$1:$I$86,2),C1050),C1050)</f>
        <v>7320</v>
      </c>
      <c r="G1050" s="0" t="n">
        <f aca="false">VLOOKUP(E1050,'MSA-Lookup'!$AA$1:$AB$25,2)</f>
        <v>7362</v>
      </c>
      <c r="H1050" s="0" t="n">
        <f aca="false">IF(C1050&gt;1,IF(C1050&lt;99,VLOOKUP(F1050,'MSA-Lookup'!$AA$1:$AB$25,2),C1050),C1050)</f>
        <v>7320</v>
      </c>
    </row>
    <row r="1051" customFormat="false" ht="12.75" hidden="false" customHeight="false" outlineLevel="0" collapsed="false">
      <c r="A1051" s="0" t="n">
        <f aca="false">B1051*1000+C1051</f>
        <v>22038</v>
      </c>
      <c r="B1051" s="0" t="n">
        <v>22</v>
      </c>
      <c r="C1051" s="0" t="n">
        <v>38</v>
      </c>
      <c r="D1051" s="0" t="n">
        <v>0</v>
      </c>
      <c r="E1051" s="0" t="n">
        <f aca="false">VLOOKUP(B1051,'MSA-Lookup'!$H$2:$I$86,2)</f>
        <v>7360</v>
      </c>
      <c r="F1051" s="0" t="n">
        <f aca="false">IF(C1051&gt;1,IF(C1051&lt;99,VLOOKUP(C1051,'MSA-Lookup'!$H$1:$I$86,2),C1051),C1051)</f>
        <v>7120</v>
      </c>
      <c r="G1051" s="0" t="n">
        <f aca="false">VLOOKUP(E1051,'MSA-Lookup'!$AA$1:$AB$25,2)</f>
        <v>7362</v>
      </c>
      <c r="H1051" s="0" t="n">
        <f aca="false">IF(C1051&gt;1,IF(C1051&lt;99,VLOOKUP(F1051,'MSA-Lookup'!$AA$1:$AB$25,2),C1051),C1051)</f>
        <v>7120</v>
      </c>
    </row>
    <row r="1052" customFormat="false" ht="12.75" hidden="false" customHeight="false" outlineLevel="0" collapsed="false">
      <c r="A1052" s="0" t="n">
        <f aca="false">B1052*1000+C1052</f>
        <v>22039</v>
      </c>
      <c r="B1052" s="0" t="n">
        <v>22</v>
      </c>
      <c r="C1052" s="0" t="n">
        <v>39</v>
      </c>
      <c r="D1052" s="0" t="n">
        <v>0</v>
      </c>
      <c r="E1052" s="0" t="n">
        <f aca="false">VLOOKUP(B1052,'MSA-Lookup'!$H$2:$I$86,2)</f>
        <v>7360</v>
      </c>
      <c r="F1052" s="0" t="n">
        <f aca="false">IF(C1052&gt;1,IF(C1052&lt;99,VLOOKUP(C1052,'MSA-Lookup'!$H$1:$I$86,2),C1052),C1052)</f>
        <v>7120</v>
      </c>
      <c r="G1052" s="0" t="n">
        <f aca="false">VLOOKUP(E1052,'MSA-Lookup'!$AA$1:$AB$25,2)</f>
        <v>7362</v>
      </c>
      <c r="H1052" s="0" t="n">
        <f aca="false">IF(C1052&gt;1,IF(C1052&lt;99,VLOOKUP(F1052,'MSA-Lookup'!$AA$1:$AB$25,2),C1052),C1052)</f>
        <v>7120</v>
      </c>
    </row>
    <row r="1053" customFormat="false" ht="12.75" hidden="false" customHeight="false" outlineLevel="0" collapsed="false">
      <c r="A1053" s="0" t="n">
        <f aca="false">B1053*1000+C1053</f>
        <v>22040</v>
      </c>
      <c r="B1053" s="0" t="n">
        <v>22</v>
      </c>
      <c r="C1053" s="0" t="n">
        <v>40</v>
      </c>
      <c r="D1053" s="0" t="n">
        <v>104</v>
      </c>
      <c r="E1053" s="0" t="n">
        <f aca="false">VLOOKUP(B1053,'MSA-Lookup'!$H$2:$I$86,2)</f>
        <v>7360</v>
      </c>
      <c r="F1053" s="0" t="n">
        <f aca="false">IF(C1053&gt;1,IF(C1053&lt;99,VLOOKUP(C1053,'MSA-Lookup'!$H$1:$I$86,2),C1053),C1053)</f>
        <v>2840</v>
      </c>
      <c r="G1053" s="0" t="n">
        <f aca="false">VLOOKUP(E1053,'MSA-Lookup'!$AA$1:$AB$25,2)</f>
        <v>7362</v>
      </c>
      <c r="H1053" s="0" t="n">
        <f aca="false">IF(C1053&gt;1,IF(C1053&lt;99,VLOOKUP(F1053,'MSA-Lookup'!$AA$1:$AB$25,2),C1053),C1053)</f>
        <v>2840</v>
      </c>
    </row>
    <row r="1054" customFormat="false" ht="12.75" hidden="false" customHeight="false" outlineLevel="0" collapsed="false">
      <c r="A1054" s="0" t="n">
        <f aca="false">B1054*1000+C1054</f>
        <v>22041</v>
      </c>
      <c r="B1054" s="0" t="n">
        <v>22</v>
      </c>
      <c r="C1054" s="0" t="n">
        <v>41</v>
      </c>
      <c r="D1054" s="0" t="n">
        <v>0</v>
      </c>
      <c r="E1054" s="0" t="n">
        <f aca="false">VLOOKUP(B1054,'MSA-Lookup'!$H$2:$I$86,2)</f>
        <v>7360</v>
      </c>
      <c r="F1054" s="0" t="n">
        <f aca="false">IF(C1054&gt;1,IF(C1054&lt;99,VLOOKUP(C1054,'MSA-Lookup'!$H$1:$I$86,2),C1054),C1054)</f>
        <v>2840</v>
      </c>
      <c r="G1054" s="0" t="n">
        <f aca="false">VLOOKUP(E1054,'MSA-Lookup'!$AA$1:$AB$25,2)</f>
        <v>7362</v>
      </c>
      <c r="H1054" s="0" t="n">
        <f aca="false">IF(C1054&gt;1,IF(C1054&lt;99,VLOOKUP(F1054,'MSA-Lookup'!$AA$1:$AB$25,2),C1054),C1054)</f>
        <v>2840</v>
      </c>
    </row>
    <row r="1055" customFormat="false" ht="12.75" hidden="false" customHeight="false" outlineLevel="0" collapsed="false">
      <c r="A1055" s="0" t="n">
        <f aca="false">B1055*1000+C1055</f>
        <v>22042</v>
      </c>
      <c r="B1055" s="0" t="n">
        <v>22</v>
      </c>
      <c r="C1055" s="0" t="n">
        <v>42</v>
      </c>
      <c r="D1055" s="0" t="n">
        <v>0</v>
      </c>
      <c r="E1055" s="0" t="n">
        <f aca="false">VLOOKUP(B1055,'MSA-Lookup'!$H$2:$I$86,2)</f>
        <v>7360</v>
      </c>
      <c r="F1055" s="0" t="n">
        <f aca="false">IF(C1055&gt;1,IF(C1055&lt;99,VLOOKUP(C1055,'MSA-Lookup'!$H$1:$I$86,2),C1055),C1055)</f>
        <v>360</v>
      </c>
      <c r="G1055" s="0" t="n">
        <f aca="false">VLOOKUP(E1055,'MSA-Lookup'!$AA$1:$AB$25,2)</f>
        <v>7362</v>
      </c>
      <c r="H1055" s="0" t="n">
        <f aca="false">IF(C1055&gt;1,IF(C1055&lt;99,VLOOKUP(F1055,'MSA-Lookup'!$AA$1:$AB$25,2),C1055),C1055)</f>
        <v>4472</v>
      </c>
    </row>
    <row r="1056" customFormat="false" ht="12.75" hidden="false" customHeight="false" outlineLevel="0" collapsed="false">
      <c r="A1056" s="0" t="n">
        <f aca="false">B1056*1000+C1056</f>
        <v>22043</v>
      </c>
      <c r="B1056" s="0" t="n">
        <v>22</v>
      </c>
      <c r="C1056" s="0" t="n">
        <v>43</v>
      </c>
      <c r="D1056" s="0" t="n">
        <v>0</v>
      </c>
      <c r="E1056" s="0" t="n">
        <f aca="false">VLOOKUP(B1056,'MSA-Lookup'!$H$2:$I$86,2)</f>
        <v>7360</v>
      </c>
      <c r="F1056" s="0" t="n">
        <f aca="false">IF(C1056&gt;1,IF(C1056&lt;99,VLOOKUP(C1056,'MSA-Lookup'!$H$1:$I$86,2),C1056),C1056)</f>
        <v>360</v>
      </c>
      <c r="G1056" s="0" t="n">
        <f aca="false">VLOOKUP(E1056,'MSA-Lookup'!$AA$1:$AB$25,2)</f>
        <v>7362</v>
      </c>
      <c r="H1056" s="0" t="n">
        <f aca="false">IF(C1056&gt;1,IF(C1056&lt;99,VLOOKUP(F1056,'MSA-Lookup'!$AA$1:$AB$25,2),C1056),C1056)</f>
        <v>4472</v>
      </c>
    </row>
    <row r="1057" customFormat="false" ht="12.75" hidden="false" customHeight="false" outlineLevel="0" collapsed="false">
      <c r="A1057" s="0" t="n">
        <f aca="false">B1057*1000+C1057</f>
        <v>22046</v>
      </c>
      <c r="B1057" s="0" t="n">
        <v>22</v>
      </c>
      <c r="C1057" s="0" t="n">
        <v>46</v>
      </c>
      <c r="D1057" s="0" t="n">
        <v>0</v>
      </c>
      <c r="E1057" s="0" t="n">
        <f aca="false">VLOOKUP(B1057,'MSA-Lookup'!$H$2:$I$86,2)</f>
        <v>7360</v>
      </c>
      <c r="F1057" s="0" t="n">
        <f aca="false">IF(C1057&gt;1,IF(C1057&lt;99,VLOOKUP(C1057,'MSA-Lookup'!$H$1:$I$86,2),C1057),C1057)</f>
        <v>360</v>
      </c>
      <c r="G1057" s="0" t="n">
        <f aca="false">VLOOKUP(E1057,'MSA-Lookup'!$AA$1:$AB$25,2)</f>
        <v>7362</v>
      </c>
      <c r="H1057" s="0" t="n">
        <f aca="false">IF(C1057&gt;1,IF(C1057&lt;99,VLOOKUP(F1057,'MSA-Lookup'!$AA$1:$AB$25,2),C1057),C1057)</f>
        <v>4472</v>
      </c>
    </row>
    <row r="1058" customFormat="false" ht="12.75" hidden="false" customHeight="false" outlineLevel="0" collapsed="false">
      <c r="A1058" s="0" t="n">
        <f aca="false">B1058*1000+C1058</f>
        <v>22048</v>
      </c>
      <c r="B1058" s="0" t="n">
        <v>22</v>
      </c>
      <c r="C1058" s="0" t="n">
        <v>48</v>
      </c>
      <c r="D1058" s="0" t="n">
        <v>0</v>
      </c>
      <c r="E1058" s="0" t="n">
        <f aca="false">VLOOKUP(B1058,'MSA-Lookup'!$H$2:$I$86,2)</f>
        <v>7360</v>
      </c>
      <c r="F1058" s="0" t="n">
        <f aca="false">IF(C1058&gt;1,IF(C1058&lt;99,VLOOKUP(C1058,'MSA-Lookup'!$H$1:$I$86,2),C1058),C1058)</f>
        <v>360</v>
      </c>
      <c r="G1058" s="0" t="n">
        <f aca="false">VLOOKUP(E1058,'MSA-Lookup'!$AA$1:$AB$25,2)</f>
        <v>7362</v>
      </c>
      <c r="H1058" s="0" t="n">
        <f aca="false">IF(C1058&gt;1,IF(C1058&lt;99,VLOOKUP(F1058,'MSA-Lookup'!$AA$1:$AB$25,2),C1058),C1058)</f>
        <v>4472</v>
      </c>
    </row>
    <row r="1059" customFormat="false" ht="12.75" hidden="false" customHeight="false" outlineLevel="0" collapsed="false">
      <c r="A1059" s="0" t="n">
        <f aca="false">B1059*1000+C1059</f>
        <v>22049</v>
      </c>
      <c r="B1059" s="0" t="n">
        <v>22</v>
      </c>
      <c r="C1059" s="0" t="n">
        <v>49</v>
      </c>
      <c r="D1059" s="0" t="n">
        <v>34372</v>
      </c>
      <c r="E1059" s="0" t="n">
        <f aca="false">VLOOKUP(B1059,'MSA-Lookup'!$H$2:$I$86,2)</f>
        <v>7360</v>
      </c>
      <c r="F1059" s="0" t="n">
        <f aca="false">IF(C1059&gt;1,IF(C1059&lt;99,VLOOKUP(C1059,'MSA-Lookup'!$H$1:$I$86,2),C1059),C1059)</f>
        <v>7400</v>
      </c>
      <c r="G1059" s="0" t="n">
        <f aca="false">VLOOKUP(E1059,'MSA-Lookup'!$AA$1:$AB$25,2)</f>
        <v>7362</v>
      </c>
      <c r="H1059" s="0" t="n">
        <f aca="false">IF(C1059&gt;1,IF(C1059&lt;99,VLOOKUP(F1059,'MSA-Lookup'!$AA$1:$AB$25,2),C1059),C1059)</f>
        <v>7362</v>
      </c>
    </row>
    <row r="1060" customFormat="false" ht="12.75" hidden="false" customHeight="false" outlineLevel="0" collapsed="false">
      <c r="A1060" s="0" t="n">
        <f aca="false">B1060*1000+C1060</f>
        <v>22050</v>
      </c>
      <c r="B1060" s="0" t="n">
        <v>22</v>
      </c>
      <c r="C1060" s="0" t="n">
        <v>50</v>
      </c>
      <c r="D1060" s="0" t="n">
        <v>5044</v>
      </c>
      <c r="E1060" s="0" t="n">
        <f aca="false">VLOOKUP(B1060,'MSA-Lookup'!$H$2:$I$86,2)</f>
        <v>7360</v>
      </c>
      <c r="F1060" s="0" t="n">
        <f aca="false">IF(C1060&gt;1,IF(C1060&lt;99,VLOOKUP(C1060,'MSA-Lookup'!$H$1:$I$86,2),C1060),C1060)</f>
        <v>7400</v>
      </c>
      <c r="G1060" s="0" t="n">
        <f aca="false">VLOOKUP(E1060,'MSA-Lookup'!$AA$1:$AB$25,2)</f>
        <v>7362</v>
      </c>
      <c r="H1060" s="0" t="n">
        <f aca="false">IF(C1060&gt;1,IF(C1060&lt;99,VLOOKUP(F1060,'MSA-Lookup'!$AA$1:$AB$25,2),C1060),C1060)</f>
        <v>7362</v>
      </c>
    </row>
    <row r="1061" customFormat="false" ht="12.75" hidden="false" customHeight="false" outlineLevel="0" collapsed="false">
      <c r="A1061" s="0" t="n">
        <f aca="false">B1061*1000+C1061</f>
        <v>22051</v>
      </c>
      <c r="B1061" s="0" t="n">
        <v>22</v>
      </c>
      <c r="C1061" s="0" t="n">
        <v>51</v>
      </c>
      <c r="D1061" s="0" t="n">
        <v>6305</v>
      </c>
      <c r="E1061" s="0" t="n">
        <f aca="false">VLOOKUP(B1061,'MSA-Lookup'!$H$2:$I$86,2)</f>
        <v>7360</v>
      </c>
      <c r="F1061" s="0" t="n">
        <f aca="false">IF(C1061&gt;1,IF(C1061&lt;99,VLOOKUP(C1061,'MSA-Lookup'!$H$1:$I$86,2),C1061),C1061)</f>
        <v>7400</v>
      </c>
      <c r="G1061" s="0" t="n">
        <f aca="false">VLOOKUP(E1061,'MSA-Lookup'!$AA$1:$AB$25,2)</f>
        <v>7362</v>
      </c>
      <c r="H1061" s="0" t="n">
        <f aca="false">IF(C1061&gt;1,IF(C1061&lt;99,VLOOKUP(F1061,'MSA-Lookup'!$AA$1:$AB$25,2),C1061),C1061)</f>
        <v>7362</v>
      </c>
    </row>
    <row r="1062" customFormat="false" ht="12.75" hidden="false" customHeight="false" outlineLevel="0" collapsed="false">
      <c r="A1062" s="0" t="n">
        <f aca="false">B1062*1000+C1062</f>
        <v>22052</v>
      </c>
      <c r="B1062" s="0" t="n">
        <v>22</v>
      </c>
      <c r="C1062" s="0" t="n">
        <v>52</v>
      </c>
      <c r="D1062" s="0" t="n">
        <v>91</v>
      </c>
      <c r="E1062" s="0" t="n">
        <f aca="false">VLOOKUP(B1062,'MSA-Lookup'!$H$2:$I$86,2)</f>
        <v>7360</v>
      </c>
      <c r="F1062" s="0" t="n">
        <f aca="false">IF(C1062&gt;1,IF(C1062&lt;99,VLOOKUP(C1062,'MSA-Lookup'!$H$1:$I$86,2),C1062),C1062)</f>
        <v>4480</v>
      </c>
      <c r="G1062" s="0" t="n">
        <f aca="false">VLOOKUP(E1062,'MSA-Lookup'!$AA$1:$AB$25,2)</f>
        <v>7362</v>
      </c>
      <c r="H1062" s="0" t="n">
        <f aca="false">IF(C1062&gt;1,IF(C1062&lt;99,VLOOKUP(F1062,'MSA-Lookup'!$AA$1:$AB$25,2),C1062),C1062)</f>
        <v>4472</v>
      </c>
    </row>
    <row r="1063" customFormat="false" ht="12.75" hidden="false" customHeight="false" outlineLevel="0" collapsed="false">
      <c r="A1063" s="0" t="n">
        <f aca="false">B1063*1000+C1063</f>
        <v>22053</v>
      </c>
      <c r="B1063" s="0" t="n">
        <v>22</v>
      </c>
      <c r="C1063" s="0" t="n">
        <v>53</v>
      </c>
      <c r="D1063" s="0" t="n">
        <v>0</v>
      </c>
      <c r="E1063" s="0" t="n">
        <f aca="false">VLOOKUP(B1063,'MSA-Lookup'!$H$2:$I$86,2)</f>
        <v>7360</v>
      </c>
      <c r="F1063" s="0" t="n">
        <f aca="false">IF(C1063&gt;1,IF(C1063&lt;99,VLOOKUP(C1063,'MSA-Lookup'!$H$1:$I$86,2),C1063),C1063)</f>
        <v>4480</v>
      </c>
      <c r="G1063" s="0" t="n">
        <f aca="false">VLOOKUP(E1063,'MSA-Lookup'!$AA$1:$AB$25,2)</f>
        <v>7362</v>
      </c>
      <c r="H1063" s="0" t="n">
        <f aca="false">IF(C1063&gt;1,IF(C1063&lt;99,VLOOKUP(F1063,'MSA-Lookup'!$AA$1:$AB$25,2),C1063),C1063)</f>
        <v>4472</v>
      </c>
    </row>
    <row r="1064" customFormat="false" ht="12.75" hidden="false" customHeight="false" outlineLevel="0" collapsed="false">
      <c r="A1064" s="0" t="n">
        <f aca="false">B1064*1000+C1064</f>
        <v>22054</v>
      </c>
      <c r="B1064" s="0" t="n">
        <v>22</v>
      </c>
      <c r="C1064" s="0" t="n">
        <v>54</v>
      </c>
      <c r="D1064" s="0" t="n">
        <v>0</v>
      </c>
      <c r="E1064" s="0" t="n">
        <f aca="false">VLOOKUP(B1064,'MSA-Lookup'!$H$2:$I$86,2)</f>
        <v>7360</v>
      </c>
      <c r="F1064" s="0" t="n">
        <f aca="false">IF(C1064&gt;1,IF(C1064&lt;99,VLOOKUP(C1064,'MSA-Lookup'!$H$1:$I$86,2),C1064),C1064)</f>
        <v>4480</v>
      </c>
      <c r="G1064" s="0" t="n">
        <f aca="false">VLOOKUP(E1064,'MSA-Lookup'!$AA$1:$AB$25,2)</f>
        <v>7362</v>
      </c>
      <c r="H1064" s="0" t="n">
        <f aca="false">IF(C1064&gt;1,IF(C1064&lt;99,VLOOKUP(F1064,'MSA-Lookup'!$AA$1:$AB$25,2),C1064),C1064)</f>
        <v>4472</v>
      </c>
    </row>
    <row r="1065" customFormat="false" ht="12.75" hidden="false" customHeight="false" outlineLevel="0" collapsed="false">
      <c r="A1065" s="0" t="n">
        <f aca="false">B1065*1000+C1065</f>
        <v>22055</v>
      </c>
      <c r="B1065" s="0" t="n">
        <v>22</v>
      </c>
      <c r="C1065" s="0" t="n">
        <v>55</v>
      </c>
      <c r="D1065" s="0" t="n">
        <v>130</v>
      </c>
      <c r="E1065" s="0" t="n">
        <f aca="false">VLOOKUP(B1065,'MSA-Lookup'!$H$2:$I$86,2)</f>
        <v>7360</v>
      </c>
      <c r="F1065" s="0" t="n">
        <f aca="false">IF(C1065&gt;1,IF(C1065&lt;99,VLOOKUP(C1065,'MSA-Lookup'!$H$1:$I$86,2),C1065),C1065)</f>
        <v>4480</v>
      </c>
      <c r="G1065" s="0" t="n">
        <f aca="false">VLOOKUP(E1065,'MSA-Lookup'!$AA$1:$AB$25,2)</f>
        <v>7362</v>
      </c>
      <c r="H1065" s="0" t="n">
        <f aca="false">IF(C1065&gt;1,IF(C1065&lt;99,VLOOKUP(F1065,'MSA-Lookup'!$AA$1:$AB$25,2),C1065),C1065)</f>
        <v>4472</v>
      </c>
    </row>
    <row r="1066" customFormat="false" ht="12.75" hidden="false" customHeight="false" outlineLevel="0" collapsed="false">
      <c r="A1066" s="0" t="n">
        <f aca="false">B1066*1000+C1066</f>
        <v>22057</v>
      </c>
      <c r="B1066" s="0" t="n">
        <v>22</v>
      </c>
      <c r="C1066" s="0" t="n">
        <v>57</v>
      </c>
      <c r="D1066" s="0" t="n">
        <v>0</v>
      </c>
      <c r="E1066" s="0" t="n">
        <f aca="false">VLOOKUP(B1066,'MSA-Lookup'!$H$2:$I$86,2)</f>
        <v>7360</v>
      </c>
      <c r="F1066" s="0" t="n">
        <f aca="false">IF(C1066&gt;1,IF(C1066&lt;99,VLOOKUP(C1066,'MSA-Lookup'!$H$1:$I$86,2),C1066),C1066)</f>
        <v>4480</v>
      </c>
      <c r="G1066" s="0" t="n">
        <f aca="false">VLOOKUP(E1066,'MSA-Lookup'!$AA$1:$AB$25,2)</f>
        <v>7362</v>
      </c>
      <c r="H1066" s="0" t="n">
        <f aca="false">IF(C1066&gt;1,IF(C1066&lt;99,VLOOKUP(F1066,'MSA-Lookup'!$AA$1:$AB$25,2),C1066),C1066)</f>
        <v>4472</v>
      </c>
    </row>
    <row r="1067" customFormat="false" ht="12.75" hidden="false" customHeight="false" outlineLevel="0" collapsed="false">
      <c r="A1067" s="0" t="n">
        <f aca="false">B1067*1000+C1067</f>
        <v>22059</v>
      </c>
      <c r="B1067" s="0" t="n">
        <v>22</v>
      </c>
      <c r="C1067" s="0" t="n">
        <v>59</v>
      </c>
      <c r="D1067" s="0" t="n">
        <v>0</v>
      </c>
      <c r="E1067" s="0" t="n">
        <f aca="false">VLOOKUP(B1067,'MSA-Lookup'!$H$2:$I$86,2)</f>
        <v>7360</v>
      </c>
      <c r="F1067" s="0" t="n">
        <f aca="false">IF(C1067&gt;1,IF(C1067&lt;99,VLOOKUP(C1067,'MSA-Lookup'!$H$1:$I$86,2),C1067),C1067)</f>
        <v>4480</v>
      </c>
      <c r="G1067" s="0" t="n">
        <f aca="false">VLOOKUP(E1067,'MSA-Lookup'!$AA$1:$AB$25,2)</f>
        <v>7362</v>
      </c>
      <c r="H1067" s="0" t="n">
        <f aca="false">IF(C1067&gt;1,IF(C1067&lt;99,VLOOKUP(F1067,'MSA-Lookup'!$AA$1:$AB$25,2),C1067),C1067)</f>
        <v>4472</v>
      </c>
    </row>
    <row r="1068" customFormat="false" ht="12.75" hidden="false" customHeight="false" outlineLevel="0" collapsed="false">
      <c r="A1068" s="0" t="n">
        <f aca="false">B1068*1000+C1068</f>
        <v>22060</v>
      </c>
      <c r="B1068" s="0" t="n">
        <v>22</v>
      </c>
      <c r="C1068" s="0" t="n">
        <v>60</v>
      </c>
      <c r="D1068" s="0" t="n">
        <v>0</v>
      </c>
      <c r="E1068" s="0" t="n">
        <f aca="false">VLOOKUP(B1068,'MSA-Lookup'!$H$2:$I$86,2)</f>
        <v>7360</v>
      </c>
      <c r="F1068" s="0" t="n">
        <f aca="false">IF(C1068&gt;1,IF(C1068&lt;99,VLOOKUP(C1068,'MSA-Lookup'!$H$1:$I$86,2),C1068),C1068)</f>
        <v>4480</v>
      </c>
      <c r="G1068" s="0" t="n">
        <f aca="false">VLOOKUP(E1068,'MSA-Lookup'!$AA$1:$AB$25,2)</f>
        <v>7362</v>
      </c>
      <c r="H1068" s="0" t="n">
        <f aca="false">IF(C1068&gt;1,IF(C1068&lt;99,VLOOKUP(F1068,'MSA-Lookup'!$AA$1:$AB$25,2),C1068),C1068)</f>
        <v>4472</v>
      </c>
    </row>
    <row r="1069" customFormat="false" ht="12.75" hidden="false" customHeight="false" outlineLevel="0" collapsed="false">
      <c r="A1069" s="0" t="n">
        <f aca="false">B1069*1000+C1069</f>
        <v>22062</v>
      </c>
      <c r="B1069" s="0" t="n">
        <v>22</v>
      </c>
      <c r="C1069" s="0" t="n">
        <v>62</v>
      </c>
      <c r="D1069" s="0" t="n">
        <v>0</v>
      </c>
      <c r="E1069" s="0" t="n">
        <f aca="false">VLOOKUP(B1069,'MSA-Lookup'!$H$2:$I$86,2)</f>
        <v>7360</v>
      </c>
      <c r="F1069" s="0" t="n">
        <f aca="false">IF(C1069&gt;1,IF(C1069&lt;99,VLOOKUP(C1069,'MSA-Lookup'!$H$1:$I$86,2),C1069),C1069)</f>
        <v>4480</v>
      </c>
      <c r="G1069" s="0" t="n">
        <f aca="false">VLOOKUP(E1069,'MSA-Lookup'!$AA$1:$AB$25,2)</f>
        <v>7362</v>
      </c>
      <c r="H1069" s="0" t="n">
        <f aca="false">IF(C1069&gt;1,IF(C1069&lt;99,VLOOKUP(F1069,'MSA-Lookup'!$AA$1:$AB$25,2),C1069),C1069)</f>
        <v>4472</v>
      </c>
    </row>
    <row r="1070" customFormat="false" ht="12.75" hidden="false" customHeight="false" outlineLevel="0" collapsed="false">
      <c r="A1070" s="0" t="n">
        <f aca="false">B1070*1000+C1070</f>
        <v>22064</v>
      </c>
      <c r="B1070" s="0" t="n">
        <v>22</v>
      </c>
      <c r="C1070" s="0" t="n">
        <v>64</v>
      </c>
      <c r="D1070" s="0" t="n">
        <v>0</v>
      </c>
      <c r="E1070" s="0" t="n">
        <f aca="false">VLOOKUP(B1070,'MSA-Lookup'!$H$2:$I$86,2)</f>
        <v>7360</v>
      </c>
      <c r="F1070" s="0" t="n">
        <f aca="false">IF(C1070&gt;1,IF(C1070&lt;99,VLOOKUP(C1070,'MSA-Lookup'!$H$1:$I$86,2),C1070),C1070)</f>
        <v>4480</v>
      </c>
      <c r="G1070" s="0" t="n">
        <f aca="false">VLOOKUP(E1070,'MSA-Lookup'!$AA$1:$AB$25,2)</f>
        <v>7362</v>
      </c>
      <c r="H1070" s="0" t="n">
        <f aca="false">IF(C1070&gt;1,IF(C1070&lt;99,VLOOKUP(F1070,'MSA-Lookup'!$AA$1:$AB$25,2),C1070),C1070)</f>
        <v>4472</v>
      </c>
    </row>
    <row r="1071" customFormat="false" ht="12.75" hidden="false" customHeight="false" outlineLevel="0" collapsed="false">
      <c r="A1071" s="0" t="n">
        <f aca="false">B1071*1000+C1071</f>
        <v>22065</v>
      </c>
      <c r="B1071" s="0" t="n">
        <v>22</v>
      </c>
      <c r="C1071" s="0" t="n">
        <v>65</v>
      </c>
      <c r="D1071" s="0" t="n">
        <v>78</v>
      </c>
      <c r="E1071" s="0" t="n">
        <f aca="false">VLOOKUP(B1071,'MSA-Lookup'!$H$2:$I$86,2)</f>
        <v>7360</v>
      </c>
      <c r="F1071" s="0" t="n">
        <f aca="false">IF(C1071&gt;1,IF(C1071&lt;99,VLOOKUP(C1071,'MSA-Lookup'!$H$1:$I$86,2),C1071),C1071)</f>
        <v>4480</v>
      </c>
      <c r="G1071" s="0" t="n">
        <f aca="false">VLOOKUP(E1071,'MSA-Lookup'!$AA$1:$AB$25,2)</f>
        <v>7362</v>
      </c>
      <c r="H1071" s="0" t="n">
        <f aca="false">IF(C1071&gt;1,IF(C1071&lt;99,VLOOKUP(F1071,'MSA-Lookup'!$AA$1:$AB$25,2),C1071),C1071)</f>
        <v>4472</v>
      </c>
    </row>
    <row r="1072" customFormat="false" ht="12.75" hidden="false" customHeight="false" outlineLevel="0" collapsed="false">
      <c r="A1072" s="0" t="n">
        <f aca="false">B1072*1000+C1072</f>
        <v>22066</v>
      </c>
      <c r="B1072" s="0" t="n">
        <v>22</v>
      </c>
      <c r="C1072" s="0" t="n">
        <v>66</v>
      </c>
      <c r="D1072" s="0" t="n">
        <v>182</v>
      </c>
      <c r="E1072" s="0" t="n">
        <f aca="false">VLOOKUP(B1072,'MSA-Lookup'!$H$2:$I$86,2)</f>
        <v>7360</v>
      </c>
      <c r="F1072" s="0" t="n">
        <f aca="false">IF(C1072&gt;1,IF(C1072&lt;99,VLOOKUP(C1072,'MSA-Lookup'!$H$1:$I$86,2),C1072),C1072)</f>
        <v>4480</v>
      </c>
      <c r="G1072" s="0" t="n">
        <f aca="false">VLOOKUP(E1072,'MSA-Lookup'!$AA$1:$AB$25,2)</f>
        <v>7362</v>
      </c>
      <c r="H1072" s="0" t="n">
        <f aca="false">IF(C1072&gt;1,IF(C1072&lt;99,VLOOKUP(F1072,'MSA-Lookup'!$AA$1:$AB$25,2),C1072),C1072)</f>
        <v>4472</v>
      </c>
    </row>
    <row r="1073" customFormat="false" ht="12.75" hidden="false" customHeight="false" outlineLevel="0" collapsed="false">
      <c r="A1073" s="0" t="n">
        <f aca="false">B1073*1000+C1073</f>
        <v>22067</v>
      </c>
      <c r="B1073" s="0" t="n">
        <v>22</v>
      </c>
      <c r="C1073" s="0" t="n">
        <v>67</v>
      </c>
      <c r="D1073" s="0" t="n">
        <v>0</v>
      </c>
      <c r="E1073" s="0" t="n">
        <f aca="false">VLOOKUP(B1073,'MSA-Lookup'!$H$2:$I$86,2)</f>
        <v>7360</v>
      </c>
      <c r="F1073" s="0" t="n">
        <f aca="false">IF(C1073&gt;1,IF(C1073&lt;99,VLOOKUP(C1073,'MSA-Lookup'!$H$1:$I$86,2),C1073),C1073)</f>
        <v>6000</v>
      </c>
      <c r="G1073" s="0" t="n">
        <f aca="false">VLOOKUP(E1073,'MSA-Lookup'!$AA$1:$AB$25,2)</f>
        <v>7362</v>
      </c>
      <c r="H1073" s="0" t="n">
        <f aca="false">IF(C1073&gt;1,IF(C1073&lt;99,VLOOKUP(F1073,'MSA-Lookup'!$AA$1:$AB$25,2),C1073),C1073)</f>
        <v>4472</v>
      </c>
    </row>
    <row r="1074" customFormat="false" ht="12.75" hidden="false" customHeight="false" outlineLevel="0" collapsed="false">
      <c r="A1074" s="0" t="n">
        <f aca="false">B1074*1000+C1074</f>
        <v>22069</v>
      </c>
      <c r="B1074" s="0" t="n">
        <v>22</v>
      </c>
      <c r="C1074" s="0" t="n">
        <v>69</v>
      </c>
      <c r="D1074" s="0" t="n">
        <v>143</v>
      </c>
      <c r="E1074" s="0" t="n">
        <f aca="false">VLOOKUP(B1074,'MSA-Lookup'!$H$2:$I$86,2)</f>
        <v>7360</v>
      </c>
      <c r="F1074" s="0" t="n">
        <f aca="false">IF(C1074&gt;1,IF(C1074&lt;99,VLOOKUP(C1074,'MSA-Lookup'!$H$1:$I$86,2),C1074),C1074)</f>
        <v>6780</v>
      </c>
      <c r="G1074" s="0" t="n">
        <f aca="false">VLOOKUP(E1074,'MSA-Lookup'!$AA$1:$AB$25,2)</f>
        <v>7362</v>
      </c>
      <c r="H1074" s="0" t="n">
        <f aca="false">IF(C1074&gt;1,IF(C1074&lt;99,VLOOKUP(F1074,'MSA-Lookup'!$AA$1:$AB$25,2),C1074),C1074)</f>
        <v>4472</v>
      </c>
    </row>
    <row r="1075" customFormat="false" ht="12.75" hidden="false" customHeight="false" outlineLevel="0" collapsed="false">
      <c r="A1075" s="0" t="n">
        <f aca="false">B1075*1000+C1075</f>
        <v>22071</v>
      </c>
      <c r="B1075" s="0" t="n">
        <v>22</v>
      </c>
      <c r="C1075" s="0" t="n">
        <v>71</v>
      </c>
      <c r="D1075" s="0" t="n">
        <v>0</v>
      </c>
      <c r="E1075" s="0" t="n">
        <f aca="false">VLOOKUP(B1075,'MSA-Lookup'!$H$2:$I$86,2)</f>
        <v>7360</v>
      </c>
      <c r="F1075" s="0" t="n">
        <f aca="false">IF(C1075&gt;1,IF(C1075&lt;99,VLOOKUP(C1075,'MSA-Lookup'!$H$1:$I$86,2),C1075),C1075)</f>
        <v>6780</v>
      </c>
      <c r="G1075" s="0" t="n">
        <f aca="false">VLOOKUP(E1075,'MSA-Lookup'!$AA$1:$AB$25,2)</f>
        <v>7362</v>
      </c>
      <c r="H1075" s="0" t="n">
        <f aca="false">IF(C1075&gt;1,IF(C1075&lt;99,VLOOKUP(F1075,'MSA-Lookup'!$AA$1:$AB$25,2),C1075),C1075)</f>
        <v>4472</v>
      </c>
    </row>
    <row r="1076" customFormat="false" ht="12.75" hidden="false" customHeight="false" outlineLevel="0" collapsed="false">
      <c r="A1076" s="0" t="n">
        <f aca="false">B1076*1000+C1076</f>
        <v>22072</v>
      </c>
      <c r="B1076" s="0" t="n">
        <v>22</v>
      </c>
      <c r="C1076" s="0" t="n">
        <v>72</v>
      </c>
      <c r="D1076" s="0" t="n">
        <v>0</v>
      </c>
      <c r="E1076" s="0" t="n">
        <f aca="false">VLOOKUP(B1076,'MSA-Lookup'!$H$2:$I$86,2)</f>
        <v>7360</v>
      </c>
      <c r="F1076" s="0" t="n">
        <f aca="false">IF(C1076&gt;1,IF(C1076&lt;99,VLOOKUP(C1076,'MSA-Lookup'!$H$1:$I$86,2),C1076),C1076)</f>
        <v>6780</v>
      </c>
      <c r="G1076" s="0" t="n">
        <f aca="false">VLOOKUP(E1076,'MSA-Lookup'!$AA$1:$AB$25,2)</f>
        <v>7362</v>
      </c>
      <c r="H1076" s="0" t="n">
        <f aca="false">IF(C1076&gt;1,IF(C1076&lt;99,VLOOKUP(F1076,'MSA-Lookup'!$AA$1:$AB$25,2),C1076),C1076)</f>
        <v>4472</v>
      </c>
    </row>
    <row r="1077" customFormat="false" ht="12.75" hidden="false" customHeight="false" outlineLevel="0" collapsed="false">
      <c r="A1077" s="0" t="n">
        <f aca="false">B1077*1000+C1077</f>
        <v>22073</v>
      </c>
      <c r="B1077" s="0" t="n">
        <v>22</v>
      </c>
      <c r="C1077" s="0" t="n">
        <v>73</v>
      </c>
      <c r="D1077" s="0" t="n">
        <v>0</v>
      </c>
      <c r="E1077" s="0" t="n">
        <f aca="false">VLOOKUP(B1077,'MSA-Lookup'!$H$2:$I$86,2)</f>
        <v>7360</v>
      </c>
      <c r="F1077" s="0" t="n">
        <f aca="false">IF(C1077&gt;1,IF(C1077&lt;99,VLOOKUP(C1077,'MSA-Lookup'!$H$1:$I$86,2),C1077),C1077)</f>
        <v>8720</v>
      </c>
      <c r="G1077" s="0" t="n">
        <f aca="false">VLOOKUP(E1077,'MSA-Lookup'!$AA$1:$AB$25,2)</f>
        <v>7362</v>
      </c>
      <c r="H1077" s="0" t="n">
        <f aca="false">IF(C1077&gt;1,IF(C1077&lt;99,VLOOKUP(F1077,'MSA-Lookup'!$AA$1:$AB$25,2),C1077),C1077)</f>
        <v>7362</v>
      </c>
    </row>
    <row r="1078" customFormat="false" ht="12.75" hidden="false" customHeight="false" outlineLevel="0" collapsed="false">
      <c r="A1078" s="0" t="n">
        <f aca="false">B1078*1000+C1078</f>
        <v>22075</v>
      </c>
      <c r="B1078" s="0" t="n">
        <v>22</v>
      </c>
      <c r="C1078" s="0" t="n">
        <v>75</v>
      </c>
      <c r="D1078" s="0" t="n">
        <v>0</v>
      </c>
      <c r="E1078" s="0" t="n">
        <f aca="false">VLOOKUP(B1078,'MSA-Lookup'!$H$2:$I$86,2)</f>
        <v>7360</v>
      </c>
      <c r="F1078" s="0" t="n">
        <f aca="false">IF(C1078&gt;1,IF(C1078&lt;99,VLOOKUP(C1078,'MSA-Lookup'!$H$1:$I$86,2),C1078),C1078)</f>
        <v>8780</v>
      </c>
      <c r="G1078" s="0" t="n">
        <f aca="false">VLOOKUP(E1078,'MSA-Lookup'!$AA$1:$AB$25,2)</f>
        <v>7362</v>
      </c>
      <c r="H1078" s="0" t="n">
        <f aca="false">IF(C1078&gt;1,IF(C1078&lt;99,VLOOKUP(F1078,'MSA-Lookup'!$AA$1:$AB$25,2),C1078),C1078)</f>
        <v>8780</v>
      </c>
    </row>
    <row r="1079" customFormat="false" ht="12.75" hidden="false" customHeight="false" outlineLevel="0" collapsed="false">
      <c r="A1079" s="0" t="n">
        <f aca="false">B1079*1000+C1079</f>
        <v>22076</v>
      </c>
      <c r="B1079" s="0" t="n">
        <v>22</v>
      </c>
      <c r="C1079" s="0" t="n">
        <v>76</v>
      </c>
      <c r="D1079" s="0" t="n">
        <v>325</v>
      </c>
      <c r="E1079" s="0" t="n">
        <f aca="false">VLOOKUP(B1079,'MSA-Lookup'!$H$2:$I$86,2)</f>
        <v>7360</v>
      </c>
      <c r="F1079" s="0" t="n">
        <f aca="false">IF(C1079&gt;1,IF(C1079&lt;99,VLOOKUP(C1079,'MSA-Lookup'!$H$1:$I$86,2),C1079),C1079)</f>
        <v>7485</v>
      </c>
      <c r="G1079" s="0" t="n">
        <f aca="false">VLOOKUP(E1079,'MSA-Lookup'!$AA$1:$AB$25,2)</f>
        <v>7362</v>
      </c>
      <c r="H1079" s="0" t="n">
        <f aca="false">IF(C1079&gt;1,IF(C1079&lt;99,VLOOKUP(F1079,'MSA-Lookup'!$AA$1:$AB$25,2),C1079),C1079)</f>
        <v>7362</v>
      </c>
    </row>
    <row r="1080" customFormat="false" ht="12.75" hidden="false" customHeight="false" outlineLevel="0" collapsed="false">
      <c r="A1080" s="0" t="n">
        <f aca="false">B1080*1000+C1080</f>
        <v>22079</v>
      </c>
      <c r="B1080" s="0" t="n">
        <v>22</v>
      </c>
      <c r="C1080" s="0" t="n">
        <v>79</v>
      </c>
      <c r="D1080" s="0" t="n">
        <v>0</v>
      </c>
      <c r="E1080" s="0" t="n">
        <f aca="false">VLOOKUP(B1080,'MSA-Lookup'!$H$2:$I$86,2)</f>
        <v>7360</v>
      </c>
      <c r="F1080" s="0" t="n">
        <f aca="false">IF(C1080&gt;1,IF(C1080&lt;99,VLOOKUP(C1080,'MSA-Lookup'!$H$1:$I$86,2),C1080),C1080)</f>
        <v>680</v>
      </c>
      <c r="G1080" s="0" t="n">
        <f aca="false">VLOOKUP(E1080,'MSA-Lookup'!$AA$1:$AB$25,2)</f>
        <v>7362</v>
      </c>
      <c r="H1080" s="0" t="n">
        <f aca="false">IF(C1080&gt;1,IF(C1080&lt;99,VLOOKUP(F1080,'MSA-Lookup'!$AA$1:$AB$25,2),C1080),C1080)</f>
        <v>680</v>
      </c>
    </row>
    <row r="1081" customFormat="false" ht="12.75" hidden="false" customHeight="false" outlineLevel="0" collapsed="false">
      <c r="A1081" s="0" t="n">
        <f aca="false">B1081*1000+C1081</f>
        <v>22080</v>
      </c>
      <c r="B1081" s="0" t="n">
        <v>22</v>
      </c>
      <c r="C1081" s="0" t="n">
        <v>80</v>
      </c>
      <c r="D1081" s="0" t="n">
        <v>0</v>
      </c>
      <c r="E1081" s="0" t="n">
        <f aca="false">VLOOKUP(B1081,'MSA-Lookup'!$H$2:$I$86,2)</f>
        <v>7360</v>
      </c>
      <c r="F1081" s="0" t="n">
        <f aca="false">IF(C1081&gt;1,IF(C1081&lt;99,VLOOKUP(C1081,'MSA-Lookup'!$H$1:$I$86,2),C1081),C1081)</f>
        <v>9999</v>
      </c>
      <c r="G1081" s="0" t="n">
        <f aca="false">VLOOKUP(E1081,'MSA-Lookup'!$AA$1:$AB$25,2)</f>
        <v>7362</v>
      </c>
      <c r="H1081" s="0" t="n">
        <f aca="false">IF(C1081&gt;1,IF(C1081&lt;99,VLOOKUP(F1081,'MSA-Lookup'!$AA$1:$AB$25,2),C1081),C1081)</f>
        <v>9999</v>
      </c>
    </row>
    <row r="1082" customFormat="false" ht="12.75" hidden="false" customHeight="false" outlineLevel="0" collapsed="false">
      <c r="A1082" s="0" t="n">
        <f aca="false">B1082*1000+C1082</f>
        <v>22082</v>
      </c>
      <c r="B1082" s="0" t="n">
        <v>22</v>
      </c>
      <c r="C1082" s="0" t="n">
        <v>82</v>
      </c>
      <c r="D1082" s="0" t="n">
        <v>0</v>
      </c>
      <c r="E1082" s="0" t="n">
        <f aca="false">VLOOKUP(B1082,'MSA-Lookup'!$H$2:$I$86,2)</f>
        <v>7360</v>
      </c>
      <c r="F1082" s="0" t="n">
        <f aca="false">IF(C1082&gt;1,IF(C1082&lt;99,VLOOKUP(C1082,'MSA-Lookup'!$H$1:$I$86,2),C1082),C1082)</f>
        <v>6780</v>
      </c>
      <c r="G1082" s="0" t="n">
        <f aca="false">VLOOKUP(E1082,'MSA-Lookup'!$AA$1:$AB$25,2)</f>
        <v>7362</v>
      </c>
      <c r="H1082" s="0" t="n">
        <f aca="false">IF(C1082&gt;1,IF(C1082&lt;99,VLOOKUP(F1082,'MSA-Lookup'!$AA$1:$AB$25,2),C1082),C1082)</f>
        <v>4472</v>
      </c>
    </row>
    <row r="1083" customFormat="false" ht="12.75" hidden="false" customHeight="false" outlineLevel="0" collapsed="false">
      <c r="A1083" s="0" t="n">
        <f aca="false">B1083*1000+C1083</f>
        <v>22085</v>
      </c>
      <c r="B1083" s="0" t="n">
        <v>22</v>
      </c>
      <c r="C1083" s="0" t="n">
        <v>85</v>
      </c>
      <c r="D1083" s="0" t="n">
        <v>0</v>
      </c>
      <c r="E1083" s="0" t="n">
        <f aca="false">VLOOKUP(B1083,'MSA-Lookup'!$H$2:$I$86,2)</f>
        <v>7360</v>
      </c>
      <c r="F1083" s="0" t="n">
        <f aca="false">IF(C1083&gt;1,IF(C1083&lt;99,VLOOKUP(C1083,'MSA-Lookup'!$H$1:$I$86,2),C1083),C1083)</f>
        <v>8120</v>
      </c>
      <c r="G1083" s="0" t="n">
        <f aca="false">VLOOKUP(E1083,'MSA-Lookup'!$AA$1:$AB$25,2)</f>
        <v>7362</v>
      </c>
      <c r="H1083" s="0" t="n">
        <f aca="false">IF(C1083&gt;1,IF(C1083&lt;99,VLOOKUP(F1083,'MSA-Lookup'!$AA$1:$AB$25,2),C1083),C1083)</f>
        <v>8120</v>
      </c>
    </row>
    <row r="1084" customFormat="false" ht="12.75" hidden="false" customHeight="false" outlineLevel="0" collapsed="false">
      <c r="A1084" s="0" t="n">
        <f aca="false">B1084*1000+C1084</f>
        <v>22858</v>
      </c>
      <c r="B1084" s="0" t="n">
        <v>22</v>
      </c>
      <c r="C1084" s="0" t="n">
        <v>858</v>
      </c>
      <c r="D1084" s="0" t="n">
        <v>0</v>
      </c>
      <c r="E1084" s="0" t="n">
        <f aca="false">VLOOKUP(B1084,'MSA-Lookup'!$H$2:$I$86,2)</f>
        <v>7360</v>
      </c>
      <c r="F1084" s="0" t="n">
        <f aca="false">IF(C1084&gt;1,IF(C1084&lt;99,VLOOKUP(C1084,'MSA-Lookup'!$H$1:$I$86,2),C1084),C1084)</f>
        <v>858</v>
      </c>
      <c r="G1084" s="0" t="n">
        <f aca="false">VLOOKUP(E1084,'MSA-Lookup'!$AA$1:$AB$25,2)</f>
        <v>7362</v>
      </c>
      <c r="H1084" s="0" t="n">
        <f aca="false">IF(C1084&gt;1,IF(C1084&lt;99,VLOOKUP(F1084,'MSA-Lookup'!$AA$1:$AB$25,2),C1084),C1084)</f>
        <v>858</v>
      </c>
    </row>
    <row r="1085" customFormat="false" ht="12.75" hidden="false" customHeight="false" outlineLevel="0" collapsed="false">
      <c r="A1085" s="0" t="n">
        <f aca="false">B1085*1000+C1085</f>
        <v>22999</v>
      </c>
      <c r="B1085" s="0" t="n">
        <v>22</v>
      </c>
      <c r="C1085" s="0" t="n">
        <v>999</v>
      </c>
      <c r="D1085" s="0" t="n">
        <v>234</v>
      </c>
      <c r="E1085" s="0" t="n">
        <f aca="false">VLOOKUP(B1085,'MSA-Lookup'!$H$2:$I$86,2)</f>
        <v>7360</v>
      </c>
      <c r="F1085" s="0" t="n">
        <f aca="false">IF(C1085&gt;1,IF(C1085&lt;99,VLOOKUP(C1085,'MSA-Lookup'!$H$1:$I$86,2),C1085),C1085)</f>
        <v>999</v>
      </c>
      <c r="G1085" s="0" t="n">
        <f aca="false">VLOOKUP(E1085,'MSA-Lookup'!$AA$1:$AB$25,2)</f>
        <v>7362</v>
      </c>
      <c r="H1085" s="0" t="n">
        <f aca="false">IF(C1085&gt;1,IF(C1085&lt;99,VLOOKUP(F1085,'MSA-Lookup'!$AA$1:$AB$25,2),C1085),C1085)</f>
        <v>999</v>
      </c>
    </row>
    <row r="1086" customFormat="false" ht="12.75" hidden="false" customHeight="false" outlineLevel="0" collapsed="false">
      <c r="A1086" s="0" t="n">
        <f aca="false">B1086*1000+C1086</f>
        <v>23000</v>
      </c>
      <c r="B1086" s="0" t="n">
        <v>23</v>
      </c>
      <c r="C1086" s="0" t="n">
        <v>0</v>
      </c>
      <c r="D1086" s="0" t="n">
        <v>154115</v>
      </c>
      <c r="E1086" s="0" t="n">
        <f aca="false">VLOOKUP(B1086,'MSA-Lookup'!$H$2:$I$86,2)</f>
        <v>8120</v>
      </c>
      <c r="F1086" s="0" t="n">
        <f aca="false">IF(C1086&gt;1,IF(C1086&lt;99,VLOOKUP(C1086,'MSA-Lookup'!$H$1:$I$86,2),C1086),C1086)</f>
        <v>0</v>
      </c>
      <c r="G1086" s="0" t="n">
        <f aca="false">VLOOKUP(E1086,'MSA-Lookup'!$AA$1:$AB$25,2)</f>
        <v>8120</v>
      </c>
      <c r="H1086" s="0" t="n">
        <f aca="false">IF(C1086&gt;1,IF(C1086&lt;99,VLOOKUP(F1086,'MSA-Lookup'!$AA$1:$AB$25,2),C1086),C1086)</f>
        <v>0</v>
      </c>
    </row>
    <row r="1087" customFormat="false" ht="12.75" hidden="false" customHeight="false" outlineLevel="0" collapsed="false">
      <c r="A1087" s="0" t="n">
        <f aca="false">B1087*1000+C1087</f>
        <v>23001</v>
      </c>
      <c r="B1087" s="0" t="n">
        <v>23</v>
      </c>
      <c r="C1087" s="0" t="n">
        <v>1</v>
      </c>
      <c r="D1087" s="0" t="n">
        <v>0</v>
      </c>
      <c r="E1087" s="0" t="n">
        <f aca="false">VLOOKUP(B1087,'MSA-Lookup'!$H$2:$I$86,2)</f>
        <v>8120</v>
      </c>
      <c r="F1087" s="0" t="n">
        <f aca="false">IF(C1087&gt;1,IF(C1087&lt;99,VLOOKUP(C1087,'MSA-Lookup'!$H$1:$I$86,2),C1087),C1087)</f>
        <v>1</v>
      </c>
      <c r="G1087" s="0" t="n">
        <f aca="false">VLOOKUP(E1087,'MSA-Lookup'!$AA$1:$AB$25,2)</f>
        <v>8120</v>
      </c>
      <c r="H1087" s="0" t="n">
        <f aca="false">IF(C1087&gt;1,IF(C1087&lt;99,VLOOKUP(F1087,'MSA-Lookup'!$AA$1:$AB$25,2),C1087),C1087)</f>
        <v>1</v>
      </c>
    </row>
    <row r="1088" customFormat="false" ht="12.75" hidden="false" customHeight="false" outlineLevel="0" collapsed="false">
      <c r="A1088" s="0" t="n">
        <f aca="false">B1088*1000+C1088</f>
        <v>23002</v>
      </c>
      <c r="B1088" s="0" t="n">
        <v>23</v>
      </c>
      <c r="C1088" s="0" t="n">
        <v>2</v>
      </c>
      <c r="D1088" s="0" t="n">
        <v>0</v>
      </c>
      <c r="E1088" s="0" t="n">
        <f aca="false">VLOOKUP(B1088,'MSA-Lookup'!$H$2:$I$86,2)</f>
        <v>8120</v>
      </c>
      <c r="F1088" s="0" t="n">
        <f aca="false">IF(C1088&gt;1,IF(C1088&lt;99,VLOOKUP(C1088,'MSA-Lookup'!$H$1:$I$86,2),C1088),C1088)</f>
        <v>9999</v>
      </c>
      <c r="G1088" s="0" t="n">
        <f aca="false">VLOOKUP(E1088,'MSA-Lookup'!$AA$1:$AB$25,2)</f>
        <v>8120</v>
      </c>
      <c r="H1088" s="0" t="n">
        <f aca="false">IF(C1088&gt;1,IF(C1088&lt;99,VLOOKUP(F1088,'MSA-Lookup'!$AA$1:$AB$25,2),C1088),C1088)</f>
        <v>9999</v>
      </c>
    </row>
    <row r="1089" customFormat="false" ht="12.75" hidden="false" customHeight="false" outlineLevel="0" collapsed="false">
      <c r="A1089" s="0" t="n">
        <f aca="false">B1089*1000+C1089</f>
        <v>23003</v>
      </c>
      <c r="B1089" s="0" t="n">
        <v>23</v>
      </c>
      <c r="C1089" s="0" t="n">
        <v>3</v>
      </c>
      <c r="D1089" s="0" t="n">
        <v>0</v>
      </c>
      <c r="E1089" s="0" t="n">
        <f aca="false">VLOOKUP(B1089,'MSA-Lookup'!$H$2:$I$86,2)</f>
        <v>8120</v>
      </c>
      <c r="F1089" s="0" t="n">
        <f aca="false">IF(C1089&gt;1,IF(C1089&lt;99,VLOOKUP(C1089,'MSA-Lookup'!$H$1:$I$86,2),C1089),C1089)</f>
        <v>6690</v>
      </c>
      <c r="G1089" s="0" t="n">
        <f aca="false">VLOOKUP(E1089,'MSA-Lookup'!$AA$1:$AB$25,2)</f>
        <v>8120</v>
      </c>
      <c r="H1089" s="0" t="n">
        <f aca="false">IF(C1089&gt;1,IF(C1089&lt;99,VLOOKUP(F1089,'MSA-Lookup'!$AA$1:$AB$25,2),C1089),C1089)</f>
        <v>6690</v>
      </c>
    </row>
    <row r="1090" customFormat="false" ht="12.75" hidden="false" customHeight="false" outlineLevel="0" collapsed="false">
      <c r="A1090" s="0" t="n">
        <f aca="false">B1090*1000+C1090</f>
        <v>23004</v>
      </c>
      <c r="B1090" s="0" t="n">
        <v>23</v>
      </c>
      <c r="C1090" s="0" t="n">
        <v>4</v>
      </c>
      <c r="D1090" s="0" t="n">
        <v>0</v>
      </c>
      <c r="E1090" s="0" t="n">
        <f aca="false">VLOOKUP(B1090,'MSA-Lookup'!$H$2:$I$86,2)</f>
        <v>8120</v>
      </c>
      <c r="F1090" s="0" t="n">
        <f aca="false">IF(C1090&gt;1,IF(C1090&lt;99,VLOOKUP(C1090,'MSA-Lookup'!$H$1:$I$86,2),C1090),C1090)</f>
        <v>9999</v>
      </c>
      <c r="G1090" s="0" t="n">
        <f aca="false">VLOOKUP(E1090,'MSA-Lookup'!$AA$1:$AB$25,2)</f>
        <v>8120</v>
      </c>
      <c r="H1090" s="0" t="n">
        <f aca="false">IF(C1090&gt;1,IF(C1090&lt;99,VLOOKUP(F1090,'MSA-Lookup'!$AA$1:$AB$25,2),C1090),C1090)</f>
        <v>9999</v>
      </c>
    </row>
    <row r="1091" customFormat="false" ht="12.75" hidden="false" customHeight="false" outlineLevel="0" collapsed="false">
      <c r="A1091" s="0" t="n">
        <f aca="false">B1091*1000+C1091</f>
        <v>23005</v>
      </c>
      <c r="B1091" s="0" t="n">
        <v>23</v>
      </c>
      <c r="C1091" s="0" t="n">
        <v>5</v>
      </c>
      <c r="D1091" s="0" t="n">
        <v>0</v>
      </c>
      <c r="E1091" s="0" t="n">
        <f aca="false">VLOOKUP(B1091,'MSA-Lookup'!$H$2:$I$86,2)</f>
        <v>8120</v>
      </c>
      <c r="F1091" s="0" t="n">
        <f aca="false">IF(C1091&gt;1,IF(C1091&lt;99,VLOOKUP(C1091,'MSA-Lookup'!$H$1:$I$86,2),C1091),C1091)</f>
        <v>9999</v>
      </c>
      <c r="G1091" s="0" t="n">
        <f aca="false">VLOOKUP(E1091,'MSA-Lookup'!$AA$1:$AB$25,2)</f>
        <v>8120</v>
      </c>
      <c r="H1091" s="0" t="n">
        <f aca="false">IF(C1091&gt;1,IF(C1091&lt;99,VLOOKUP(F1091,'MSA-Lookup'!$AA$1:$AB$25,2),C1091),C1091)</f>
        <v>9999</v>
      </c>
    </row>
    <row r="1092" customFormat="false" ht="12.75" hidden="false" customHeight="false" outlineLevel="0" collapsed="false">
      <c r="A1092" s="0" t="n">
        <f aca="false">B1092*1000+C1092</f>
        <v>23006</v>
      </c>
      <c r="B1092" s="0" t="n">
        <v>23</v>
      </c>
      <c r="C1092" s="0" t="n">
        <v>6</v>
      </c>
      <c r="D1092" s="0" t="n">
        <v>0</v>
      </c>
      <c r="E1092" s="0" t="n">
        <f aca="false">VLOOKUP(B1092,'MSA-Lookup'!$H$2:$I$86,2)</f>
        <v>8120</v>
      </c>
      <c r="F1092" s="0" t="n">
        <f aca="false">IF(C1092&gt;1,IF(C1092&lt;99,VLOOKUP(C1092,'MSA-Lookup'!$H$1:$I$86,2),C1092),C1092)</f>
        <v>1620</v>
      </c>
      <c r="G1092" s="0" t="n">
        <f aca="false">VLOOKUP(E1092,'MSA-Lookup'!$AA$1:$AB$25,2)</f>
        <v>8120</v>
      </c>
      <c r="H1092" s="0" t="n">
        <f aca="false">IF(C1092&gt;1,IF(C1092&lt;99,VLOOKUP(F1092,'MSA-Lookup'!$AA$1:$AB$25,2),C1092),C1092)</f>
        <v>1620</v>
      </c>
    </row>
    <row r="1093" customFormat="false" ht="12.75" hidden="false" customHeight="false" outlineLevel="0" collapsed="false">
      <c r="A1093" s="0" t="n">
        <f aca="false">B1093*1000+C1093</f>
        <v>23007</v>
      </c>
      <c r="B1093" s="0" t="n">
        <v>23</v>
      </c>
      <c r="C1093" s="0" t="n">
        <v>7</v>
      </c>
      <c r="D1093" s="0" t="n">
        <v>0</v>
      </c>
      <c r="E1093" s="0" t="n">
        <f aca="false">VLOOKUP(B1093,'MSA-Lookup'!$H$2:$I$86,2)</f>
        <v>8120</v>
      </c>
      <c r="F1093" s="0" t="n">
        <f aca="false">IF(C1093&gt;1,IF(C1093&lt;99,VLOOKUP(C1093,'MSA-Lookup'!$H$1:$I$86,2),C1093),C1093)</f>
        <v>9999</v>
      </c>
      <c r="G1093" s="0" t="n">
        <f aca="false">VLOOKUP(E1093,'MSA-Lookup'!$AA$1:$AB$25,2)</f>
        <v>8120</v>
      </c>
      <c r="H1093" s="0" t="n">
        <f aca="false">IF(C1093&gt;1,IF(C1093&lt;99,VLOOKUP(F1093,'MSA-Lookup'!$AA$1:$AB$25,2),C1093),C1093)</f>
        <v>9999</v>
      </c>
    </row>
    <row r="1094" customFormat="false" ht="12.75" hidden="false" customHeight="false" outlineLevel="0" collapsed="false">
      <c r="A1094" s="0" t="n">
        <f aca="false">B1094*1000+C1094</f>
        <v>23008</v>
      </c>
      <c r="B1094" s="0" t="n">
        <v>23</v>
      </c>
      <c r="C1094" s="0" t="n">
        <v>8</v>
      </c>
      <c r="D1094" s="0" t="n">
        <v>0</v>
      </c>
      <c r="E1094" s="0" t="n">
        <f aca="false">VLOOKUP(B1094,'MSA-Lookup'!$H$2:$I$86,2)</f>
        <v>8120</v>
      </c>
      <c r="F1094" s="0" t="n">
        <f aca="false">IF(C1094&gt;1,IF(C1094&lt;99,VLOOKUP(C1094,'MSA-Lookup'!$H$1:$I$86,2),C1094),C1094)</f>
        <v>9340</v>
      </c>
      <c r="G1094" s="0" t="n">
        <f aca="false">VLOOKUP(E1094,'MSA-Lookup'!$AA$1:$AB$25,2)</f>
        <v>8120</v>
      </c>
      <c r="H1094" s="0" t="n">
        <f aca="false">IF(C1094&gt;1,IF(C1094&lt;99,VLOOKUP(F1094,'MSA-Lookup'!$AA$1:$AB$25,2),C1094),C1094)</f>
        <v>9340</v>
      </c>
    </row>
    <row r="1095" customFormat="false" ht="12.75" hidden="false" customHeight="false" outlineLevel="0" collapsed="false">
      <c r="A1095" s="0" t="n">
        <f aca="false">B1095*1000+C1095</f>
        <v>23009</v>
      </c>
      <c r="B1095" s="0" t="n">
        <v>23</v>
      </c>
      <c r="C1095" s="0" t="n">
        <v>9</v>
      </c>
      <c r="D1095" s="0" t="n">
        <v>0</v>
      </c>
      <c r="E1095" s="0" t="n">
        <f aca="false">VLOOKUP(B1095,'MSA-Lookup'!$H$2:$I$86,2)</f>
        <v>8120</v>
      </c>
      <c r="F1095" s="0" t="n">
        <f aca="false">IF(C1095&gt;1,IF(C1095&lt;99,VLOOKUP(C1095,'MSA-Lookup'!$H$1:$I$86,2),C1095),C1095)</f>
        <v>8720</v>
      </c>
      <c r="G1095" s="0" t="n">
        <f aca="false">VLOOKUP(E1095,'MSA-Lookup'!$AA$1:$AB$25,2)</f>
        <v>8120</v>
      </c>
      <c r="H1095" s="0" t="n">
        <f aca="false">IF(C1095&gt;1,IF(C1095&lt;99,VLOOKUP(F1095,'MSA-Lookup'!$AA$1:$AB$25,2),C1095),C1095)</f>
        <v>7362</v>
      </c>
    </row>
    <row r="1096" customFormat="false" ht="12.75" hidden="false" customHeight="false" outlineLevel="0" collapsed="false">
      <c r="A1096" s="0" t="n">
        <f aca="false">B1096*1000+C1096</f>
        <v>23010</v>
      </c>
      <c r="B1096" s="0" t="n">
        <v>23</v>
      </c>
      <c r="C1096" s="0" t="n">
        <v>10</v>
      </c>
      <c r="D1096" s="0" t="n">
        <v>130</v>
      </c>
      <c r="E1096" s="0" t="n">
        <f aca="false">VLOOKUP(B1096,'MSA-Lookup'!$H$2:$I$86,2)</f>
        <v>8120</v>
      </c>
      <c r="F1096" s="0" t="n">
        <f aca="false">IF(C1096&gt;1,IF(C1096&lt;99,VLOOKUP(C1096,'MSA-Lookup'!$H$1:$I$86,2),C1096),C1096)</f>
        <v>6920</v>
      </c>
      <c r="G1096" s="0" t="n">
        <f aca="false">VLOOKUP(E1096,'MSA-Lookup'!$AA$1:$AB$25,2)</f>
        <v>8120</v>
      </c>
      <c r="H1096" s="0" t="n">
        <f aca="false">IF(C1096&gt;1,IF(C1096&lt;99,VLOOKUP(F1096,'MSA-Lookup'!$AA$1:$AB$25,2),C1096),C1096)</f>
        <v>6920</v>
      </c>
    </row>
    <row r="1097" customFormat="false" ht="12.75" hidden="false" customHeight="false" outlineLevel="0" collapsed="false">
      <c r="A1097" s="0" t="n">
        <f aca="false">B1097*1000+C1097</f>
        <v>23011</v>
      </c>
      <c r="B1097" s="0" t="n">
        <v>23</v>
      </c>
      <c r="C1097" s="0" t="n">
        <v>11</v>
      </c>
      <c r="D1097" s="0" t="n">
        <v>0</v>
      </c>
      <c r="E1097" s="0" t="n">
        <f aca="false">VLOOKUP(B1097,'MSA-Lookup'!$H$2:$I$86,2)</f>
        <v>8120</v>
      </c>
      <c r="F1097" s="0" t="n">
        <f aca="false">IF(C1097&gt;1,IF(C1097&lt;99,VLOOKUP(C1097,'MSA-Lookup'!$H$1:$I$86,2),C1097),C1097)</f>
        <v>6920</v>
      </c>
      <c r="G1097" s="0" t="n">
        <f aca="false">VLOOKUP(E1097,'MSA-Lookup'!$AA$1:$AB$25,2)</f>
        <v>8120</v>
      </c>
      <c r="H1097" s="0" t="n">
        <f aca="false">IF(C1097&gt;1,IF(C1097&lt;99,VLOOKUP(F1097,'MSA-Lookup'!$AA$1:$AB$25,2),C1097),C1097)</f>
        <v>6920</v>
      </c>
    </row>
    <row r="1098" customFormat="false" ht="12.75" hidden="false" customHeight="false" outlineLevel="0" collapsed="false">
      <c r="A1098" s="0" t="n">
        <f aca="false">B1098*1000+C1098</f>
        <v>23012</v>
      </c>
      <c r="B1098" s="0" t="n">
        <v>23</v>
      </c>
      <c r="C1098" s="0" t="n">
        <v>12</v>
      </c>
      <c r="D1098" s="0" t="n">
        <v>0</v>
      </c>
      <c r="E1098" s="0" t="n">
        <f aca="false">VLOOKUP(B1098,'MSA-Lookup'!$H$2:$I$86,2)</f>
        <v>8120</v>
      </c>
      <c r="F1098" s="0" t="n">
        <f aca="false">IF(C1098&gt;1,IF(C1098&lt;99,VLOOKUP(C1098,'MSA-Lookup'!$H$1:$I$86,2),C1098),C1098)</f>
        <v>6920</v>
      </c>
      <c r="G1098" s="0" t="n">
        <f aca="false">VLOOKUP(E1098,'MSA-Lookup'!$AA$1:$AB$25,2)</f>
        <v>8120</v>
      </c>
      <c r="H1098" s="0" t="n">
        <f aca="false">IF(C1098&gt;1,IF(C1098&lt;99,VLOOKUP(F1098,'MSA-Lookup'!$AA$1:$AB$25,2),C1098),C1098)</f>
        <v>6920</v>
      </c>
    </row>
    <row r="1099" customFormat="false" ht="12.75" hidden="false" customHeight="false" outlineLevel="0" collapsed="false">
      <c r="A1099" s="0" t="n">
        <f aca="false">B1099*1000+C1099</f>
        <v>23013</v>
      </c>
      <c r="B1099" s="0" t="n">
        <v>23</v>
      </c>
      <c r="C1099" s="0" t="n">
        <v>13</v>
      </c>
      <c r="D1099" s="0" t="n">
        <v>0</v>
      </c>
      <c r="E1099" s="0" t="n">
        <f aca="false">VLOOKUP(B1099,'MSA-Lookup'!$H$2:$I$86,2)</f>
        <v>8120</v>
      </c>
      <c r="F1099" s="0" t="n">
        <f aca="false">IF(C1099&gt;1,IF(C1099&lt;99,VLOOKUP(C1099,'MSA-Lookup'!$H$1:$I$86,2),C1099),C1099)</f>
        <v>7500</v>
      </c>
      <c r="G1099" s="0" t="n">
        <f aca="false">VLOOKUP(E1099,'MSA-Lookup'!$AA$1:$AB$25,2)</f>
        <v>8120</v>
      </c>
      <c r="H1099" s="0" t="n">
        <f aca="false">IF(C1099&gt;1,IF(C1099&lt;99,VLOOKUP(F1099,'MSA-Lookup'!$AA$1:$AB$25,2),C1099),C1099)</f>
        <v>7362</v>
      </c>
    </row>
    <row r="1100" customFormat="false" ht="12.75" hidden="false" customHeight="false" outlineLevel="0" collapsed="false">
      <c r="A1100" s="0" t="n">
        <f aca="false">B1100*1000+C1100</f>
        <v>23014</v>
      </c>
      <c r="B1100" s="0" t="n">
        <v>23</v>
      </c>
      <c r="C1100" s="0" t="n">
        <v>14</v>
      </c>
      <c r="D1100" s="0" t="n">
        <v>0</v>
      </c>
      <c r="E1100" s="0" t="n">
        <f aca="false">VLOOKUP(B1100,'MSA-Lookup'!$H$2:$I$86,2)</f>
        <v>8120</v>
      </c>
      <c r="F1100" s="0" t="n">
        <f aca="false">IF(C1100&gt;1,IF(C1100&lt;99,VLOOKUP(C1100,'MSA-Lookup'!$H$1:$I$86,2),C1100),C1100)</f>
        <v>7500</v>
      </c>
      <c r="G1100" s="0" t="n">
        <f aca="false">VLOOKUP(E1100,'MSA-Lookup'!$AA$1:$AB$25,2)</f>
        <v>8120</v>
      </c>
      <c r="H1100" s="0" t="n">
        <f aca="false">IF(C1100&gt;1,IF(C1100&lt;99,VLOOKUP(F1100,'MSA-Lookup'!$AA$1:$AB$25,2),C1100),C1100)</f>
        <v>7362</v>
      </c>
    </row>
    <row r="1101" customFormat="false" ht="12.75" hidden="false" customHeight="false" outlineLevel="0" collapsed="false">
      <c r="A1101" s="0" t="n">
        <f aca="false">B1101*1000+C1101</f>
        <v>23015</v>
      </c>
      <c r="B1101" s="0" t="n">
        <v>23</v>
      </c>
      <c r="C1101" s="0" t="n">
        <v>15</v>
      </c>
      <c r="D1101" s="0" t="n">
        <v>0</v>
      </c>
      <c r="E1101" s="0" t="n">
        <f aca="false">VLOOKUP(B1101,'MSA-Lookup'!$H$2:$I$86,2)</f>
        <v>8120</v>
      </c>
      <c r="F1101" s="0" t="n">
        <f aca="false">IF(C1101&gt;1,IF(C1101&lt;99,VLOOKUP(C1101,'MSA-Lookup'!$H$1:$I$86,2),C1101),C1101)</f>
        <v>7360</v>
      </c>
      <c r="G1101" s="0" t="n">
        <f aca="false">VLOOKUP(E1101,'MSA-Lookup'!$AA$1:$AB$25,2)</f>
        <v>8120</v>
      </c>
      <c r="H1101" s="0" t="n">
        <f aca="false">IF(C1101&gt;1,IF(C1101&lt;99,VLOOKUP(F1101,'MSA-Lookup'!$AA$1:$AB$25,2),C1101),C1101)</f>
        <v>7362</v>
      </c>
    </row>
    <row r="1102" customFormat="false" ht="12.75" hidden="false" customHeight="false" outlineLevel="0" collapsed="false">
      <c r="A1102" s="0" t="n">
        <f aca="false">B1102*1000+C1102</f>
        <v>23016</v>
      </c>
      <c r="B1102" s="0" t="n">
        <v>23</v>
      </c>
      <c r="C1102" s="0" t="n">
        <v>16</v>
      </c>
      <c r="D1102" s="0" t="n">
        <v>234</v>
      </c>
      <c r="E1102" s="0" t="n">
        <f aca="false">VLOOKUP(B1102,'MSA-Lookup'!$H$2:$I$86,2)</f>
        <v>8120</v>
      </c>
      <c r="F1102" s="0" t="n">
        <f aca="false">IF(C1102&gt;1,IF(C1102&lt;99,VLOOKUP(C1102,'MSA-Lookup'!$H$1:$I$86,2),C1102),C1102)</f>
        <v>8720</v>
      </c>
      <c r="G1102" s="0" t="n">
        <f aca="false">VLOOKUP(E1102,'MSA-Lookup'!$AA$1:$AB$25,2)</f>
        <v>8120</v>
      </c>
      <c r="H1102" s="0" t="n">
        <f aca="false">IF(C1102&gt;1,IF(C1102&lt;99,VLOOKUP(F1102,'MSA-Lookup'!$AA$1:$AB$25,2),C1102),C1102)</f>
        <v>7362</v>
      </c>
    </row>
    <row r="1103" customFormat="false" ht="12.75" hidden="false" customHeight="false" outlineLevel="0" collapsed="false">
      <c r="A1103" s="0" t="n">
        <f aca="false">B1103*1000+C1103</f>
        <v>23017</v>
      </c>
      <c r="B1103" s="0" t="n">
        <v>23</v>
      </c>
      <c r="C1103" s="0" t="n">
        <v>17</v>
      </c>
      <c r="D1103" s="0" t="n">
        <v>104</v>
      </c>
      <c r="E1103" s="0" t="n">
        <f aca="false">VLOOKUP(B1103,'MSA-Lookup'!$H$2:$I$86,2)</f>
        <v>8120</v>
      </c>
      <c r="F1103" s="0" t="n">
        <f aca="false">IF(C1103&gt;1,IF(C1103&lt;99,VLOOKUP(C1103,'MSA-Lookup'!$H$1:$I$86,2),C1103),C1103)</f>
        <v>5775</v>
      </c>
      <c r="G1103" s="0" t="n">
        <f aca="false">VLOOKUP(E1103,'MSA-Lookup'!$AA$1:$AB$25,2)</f>
        <v>8120</v>
      </c>
      <c r="H1103" s="0" t="n">
        <f aca="false">IF(C1103&gt;1,IF(C1103&lt;99,VLOOKUP(F1103,'MSA-Lookup'!$AA$1:$AB$25,2),C1103),C1103)</f>
        <v>7362</v>
      </c>
    </row>
    <row r="1104" customFormat="false" ht="12.75" hidden="false" customHeight="false" outlineLevel="0" collapsed="false">
      <c r="A1104" s="0" t="n">
        <f aca="false">B1104*1000+C1104</f>
        <v>23018</v>
      </c>
      <c r="B1104" s="0" t="n">
        <v>23</v>
      </c>
      <c r="C1104" s="0" t="n">
        <v>18</v>
      </c>
      <c r="D1104" s="0" t="n">
        <v>1911</v>
      </c>
      <c r="E1104" s="0" t="n">
        <f aca="false">VLOOKUP(B1104,'MSA-Lookup'!$H$2:$I$86,2)</f>
        <v>8120</v>
      </c>
      <c r="F1104" s="0" t="n">
        <f aca="false">IF(C1104&gt;1,IF(C1104&lt;99,VLOOKUP(C1104,'MSA-Lookup'!$H$1:$I$86,2),C1104),C1104)</f>
        <v>5775</v>
      </c>
      <c r="G1104" s="0" t="n">
        <f aca="false">VLOOKUP(E1104,'MSA-Lookup'!$AA$1:$AB$25,2)</f>
        <v>8120</v>
      </c>
      <c r="H1104" s="0" t="n">
        <f aca="false">IF(C1104&gt;1,IF(C1104&lt;99,VLOOKUP(F1104,'MSA-Lookup'!$AA$1:$AB$25,2),C1104),C1104)</f>
        <v>7362</v>
      </c>
    </row>
    <row r="1105" customFormat="false" ht="12.75" hidden="false" customHeight="false" outlineLevel="0" collapsed="false">
      <c r="A1105" s="0" t="n">
        <f aca="false">B1105*1000+C1105</f>
        <v>23019</v>
      </c>
      <c r="B1105" s="0" t="n">
        <v>23</v>
      </c>
      <c r="C1105" s="0" t="n">
        <v>19</v>
      </c>
      <c r="D1105" s="0" t="n">
        <v>585</v>
      </c>
      <c r="E1105" s="0" t="n">
        <f aca="false">VLOOKUP(B1105,'MSA-Lookup'!$H$2:$I$86,2)</f>
        <v>8120</v>
      </c>
      <c r="F1105" s="0" t="n">
        <f aca="false">IF(C1105&gt;1,IF(C1105&lt;99,VLOOKUP(C1105,'MSA-Lookup'!$H$1:$I$86,2),C1105),C1105)</f>
        <v>7360</v>
      </c>
      <c r="G1105" s="0" t="n">
        <f aca="false">VLOOKUP(E1105,'MSA-Lookup'!$AA$1:$AB$25,2)</f>
        <v>8120</v>
      </c>
      <c r="H1105" s="0" t="n">
        <f aca="false">IF(C1105&gt;1,IF(C1105&lt;99,VLOOKUP(F1105,'MSA-Lookup'!$AA$1:$AB$25,2),C1105),C1105)</f>
        <v>7362</v>
      </c>
    </row>
    <row r="1106" customFormat="false" ht="12.75" hidden="false" customHeight="false" outlineLevel="0" collapsed="false">
      <c r="A1106" s="0" t="n">
        <f aca="false">B1106*1000+C1106</f>
        <v>23020</v>
      </c>
      <c r="B1106" s="0" t="n">
        <v>23</v>
      </c>
      <c r="C1106" s="0" t="n">
        <v>20</v>
      </c>
      <c r="D1106" s="0" t="n">
        <v>65</v>
      </c>
      <c r="E1106" s="0" t="n">
        <f aca="false">VLOOKUP(B1106,'MSA-Lookup'!$H$2:$I$86,2)</f>
        <v>8120</v>
      </c>
      <c r="F1106" s="0" t="n">
        <f aca="false">IF(C1106&gt;1,IF(C1106&lt;99,VLOOKUP(C1106,'MSA-Lookup'!$H$1:$I$86,2),C1106),C1106)</f>
        <v>5775</v>
      </c>
      <c r="G1106" s="0" t="n">
        <f aca="false">VLOOKUP(E1106,'MSA-Lookup'!$AA$1:$AB$25,2)</f>
        <v>8120</v>
      </c>
      <c r="H1106" s="0" t="n">
        <f aca="false">IF(C1106&gt;1,IF(C1106&lt;99,VLOOKUP(F1106,'MSA-Lookup'!$AA$1:$AB$25,2),C1106),C1106)</f>
        <v>7362</v>
      </c>
    </row>
    <row r="1107" customFormat="false" ht="12.75" hidden="false" customHeight="false" outlineLevel="0" collapsed="false">
      <c r="A1107" s="0" t="n">
        <f aca="false">B1107*1000+C1107</f>
        <v>23021</v>
      </c>
      <c r="B1107" s="0" t="n">
        <v>23</v>
      </c>
      <c r="C1107" s="0" t="n">
        <v>21</v>
      </c>
      <c r="D1107" s="0" t="n">
        <v>9711</v>
      </c>
      <c r="E1107" s="0" t="n">
        <f aca="false">VLOOKUP(B1107,'MSA-Lookup'!$H$2:$I$86,2)</f>
        <v>8120</v>
      </c>
      <c r="F1107" s="0" t="n">
        <f aca="false">IF(C1107&gt;1,IF(C1107&lt;99,VLOOKUP(C1107,'MSA-Lookup'!$H$1:$I$86,2),C1107),C1107)</f>
        <v>5775</v>
      </c>
      <c r="G1107" s="0" t="n">
        <f aca="false">VLOOKUP(E1107,'MSA-Lookup'!$AA$1:$AB$25,2)</f>
        <v>8120</v>
      </c>
      <c r="H1107" s="0" t="n">
        <f aca="false">IF(C1107&gt;1,IF(C1107&lt;99,VLOOKUP(F1107,'MSA-Lookup'!$AA$1:$AB$25,2),C1107),C1107)</f>
        <v>7362</v>
      </c>
    </row>
    <row r="1108" customFormat="false" ht="12.75" hidden="false" customHeight="false" outlineLevel="0" collapsed="false">
      <c r="A1108" s="0" t="n">
        <f aca="false">B1108*1000+C1108</f>
        <v>23022</v>
      </c>
      <c r="B1108" s="0" t="n">
        <v>23</v>
      </c>
      <c r="C1108" s="0" t="n">
        <v>22</v>
      </c>
      <c r="D1108" s="0" t="n">
        <v>728</v>
      </c>
      <c r="E1108" s="0" t="n">
        <f aca="false">VLOOKUP(B1108,'MSA-Lookup'!$H$2:$I$86,2)</f>
        <v>8120</v>
      </c>
      <c r="F1108" s="0" t="n">
        <f aca="false">IF(C1108&gt;1,IF(C1108&lt;99,VLOOKUP(C1108,'MSA-Lookup'!$H$1:$I$86,2),C1108),C1108)</f>
        <v>7360</v>
      </c>
      <c r="G1108" s="0" t="n">
        <f aca="false">VLOOKUP(E1108,'MSA-Lookup'!$AA$1:$AB$25,2)</f>
        <v>8120</v>
      </c>
      <c r="H1108" s="0" t="n">
        <f aca="false">IF(C1108&gt;1,IF(C1108&lt;99,VLOOKUP(F1108,'MSA-Lookup'!$AA$1:$AB$25,2),C1108),C1108)</f>
        <v>7362</v>
      </c>
    </row>
    <row r="1109" customFormat="false" ht="12.75" hidden="false" customHeight="false" outlineLevel="0" collapsed="false">
      <c r="A1109" s="0" t="n">
        <f aca="false">B1109*1000+C1109</f>
        <v>23023</v>
      </c>
      <c r="B1109" s="0" t="n">
        <v>23</v>
      </c>
      <c r="C1109" s="0" t="n">
        <v>23</v>
      </c>
      <c r="D1109" s="0" t="n">
        <v>59839</v>
      </c>
      <c r="E1109" s="0" t="n">
        <f aca="false">VLOOKUP(B1109,'MSA-Lookup'!$H$2:$I$86,2)</f>
        <v>8120</v>
      </c>
      <c r="F1109" s="0" t="n">
        <f aca="false">IF(C1109&gt;1,IF(C1109&lt;99,VLOOKUP(C1109,'MSA-Lookup'!$H$1:$I$86,2),C1109),C1109)</f>
        <v>8120</v>
      </c>
      <c r="G1109" s="0" t="n">
        <f aca="false">VLOOKUP(E1109,'MSA-Lookup'!$AA$1:$AB$25,2)</f>
        <v>8120</v>
      </c>
      <c r="H1109" s="0" t="n">
        <f aca="false">IF(C1109&gt;1,IF(C1109&lt;99,VLOOKUP(F1109,'MSA-Lookup'!$AA$1:$AB$25,2),C1109),C1109)</f>
        <v>8120</v>
      </c>
    </row>
    <row r="1110" customFormat="false" ht="12.75" hidden="false" customHeight="false" outlineLevel="0" collapsed="false">
      <c r="A1110" s="0" t="n">
        <f aca="false">B1110*1000+C1110</f>
        <v>23024</v>
      </c>
      <c r="B1110" s="0" t="n">
        <v>23</v>
      </c>
      <c r="C1110" s="0" t="n">
        <v>24</v>
      </c>
      <c r="D1110" s="0" t="n">
        <v>2743</v>
      </c>
      <c r="E1110" s="0" t="n">
        <f aca="false">VLOOKUP(B1110,'MSA-Lookup'!$H$2:$I$86,2)</f>
        <v>8120</v>
      </c>
      <c r="F1110" s="0" t="n">
        <f aca="false">IF(C1110&gt;1,IF(C1110&lt;99,VLOOKUP(C1110,'MSA-Lookup'!$H$1:$I$86,2),C1110),C1110)</f>
        <v>5170</v>
      </c>
      <c r="G1110" s="0" t="n">
        <f aca="false">VLOOKUP(E1110,'MSA-Lookup'!$AA$1:$AB$25,2)</f>
        <v>8120</v>
      </c>
      <c r="H1110" s="0" t="n">
        <f aca="false">IF(C1110&gt;1,IF(C1110&lt;99,VLOOKUP(F1110,'MSA-Lookup'!$AA$1:$AB$25,2),C1110),C1110)</f>
        <v>5170</v>
      </c>
    </row>
    <row r="1111" customFormat="false" ht="12.75" hidden="false" customHeight="false" outlineLevel="0" collapsed="false">
      <c r="A1111" s="0" t="n">
        <f aca="false">B1111*1000+C1111</f>
        <v>23025</v>
      </c>
      <c r="B1111" s="0" t="n">
        <v>23</v>
      </c>
      <c r="C1111" s="0" t="n">
        <v>25</v>
      </c>
      <c r="D1111" s="0" t="n">
        <v>2184</v>
      </c>
      <c r="E1111" s="0" t="n">
        <f aca="false">VLOOKUP(B1111,'MSA-Lookup'!$H$2:$I$86,2)</f>
        <v>8120</v>
      </c>
      <c r="F1111" s="0" t="n">
        <f aca="false">IF(C1111&gt;1,IF(C1111&lt;99,VLOOKUP(C1111,'MSA-Lookup'!$H$1:$I$86,2),C1111),C1111)</f>
        <v>5170</v>
      </c>
      <c r="G1111" s="0" t="n">
        <f aca="false">VLOOKUP(E1111,'MSA-Lookup'!$AA$1:$AB$25,2)</f>
        <v>8120</v>
      </c>
      <c r="H1111" s="0" t="n">
        <f aca="false">IF(C1111&gt;1,IF(C1111&lt;99,VLOOKUP(F1111,'MSA-Lookup'!$AA$1:$AB$25,2),C1111),C1111)</f>
        <v>5170</v>
      </c>
    </row>
    <row r="1112" customFormat="false" ht="12.75" hidden="false" customHeight="false" outlineLevel="0" collapsed="false">
      <c r="A1112" s="0" t="n">
        <f aca="false">B1112*1000+C1112</f>
        <v>23026</v>
      </c>
      <c r="B1112" s="0" t="n">
        <v>23</v>
      </c>
      <c r="C1112" s="0" t="n">
        <v>26</v>
      </c>
      <c r="D1112" s="0" t="n">
        <v>91</v>
      </c>
      <c r="E1112" s="0" t="n">
        <f aca="false">VLOOKUP(B1112,'MSA-Lookup'!$H$2:$I$86,2)</f>
        <v>8120</v>
      </c>
      <c r="F1112" s="0" t="n">
        <f aca="false">IF(C1112&gt;1,IF(C1112&lt;99,VLOOKUP(C1112,'MSA-Lookup'!$H$1:$I$86,2),C1112),C1112)</f>
        <v>9999</v>
      </c>
      <c r="G1112" s="0" t="n">
        <f aca="false">VLOOKUP(E1112,'MSA-Lookup'!$AA$1:$AB$25,2)</f>
        <v>8120</v>
      </c>
      <c r="H1112" s="0" t="n">
        <f aca="false">IF(C1112&gt;1,IF(C1112&lt;99,VLOOKUP(F1112,'MSA-Lookup'!$AA$1:$AB$25,2),C1112),C1112)</f>
        <v>9999</v>
      </c>
    </row>
    <row r="1113" customFormat="false" ht="12.75" hidden="false" customHeight="false" outlineLevel="0" collapsed="false">
      <c r="A1113" s="0" t="n">
        <f aca="false">B1113*1000+C1113</f>
        <v>23027</v>
      </c>
      <c r="B1113" s="0" t="n">
        <v>23</v>
      </c>
      <c r="C1113" s="0" t="n">
        <v>27</v>
      </c>
      <c r="D1113" s="0" t="n">
        <v>0</v>
      </c>
      <c r="E1113" s="0" t="n">
        <f aca="false">VLOOKUP(B1113,'MSA-Lookup'!$H$2:$I$86,2)</f>
        <v>8120</v>
      </c>
      <c r="F1113" s="0" t="n">
        <f aca="false">IF(C1113&gt;1,IF(C1113&lt;99,VLOOKUP(C1113,'MSA-Lookup'!$H$1:$I$86,2),C1113),C1113)</f>
        <v>9999</v>
      </c>
      <c r="G1113" s="0" t="n">
        <f aca="false">VLOOKUP(E1113,'MSA-Lookup'!$AA$1:$AB$25,2)</f>
        <v>8120</v>
      </c>
      <c r="H1113" s="0" t="n">
        <f aca="false">IF(C1113&gt;1,IF(C1113&lt;99,VLOOKUP(F1113,'MSA-Lookup'!$AA$1:$AB$25,2),C1113),C1113)</f>
        <v>9999</v>
      </c>
    </row>
    <row r="1114" customFormat="false" ht="12.75" hidden="false" customHeight="false" outlineLevel="0" collapsed="false">
      <c r="A1114" s="0" t="n">
        <f aca="false">B1114*1000+C1114</f>
        <v>23028</v>
      </c>
      <c r="B1114" s="0" t="n">
        <v>23</v>
      </c>
      <c r="C1114" s="0" t="n">
        <v>28</v>
      </c>
      <c r="D1114" s="0" t="n">
        <v>1040</v>
      </c>
      <c r="E1114" s="0" t="n">
        <f aca="false">VLOOKUP(B1114,'MSA-Lookup'!$H$2:$I$86,2)</f>
        <v>8120</v>
      </c>
      <c r="F1114" s="0" t="n">
        <f aca="false">IF(C1114&gt;1,IF(C1114&lt;99,VLOOKUP(C1114,'MSA-Lookup'!$H$1:$I$86,2),C1114),C1114)</f>
        <v>6920</v>
      </c>
      <c r="G1114" s="0" t="n">
        <f aca="false">VLOOKUP(E1114,'MSA-Lookup'!$AA$1:$AB$25,2)</f>
        <v>8120</v>
      </c>
      <c r="H1114" s="0" t="n">
        <f aca="false">IF(C1114&gt;1,IF(C1114&lt;99,VLOOKUP(F1114,'MSA-Lookup'!$AA$1:$AB$25,2),C1114),C1114)</f>
        <v>6920</v>
      </c>
    </row>
    <row r="1115" customFormat="false" ht="12.75" hidden="false" customHeight="false" outlineLevel="0" collapsed="false">
      <c r="A1115" s="0" t="n">
        <f aca="false">B1115*1000+C1115</f>
        <v>23029</v>
      </c>
      <c r="B1115" s="0" t="n">
        <v>23</v>
      </c>
      <c r="C1115" s="0" t="n">
        <v>29</v>
      </c>
      <c r="D1115" s="0" t="n">
        <v>1131</v>
      </c>
      <c r="E1115" s="0" t="n">
        <f aca="false">VLOOKUP(B1115,'MSA-Lookup'!$H$2:$I$86,2)</f>
        <v>8120</v>
      </c>
      <c r="F1115" s="0" t="n">
        <f aca="false">IF(C1115&gt;1,IF(C1115&lt;99,VLOOKUP(C1115,'MSA-Lookup'!$H$1:$I$86,2),C1115),C1115)</f>
        <v>6920</v>
      </c>
      <c r="G1115" s="0" t="n">
        <f aca="false">VLOOKUP(E1115,'MSA-Lookup'!$AA$1:$AB$25,2)</f>
        <v>8120</v>
      </c>
      <c r="H1115" s="0" t="n">
        <f aca="false">IF(C1115&gt;1,IF(C1115&lt;99,VLOOKUP(F1115,'MSA-Lookup'!$AA$1:$AB$25,2),C1115),C1115)</f>
        <v>6920</v>
      </c>
    </row>
    <row r="1116" customFormat="false" ht="12.75" hidden="false" customHeight="false" outlineLevel="0" collapsed="false">
      <c r="A1116" s="0" t="n">
        <f aca="false">B1116*1000+C1116</f>
        <v>23030</v>
      </c>
      <c r="B1116" s="0" t="n">
        <v>23</v>
      </c>
      <c r="C1116" s="0" t="n">
        <v>30</v>
      </c>
      <c r="D1116" s="0" t="n">
        <v>91</v>
      </c>
      <c r="E1116" s="0" t="n">
        <f aca="false">VLOOKUP(B1116,'MSA-Lookup'!$H$2:$I$86,2)</f>
        <v>8120</v>
      </c>
      <c r="F1116" s="0" t="n">
        <f aca="false">IF(C1116&gt;1,IF(C1116&lt;99,VLOOKUP(C1116,'MSA-Lookup'!$H$1:$I$86,2),C1116),C1116)</f>
        <v>4940</v>
      </c>
      <c r="G1116" s="0" t="n">
        <f aca="false">VLOOKUP(E1116,'MSA-Lookup'!$AA$1:$AB$25,2)</f>
        <v>8120</v>
      </c>
      <c r="H1116" s="0" t="n">
        <f aca="false">IF(C1116&gt;1,IF(C1116&lt;99,VLOOKUP(F1116,'MSA-Lookup'!$AA$1:$AB$25,2),C1116),C1116)</f>
        <v>4940</v>
      </c>
    </row>
    <row r="1117" customFormat="false" ht="12.75" hidden="false" customHeight="false" outlineLevel="0" collapsed="false">
      <c r="A1117" s="0" t="n">
        <f aca="false">B1117*1000+C1117</f>
        <v>23031</v>
      </c>
      <c r="B1117" s="0" t="n">
        <v>23</v>
      </c>
      <c r="C1117" s="0" t="n">
        <v>31</v>
      </c>
      <c r="D1117" s="0" t="n">
        <v>0</v>
      </c>
      <c r="E1117" s="0" t="n">
        <f aca="false">VLOOKUP(B1117,'MSA-Lookup'!$H$2:$I$86,2)</f>
        <v>8120</v>
      </c>
      <c r="F1117" s="0" t="n">
        <f aca="false">IF(C1117&gt;1,IF(C1117&lt;99,VLOOKUP(C1117,'MSA-Lookup'!$H$1:$I$86,2),C1117),C1117)</f>
        <v>9999</v>
      </c>
      <c r="G1117" s="0" t="n">
        <f aca="false">VLOOKUP(E1117,'MSA-Lookup'!$AA$1:$AB$25,2)</f>
        <v>8120</v>
      </c>
      <c r="H1117" s="0" t="n">
        <f aca="false">IF(C1117&gt;1,IF(C1117&lt;99,VLOOKUP(F1117,'MSA-Lookup'!$AA$1:$AB$25,2),C1117),C1117)</f>
        <v>9999</v>
      </c>
    </row>
    <row r="1118" customFormat="false" ht="12.75" hidden="false" customHeight="false" outlineLevel="0" collapsed="false">
      <c r="A1118" s="0" t="n">
        <f aca="false">B1118*1000+C1118</f>
        <v>23032</v>
      </c>
      <c r="B1118" s="0" t="n">
        <v>23</v>
      </c>
      <c r="C1118" s="0" t="n">
        <v>32</v>
      </c>
      <c r="D1118" s="0" t="n">
        <v>65</v>
      </c>
      <c r="E1118" s="0" t="n">
        <f aca="false">VLOOKUP(B1118,'MSA-Lookup'!$H$2:$I$86,2)</f>
        <v>8120</v>
      </c>
      <c r="F1118" s="0" t="n">
        <f aca="false">IF(C1118&gt;1,IF(C1118&lt;99,VLOOKUP(C1118,'MSA-Lookup'!$H$1:$I$86,2),C1118),C1118)</f>
        <v>7480</v>
      </c>
      <c r="G1118" s="0" t="n">
        <f aca="false">VLOOKUP(E1118,'MSA-Lookup'!$AA$1:$AB$25,2)</f>
        <v>8120</v>
      </c>
      <c r="H1118" s="0" t="n">
        <f aca="false">IF(C1118&gt;1,IF(C1118&lt;99,VLOOKUP(F1118,'MSA-Lookup'!$AA$1:$AB$25,2),C1118),C1118)</f>
        <v>7480</v>
      </c>
    </row>
    <row r="1119" customFormat="false" ht="12.75" hidden="false" customHeight="false" outlineLevel="0" collapsed="false">
      <c r="A1119" s="0" t="n">
        <f aca="false">B1119*1000+C1119</f>
        <v>23033</v>
      </c>
      <c r="B1119" s="0" t="n">
        <v>23</v>
      </c>
      <c r="C1119" s="0" t="n">
        <v>33</v>
      </c>
      <c r="D1119" s="0" t="n">
        <v>0</v>
      </c>
      <c r="E1119" s="0" t="n">
        <f aca="false">VLOOKUP(B1119,'MSA-Lookup'!$H$2:$I$86,2)</f>
        <v>8120</v>
      </c>
      <c r="F1119" s="0" t="n">
        <f aca="false">IF(C1119&gt;1,IF(C1119&lt;99,VLOOKUP(C1119,'MSA-Lookup'!$H$1:$I$86,2),C1119),C1119)</f>
        <v>7320</v>
      </c>
      <c r="G1119" s="0" t="n">
        <f aca="false">VLOOKUP(E1119,'MSA-Lookup'!$AA$1:$AB$25,2)</f>
        <v>8120</v>
      </c>
      <c r="H1119" s="0" t="n">
        <f aca="false">IF(C1119&gt;1,IF(C1119&lt;99,VLOOKUP(F1119,'MSA-Lookup'!$AA$1:$AB$25,2),C1119),C1119)</f>
        <v>7320</v>
      </c>
    </row>
    <row r="1120" customFormat="false" ht="12.75" hidden="false" customHeight="false" outlineLevel="0" collapsed="false">
      <c r="A1120" s="0" t="n">
        <f aca="false">B1120*1000+C1120</f>
        <v>23034</v>
      </c>
      <c r="B1120" s="0" t="n">
        <v>23</v>
      </c>
      <c r="C1120" s="0" t="n">
        <v>34</v>
      </c>
      <c r="D1120" s="0" t="n">
        <v>0</v>
      </c>
      <c r="E1120" s="0" t="n">
        <f aca="false">VLOOKUP(B1120,'MSA-Lookup'!$H$2:$I$86,2)</f>
        <v>8120</v>
      </c>
      <c r="F1120" s="0" t="n">
        <f aca="false">IF(C1120&gt;1,IF(C1120&lt;99,VLOOKUP(C1120,'MSA-Lookup'!$H$1:$I$86,2),C1120),C1120)</f>
        <v>7320</v>
      </c>
      <c r="G1120" s="0" t="n">
        <f aca="false">VLOOKUP(E1120,'MSA-Lookup'!$AA$1:$AB$25,2)</f>
        <v>8120</v>
      </c>
      <c r="H1120" s="0" t="n">
        <f aca="false">IF(C1120&gt;1,IF(C1120&lt;99,VLOOKUP(F1120,'MSA-Lookup'!$AA$1:$AB$25,2),C1120),C1120)</f>
        <v>7320</v>
      </c>
    </row>
    <row r="1121" customFormat="false" ht="12.75" hidden="false" customHeight="false" outlineLevel="0" collapsed="false">
      <c r="A1121" s="0" t="n">
        <f aca="false">B1121*1000+C1121</f>
        <v>23035</v>
      </c>
      <c r="B1121" s="0" t="n">
        <v>23</v>
      </c>
      <c r="C1121" s="0" t="n">
        <v>35</v>
      </c>
      <c r="D1121" s="0" t="n">
        <v>0</v>
      </c>
      <c r="E1121" s="0" t="n">
        <f aca="false">VLOOKUP(B1121,'MSA-Lookup'!$H$2:$I$86,2)</f>
        <v>8120</v>
      </c>
      <c r="F1121" s="0" t="n">
        <f aca="false">IF(C1121&gt;1,IF(C1121&lt;99,VLOOKUP(C1121,'MSA-Lookup'!$H$1:$I$86,2),C1121),C1121)</f>
        <v>7320</v>
      </c>
      <c r="G1121" s="0" t="n">
        <f aca="false">VLOOKUP(E1121,'MSA-Lookup'!$AA$1:$AB$25,2)</f>
        <v>8120</v>
      </c>
      <c r="H1121" s="0" t="n">
        <f aca="false">IF(C1121&gt;1,IF(C1121&lt;99,VLOOKUP(F1121,'MSA-Lookup'!$AA$1:$AB$25,2),C1121),C1121)</f>
        <v>7320</v>
      </c>
    </row>
    <row r="1122" customFormat="false" ht="12.75" hidden="false" customHeight="false" outlineLevel="0" collapsed="false">
      <c r="A1122" s="0" t="n">
        <f aca="false">B1122*1000+C1122</f>
        <v>23037</v>
      </c>
      <c r="B1122" s="0" t="n">
        <v>23</v>
      </c>
      <c r="C1122" s="0" t="n">
        <v>37</v>
      </c>
      <c r="D1122" s="0" t="n">
        <v>0</v>
      </c>
      <c r="E1122" s="0" t="n">
        <f aca="false">VLOOKUP(B1122,'MSA-Lookup'!$H$2:$I$86,2)</f>
        <v>8120</v>
      </c>
      <c r="F1122" s="0" t="n">
        <f aca="false">IF(C1122&gt;1,IF(C1122&lt;99,VLOOKUP(C1122,'MSA-Lookup'!$H$1:$I$86,2),C1122),C1122)</f>
        <v>7320</v>
      </c>
      <c r="G1122" s="0" t="n">
        <f aca="false">VLOOKUP(E1122,'MSA-Lookup'!$AA$1:$AB$25,2)</f>
        <v>8120</v>
      </c>
      <c r="H1122" s="0" t="n">
        <f aca="false">IF(C1122&gt;1,IF(C1122&lt;99,VLOOKUP(F1122,'MSA-Lookup'!$AA$1:$AB$25,2),C1122),C1122)</f>
        <v>7320</v>
      </c>
    </row>
    <row r="1123" customFormat="false" ht="12.75" hidden="false" customHeight="false" outlineLevel="0" collapsed="false">
      <c r="A1123" s="0" t="n">
        <f aca="false">B1123*1000+C1123</f>
        <v>23038</v>
      </c>
      <c r="B1123" s="0" t="n">
        <v>23</v>
      </c>
      <c r="C1123" s="0" t="n">
        <v>38</v>
      </c>
      <c r="D1123" s="0" t="n">
        <v>0</v>
      </c>
      <c r="E1123" s="0" t="n">
        <f aca="false">VLOOKUP(B1123,'MSA-Lookup'!$H$2:$I$86,2)</f>
        <v>8120</v>
      </c>
      <c r="F1123" s="0" t="n">
        <f aca="false">IF(C1123&gt;1,IF(C1123&lt;99,VLOOKUP(C1123,'MSA-Lookup'!$H$1:$I$86,2),C1123),C1123)</f>
        <v>7120</v>
      </c>
      <c r="G1123" s="0" t="n">
        <f aca="false">VLOOKUP(E1123,'MSA-Lookup'!$AA$1:$AB$25,2)</f>
        <v>8120</v>
      </c>
      <c r="H1123" s="0" t="n">
        <f aca="false">IF(C1123&gt;1,IF(C1123&lt;99,VLOOKUP(F1123,'MSA-Lookup'!$AA$1:$AB$25,2),C1123),C1123)</f>
        <v>7120</v>
      </c>
    </row>
    <row r="1124" customFormat="false" ht="12.75" hidden="false" customHeight="false" outlineLevel="0" collapsed="false">
      <c r="A1124" s="0" t="n">
        <f aca="false">B1124*1000+C1124</f>
        <v>23039</v>
      </c>
      <c r="B1124" s="0" t="n">
        <v>23</v>
      </c>
      <c r="C1124" s="0" t="n">
        <v>39</v>
      </c>
      <c r="D1124" s="0" t="n">
        <v>0</v>
      </c>
      <c r="E1124" s="0" t="n">
        <f aca="false">VLOOKUP(B1124,'MSA-Lookup'!$H$2:$I$86,2)</f>
        <v>8120</v>
      </c>
      <c r="F1124" s="0" t="n">
        <f aca="false">IF(C1124&gt;1,IF(C1124&lt;99,VLOOKUP(C1124,'MSA-Lookup'!$H$1:$I$86,2),C1124),C1124)</f>
        <v>7120</v>
      </c>
      <c r="G1124" s="0" t="n">
        <f aca="false">VLOOKUP(E1124,'MSA-Lookup'!$AA$1:$AB$25,2)</f>
        <v>8120</v>
      </c>
      <c r="H1124" s="0" t="n">
        <f aca="false">IF(C1124&gt;1,IF(C1124&lt;99,VLOOKUP(F1124,'MSA-Lookup'!$AA$1:$AB$25,2),C1124),C1124)</f>
        <v>7120</v>
      </c>
    </row>
    <row r="1125" customFormat="false" ht="12.75" hidden="false" customHeight="false" outlineLevel="0" collapsed="false">
      <c r="A1125" s="0" t="n">
        <f aca="false">B1125*1000+C1125</f>
        <v>23040</v>
      </c>
      <c r="B1125" s="0" t="n">
        <v>23</v>
      </c>
      <c r="C1125" s="0" t="n">
        <v>40</v>
      </c>
      <c r="D1125" s="0" t="n">
        <v>91</v>
      </c>
      <c r="E1125" s="0" t="n">
        <f aca="false">VLOOKUP(B1125,'MSA-Lookup'!$H$2:$I$86,2)</f>
        <v>8120</v>
      </c>
      <c r="F1125" s="0" t="n">
        <f aca="false">IF(C1125&gt;1,IF(C1125&lt;99,VLOOKUP(C1125,'MSA-Lookup'!$H$1:$I$86,2),C1125),C1125)</f>
        <v>2840</v>
      </c>
      <c r="G1125" s="0" t="n">
        <f aca="false">VLOOKUP(E1125,'MSA-Lookup'!$AA$1:$AB$25,2)</f>
        <v>8120</v>
      </c>
      <c r="H1125" s="0" t="n">
        <f aca="false">IF(C1125&gt;1,IF(C1125&lt;99,VLOOKUP(F1125,'MSA-Lookup'!$AA$1:$AB$25,2),C1125),C1125)</f>
        <v>2840</v>
      </c>
    </row>
    <row r="1126" customFormat="false" ht="12.75" hidden="false" customHeight="false" outlineLevel="0" collapsed="false">
      <c r="A1126" s="0" t="n">
        <f aca="false">B1126*1000+C1126</f>
        <v>23041</v>
      </c>
      <c r="B1126" s="0" t="n">
        <v>23</v>
      </c>
      <c r="C1126" s="0" t="n">
        <v>41</v>
      </c>
      <c r="D1126" s="0" t="n">
        <v>0</v>
      </c>
      <c r="E1126" s="0" t="n">
        <f aca="false">VLOOKUP(B1126,'MSA-Lookup'!$H$2:$I$86,2)</f>
        <v>8120</v>
      </c>
      <c r="F1126" s="0" t="n">
        <f aca="false">IF(C1126&gt;1,IF(C1126&lt;99,VLOOKUP(C1126,'MSA-Lookup'!$H$1:$I$86,2),C1126),C1126)</f>
        <v>2840</v>
      </c>
      <c r="G1126" s="0" t="n">
        <f aca="false">VLOOKUP(E1126,'MSA-Lookup'!$AA$1:$AB$25,2)</f>
        <v>8120</v>
      </c>
      <c r="H1126" s="0" t="n">
        <f aca="false">IF(C1126&gt;1,IF(C1126&lt;99,VLOOKUP(F1126,'MSA-Lookup'!$AA$1:$AB$25,2),C1126),C1126)</f>
        <v>2840</v>
      </c>
    </row>
    <row r="1127" customFormat="false" ht="12.75" hidden="false" customHeight="false" outlineLevel="0" collapsed="false">
      <c r="A1127" s="0" t="n">
        <f aca="false">B1127*1000+C1127</f>
        <v>23042</v>
      </c>
      <c r="B1127" s="0" t="n">
        <v>23</v>
      </c>
      <c r="C1127" s="0" t="n">
        <v>42</v>
      </c>
      <c r="D1127" s="0" t="n">
        <v>0</v>
      </c>
      <c r="E1127" s="0" t="n">
        <f aca="false">VLOOKUP(B1127,'MSA-Lookup'!$H$2:$I$86,2)</f>
        <v>8120</v>
      </c>
      <c r="F1127" s="0" t="n">
        <f aca="false">IF(C1127&gt;1,IF(C1127&lt;99,VLOOKUP(C1127,'MSA-Lookup'!$H$1:$I$86,2),C1127),C1127)</f>
        <v>360</v>
      </c>
      <c r="G1127" s="0" t="n">
        <f aca="false">VLOOKUP(E1127,'MSA-Lookup'!$AA$1:$AB$25,2)</f>
        <v>8120</v>
      </c>
      <c r="H1127" s="0" t="n">
        <f aca="false">IF(C1127&gt;1,IF(C1127&lt;99,VLOOKUP(F1127,'MSA-Lookup'!$AA$1:$AB$25,2),C1127),C1127)</f>
        <v>4472</v>
      </c>
    </row>
    <row r="1128" customFormat="false" ht="12.75" hidden="false" customHeight="false" outlineLevel="0" collapsed="false">
      <c r="A1128" s="0" t="n">
        <f aca="false">B1128*1000+C1128</f>
        <v>23043</v>
      </c>
      <c r="B1128" s="0" t="n">
        <v>23</v>
      </c>
      <c r="C1128" s="0" t="n">
        <v>43</v>
      </c>
      <c r="D1128" s="0" t="n">
        <v>0</v>
      </c>
      <c r="E1128" s="0" t="n">
        <f aca="false">VLOOKUP(B1128,'MSA-Lookup'!$H$2:$I$86,2)</f>
        <v>8120</v>
      </c>
      <c r="F1128" s="0" t="n">
        <f aca="false">IF(C1128&gt;1,IF(C1128&lt;99,VLOOKUP(C1128,'MSA-Lookup'!$H$1:$I$86,2),C1128),C1128)</f>
        <v>360</v>
      </c>
      <c r="G1128" s="0" t="n">
        <f aca="false">VLOOKUP(E1128,'MSA-Lookup'!$AA$1:$AB$25,2)</f>
        <v>8120</v>
      </c>
      <c r="H1128" s="0" t="n">
        <f aca="false">IF(C1128&gt;1,IF(C1128&lt;99,VLOOKUP(F1128,'MSA-Lookup'!$AA$1:$AB$25,2),C1128),C1128)</f>
        <v>4472</v>
      </c>
    </row>
    <row r="1129" customFormat="false" ht="12.75" hidden="false" customHeight="false" outlineLevel="0" collapsed="false">
      <c r="A1129" s="0" t="n">
        <f aca="false">B1129*1000+C1129</f>
        <v>23046</v>
      </c>
      <c r="B1129" s="0" t="n">
        <v>23</v>
      </c>
      <c r="C1129" s="0" t="n">
        <v>46</v>
      </c>
      <c r="D1129" s="0" t="n">
        <v>0</v>
      </c>
      <c r="E1129" s="0" t="n">
        <f aca="false">VLOOKUP(B1129,'MSA-Lookup'!$H$2:$I$86,2)</f>
        <v>8120</v>
      </c>
      <c r="F1129" s="0" t="n">
        <f aca="false">IF(C1129&gt;1,IF(C1129&lt;99,VLOOKUP(C1129,'MSA-Lookup'!$H$1:$I$86,2),C1129),C1129)</f>
        <v>360</v>
      </c>
      <c r="G1129" s="0" t="n">
        <f aca="false">VLOOKUP(E1129,'MSA-Lookup'!$AA$1:$AB$25,2)</f>
        <v>8120</v>
      </c>
      <c r="H1129" s="0" t="n">
        <f aca="false">IF(C1129&gt;1,IF(C1129&lt;99,VLOOKUP(F1129,'MSA-Lookup'!$AA$1:$AB$25,2),C1129),C1129)</f>
        <v>4472</v>
      </c>
    </row>
    <row r="1130" customFormat="false" ht="12.75" hidden="false" customHeight="false" outlineLevel="0" collapsed="false">
      <c r="A1130" s="0" t="n">
        <f aca="false">B1130*1000+C1130</f>
        <v>23048</v>
      </c>
      <c r="B1130" s="0" t="n">
        <v>23</v>
      </c>
      <c r="C1130" s="0" t="n">
        <v>48</v>
      </c>
      <c r="D1130" s="0" t="n">
        <v>0</v>
      </c>
      <c r="E1130" s="0" t="n">
        <f aca="false">VLOOKUP(B1130,'MSA-Lookup'!$H$2:$I$86,2)</f>
        <v>8120</v>
      </c>
      <c r="F1130" s="0" t="n">
        <f aca="false">IF(C1130&gt;1,IF(C1130&lt;99,VLOOKUP(C1130,'MSA-Lookup'!$H$1:$I$86,2),C1130),C1130)</f>
        <v>360</v>
      </c>
      <c r="G1130" s="0" t="n">
        <f aca="false">VLOOKUP(E1130,'MSA-Lookup'!$AA$1:$AB$25,2)</f>
        <v>8120</v>
      </c>
      <c r="H1130" s="0" t="n">
        <f aca="false">IF(C1130&gt;1,IF(C1130&lt;99,VLOOKUP(F1130,'MSA-Lookup'!$AA$1:$AB$25,2),C1130),C1130)</f>
        <v>4472</v>
      </c>
    </row>
    <row r="1131" customFormat="false" ht="12.75" hidden="false" customHeight="false" outlineLevel="0" collapsed="false">
      <c r="A1131" s="0" t="n">
        <f aca="false">B1131*1000+C1131</f>
        <v>23049</v>
      </c>
      <c r="B1131" s="0" t="n">
        <v>23</v>
      </c>
      <c r="C1131" s="0" t="n">
        <v>49</v>
      </c>
      <c r="D1131" s="0" t="n">
        <v>1508</v>
      </c>
      <c r="E1131" s="0" t="n">
        <f aca="false">VLOOKUP(B1131,'MSA-Lookup'!$H$2:$I$86,2)</f>
        <v>8120</v>
      </c>
      <c r="F1131" s="0" t="n">
        <f aca="false">IF(C1131&gt;1,IF(C1131&lt;99,VLOOKUP(C1131,'MSA-Lookup'!$H$1:$I$86,2),C1131),C1131)</f>
        <v>7400</v>
      </c>
      <c r="G1131" s="0" t="n">
        <f aca="false">VLOOKUP(E1131,'MSA-Lookup'!$AA$1:$AB$25,2)</f>
        <v>8120</v>
      </c>
      <c r="H1131" s="0" t="n">
        <f aca="false">IF(C1131&gt;1,IF(C1131&lt;99,VLOOKUP(F1131,'MSA-Lookup'!$AA$1:$AB$25,2),C1131),C1131)</f>
        <v>7362</v>
      </c>
    </row>
    <row r="1132" customFormat="false" ht="12.75" hidden="false" customHeight="false" outlineLevel="0" collapsed="false">
      <c r="A1132" s="0" t="n">
        <f aca="false">B1132*1000+C1132</f>
        <v>23050</v>
      </c>
      <c r="B1132" s="0" t="n">
        <v>23</v>
      </c>
      <c r="C1132" s="0" t="n">
        <v>50</v>
      </c>
      <c r="D1132" s="0" t="n">
        <v>1001</v>
      </c>
      <c r="E1132" s="0" t="n">
        <f aca="false">VLOOKUP(B1132,'MSA-Lookup'!$H$2:$I$86,2)</f>
        <v>8120</v>
      </c>
      <c r="F1132" s="0" t="n">
        <f aca="false">IF(C1132&gt;1,IF(C1132&lt;99,VLOOKUP(C1132,'MSA-Lookup'!$H$1:$I$86,2),C1132),C1132)</f>
        <v>7400</v>
      </c>
      <c r="G1132" s="0" t="n">
        <f aca="false">VLOOKUP(E1132,'MSA-Lookup'!$AA$1:$AB$25,2)</f>
        <v>8120</v>
      </c>
      <c r="H1132" s="0" t="n">
        <f aca="false">IF(C1132&gt;1,IF(C1132&lt;99,VLOOKUP(F1132,'MSA-Lookup'!$AA$1:$AB$25,2),C1132),C1132)</f>
        <v>7362</v>
      </c>
    </row>
    <row r="1133" customFormat="false" ht="12.75" hidden="false" customHeight="false" outlineLevel="0" collapsed="false">
      <c r="A1133" s="0" t="n">
        <f aca="false">B1133*1000+C1133</f>
        <v>23051</v>
      </c>
      <c r="B1133" s="0" t="n">
        <v>23</v>
      </c>
      <c r="C1133" s="0" t="n">
        <v>51</v>
      </c>
      <c r="D1133" s="0" t="n">
        <v>650</v>
      </c>
      <c r="E1133" s="0" t="n">
        <f aca="false">VLOOKUP(B1133,'MSA-Lookup'!$H$2:$I$86,2)</f>
        <v>8120</v>
      </c>
      <c r="F1133" s="0" t="n">
        <f aca="false">IF(C1133&gt;1,IF(C1133&lt;99,VLOOKUP(C1133,'MSA-Lookup'!$H$1:$I$86,2),C1133),C1133)</f>
        <v>7400</v>
      </c>
      <c r="G1133" s="0" t="n">
        <f aca="false">VLOOKUP(E1133,'MSA-Lookup'!$AA$1:$AB$25,2)</f>
        <v>8120</v>
      </c>
      <c r="H1133" s="0" t="n">
        <f aca="false">IF(C1133&gt;1,IF(C1133&lt;99,VLOOKUP(F1133,'MSA-Lookup'!$AA$1:$AB$25,2),C1133),C1133)</f>
        <v>7362</v>
      </c>
    </row>
    <row r="1134" customFormat="false" ht="12.75" hidden="false" customHeight="false" outlineLevel="0" collapsed="false">
      <c r="A1134" s="0" t="n">
        <f aca="false">B1134*1000+C1134</f>
        <v>23052</v>
      </c>
      <c r="B1134" s="0" t="n">
        <v>23</v>
      </c>
      <c r="C1134" s="0" t="n">
        <v>52</v>
      </c>
      <c r="D1134" s="0" t="n">
        <v>0</v>
      </c>
      <c r="E1134" s="0" t="n">
        <f aca="false">VLOOKUP(B1134,'MSA-Lookup'!$H$2:$I$86,2)</f>
        <v>8120</v>
      </c>
      <c r="F1134" s="0" t="n">
        <f aca="false">IF(C1134&gt;1,IF(C1134&lt;99,VLOOKUP(C1134,'MSA-Lookup'!$H$1:$I$86,2),C1134),C1134)</f>
        <v>4480</v>
      </c>
      <c r="G1134" s="0" t="n">
        <f aca="false">VLOOKUP(E1134,'MSA-Lookup'!$AA$1:$AB$25,2)</f>
        <v>8120</v>
      </c>
      <c r="H1134" s="0" t="n">
        <f aca="false">IF(C1134&gt;1,IF(C1134&lt;99,VLOOKUP(F1134,'MSA-Lookup'!$AA$1:$AB$25,2),C1134),C1134)</f>
        <v>4472</v>
      </c>
    </row>
    <row r="1135" customFormat="false" ht="12.75" hidden="false" customHeight="false" outlineLevel="0" collapsed="false">
      <c r="A1135" s="0" t="n">
        <f aca="false">B1135*1000+C1135</f>
        <v>23053</v>
      </c>
      <c r="B1135" s="0" t="n">
        <v>23</v>
      </c>
      <c r="C1135" s="0" t="n">
        <v>53</v>
      </c>
      <c r="D1135" s="0" t="n">
        <v>0</v>
      </c>
      <c r="E1135" s="0" t="n">
        <f aca="false">VLOOKUP(B1135,'MSA-Lookup'!$H$2:$I$86,2)</f>
        <v>8120</v>
      </c>
      <c r="F1135" s="0" t="n">
        <f aca="false">IF(C1135&gt;1,IF(C1135&lt;99,VLOOKUP(C1135,'MSA-Lookup'!$H$1:$I$86,2),C1135),C1135)</f>
        <v>4480</v>
      </c>
      <c r="G1135" s="0" t="n">
        <f aca="false">VLOOKUP(E1135,'MSA-Lookup'!$AA$1:$AB$25,2)</f>
        <v>8120</v>
      </c>
      <c r="H1135" s="0" t="n">
        <f aca="false">IF(C1135&gt;1,IF(C1135&lt;99,VLOOKUP(F1135,'MSA-Lookup'!$AA$1:$AB$25,2),C1135),C1135)</f>
        <v>4472</v>
      </c>
    </row>
    <row r="1136" customFormat="false" ht="12.75" hidden="false" customHeight="false" outlineLevel="0" collapsed="false">
      <c r="A1136" s="0" t="n">
        <f aca="false">B1136*1000+C1136</f>
        <v>23054</v>
      </c>
      <c r="B1136" s="0" t="n">
        <v>23</v>
      </c>
      <c r="C1136" s="0" t="n">
        <v>54</v>
      </c>
      <c r="D1136" s="0" t="n">
        <v>0</v>
      </c>
      <c r="E1136" s="0" t="n">
        <f aca="false">VLOOKUP(B1136,'MSA-Lookup'!$H$2:$I$86,2)</f>
        <v>8120</v>
      </c>
      <c r="F1136" s="0" t="n">
        <f aca="false">IF(C1136&gt;1,IF(C1136&lt;99,VLOOKUP(C1136,'MSA-Lookup'!$H$1:$I$86,2),C1136),C1136)</f>
        <v>4480</v>
      </c>
      <c r="G1136" s="0" t="n">
        <f aca="false">VLOOKUP(E1136,'MSA-Lookup'!$AA$1:$AB$25,2)</f>
        <v>8120</v>
      </c>
      <c r="H1136" s="0" t="n">
        <f aca="false">IF(C1136&gt;1,IF(C1136&lt;99,VLOOKUP(F1136,'MSA-Lookup'!$AA$1:$AB$25,2),C1136),C1136)</f>
        <v>4472</v>
      </c>
    </row>
    <row r="1137" customFormat="false" ht="12.75" hidden="false" customHeight="false" outlineLevel="0" collapsed="false">
      <c r="A1137" s="0" t="n">
        <f aca="false">B1137*1000+C1137</f>
        <v>23055</v>
      </c>
      <c r="B1137" s="0" t="n">
        <v>23</v>
      </c>
      <c r="C1137" s="0" t="n">
        <v>55</v>
      </c>
      <c r="D1137" s="0" t="n">
        <v>0</v>
      </c>
      <c r="E1137" s="0" t="n">
        <f aca="false">VLOOKUP(B1137,'MSA-Lookup'!$H$2:$I$86,2)</f>
        <v>8120</v>
      </c>
      <c r="F1137" s="0" t="n">
        <f aca="false">IF(C1137&gt;1,IF(C1137&lt;99,VLOOKUP(C1137,'MSA-Lookup'!$H$1:$I$86,2),C1137),C1137)</f>
        <v>4480</v>
      </c>
      <c r="G1137" s="0" t="n">
        <f aca="false">VLOOKUP(E1137,'MSA-Lookup'!$AA$1:$AB$25,2)</f>
        <v>8120</v>
      </c>
      <c r="H1137" s="0" t="n">
        <f aca="false">IF(C1137&gt;1,IF(C1137&lt;99,VLOOKUP(F1137,'MSA-Lookup'!$AA$1:$AB$25,2),C1137),C1137)</f>
        <v>4472</v>
      </c>
    </row>
    <row r="1138" customFormat="false" ht="12.75" hidden="false" customHeight="false" outlineLevel="0" collapsed="false">
      <c r="A1138" s="0" t="n">
        <f aca="false">B1138*1000+C1138</f>
        <v>23057</v>
      </c>
      <c r="B1138" s="0" t="n">
        <v>23</v>
      </c>
      <c r="C1138" s="0" t="n">
        <v>57</v>
      </c>
      <c r="D1138" s="0" t="n">
        <v>0</v>
      </c>
      <c r="E1138" s="0" t="n">
        <f aca="false">VLOOKUP(B1138,'MSA-Lookup'!$H$2:$I$86,2)</f>
        <v>8120</v>
      </c>
      <c r="F1138" s="0" t="n">
        <f aca="false">IF(C1138&gt;1,IF(C1138&lt;99,VLOOKUP(C1138,'MSA-Lookup'!$H$1:$I$86,2),C1138),C1138)</f>
        <v>4480</v>
      </c>
      <c r="G1138" s="0" t="n">
        <f aca="false">VLOOKUP(E1138,'MSA-Lookup'!$AA$1:$AB$25,2)</f>
        <v>8120</v>
      </c>
      <c r="H1138" s="0" t="n">
        <f aca="false">IF(C1138&gt;1,IF(C1138&lt;99,VLOOKUP(F1138,'MSA-Lookup'!$AA$1:$AB$25,2),C1138),C1138)</f>
        <v>4472</v>
      </c>
    </row>
    <row r="1139" customFormat="false" ht="12.75" hidden="false" customHeight="false" outlineLevel="0" collapsed="false">
      <c r="A1139" s="0" t="n">
        <f aca="false">B1139*1000+C1139</f>
        <v>23059</v>
      </c>
      <c r="B1139" s="0" t="n">
        <v>23</v>
      </c>
      <c r="C1139" s="0" t="n">
        <v>59</v>
      </c>
      <c r="D1139" s="0" t="n">
        <v>0</v>
      </c>
      <c r="E1139" s="0" t="n">
        <f aca="false">VLOOKUP(B1139,'MSA-Lookup'!$H$2:$I$86,2)</f>
        <v>8120</v>
      </c>
      <c r="F1139" s="0" t="n">
        <f aca="false">IF(C1139&gt;1,IF(C1139&lt;99,VLOOKUP(C1139,'MSA-Lookup'!$H$1:$I$86,2),C1139),C1139)</f>
        <v>4480</v>
      </c>
      <c r="G1139" s="0" t="n">
        <f aca="false">VLOOKUP(E1139,'MSA-Lookup'!$AA$1:$AB$25,2)</f>
        <v>8120</v>
      </c>
      <c r="H1139" s="0" t="n">
        <f aca="false">IF(C1139&gt;1,IF(C1139&lt;99,VLOOKUP(F1139,'MSA-Lookup'!$AA$1:$AB$25,2),C1139),C1139)</f>
        <v>4472</v>
      </c>
    </row>
    <row r="1140" customFormat="false" ht="12.75" hidden="false" customHeight="false" outlineLevel="0" collapsed="false">
      <c r="A1140" s="0" t="n">
        <f aca="false">B1140*1000+C1140</f>
        <v>23060</v>
      </c>
      <c r="B1140" s="0" t="n">
        <v>23</v>
      </c>
      <c r="C1140" s="0" t="n">
        <v>60</v>
      </c>
      <c r="D1140" s="0" t="n">
        <v>0</v>
      </c>
      <c r="E1140" s="0" t="n">
        <f aca="false">VLOOKUP(B1140,'MSA-Lookup'!$H$2:$I$86,2)</f>
        <v>8120</v>
      </c>
      <c r="F1140" s="0" t="n">
        <f aca="false">IF(C1140&gt;1,IF(C1140&lt;99,VLOOKUP(C1140,'MSA-Lookup'!$H$1:$I$86,2),C1140),C1140)</f>
        <v>4480</v>
      </c>
      <c r="G1140" s="0" t="n">
        <f aca="false">VLOOKUP(E1140,'MSA-Lookup'!$AA$1:$AB$25,2)</f>
        <v>8120</v>
      </c>
      <c r="H1140" s="0" t="n">
        <f aca="false">IF(C1140&gt;1,IF(C1140&lt;99,VLOOKUP(F1140,'MSA-Lookup'!$AA$1:$AB$25,2),C1140),C1140)</f>
        <v>4472</v>
      </c>
    </row>
    <row r="1141" customFormat="false" ht="12.75" hidden="false" customHeight="false" outlineLevel="0" collapsed="false">
      <c r="A1141" s="0" t="n">
        <f aca="false">B1141*1000+C1141</f>
        <v>23062</v>
      </c>
      <c r="B1141" s="0" t="n">
        <v>23</v>
      </c>
      <c r="C1141" s="0" t="n">
        <v>62</v>
      </c>
      <c r="D1141" s="0" t="n">
        <v>0</v>
      </c>
      <c r="E1141" s="0" t="n">
        <f aca="false">VLOOKUP(B1141,'MSA-Lookup'!$H$2:$I$86,2)</f>
        <v>8120</v>
      </c>
      <c r="F1141" s="0" t="n">
        <f aca="false">IF(C1141&gt;1,IF(C1141&lt;99,VLOOKUP(C1141,'MSA-Lookup'!$H$1:$I$86,2),C1141),C1141)</f>
        <v>4480</v>
      </c>
      <c r="G1141" s="0" t="n">
        <f aca="false">VLOOKUP(E1141,'MSA-Lookup'!$AA$1:$AB$25,2)</f>
        <v>8120</v>
      </c>
      <c r="H1141" s="0" t="n">
        <f aca="false">IF(C1141&gt;1,IF(C1141&lt;99,VLOOKUP(F1141,'MSA-Lookup'!$AA$1:$AB$25,2),C1141),C1141)</f>
        <v>4472</v>
      </c>
    </row>
    <row r="1142" customFormat="false" ht="12.75" hidden="false" customHeight="false" outlineLevel="0" collapsed="false">
      <c r="A1142" s="0" t="n">
        <f aca="false">B1142*1000+C1142</f>
        <v>23064</v>
      </c>
      <c r="B1142" s="0" t="n">
        <v>23</v>
      </c>
      <c r="C1142" s="0" t="n">
        <v>64</v>
      </c>
      <c r="D1142" s="0" t="n">
        <v>0</v>
      </c>
      <c r="E1142" s="0" t="n">
        <f aca="false">VLOOKUP(B1142,'MSA-Lookup'!$H$2:$I$86,2)</f>
        <v>8120</v>
      </c>
      <c r="F1142" s="0" t="n">
        <f aca="false">IF(C1142&gt;1,IF(C1142&lt;99,VLOOKUP(C1142,'MSA-Lookup'!$H$1:$I$86,2),C1142),C1142)</f>
        <v>4480</v>
      </c>
      <c r="G1142" s="0" t="n">
        <f aca="false">VLOOKUP(E1142,'MSA-Lookup'!$AA$1:$AB$25,2)</f>
        <v>8120</v>
      </c>
      <c r="H1142" s="0" t="n">
        <f aca="false">IF(C1142&gt;1,IF(C1142&lt;99,VLOOKUP(F1142,'MSA-Lookup'!$AA$1:$AB$25,2),C1142),C1142)</f>
        <v>4472</v>
      </c>
    </row>
    <row r="1143" customFormat="false" ht="12.75" hidden="false" customHeight="false" outlineLevel="0" collapsed="false">
      <c r="A1143" s="0" t="n">
        <f aca="false">B1143*1000+C1143</f>
        <v>23065</v>
      </c>
      <c r="B1143" s="0" t="n">
        <v>23</v>
      </c>
      <c r="C1143" s="0" t="n">
        <v>65</v>
      </c>
      <c r="D1143" s="0" t="n">
        <v>65</v>
      </c>
      <c r="E1143" s="0" t="n">
        <f aca="false">VLOOKUP(B1143,'MSA-Lookup'!$H$2:$I$86,2)</f>
        <v>8120</v>
      </c>
      <c r="F1143" s="0" t="n">
        <f aca="false">IF(C1143&gt;1,IF(C1143&lt;99,VLOOKUP(C1143,'MSA-Lookup'!$H$1:$I$86,2),C1143),C1143)</f>
        <v>4480</v>
      </c>
      <c r="G1143" s="0" t="n">
        <f aca="false">VLOOKUP(E1143,'MSA-Lookup'!$AA$1:$AB$25,2)</f>
        <v>8120</v>
      </c>
      <c r="H1143" s="0" t="n">
        <f aca="false">IF(C1143&gt;1,IF(C1143&lt;99,VLOOKUP(F1143,'MSA-Lookup'!$AA$1:$AB$25,2),C1143),C1143)</f>
        <v>4472</v>
      </c>
    </row>
    <row r="1144" customFormat="false" ht="12.75" hidden="false" customHeight="false" outlineLevel="0" collapsed="false">
      <c r="A1144" s="0" t="n">
        <f aca="false">B1144*1000+C1144</f>
        <v>23066</v>
      </c>
      <c r="B1144" s="0" t="n">
        <v>23</v>
      </c>
      <c r="C1144" s="0" t="n">
        <v>66</v>
      </c>
      <c r="D1144" s="0" t="n">
        <v>0</v>
      </c>
      <c r="E1144" s="0" t="n">
        <f aca="false">VLOOKUP(B1144,'MSA-Lookup'!$H$2:$I$86,2)</f>
        <v>8120</v>
      </c>
      <c r="F1144" s="0" t="n">
        <f aca="false">IF(C1144&gt;1,IF(C1144&lt;99,VLOOKUP(C1144,'MSA-Lookup'!$H$1:$I$86,2),C1144),C1144)</f>
        <v>4480</v>
      </c>
      <c r="G1144" s="0" t="n">
        <f aca="false">VLOOKUP(E1144,'MSA-Lookup'!$AA$1:$AB$25,2)</f>
        <v>8120</v>
      </c>
      <c r="H1144" s="0" t="n">
        <f aca="false">IF(C1144&gt;1,IF(C1144&lt;99,VLOOKUP(F1144,'MSA-Lookup'!$AA$1:$AB$25,2),C1144),C1144)</f>
        <v>4472</v>
      </c>
    </row>
    <row r="1145" customFormat="false" ht="12.75" hidden="false" customHeight="false" outlineLevel="0" collapsed="false">
      <c r="A1145" s="0" t="n">
        <f aca="false">B1145*1000+C1145</f>
        <v>23067</v>
      </c>
      <c r="B1145" s="0" t="n">
        <v>23</v>
      </c>
      <c r="C1145" s="0" t="n">
        <v>67</v>
      </c>
      <c r="D1145" s="0" t="n">
        <v>0</v>
      </c>
      <c r="E1145" s="0" t="n">
        <f aca="false">VLOOKUP(B1145,'MSA-Lookup'!$H$2:$I$86,2)</f>
        <v>8120</v>
      </c>
      <c r="F1145" s="0" t="n">
        <f aca="false">IF(C1145&gt;1,IF(C1145&lt;99,VLOOKUP(C1145,'MSA-Lookup'!$H$1:$I$86,2),C1145),C1145)</f>
        <v>6000</v>
      </c>
      <c r="G1145" s="0" t="n">
        <f aca="false">VLOOKUP(E1145,'MSA-Lookup'!$AA$1:$AB$25,2)</f>
        <v>8120</v>
      </c>
      <c r="H1145" s="0" t="n">
        <f aca="false">IF(C1145&gt;1,IF(C1145&lt;99,VLOOKUP(F1145,'MSA-Lookup'!$AA$1:$AB$25,2),C1145),C1145)</f>
        <v>4472</v>
      </c>
    </row>
    <row r="1146" customFormat="false" ht="12.75" hidden="false" customHeight="false" outlineLevel="0" collapsed="false">
      <c r="A1146" s="0" t="n">
        <f aca="false">B1146*1000+C1146</f>
        <v>23069</v>
      </c>
      <c r="B1146" s="0" t="n">
        <v>23</v>
      </c>
      <c r="C1146" s="0" t="n">
        <v>69</v>
      </c>
      <c r="D1146" s="0" t="n">
        <v>0</v>
      </c>
      <c r="E1146" s="0" t="n">
        <f aca="false">VLOOKUP(B1146,'MSA-Lookup'!$H$2:$I$86,2)</f>
        <v>8120</v>
      </c>
      <c r="F1146" s="0" t="n">
        <f aca="false">IF(C1146&gt;1,IF(C1146&lt;99,VLOOKUP(C1146,'MSA-Lookup'!$H$1:$I$86,2),C1146),C1146)</f>
        <v>6780</v>
      </c>
      <c r="G1146" s="0" t="n">
        <f aca="false">VLOOKUP(E1146,'MSA-Lookup'!$AA$1:$AB$25,2)</f>
        <v>8120</v>
      </c>
      <c r="H1146" s="0" t="n">
        <f aca="false">IF(C1146&gt;1,IF(C1146&lt;99,VLOOKUP(F1146,'MSA-Lookup'!$AA$1:$AB$25,2),C1146),C1146)</f>
        <v>4472</v>
      </c>
    </row>
    <row r="1147" customFormat="false" ht="12.75" hidden="false" customHeight="false" outlineLevel="0" collapsed="false">
      <c r="A1147" s="0" t="n">
        <f aca="false">B1147*1000+C1147</f>
        <v>23071</v>
      </c>
      <c r="B1147" s="0" t="n">
        <v>23</v>
      </c>
      <c r="C1147" s="0" t="n">
        <v>71</v>
      </c>
      <c r="D1147" s="0" t="n">
        <v>0</v>
      </c>
      <c r="E1147" s="0" t="n">
        <f aca="false">VLOOKUP(B1147,'MSA-Lookup'!$H$2:$I$86,2)</f>
        <v>8120</v>
      </c>
      <c r="F1147" s="0" t="n">
        <f aca="false">IF(C1147&gt;1,IF(C1147&lt;99,VLOOKUP(C1147,'MSA-Lookup'!$H$1:$I$86,2),C1147),C1147)</f>
        <v>6780</v>
      </c>
      <c r="G1147" s="0" t="n">
        <f aca="false">VLOOKUP(E1147,'MSA-Lookup'!$AA$1:$AB$25,2)</f>
        <v>8120</v>
      </c>
      <c r="H1147" s="0" t="n">
        <f aca="false">IF(C1147&gt;1,IF(C1147&lt;99,VLOOKUP(F1147,'MSA-Lookup'!$AA$1:$AB$25,2),C1147),C1147)</f>
        <v>4472</v>
      </c>
    </row>
    <row r="1148" customFormat="false" ht="12.75" hidden="false" customHeight="false" outlineLevel="0" collapsed="false">
      <c r="A1148" s="0" t="n">
        <f aca="false">B1148*1000+C1148</f>
        <v>23072</v>
      </c>
      <c r="B1148" s="0" t="n">
        <v>23</v>
      </c>
      <c r="C1148" s="0" t="n">
        <v>72</v>
      </c>
      <c r="D1148" s="0" t="n">
        <v>0</v>
      </c>
      <c r="E1148" s="0" t="n">
        <f aca="false">VLOOKUP(B1148,'MSA-Lookup'!$H$2:$I$86,2)</f>
        <v>8120</v>
      </c>
      <c r="F1148" s="0" t="n">
        <f aca="false">IF(C1148&gt;1,IF(C1148&lt;99,VLOOKUP(C1148,'MSA-Lookup'!$H$1:$I$86,2),C1148),C1148)</f>
        <v>6780</v>
      </c>
      <c r="G1148" s="0" t="n">
        <f aca="false">VLOOKUP(E1148,'MSA-Lookup'!$AA$1:$AB$25,2)</f>
        <v>8120</v>
      </c>
      <c r="H1148" s="0" t="n">
        <f aca="false">IF(C1148&gt;1,IF(C1148&lt;99,VLOOKUP(F1148,'MSA-Lookup'!$AA$1:$AB$25,2),C1148),C1148)</f>
        <v>4472</v>
      </c>
    </row>
    <row r="1149" customFormat="false" ht="12.75" hidden="false" customHeight="false" outlineLevel="0" collapsed="false">
      <c r="A1149" s="0" t="n">
        <f aca="false">B1149*1000+C1149</f>
        <v>23073</v>
      </c>
      <c r="B1149" s="0" t="n">
        <v>23</v>
      </c>
      <c r="C1149" s="0" t="n">
        <v>73</v>
      </c>
      <c r="D1149" s="0" t="n">
        <v>0</v>
      </c>
      <c r="E1149" s="0" t="n">
        <f aca="false">VLOOKUP(B1149,'MSA-Lookup'!$H$2:$I$86,2)</f>
        <v>8120</v>
      </c>
      <c r="F1149" s="0" t="n">
        <f aca="false">IF(C1149&gt;1,IF(C1149&lt;99,VLOOKUP(C1149,'MSA-Lookup'!$H$1:$I$86,2),C1149),C1149)</f>
        <v>8720</v>
      </c>
      <c r="G1149" s="0" t="n">
        <f aca="false">VLOOKUP(E1149,'MSA-Lookup'!$AA$1:$AB$25,2)</f>
        <v>8120</v>
      </c>
      <c r="H1149" s="0" t="n">
        <f aca="false">IF(C1149&gt;1,IF(C1149&lt;99,VLOOKUP(F1149,'MSA-Lookup'!$AA$1:$AB$25,2),C1149),C1149)</f>
        <v>7362</v>
      </c>
    </row>
    <row r="1150" customFormat="false" ht="12.75" hidden="false" customHeight="false" outlineLevel="0" collapsed="false">
      <c r="A1150" s="0" t="n">
        <f aca="false">B1150*1000+C1150</f>
        <v>23075</v>
      </c>
      <c r="B1150" s="0" t="n">
        <v>23</v>
      </c>
      <c r="C1150" s="0" t="n">
        <v>75</v>
      </c>
      <c r="D1150" s="0" t="n">
        <v>0</v>
      </c>
      <c r="E1150" s="0" t="n">
        <f aca="false">VLOOKUP(B1150,'MSA-Lookup'!$H$2:$I$86,2)</f>
        <v>8120</v>
      </c>
      <c r="F1150" s="0" t="n">
        <f aca="false">IF(C1150&gt;1,IF(C1150&lt;99,VLOOKUP(C1150,'MSA-Lookup'!$H$1:$I$86,2),C1150),C1150)</f>
        <v>8780</v>
      </c>
      <c r="G1150" s="0" t="n">
        <f aca="false">VLOOKUP(E1150,'MSA-Lookup'!$AA$1:$AB$25,2)</f>
        <v>8120</v>
      </c>
      <c r="H1150" s="0" t="n">
        <f aca="false">IF(C1150&gt;1,IF(C1150&lt;99,VLOOKUP(F1150,'MSA-Lookup'!$AA$1:$AB$25,2),C1150),C1150)</f>
        <v>8780</v>
      </c>
    </row>
    <row r="1151" customFormat="false" ht="12.75" hidden="false" customHeight="false" outlineLevel="0" collapsed="false">
      <c r="A1151" s="0" t="n">
        <f aca="false">B1151*1000+C1151</f>
        <v>23076</v>
      </c>
      <c r="B1151" s="0" t="n">
        <v>23</v>
      </c>
      <c r="C1151" s="0" t="n">
        <v>76</v>
      </c>
      <c r="D1151" s="0" t="n">
        <v>0</v>
      </c>
      <c r="E1151" s="0" t="n">
        <f aca="false">VLOOKUP(B1151,'MSA-Lookup'!$H$2:$I$86,2)</f>
        <v>8120</v>
      </c>
      <c r="F1151" s="0" t="n">
        <f aca="false">IF(C1151&gt;1,IF(C1151&lt;99,VLOOKUP(C1151,'MSA-Lookup'!$H$1:$I$86,2),C1151),C1151)</f>
        <v>7485</v>
      </c>
      <c r="G1151" s="0" t="n">
        <f aca="false">VLOOKUP(E1151,'MSA-Lookup'!$AA$1:$AB$25,2)</f>
        <v>8120</v>
      </c>
      <c r="H1151" s="0" t="n">
        <f aca="false">IF(C1151&gt;1,IF(C1151&lt;99,VLOOKUP(F1151,'MSA-Lookup'!$AA$1:$AB$25,2),C1151),C1151)</f>
        <v>7362</v>
      </c>
    </row>
    <row r="1152" customFormat="false" ht="12.75" hidden="false" customHeight="false" outlineLevel="0" collapsed="false">
      <c r="A1152" s="0" t="n">
        <f aca="false">B1152*1000+C1152</f>
        <v>23079</v>
      </c>
      <c r="B1152" s="0" t="n">
        <v>23</v>
      </c>
      <c r="C1152" s="0" t="n">
        <v>79</v>
      </c>
      <c r="D1152" s="0" t="n">
        <v>0</v>
      </c>
      <c r="E1152" s="0" t="n">
        <f aca="false">VLOOKUP(B1152,'MSA-Lookup'!$H$2:$I$86,2)</f>
        <v>8120</v>
      </c>
      <c r="F1152" s="0" t="n">
        <f aca="false">IF(C1152&gt;1,IF(C1152&lt;99,VLOOKUP(C1152,'MSA-Lookup'!$H$1:$I$86,2),C1152),C1152)</f>
        <v>680</v>
      </c>
      <c r="G1152" s="0" t="n">
        <f aca="false">VLOOKUP(E1152,'MSA-Lookup'!$AA$1:$AB$25,2)</f>
        <v>8120</v>
      </c>
      <c r="H1152" s="0" t="n">
        <f aca="false">IF(C1152&gt;1,IF(C1152&lt;99,VLOOKUP(F1152,'MSA-Lookup'!$AA$1:$AB$25,2),C1152),C1152)</f>
        <v>680</v>
      </c>
    </row>
    <row r="1153" customFormat="false" ht="12.75" hidden="false" customHeight="false" outlineLevel="0" collapsed="false">
      <c r="A1153" s="0" t="n">
        <f aca="false">B1153*1000+C1153</f>
        <v>23080</v>
      </c>
      <c r="B1153" s="0" t="n">
        <v>23</v>
      </c>
      <c r="C1153" s="0" t="n">
        <v>80</v>
      </c>
      <c r="D1153" s="0" t="n">
        <v>0</v>
      </c>
      <c r="E1153" s="0" t="n">
        <f aca="false">VLOOKUP(B1153,'MSA-Lookup'!$H$2:$I$86,2)</f>
        <v>8120</v>
      </c>
      <c r="F1153" s="0" t="n">
        <f aca="false">IF(C1153&gt;1,IF(C1153&lt;99,VLOOKUP(C1153,'MSA-Lookup'!$H$1:$I$86,2),C1153),C1153)</f>
        <v>9999</v>
      </c>
      <c r="G1153" s="0" t="n">
        <f aca="false">VLOOKUP(E1153,'MSA-Lookup'!$AA$1:$AB$25,2)</f>
        <v>8120</v>
      </c>
      <c r="H1153" s="0" t="n">
        <f aca="false">IF(C1153&gt;1,IF(C1153&lt;99,VLOOKUP(F1153,'MSA-Lookup'!$AA$1:$AB$25,2),C1153),C1153)</f>
        <v>9999</v>
      </c>
    </row>
    <row r="1154" customFormat="false" ht="12.75" hidden="false" customHeight="false" outlineLevel="0" collapsed="false">
      <c r="A1154" s="0" t="n">
        <f aca="false">B1154*1000+C1154</f>
        <v>23082</v>
      </c>
      <c r="B1154" s="0" t="n">
        <v>23</v>
      </c>
      <c r="C1154" s="0" t="n">
        <v>82</v>
      </c>
      <c r="D1154" s="0" t="n">
        <v>0</v>
      </c>
      <c r="E1154" s="0" t="n">
        <f aca="false">VLOOKUP(B1154,'MSA-Lookup'!$H$2:$I$86,2)</f>
        <v>8120</v>
      </c>
      <c r="F1154" s="0" t="n">
        <f aca="false">IF(C1154&gt;1,IF(C1154&lt;99,VLOOKUP(C1154,'MSA-Lookup'!$H$1:$I$86,2),C1154),C1154)</f>
        <v>6780</v>
      </c>
      <c r="G1154" s="0" t="n">
        <f aca="false">VLOOKUP(E1154,'MSA-Lookup'!$AA$1:$AB$25,2)</f>
        <v>8120</v>
      </c>
      <c r="H1154" s="0" t="n">
        <f aca="false">IF(C1154&gt;1,IF(C1154&lt;99,VLOOKUP(F1154,'MSA-Lookup'!$AA$1:$AB$25,2),C1154),C1154)</f>
        <v>4472</v>
      </c>
    </row>
    <row r="1155" customFormat="false" ht="12.75" hidden="false" customHeight="false" outlineLevel="0" collapsed="false">
      <c r="A1155" s="0" t="n">
        <f aca="false">B1155*1000+C1155</f>
        <v>23085</v>
      </c>
      <c r="B1155" s="0" t="n">
        <v>23</v>
      </c>
      <c r="C1155" s="0" t="n">
        <v>85</v>
      </c>
      <c r="D1155" s="0" t="n">
        <v>25623</v>
      </c>
      <c r="E1155" s="0" t="n">
        <f aca="false">VLOOKUP(B1155,'MSA-Lookup'!$H$2:$I$86,2)</f>
        <v>8120</v>
      </c>
      <c r="F1155" s="0" t="n">
        <f aca="false">IF(C1155&gt;1,IF(C1155&lt;99,VLOOKUP(C1155,'MSA-Lookup'!$H$1:$I$86,2),C1155),C1155)</f>
        <v>8120</v>
      </c>
      <c r="G1155" s="0" t="n">
        <f aca="false">VLOOKUP(E1155,'MSA-Lookup'!$AA$1:$AB$25,2)</f>
        <v>8120</v>
      </c>
      <c r="H1155" s="0" t="n">
        <f aca="false">IF(C1155&gt;1,IF(C1155&lt;99,VLOOKUP(F1155,'MSA-Lookup'!$AA$1:$AB$25,2),C1155),C1155)</f>
        <v>8120</v>
      </c>
    </row>
    <row r="1156" customFormat="false" ht="12.75" hidden="false" customHeight="false" outlineLevel="0" collapsed="false">
      <c r="A1156" s="0" t="n">
        <f aca="false">B1156*1000+C1156</f>
        <v>23858</v>
      </c>
      <c r="B1156" s="0" t="n">
        <v>23</v>
      </c>
      <c r="C1156" s="0" t="n">
        <v>858</v>
      </c>
      <c r="D1156" s="0" t="n">
        <v>0</v>
      </c>
      <c r="E1156" s="0" t="n">
        <f aca="false">VLOOKUP(B1156,'MSA-Lookup'!$H$2:$I$86,2)</f>
        <v>8120</v>
      </c>
      <c r="F1156" s="0" t="n">
        <f aca="false">IF(C1156&gt;1,IF(C1156&lt;99,VLOOKUP(C1156,'MSA-Lookup'!$H$1:$I$86,2),C1156),C1156)</f>
        <v>858</v>
      </c>
      <c r="G1156" s="0" t="n">
        <f aca="false">VLOOKUP(E1156,'MSA-Lookup'!$AA$1:$AB$25,2)</f>
        <v>8120</v>
      </c>
      <c r="H1156" s="0" t="n">
        <f aca="false">IF(C1156&gt;1,IF(C1156&lt;99,VLOOKUP(F1156,'MSA-Lookup'!$AA$1:$AB$25,2),C1156),C1156)</f>
        <v>858</v>
      </c>
    </row>
    <row r="1157" customFormat="false" ht="12.75" hidden="false" customHeight="false" outlineLevel="0" collapsed="false">
      <c r="A1157" s="0" t="n">
        <f aca="false">B1157*1000+C1157</f>
        <v>23999</v>
      </c>
      <c r="B1157" s="0" t="n">
        <v>23</v>
      </c>
      <c r="C1157" s="0" t="n">
        <v>999</v>
      </c>
      <c r="D1157" s="0" t="n">
        <v>117</v>
      </c>
      <c r="E1157" s="0" t="n">
        <f aca="false">VLOOKUP(B1157,'MSA-Lookup'!$H$2:$I$86,2)</f>
        <v>8120</v>
      </c>
      <c r="F1157" s="0" t="n">
        <f aca="false">IF(C1157&gt;1,IF(C1157&lt;99,VLOOKUP(C1157,'MSA-Lookup'!$H$1:$I$86,2),C1157),C1157)</f>
        <v>999</v>
      </c>
      <c r="G1157" s="0" t="n">
        <f aca="false">VLOOKUP(E1157,'MSA-Lookup'!$AA$1:$AB$25,2)</f>
        <v>8120</v>
      </c>
      <c r="H1157" s="0" t="n">
        <f aca="false">IF(C1157&gt;1,IF(C1157&lt;99,VLOOKUP(F1157,'MSA-Lookup'!$AA$1:$AB$25,2),C1157),C1157)</f>
        <v>999</v>
      </c>
    </row>
    <row r="1158" customFormat="false" ht="12.75" hidden="false" customHeight="false" outlineLevel="0" collapsed="false">
      <c r="A1158" s="0" t="n">
        <f aca="false">B1158*1000+C1158</f>
        <v>24000</v>
      </c>
      <c r="B1158" s="0" t="n">
        <v>24</v>
      </c>
      <c r="C1158" s="0" t="n">
        <v>0</v>
      </c>
      <c r="D1158" s="0" t="n">
        <v>94055</v>
      </c>
      <c r="E1158" s="0" t="n">
        <f aca="false">VLOOKUP(B1158,'MSA-Lookup'!$H$2:$I$86,2)</f>
        <v>5170</v>
      </c>
      <c r="F1158" s="0" t="n">
        <f aca="false">IF(C1158&gt;1,IF(C1158&lt;99,VLOOKUP(C1158,'MSA-Lookup'!$H$1:$I$86,2),C1158),C1158)</f>
        <v>0</v>
      </c>
      <c r="G1158" s="0" t="n">
        <f aca="false">VLOOKUP(E1158,'MSA-Lookup'!$AA$1:$AB$25,2)</f>
        <v>5170</v>
      </c>
      <c r="H1158" s="0" t="n">
        <f aca="false">IF(C1158&gt;1,IF(C1158&lt;99,VLOOKUP(F1158,'MSA-Lookup'!$AA$1:$AB$25,2),C1158),C1158)</f>
        <v>0</v>
      </c>
    </row>
    <row r="1159" customFormat="false" ht="12.75" hidden="false" customHeight="false" outlineLevel="0" collapsed="false">
      <c r="A1159" s="0" t="n">
        <f aca="false">B1159*1000+C1159</f>
        <v>24001</v>
      </c>
      <c r="B1159" s="0" t="n">
        <v>24</v>
      </c>
      <c r="C1159" s="0" t="n">
        <v>1</v>
      </c>
      <c r="D1159" s="0" t="n">
        <v>130</v>
      </c>
      <c r="E1159" s="0" t="n">
        <f aca="false">VLOOKUP(B1159,'MSA-Lookup'!$H$2:$I$86,2)</f>
        <v>5170</v>
      </c>
      <c r="F1159" s="0" t="n">
        <f aca="false">IF(C1159&gt;1,IF(C1159&lt;99,VLOOKUP(C1159,'MSA-Lookup'!$H$1:$I$86,2),C1159),C1159)</f>
        <v>1</v>
      </c>
      <c r="G1159" s="0" t="n">
        <f aca="false">VLOOKUP(E1159,'MSA-Lookup'!$AA$1:$AB$25,2)</f>
        <v>5170</v>
      </c>
      <c r="H1159" s="0" t="n">
        <f aca="false">IF(C1159&gt;1,IF(C1159&lt;99,VLOOKUP(F1159,'MSA-Lookup'!$AA$1:$AB$25,2),C1159),C1159)</f>
        <v>1</v>
      </c>
    </row>
    <row r="1160" customFormat="false" ht="12.75" hidden="false" customHeight="false" outlineLevel="0" collapsed="false">
      <c r="A1160" s="0" t="n">
        <f aca="false">B1160*1000+C1160</f>
        <v>24002</v>
      </c>
      <c r="B1160" s="0" t="n">
        <v>24</v>
      </c>
      <c r="C1160" s="0" t="n">
        <v>2</v>
      </c>
      <c r="D1160" s="0" t="n">
        <v>0</v>
      </c>
      <c r="E1160" s="0" t="n">
        <f aca="false">VLOOKUP(B1160,'MSA-Lookup'!$H$2:$I$86,2)</f>
        <v>5170</v>
      </c>
      <c r="F1160" s="0" t="n">
        <f aca="false">IF(C1160&gt;1,IF(C1160&lt;99,VLOOKUP(C1160,'MSA-Lookup'!$H$1:$I$86,2),C1160),C1160)</f>
        <v>9999</v>
      </c>
      <c r="G1160" s="0" t="n">
        <f aca="false">VLOOKUP(E1160,'MSA-Lookup'!$AA$1:$AB$25,2)</f>
        <v>5170</v>
      </c>
      <c r="H1160" s="0" t="n">
        <f aca="false">IF(C1160&gt;1,IF(C1160&lt;99,VLOOKUP(F1160,'MSA-Lookup'!$AA$1:$AB$25,2),C1160),C1160)</f>
        <v>9999</v>
      </c>
    </row>
    <row r="1161" customFormat="false" ht="12.75" hidden="false" customHeight="false" outlineLevel="0" collapsed="false">
      <c r="A1161" s="0" t="n">
        <f aca="false">B1161*1000+C1161</f>
        <v>24003</v>
      </c>
      <c r="B1161" s="0" t="n">
        <v>24</v>
      </c>
      <c r="C1161" s="0" t="n">
        <v>3</v>
      </c>
      <c r="D1161" s="0" t="n">
        <v>0</v>
      </c>
      <c r="E1161" s="0" t="n">
        <f aca="false">VLOOKUP(B1161,'MSA-Lookup'!$H$2:$I$86,2)</f>
        <v>5170</v>
      </c>
      <c r="F1161" s="0" t="n">
        <f aca="false">IF(C1161&gt;1,IF(C1161&lt;99,VLOOKUP(C1161,'MSA-Lookup'!$H$1:$I$86,2),C1161),C1161)</f>
        <v>6690</v>
      </c>
      <c r="G1161" s="0" t="n">
        <f aca="false">VLOOKUP(E1161,'MSA-Lookup'!$AA$1:$AB$25,2)</f>
        <v>5170</v>
      </c>
      <c r="H1161" s="0" t="n">
        <f aca="false">IF(C1161&gt;1,IF(C1161&lt;99,VLOOKUP(F1161,'MSA-Lookup'!$AA$1:$AB$25,2),C1161),C1161)</f>
        <v>6690</v>
      </c>
    </row>
    <row r="1162" customFormat="false" ht="12.75" hidden="false" customHeight="false" outlineLevel="0" collapsed="false">
      <c r="A1162" s="0" t="n">
        <f aca="false">B1162*1000+C1162</f>
        <v>24004</v>
      </c>
      <c r="B1162" s="0" t="n">
        <v>24</v>
      </c>
      <c r="C1162" s="0" t="n">
        <v>4</v>
      </c>
      <c r="D1162" s="0" t="n">
        <v>0</v>
      </c>
      <c r="E1162" s="0" t="n">
        <f aca="false">VLOOKUP(B1162,'MSA-Lookup'!$H$2:$I$86,2)</f>
        <v>5170</v>
      </c>
      <c r="F1162" s="0" t="n">
        <f aca="false">IF(C1162&gt;1,IF(C1162&lt;99,VLOOKUP(C1162,'MSA-Lookup'!$H$1:$I$86,2),C1162),C1162)</f>
        <v>9999</v>
      </c>
      <c r="G1162" s="0" t="n">
        <f aca="false">VLOOKUP(E1162,'MSA-Lookup'!$AA$1:$AB$25,2)</f>
        <v>5170</v>
      </c>
      <c r="H1162" s="0" t="n">
        <f aca="false">IF(C1162&gt;1,IF(C1162&lt;99,VLOOKUP(F1162,'MSA-Lookup'!$AA$1:$AB$25,2),C1162),C1162)</f>
        <v>9999</v>
      </c>
    </row>
    <row r="1163" customFormat="false" ht="12.75" hidden="false" customHeight="false" outlineLevel="0" collapsed="false">
      <c r="A1163" s="0" t="n">
        <f aca="false">B1163*1000+C1163</f>
        <v>24005</v>
      </c>
      <c r="B1163" s="0" t="n">
        <v>24</v>
      </c>
      <c r="C1163" s="0" t="n">
        <v>5</v>
      </c>
      <c r="D1163" s="0" t="n">
        <v>0</v>
      </c>
      <c r="E1163" s="0" t="n">
        <f aca="false">VLOOKUP(B1163,'MSA-Lookup'!$H$2:$I$86,2)</f>
        <v>5170</v>
      </c>
      <c r="F1163" s="0" t="n">
        <f aca="false">IF(C1163&gt;1,IF(C1163&lt;99,VLOOKUP(C1163,'MSA-Lookup'!$H$1:$I$86,2),C1163),C1163)</f>
        <v>9999</v>
      </c>
      <c r="G1163" s="0" t="n">
        <f aca="false">VLOOKUP(E1163,'MSA-Lookup'!$AA$1:$AB$25,2)</f>
        <v>5170</v>
      </c>
      <c r="H1163" s="0" t="n">
        <f aca="false">IF(C1163&gt;1,IF(C1163&lt;99,VLOOKUP(F1163,'MSA-Lookup'!$AA$1:$AB$25,2),C1163),C1163)</f>
        <v>9999</v>
      </c>
    </row>
    <row r="1164" customFormat="false" ht="12.75" hidden="false" customHeight="false" outlineLevel="0" collapsed="false">
      <c r="A1164" s="0" t="n">
        <f aca="false">B1164*1000+C1164</f>
        <v>24006</v>
      </c>
      <c r="B1164" s="0" t="n">
        <v>24</v>
      </c>
      <c r="C1164" s="0" t="n">
        <v>6</v>
      </c>
      <c r="D1164" s="0" t="n">
        <v>0</v>
      </c>
      <c r="E1164" s="0" t="n">
        <f aca="false">VLOOKUP(B1164,'MSA-Lookup'!$H$2:$I$86,2)</f>
        <v>5170</v>
      </c>
      <c r="F1164" s="0" t="n">
        <f aca="false">IF(C1164&gt;1,IF(C1164&lt;99,VLOOKUP(C1164,'MSA-Lookup'!$H$1:$I$86,2),C1164),C1164)</f>
        <v>1620</v>
      </c>
      <c r="G1164" s="0" t="n">
        <f aca="false">VLOOKUP(E1164,'MSA-Lookup'!$AA$1:$AB$25,2)</f>
        <v>5170</v>
      </c>
      <c r="H1164" s="0" t="n">
        <f aca="false">IF(C1164&gt;1,IF(C1164&lt;99,VLOOKUP(F1164,'MSA-Lookup'!$AA$1:$AB$25,2),C1164),C1164)</f>
        <v>1620</v>
      </c>
    </row>
    <row r="1165" customFormat="false" ht="12.75" hidden="false" customHeight="false" outlineLevel="0" collapsed="false">
      <c r="A1165" s="0" t="n">
        <f aca="false">B1165*1000+C1165</f>
        <v>24007</v>
      </c>
      <c r="B1165" s="0" t="n">
        <v>24</v>
      </c>
      <c r="C1165" s="0" t="n">
        <v>7</v>
      </c>
      <c r="D1165" s="0" t="n">
        <v>0</v>
      </c>
      <c r="E1165" s="0" t="n">
        <f aca="false">VLOOKUP(B1165,'MSA-Lookup'!$H$2:$I$86,2)</f>
        <v>5170</v>
      </c>
      <c r="F1165" s="0" t="n">
        <f aca="false">IF(C1165&gt;1,IF(C1165&lt;99,VLOOKUP(C1165,'MSA-Lookup'!$H$1:$I$86,2),C1165),C1165)</f>
        <v>9999</v>
      </c>
      <c r="G1165" s="0" t="n">
        <f aca="false">VLOOKUP(E1165,'MSA-Lookup'!$AA$1:$AB$25,2)</f>
        <v>5170</v>
      </c>
      <c r="H1165" s="0" t="n">
        <f aca="false">IF(C1165&gt;1,IF(C1165&lt;99,VLOOKUP(F1165,'MSA-Lookup'!$AA$1:$AB$25,2),C1165),C1165)</f>
        <v>9999</v>
      </c>
    </row>
    <row r="1166" customFormat="false" ht="12.75" hidden="false" customHeight="false" outlineLevel="0" collapsed="false">
      <c r="A1166" s="0" t="n">
        <f aca="false">B1166*1000+C1166</f>
        <v>24008</v>
      </c>
      <c r="B1166" s="0" t="n">
        <v>24</v>
      </c>
      <c r="C1166" s="0" t="n">
        <v>8</v>
      </c>
      <c r="D1166" s="0" t="n">
        <v>0</v>
      </c>
      <c r="E1166" s="0" t="n">
        <f aca="false">VLOOKUP(B1166,'MSA-Lookup'!$H$2:$I$86,2)</f>
        <v>5170</v>
      </c>
      <c r="F1166" s="0" t="n">
        <f aca="false">IF(C1166&gt;1,IF(C1166&lt;99,VLOOKUP(C1166,'MSA-Lookup'!$H$1:$I$86,2),C1166),C1166)</f>
        <v>9340</v>
      </c>
      <c r="G1166" s="0" t="n">
        <f aca="false">VLOOKUP(E1166,'MSA-Lookup'!$AA$1:$AB$25,2)</f>
        <v>5170</v>
      </c>
      <c r="H1166" s="0" t="n">
        <f aca="false">IF(C1166&gt;1,IF(C1166&lt;99,VLOOKUP(F1166,'MSA-Lookup'!$AA$1:$AB$25,2),C1166),C1166)</f>
        <v>9340</v>
      </c>
    </row>
    <row r="1167" customFormat="false" ht="12.75" hidden="false" customHeight="false" outlineLevel="0" collapsed="false">
      <c r="A1167" s="0" t="n">
        <f aca="false">B1167*1000+C1167</f>
        <v>24009</v>
      </c>
      <c r="B1167" s="0" t="n">
        <v>24</v>
      </c>
      <c r="C1167" s="0" t="n">
        <v>9</v>
      </c>
      <c r="D1167" s="0" t="n">
        <v>0</v>
      </c>
      <c r="E1167" s="0" t="n">
        <f aca="false">VLOOKUP(B1167,'MSA-Lookup'!$H$2:$I$86,2)</f>
        <v>5170</v>
      </c>
      <c r="F1167" s="0" t="n">
        <f aca="false">IF(C1167&gt;1,IF(C1167&lt;99,VLOOKUP(C1167,'MSA-Lookup'!$H$1:$I$86,2),C1167),C1167)</f>
        <v>8720</v>
      </c>
      <c r="G1167" s="0" t="n">
        <f aca="false">VLOOKUP(E1167,'MSA-Lookup'!$AA$1:$AB$25,2)</f>
        <v>5170</v>
      </c>
      <c r="H1167" s="0" t="n">
        <f aca="false">IF(C1167&gt;1,IF(C1167&lt;99,VLOOKUP(F1167,'MSA-Lookup'!$AA$1:$AB$25,2),C1167),C1167)</f>
        <v>7362</v>
      </c>
    </row>
    <row r="1168" customFormat="false" ht="12.75" hidden="false" customHeight="false" outlineLevel="0" collapsed="false">
      <c r="A1168" s="0" t="n">
        <f aca="false">B1168*1000+C1168</f>
        <v>24010</v>
      </c>
      <c r="B1168" s="0" t="n">
        <v>24</v>
      </c>
      <c r="C1168" s="0" t="n">
        <v>10</v>
      </c>
      <c r="D1168" s="0" t="n">
        <v>0</v>
      </c>
      <c r="E1168" s="0" t="n">
        <f aca="false">VLOOKUP(B1168,'MSA-Lookup'!$H$2:$I$86,2)</f>
        <v>5170</v>
      </c>
      <c r="F1168" s="0" t="n">
        <f aca="false">IF(C1168&gt;1,IF(C1168&lt;99,VLOOKUP(C1168,'MSA-Lookup'!$H$1:$I$86,2),C1168),C1168)</f>
        <v>6920</v>
      </c>
      <c r="G1168" s="0" t="n">
        <f aca="false">VLOOKUP(E1168,'MSA-Lookup'!$AA$1:$AB$25,2)</f>
        <v>5170</v>
      </c>
      <c r="H1168" s="0" t="n">
        <f aca="false">IF(C1168&gt;1,IF(C1168&lt;99,VLOOKUP(F1168,'MSA-Lookup'!$AA$1:$AB$25,2),C1168),C1168)</f>
        <v>6920</v>
      </c>
    </row>
    <row r="1169" customFormat="false" ht="12.75" hidden="false" customHeight="false" outlineLevel="0" collapsed="false">
      <c r="A1169" s="0" t="n">
        <f aca="false">B1169*1000+C1169</f>
        <v>24011</v>
      </c>
      <c r="B1169" s="0" t="n">
        <v>24</v>
      </c>
      <c r="C1169" s="0" t="n">
        <v>11</v>
      </c>
      <c r="D1169" s="0" t="n">
        <v>0</v>
      </c>
      <c r="E1169" s="0" t="n">
        <f aca="false">VLOOKUP(B1169,'MSA-Lookup'!$H$2:$I$86,2)</f>
        <v>5170</v>
      </c>
      <c r="F1169" s="0" t="n">
        <f aca="false">IF(C1169&gt;1,IF(C1169&lt;99,VLOOKUP(C1169,'MSA-Lookup'!$H$1:$I$86,2),C1169),C1169)</f>
        <v>6920</v>
      </c>
      <c r="G1169" s="0" t="n">
        <f aca="false">VLOOKUP(E1169,'MSA-Lookup'!$AA$1:$AB$25,2)</f>
        <v>5170</v>
      </c>
      <c r="H1169" s="0" t="n">
        <f aca="false">IF(C1169&gt;1,IF(C1169&lt;99,VLOOKUP(F1169,'MSA-Lookup'!$AA$1:$AB$25,2),C1169),C1169)</f>
        <v>6920</v>
      </c>
    </row>
    <row r="1170" customFormat="false" ht="12.75" hidden="false" customHeight="false" outlineLevel="0" collapsed="false">
      <c r="A1170" s="0" t="n">
        <f aca="false">B1170*1000+C1170</f>
        <v>24012</v>
      </c>
      <c r="B1170" s="0" t="n">
        <v>24</v>
      </c>
      <c r="C1170" s="0" t="n">
        <v>12</v>
      </c>
      <c r="D1170" s="0" t="n">
        <v>0</v>
      </c>
      <c r="E1170" s="0" t="n">
        <f aca="false">VLOOKUP(B1170,'MSA-Lookup'!$H$2:$I$86,2)</f>
        <v>5170</v>
      </c>
      <c r="F1170" s="0" t="n">
        <f aca="false">IF(C1170&gt;1,IF(C1170&lt;99,VLOOKUP(C1170,'MSA-Lookup'!$H$1:$I$86,2),C1170),C1170)</f>
        <v>6920</v>
      </c>
      <c r="G1170" s="0" t="n">
        <f aca="false">VLOOKUP(E1170,'MSA-Lookup'!$AA$1:$AB$25,2)</f>
        <v>5170</v>
      </c>
      <c r="H1170" s="0" t="n">
        <f aca="false">IF(C1170&gt;1,IF(C1170&lt;99,VLOOKUP(F1170,'MSA-Lookup'!$AA$1:$AB$25,2),C1170),C1170)</f>
        <v>6920</v>
      </c>
    </row>
    <row r="1171" customFormat="false" ht="12.75" hidden="false" customHeight="false" outlineLevel="0" collapsed="false">
      <c r="A1171" s="0" t="n">
        <f aca="false">B1171*1000+C1171</f>
        <v>24013</v>
      </c>
      <c r="B1171" s="0" t="n">
        <v>24</v>
      </c>
      <c r="C1171" s="0" t="n">
        <v>13</v>
      </c>
      <c r="D1171" s="0" t="n">
        <v>0</v>
      </c>
      <c r="E1171" s="0" t="n">
        <f aca="false">VLOOKUP(B1171,'MSA-Lookup'!$H$2:$I$86,2)</f>
        <v>5170</v>
      </c>
      <c r="F1171" s="0" t="n">
        <f aca="false">IF(C1171&gt;1,IF(C1171&lt;99,VLOOKUP(C1171,'MSA-Lookup'!$H$1:$I$86,2),C1171),C1171)</f>
        <v>7500</v>
      </c>
      <c r="G1171" s="0" t="n">
        <f aca="false">VLOOKUP(E1171,'MSA-Lookup'!$AA$1:$AB$25,2)</f>
        <v>5170</v>
      </c>
      <c r="H1171" s="0" t="n">
        <f aca="false">IF(C1171&gt;1,IF(C1171&lt;99,VLOOKUP(F1171,'MSA-Lookup'!$AA$1:$AB$25,2),C1171),C1171)</f>
        <v>7362</v>
      </c>
    </row>
    <row r="1172" customFormat="false" ht="12.75" hidden="false" customHeight="false" outlineLevel="0" collapsed="false">
      <c r="A1172" s="0" t="n">
        <f aca="false">B1172*1000+C1172</f>
        <v>24014</v>
      </c>
      <c r="B1172" s="0" t="n">
        <v>24</v>
      </c>
      <c r="C1172" s="0" t="n">
        <v>14</v>
      </c>
      <c r="D1172" s="0" t="n">
        <v>0</v>
      </c>
      <c r="E1172" s="0" t="n">
        <f aca="false">VLOOKUP(B1172,'MSA-Lookup'!$H$2:$I$86,2)</f>
        <v>5170</v>
      </c>
      <c r="F1172" s="0" t="n">
        <f aca="false">IF(C1172&gt;1,IF(C1172&lt;99,VLOOKUP(C1172,'MSA-Lookup'!$H$1:$I$86,2),C1172),C1172)</f>
        <v>7500</v>
      </c>
      <c r="G1172" s="0" t="n">
        <f aca="false">VLOOKUP(E1172,'MSA-Lookup'!$AA$1:$AB$25,2)</f>
        <v>5170</v>
      </c>
      <c r="H1172" s="0" t="n">
        <f aca="false">IF(C1172&gt;1,IF(C1172&lt;99,VLOOKUP(F1172,'MSA-Lookup'!$AA$1:$AB$25,2),C1172),C1172)</f>
        <v>7362</v>
      </c>
    </row>
    <row r="1173" customFormat="false" ht="12.75" hidden="false" customHeight="false" outlineLevel="0" collapsed="false">
      <c r="A1173" s="0" t="n">
        <f aca="false">B1173*1000+C1173</f>
        <v>24015</v>
      </c>
      <c r="B1173" s="0" t="n">
        <v>24</v>
      </c>
      <c r="C1173" s="0" t="n">
        <v>15</v>
      </c>
      <c r="D1173" s="0" t="n">
        <v>0</v>
      </c>
      <c r="E1173" s="0" t="n">
        <f aca="false">VLOOKUP(B1173,'MSA-Lookup'!$H$2:$I$86,2)</f>
        <v>5170</v>
      </c>
      <c r="F1173" s="0" t="n">
        <f aca="false">IF(C1173&gt;1,IF(C1173&lt;99,VLOOKUP(C1173,'MSA-Lookup'!$H$1:$I$86,2),C1173),C1173)</f>
        <v>7360</v>
      </c>
      <c r="G1173" s="0" t="n">
        <f aca="false">VLOOKUP(E1173,'MSA-Lookup'!$AA$1:$AB$25,2)</f>
        <v>5170</v>
      </c>
      <c r="H1173" s="0" t="n">
        <f aca="false">IF(C1173&gt;1,IF(C1173&lt;99,VLOOKUP(F1173,'MSA-Lookup'!$AA$1:$AB$25,2),C1173),C1173)</f>
        <v>7362</v>
      </c>
    </row>
    <row r="1174" customFormat="false" ht="12.75" hidden="false" customHeight="false" outlineLevel="0" collapsed="false">
      <c r="A1174" s="0" t="n">
        <f aca="false">B1174*1000+C1174</f>
        <v>24016</v>
      </c>
      <c r="B1174" s="0" t="n">
        <v>24</v>
      </c>
      <c r="C1174" s="0" t="n">
        <v>16</v>
      </c>
      <c r="D1174" s="0" t="n">
        <v>208</v>
      </c>
      <c r="E1174" s="0" t="n">
        <f aca="false">VLOOKUP(B1174,'MSA-Lookup'!$H$2:$I$86,2)</f>
        <v>5170</v>
      </c>
      <c r="F1174" s="0" t="n">
        <f aca="false">IF(C1174&gt;1,IF(C1174&lt;99,VLOOKUP(C1174,'MSA-Lookup'!$H$1:$I$86,2),C1174),C1174)</f>
        <v>8720</v>
      </c>
      <c r="G1174" s="0" t="n">
        <f aca="false">VLOOKUP(E1174,'MSA-Lookup'!$AA$1:$AB$25,2)</f>
        <v>5170</v>
      </c>
      <c r="H1174" s="0" t="n">
        <f aca="false">IF(C1174&gt;1,IF(C1174&lt;99,VLOOKUP(F1174,'MSA-Lookup'!$AA$1:$AB$25,2),C1174),C1174)</f>
        <v>7362</v>
      </c>
    </row>
    <row r="1175" customFormat="false" ht="12.75" hidden="false" customHeight="false" outlineLevel="0" collapsed="false">
      <c r="A1175" s="0" t="n">
        <f aca="false">B1175*1000+C1175</f>
        <v>24017</v>
      </c>
      <c r="B1175" s="0" t="n">
        <v>24</v>
      </c>
      <c r="C1175" s="0" t="n">
        <v>17</v>
      </c>
      <c r="D1175" s="0" t="n">
        <v>0</v>
      </c>
      <c r="E1175" s="0" t="n">
        <f aca="false">VLOOKUP(B1175,'MSA-Lookup'!$H$2:$I$86,2)</f>
        <v>5170</v>
      </c>
      <c r="F1175" s="0" t="n">
        <f aca="false">IF(C1175&gt;1,IF(C1175&lt;99,VLOOKUP(C1175,'MSA-Lookup'!$H$1:$I$86,2),C1175),C1175)</f>
        <v>5775</v>
      </c>
      <c r="G1175" s="0" t="n">
        <f aca="false">VLOOKUP(E1175,'MSA-Lookup'!$AA$1:$AB$25,2)</f>
        <v>5170</v>
      </c>
      <c r="H1175" s="0" t="n">
        <f aca="false">IF(C1175&gt;1,IF(C1175&lt;99,VLOOKUP(F1175,'MSA-Lookup'!$AA$1:$AB$25,2),C1175),C1175)</f>
        <v>7362</v>
      </c>
    </row>
    <row r="1176" customFormat="false" ht="12.75" hidden="false" customHeight="false" outlineLevel="0" collapsed="false">
      <c r="A1176" s="0" t="n">
        <f aca="false">B1176*1000+C1176</f>
        <v>24018</v>
      </c>
      <c r="B1176" s="0" t="n">
        <v>24</v>
      </c>
      <c r="C1176" s="0" t="n">
        <v>18</v>
      </c>
      <c r="D1176" s="0" t="n">
        <v>312</v>
      </c>
      <c r="E1176" s="0" t="n">
        <f aca="false">VLOOKUP(B1176,'MSA-Lookup'!$H$2:$I$86,2)</f>
        <v>5170</v>
      </c>
      <c r="F1176" s="0" t="n">
        <f aca="false">IF(C1176&gt;1,IF(C1176&lt;99,VLOOKUP(C1176,'MSA-Lookup'!$H$1:$I$86,2),C1176),C1176)</f>
        <v>5775</v>
      </c>
      <c r="G1176" s="0" t="n">
        <f aca="false">VLOOKUP(E1176,'MSA-Lookup'!$AA$1:$AB$25,2)</f>
        <v>5170</v>
      </c>
      <c r="H1176" s="0" t="n">
        <f aca="false">IF(C1176&gt;1,IF(C1176&lt;99,VLOOKUP(F1176,'MSA-Lookup'!$AA$1:$AB$25,2),C1176),C1176)</f>
        <v>7362</v>
      </c>
    </row>
    <row r="1177" customFormat="false" ht="12.75" hidden="false" customHeight="false" outlineLevel="0" collapsed="false">
      <c r="A1177" s="0" t="n">
        <f aca="false">B1177*1000+C1177</f>
        <v>24019</v>
      </c>
      <c r="B1177" s="0" t="n">
        <v>24</v>
      </c>
      <c r="C1177" s="0" t="n">
        <v>19</v>
      </c>
      <c r="D1177" s="0" t="n">
        <v>91</v>
      </c>
      <c r="E1177" s="0" t="n">
        <f aca="false">VLOOKUP(B1177,'MSA-Lookup'!$H$2:$I$86,2)</f>
        <v>5170</v>
      </c>
      <c r="F1177" s="0" t="n">
        <f aca="false">IF(C1177&gt;1,IF(C1177&lt;99,VLOOKUP(C1177,'MSA-Lookup'!$H$1:$I$86,2),C1177),C1177)</f>
        <v>7360</v>
      </c>
      <c r="G1177" s="0" t="n">
        <f aca="false">VLOOKUP(E1177,'MSA-Lookup'!$AA$1:$AB$25,2)</f>
        <v>5170</v>
      </c>
      <c r="H1177" s="0" t="n">
        <f aca="false">IF(C1177&gt;1,IF(C1177&lt;99,VLOOKUP(F1177,'MSA-Lookup'!$AA$1:$AB$25,2),C1177),C1177)</f>
        <v>7362</v>
      </c>
    </row>
    <row r="1178" customFormat="false" ht="12.75" hidden="false" customHeight="false" outlineLevel="0" collapsed="false">
      <c r="A1178" s="0" t="n">
        <f aca="false">B1178*1000+C1178</f>
        <v>24020</v>
      </c>
      <c r="B1178" s="0" t="n">
        <v>24</v>
      </c>
      <c r="C1178" s="0" t="n">
        <v>20</v>
      </c>
      <c r="D1178" s="0" t="n">
        <v>234</v>
      </c>
      <c r="E1178" s="0" t="n">
        <f aca="false">VLOOKUP(B1178,'MSA-Lookup'!$H$2:$I$86,2)</f>
        <v>5170</v>
      </c>
      <c r="F1178" s="0" t="n">
        <f aca="false">IF(C1178&gt;1,IF(C1178&lt;99,VLOOKUP(C1178,'MSA-Lookup'!$H$1:$I$86,2),C1178),C1178)</f>
        <v>5775</v>
      </c>
      <c r="G1178" s="0" t="n">
        <f aca="false">VLOOKUP(E1178,'MSA-Lookup'!$AA$1:$AB$25,2)</f>
        <v>5170</v>
      </c>
      <c r="H1178" s="0" t="n">
        <f aca="false">IF(C1178&gt;1,IF(C1178&lt;99,VLOOKUP(F1178,'MSA-Lookup'!$AA$1:$AB$25,2),C1178),C1178)</f>
        <v>7362</v>
      </c>
    </row>
    <row r="1179" customFormat="false" ht="12.75" hidden="false" customHeight="false" outlineLevel="0" collapsed="false">
      <c r="A1179" s="0" t="n">
        <f aca="false">B1179*1000+C1179</f>
        <v>24021</v>
      </c>
      <c r="B1179" s="0" t="n">
        <v>24</v>
      </c>
      <c r="C1179" s="0" t="n">
        <v>21</v>
      </c>
      <c r="D1179" s="0" t="n">
        <v>2990</v>
      </c>
      <c r="E1179" s="0" t="n">
        <f aca="false">VLOOKUP(B1179,'MSA-Lookup'!$H$2:$I$86,2)</f>
        <v>5170</v>
      </c>
      <c r="F1179" s="0" t="n">
        <f aca="false">IF(C1179&gt;1,IF(C1179&lt;99,VLOOKUP(C1179,'MSA-Lookup'!$H$1:$I$86,2),C1179),C1179)</f>
        <v>5775</v>
      </c>
      <c r="G1179" s="0" t="n">
        <f aca="false">VLOOKUP(E1179,'MSA-Lookup'!$AA$1:$AB$25,2)</f>
        <v>5170</v>
      </c>
      <c r="H1179" s="0" t="n">
        <f aca="false">IF(C1179&gt;1,IF(C1179&lt;99,VLOOKUP(F1179,'MSA-Lookup'!$AA$1:$AB$25,2),C1179),C1179)</f>
        <v>7362</v>
      </c>
    </row>
    <row r="1180" customFormat="false" ht="12.75" hidden="false" customHeight="false" outlineLevel="0" collapsed="false">
      <c r="A1180" s="0" t="n">
        <f aca="false">B1180*1000+C1180</f>
        <v>24022</v>
      </c>
      <c r="B1180" s="0" t="n">
        <v>24</v>
      </c>
      <c r="C1180" s="0" t="n">
        <v>22</v>
      </c>
      <c r="D1180" s="0" t="n">
        <v>143</v>
      </c>
      <c r="E1180" s="0" t="n">
        <f aca="false">VLOOKUP(B1180,'MSA-Lookup'!$H$2:$I$86,2)</f>
        <v>5170</v>
      </c>
      <c r="F1180" s="0" t="n">
        <f aca="false">IF(C1180&gt;1,IF(C1180&lt;99,VLOOKUP(C1180,'MSA-Lookup'!$H$1:$I$86,2),C1180),C1180)</f>
        <v>7360</v>
      </c>
      <c r="G1180" s="0" t="n">
        <f aca="false">VLOOKUP(E1180,'MSA-Lookup'!$AA$1:$AB$25,2)</f>
        <v>5170</v>
      </c>
      <c r="H1180" s="0" t="n">
        <f aca="false">IF(C1180&gt;1,IF(C1180&lt;99,VLOOKUP(F1180,'MSA-Lookup'!$AA$1:$AB$25,2),C1180),C1180)</f>
        <v>7362</v>
      </c>
    </row>
    <row r="1181" customFormat="false" ht="12.75" hidden="false" customHeight="false" outlineLevel="0" collapsed="false">
      <c r="A1181" s="0" t="n">
        <f aca="false">B1181*1000+C1181</f>
        <v>24023</v>
      </c>
      <c r="B1181" s="0" t="n">
        <v>24</v>
      </c>
      <c r="C1181" s="0" t="n">
        <v>23</v>
      </c>
      <c r="D1181" s="0" t="n">
        <v>3510</v>
      </c>
      <c r="E1181" s="0" t="n">
        <f aca="false">VLOOKUP(B1181,'MSA-Lookup'!$H$2:$I$86,2)</f>
        <v>5170</v>
      </c>
      <c r="F1181" s="0" t="n">
        <f aca="false">IF(C1181&gt;1,IF(C1181&lt;99,VLOOKUP(C1181,'MSA-Lookup'!$H$1:$I$86,2),C1181),C1181)</f>
        <v>8120</v>
      </c>
      <c r="G1181" s="0" t="n">
        <f aca="false">VLOOKUP(E1181,'MSA-Lookup'!$AA$1:$AB$25,2)</f>
        <v>5170</v>
      </c>
      <c r="H1181" s="0" t="n">
        <f aca="false">IF(C1181&gt;1,IF(C1181&lt;99,VLOOKUP(F1181,'MSA-Lookup'!$AA$1:$AB$25,2),C1181),C1181)</f>
        <v>8120</v>
      </c>
    </row>
    <row r="1182" customFormat="false" ht="12.75" hidden="false" customHeight="false" outlineLevel="0" collapsed="false">
      <c r="A1182" s="0" t="n">
        <f aca="false">B1182*1000+C1182</f>
        <v>24024</v>
      </c>
      <c r="B1182" s="0" t="n">
        <v>24</v>
      </c>
      <c r="C1182" s="0" t="n">
        <v>24</v>
      </c>
      <c r="D1182" s="0" t="n">
        <v>37934</v>
      </c>
      <c r="E1182" s="0" t="n">
        <f aca="false">VLOOKUP(B1182,'MSA-Lookup'!$H$2:$I$86,2)</f>
        <v>5170</v>
      </c>
      <c r="F1182" s="0" t="n">
        <f aca="false">IF(C1182&gt;1,IF(C1182&lt;99,VLOOKUP(C1182,'MSA-Lookup'!$H$1:$I$86,2),C1182),C1182)</f>
        <v>5170</v>
      </c>
      <c r="G1182" s="0" t="n">
        <f aca="false">VLOOKUP(E1182,'MSA-Lookup'!$AA$1:$AB$25,2)</f>
        <v>5170</v>
      </c>
      <c r="H1182" s="0" t="n">
        <f aca="false">IF(C1182&gt;1,IF(C1182&lt;99,VLOOKUP(F1182,'MSA-Lookup'!$AA$1:$AB$25,2),C1182),C1182)</f>
        <v>5170</v>
      </c>
    </row>
    <row r="1183" customFormat="false" ht="12.75" hidden="false" customHeight="false" outlineLevel="0" collapsed="false">
      <c r="A1183" s="0" t="n">
        <f aca="false">B1183*1000+C1183</f>
        <v>24025</v>
      </c>
      <c r="B1183" s="0" t="n">
        <v>24</v>
      </c>
      <c r="C1183" s="0" t="n">
        <v>25</v>
      </c>
      <c r="D1183" s="0" t="n">
        <v>16081</v>
      </c>
      <c r="E1183" s="0" t="n">
        <f aca="false">VLOOKUP(B1183,'MSA-Lookup'!$H$2:$I$86,2)</f>
        <v>5170</v>
      </c>
      <c r="F1183" s="0" t="n">
        <f aca="false">IF(C1183&gt;1,IF(C1183&lt;99,VLOOKUP(C1183,'MSA-Lookup'!$H$1:$I$86,2),C1183),C1183)</f>
        <v>5170</v>
      </c>
      <c r="G1183" s="0" t="n">
        <f aca="false">VLOOKUP(E1183,'MSA-Lookup'!$AA$1:$AB$25,2)</f>
        <v>5170</v>
      </c>
      <c r="H1183" s="0" t="n">
        <f aca="false">IF(C1183&gt;1,IF(C1183&lt;99,VLOOKUP(F1183,'MSA-Lookup'!$AA$1:$AB$25,2),C1183),C1183)</f>
        <v>5170</v>
      </c>
    </row>
    <row r="1184" customFormat="false" ht="12.75" hidden="false" customHeight="false" outlineLevel="0" collapsed="false">
      <c r="A1184" s="0" t="n">
        <f aca="false">B1184*1000+C1184</f>
        <v>24026</v>
      </c>
      <c r="B1184" s="0" t="n">
        <v>24</v>
      </c>
      <c r="C1184" s="0" t="n">
        <v>26</v>
      </c>
      <c r="D1184" s="0" t="n">
        <v>169</v>
      </c>
      <c r="E1184" s="0" t="n">
        <f aca="false">VLOOKUP(B1184,'MSA-Lookup'!$H$2:$I$86,2)</f>
        <v>5170</v>
      </c>
      <c r="F1184" s="0" t="n">
        <f aca="false">IF(C1184&gt;1,IF(C1184&lt;99,VLOOKUP(C1184,'MSA-Lookup'!$H$1:$I$86,2),C1184),C1184)</f>
        <v>9999</v>
      </c>
      <c r="G1184" s="0" t="n">
        <f aca="false">VLOOKUP(E1184,'MSA-Lookup'!$AA$1:$AB$25,2)</f>
        <v>5170</v>
      </c>
      <c r="H1184" s="0" t="n">
        <f aca="false">IF(C1184&gt;1,IF(C1184&lt;99,VLOOKUP(F1184,'MSA-Lookup'!$AA$1:$AB$25,2),C1184),C1184)</f>
        <v>9999</v>
      </c>
    </row>
    <row r="1185" customFormat="false" ht="12.75" hidden="false" customHeight="false" outlineLevel="0" collapsed="false">
      <c r="A1185" s="0" t="n">
        <f aca="false">B1185*1000+C1185</f>
        <v>24027</v>
      </c>
      <c r="B1185" s="0" t="n">
        <v>24</v>
      </c>
      <c r="C1185" s="0" t="n">
        <v>27</v>
      </c>
      <c r="D1185" s="0" t="n">
        <v>0</v>
      </c>
      <c r="E1185" s="0" t="n">
        <f aca="false">VLOOKUP(B1185,'MSA-Lookup'!$H$2:$I$86,2)</f>
        <v>5170</v>
      </c>
      <c r="F1185" s="0" t="n">
        <f aca="false">IF(C1185&gt;1,IF(C1185&lt;99,VLOOKUP(C1185,'MSA-Lookup'!$H$1:$I$86,2),C1185),C1185)</f>
        <v>9999</v>
      </c>
      <c r="G1185" s="0" t="n">
        <f aca="false">VLOOKUP(E1185,'MSA-Lookup'!$AA$1:$AB$25,2)</f>
        <v>5170</v>
      </c>
      <c r="H1185" s="0" t="n">
        <f aca="false">IF(C1185&gt;1,IF(C1185&lt;99,VLOOKUP(F1185,'MSA-Lookup'!$AA$1:$AB$25,2),C1185),C1185)</f>
        <v>9999</v>
      </c>
    </row>
    <row r="1186" customFormat="false" ht="12.75" hidden="false" customHeight="false" outlineLevel="0" collapsed="false">
      <c r="A1186" s="0" t="n">
        <f aca="false">B1186*1000+C1186</f>
        <v>24028</v>
      </c>
      <c r="B1186" s="0" t="n">
        <v>24</v>
      </c>
      <c r="C1186" s="0" t="n">
        <v>28</v>
      </c>
      <c r="D1186" s="0" t="n">
        <v>65</v>
      </c>
      <c r="E1186" s="0" t="n">
        <f aca="false">VLOOKUP(B1186,'MSA-Lookup'!$H$2:$I$86,2)</f>
        <v>5170</v>
      </c>
      <c r="F1186" s="0" t="n">
        <f aca="false">IF(C1186&gt;1,IF(C1186&lt;99,VLOOKUP(C1186,'MSA-Lookup'!$H$1:$I$86,2),C1186),C1186)</f>
        <v>6920</v>
      </c>
      <c r="G1186" s="0" t="n">
        <f aca="false">VLOOKUP(E1186,'MSA-Lookup'!$AA$1:$AB$25,2)</f>
        <v>5170</v>
      </c>
      <c r="H1186" s="0" t="n">
        <f aca="false">IF(C1186&gt;1,IF(C1186&lt;99,VLOOKUP(F1186,'MSA-Lookup'!$AA$1:$AB$25,2),C1186),C1186)</f>
        <v>6920</v>
      </c>
    </row>
    <row r="1187" customFormat="false" ht="12.75" hidden="false" customHeight="false" outlineLevel="0" collapsed="false">
      <c r="A1187" s="0" t="n">
        <f aca="false">B1187*1000+C1187</f>
        <v>24029</v>
      </c>
      <c r="B1187" s="0" t="n">
        <v>24</v>
      </c>
      <c r="C1187" s="0" t="n">
        <v>29</v>
      </c>
      <c r="D1187" s="0" t="n">
        <v>65</v>
      </c>
      <c r="E1187" s="0" t="n">
        <f aca="false">VLOOKUP(B1187,'MSA-Lookup'!$H$2:$I$86,2)</f>
        <v>5170</v>
      </c>
      <c r="F1187" s="0" t="n">
        <f aca="false">IF(C1187&gt;1,IF(C1187&lt;99,VLOOKUP(C1187,'MSA-Lookup'!$H$1:$I$86,2),C1187),C1187)</f>
        <v>6920</v>
      </c>
      <c r="G1187" s="0" t="n">
        <f aca="false">VLOOKUP(E1187,'MSA-Lookup'!$AA$1:$AB$25,2)</f>
        <v>5170</v>
      </c>
      <c r="H1187" s="0" t="n">
        <f aca="false">IF(C1187&gt;1,IF(C1187&lt;99,VLOOKUP(F1187,'MSA-Lookup'!$AA$1:$AB$25,2),C1187),C1187)</f>
        <v>6920</v>
      </c>
    </row>
    <row r="1188" customFormat="false" ht="12.75" hidden="false" customHeight="false" outlineLevel="0" collapsed="false">
      <c r="A1188" s="0" t="n">
        <f aca="false">B1188*1000+C1188</f>
        <v>24030</v>
      </c>
      <c r="B1188" s="0" t="n">
        <v>24</v>
      </c>
      <c r="C1188" s="0" t="n">
        <v>30</v>
      </c>
      <c r="D1188" s="0" t="n">
        <v>1196</v>
      </c>
      <c r="E1188" s="0" t="n">
        <f aca="false">VLOOKUP(B1188,'MSA-Lookup'!$H$2:$I$86,2)</f>
        <v>5170</v>
      </c>
      <c r="F1188" s="0" t="n">
        <f aca="false">IF(C1188&gt;1,IF(C1188&lt;99,VLOOKUP(C1188,'MSA-Lookup'!$H$1:$I$86,2),C1188),C1188)</f>
        <v>4940</v>
      </c>
      <c r="G1188" s="0" t="n">
        <f aca="false">VLOOKUP(E1188,'MSA-Lookup'!$AA$1:$AB$25,2)</f>
        <v>5170</v>
      </c>
      <c r="H1188" s="0" t="n">
        <f aca="false">IF(C1188&gt;1,IF(C1188&lt;99,VLOOKUP(F1188,'MSA-Lookup'!$AA$1:$AB$25,2),C1188),C1188)</f>
        <v>4940</v>
      </c>
    </row>
    <row r="1189" customFormat="false" ht="12.75" hidden="false" customHeight="false" outlineLevel="0" collapsed="false">
      <c r="A1189" s="0" t="n">
        <f aca="false">B1189*1000+C1189</f>
        <v>24031</v>
      </c>
      <c r="B1189" s="0" t="n">
        <v>24</v>
      </c>
      <c r="C1189" s="0" t="n">
        <v>31</v>
      </c>
      <c r="D1189" s="0" t="n">
        <v>0</v>
      </c>
      <c r="E1189" s="0" t="n">
        <f aca="false">VLOOKUP(B1189,'MSA-Lookup'!$H$2:$I$86,2)</f>
        <v>5170</v>
      </c>
      <c r="F1189" s="0" t="n">
        <f aca="false">IF(C1189&gt;1,IF(C1189&lt;99,VLOOKUP(C1189,'MSA-Lookup'!$H$1:$I$86,2),C1189),C1189)</f>
        <v>9999</v>
      </c>
      <c r="G1189" s="0" t="n">
        <f aca="false">VLOOKUP(E1189,'MSA-Lookup'!$AA$1:$AB$25,2)</f>
        <v>5170</v>
      </c>
      <c r="H1189" s="0" t="n">
        <f aca="false">IF(C1189&gt;1,IF(C1189&lt;99,VLOOKUP(F1189,'MSA-Lookup'!$AA$1:$AB$25,2),C1189),C1189)</f>
        <v>9999</v>
      </c>
    </row>
    <row r="1190" customFormat="false" ht="12.75" hidden="false" customHeight="false" outlineLevel="0" collapsed="false">
      <c r="A1190" s="0" t="n">
        <f aca="false">B1190*1000+C1190</f>
        <v>24032</v>
      </c>
      <c r="B1190" s="0" t="n">
        <v>24</v>
      </c>
      <c r="C1190" s="0" t="n">
        <v>32</v>
      </c>
      <c r="D1190" s="0" t="n">
        <v>0</v>
      </c>
      <c r="E1190" s="0" t="n">
        <f aca="false">VLOOKUP(B1190,'MSA-Lookup'!$H$2:$I$86,2)</f>
        <v>5170</v>
      </c>
      <c r="F1190" s="0" t="n">
        <f aca="false">IF(C1190&gt;1,IF(C1190&lt;99,VLOOKUP(C1190,'MSA-Lookup'!$H$1:$I$86,2),C1190),C1190)</f>
        <v>7480</v>
      </c>
      <c r="G1190" s="0" t="n">
        <f aca="false">VLOOKUP(E1190,'MSA-Lookup'!$AA$1:$AB$25,2)</f>
        <v>5170</v>
      </c>
      <c r="H1190" s="0" t="n">
        <f aca="false">IF(C1190&gt;1,IF(C1190&lt;99,VLOOKUP(F1190,'MSA-Lookup'!$AA$1:$AB$25,2),C1190),C1190)</f>
        <v>7480</v>
      </c>
    </row>
    <row r="1191" customFormat="false" ht="12.75" hidden="false" customHeight="false" outlineLevel="0" collapsed="false">
      <c r="A1191" s="0" t="n">
        <f aca="false">B1191*1000+C1191</f>
        <v>24033</v>
      </c>
      <c r="B1191" s="0" t="n">
        <v>24</v>
      </c>
      <c r="C1191" s="0" t="n">
        <v>33</v>
      </c>
      <c r="D1191" s="0" t="n">
        <v>0</v>
      </c>
      <c r="E1191" s="0" t="n">
        <f aca="false">VLOOKUP(B1191,'MSA-Lookup'!$H$2:$I$86,2)</f>
        <v>5170</v>
      </c>
      <c r="F1191" s="0" t="n">
        <f aca="false">IF(C1191&gt;1,IF(C1191&lt;99,VLOOKUP(C1191,'MSA-Lookup'!$H$1:$I$86,2),C1191),C1191)</f>
        <v>7320</v>
      </c>
      <c r="G1191" s="0" t="n">
        <f aca="false">VLOOKUP(E1191,'MSA-Lookup'!$AA$1:$AB$25,2)</f>
        <v>5170</v>
      </c>
      <c r="H1191" s="0" t="n">
        <f aca="false">IF(C1191&gt;1,IF(C1191&lt;99,VLOOKUP(F1191,'MSA-Lookup'!$AA$1:$AB$25,2),C1191),C1191)</f>
        <v>7320</v>
      </c>
    </row>
    <row r="1192" customFormat="false" ht="12.75" hidden="false" customHeight="false" outlineLevel="0" collapsed="false">
      <c r="A1192" s="0" t="n">
        <f aca="false">B1192*1000+C1192</f>
        <v>24034</v>
      </c>
      <c r="B1192" s="0" t="n">
        <v>24</v>
      </c>
      <c r="C1192" s="0" t="n">
        <v>34</v>
      </c>
      <c r="D1192" s="0" t="n">
        <v>0</v>
      </c>
      <c r="E1192" s="0" t="n">
        <f aca="false">VLOOKUP(B1192,'MSA-Lookup'!$H$2:$I$86,2)</f>
        <v>5170</v>
      </c>
      <c r="F1192" s="0" t="n">
        <f aca="false">IF(C1192&gt;1,IF(C1192&lt;99,VLOOKUP(C1192,'MSA-Lookup'!$H$1:$I$86,2),C1192),C1192)</f>
        <v>7320</v>
      </c>
      <c r="G1192" s="0" t="n">
        <f aca="false">VLOOKUP(E1192,'MSA-Lookup'!$AA$1:$AB$25,2)</f>
        <v>5170</v>
      </c>
      <c r="H1192" s="0" t="n">
        <f aca="false">IF(C1192&gt;1,IF(C1192&lt;99,VLOOKUP(F1192,'MSA-Lookup'!$AA$1:$AB$25,2),C1192),C1192)</f>
        <v>7320</v>
      </c>
    </row>
    <row r="1193" customFormat="false" ht="12.75" hidden="false" customHeight="false" outlineLevel="0" collapsed="false">
      <c r="A1193" s="0" t="n">
        <f aca="false">B1193*1000+C1193</f>
        <v>24035</v>
      </c>
      <c r="B1193" s="0" t="n">
        <v>24</v>
      </c>
      <c r="C1193" s="0" t="n">
        <v>35</v>
      </c>
      <c r="D1193" s="0" t="n">
        <v>0</v>
      </c>
      <c r="E1193" s="0" t="n">
        <f aca="false">VLOOKUP(B1193,'MSA-Lookup'!$H$2:$I$86,2)</f>
        <v>5170</v>
      </c>
      <c r="F1193" s="0" t="n">
        <f aca="false">IF(C1193&gt;1,IF(C1193&lt;99,VLOOKUP(C1193,'MSA-Lookup'!$H$1:$I$86,2),C1193),C1193)</f>
        <v>7320</v>
      </c>
      <c r="G1193" s="0" t="n">
        <f aca="false">VLOOKUP(E1193,'MSA-Lookup'!$AA$1:$AB$25,2)</f>
        <v>5170</v>
      </c>
      <c r="H1193" s="0" t="n">
        <f aca="false">IF(C1193&gt;1,IF(C1193&lt;99,VLOOKUP(F1193,'MSA-Lookup'!$AA$1:$AB$25,2),C1193),C1193)</f>
        <v>7320</v>
      </c>
    </row>
    <row r="1194" customFormat="false" ht="12.75" hidden="false" customHeight="false" outlineLevel="0" collapsed="false">
      <c r="A1194" s="0" t="n">
        <f aca="false">B1194*1000+C1194</f>
        <v>24037</v>
      </c>
      <c r="B1194" s="0" t="n">
        <v>24</v>
      </c>
      <c r="C1194" s="0" t="n">
        <v>37</v>
      </c>
      <c r="D1194" s="0" t="n">
        <v>0</v>
      </c>
      <c r="E1194" s="0" t="n">
        <f aca="false">VLOOKUP(B1194,'MSA-Lookup'!$H$2:$I$86,2)</f>
        <v>5170</v>
      </c>
      <c r="F1194" s="0" t="n">
        <f aca="false">IF(C1194&gt;1,IF(C1194&lt;99,VLOOKUP(C1194,'MSA-Lookup'!$H$1:$I$86,2),C1194),C1194)</f>
        <v>7320</v>
      </c>
      <c r="G1194" s="0" t="n">
        <f aca="false">VLOOKUP(E1194,'MSA-Lookup'!$AA$1:$AB$25,2)</f>
        <v>5170</v>
      </c>
      <c r="H1194" s="0" t="n">
        <f aca="false">IF(C1194&gt;1,IF(C1194&lt;99,VLOOKUP(F1194,'MSA-Lookup'!$AA$1:$AB$25,2),C1194),C1194)</f>
        <v>7320</v>
      </c>
    </row>
    <row r="1195" customFormat="false" ht="12.75" hidden="false" customHeight="false" outlineLevel="0" collapsed="false">
      <c r="A1195" s="0" t="n">
        <f aca="false">B1195*1000+C1195</f>
        <v>24038</v>
      </c>
      <c r="B1195" s="0" t="n">
        <v>24</v>
      </c>
      <c r="C1195" s="0" t="n">
        <v>38</v>
      </c>
      <c r="D1195" s="0" t="n">
        <v>0</v>
      </c>
      <c r="E1195" s="0" t="n">
        <f aca="false">VLOOKUP(B1195,'MSA-Lookup'!$H$2:$I$86,2)</f>
        <v>5170</v>
      </c>
      <c r="F1195" s="0" t="n">
        <f aca="false">IF(C1195&gt;1,IF(C1195&lt;99,VLOOKUP(C1195,'MSA-Lookup'!$H$1:$I$86,2),C1195),C1195)</f>
        <v>7120</v>
      </c>
      <c r="G1195" s="0" t="n">
        <f aca="false">VLOOKUP(E1195,'MSA-Lookup'!$AA$1:$AB$25,2)</f>
        <v>5170</v>
      </c>
      <c r="H1195" s="0" t="n">
        <f aca="false">IF(C1195&gt;1,IF(C1195&lt;99,VLOOKUP(F1195,'MSA-Lookup'!$AA$1:$AB$25,2),C1195),C1195)</f>
        <v>7120</v>
      </c>
    </row>
    <row r="1196" customFormat="false" ht="12.75" hidden="false" customHeight="false" outlineLevel="0" collapsed="false">
      <c r="A1196" s="0" t="n">
        <f aca="false">B1196*1000+C1196</f>
        <v>24039</v>
      </c>
      <c r="B1196" s="0" t="n">
        <v>24</v>
      </c>
      <c r="C1196" s="0" t="n">
        <v>39</v>
      </c>
      <c r="D1196" s="0" t="n">
        <v>0</v>
      </c>
      <c r="E1196" s="0" t="n">
        <f aca="false">VLOOKUP(B1196,'MSA-Lookup'!$H$2:$I$86,2)</f>
        <v>5170</v>
      </c>
      <c r="F1196" s="0" t="n">
        <f aca="false">IF(C1196&gt;1,IF(C1196&lt;99,VLOOKUP(C1196,'MSA-Lookup'!$H$1:$I$86,2),C1196),C1196)</f>
        <v>7120</v>
      </c>
      <c r="G1196" s="0" t="n">
        <f aca="false">VLOOKUP(E1196,'MSA-Lookup'!$AA$1:$AB$25,2)</f>
        <v>5170</v>
      </c>
      <c r="H1196" s="0" t="n">
        <f aca="false">IF(C1196&gt;1,IF(C1196&lt;99,VLOOKUP(F1196,'MSA-Lookup'!$AA$1:$AB$25,2),C1196),C1196)</f>
        <v>7120</v>
      </c>
    </row>
    <row r="1197" customFormat="false" ht="12.75" hidden="false" customHeight="false" outlineLevel="0" collapsed="false">
      <c r="A1197" s="0" t="n">
        <f aca="false">B1197*1000+C1197</f>
        <v>24040</v>
      </c>
      <c r="B1197" s="0" t="n">
        <v>24</v>
      </c>
      <c r="C1197" s="0" t="n">
        <v>40</v>
      </c>
      <c r="D1197" s="0" t="n">
        <v>0</v>
      </c>
      <c r="E1197" s="0" t="n">
        <f aca="false">VLOOKUP(B1197,'MSA-Lookup'!$H$2:$I$86,2)</f>
        <v>5170</v>
      </c>
      <c r="F1197" s="0" t="n">
        <f aca="false">IF(C1197&gt;1,IF(C1197&lt;99,VLOOKUP(C1197,'MSA-Lookup'!$H$1:$I$86,2),C1197),C1197)</f>
        <v>2840</v>
      </c>
      <c r="G1197" s="0" t="n">
        <f aca="false">VLOOKUP(E1197,'MSA-Lookup'!$AA$1:$AB$25,2)</f>
        <v>5170</v>
      </c>
      <c r="H1197" s="0" t="n">
        <f aca="false">IF(C1197&gt;1,IF(C1197&lt;99,VLOOKUP(F1197,'MSA-Lookup'!$AA$1:$AB$25,2),C1197),C1197)</f>
        <v>2840</v>
      </c>
    </row>
    <row r="1198" customFormat="false" ht="12.75" hidden="false" customHeight="false" outlineLevel="0" collapsed="false">
      <c r="A1198" s="0" t="n">
        <f aca="false">B1198*1000+C1198</f>
        <v>24041</v>
      </c>
      <c r="B1198" s="0" t="n">
        <v>24</v>
      </c>
      <c r="C1198" s="0" t="n">
        <v>41</v>
      </c>
      <c r="D1198" s="0" t="n">
        <v>0</v>
      </c>
      <c r="E1198" s="0" t="n">
        <f aca="false">VLOOKUP(B1198,'MSA-Lookup'!$H$2:$I$86,2)</f>
        <v>5170</v>
      </c>
      <c r="F1198" s="0" t="n">
        <f aca="false">IF(C1198&gt;1,IF(C1198&lt;99,VLOOKUP(C1198,'MSA-Lookup'!$H$1:$I$86,2),C1198),C1198)</f>
        <v>2840</v>
      </c>
      <c r="G1198" s="0" t="n">
        <f aca="false">VLOOKUP(E1198,'MSA-Lookup'!$AA$1:$AB$25,2)</f>
        <v>5170</v>
      </c>
      <c r="H1198" s="0" t="n">
        <f aca="false">IF(C1198&gt;1,IF(C1198&lt;99,VLOOKUP(F1198,'MSA-Lookup'!$AA$1:$AB$25,2),C1198),C1198)</f>
        <v>2840</v>
      </c>
    </row>
    <row r="1199" customFormat="false" ht="12.75" hidden="false" customHeight="false" outlineLevel="0" collapsed="false">
      <c r="A1199" s="0" t="n">
        <f aca="false">B1199*1000+C1199</f>
        <v>24042</v>
      </c>
      <c r="B1199" s="0" t="n">
        <v>24</v>
      </c>
      <c r="C1199" s="0" t="n">
        <v>42</v>
      </c>
      <c r="D1199" s="0" t="n">
        <v>0</v>
      </c>
      <c r="E1199" s="0" t="n">
        <f aca="false">VLOOKUP(B1199,'MSA-Lookup'!$H$2:$I$86,2)</f>
        <v>5170</v>
      </c>
      <c r="F1199" s="0" t="n">
        <f aca="false">IF(C1199&gt;1,IF(C1199&lt;99,VLOOKUP(C1199,'MSA-Lookup'!$H$1:$I$86,2),C1199),C1199)</f>
        <v>360</v>
      </c>
      <c r="G1199" s="0" t="n">
        <f aca="false">VLOOKUP(E1199,'MSA-Lookup'!$AA$1:$AB$25,2)</f>
        <v>5170</v>
      </c>
      <c r="H1199" s="0" t="n">
        <f aca="false">IF(C1199&gt;1,IF(C1199&lt;99,VLOOKUP(F1199,'MSA-Lookup'!$AA$1:$AB$25,2),C1199),C1199)</f>
        <v>4472</v>
      </c>
    </row>
    <row r="1200" customFormat="false" ht="12.75" hidden="false" customHeight="false" outlineLevel="0" collapsed="false">
      <c r="A1200" s="0" t="n">
        <f aca="false">B1200*1000+C1200</f>
        <v>24043</v>
      </c>
      <c r="B1200" s="0" t="n">
        <v>24</v>
      </c>
      <c r="C1200" s="0" t="n">
        <v>43</v>
      </c>
      <c r="D1200" s="0" t="n">
        <v>0</v>
      </c>
      <c r="E1200" s="0" t="n">
        <f aca="false">VLOOKUP(B1200,'MSA-Lookup'!$H$2:$I$86,2)</f>
        <v>5170</v>
      </c>
      <c r="F1200" s="0" t="n">
        <f aca="false">IF(C1200&gt;1,IF(C1200&lt;99,VLOOKUP(C1200,'MSA-Lookup'!$H$1:$I$86,2),C1200),C1200)</f>
        <v>360</v>
      </c>
      <c r="G1200" s="0" t="n">
        <f aca="false">VLOOKUP(E1200,'MSA-Lookup'!$AA$1:$AB$25,2)</f>
        <v>5170</v>
      </c>
      <c r="H1200" s="0" t="n">
        <f aca="false">IF(C1200&gt;1,IF(C1200&lt;99,VLOOKUP(F1200,'MSA-Lookup'!$AA$1:$AB$25,2),C1200),C1200)</f>
        <v>4472</v>
      </c>
    </row>
    <row r="1201" customFormat="false" ht="12.75" hidden="false" customHeight="false" outlineLevel="0" collapsed="false">
      <c r="A1201" s="0" t="n">
        <f aca="false">B1201*1000+C1201</f>
        <v>24046</v>
      </c>
      <c r="B1201" s="0" t="n">
        <v>24</v>
      </c>
      <c r="C1201" s="0" t="n">
        <v>46</v>
      </c>
      <c r="D1201" s="0" t="n">
        <v>0</v>
      </c>
      <c r="E1201" s="0" t="n">
        <f aca="false">VLOOKUP(B1201,'MSA-Lookup'!$H$2:$I$86,2)</f>
        <v>5170</v>
      </c>
      <c r="F1201" s="0" t="n">
        <f aca="false">IF(C1201&gt;1,IF(C1201&lt;99,VLOOKUP(C1201,'MSA-Lookup'!$H$1:$I$86,2),C1201),C1201)</f>
        <v>360</v>
      </c>
      <c r="G1201" s="0" t="n">
        <f aca="false">VLOOKUP(E1201,'MSA-Lookup'!$AA$1:$AB$25,2)</f>
        <v>5170</v>
      </c>
      <c r="H1201" s="0" t="n">
        <f aca="false">IF(C1201&gt;1,IF(C1201&lt;99,VLOOKUP(F1201,'MSA-Lookup'!$AA$1:$AB$25,2),C1201),C1201)</f>
        <v>4472</v>
      </c>
    </row>
    <row r="1202" customFormat="false" ht="12.75" hidden="false" customHeight="false" outlineLevel="0" collapsed="false">
      <c r="A1202" s="0" t="n">
        <f aca="false">B1202*1000+C1202</f>
        <v>24048</v>
      </c>
      <c r="B1202" s="0" t="n">
        <v>24</v>
      </c>
      <c r="C1202" s="0" t="n">
        <v>48</v>
      </c>
      <c r="D1202" s="0" t="n">
        <v>0</v>
      </c>
      <c r="E1202" s="0" t="n">
        <f aca="false">VLOOKUP(B1202,'MSA-Lookup'!$H$2:$I$86,2)</f>
        <v>5170</v>
      </c>
      <c r="F1202" s="0" t="n">
        <f aca="false">IF(C1202&gt;1,IF(C1202&lt;99,VLOOKUP(C1202,'MSA-Lookup'!$H$1:$I$86,2),C1202),C1202)</f>
        <v>360</v>
      </c>
      <c r="G1202" s="0" t="n">
        <f aca="false">VLOOKUP(E1202,'MSA-Lookup'!$AA$1:$AB$25,2)</f>
        <v>5170</v>
      </c>
      <c r="H1202" s="0" t="n">
        <f aca="false">IF(C1202&gt;1,IF(C1202&lt;99,VLOOKUP(F1202,'MSA-Lookup'!$AA$1:$AB$25,2),C1202),C1202)</f>
        <v>4472</v>
      </c>
    </row>
    <row r="1203" customFormat="false" ht="12.75" hidden="false" customHeight="false" outlineLevel="0" collapsed="false">
      <c r="A1203" s="0" t="n">
        <f aca="false">B1203*1000+C1203</f>
        <v>24049</v>
      </c>
      <c r="B1203" s="0" t="n">
        <v>24</v>
      </c>
      <c r="C1203" s="0" t="n">
        <v>49</v>
      </c>
      <c r="D1203" s="0" t="n">
        <v>1326</v>
      </c>
      <c r="E1203" s="0" t="n">
        <f aca="false">VLOOKUP(B1203,'MSA-Lookup'!$H$2:$I$86,2)</f>
        <v>5170</v>
      </c>
      <c r="F1203" s="0" t="n">
        <f aca="false">IF(C1203&gt;1,IF(C1203&lt;99,VLOOKUP(C1203,'MSA-Lookup'!$H$1:$I$86,2),C1203),C1203)</f>
        <v>7400</v>
      </c>
      <c r="G1203" s="0" t="n">
        <f aca="false">VLOOKUP(E1203,'MSA-Lookup'!$AA$1:$AB$25,2)</f>
        <v>5170</v>
      </c>
      <c r="H1203" s="0" t="n">
        <f aca="false">IF(C1203&gt;1,IF(C1203&lt;99,VLOOKUP(F1203,'MSA-Lookup'!$AA$1:$AB$25,2),C1203),C1203)</f>
        <v>7362</v>
      </c>
    </row>
    <row r="1204" customFormat="false" ht="12.75" hidden="false" customHeight="false" outlineLevel="0" collapsed="false">
      <c r="A1204" s="0" t="n">
        <f aca="false">B1204*1000+C1204</f>
        <v>24050</v>
      </c>
      <c r="B1204" s="0" t="n">
        <v>24</v>
      </c>
      <c r="C1204" s="0" t="n">
        <v>50</v>
      </c>
      <c r="D1204" s="0" t="n">
        <v>325</v>
      </c>
      <c r="E1204" s="0" t="n">
        <f aca="false">VLOOKUP(B1204,'MSA-Lookup'!$H$2:$I$86,2)</f>
        <v>5170</v>
      </c>
      <c r="F1204" s="0" t="n">
        <f aca="false">IF(C1204&gt;1,IF(C1204&lt;99,VLOOKUP(C1204,'MSA-Lookup'!$H$1:$I$86,2),C1204),C1204)</f>
        <v>7400</v>
      </c>
      <c r="G1204" s="0" t="n">
        <f aca="false">VLOOKUP(E1204,'MSA-Lookup'!$AA$1:$AB$25,2)</f>
        <v>5170</v>
      </c>
      <c r="H1204" s="0" t="n">
        <f aca="false">IF(C1204&gt;1,IF(C1204&lt;99,VLOOKUP(F1204,'MSA-Lookup'!$AA$1:$AB$25,2),C1204),C1204)</f>
        <v>7362</v>
      </c>
    </row>
    <row r="1205" customFormat="false" ht="12.75" hidden="false" customHeight="false" outlineLevel="0" collapsed="false">
      <c r="A1205" s="0" t="n">
        <f aca="false">B1205*1000+C1205</f>
        <v>24051</v>
      </c>
      <c r="B1205" s="0" t="n">
        <v>24</v>
      </c>
      <c r="C1205" s="0" t="n">
        <v>51</v>
      </c>
      <c r="D1205" s="0" t="n">
        <v>676</v>
      </c>
      <c r="E1205" s="0" t="n">
        <f aca="false">VLOOKUP(B1205,'MSA-Lookup'!$H$2:$I$86,2)</f>
        <v>5170</v>
      </c>
      <c r="F1205" s="0" t="n">
        <f aca="false">IF(C1205&gt;1,IF(C1205&lt;99,VLOOKUP(C1205,'MSA-Lookup'!$H$1:$I$86,2),C1205),C1205)</f>
        <v>7400</v>
      </c>
      <c r="G1205" s="0" t="n">
        <f aca="false">VLOOKUP(E1205,'MSA-Lookup'!$AA$1:$AB$25,2)</f>
        <v>5170</v>
      </c>
      <c r="H1205" s="0" t="n">
        <f aca="false">IF(C1205&gt;1,IF(C1205&lt;99,VLOOKUP(F1205,'MSA-Lookup'!$AA$1:$AB$25,2),C1205),C1205)</f>
        <v>7362</v>
      </c>
    </row>
    <row r="1206" customFormat="false" ht="12.75" hidden="false" customHeight="false" outlineLevel="0" collapsed="false">
      <c r="A1206" s="0" t="n">
        <f aca="false">B1206*1000+C1206</f>
        <v>24052</v>
      </c>
      <c r="B1206" s="0" t="n">
        <v>24</v>
      </c>
      <c r="C1206" s="0" t="n">
        <v>52</v>
      </c>
      <c r="D1206" s="0" t="n">
        <v>0</v>
      </c>
      <c r="E1206" s="0" t="n">
        <f aca="false">VLOOKUP(B1206,'MSA-Lookup'!$H$2:$I$86,2)</f>
        <v>5170</v>
      </c>
      <c r="F1206" s="0" t="n">
        <f aca="false">IF(C1206&gt;1,IF(C1206&lt;99,VLOOKUP(C1206,'MSA-Lookup'!$H$1:$I$86,2),C1206),C1206)</f>
        <v>4480</v>
      </c>
      <c r="G1206" s="0" t="n">
        <f aca="false">VLOOKUP(E1206,'MSA-Lookup'!$AA$1:$AB$25,2)</f>
        <v>5170</v>
      </c>
      <c r="H1206" s="0" t="n">
        <f aca="false">IF(C1206&gt;1,IF(C1206&lt;99,VLOOKUP(F1206,'MSA-Lookup'!$AA$1:$AB$25,2),C1206),C1206)</f>
        <v>4472</v>
      </c>
    </row>
    <row r="1207" customFormat="false" ht="12.75" hidden="false" customHeight="false" outlineLevel="0" collapsed="false">
      <c r="A1207" s="0" t="n">
        <f aca="false">B1207*1000+C1207</f>
        <v>24053</v>
      </c>
      <c r="B1207" s="0" t="n">
        <v>24</v>
      </c>
      <c r="C1207" s="0" t="n">
        <v>53</v>
      </c>
      <c r="D1207" s="0" t="n">
        <v>0</v>
      </c>
      <c r="E1207" s="0" t="n">
        <f aca="false">VLOOKUP(B1207,'MSA-Lookup'!$H$2:$I$86,2)</f>
        <v>5170</v>
      </c>
      <c r="F1207" s="0" t="n">
        <f aca="false">IF(C1207&gt;1,IF(C1207&lt;99,VLOOKUP(C1207,'MSA-Lookup'!$H$1:$I$86,2),C1207),C1207)</f>
        <v>4480</v>
      </c>
      <c r="G1207" s="0" t="n">
        <f aca="false">VLOOKUP(E1207,'MSA-Lookup'!$AA$1:$AB$25,2)</f>
        <v>5170</v>
      </c>
      <c r="H1207" s="0" t="n">
        <f aca="false">IF(C1207&gt;1,IF(C1207&lt;99,VLOOKUP(F1207,'MSA-Lookup'!$AA$1:$AB$25,2),C1207),C1207)</f>
        <v>4472</v>
      </c>
    </row>
    <row r="1208" customFormat="false" ht="12.75" hidden="false" customHeight="false" outlineLevel="0" collapsed="false">
      <c r="A1208" s="0" t="n">
        <f aca="false">B1208*1000+C1208</f>
        <v>24054</v>
      </c>
      <c r="B1208" s="0" t="n">
        <v>24</v>
      </c>
      <c r="C1208" s="0" t="n">
        <v>54</v>
      </c>
      <c r="D1208" s="0" t="n">
        <v>0</v>
      </c>
      <c r="E1208" s="0" t="n">
        <f aca="false">VLOOKUP(B1208,'MSA-Lookup'!$H$2:$I$86,2)</f>
        <v>5170</v>
      </c>
      <c r="F1208" s="0" t="n">
        <f aca="false">IF(C1208&gt;1,IF(C1208&lt;99,VLOOKUP(C1208,'MSA-Lookup'!$H$1:$I$86,2),C1208),C1208)</f>
        <v>4480</v>
      </c>
      <c r="G1208" s="0" t="n">
        <f aca="false">VLOOKUP(E1208,'MSA-Lookup'!$AA$1:$AB$25,2)</f>
        <v>5170</v>
      </c>
      <c r="H1208" s="0" t="n">
        <f aca="false">IF(C1208&gt;1,IF(C1208&lt;99,VLOOKUP(F1208,'MSA-Lookup'!$AA$1:$AB$25,2),C1208),C1208)</f>
        <v>4472</v>
      </c>
    </row>
    <row r="1209" customFormat="false" ht="12.75" hidden="false" customHeight="false" outlineLevel="0" collapsed="false">
      <c r="A1209" s="0" t="n">
        <f aca="false">B1209*1000+C1209</f>
        <v>24055</v>
      </c>
      <c r="B1209" s="0" t="n">
        <v>24</v>
      </c>
      <c r="C1209" s="0" t="n">
        <v>55</v>
      </c>
      <c r="D1209" s="0" t="n">
        <v>0</v>
      </c>
      <c r="E1209" s="0" t="n">
        <f aca="false">VLOOKUP(B1209,'MSA-Lookup'!$H$2:$I$86,2)</f>
        <v>5170</v>
      </c>
      <c r="F1209" s="0" t="n">
        <f aca="false">IF(C1209&gt;1,IF(C1209&lt;99,VLOOKUP(C1209,'MSA-Lookup'!$H$1:$I$86,2),C1209),C1209)</f>
        <v>4480</v>
      </c>
      <c r="G1209" s="0" t="n">
        <f aca="false">VLOOKUP(E1209,'MSA-Lookup'!$AA$1:$AB$25,2)</f>
        <v>5170</v>
      </c>
      <c r="H1209" s="0" t="n">
        <f aca="false">IF(C1209&gt;1,IF(C1209&lt;99,VLOOKUP(F1209,'MSA-Lookup'!$AA$1:$AB$25,2),C1209),C1209)</f>
        <v>4472</v>
      </c>
    </row>
    <row r="1210" customFormat="false" ht="12.75" hidden="false" customHeight="false" outlineLevel="0" collapsed="false">
      <c r="A1210" s="0" t="n">
        <f aca="false">B1210*1000+C1210</f>
        <v>24057</v>
      </c>
      <c r="B1210" s="0" t="n">
        <v>24</v>
      </c>
      <c r="C1210" s="0" t="n">
        <v>57</v>
      </c>
      <c r="D1210" s="0" t="n">
        <v>0</v>
      </c>
      <c r="E1210" s="0" t="n">
        <f aca="false">VLOOKUP(B1210,'MSA-Lookup'!$H$2:$I$86,2)</f>
        <v>5170</v>
      </c>
      <c r="F1210" s="0" t="n">
        <f aca="false">IF(C1210&gt;1,IF(C1210&lt;99,VLOOKUP(C1210,'MSA-Lookup'!$H$1:$I$86,2),C1210),C1210)</f>
        <v>4480</v>
      </c>
      <c r="G1210" s="0" t="n">
        <f aca="false">VLOOKUP(E1210,'MSA-Lookup'!$AA$1:$AB$25,2)</f>
        <v>5170</v>
      </c>
      <c r="H1210" s="0" t="n">
        <f aca="false">IF(C1210&gt;1,IF(C1210&lt;99,VLOOKUP(F1210,'MSA-Lookup'!$AA$1:$AB$25,2),C1210),C1210)</f>
        <v>4472</v>
      </c>
    </row>
    <row r="1211" customFormat="false" ht="12.75" hidden="false" customHeight="false" outlineLevel="0" collapsed="false">
      <c r="A1211" s="0" t="n">
        <f aca="false">B1211*1000+C1211</f>
        <v>24059</v>
      </c>
      <c r="B1211" s="0" t="n">
        <v>24</v>
      </c>
      <c r="C1211" s="0" t="n">
        <v>59</v>
      </c>
      <c r="D1211" s="0" t="n">
        <v>0</v>
      </c>
      <c r="E1211" s="0" t="n">
        <f aca="false">VLOOKUP(B1211,'MSA-Lookup'!$H$2:$I$86,2)</f>
        <v>5170</v>
      </c>
      <c r="F1211" s="0" t="n">
        <f aca="false">IF(C1211&gt;1,IF(C1211&lt;99,VLOOKUP(C1211,'MSA-Lookup'!$H$1:$I$86,2),C1211),C1211)</f>
        <v>4480</v>
      </c>
      <c r="G1211" s="0" t="n">
        <f aca="false">VLOOKUP(E1211,'MSA-Lookup'!$AA$1:$AB$25,2)</f>
        <v>5170</v>
      </c>
      <c r="H1211" s="0" t="n">
        <f aca="false">IF(C1211&gt;1,IF(C1211&lt;99,VLOOKUP(F1211,'MSA-Lookup'!$AA$1:$AB$25,2),C1211),C1211)</f>
        <v>4472</v>
      </c>
    </row>
    <row r="1212" customFormat="false" ht="12.75" hidden="false" customHeight="false" outlineLevel="0" collapsed="false">
      <c r="A1212" s="0" t="n">
        <f aca="false">B1212*1000+C1212</f>
        <v>24060</v>
      </c>
      <c r="B1212" s="0" t="n">
        <v>24</v>
      </c>
      <c r="C1212" s="0" t="n">
        <v>60</v>
      </c>
      <c r="D1212" s="0" t="n">
        <v>0</v>
      </c>
      <c r="E1212" s="0" t="n">
        <f aca="false">VLOOKUP(B1212,'MSA-Lookup'!$H$2:$I$86,2)</f>
        <v>5170</v>
      </c>
      <c r="F1212" s="0" t="n">
        <f aca="false">IF(C1212&gt;1,IF(C1212&lt;99,VLOOKUP(C1212,'MSA-Lookup'!$H$1:$I$86,2),C1212),C1212)</f>
        <v>4480</v>
      </c>
      <c r="G1212" s="0" t="n">
        <f aca="false">VLOOKUP(E1212,'MSA-Lookup'!$AA$1:$AB$25,2)</f>
        <v>5170</v>
      </c>
      <c r="H1212" s="0" t="n">
        <f aca="false">IF(C1212&gt;1,IF(C1212&lt;99,VLOOKUP(F1212,'MSA-Lookup'!$AA$1:$AB$25,2),C1212),C1212)</f>
        <v>4472</v>
      </c>
    </row>
    <row r="1213" customFormat="false" ht="12.75" hidden="false" customHeight="false" outlineLevel="0" collapsed="false">
      <c r="A1213" s="0" t="n">
        <f aca="false">B1213*1000+C1213</f>
        <v>24062</v>
      </c>
      <c r="B1213" s="0" t="n">
        <v>24</v>
      </c>
      <c r="C1213" s="0" t="n">
        <v>62</v>
      </c>
      <c r="D1213" s="0" t="n">
        <v>0</v>
      </c>
      <c r="E1213" s="0" t="n">
        <f aca="false">VLOOKUP(B1213,'MSA-Lookup'!$H$2:$I$86,2)</f>
        <v>5170</v>
      </c>
      <c r="F1213" s="0" t="n">
        <f aca="false">IF(C1213&gt;1,IF(C1213&lt;99,VLOOKUP(C1213,'MSA-Lookup'!$H$1:$I$86,2),C1213),C1213)</f>
        <v>4480</v>
      </c>
      <c r="G1213" s="0" t="n">
        <f aca="false">VLOOKUP(E1213,'MSA-Lookup'!$AA$1:$AB$25,2)</f>
        <v>5170</v>
      </c>
      <c r="H1213" s="0" t="n">
        <f aca="false">IF(C1213&gt;1,IF(C1213&lt;99,VLOOKUP(F1213,'MSA-Lookup'!$AA$1:$AB$25,2),C1213),C1213)</f>
        <v>4472</v>
      </c>
    </row>
    <row r="1214" customFormat="false" ht="12.75" hidden="false" customHeight="false" outlineLevel="0" collapsed="false">
      <c r="A1214" s="0" t="n">
        <f aca="false">B1214*1000+C1214</f>
        <v>24064</v>
      </c>
      <c r="B1214" s="0" t="n">
        <v>24</v>
      </c>
      <c r="C1214" s="0" t="n">
        <v>64</v>
      </c>
      <c r="D1214" s="0" t="n">
        <v>0</v>
      </c>
      <c r="E1214" s="0" t="n">
        <f aca="false">VLOOKUP(B1214,'MSA-Lookup'!$H$2:$I$86,2)</f>
        <v>5170</v>
      </c>
      <c r="F1214" s="0" t="n">
        <f aca="false">IF(C1214&gt;1,IF(C1214&lt;99,VLOOKUP(C1214,'MSA-Lookup'!$H$1:$I$86,2),C1214),C1214)</f>
        <v>4480</v>
      </c>
      <c r="G1214" s="0" t="n">
        <f aca="false">VLOOKUP(E1214,'MSA-Lookup'!$AA$1:$AB$25,2)</f>
        <v>5170</v>
      </c>
      <c r="H1214" s="0" t="n">
        <f aca="false">IF(C1214&gt;1,IF(C1214&lt;99,VLOOKUP(F1214,'MSA-Lookup'!$AA$1:$AB$25,2),C1214),C1214)</f>
        <v>4472</v>
      </c>
    </row>
    <row r="1215" customFormat="false" ht="12.75" hidden="false" customHeight="false" outlineLevel="0" collapsed="false">
      <c r="A1215" s="0" t="n">
        <f aca="false">B1215*1000+C1215</f>
        <v>24065</v>
      </c>
      <c r="B1215" s="0" t="n">
        <v>24</v>
      </c>
      <c r="C1215" s="0" t="n">
        <v>65</v>
      </c>
      <c r="D1215" s="0" t="n">
        <v>0</v>
      </c>
      <c r="E1215" s="0" t="n">
        <f aca="false">VLOOKUP(B1215,'MSA-Lookup'!$H$2:$I$86,2)</f>
        <v>5170</v>
      </c>
      <c r="F1215" s="0" t="n">
        <f aca="false">IF(C1215&gt;1,IF(C1215&lt;99,VLOOKUP(C1215,'MSA-Lookup'!$H$1:$I$86,2),C1215),C1215)</f>
        <v>4480</v>
      </c>
      <c r="G1215" s="0" t="n">
        <f aca="false">VLOOKUP(E1215,'MSA-Lookup'!$AA$1:$AB$25,2)</f>
        <v>5170</v>
      </c>
      <c r="H1215" s="0" t="n">
        <f aca="false">IF(C1215&gt;1,IF(C1215&lt;99,VLOOKUP(F1215,'MSA-Lookup'!$AA$1:$AB$25,2),C1215),C1215)</f>
        <v>4472</v>
      </c>
    </row>
    <row r="1216" customFormat="false" ht="12.75" hidden="false" customHeight="false" outlineLevel="0" collapsed="false">
      <c r="A1216" s="0" t="n">
        <f aca="false">B1216*1000+C1216</f>
        <v>24066</v>
      </c>
      <c r="B1216" s="0" t="n">
        <v>24</v>
      </c>
      <c r="C1216" s="0" t="n">
        <v>66</v>
      </c>
      <c r="D1216" s="0" t="n">
        <v>0</v>
      </c>
      <c r="E1216" s="0" t="n">
        <f aca="false">VLOOKUP(B1216,'MSA-Lookup'!$H$2:$I$86,2)</f>
        <v>5170</v>
      </c>
      <c r="F1216" s="0" t="n">
        <f aca="false">IF(C1216&gt;1,IF(C1216&lt;99,VLOOKUP(C1216,'MSA-Lookup'!$H$1:$I$86,2),C1216),C1216)</f>
        <v>4480</v>
      </c>
      <c r="G1216" s="0" t="n">
        <f aca="false">VLOOKUP(E1216,'MSA-Lookup'!$AA$1:$AB$25,2)</f>
        <v>5170</v>
      </c>
      <c r="H1216" s="0" t="n">
        <f aca="false">IF(C1216&gt;1,IF(C1216&lt;99,VLOOKUP(F1216,'MSA-Lookup'!$AA$1:$AB$25,2),C1216),C1216)</f>
        <v>4472</v>
      </c>
    </row>
    <row r="1217" customFormat="false" ht="12.75" hidden="false" customHeight="false" outlineLevel="0" collapsed="false">
      <c r="A1217" s="0" t="n">
        <f aca="false">B1217*1000+C1217</f>
        <v>24067</v>
      </c>
      <c r="B1217" s="0" t="n">
        <v>24</v>
      </c>
      <c r="C1217" s="0" t="n">
        <v>67</v>
      </c>
      <c r="D1217" s="0" t="n">
        <v>0</v>
      </c>
      <c r="E1217" s="0" t="n">
        <f aca="false">VLOOKUP(B1217,'MSA-Lookup'!$H$2:$I$86,2)</f>
        <v>5170</v>
      </c>
      <c r="F1217" s="0" t="n">
        <f aca="false">IF(C1217&gt;1,IF(C1217&lt;99,VLOOKUP(C1217,'MSA-Lookup'!$H$1:$I$86,2),C1217),C1217)</f>
        <v>6000</v>
      </c>
      <c r="G1217" s="0" t="n">
        <f aca="false">VLOOKUP(E1217,'MSA-Lookup'!$AA$1:$AB$25,2)</f>
        <v>5170</v>
      </c>
      <c r="H1217" s="0" t="n">
        <f aca="false">IF(C1217&gt;1,IF(C1217&lt;99,VLOOKUP(F1217,'MSA-Lookup'!$AA$1:$AB$25,2),C1217),C1217)</f>
        <v>4472</v>
      </c>
    </row>
    <row r="1218" customFormat="false" ht="12.75" hidden="false" customHeight="false" outlineLevel="0" collapsed="false">
      <c r="A1218" s="0" t="n">
        <f aca="false">B1218*1000+C1218</f>
        <v>24069</v>
      </c>
      <c r="B1218" s="0" t="n">
        <v>24</v>
      </c>
      <c r="C1218" s="0" t="n">
        <v>69</v>
      </c>
      <c r="D1218" s="0" t="n">
        <v>0</v>
      </c>
      <c r="E1218" s="0" t="n">
        <f aca="false">VLOOKUP(B1218,'MSA-Lookup'!$H$2:$I$86,2)</f>
        <v>5170</v>
      </c>
      <c r="F1218" s="0" t="n">
        <f aca="false">IF(C1218&gt;1,IF(C1218&lt;99,VLOOKUP(C1218,'MSA-Lookup'!$H$1:$I$86,2),C1218),C1218)</f>
        <v>6780</v>
      </c>
      <c r="G1218" s="0" t="n">
        <f aca="false">VLOOKUP(E1218,'MSA-Lookup'!$AA$1:$AB$25,2)</f>
        <v>5170</v>
      </c>
      <c r="H1218" s="0" t="n">
        <f aca="false">IF(C1218&gt;1,IF(C1218&lt;99,VLOOKUP(F1218,'MSA-Lookup'!$AA$1:$AB$25,2),C1218),C1218)</f>
        <v>4472</v>
      </c>
    </row>
    <row r="1219" customFormat="false" ht="12.75" hidden="false" customHeight="false" outlineLevel="0" collapsed="false">
      <c r="A1219" s="0" t="n">
        <f aca="false">B1219*1000+C1219</f>
        <v>24071</v>
      </c>
      <c r="B1219" s="0" t="n">
        <v>24</v>
      </c>
      <c r="C1219" s="0" t="n">
        <v>71</v>
      </c>
      <c r="D1219" s="0" t="n">
        <v>0</v>
      </c>
      <c r="E1219" s="0" t="n">
        <f aca="false">VLOOKUP(B1219,'MSA-Lookup'!$H$2:$I$86,2)</f>
        <v>5170</v>
      </c>
      <c r="F1219" s="0" t="n">
        <f aca="false">IF(C1219&gt;1,IF(C1219&lt;99,VLOOKUP(C1219,'MSA-Lookup'!$H$1:$I$86,2),C1219),C1219)</f>
        <v>6780</v>
      </c>
      <c r="G1219" s="0" t="n">
        <f aca="false">VLOOKUP(E1219,'MSA-Lookup'!$AA$1:$AB$25,2)</f>
        <v>5170</v>
      </c>
      <c r="H1219" s="0" t="n">
        <f aca="false">IF(C1219&gt;1,IF(C1219&lt;99,VLOOKUP(F1219,'MSA-Lookup'!$AA$1:$AB$25,2),C1219),C1219)</f>
        <v>4472</v>
      </c>
    </row>
    <row r="1220" customFormat="false" ht="12.75" hidden="false" customHeight="false" outlineLevel="0" collapsed="false">
      <c r="A1220" s="0" t="n">
        <f aca="false">B1220*1000+C1220</f>
        <v>24072</v>
      </c>
      <c r="B1220" s="0" t="n">
        <v>24</v>
      </c>
      <c r="C1220" s="0" t="n">
        <v>72</v>
      </c>
      <c r="D1220" s="0" t="n">
        <v>0</v>
      </c>
      <c r="E1220" s="0" t="n">
        <f aca="false">VLOOKUP(B1220,'MSA-Lookup'!$H$2:$I$86,2)</f>
        <v>5170</v>
      </c>
      <c r="F1220" s="0" t="n">
        <f aca="false">IF(C1220&gt;1,IF(C1220&lt;99,VLOOKUP(C1220,'MSA-Lookup'!$H$1:$I$86,2),C1220),C1220)</f>
        <v>6780</v>
      </c>
      <c r="G1220" s="0" t="n">
        <f aca="false">VLOOKUP(E1220,'MSA-Lookup'!$AA$1:$AB$25,2)</f>
        <v>5170</v>
      </c>
      <c r="H1220" s="0" t="n">
        <f aca="false">IF(C1220&gt;1,IF(C1220&lt;99,VLOOKUP(F1220,'MSA-Lookup'!$AA$1:$AB$25,2),C1220),C1220)</f>
        <v>4472</v>
      </c>
    </row>
    <row r="1221" customFormat="false" ht="12.75" hidden="false" customHeight="false" outlineLevel="0" collapsed="false">
      <c r="A1221" s="0" t="n">
        <f aca="false">B1221*1000+C1221</f>
        <v>24073</v>
      </c>
      <c r="B1221" s="0" t="n">
        <v>24</v>
      </c>
      <c r="C1221" s="0" t="n">
        <v>73</v>
      </c>
      <c r="D1221" s="0" t="n">
        <v>0</v>
      </c>
      <c r="E1221" s="0" t="n">
        <f aca="false">VLOOKUP(B1221,'MSA-Lookup'!$H$2:$I$86,2)</f>
        <v>5170</v>
      </c>
      <c r="F1221" s="0" t="n">
        <f aca="false">IF(C1221&gt;1,IF(C1221&lt;99,VLOOKUP(C1221,'MSA-Lookup'!$H$1:$I$86,2),C1221),C1221)</f>
        <v>8720</v>
      </c>
      <c r="G1221" s="0" t="n">
        <f aca="false">VLOOKUP(E1221,'MSA-Lookup'!$AA$1:$AB$25,2)</f>
        <v>5170</v>
      </c>
      <c r="H1221" s="0" t="n">
        <f aca="false">IF(C1221&gt;1,IF(C1221&lt;99,VLOOKUP(F1221,'MSA-Lookup'!$AA$1:$AB$25,2),C1221),C1221)</f>
        <v>7362</v>
      </c>
    </row>
    <row r="1222" customFormat="false" ht="12.75" hidden="false" customHeight="false" outlineLevel="0" collapsed="false">
      <c r="A1222" s="0" t="n">
        <f aca="false">B1222*1000+C1222</f>
        <v>24075</v>
      </c>
      <c r="B1222" s="0" t="n">
        <v>24</v>
      </c>
      <c r="C1222" s="0" t="n">
        <v>75</v>
      </c>
      <c r="D1222" s="0" t="n">
        <v>0</v>
      </c>
      <c r="E1222" s="0" t="n">
        <f aca="false">VLOOKUP(B1222,'MSA-Lookup'!$H$2:$I$86,2)</f>
        <v>5170</v>
      </c>
      <c r="F1222" s="0" t="n">
        <f aca="false">IF(C1222&gt;1,IF(C1222&lt;99,VLOOKUP(C1222,'MSA-Lookup'!$H$1:$I$86,2),C1222),C1222)</f>
        <v>8780</v>
      </c>
      <c r="G1222" s="0" t="n">
        <f aca="false">VLOOKUP(E1222,'MSA-Lookup'!$AA$1:$AB$25,2)</f>
        <v>5170</v>
      </c>
      <c r="H1222" s="0" t="n">
        <f aca="false">IF(C1222&gt;1,IF(C1222&lt;99,VLOOKUP(F1222,'MSA-Lookup'!$AA$1:$AB$25,2),C1222),C1222)</f>
        <v>8780</v>
      </c>
    </row>
    <row r="1223" customFormat="false" ht="12.75" hidden="false" customHeight="false" outlineLevel="0" collapsed="false">
      <c r="A1223" s="0" t="n">
        <f aca="false">B1223*1000+C1223</f>
        <v>24076</v>
      </c>
      <c r="B1223" s="0" t="n">
        <v>24</v>
      </c>
      <c r="C1223" s="0" t="n">
        <v>76</v>
      </c>
      <c r="D1223" s="0" t="n">
        <v>234</v>
      </c>
      <c r="E1223" s="0" t="n">
        <f aca="false">VLOOKUP(B1223,'MSA-Lookup'!$H$2:$I$86,2)</f>
        <v>5170</v>
      </c>
      <c r="F1223" s="0" t="n">
        <f aca="false">IF(C1223&gt;1,IF(C1223&lt;99,VLOOKUP(C1223,'MSA-Lookup'!$H$1:$I$86,2),C1223),C1223)</f>
        <v>7485</v>
      </c>
      <c r="G1223" s="0" t="n">
        <f aca="false">VLOOKUP(E1223,'MSA-Lookup'!$AA$1:$AB$25,2)</f>
        <v>5170</v>
      </c>
      <c r="H1223" s="0" t="n">
        <f aca="false">IF(C1223&gt;1,IF(C1223&lt;99,VLOOKUP(F1223,'MSA-Lookup'!$AA$1:$AB$25,2),C1223),C1223)</f>
        <v>7362</v>
      </c>
    </row>
    <row r="1224" customFormat="false" ht="12.75" hidden="false" customHeight="false" outlineLevel="0" collapsed="false">
      <c r="A1224" s="0" t="n">
        <f aca="false">B1224*1000+C1224</f>
        <v>24079</v>
      </c>
      <c r="B1224" s="0" t="n">
        <v>24</v>
      </c>
      <c r="C1224" s="0" t="n">
        <v>79</v>
      </c>
      <c r="D1224" s="0" t="n">
        <v>0</v>
      </c>
      <c r="E1224" s="0" t="n">
        <f aca="false">VLOOKUP(B1224,'MSA-Lookup'!$H$2:$I$86,2)</f>
        <v>5170</v>
      </c>
      <c r="F1224" s="0" t="n">
        <f aca="false">IF(C1224&gt;1,IF(C1224&lt;99,VLOOKUP(C1224,'MSA-Lookup'!$H$1:$I$86,2),C1224),C1224)</f>
        <v>680</v>
      </c>
      <c r="G1224" s="0" t="n">
        <f aca="false">VLOOKUP(E1224,'MSA-Lookup'!$AA$1:$AB$25,2)</f>
        <v>5170</v>
      </c>
      <c r="H1224" s="0" t="n">
        <f aca="false">IF(C1224&gt;1,IF(C1224&lt;99,VLOOKUP(F1224,'MSA-Lookup'!$AA$1:$AB$25,2),C1224),C1224)</f>
        <v>680</v>
      </c>
    </row>
    <row r="1225" customFormat="false" ht="12.75" hidden="false" customHeight="false" outlineLevel="0" collapsed="false">
      <c r="A1225" s="0" t="n">
        <f aca="false">B1225*1000+C1225</f>
        <v>24080</v>
      </c>
      <c r="B1225" s="0" t="n">
        <v>24</v>
      </c>
      <c r="C1225" s="0" t="n">
        <v>80</v>
      </c>
      <c r="D1225" s="0" t="n">
        <v>0</v>
      </c>
      <c r="E1225" s="0" t="n">
        <f aca="false">VLOOKUP(B1225,'MSA-Lookup'!$H$2:$I$86,2)</f>
        <v>5170</v>
      </c>
      <c r="F1225" s="0" t="n">
        <f aca="false">IF(C1225&gt;1,IF(C1225&lt;99,VLOOKUP(C1225,'MSA-Lookup'!$H$1:$I$86,2),C1225),C1225)</f>
        <v>9999</v>
      </c>
      <c r="G1225" s="0" t="n">
        <f aca="false">VLOOKUP(E1225,'MSA-Lookup'!$AA$1:$AB$25,2)</f>
        <v>5170</v>
      </c>
      <c r="H1225" s="0" t="n">
        <f aca="false">IF(C1225&gt;1,IF(C1225&lt;99,VLOOKUP(F1225,'MSA-Lookup'!$AA$1:$AB$25,2),C1225),C1225)</f>
        <v>9999</v>
      </c>
    </row>
    <row r="1226" customFormat="false" ht="12.75" hidden="false" customHeight="false" outlineLevel="0" collapsed="false">
      <c r="A1226" s="0" t="n">
        <f aca="false">B1226*1000+C1226</f>
        <v>24082</v>
      </c>
      <c r="B1226" s="0" t="n">
        <v>24</v>
      </c>
      <c r="C1226" s="0" t="n">
        <v>82</v>
      </c>
      <c r="D1226" s="0" t="n">
        <v>0</v>
      </c>
      <c r="E1226" s="0" t="n">
        <f aca="false">VLOOKUP(B1226,'MSA-Lookup'!$H$2:$I$86,2)</f>
        <v>5170</v>
      </c>
      <c r="F1226" s="0" t="n">
        <f aca="false">IF(C1226&gt;1,IF(C1226&lt;99,VLOOKUP(C1226,'MSA-Lookup'!$H$1:$I$86,2),C1226),C1226)</f>
        <v>6780</v>
      </c>
      <c r="G1226" s="0" t="n">
        <f aca="false">VLOOKUP(E1226,'MSA-Lookup'!$AA$1:$AB$25,2)</f>
        <v>5170</v>
      </c>
      <c r="H1226" s="0" t="n">
        <f aca="false">IF(C1226&gt;1,IF(C1226&lt;99,VLOOKUP(F1226,'MSA-Lookup'!$AA$1:$AB$25,2),C1226),C1226)</f>
        <v>4472</v>
      </c>
    </row>
    <row r="1227" customFormat="false" ht="12.75" hidden="false" customHeight="false" outlineLevel="0" collapsed="false">
      <c r="A1227" s="0" t="n">
        <f aca="false">B1227*1000+C1227</f>
        <v>24085</v>
      </c>
      <c r="B1227" s="0" t="n">
        <v>24</v>
      </c>
      <c r="C1227" s="0" t="n">
        <v>85</v>
      </c>
      <c r="D1227" s="0" t="n">
        <v>1586</v>
      </c>
      <c r="E1227" s="0" t="n">
        <f aca="false">VLOOKUP(B1227,'MSA-Lookup'!$H$2:$I$86,2)</f>
        <v>5170</v>
      </c>
      <c r="F1227" s="0" t="n">
        <f aca="false">IF(C1227&gt;1,IF(C1227&lt;99,VLOOKUP(C1227,'MSA-Lookup'!$H$1:$I$86,2),C1227),C1227)</f>
        <v>8120</v>
      </c>
      <c r="G1227" s="0" t="n">
        <f aca="false">VLOOKUP(E1227,'MSA-Lookup'!$AA$1:$AB$25,2)</f>
        <v>5170</v>
      </c>
      <c r="H1227" s="0" t="n">
        <f aca="false">IF(C1227&gt;1,IF(C1227&lt;99,VLOOKUP(F1227,'MSA-Lookup'!$AA$1:$AB$25,2),C1227),C1227)</f>
        <v>8120</v>
      </c>
    </row>
    <row r="1228" customFormat="false" ht="12.75" hidden="false" customHeight="false" outlineLevel="0" collapsed="false">
      <c r="A1228" s="0" t="n">
        <f aca="false">B1228*1000+C1228</f>
        <v>24858</v>
      </c>
      <c r="B1228" s="0" t="n">
        <v>24</v>
      </c>
      <c r="C1228" s="0" t="n">
        <v>858</v>
      </c>
      <c r="D1228" s="0" t="n">
        <v>0</v>
      </c>
      <c r="E1228" s="0" t="n">
        <f aca="false">VLOOKUP(B1228,'MSA-Lookup'!$H$2:$I$86,2)</f>
        <v>5170</v>
      </c>
      <c r="F1228" s="0" t="n">
        <f aca="false">IF(C1228&gt;1,IF(C1228&lt;99,VLOOKUP(C1228,'MSA-Lookup'!$H$1:$I$86,2),C1228),C1228)</f>
        <v>858</v>
      </c>
      <c r="G1228" s="0" t="n">
        <f aca="false">VLOOKUP(E1228,'MSA-Lookup'!$AA$1:$AB$25,2)</f>
        <v>5170</v>
      </c>
      <c r="H1228" s="0" t="n">
        <f aca="false">IF(C1228&gt;1,IF(C1228&lt;99,VLOOKUP(F1228,'MSA-Lookup'!$AA$1:$AB$25,2),C1228),C1228)</f>
        <v>858</v>
      </c>
    </row>
    <row r="1229" customFormat="false" ht="12.75" hidden="false" customHeight="false" outlineLevel="0" collapsed="false">
      <c r="A1229" s="0" t="n">
        <f aca="false">B1229*1000+C1229</f>
        <v>24999</v>
      </c>
      <c r="B1229" s="0" t="n">
        <v>24</v>
      </c>
      <c r="C1229" s="0" t="n">
        <v>999</v>
      </c>
      <c r="D1229" s="0" t="n">
        <v>0</v>
      </c>
      <c r="E1229" s="0" t="n">
        <f aca="false">VLOOKUP(B1229,'MSA-Lookup'!$H$2:$I$86,2)</f>
        <v>5170</v>
      </c>
      <c r="F1229" s="0" t="n">
        <f aca="false">IF(C1229&gt;1,IF(C1229&lt;99,VLOOKUP(C1229,'MSA-Lookup'!$H$1:$I$86,2),C1229),C1229)</f>
        <v>999</v>
      </c>
      <c r="G1229" s="0" t="n">
        <f aca="false">VLOOKUP(E1229,'MSA-Lookup'!$AA$1:$AB$25,2)</f>
        <v>5170</v>
      </c>
      <c r="H1229" s="0" t="n">
        <f aca="false">IF(C1229&gt;1,IF(C1229&lt;99,VLOOKUP(F1229,'MSA-Lookup'!$AA$1:$AB$25,2),C1229),C1229)</f>
        <v>999</v>
      </c>
    </row>
    <row r="1230" customFormat="false" ht="12.75" hidden="false" customHeight="false" outlineLevel="0" collapsed="false">
      <c r="A1230" s="0" t="n">
        <f aca="false">B1230*1000+C1230</f>
        <v>25000</v>
      </c>
      <c r="B1230" s="0" t="n">
        <v>25</v>
      </c>
      <c r="C1230" s="0" t="n">
        <v>0</v>
      </c>
      <c r="D1230" s="0" t="n">
        <v>125554</v>
      </c>
      <c r="E1230" s="0" t="n">
        <f aca="false">VLOOKUP(B1230,'MSA-Lookup'!$H$2:$I$86,2)</f>
        <v>5170</v>
      </c>
      <c r="F1230" s="0" t="n">
        <f aca="false">IF(C1230&gt;1,IF(C1230&lt;99,VLOOKUP(C1230,'MSA-Lookup'!$H$1:$I$86,2),C1230),C1230)</f>
        <v>0</v>
      </c>
      <c r="G1230" s="0" t="n">
        <f aca="false">VLOOKUP(E1230,'MSA-Lookup'!$AA$1:$AB$25,2)</f>
        <v>5170</v>
      </c>
      <c r="H1230" s="0" t="n">
        <f aca="false">IF(C1230&gt;1,IF(C1230&lt;99,VLOOKUP(F1230,'MSA-Lookup'!$AA$1:$AB$25,2),C1230),C1230)</f>
        <v>0</v>
      </c>
    </row>
    <row r="1231" customFormat="false" ht="12.75" hidden="false" customHeight="false" outlineLevel="0" collapsed="false">
      <c r="A1231" s="0" t="n">
        <f aca="false">B1231*1000+C1231</f>
        <v>25001</v>
      </c>
      <c r="B1231" s="0" t="n">
        <v>25</v>
      </c>
      <c r="C1231" s="0" t="n">
        <v>1</v>
      </c>
      <c r="D1231" s="0" t="n">
        <v>78</v>
      </c>
      <c r="E1231" s="0" t="n">
        <f aca="false">VLOOKUP(B1231,'MSA-Lookup'!$H$2:$I$86,2)</f>
        <v>5170</v>
      </c>
      <c r="F1231" s="0" t="n">
        <f aca="false">IF(C1231&gt;1,IF(C1231&lt;99,VLOOKUP(C1231,'MSA-Lookup'!$H$1:$I$86,2),C1231),C1231)</f>
        <v>1</v>
      </c>
      <c r="G1231" s="0" t="n">
        <f aca="false">VLOOKUP(E1231,'MSA-Lookup'!$AA$1:$AB$25,2)</f>
        <v>5170</v>
      </c>
      <c r="H1231" s="0" t="n">
        <f aca="false">IF(C1231&gt;1,IF(C1231&lt;99,VLOOKUP(F1231,'MSA-Lookup'!$AA$1:$AB$25,2),C1231),C1231)</f>
        <v>1</v>
      </c>
    </row>
    <row r="1232" customFormat="false" ht="12.75" hidden="false" customHeight="false" outlineLevel="0" collapsed="false">
      <c r="A1232" s="0" t="n">
        <f aca="false">B1232*1000+C1232</f>
        <v>25002</v>
      </c>
      <c r="B1232" s="0" t="n">
        <v>25</v>
      </c>
      <c r="C1232" s="0" t="n">
        <v>2</v>
      </c>
      <c r="D1232" s="0" t="n">
        <v>0</v>
      </c>
      <c r="E1232" s="0" t="n">
        <f aca="false">VLOOKUP(B1232,'MSA-Lookup'!$H$2:$I$86,2)</f>
        <v>5170</v>
      </c>
      <c r="F1232" s="0" t="n">
        <f aca="false">IF(C1232&gt;1,IF(C1232&lt;99,VLOOKUP(C1232,'MSA-Lookup'!$H$1:$I$86,2),C1232),C1232)</f>
        <v>9999</v>
      </c>
      <c r="G1232" s="0" t="n">
        <f aca="false">VLOOKUP(E1232,'MSA-Lookup'!$AA$1:$AB$25,2)</f>
        <v>5170</v>
      </c>
      <c r="H1232" s="0" t="n">
        <f aca="false">IF(C1232&gt;1,IF(C1232&lt;99,VLOOKUP(F1232,'MSA-Lookup'!$AA$1:$AB$25,2),C1232),C1232)</f>
        <v>9999</v>
      </c>
    </row>
    <row r="1233" customFormat="false" ht="12.75" hidden="false" customHeight="false" outlineLevel="0" collapsed="false">
      <c r="A1233" s="0" t="n">
        <f aca="false">B1233*1000+C1233</f>
        <v>25003</v>
      </c>
      <c r="B1233" s="0" t="n">
        <v>25</v>
      </c>
      <c r="C1233" s="0" t="n">
        <v>3</v>
      </c>
      <c r="D1233" s="0" t="n">
        <v>0</v>
      </c>
      <c r="E1233" s="0" t="n">
        <f aca="false">VLOOKUP(B1233,'MSA-Lookup'!$H$2:$I$86,2)</f>
        <v>5170</v>
      </c>
      <c r="F1233" s="0" t="n">
        <f aca="false">IF(C1233&gt;1,IF(C1233&lt;99,VLOOKUP(C1233,'MSA-Lookup'!$H$1:$I$86,2),C1233),C1233)</f>
        <v>6690</v>
      </c>
      <c r="G1233" s="0" t="n">
        <f aca="false">VLOOKUP(E1233,'MSA-Lookup'!$AA$1:$AB$25,2)</f>
        <v>5170</v>
      </c>
      <c r="H1233" s="0" t="n">
        <f aca="false">IF(C1233&gt;1,IF(C1233&lt;99,VLOOKUP(F1233,'MSA-Lookup'!$AA$1:$AB$25,2),C1233),C1233)</f>
        <v>6690</v>
      </c>
    </row>
    <row r="1234" customFormat="false" ht="12.75" hidden="false" customHeight="false" outlineLevel="0" collapsed="false">
      <c r="A1234" s="0" t="n">
        <f aca="false">B1234*1000+C1234</f>
        <v>25004</v>
      </c>
      <c r="B1234" s="0" t="n">
        <v>25</v>
      </c>
      <c r="C1234" s="0" t="n">
        <v>4</v>
      </c>
      <c r="D1234" s="0" t="n">
        <v>0</v>
      </c>
      <c r="E1234" s="0" t="n">
        <f aca="false">VLOOKUP(B1234,'MSA-Lookup'!$H$2:$I$86,2)</f>
        <v>5170</v>
      </c>
      <c r="F1234" s="0" t="n">
        <f aca="false">IF(C1234&gt;1,IF(C1234&lt;99,VLOOKUP(C1234,'MSA-Lookup'!$H$1:$I$86,2),C1234),C1234)</f>
        <v>9999</v>
      </c>
      <c r="G1234" s="0" t="n">
        <f aca="false">VLOOKUP(E1234,'MSA-Lookup'!$AA$1:$AB$25,2)</f>
        <v>5170</v>
      </c>
      <c r="H1234" s="0" t="n">
        <f aca="false">IF(C1234&gt;1,IF(C1234&lt;99,VLOOKUP(F1234,'MSA-Lookup'!$AA$1:$AB$25,2),C1234),C1234)</f>
        <v>9999</v>
      </c>
    </row>
    <row r="1235" customFormat="false" ht="12.75" hidden="false" customHeight="false" outlineLevel="0" collapsed="false">
      <c r="A1235" s="0" t="n">
        <f aca="false">B1235*1000+C1235</f>
        <v>25005</v>
      </c>
      <c r="B1235" s="0" t="n">
        <v>25</v>
      </c>
      <c r="C1235" s="0" t="n">
        <v>5</v>
      </c>
      <c r="D1235" s="0" t="n">
        <v>0</v>
      </c>
      <c r="E1235" s="0" t="n">
        <f aca="false">VLOOKUP(B1235,'MSA-Lookup'!$H$2:$I$86,2)</f>
        <v>5170</v>
      </c>
      <c r="F1235" s="0" t="n">
        <f aca="false">IF(C1235&gt;1,IF(C1235&lt;99,VLOOKUP(C1235,'MSA-Lookup'!$H$1:$I$86,2),C1235),C1235)</f>
        <v>9999</v>
      </c>
      <c r="G1235" s="0" t="n">
        <f aca="false">VLOOKUP(E1235,'MSA-Lookup'!$AA$1:$AB$25,2)</f>
        <v>5170</v>
      </c>
      <c r="H1235" s="0" t="n">
        <f aca="false">IF(C1235&gt;1,IF(C1235&lt;99,VLOOKUP(F1235,'MSA-Lookup'!$AA$1:$AB$25,2),C1235),C1235)</f>
        <v>9999</v>
      </c>
    </row>
    <row r="1236" customFormat="false" ht="12.75" hidden="false" customHeight="false" outlineLevel="0" collapsed="false">
      <c r="A1236" s="0" t="n">
        <f aca="false">B1236*1000+C1236</f>
        <v>25006</v>
      </c>
      <c r="B1236" s="0" t="n">
        <v>25</v>
      </c>
      <c r="C1236" s="0" t="n">
        <v>6</v>
      </c>
      <c r="D1236" s="0" t="n">
        <v>0</v>
      </c>
      <c r="E1236" s="0" t="n">
        <f aca="false">VLOOKUP(B1236,'MSA-Lookup'!$H$2:$I$86,2)</f>
        <v>5170</v>
      </c>
      <c r="F1236" s="0" t="n">
        <f aca="false">IF(C1236&gt;1,IF(C1236&lt;99,VLOOKUP(C1236,'MSA-Lookup'!$H$1:$I$86,2),C1236),C1236)</f>
        <v>1620</v>
      </c>
      <c r="G1236" s="0" t="n">
        <f aca="false">VLOOKUP(E1236,'MSA-Lookup'!$AA$1:$AB$25,2)</f>
        <v>5170</v>
      </c>
      <c r="H1236" s="0" t="n">
        <f aca="false">IF(C1236&gt;1,IF(C1236&lt;99,VLOOKUP(F1236,'MSA-Lookup'!$AA$1:$AB$25,2),C1236),C1236)</f>
        <v>1620</v>
      </c>
    </row>
    <row r="1237" customFormat="false" ht="12.75" hidden="false" customHeight="false" outlineLevel="0" collapsed="false">
      <c r="A1237" s="0" t="n">
        <f aca="false">B1237*1000+C1237</f>
        <v>25007</v>
      </c>
      <c r="B1237" s="0" t="n">
        <v>25</v>
      </c>
      <c r="C1237" s="0" t="n">
        <v>7</v>
      </c>
      <c r="D1237" s="0" t="n">
        <v>0</v>
      </c>
      <c r="E1237" s="0" t="n">
        <f aca="false">VLOOKUP(B1237,'MSA-Lookup'!$H$2:$I$86,2)</f>
        <v>5170</v>
      </c>
      <c r="F1237" s="0" t="n">
        <f aca="false">IF(C1237&gt;1,IF(C1237&lt;99,VLOOKUP(C1237,'MSA-Lookup'!$H$1:$I$86,2),C1237),C1237)</f>
        <v>9999</v>
      </c>
      <c r="G1237" s="0" t="n">
        <f aca="false">VLOOKUP(E1237,'MSA-Lookup'!$AA$1:$AB$25,2)</f>
        <v>5170</v>
      </c>
      <c r="H1237" s="0" t="n">
        <f aca="false">IF(C1237&gt;1,IF(C1237&lt;99,VLOOKUP(F1237,'MSA-Lookup'!$AA$1:$AB$25,2),C1237),C1237)</f>
        <v>9999</v>
      </c>
    </row>
    <row r="1238" customFormat="false" ht="12.75" hidden="false" customHeight="false" outlineLevel="0" collapsed="false">
      <c r="A1238" s="0" t="n">
        <f aca="false">B1238*1000+C1238</f>
        <v>25008</v>
      </c>
      <c r="B1238" s="0" t="n">
        <v>25</v>
      </c>
      <c r="C1238" s="0" t="n">
        <v>8</v>
      </c>
      <c r="D1238" s="0" t="n">
        <v>0</v>
      </c>
      <c r="E1238" s="0" t="n">
        <f aca="false">VLOOKUP(B1238,'MSA-Lookup'!$H$2:$I$86,2)</f>
        <v>5170</v>
      </c>
      <c r="F1238" s="0" t="n">
        <f aca="false">IF(C1238&gt;1,IF(C1238&lt;99,VLOOKUP(C1238,'MSA-Lookup'!$H$1:$I$86,2),C1238),C1238)</f>
        <v>9340</v>
      </c>
      <c r="G1238" s="0" t="n">
        <f aca="false">VLOOKUP(E1238,'MSA-Lookup'!$AA$1:$AB$25,2)</f>
        <v>5170</v>
      </c>
      <c r="H1238" s="0" t="n">
        <f aca="false">IF(C1238&gt;1,IF(C1238&lt;99,VLOOKUP(F1238,'MSA-Lookup'!$AA$1:$AB$25,2),C1238),C1238)</f>
        <v>9340</v>
      </c>
    </row>
    <row r="1239" customFormat="false" ht="12.75" hidden="false" customHeight="false" outlineLevel="0" collapsed="false">
      <c r="A1239" s="0" t="n">
        <f aca="false">B1239*1000+C1239</f>
        <v>25009</v>
      </c>
      <c r="B1239" s="0" t="n">
        <v>25</v>
      </c>
      <c r="C1239" s="0" t="n">
        <v>9</v>
      </c>
      <c r="D1239" s="0" t="n">
        <v>0</v>
      </c>
      <c r="E1239" s="0" t="n">
        <f aca="false">VLOOKUP(B1239,'MSA-Lookup'!$H$2:$I$86,2)</f>
        <v>5170</v>
      </c>
      <c r="F1239" s="0" t="n">
        <f aca="false">IF(C1239&gt;1,IF(C1239&lt;99,VLOOKUP(C1239,'MSA-Lookup'!$H$1:$I$86,2),C1239),C1239)</f>
        <v>8720</v>
      </c>
      <c r="G1239" s="0" t="n">
        <f aca="false">VLOOKUP(E1239,'MSA-Lookup'!$AA$1:$AB$25,2)</f>
        <v>5170</v>
      </c>
      <c r="H1239" s="0" t="n">
        <f aca="false">IF(C1239&gt;1,IF(C1239&lt;99,VLOOKUP(F1239,'MSA-Lookup'!$AA$1:$AB$25,2),C1239),C1239)</f>
        <v>7362</v>
      </c>
    </row>
    <row r="1240" customFormat="false" ht="12.75" hidden="false" customHeight="false" outlineLevel="0" collapsed="false">
      <c r="A1240" s="0" t="n">
        <f aca="false">B1240*1000+C1240</f>
        <v>25010</v>
      </c>
      <c r="B1240" s="0" t="n">
        <v>25</v>
      </c>
      <c r="C1240" s="0" t="n">
        <v>10</v>
      </c>
      <c r="D1240" s="0" t="n">
        <v>0</v>
      </c>
      <c r="E1240" s="0" t="n">
        <f aca="false">VLOOKUP(B1240,'MSA-Lookup'!$H$2:$I$86,2)</f>
        <v>5170</v>
      </c>
      <c r="F1240" s="0" t="n">
        <f aca="false">IF(C1240&gt;1,IF(C1240&lt;99,VLOOKUP(C1240,'MSA-Lookup'!$H$1:$I$86,2),C1240),C1240)</f>
        <v>6920</v>
      </c>
      <c r="G1240" s="0" t="n">
        <f aca="false">VLOOKUP(E1240,'MSA-Lookup'!$AA$1:$AB$25,2)</f>
        <v>5170</v>
      </c>
      <c r="H1240" s="0" t="n">
        <f aca="false">IF(C1240&gt;1,IF(C1240&lt;99,VLOOKUP(F1240,'MSA-Lookup'!$AA$1:$AB$25,2),C1240),C1240)</f>
        <v>6920</v>
      </c>
    </row>
    <row r="1241" customFormat="false" ht="12.75" hidden="false" customHeight="false" outlineLevel="0" collapsed="false">
      <c r="A1241" s="0" t="n">
        <f aca="false">B1241*1000+C1241</f>
        <v>25011</v>
      </c>
      <c r="B1241" s="0" t="n">
        <v>25</v>
      </c>
      <c r="C1241" s="0" t="n">
        <v>11</v>
      </c>
      <c r="D1241" s="0" t="n">
        <v>0</v>
      </c>
      <c r="E1241" s="0" t="n">
        <f aca="false">VLOOKUP(B1241,'MSA-Lookup'!$H$2:$I$86,2)</f>
        <v>5170</v>
      </c>
      <c r="F1241" s="0" t="n">
        <f aca="false">IF(C1241&gt;1,IF(C1241&lt;99,VLOOKUP(C1241,'MSA-Lookup'!$H$1:$I$86,2),C1241),C1241)</f>
        <v>6920</v>
      </c>
      <c r="G1241" s="0" t="n">
        <f aca="false">VLOOKUP(E1241,'MSA-Lookup'!$AA$1:$AB$25,2)</f>
        <v>5170</v>
      </c>
      <c r="H1241" s="0" t="n">
        <f aca="false">IF(C1241&gt;1,IF(C1241&lt;99,VLOOKUP(F1241,'MSA-Lookup'!$AA$1:$AB$25,2),C1241),C1241)</f>
        <v>6920</v>
      </c>
    </row>
    <row r="1242" customFormat="false" ht="12.75" hidden="false" customHeight="false" outlineLevel="0" collapsed="false">
      <c r="A1242" s="0" t="n">
        <f aca="false">B1242*1000+C1242</f>
        <v>25012</v>
      </c>
      <c r="B1242" s="0" t="n">
        <v>25</v>
      </c>
      <c r="C1242" s="0" t="n">
        <v>12</v>
      </c>
      <c r="D1242" s="0" t="n">
        <v>156</v>
      </c>
      <c r="E1242" s="0" t="n">
        <f aca="false">VLOOKUP(B1242,'MSA-Lookup'!$H$2:$I$86,2)</f>
        <v>5170</v>
      </c>
      <c r="F1242" s="0" t="n">
        <f aca="false">IF(C1242&gt;1,IF(C1242&lt;99,VLOOKUP(C1242,'MSA-Lookup'!$H$1:$I$86,2),C1242),C1242)</f>
        <v>6920</v>
      </c>
      <c r="G1242" s="0" t="n">
        <f aca="false">VLOOKUP(E1242,'MSA-Lookup'!$AA$1:$AB$25,2)</f>
        <v>5170</v>
      </c>
      <c r="H1242" s="0" t="n">
        <f aca="false">IF(C1242&gt;1,IF(C1242&lt;99,VLOOKUP(F1242,'MSA-Lookup'!$AA$1:$AB$25,2),C1242),C1242)</f>
        <v>6920</v>
      </c>
    </row>
    <row r="1243" customFormat="false" ht="12.75" hidden="false" customHeight="false" outlineLevel="0" collapsed="false">
      <c r="A1243" s="0" t="n">
        <f aca="false">B1243*1000+C1243</f>
        <v>25013</v>
      </c>
      <c r="B1243" s="0" t="n">
        <v>25</v>
      </c>
      <c r="C1243" s="0" t="n">
        <v>13</v>
      </c>
      <c r="D1243" s="0" t="n">
        <v>0</v>
      </c>
      <c r="E1243" s="0" t="n">
        <f aca="false">VLOOKUP(B1243,'MSA-Lookup'!$H$2:$I$86,2)</f>
        <v>5170</v>
      </c>
      <c r="F1243" s="0" t="n">
        <f aca="false">IF(C1243&gt;1,IF(C1243&lt;99,VLOOKUP(C1243,'MSA-Lookup'!$H$1:$I$86,2),C1243),C1243)</f>
        <v>7500</v>
      </c>
      <c r="G1243" s="0" t="n">
        <f aca="false">VLOOKUP(E1243,'MSA-Lookup'!$AA$1:$AB$25,2)</f>
        <v>5170</v>
      </c>
      <c r="H1243" s="0" t="n">
        <f aca="false">IF(C1243&gt;1,IF(C1243&lt;99,VLOOKUP(F1243,'MSA-Lookup'!$AA$1:$AB$25,2),C1243),C1243)</f>
        <v>7362</v>
      </c>
    </row>
    <row r="1244" customFormat="false" ht="12.75" hidden="false" customHeight="false" outlineLevel="0" collapsed="false">
      <c r="A1244" s="0" t="n">
        <f aca="false">B1244*1000+C1244</f>
        <v>25014</v>
      </c>
      <c r="B1244" s="0" t="n">
        <v>25</v>
      </c>
      <c r="C1244" s="0" t="n">
        <v>14</v>
      </c>
      <c r="D1244" s="0" t="n">
        <v>0</v>
      </c>
      <c r="E1244" s="0" t="n">
        <f aca="false">VLOOKUP(B1244,'MSA-Lookup'!$H$2:$I$86,2)</f>
        <v>5170</v>
      </c>
      <c r="F1244" s="0" t="n">
        <f aca="false">IF(C1244&gt;1,IF(C1244&lt;99,VLOOKUP(C1244,'MSA-Lookup'!$H$1:$I$86,2),C1244),C1244)</f>
        <v>7500</v>
      </c>
      <c r="G1244" s="0" t="n">
        <f aca="false">VLOOKUP(E1244,'MSA-Lookup'!$AA$1:$AB$25,2)</f>
        <v>5170</v>
      </c>
      <c r="H1244" s="0" t="n">
        <f aca="false">IF(C1244&gt;1,IF(C1244&lt;99,VLOOKUP(F1244,'MSA-Lookup'!$AA$1:$AB$25,2),C1244),C1244)</f>
        <v>7362</v>
      </c>
    </row>
    <row r="1245" customFormat="false" ht="12.75" hidden="false" customHeight="false" outlineLevel="0" collapsed="false">
      <c r="A1245" s="0" t="n">
        <f aca="false">B1245*1000+C1245</f>
        <v>25015</v>
      </c>
      <c r="B1245" s="0" t="n">
        <v>25</v>
      </c>
      <c r="C1245" s="0" t="n">
        <v>15</v>
      </c>
      <c r="D1245" s="0" t="n">
        <v>0</v>
      </c>
      <c r="E1245" s="0" t="n">
        <f aca="false">VLOOKUP(B1245,'MSA-Lookup'!$H$2:$I$86,2)</f>
        <v>5170</v>
      </c>
      <c r="F1245" s="0" t="n">
        <f aca="false">IF(C1245&gt;1,IF(C1245&lt;99,VLOOKUP(C1245,'MSA-Lookup'!$H$1:$I$86,2),C1245),C1245)</f>
        <v>7360</v>
      </c>
      <c r="G1245" s="0" t="n">
        <f aca="false">VLOOKUP(E1245,'MSA-Lookup'!$AA$1:$AB$25,2)</f>
        <v>5170</v>
      </c>
      <c r="H1245" s="0" t="n">
        <f aca="false">IF(C1245&gt;1,IF(C1245&lt;99,VLOOKUP(F1245,'MSA-Lookup'!$AA$1:$AB$25,2),C1245),C1245)</f>
        <v>7362</v>
      </c>
    </row>
    <row r="1246" customFormat="false" ht="12.75" hidden="false" customHeight="false" outlineLevel="0" collapsed="false">
      <c r="A1246" s="0" t="n">
        <f aca="false">B1246*1000+C1246</f>
        <v>25016</v>
      </c>
      <c r="B1246" s="0" t="n">
        <v>25</v>
      </c>
      <c r="C1246" s="0" t="n">
        <v>16</v>
      </c>
      <c r="D1246" s="0" t="n">
        <v>0</v>
      </c>
      <c r="E1246" s="0" t="n">
        <f aca="false">VLOOKUP(B1246,'MSA-Lookup'!$H$2:$I$86,2)</f>
        <v>5170</v>
      </c>
      <c r="F1246" s="0" t="n">
        <f aca="false">IF(C1246&gt;1,IF(C1246&lt;99,VLOOKUP(C1246,'MSA-Lookup'!$H$1:$I$86,2),C1246),C1246)</f>
        <v>8720</v>
      </c>
      <c r="G1246" s="0" t="n">
        <f aca="false">VLOOKUP(E1246,'MSA-Lookup'!$AA$1:$AB$25,2)</f>
        <v>5170</v>
      </c>
      <c r="H1246" s="0" t="n">
        <f aca="false">IF(C1246&gt;1,IF(C1246&lt;99,VLOOKUP(F1246,'MSA-Lookup'!$AA$1:$AB$25,2),C1246),C1246)</f>
        <v>7362</v>
      </c>
    </row>
    <row r="1247" customFormat="false" ht="12.75" hidden="false" customHeight="false" outlineLevel="0" collapsed="false">
      <c r="A1247" s="0" t="n">
        <f aca="false">B1247*1000+C1247</f>
        <v>25017</v>
      </c>
      <c r="B1247" s="0" t="n">
        <v>25</v>
      </c>
      <c r="C1247" s="0" t="n">
        <v>17</v>
      </c>
      <c r="D1247" s="0" t="n">
        <v>0</v>
      </c>
      <c r="E1247" s="0" t="n">
        <f aca="false">VLOOKUP(B1247,'MSA-Lookup'!$H$2:$I$86,2)</f>
        <v>5170</v>
      </c>
      <c r="F1247" s="0" t="n">
        <f aca="false">IF(C1247&gt;1,IF(C1247&lt;99,VLOOKUP(C1247,'MSA-Lookup'!$H$1:$I$86,2),C1247),C1247)</f>
        <v>5775</v>
      </c>
      <c r="G1247" s="0" t="n">
        <f aca="false">VLOOKUP(E1247,'MSA-Lookup'!$AA$1:$AB$25,2)</f>
        <v>5170</v>
      </c>
      <c r="H1247" s="0" t="n">
        <f aca="false">IF(C1247&gt;1,IF(C1247&lt;99,VLOOKUP(F1247,'MSA-Lookup'!$AA$1:$AB$25,2),C1247),C1247)</f>
        <v>7362</v>
      </c>
    </row>
    <row r="1248" customFormat="false" ht="12.75" hidden="false" customHeight="false" outlineLevel="0" collapsed="false">
      <c r="A1248" s="0" t="n">
        <f aca="false">B1248*1000+C1248</f>
        <v>25018</v>
      </c>
      <c r="B1248" s="0" t="n">
        <v>25</v>
      </c>
      <c r="C1248" s="0" t="n">
        <v>18</v>
      </c>
      <c r="D1248" s="0" t="n">
        <v>364</v>
      </c>
      <c r="E1248" s="0" t="n">
        <f aca="false">VLOOKUP(B1248,'MSA-Lookup'!$H$2:$I$86,2)</f>
        <v>5170</v>
      </c>
      <c r="F1248" s="0" t="n">
        <f aca="false">IF(C1248&gt;1,IF(C1248&lt;99,VLOOKUP(C1248,'MSA-Lookup'!$H$1:$I$86,2),C1248),C1248)</f>
        <v>5775</v>
      </c>
      <c r="G1248" s="0" t="n">
        <f aca="false">VLOOKUP(E1248,'MSA-Lookup'!$AA$1:$AB$25,2)</f>
        <v>5170</v>
      </c>
      <c r="H1248" s="0" t="n">
        <f aca="false">IF(C1248&gt;1,IF(C1248&lt;99,VLOOKUP(F1248,'MSA-Lookup'!$AA$1:$AB$25,2),C1248),C1248)</f>
        <v>7362</v>
      </c>
    </row>
    <row r="1249" customFormat="false" ht="12.75" hidden="false" customHeight="false" outlineLevel="0" collapsed="false">
      <c r="A1249" s="0" t="n">
        <f aca="false">B1249*1000+C1249</f>
        <v>25019</v>
      </c>
      <c r="B1249" s="0" t="n">
        <v>25</v>
      </c>
      <c r="C1249" s="0" t="n">
        <v>19</v>
      </c>
      <c r="D1249" s="0" t="n">
        <v>78</v>
      </c>
      <c r="E1249" s="0" t="n">
        <f aca="false">VLOOKUP(B1249,'MSA-Lookup'!$H$2:$I$86,2)</f>
        <v>5170</v>
      </c>
      <c r="F1249" s="0" t="n">
        <f aca="false">IF(C1249&gt;1,IF(C1249&lt;99,VLOOKUP(C1249,'MSA-Lookup'!$H$1:$I$86,2),C1249),C1249)</f>
        <v>7360</v>
      </c>
      <c r="G1249" s="0" t="n">
        <f aca="false">VLOOKUP(E1249,'MSA-Lookup'!$AA$1:$AB$25,2)</f>
        <v>5170</v>
      </c>
      <c r="H1249" s="0" t="n">
        <f aca="false">IF(C1249&gt;1,IF(C1249&lt;99,VLOOKUP(F1249,'MSA-Lookup'!$AA$1:$AB$25,2),C1249),C1249)</f>
        <v>7362</v>
      </c>
    </row>
    <row r="1250" customFormat="false" ht="12.75" hidden="false" customHeight="false" outlineLevel="0" collapsed="false">
      <c r="A1250" s="0" t="n">
        <f aca="false">B1250*1000+C1250</f>
        <v>25020</v>
      </c>
      <c r="B1250" s="0" t="n">
        <v>25</v>
      </c>
      <c r="C1250" s="0" t="n">
        <v>20</v>
      </c>
      <c r="D1250" s="0" t="n">
        <v>299</v>
      </c>
      <c r="E1250" s="0" t="n">
        <f aca="false">VLOOKUP(B1250,'MSA-Lookup'!$H$2:$I$86,2)</f>
        <v>5170</v>
      </c>
      <c r="F1250" s="0" t="n">
        <f aca="false">IF(C1250&gt;1,IF(C1250&lt;99,VLOOKUP(C1250,'MSA-Lookup'!$H$1:$I$86,2),C1250),C1250)</f>
        <v>5775</v>
      </c>
      <c r="G1250" s="0" t="n">
        <f aca="false">VLOOKUP(E1250,'MSA-Lookup'!$AA$1:$AB$25,2)</f>
        <v>5170</v>
      </c>
      <c r="H1250" s="0" t="n">
        <f aca="false">IF(C1250&gt;1,IF(C1250&lt;99,VLOOKUP(F1250,'MSA-Lookup'!$AA$1:$AB$25,2),C1250),C1250)</f>
        <v>7362</v>
      </c>
    </row>
    <row r="1251" customFormat="false" ht="12.75" hidden="false" customHeight="false" outlineLevel="0" collapsed="false">
      <c r="A1251" s="0" t="n">
        <f aca="false">B1251*1000+C1251</f>
        <v>25021</v>
      </c>
      <c r="B1251" s="0" t="n">
        <v>25</v>
      </c>
      <c r="C1251" s="0" t="n">
        <v>21</v>
      </c>
      <c r="D1251" s="0" t="n">
        <v>1976</v>
      </c>
      <c r="E1251" s="0" t="n">
        <f aca="false">VLOOKUP(B1251,'MSA-Lookup'!$H$2:$I$86,2)</f>
        <v>5170</v>
      </c>
      <c r="F1251" s="0" t="n">
        <f aca="false">IF(C1251&gt;1,IF(C1251&lt;99,VLOOKUP(C1251,'MSA-Lookup'!$H$1:$I$86,2),C1251),C1251)</f>
        <v>5775</v>
      </c>
      <c r="G1251" s="0" t="n">
        <f aca="false">VLOOKUP(E1251,'MSA-Lookup'!$AA$1:$AB$25,2)</f>
        <v>5170</v>
      </c>
      <c r="H1251" s="0" t="n">
        <f aca="false">IF(C1251&gt;1,IF(C1251&lt;99,VLOOKUP(F1251,'MSA-Lookup'!$AA$1:$AB$25,2),C1251),C1251)</f>
        <v>7362</v>
      </c>
    </row>
    <row r="1252" customFormat="false" ht="12.75" hidden="false" customHeight="false" outlineLevel="0" collapsed="false">
      <c r="A1252" s="0" t="n">
        <f aca="false">B1252*1000+C1252</f>
        <v>25022</v>
      </c>
      <c r="B1252" s="0" t="n">
        <v>25</v>
      </c>
      <c r="C1252" s="0" t="n">
        <v>22</v>
      </c>
      <c r="D1252" s="0" t="n">
        <v>65</v>
      </c>
      <c r="E1252" s="0" t="n">
        <f aca="false">VLOOKUP(B1252,'MSA-Lookup'!$H$2:$I$86,2)</f>
        <v>5170</v>
      </c>
      <c r="F1252" s="0" t="n">
        <f aca="false">IF(C1252&gt;1,IF(C1252&lt;99,VLOOKUP(C1252,'MSA-Lookup'!$H$1:$I$86,2),C1252),C1252)</f>
        <v>7360</v>
      </c>
      <c r="G1252" s="0" t="n">
        <f aca="false">VLOOKUP(E1252,'MSA-Lookup'!$AA$1:$AB$25,2)</f>
        <v>5170</v>
      </c>
      <c r="H1252" s="0" t="n">
        <f aca="false">IF(C1252&gt;1,IF(C1252&lt;99,VLOOKUP(F1252,'MSA-Lookup'!$AA$1:$AB$25,2),C1252),C1252)</f>
        <v>7362</v>
      </c>
    </row>
    <row r="1253" customFormat="false" ht="12.75" hidden="false" customHeight="false" outlineLevel="0" collapsed="false">
      <c r="A1253" s="0" t="n">
        <f aca="false">B1253*1000+C1253</f>
        <v>25023</v>
      </c>
      <c r="B1253" s="0" t="n">
        <v>25</v>
      </c>
      <c r="C1253" s="0" t="n">
        <v>23</v>
      </c>
      <c r="D1253" s="0" t="n">
        <v>3029</v>
      </c>
      <c r="E1253" s="0" t="n">
        <f aca="false">VLOOKUP(B1253,'MSA-Lookup'!$H$2:$I$86,2)</f>
        <v>5170</v>
      </c>
      <c r="F1253" s="0" t="n">
        <f aca="false">IF(C1253&gt;1,IF(C1253&lt;99,VLOOKUP(C1253,'MSA-Lookup'!$H$1:$I$86,2),C1253),C1253)</f>
        <v>8120</v>
      </c>
      <c r="G1253" s="0" t="n">
        <f aca="false">VLOOKUP(E1253,'MSA-Lookup'!$AA$1:$AB$25,2)</f>
        <v>5170</v>
      </c>
      <c r="H1253" s="0" t="n">
        <f aca="false">IF(C1253&gt;1,IF(C1253&lt;99,VLOOKUP(F1253,'MSA-Lookup'!$AA$1:$AB$25,2),C1253),C1253)</f>
        <v>8120</v>
      </c>
    </row>
    <row r="1254" customFormat="false" ht="12.75" hidden="false" customHeight="false" outlineLevel="0" collapsed="false">
      <c r="A1254" s="0" t="n">
        <f aca="false">B1254*1000+C1254</f>
        <v>25024</v>
      </c>
      <c r="B1254" s="0" t="n">
        <v>25</v>
      </c>
      <c r="C1254" s="0" t="n">
        <v>24</v>
      </c>
      <c r="D1254" s="0" t="n">
        <v>22893</v>
      </c>
      <c r="E1254" s="0" t="n">
        <f aca="false">VLOOKUP(B1254,'MSA-Lookup'!$H$2:$I$86,2)</f>
        <v>5170</v>
      </c>
      <c r="F1254" s="0" t="n">
        <f aca="false">IF(C1254&gt;1,IF(C1254&lt;99,VLOOKUP(C1254,'MSA-Lookup'!$H$1:$I$86,2),C1254),C1254)</f>
        <v>5170</v>
      </c>
      <c r="G1254" s="0" t="n">
        <f aca="false">VLOOKUP(E1254,'MSA-Lookup'!$AA$1:$AB$25,2)</f>
        <v>5170</v>
      </c>
      <c r="H1254" s="0" t="n">
        <f aca="false">IF(C1254&gt;1,IF(C1254&lt;99,VLOOKUP(F1254,'MSA-Lookup'!$AA$1:$AB$25,2),C1254),C1254)</f>
        <v>5170</v>
      </c>
    </row>
    <row r="1255" customFormat="false" ht="12.75" hidden="false" customHeight="false" outlineLevel="0" collapsed="false">
      <c r="A1255" s="0" t="n">
        <f aca="false">B1255*1000+C1255</f>
        <v>25025</v>
      </c>
      <c r="B1255" s="0" t="n">
        <v>25</v>
      </c>
      <c r="C1255" s="0" t="n">
        <v>25</v>
      </c>
      <c r="D1255" s="0" t="n">
        <v>42302</v>
      </c>
      <c r="E1255" s="0" t="n">
        <f aca="false">VLOOKUP(B1255,'MSA-Lookup'!$H$2:$I$86,2)</f>
        <v>5170</v>
      </c>
      <c r="F1255" s="0" t="n">
        <f aca="false">IF(C1255&gt;1,IF(C1255&lt;99,VLOOKUP(C1255,'MSA-Lookup'!$H$1:$I$86,2),C1255),C1255)</f>
        <v>5170</v>
      </c>
      <c r="G1255" s="0" t="n">
        <f aca="false">VLOOKUP(E1255,'MSA-Lookup'!$AA$1:$AB$25,2)</f>
        <v>5170</v>
      </c>
      <c r="H1255" s="0" t="n">
        <f aca="false">IF(C1255&gt;1,IF(C1255&lt;99,VLOOKUP(F1255,'MSA-Lookup'!$AA$1:$AB$25,2),C1255),C1255)</f>
        <v>5170</v>
      </c>
    </row>
    <row r="1256" customFormat="false" ht="12.75" hidden="false" customHeight="false" outlineLevel="0" collapsed="false">
      <c r="A1256" s="0" t="n">
        <f aca="false">B1256*1000+C1256</f>
        <v>25026</v>
      </c>
      <c r="B1256" s="0" t="n">
        <v>25</v>
      </c>
      <c r="C1256" s="0" t="n">
        <v>26</v>
      </c>
      <c r="D1256" s="0" t="n">
        <v>325</v>
      </c>
      <c r="E1256" s="0" t="n">
        <f aca="false">VLOOKUP(B1256,'MSA-Lookup'!$H$2:$I$86,2)</f>
        <v>5170</v>
      </c>
      <c r="F1256" s="0" t="n">
        <f aca="false">IF(C1256&gt;1,IF(C1256&lt;99,VLOOKUP(C1256,'MSA-Lookup'!$H$1:$I$86,2),C1256),C1256)</f>
        <v>9999</v>
      </c>
      <c r="G1256" s="0" t="n">
        <f aca="false">VLOOKUP(E1256,'MSA-Lookup'!$AA$1:$AB$25,2)</f>
        <v>5170</v>
      </c>
      <c r="H1256" s="0" t="n">
        <f aca="false">IF(C1256&gt;1,IF(C1256&lt;99,VLOOKUP(F1256,'MSA-Lookup'!$AA$1:$AB$25,2),C1256),C1256)</f>
        <v>9999</v>
      </c>
    </row>
    <row r="1257" customFormat="false" ht="12.75" hidden="false" customHeight="false" outlineLevel="0" collapsed="false">
      <c r="A1257" s="0" t="n">
        <f aca="false">B1257*1000+C1257</f>
        <v>25027</v>
      </c>
      <c r="B1257" s="0" t="n">
        <v>25</v>
      </c>
      <c r="C1257" s="0" t="n">
        <v>27</v>
      </c>
      <c r="D1257" s="0" t="n">
        <v>117</v>
      </c>
      <c r="E1257" s="0" t="n">
        <f aca="false">VLOOKUP(B1257,'MSA-Lookup'!$H$2:$I$86,2)</f>
        <v>5170</v>
      </c>
      <c r="F1257" s="0" t="n">
        <f aca="false">IF(C1257&gt;1,IF(C1257&lt;99,VLOOKUP(C1257,'MSA-Lookup'!$H$1:$I$86,2),C1257),C1257)</f>
        <v>9999</v>
      </c>
      <c r="G1257" s="0" t="n">
        <f aca="false">VLOOKUP(E1257,'MSA-Lookup'!$AA$1:$AB$25,2)</f>
        <v>5170</v>
      </c>
      <c r="H1257" s="0" t="n">
        <f aca="false">IF(C1257&gt;1,IF(C1257&lt;99,VLOOKUP(F1257,'MSA-Lookup'!$AA$1:$AB$25,2),C1257),C1257)</f>
        <v>9999</v>
      </c>
    </row>
    <row r="1258" customFormat="false" ht="12.75" hidden="false" customHeight="false" outlineLevel="0" collapsed="false">
      <c r="A1258" s="0" t="n">
        <f aca="false">B1258*1000+C1258</f>
        <v>25028</v>
      </c>
      <c r="B1258" s="0" t="n">
        <v>25</v>
      </c>
      <c r="C1258" s="0" t="n">
        <v>28</v>
      </c>
      <c r="D1258" s="0" t="n">
        <v>104</v>
      </c>
      <c r="E1258" s="0" t="n">
        <f aca="false">VLOOKUP(B1258,'MSA-Lookup'!$H$2:$I$86,2)</f>
        <v>5170</v>
      </c>
      <c r="F1258" s="0" t="n">
        <f aca="false">IF(C1258&gt;1,IF(C1258&lt;99,VLOOKUP(C1258,'MSA-Lookup'!$H$1:$I$86,2),C1258),C1258)</f>
        <v>6920</v>
      </c>
      <c r="G1258" s="0" t="n">
        <f aca="false">VLOOKUP(E1258,'MSA-Lookup'!$AA$1:$AB$25,2)</f>
        <v>5170</v>
      </c>
      <c r="H1258" s="0" t="n">
        <f aca="false">IF(C1258&gt;1,IF(C1258&lt;99,VLOOKUP(F1258,'MSA-Lookup'!$AA$1:$AB$25,2),C1258),C1258)</f>
        <v>6920</v>
      </c>
    </row>
    <row r="1259" customFormat="false" ht="12.75" hidden="false" customHeight="false" outlineLevel="0" collapsed="false">
      <c r="A1259" s="0" t="n">
        <f aca="false">B1259*1000+C1259</f>
        <v>25029</v>
      </c>
      <c r="B1259" s="0" t="n">
        <v>25</v>
      </c>
      <c r="C1259" s="0" t="n">
        <v>29</v>
      </c>
      <c r="D1259" s="0" t="n">
        <v>0</v>
      </c>
      <c r="E1259" s="0" t="n">
        <f aca="false">VLOOKUP(B1259,'MSA-Lookup'!$H$2:$I$86,2)</f>
        <v>5170</v>
      </c>
      <c r="F1259" s="0" t="n">
        <f aca="false">IF(C1259&gt;1,IF(C1259&lt;99,VLOOKUP(C1259,'MSA-Lookup'!$H$1:$I$86,2),C1259),C1259)</f>
        <v>6920</v>
      </c>
      <c r="G1259" s="0" t="n">
        <f aca="false">VLOOKUP(E1259,'MSA-Lookup'!$AA$1:$AB$25,2)</f>
        <v>5170</v>
      </c>
      <c r="H1259" s="0" t="n">
        <f aca="false">IF(C1259&gt;1,IF(C1259&lt;99,VLOOKUP(F1259,'MSA-Lookup'!$AA$1:$AB$25,2),C1259),C1259)</f>
        <v>6920</v>
      </c>
    </row>
    <row r="1260" customFormat="false" ht="12.75" hidden="false" customHeight="false" outlineLevel="0" collapsed="false">
      <c r="A1260" s="0" t="n">
        <f aca="false">B1260*1000+C1260</f>
        <v>25030</v>
      </c>
      <c r="B1260" s="0" t="n">
        <v>25</v>
      </c>
      <c r="C1260" s="0" t="n">
        <v>30</v>
      </c>
      <c r="D1260" s="0" t="n">
        <v>2457</v>
      </c>
      <c r="E1260" s="0" t="n">
        <f aca="false">VLOOKUP(B1260,'MSA-Lookup'!$H$2:$I$86,2)</f>
        <v>5170</v>
      </c>
      <c r="F1260" s="0" t="n">
        <f aca="false">IF(C1260&gt;1,IF(C1260&lt;99,VLOOKUP(C1260,'MSA-Lookup'!$H$1:$I$86,2),C1260),C1260)</f>
        <v>4940</v>
      </c>
      <c r="G1260" s="0" t="n">
        <f aca="false">VLOOKUP(E1260,'MSA-Lookup'!$AA$1:$AB$25,2)</f>
        <v>5170</v>
      </c>
      <c r="H1260" s="0" t="n">
        <f aca="false">IF(C1260&gt;1,IF(C1260&lt;99,VLOOKUP(F1260,'MSA-Lookup'!$AA$1:$AB$25,2),C1260),C1260)</f>
        <v>4940</v>
      </c>
    </row>
    <row r="1261" customFormat="false" ht="12.75" hidden="false" customHeight="false" outlineLevel="0" collapsed="false">
      <c r="A1261" s="0" t="n">
        <f aca="false">B1261*1000+C1261</f>
        <v>25031</v>
      </c>
      <c r="B1261" s="0" t="n">
        <v>25</v>
      </c>
      <c r="C1261" s="0" t="n">
        <v>31</v>
      </c>
      <c r="D1261" s="0" t="n">
        <v>0</v>
      </c>
      <c r="E1261" s="0" t="n">
        <f aca="false">VLOOKUP(B1261,'MSA-Lookup'!$H$2:$I$86,2)</f>
        <v>5170</v>
      </c>
      <c r="F1261" s="0" t="n">
        <f aca="false">IF(C1261&gt;1,IF(C1261&lt;99,VLOOKUP(C1261,'MSA-Lookup'!$H$1:$I$86,2),C1261),C1261)</f>
        <v>9999</v>
      </c>
      <c r="G1261" s="0" t="n">
        <f aca="false">VLOOKUP(E1261,'MSA-Lookup'!$AA$1:$AB$25,2)</f>
        <v>5170</v>
      </c>
      <c r="H1261" s="0" t="n">
        <f aca="false">IF(C1261&gt;1,IF(C1261&lt;99,VLOOKUP(F1261,'MSA-Lookup'!$AA$1:$AB$25,2),C1261),C1261)</f>
        <v>9999</v>
      </c>
    </row>
    <row r="1262" customFormat="false" ht="12.75" hidden="false" customHeight="false" outlineLevel="0" collapsed="false">
      <c r="A1262" s="0" t="n">
        <f aca="false">B1262*1000+C1262</f>
        <v>25032</v>
      </c>
      <c r="B1262" s="0" t="n">
        <v>25</v>
      </c>
      <c r="C1262" s="0" t="n">
        <v>32</v>
      </c>
      <c r="D1262" s="0" t="n">
        <v>0</v>
      </c>
      <c r="E1262" s="0" t="n">
        <f aca="false">VLOOKUP(B1262,'MSA-Lookup'!$H$2:$I$86,2)</f>
        <v>5170</v>
      </c>
      <c r="F1262" s="0" t="n">
        <f aca="false">IF(C1262&gt;1,IF(C1262&lt;99,VLOOKUP(C1262,'MSA-Lookup'!$H$1:$I$86,2),C1262),C1262)</f>
        <v>7480</v>
      </c>
      <c r="G1262" s="0" t="n">
        <f aca="false">VLOOKUP(E1262,'MSA-Lookup'!$AA$1:$AB$25,2)</f>
        <v>5170</v>
      </c>
      <c r="H1262" s="0" t="n">
        <f aca="false">IF(C1262&gt;1,IF(C1262&lt;99,VLOOKUP(F1262,'MSA-Lookup'!$AA$1:$AB$25,2),C1262),C1262)</f>
        <v>7480</v>
      </c>
    </row>
    <row r="1263" customFormat="false" ht="12.75" hidden="false" customHeight="false" outlineLevel="0" collapsed="false">
      <c r="A1263" s="0" t="n">
        <f aca="false">B1263*1000+C1263</f>
        <v>25033</v>
      </c>
      <c r="B1263" s="0" t="n">
        <v>25</v>
      </c>
      <c r="C1263" s="0" t="n">
        <v>33</v>
      </c>
      <c r="D1263" s="0" t="n">
        <v>0</v>
      </c>
      <c r="E1263" s="0" t="n">
        <f aca="false">VLOOKUP(B1263,'MSA-Lookup'!$H$2:$I$86,2)</f>
        <v>5170</v>
      </c>
      <c r="F1263" s="0" t="n">
        <f aca="false">IF(C1263&gt;1,IF(C1263&lt;99,VLOOKUP(C1263,'MSA-Lookup'!$H$1:$I$86,2),C1263),C1263)</f>
        <v>7320</v>
      </c>
      <c r="G1263" s="0" t="n">
        <f aca="false">VLOOKUP(E1263,'MSA-Lookup'!$AA$1:$AB$25,2)</f>
        <v>5170</v>
      </c>
      <c r="H1263" s="0" t="n">
        <f aca="false">IF(C1263&gt;1,IF(C1263&lt;99,VLOOKUP(F1263,'MSA-Lookup'!$AA$1:$AB$25,2),C1263),C1263)</f>
        <v>7320</v>
      </c>
    </row>
    <row r="1264" customFormat="false" ht="12.75" hidden="false" customHeight="false" outlineLevel="0" collapsed="false">
      <c r="A1264" s="0" t="n">
        <f aca="false">B1264*1000+C1264</f>
        <v>25034</v>
      </c>
      <c r="B1264" s="0" t="n">
        <v>25</v>
      </c>
      <c r="C1264" s="0" t="n">
        <v>34</v>
      </c>
      <c r="D1264" s="0" t="n">
        <v>0</v>
      </c>
      <c r="E1264" s="0" t="n">
        <f aca="false">VLOOKUP(B1264,'MSA-Lookup'!$H$2:$I$86,2)</f>
        <v>5170</v>
      </c>
      <c r="F1264" s="0" t="n">
        <f aca="false">IF(C1264&gt;1,IF(C1264&lt;99,VLOOKUP(C1264,'MSA-Lookup'!$H$1:$I$86,2),C1264),C1264)</f>
        <v>7320</v>
      </c>
      <c r="G1264" s="0" t="n">
        <f aca="false">VLOOKUP(E1264,'MSA-Lookup'!$AA$1:$AB$25,2)</f>
        <v>5170</v>
      </c>
      <c r="H1264" s="0" t="n">
        <f aca="false">IF(C1264&gt;1,IF(C1264&lt;99,VLOOKUP(F1264,'MSA-Lookup'!$AA$1:$AB$25,2),C1264),C1264)</f>
        <v>7320</v>
      </c>
    </row>
    <row r="1265" customFormat="false" ht="12.75" hidden="false" customHeight="false" outlineLevel="0" collapsed="false">
      <c r="A1265" s="0" t="n">
        <f aca="false">B1265*1000+C1265</f>
        <v>25035</v>
      </c>
      <c r="B1265" s="0" t="n">
        <v>25</v>
      </c>
      <c r="C1265" s="0" t="n">
        <v>35</v>
      </c>
      <c r="D1265" s="0" t="n">
        <v>0</v>
      </c>
      <c r="E1265" s="0" t="n">
        <f aca="false">VLOOKUP(B1265,'MSA-Lookup'!$H$2:$I$86,2)</f>
        <v>5170</v>
      </c>
      <c r="F1265" s="0" t="n">
        <f aca="false">IF(C1265&gt;1,IF(C1265&lt;99,VLOOKUP(C1265,'MSA-Lookup'!$H$1:$I$86,2),C1265),C1265)</f>
        <v>7320</v>
      </c>
      <c r="G1265" s="0" t="n">
        <f aca="false">VLOOKUP(E1265,'MSA-Lookup'!$AA$1:$AB$25,2)</f>
        <v>5170</v>
      </c>
      <c r="H1265" s="0" t="n">
        <f aca="false">IF(C1265&gt;1,IF(C1265&lt;99,VLOOKUP(F1265,'MSA-Lookup'!$AA$1:$AB$25,2),C1265),C1265)</f>
        <v>7320</v>
      </c>
    </row>
    <row r="1266" customFormat="false" ht="12.75" hidden="false" customHeight="false" outlineLevel="0" collapsed="false">
      <c r="A1266" s="0" t="n">
        <f aca="false">B1266*1000+C1266</f>
        <v>25037</v>
      </c>
      <c r="B1266" s="0" t="n">
        <v>25</v>
      </c>
      <c r="C1266" s="0" t="n">
        <v>37</v>
      </c>
      <c r="D1266" s="0" t="n">
        <v>0</v>
      </c>
      <c r="E1266" s="0" t="n">
        <f aca="false">VLOOKUP(B1266,'MSA-Lookup'!$H$2:$I$86,2)</f>
        <v>5170</v>
      </c>
      <c r="F1266" s="0" t="n">
        <f aca="false">IF(C1266&gt;1,IF(C1266&lt;99,VLOOKUP(C1266,'MSA-Lookup'!$H$1:$I$86,2),C1266),C1266)</f>
        <v>7320</v>
      </c>
      <c r="G1266" s="0" t="n">
        <f aca="false">VLOOKUP(E1266,'MSA-Lookup'!$AA$1:$AB$25,2)</f>
        <v>5170</v>
      </c>
      <c r="H1266" s="0" t="n">
        <f aca="false">IF(C1266&gt;1,IF(C1266&lt;99,VLOOKUP(F1266,'MSA-Lookup'!$AA$1:$AB$25,2),C1266),C1266)</f>
        <v>7320</v>
      </c>
    </row>
    <row r="1267" customFormat="false" ht="12.75" hidden="false" customHeight="false" outlineLevel="0" collapsed="false">
      <c r="A1267" s="0" t="n">
        <f aca="false">B1267*1000+C1267</f>
        <v>25038</v>
      </c>
      <c r="B1267" s="0" t="n">
        <v>25</v>
      </c>
      <c r="C1267" s="0" t="n">
        <v>38</v>
      </c>
      <c r="D1267" s="0" t="n">
        <v>0</v>
      </c>
      <c r="E1267" s="0" t="n">
        <f aca="false">VLOOKUP(B1267,'MSA-Lookup'!$H$2:$I$86,2)</f>
        <v>5170</v>
      </c>
      <c r="F1267" s="0" t="n">
        <f aca="false">IF(C1267&gt;1,IF(C1267&lt;99,VLOOKUP(C1267,'MSA-Lookup'!$H$1:$I$86,2),C1267),C1267)</f>
        <v>7120</v>
      </c>
      <c r="G1267" s="0" t="n">
        <f aca="false">VLOOKUP(E1267,'MSA-Lookup'!$AA$1:$AB$25,2)</f>
        <v>5170</v>
      </c>
      <c r="H1267" s="0" t="n">
        <f aca="false">IF(C1267&gt;1,IF(C1267&lt;99,VLOOKUP(F1267,'MSA-Lookup'!$AA$1:$AB$25,2),C1267),C1267)</f>
        <v>7120</v>
      </c>
    </row>
    <row r="1268" customFormat="false" ht="12.75" hidden="false" customHeight="false" outlineLevel="0" collapsed="false">
      <c r="A1268" s="0" t="n">
        <f aca="false">B1268*1000+C1268</f>
        <v>25039</v>
      </c>
      <c r="B1268" s="0" t="n">
        <v>25</v>
      </c>
      <c r="C1268" s="0" t="n">
        <v>39</v>
      </c>
      <c r="D1268" s="0" t="n">
        <v>0</v>
      </c>
      <c r="E1268" s="0" t="n">
        <f aca="false">VLOOKUP(B1268,'MSA-Lookup'!$H$2:$I$86,2)</f>
        <v>5170</v>
      </c>
      <c r="F1268" s="0" t="n">
        <f aca="false">IF(C1268&gt;1,IF(C1268&lt;99,VLOOKUP(C1268,'MSA-Lookup'!$H$1:$I$86,2),C1268),C1268)</f>
        <v>7120</v>
      </c>
      <c r="G1268" s="0" t="n">
        <f aca="false">VLOOKUP(E1268,'MSA-Lookup'!$AA$1:$AB$25,2)</f>
        <v>5170</v>
      </c>
      <c r="H1268" s="0" t="n">
        <f aca="false">IF(C1268&gt;1,IF(C1268&lt;99,VLOOKUP(F1268,'MSA-Lookup'!$AA$1:$AB$25,2),C1268),C1268)</f>
        <v>7120</v>
      </c>
    </row>
    <row r="1269" customFormat="false" ht="12.75" hidden="false" customHeight="false" outlineLevel="0" collapsed="false">
      <c r="A1269" s="0" t="n">
        <f aca="false">B1269*1000+C1269</f>
        <v>25040</v>
      </c>
      <c r="B1269" s="0" t="n">
        <v>25</v>
      </c>
      <c r="C1269" s="0" t="n">
        <v>40</v>
      </c>
      <c r="D1269" s="0" t="n">
        <v>182</v>
      </c>
      <c r="E1269" s="0" t="n">
        <f aca="false">VLOOKUP(B1269,'MSA-Lookup'!$H$2:$I$86,2)</f>
        <v>5170</v>
      </c>
      <c r="F1269" s="0" t="n">
        <f aca="false">IF(C1269&gt;1,IF(C1269&lt;99,VLOOKUP(C1269,'MSA-Lookup'!$H$1:$I$86,2),C1269),C1269)</f>
        <v>2840</v>
      </c>
      <c r="G1269" s="0" t="n">
        <f aca="false">VLOOKUP(E1269,'MSA-Lookup'!$AA$1:$AB$25,2)</f>
        <v>5170</v>
      </c>
      <c r="H1269" s="0" t="n">
        <f aca="false">IF(C1269&gt;1,IF(C1269&lt;99,VLOOKUP(F1269,'MSA-Lookup'!$AA$1:$AB$25,2),C1269),C1269)</f>
        <v>2840</v>
      </c>
    </row>
    <row r="1270" customFormat="false" ht="12.75" hidden="false" customHeight="false" outlineLevel="0" collapsed="false">
      <c r="A1270" s="0" t="n">
        <f aca="false">B1270*1000+C1270</f>
        <v>25041</v>
      </c>
      <c r="B1270" s="0" t="n">
        <v>25</v>
      </c>
      <c r="C1270" s="0" t="n">
        <v>41</v>
      </c>
      <c r="D1270" s="0" t="n">
        <v>0</v>
      </c>
      <c r="E1270" s="0" t="n">
        <f aca="false">VLOOKUP(B1270,'MSA-Lookup'!$H$2:$I$86,2)</f>
        <v>5170</v>
      </c>
      <c r="F1270" s="0" t="n">
        <f aca="false">IF(C1270&gt;1,IF(C1270&lt;99,VLOOKUP(C1270,'MSA-Lookup'!$H$1:$I$86,2),C1270),C1270)</f>
        <v>2840</v>
      </c>
      <c r="G1270" s="0" t="n">
        <f aca="false">VLOOKUP(E1270,'MSA-Lookup'!$AA$1:$AB$25,2)</f>
        <v>5170</v>
      </c>
      <c r="H1270" s="0" t="n">
        <f aca="false">IF(C1270&gt;1,IF(C1270&lt;99,VLOOKUP(F1270,'MSA-Lookup'!$AA$1:$AB$25,2),C1270),C1270)</f>
        <v>2840</v>
      </c>
    </row>
    <row r="1271" customFormat="false" ht="12.75" hidden="false" customHeight="false" outlineLevel="0" collapsed="false">
      <c r="A1271" s="0" t="n">
        <f aca="false">B1271*1000+C1271</f>
        <v>25042</v>
      </c>
      <c r="B1271" s="0" t="n">
        <v>25</v>
      </c>
      <c r="C1271" s="0" t="n">
        <v>42</v>
      </c>
      <c r="D1271" s="0" t="n">
        <v>0</v>
      </c>
      <c r="E1271" s="0" t="n">
        <f aca="false">VLOOKUP(B1271,'MSA-Lookup'!$H$2:$I$86,2)</f>
        <v>5170</v>
      </c>
      <c r="F1271" s="0" t="n">
        <f aca="false">IF(C1271&gt;1,IF(C1271&lt;99,VLOOKUP(C1271,'MSA-Lookup'!$H$1:$I$86,2),C1271),C1271)</f>
        <v>360</v>
      </c>
      <c r="G1271" s="0" t="n">
        <f aca="false">VLOOKUP(E1271,'MSA-Lookup'!$AA$1:$AB$25,2)</f>
        <v>5170</v>
      </c>
      <c r="H1271" s="0" t="n">
        <f aca="false">IF(C1271&gt;1,IF(C1271&lt;99,VLOOKUP(F1271,'MSA-Lookup'!$AA$1:$AB$25,2),C1271),C1271)</f>
        <v>4472</v>
      </c>
    </row>
    <row r="1272" customFormat="false" ht="12.75" hidden="false" customHeight="false" outlineLevel="0" collapsed="false">
      <c r="A1272" s="0" t="n">
        <f aca="false">B1272*1000+C1272</f>
        <v>25043</v>
      </c>
      <c r="B1272" s="0" t="n">
        <v>25</v>
      </c>
      <c r="C1272" s="0" t="n">
        <v>43</v>
      </c>
      <c r="D1272" s="0" t="n">
        <v>0</v>
      </c>
      <c r="E1272" s="0" t="n">
        <f aca="false">VLOOKUP(B1272,'MSA-Lookup'!$H$2:$I$86,2)</f>
        <v>5170</v>
      </c>
      <c r="F1272" s="0" t="n">
        <f aca="false">IF(C1272&gt;1,IF(C1272&lt;99,VLOOKUP(C1272,'MSA-Lookup'!$H$1:$I$86,2),C1272),C1272)</f>
        <v>360</v>
      </c>
      <c r="G1272" s="0" t="n">
        <f aca="false">VLOOKUP(E1272,'MSA-Lookup'!$AA$1:$AB$25,2)</f>
        <v>5170</v>
      </c>
      <c r="H1272" s="0" t="n">
        <f aca="false">IF(C1272&gt;1,IF(C1272&lt;99,VLOOKUP(F1272,'MSA-Lookup'!$AA$1:$AB$25,2),C1272),C1272)</f>
        <v>4472</v>
      </c>
    </row>
    <row r="1273" customFormat="false" ht="12.75" hidden="false" customHeight="false" outlineLevel="0" collapsed="false">
      <c r="A1273" s="0" t="n">
        <f aca="false">B1273*1000+C1273</f>
        <v>25046</v>
      </c>
      <c r="B1273" s="0" t="n">
        <v>25</v>
      </c>
      <c r="C1273" s="0" t="n">
        <v>46</v>
      </c>
      <c r="D1273" s="0" t="n">
        <v>0</v>
      </c>
      <c r="E1273" s="0" t="n">
        <f aca="false">VLOOKUP(B1273,'MSA-Lookup'!$H$2:$I$86,2)</f>
        <v>5170</v>
      </c>
      <c r="F1273" s="0" t="n">
        <f aca="false">IF(C1273&gt;1,IF(C1273&lt;99,VLOOKUP(C1273,'MSA-Lookup'!$H$1:$I$86,2),C1273),C1273)</f>
        <v>360</v>
      </c>
      <c r="G1273" s="0" t="n">
        <f aca="false">VLOOKUP(E1273,'MSA-Lookup'!$AA$1:$AB$25,2)</f>
        <v>5170</v>
      </c>
      <c r="H1273" s="0" t="n">
        <f aca="false">IF(C1273&gt;1,IF(C1273&lt;99,VLOOKUP(F1273,'MSA-Lookup'!$AA$1:$AB$25,2),C1273),C1273)</f>
        <v>4472</v>
      </c>
    </row>
    <row r="1274" customFormat="false" ht="12.75" hidden="false" customHeight="false" outlineLevel="0" collapsed="false">
      <c r="A1274" s="0" t="n">
        <f aca="false">B1274*1000+C1274</f>
        <v>25048</v>
      </c>
      <c r="B1274" s="0" t="n">
        <v>25</v>
      </c>
      <c r="C1274" s="0" t="n">
        <v>48</v>
      </c>
      <c r="D1274" s="0" t="n">
        <v>0</v>
      </c>
      <c r="E1274" s="0" t="n">
        <f aca="false">VLOOKUP(B1274,'MSA-Lookup'!$H$2:$I$86,2)</f>
        <v>5170</v>
      </c>
      <c r="F1274" s="0" t="n">
        <f aca="false">IF(C1274&gt;1,IF(C1274&lt;99,VLOOKUP(C1274,'MSA-Lookup'!$H$1:$I$86,2),C1274),C1274)</f>
        <v>360</v>
      </c>
      <c r="G1274" s="0" t="n">
        <f aca="false">VLOOKUP(E1274,'MSA-Lookup'!$AA$1:$AB$25,2)</f>
        <v>5170</v>
      </c>
      <c r="H1274" s="0" t="n">
        <f aca="false">IF(C1274&gt;1,IF(C1274&lt;99,VLOOKUP(F1274,'MSA-Lookup'!$AA$1:$AB$25,2),C1274),C1274)</f>
        <v>4472</v>
      </c>
    </row>
    <row r="1275" customFormat="false" ht="12.75" hidden="false" customHeight="false" outlineLevel="0" collapsed="false">
      <c r="A1275" s="0" t="n">
        <f aca="false">B1275*1000+C1275</f>
        <v>25049</v>
      </c>
      <c r="B1275" s="0" t="n">
        <v>25</v>
      </c>
      <c r="C1275" s="0" t="n">
        <v>49</v>
      </c>
      <c r="D1275" s="0" t="n">
        <v>780</v>
      </c>
      <c r="E1275" s="0" t="n">
        <f aca="false">VLOOKUP(B1275,'MSA-Lookup'!$H$2:$I$86,2)</f>
        <v>5170</v>
      </c>
      <c r="F1275" s="0" t="n">
        <f aca="false">IF(C1275&gt;1,IF(C1275&lt;99,VLOOKUP(C1275,'MSA-Lookup'!$H$1:$I$86,2),C1275),C1275)</f>
        <v>7400</v>
      </c>
      <c r="G1275" s="0" t="n">
        <f aca="false">VLOOKUP(E1275,'MSA-Lookup'!$AA$1:$AB$25,2)</f>
        <v>5170</v>
      </c>
      <c r="H1275" s="0" t="n">
        <f aca="false">IF(C1275&gt;1,IF(C1275&lt;99,VLOOKUP(F1275,'MSA-Lookup'!$AA$1:$AB$25,2),C1275),C1275)</f>
        <v>7362</v>
      </c>
    </row>
    <row r="1276" customFormat="false" ht="12.75" hidden="false" customHeight="false" outlineLevel="0" collapsed="false">
      <c r="A1276" s="0" t="n">
        <f aca="false">B1276*1000+C1276</f>
        <v>25050</v>
      </c>
      <c r="B1276" s="0" t="n">
        <v>25</v>
      </c>
      <c r="C1276" s="0" t="n">
        <v>50</v>
      </c>
      <c r="D1276" s="0" t="n">
        <v>130</v>
      </c>
      <c r="E1276" s="0" t="n">
        <f aca="false">VLOOKUP(B1276,'MSA-Lookup'!$H$2:$I$86,2)</f>
        <v>5170</v>
      </c>
      <c r="F1276" s="0" t="n">
        <f aca="false">IF(C1276&gt;1,IF(C1276&lt;99,VLOOKUP(C1276,'MSA-Lookup'!$H$1:$I$86,2),C1276),C1276)</f>
        <v>7400</v>
      </c>
      <c r="G1276" s="0" t="n">
        <f aca="false">VLOOKUP(E1276,'MSA-Lookup'!$AA$1:$AB$25,2)</f>
        <v>5170</v>
      </c>
      <c r="H1276" s="0" t="n">
        <f aca="false">IF(C1276&gt;1,IF(C1276&lt;99,VLOOKUP(F1276,'MSA-Lookup'!$AA$1:$AB$25,2),C1276),C1276)</f>
        <v>7362</v>
      </c>
    </row>
    <row r="1277" customFormat="false" ht="12.75" hidden="false" customHeight="false" outlineLevel="0" collapsed="false">
      <c r="A1277" s="0" t="n">
        <f aca="false">B1277*1000+C1277</f>
        <v>25051</v>
      </c>
      <c r="B1277" s="0" t="n">
        <v>25</v>
      </c>
      <c r="C1277" s="0" t="n">
        <v>51</v>
      </c>
      <c r="D1277" s="0" t="n">
        <v>221</v>
      </c>
      <c r="E1277" s="0" t="n">
        <f aca="false">VLOOKUP(B1277,'MSA-Lookup'!$H$2:$I$86,2)</f>
        <v>5170</v>
      </c>
      <c r="F1277" s="0" t="n">
        <f aca="false">IF(C1277&gt;1,IF(C1277&lt;99,VLOOKUP(C1277,'MSA-Lookup'!$H$1:$I$86,2),C1277),C1277)</f>
        <v>7400</v>
      </c>
      <c r="G1277" s="0" t="n">
        <f aca="false">VLOOKUP(E1277,'MSA-Lookup'!$AA$1:$AB$25,2)</f>
        <v>5170</v>
      </c>
      <c r="H1277" s="0" t="n">
        <f aca="false">IF(C1277&gt;1,IF(C1277&lt;99,VLOOKUP(F1277,'MSA-Lookup'!$AA$1:$AB$25,2),C1277),C1277)</f>
        <v>7362</v>
      </c>
    </row>
    <row r="1278" customFormat="false" ht="12.75" hidden="false" customHeight="false" outlineLevel="0" collapsed="false">
      <c r="A1278" s="0" t="n">
        <f aca="false">B1278*1000+C1278</f>
        <v>25052</v>
      </c>
      <c r="B1278" s="0" t="n">
        <v>25</v>
      </c>
      <c r="C1278" s="0" t="n">
        <v>52</v>
      </c>
      <c r="D1278" s="0" t="n">
        <v>0</v>
      </c>
      <c r="E1278" s="0" t="n">
        <f aca="false">VLOOKUP(B1278,'MSA-Lookup'!$H$2:$I$86,2)</f>
        <v>5170</v>
      </c>
      <c r="F1278" s="0" t="n">
        <f aca="false">IF(C1278&gt;1,IF(C1278&lt;99,VLOOKUP(C1278,'MSA-Lookup'!$H$1:$I$86,2),C1278),C1278)</f>
        <v>4480</v>
      </c>
      <c r="G1278" s="0" t="n">
        <f aca="false">VLOOKUP(E1278,'MSA-Lookup'!$AA$1:$AB$25,2)</f>
        <v>5170</v>
      </c>
      <c r="H1278" s="0" t="n">
        <f aca="false">IF(C1278&gt;1,IF(C1278&lt;99,VLOOKUP(F1278,'MSA-Lookup'!$AA$1:$AB$25,2),C1278),C1278)</f>
        <v>4472</v>
      </c>
    </row>
    <row r="1279" customFormat="false" ht="12.75" hidden="false" customHeight="false" outlineLevel="0" collapsed="false">
      <c r="A1279" s="0" t="n">
        <f aca="false">B1279*1000+C1279</f>
        <v>25053</v>
      </c>
      <c r="B1279" s="0" t="n">
        <v>25</v>
      </c>
      <c r="C1279" s="0" t="n">
        <v>53</v>
      </c>
      <c r="D1279" s="0" t="n">
        <v>0</v>
      </c>
      <c r="E1279" s="0" t="n">
        <f aca="false">VLOOKUP(B1279,'MSA-Lookup'!$H$2:$I$86,2)</f>
        <v>5170</v>
      </c>
      <c r="F1279" s="0" t="n">
        <f aca="false">IF(C1279&gt;1,IF(C1279&lt;99,VLOOKUP(C1279,'MSA-Lookup'!$H$1:$I$86,2),C1279),C1279)</f>
        <v>4480</v>
      </c>
      <c r="G1279" s="0" t="n">
        <f aca="false">VLOOKUP(E1279,'MSA-Lookup'!$AA$1:$AB$25,2)</f>
        <v>5170</v>
      </c>
      <c r="H1279" s="0" t="n">
        <f aca="false">IF(C1279&gt;1,IF(C1279&lt;99,VLOOKUP(F1279,'MSA-Lookup'!$AA$1:$AB$25,2),C1279),C1279)</f>
        <v>4472</v>
      </c>
    </row>
    <row r="1280" customFormat="false" ht="12.75" hidden="false" customHeight="false" outlineLevel="0" collapsed="false">
      <c r="A1280" s="0" t="n">
        <f aca="false">B1280*1000+C1280</f>
        <v>25054</v>
      </c>
      <c r="B1280" s="0" t="n">
        <v>25</v>
      </c>
      <c r="C1280" s="0" t="n">
        <v>54</v>
      </c>
      <c r="D1280" s="0" t="n">
        <v>0</v>
      </c>
      <c r="E1280" s="0" t="n">
        <f aca="false">VLOOKUP(B1280,'MSA-Lookup'!$H$2:$I$86,2)</f>
        <v>5170</v>
      </c>
      <c r="F1280" s="0" t="n">
        <f aca="false">IF(C1280&gt;1,IF(C1280&lt;99,VLOOKUP(C1280,'MSA-Lookup'!$H$1:$I$86,2),C1280),C1280)</f>
        <v>4480</v>
      </c>
      <c r="G1280" s="0" t="n">
        <f aca="false">VLOOKUP(E1280,'MSA-Lookup'!$AA$1:$AB$25,2)</f>
        <v>5170</v>
      </c>
      <c r="H1280" s="0" t="n">
        <f aca="false">IF(C1280&gt;1,IF(C1280&lt;99,VLOOKUP(F1280,'MSA-Lookup'!$AA$1:$AB$25,2),C1280),C1280)</f>
        <v>4472</v>
      </c>
    </row>
    <row r="1281" customFormat="false" ht="12.75" hidden="false" customHeight="false" outlineLevel="0" collapsed="false">
      <c r="A1281" s="0" t="n">
        <f aca="false">B1281*1000+C1281</f>
        <v>25055</v>
      </c>
      <c r="B1281" s="0" t="n">
        <v>25</v>
      </c>
      <c r="C1281" s="0" t="n">
        <v>55</v>
      </c>
      <c r="D1281" s="0" t="n">
        <v>0</v>
      </c>
      <c r="E1281" s="0" t="n">
        <f aca="false">VLOOKUP(B1281,'MSA-Lookup'!$H$2:$I$86,2)</f>
        <v>5170</v>
      </c>
      <c r="F1281" s="0" t="n">
        <f aca="false">IF(C1281&gt;1,IF(C1281&lt;99,VLOOKUP(C1281,'MSA-Lookup'!$H$1:$I$86,2),C1281),C1281)</f>
        <v>4480</v>
      </c>
      <c r="G1281" s="0" t="n">
        <f aca="false">VLOOKUP(E1281,'MSA-Lookup'!$AA$1:$AB$25,2)</f>
        <v>5170</v>
      </c>
      <c r="H1281" s="0" t="n">
        <f aca="false">IF(C1281&gt;1,IF(C1281&lt;99,VLOOKUP(F1281,'MSA-Lookup'!$AA$1:$AB$25,2),C1281),C1281)</f>
        <v>4472</v>
      </c>
    </row>
    <row r="1282" customFormat="false" ht="12.75" hidden="false" customHeight="false" outlineLevel="0" collapsed="false">
      <c r="A1282" s="0" t="n">
        <f aca="false">B1282*1000+C1282</f>
        <v>25057</v>
      </c>
      <c r="B1282" s="0" t="n">
        <v>25</v>
      </c>
      <c r="C1282" s="0" t="n">
        <v>57</v>
      </c>
      <c r="D1282" s="0" t="n">
        <v>0</v>
      </c>
      <c r="E1282" s="0" t="n">
        <f aca="false">VLOOKUP(B1282,'MSA-Lookup'!$H$2:$I$86,2)</f>
        <v>5170</v>
      </c>
      <c r="F1282" s="0" t="n">
        <f aca="false">IF(C1282&gt;1,IF(C1282&lt;99,VLOOKUP(C1282,'MSA-Lookup'!$H$1:$I$86,2),C1282),C1282)</f>
        <v>4480</v>
      </c>
      <c r="G1282" s="0" t="n">
        <f aca="false">VLOOKUP(E1282,'MSA-Lookup'!$AA$1:$AB$25,2)</f>
        <v>5170</v>
      </c>
      <c r="H1282" s="0" t="n">
        <f aca="false">IF(C1282&gt;1,IF(C1282&lt;99,VLOOKUP(F1282,'MSA-Lookup'!$AA$1:$AB$25,2),C1282),C1282)</f>
        <v>4472</v>
      </c>
    </row>
    <row r="1283" customFormat="false" ht="12.75" hidden="false" customHeight="false" outlineLevel="0" collapsed="false">
      <c r="A1283" s="0" t="n">
        <f aca="false">B1283*1000+C1283</f>
        <v>25059</v>
      </c>
      <c r="B1283" s="0" t="n">
        <v>25</v>
      </c>
      <c r="C1283" s="0" t="n">
        <v>59</v>
      </c>
      <c r="D1283" s="0" t="n">
        <v>0</v>
      </c>
      <c r="E1283" s="0" t="n">
        <f aca="false">VLOOKUP(B1283,'MSA-Lookup'!$H$2:$I$86,2)</f>
        <v>5170</v>
      </c>
      <c r="F1283" s="0" t="n">
        <f aca="false">IF(C1283&gt;1,IF(C1283&lt;99,VLOOKUP(C1283,'MSA-Lookup'!$H$1:$I$86,2),C1283),C1283)</f>
        <v>4480</v>
      </c>
      <c r="G1283" s="0" t="n">
        <f aca="false">VLOOKUP(E1283,'MSA-Lookup'!$AA$1:$AB$25,2)</f>
        <v>5170</v>
      </c>
      <c r="H1283" s="0" t="n">
        <f aca="false">IF(C1283&gt;1,IF(C1283&lt;99,VLOOKUP(F1283,'MSA-Lookup'!$AA$1:$AB$25,2),C1283),C1283)</f>
        <v>4472</v>
      </c>
    </row>
    <row r="1284" customFormat="false" ht="12.75" hidden="false" customHeight="false" outlineLevel="0" collapsed="false">
      <c r="A1284" s="0" t="n">
        <f aca="false">B1284*1000+C1284</f>
        <v>25060</v>
      </c>
      <c r="B1284" s="0" t="n">
        <v>25</v>
      </c>
      <c r="C1284" s="0" t="n">
        <v>60</v>
      </c>
      <c r="D1284" s="0" t="n">
        <v>0</v>
      </c>
      <c r="E1284" s="0" t="n">
        <f aca="false">VLOOKUP(B1284,'MSA-Lookup'!$H$2:$I$86,2)</f>
        <v>5170</v>
      </c>
      <c r="F1284" s="0" t="n">
        <f aca="false">IF(C1284&gt;1,IF(C1284&lt;99,VLOOKUP(C1284,'MSA-Lookup'!$H$1:$I$86,2),C1284),C1284)</f>
        <v>4480</v>
      </c>
      <c r="G1284" s="0" t="n">
        <f aca="false">VLOOKUP(E1284,'MSA-Lookup'!$AA$1:$AB$25,2)</f>
        <v>5170</v>
      </c>
      <c r="H1284" s="0" t="n">
        <f aca="false">IF(C1284&gt;1,IF(C1284&lt;99,VLOOKUP(F1284,'MSA-Lookup'!$AA$1:$AB$25,2),C1284),C1284)</f>
        <v>4472</v>
      </c>
    </row>
    <row r="1285" customFormat="false" ht="12.75" hidden="false" customHeight="false" outlineLevel="0" collapsed="false">
      <c r="A1285" s="0" t="n">
        <f aca="false">B1285*1000+C1285</f>
        <v>25062</v>
      </c>
      <c r="B1285" s="0" t="n">
        <v>25</v>
      </c>
      <c r="C1285" s="0" t="n">
        <v>62</v>
      </c>
      <c r="D1285" s="0" t="n">
        <v>0</v>
      </c>
      <c r="E1285" s="0" t="n">
        <f aca="false">VLOOKUP(B1285,'MSA-Lookup'!$H$2:$I$86,2)</f>
        <v>5170</v>
      </c>
      <c r="F1285" s="0" t="n">
        <f aca="false">IF(C1285&gt;1,IF(C1285&lt;99,VLOOKUP(C1285,'MSA-Lookup'!$H$1:$I$86,2),C1285),C1285)</f>
        <v>4480</v>
      </c>
      <c r="G1285" s="0" t="n">
        <f aca="false">VLOOKUP(E1285,'MSA-Lookup'!$AA$1:$AB$25,2)</f>
        <v>5170</v>
      </c>
      <c r="H1285" s="0" t="n">
        <f aca="false">IF(C1285&gt;1,IF(C1285&lt;99,VLOOKUP(F1285,'MSA-Lookup'!$AA$1:$AB$25,2),C1285),C1285)</f>
        <v>4472</v>
      </c>
    </row>
    <row r="1286" customFormat="false" ht="12.75" hidden="false" customHeight="false" outlineLevel="0" collapsed="false">
      <c r="A1286" s="0" t="n">
        <f aca="false">B1286*1000+C1286</f>
        <v>25064</v>
      </c>
      <c r="B1286" s="0" t="n">
        <v>25</v>
      </c>
      <c r="C1286" s="0" t="n">
        <v>64</v>
      </c>
      <c r="D1286" s="0" t="n">
        <v>0</v>
      </c>
      <c r="E1286" s="0" t="n">
        <f aca="false">VLOOKUP(B1286,'MSA-Lookup'!$H$2:$I$86,2)</f>
        <v>5170</v>
      </c>
      <c r="F1286" s="0" t="n">
        <f aca="false">IF(C1286&gt;1,IF(C1286&lt;99,VLOOKUP(C1286,'MSA-Lookup'!$H$1:$I$86,2),C1286),C1286)</f>
        <v>4480</v>
      </c>
      <c r="G1286" s="0" t="n">
        <f aca="false">VLOOKUP(E1286,'MSA-Lookup'!$AA$1:$AB$25,2)</f>
        <v>5170</v>
      </c>
      <c r="H1286" s="0" t="n">
        <f aca="false">IF(C1286&gt;1,IF(C1286&lt;99,VLOOKUP(F1286,'MSA-Lookup'!$AA$1:$AB$25,2),C1286),C1286)</f>
        <v>4472</v>
      </c>
    </row>
    <row r="1287" customFormat="false" ht="12.75" hidden="false" customHeight="false" outlineLevel="0" collapsed="false">
      <c r="A1287" s="0" t="n">
        <f aca="false">B1287*1000+C1287</f>
        <v>25065</v>
      </c>
      <c r="B1287" s="0" t="n">
        <v>25</v>
      </c>
      <c r="C1287" s="0" t="n">
        <v>65</v>
      </c>
      <c r="D1287" s="0" t="n">
        <v>78</v>
      </c>
      <c r="E1287" s="0" t="n">
        <f aca="false">VLOOKUP(B1287,'MSA-Lookup'!$H$2:$I$86,2)</f>
        <v>5170</v>
      </c>
      <c r="F1287" s="0" t="n">
        <f aca="false">IF(C1287&gt;1,IF(C1287&lt;99,VLOOKUP(C1287,'MSA-Lookup'!$H$1:$I$86,2),C1287),C1287)</f>
        <v>4480</v>
      </c>
      <c r="G1287" s="0" t="n">
        <f aca="false">VLOOKUP(E1287,'MSA-Lookup'!$AA$1:$AB$25,2)</f>
        <v>5170</v>
      </c>
      <c r="H1287" s="0" t="n">
        <f aca="false">IF(C1287&gt;1,IF(C1287&lt;99,VLOOKUP(F1287,'MSA-Lookup'!$AA$1:$AB$25,2),C1287),C1287)</f>
        <v>4472</v>
      </c>
    </row>
    <row r="1288" customFormat="false" ht="12.75" hidden="false" customHeight="false" outlineLevel="0" collapsed="false">
      <c r="A1288" s="0" t="n">
        <f aca="false">B1288*1000+C1288</f>
        <v>25066</v>
      </c>
      <c r="B1288" s="0" t="n">
        <v>25</v>
      </c>
      <c r="C1288" s="0" t="n">
        <v>66</v>
      </c>
      <c r="D1288" s="0" t="n">
        <v>0</v>
      </c>
      <c r="E1288" s="0" t="n">
        <f aca="false">VLOOKUP(B1288,'MSA-Lookup'!$H$2:$I$86,2)</f>
        <v>5170</v>
      </c>
      <c r="F1288" s="0" t="n">
        <f aca="false">IF(C1288&gt;1,IF(C1288&lt;99,VLOOKUP(C1288,'MSA-Lookup'!$H$1:$I$86,2),C1288),C1288)</f>
        <v>4480</v>
      </c>
      <c r="G1288" s="0" t="n">
        <f aca="false">VLOOKUP(E1288,'MSA-Lookup'!$AA$1:$AB$25,2)</f>
        <v>5170</v>
      </c>
      <c r="H1288" s="0" t="n">
        <f aca="false">IF(C1288&gt;1,IF(C1288&lt;99,VLOOKUP(F1288,'MSA-Lookup'!$AA$1:$AB$25,2),C1288),C1288)</f>
        <v>4472</v>
      </c>
    </row>
    <row r="1289" customFormat="false" ht="12.75" hidden="false" customHeight="false" outlineLevel="0" collapsed="false">
      <c r="A1289" s="0" t="n">
        <f aca="false">B1289*1000+C1289</f>
        <v>25067</v>
      </c>
      <c r="B1289" s="0" t="n">
        <v>25</v>
      </c>
      <c r="C1289" s="0" t="n">
        <v>67</v>
      </c>
      <c r="D1289" s="0" t="n">
        <v>0</v>
      </c>
      <c r="E1289" s="0" t="n">
        <f aca="false">VLOOKUP(B1289,'MSA-Lookup'!$H$2:$I$86,2)</f>
        <v>5170</v>
      </c>
      <c r="F1289" s="0" t="n">
        <f aca="false">IF(C1289&gt;1,IF(C1289&lt;99,VLOOKUP(C1289,'MSA-Lookup'!$H$1:$I$86,2),C1289),C1289)</f>
        <v>6000</v>
      </c>
      <c r="G1289" s="0" t="n">
        <f aca="false">VLOOKUP(E1289,'MSA-Lookup'!$AA$1:$AB$25,2)</f>
        <v>5170</v>
      </c>
      <c r="H1289" s="0" t="n">
        <f aca="false">IF(C1289&gt;1,IF(C1289&lt;99,VLOOKUP(F1289,'MSA-Lookup'!$AA$1:$AB$25,2),C1289),C1289)</f>
        <v>4472</v>
      </c>
    </row>
    <row r="1290" customFormat="false" ht="12.75" hidden="false" customHeight="false" outlineLevel="0" collapsed="false">
      <c r="A1290" s="0" t="n">
        <f aca="false">B1290*1000+C1290</f>
        <v>25069</v>
      </c>
      <c r="B1290" s="0" t="n">
        <v>25</v>
      </c>
      <c r="C1290" s="0" t="n">
        <v>69</v>
      </c>
      <c r="D1290" s="0" t="n">
        <v>78</v>
      </c>
      <c r="E1290" s="0" t="n">
        <f aca="false">VLOOKUP(B1290,'MSA-Lookup'!$H$2:$I$86,2)</f>
        <v>5170</v>
      </c>
      <c r="F1290" s="0" t="n">
        <f aca="false">IF(C1290&gt;1,IF(C1290&lt;99,VLOOKUP(C1290,'MSA-Lookup'!$H$1:$I$86,2),C1290),C1290)</f>
        <v>6780</v>
      </c>
      <c r="G1290" s="0" t="n">
        <f aca="false">VLOOKUP(E1290,'MSA-Lookup'!$AA$1:$AB$25,2)</f>
        <v>5170</v>
      </c>
      <c r="H1290" s="0" t="n">
        <f aca="false">IF(C1290&gt;1,IF(C1290&lt;99,VLOOKUP(F1290,'MSA-Lookup'!$AA$1:$AB$25,2),C1290),C1290)</f>
        <v>4472</v>
      </c>
    </row>
    <row r="1291" customFormat="false" ht="12.75" hidden="false" customHeight="false" outlineLevel="0" collapsed="false">
      <c r="A1291" s="0" t="n">
        <f aca="false">B1291*1000+C1291</f>
        <v>25071</v>
      </c>
      <c r="B1291" s="0" t="n">
        <v>25</v>
      </c>
      <c r="C1291" s="0" t="n">
        <v>71</v>
      </c>
      <c r="D1291" s="0" t="n">
        <v>0</v>
      </c>
      <c r="E1291" s="0" t="n">
        <f aca="false">VLOOKUP(B1291,'MSA-Lookup'!$H$2:$I$86,2)</f>
        <v>5170</v>
      </c>
      <c r="F1291" s="0" t="n">
        <f aca="false">IF(C1291&gt;1,IF(C1291&lt;99,VLOOKUP(C1291,'MSA-Lookup'!$H$1:$I$86,2),C1291),C1291)</f>
        <v>6780</v>
      </c>
      <c r="G1291" s="0" t="n">
        <f aca="false">VLOOKUP(E1291,'MSA-Lookup'!$AA$1:$AB$25,2)</f>
        <v>5170</v>
      </c>
      <c r="H1291" s="0" t="n">
        <f aca="false">IF(C1291&gt;1,IF(C1291&lt;99,VLOOKUP(F1291,'MSA-Lookup'!$AA$1:$AB$25,2),C1291),C1291)</f>
        <v>4472</v>
      </c>
    </row>
    <row r="1292" customFormat="false" ht="12.75" hidden="false" customHeight="false" outlineLevel="0" collapsed="false">
      <c r="A1292" s="0" t="n">
        <f aca="false">B1292*1000+C1292</f>
        <v>25072</v>
      </c>
      <c r="B1292" s="0" t="n">
        <v>25</v>
      </c>
      <c r="C1292" s="0" t="n">
        <v>72</v>
      </c>
      <c r="D1292" s="0" t="n">
        <v>91</v>
      </c>
      <c r="E1292" s="0" t="n">
        <f aca="false">VLOOKUP(B1292,'MSA-Lookup'!$H$2:$I$86,2)</f>
        <v>5170</v>
      </c>
      <c r="F1292" s="0" t="n">
        <f aca="false">IF(C1292&gt;1,IF(C1292&lt;99,VLOOKUP(C1292,'MSA-Lookup'!$H$1:$I$86,2),C1292),C1292)</f>
        <v>6780</v>
      </c>
      <c r="G1292" s="0" t="n">
        <f aca="false">VLOOKUP(E1292,'MSA-Lookup'!$AA$1:$AB$25,2)</f>
        <v>5170</v>
      </c>
      <c r="H1292" s="0" t="n">
        <f aca="false">IF(C1292&gt;1,IF(C1292&lt;99,VLOOKUP(F1292,'MSA-Lookup'!$AA$1:$AB$25,2),C1292),C1292)</f>
        <v>4472</v>
      </c>
    </row>
    <row r="1293" customFormat="false" ht="12.75" hidden="false" customHeight="false" outlineLevel="0" collapsed="false">
      <c r="A1293" s="0" t="n">
        <f aca="false">B1293*1000+C1293</f>
        <v>25073</v>
      </c>
      <c r="B1293" s="0" t="n">
        <v>25</v>
      </c>
      <c r="C1293" s="0" t="n">
        <v>73</v>
      </c>
      <c r="D1293" s="0" t="n">
        <v>0</v>
      </c>
      <c r="E1293" s="0" t="n">
        <f aca="false">VLOOKUP(B1293,'MSA-Lookup'!$H$2:$I$86,2)</f>
        <v>5170</v>
      </c>
      <c r="F1293" s="0" t="n">
        <f aca="false">IF(C1293&gt;1,IF(C1293&lt;99,VLOOKUP(C1293,'MSA-Lookup'!$H$1:$I$86,2),C1293),C1293)</f>
        <v>8720</v>
      </c>
      <c r="G1293" s="0" t="n">
        <f aca="false">VLOOKUP(E1293,'MSA-Lookup'!$AA$1:$AB$25,2)</f>
        <v>5170</v>
      </c>
      <c r="H1293" s="0" t="n">
        <f aca="false">IF(C1293&gt;1,IF(C1293&lt;99,VLOOKUP(F1293,'MSA-Lookup'!$AA$1:$AB$25,2),C1293),C1293)</f>
        <v>7362</v>
      </c>
    </row>
    <row r="1294" customFormat="false" ht="12.75" hidden="false" customHeight="false" outlineLevel="0" collapsed="false">
      <c r="A1294" s="0" t="n">
        <f aca="false">B1294*1000+C1294</f>
        <v>25075</v>
      </c>
      <c r="B1294" s="0" t="n">
        <v>25</v>
      </c>
      <c r="C1294" s="0" t="n">
        <v>75</v>
      </c>
      <c r="D1294" s="0" t="n">
        <v>0</v>
      </c>
      <c r="E1294" s="0" t="n">
        <f aca="false">VLOOKUP(B1294,'MSA-Lookup'!$H$2:$I$86,2)</f>
        <v>5170</v>
      </c>
      <c r="F1294" s="0" t="n">
        <f aca="false">IF(C1294&gt;1,IF(C1294&lt;99,VLOOKUP(C1294,'MSA-Lookup'!$H$1:$I$86,2),C1294),C1294)</f>
        <v>8780</v>
      </c>
      <c r="G1294" s="0" t="n">
        <f aca="false">VLOOKUP(E1294,'MSA-Lookup'!$AA$1:$AB$25,2)</f>
        <v>5170</v>
      </c>
      <c r="H1294" s="0" t="n">
        <f aca="false">IF(C1294&gt;1,IF(C1294&lt;99,VLOOKUP(F1294,'MSA-Lookup'!$AA$1:$AB$25,2),C1294),C1294)</f>
        <v>8780</v>
      </c>
    </row>
    <row r="1295" customFormat="false" ht="12.75" hidden="false" customHeight="false" outlineLevel="0" collapsed="false">
      <c r="A1295" s="0" t="n">
        <f aca="false">B1295*1000+C1295</f>
        <v>25076</v>
      </c>
      <c r="B1295" s="0" t="n">
        <v>25</v>
      </c>
      <c r="C1295" s="0" t="n">
        <v>76</v>
      </c>
      <c r="D1295" s="0" t="n">
        <v>0</v>
      </c>
      <c r="E1295" s="0" t="n">
        <f aca="false">VLOOKUP(B1295,'MSA-Lookup'!$H$2:$I$86,2)</f>
        <v>5170</v>
      </c>
      <c r="F1295" s="0" t="n">
        <f aca="false">IF(C1295&gt;1,IF(C1295&lt;99,VLOOKUP(C1295,'MSA-Lookup'!$H$1:$I$86,2),C1295),C1295)</f>
        <v>7485</v>
      </c>
      <c r="G1295" s="0" t="n">
        <f aca="false">VLOOKUP(E1295,'MSA-Lookup'!$AA$1:$AB$25,2)</f>
        <v>5170</v>
      </c>
      <c r="H1295" s="0" t="n">
        <f aca="false">IF(C1295&gt;1,IF(C1295&lt;99,VLOOKUP(F1295,'MSA-Lookup'!$AA$1:$AB$25,2),C1295),C1295)</f>
        <v>7362</v>
      </c>
    </row>
    <row r="1296" customFormat="false" ht="12.75" hidden="false" customHeight="false" outlineLevel="0" collapsed="false">
      <c r="A1296" s="0" t="n">
        <f aca="false">B1296*1000+C1296</f>
        <v>25079</v>
      </c>
      <c r="B1296" s="0" t="n">
        <v>25</v>
      </c>
      <c r="C1296" s="0" t="n">
        <v>79</v>
      </c>
      <c r="D1296" s="0" t="n">
        <v>0</v>
      </c>
      <c r="E1296" s="0" t="n">
        <f aca="false">VLOOKUP(B1296,'MSA-Lookup'!$H$2:$I$86,2)</f>
        <v>5170</v>
      </c>
      <c r="F1296" s="0" t="n">
        <f aca="false">IF(C1296&gt;1,IF(C1296&lt;99,VLOOKUP(C1296,'MSA-Lookup'!$H$1:$I$86,2),C1296),C1296)</f>
        <v>680</v>
      </c>
      <c r="G1296" s="0" t="n">
        <f aca="false">VLOOKUP(E1296,'MSA-Lookup'!$AA$1:$AB$25,2)</f>
        <v>5170</v>
      </c>
      <c r="H1296" s="0" t="n">
        <f aca="false">IF(C1296&gt;1,IF(C1296&lt;99,VLOOKUP(F1296,'MSA-Lookup'!$AA$1:$AB$25,2),C1296),C1296)</f>
        <v>680</v>
      </c>
    </row>
    <row r="1297" customFormat="false" ht="12.75" hidden="false" customHeight="false" outlineLevel="0" collapsed="false">
      <c r="A1297" s="0" t="n">
        <f aca="false">B1297*1000+C1297</f>
        <v>25080</v>
      </c>
      <c r="B1297" s="0" t="n">
        <v>25</v>
      </c>
      <c r="C1297" s="0" t="n">
        <v>80</v>
      </c>
      <c r="D1297" s="0" t="n">
        <v>0</v>
      </c>
      <c r="E1297" s="0" t="n">
        <f aca="false">VLOOKUP(B1297,'MSA-Lookup'!$H$2:$I$86,2)</f>
        <v>5170</v>
      </c>
      <c r="F1297" s="0" t="n">
        <f aca="false">IF(C1297&gt;1,IF(C1297&lt;99,VLOOKUP(C1297,'MSA-Lookup'!$H$1:$I$86,2),C1297),C1297)</f>
        <v>9999</v>
      </c>
      <c r="G1297" s="0" t="n">
        <f aca="false">VLOOKUP(E1297,'MSA-Lookup'!$AA$1:$AB$25,2)</f>
        <v>5170</v>
      </c>
      <c r="H1297" s="0" t="n">
        <f aca="false">IF(C1297&gt;1,IF(C1297&lt;99,VLOOKUP(F1297,'MSA-Lookup'!$AA$1:$AB$25,2),C1297),C1297)</f>
        <v>9999</v>
      </c>
    </row>
    <row r="1298" customFormat="false" ht="12.75" hidden="false" customHeight="false" outlineLevel="0" collapsed="false">
      <c r="A1298" s="0" t="n">
        <f aca="false">B1298*1000+C1298</f>
        <v>25082</v>
      </c>
      <c r="B1298" s="0" t="n">
        <v>25</v>
      </c>
      <c r="C1298" s="0" t="n">
        <v>82</v>
      </c>
      <c r="D1298" s="0" t="n">
        <v>0</v>
      </c>
      <c r="E1298" s="0" t="n">
        <f aca="false">VLOOKUP(B1298,'MSA-Lookup'!$H$2:$I$86,2)</f>
        <v>5170</v>
      </c>
      <c r="F1298" s="0" t="n">
        <f aca="false">IF(C1298&gt;1,IF(C1298&lt;99,VLOOKUP(C1298,'MSA-Lookup'!$H$1:$I$86,2),C1298),C1298)</f>
        <v>6780</v>
      </c>
      <c r="G1298" s="0" t="n">
        <f aca="false">VLOOKUP(E1298,'MSA-Lookup'!$AA$1:$AB$25,2)</f>
        <v>5170</v>
      </c>
      <c r="H1298" s="0" t="n">
        <f aca="false">IF(C1298&gt;1,IF(C1298&lt;99,VLOOKUP(F1298,'MSA-Lookup'!$AA$1:$AB$25,2),C1298),C1298)</f>
        <v>4472</v>
      </c>
    </row>
    <row r="1299" customFormat="false" ht="12.75" hidden="false" customHeight="false" outlineLevel="0" collapsed="false">
      <c r="A1299" s="0" t="n">
        <f aca="false">B1299*1000+C1299</f>
        <v>25085</v>
      </c>
      <c r="B1299" s="0" t="n">
        <v>25</v>
      </c>
      <c r="C1299" s="0" t="n">
        <v>85</v>
      </c>
      <c r="D1299" s="0" t="n">
        <v>403</v>
      </c>
      <c r="E1299" s="0" t="n">
        <f aca="false">VLOOKUP(B1299,'MSA-Lookup'!$H$2:$I$86,2)</f>
        <v>5170</v>
      </c>
      <c r="F1299" s="0" t="n">
        <f aca="false">IF(C1299&gt;1,IF(C1299&lt;99,VLOOKUP(C1299,'MSA-Lookup'!$H$1:$I$86,2),C1299),C1299)</f>
        <v>8120</v>
      </c>
      <c r="G1299" s="0" t="n">
        <f aca="false">VLOOKUP(E1299,'MSA-Lookup'!$AA$1:$AB$25,2)</f>
        <v>5170</v>
      </c>
      <c r="H1299" s="0" t="n">
        <f aca="false">IF(C1299&gt;1,IF(C1299&lt;99,VLOOKUP(F1299,'MSA-Lookup'!$AA$1:$AB$25,2),C1299),C1299)</f>
        <v>8120</v>
      </c>
    </row>
    <row r="1300" customFormat="false" ht="12.75" hidden="false" customHeight="false" outlineLevel="0" collapsed="false">
      <c r="A1300" s="0" t="n">
        <f aca="false">B1300*1000+C1300</f>
        <v>25858</v>
      </c>
      <c r="B1300" s="0" t="n">
        <v>25</v>
      </c>
      <c r="C1300" s="0" t="n">
        <v>858</v>
      </c>
      <c r="D1300" s="0" t="n">
        <v>0</v>
      </c>
      <c r="E1300" s="0" t="n">
        <f aca="false">VLOOKUP(B1300,'MSA-Lookup'!$H$2:$I$86,2)</f>
        <v>5170</v>
      </c>
      <c r="F1300" s="0" t="n">
        <f aca="false">IF(C1300&gt;1,IF(C1300&lt;99,VLOOKUP(C1300,'MSA-Lookup'!$H$1:$I$86,2),C1300),C1300)</f>
        <v>858</v>
      </c>
      <c r="G1300" s="0" t="n">
        <f aca="false">VLOOKUP(E1300,'MSA-Lookup'!$AA$1:$AB$25,2)</f>
        <v>5170</v>
      </c>
      <c r="H1300" s="0" t="n">
        <f aca="false">IF(C1300&gt;1,IF(C1300&lt;99,VLOOKUP(F1300,'MSA-Lookup'!$AA$1:$AB$25,2),C1300),C1300)</f>
        <v>858</v>
      </c>
    </row>
    <row r="1301" customFormat="false" ht="12.75" hidden="false" customHeight="false" outlineLevel="0" collapsed="false">
      <c r="A1301" s="0" t="n">
        <f aca="false">B1301*1000+C1301</f>
        <v>25999</v>
      </c>
      <c r="B1301" s="0" t="n">
        <v>25</v>
      </c>
      <c r="C1301" s="0" t="n">
        <v>999</v>
      </c>
      <c r="D1301" s="0" t="n">
        <v>0</v>
      </c>
      <c r="E1301" s="0" t="n">
        <f aca="false">VLOOKUP(B1301,'MSA-Lookup'!$H$2:$I$86,2)</f>
        <v>5170</v>
      </c>
      <c r="F1301" s="0" t="n">
        <f aca="false">IF(C1301&gt;1,IF(C1301&lt;99,VLOOKUP(C1301,'MSA-Lookup'!$H$1:$I$86,2),C1301),C1301)</f>
        <v>999</v>
      </c>
      <c r="G1301" s="0" t="n">
        <f aca="false">VLOOKUP(E1301,'MSA-Lookup'!$AA$1:$AB$25,2)</f>
        <v>5170</v>
      </c>
      <c r="H1301" s="0" t="n">
        <f aca="false">IF(C1301&gt;1,IF(C1301&lt;99,VLOOKUP(F1301,'MSA-Lookup'!$AA$1:$AB$25,2),C1301),C1301)</f>
        <v>999</v>
      </c>
    </row>
    <row r="1302" customFormat="false" ht="12.75" hidden="false" customHeight="false" outlineLevel="0" collapsed="false">
      <c r="A1302" s="0" t="n">
        <f aca="false">B1302*1000+C1302</f>
        <v>26000</v>
      </c>
      <c r="B1302" s="0" t="n">
        <v>26</v>
      </c>
      <c r="C1302" s="0" t="n">
        <v>0</v>
      </c>
      <c r="D1302" s="0" t="n">
        <v>95186</v>
      </c>
      <c r="E1302" s="0" t="n">
        <f aca="false">VLOOKUP(B1302,'MSA-Lookup'!$H$2:$I$86,2)</f>
        <v>9999</v>
      </c>
      <c r="F1302" s="0" t="n">
        <f aca="false">IF(C1302&gt;1,IF(C1302&lt;99,VLOOKUP(C1302,'MSA-Lookup'!$H$1:$I$86,2),C1302),C1302)</f>
        <v>0</v>
      </c>
      <c r="G1302" s="0" t="n">
        <f aca="false">VLOOKUP(E1302,'MSA-Lookup'!$AA$1:$AB$25,2)</f>
        <v>9999</v>
      </c>
      <c r="H1302" s="0" t="n">
        <f aca="false">IF(C1302&gt;1,IF(C1302&lt;99,VLOOKUP(F1302,'MSA-Lookup'!$AA$1:$AB$25,2),C1302),C1302)</f>
        <v>0</v>
      </c>
    </row>
    <row r="1303" customFormat="false" ht="12.75" hidden="false" customHeight="false" outlineLevel="0" collapsed="false">
      <c r="A1303" s="0" t="n">
        <f aca="false">B1303*1000+C1303</f>
        <v>26001</v>
      </c>
      <c r="B1303" s="0" t="n">
        <v>26</v>
      </c>
      <c r="C1303" s="0" t="n">
        <v>1</v>
      </c>
      <c r="D1303" s="0" t="n">
        <v>0</v>
      </c>
      <c r="E1303" s="0" t="n">
        <f aca="false">VLOOKUP(B1303,'MSA-Lookup'!$H$2:$I$86,2)</f>
        <v>9999</v>
      </c>
      <c r="F1303" s="0" t="n">
        <f aca="false">IF(C1303&gt;1,IF(C1303&lt;99,VLOOKUP(C1303,'MSA-Lookup'!$H$1:$I$86,2),C1303),C1303)</f>
        <v>1</v>
      </c>
      <c r="G1303" s="0" t="n">
        <f aca="false">VLOOKUP(E1303,'MSA-Lookup'!$AA$1:$AB$25,2)</f>
        <v>9999</v>
      </c>
      <c r="H1303" s="0" t="n">
        <f aca="false">IF(C1303&gt;1,IF(C1303&lt;99,VLOOKUP(F1303,'MSA-Lookup'!$AA$1:$AB$25,2),C1303),C1303)</f>
        <v>1</v>
      </c>
    </row>
    <row r="1304" customFormat="false" ht="12.75" hidden="false" customHeight="false" outlineLevel="0" collapsed="false">
      <c r="A1304" s="0" t="n">
        <f aca="false">B1304*1000+C1304</f>
        <v>26002</v>
      </c>
      <c r="B1304" s="0" t="n">
        <v>26</v>
      </c>
      <c r="C1304" s="0" t="n">
        <v>2</v>
      </c>
      <c r="D1304" s="0" t="n">
        <v>0</v>
      </c>
      <c r="E1304" s="0" t="n">
        <f aca="false">VLOOKUP(B1304,'MSA-Lookup'!$H$2:$I$86,2)</f>
        <v>9999</v>
      </c>
      <c r="F1304" s="0" t="n">
        <f aca="false">IF(C1304&gt;1,IF(C1304&lt;99,VLOOKUP(C1304,'MSA-Lookup'!$H$1:$I$86,2),C1304),C1304)</f>
        <v>9999</v>
      </c>
      <c r="G1304" s="0" t="n">
        <f aca="false">VLOOKUP(E1304,'MSA-Lookup'!$AA$1:$AB$25,2)</f>
        <v>9999</v>
      </c>
      <c r="H1304" s="0" t="n">
        <f aca="false">IF(C1304&gt;1,IF(C1304&lt;99,VLOOKUP(F1304,'MSA-Lookup'!$AA$1:$AB$25,2),C1304),C1304)</f>
        <v>9999</v>
      </c>
    </row>
    <row r="1305" customFormat="false" ht="12.75" hidden="false" customHeight="false" outlineLevel="0" collapsed="false">
      <c r="A1305" s="0" t="n">
        <f aca="false">B1305*1000+C1305</f>
        <v>26003</v>
      </c>
      <c r="B1305" s="0" t="n">
        <v>26</v>
      </c>
      <c r="C1305" s="0" t="n">
        <v>3</v>
      </c>
      <c r="D1305" s="0" t="n">
        <v>26</v>
      </c>
      <c r="E1305" s="0" t="n">
        <f aca="false">VLOOKUP(B1305,'MSA-Lookup'!$H$2:$I$86,2)</f>
        <v>9999</v>
      </c>
      <c r="F1305" s="0" t="n">
        <f aca="false">IF(C1305&gt;1,IF(C1305&lt;99,VLOOKUP(C1305,'MSA-Lookup'!$H$1:$I$86,2),C1305),C1305)</f>
        <v>6690</v>
      </c>
      <c r="G1305" s="0" t="n">
        <f aca="false">VLOOKUP(E1305,'MSA-Lookup'!$AA$1:$AB$25,2)</f>
        <v>9999</v>
      </c>
      <c r="H1305" s="0" t="n">
        <f aca="false">IF(C1305&gt;1,IF(C1305&lt;99,VLOOKUP(F1305,'MSA-Lookup'!$AA$1:$AB$25,2),C1305),C1305)</f>
        <v>6690</v>
      </c>
    </row>
    <row r="1306" customFormat="false" ht="12.75" hidden="false" customHeight="false" outlineLevel="0" collapsed="false">
      <c r="A1306" s="0" t="n">
        <f aca="false">B1306*1000+C1306</f>
        <v>26004</v>
      </c>
      <c r="B1306" s="0" t="n">
        <v>26</v>
      </c>
      <c r="C1306" s="0" t="n">
        <v>4</v>
      </c>
      <c r="D1306" s="0" t="n">
        <v>0</v>
      </c>
      <c r="E1306" s="0" t="n">
        <f aca="false">VLOOKUP(B1306,'MSA-Lookup'!$H$2:$I$86,2)</f>
        <v>9999</v>
      </c>
      <c r="F1306" s="0" t="n">
        <f aca="false">IF(C1306&gt;1,IF(C1306&lt;99,VLOOKUP(C1306,'MSA-Lookup'!$H$1:$I$86,2),C1306),C1306)</f>
        <v>9999</v>
      </c>
      <c r="G1306" s="0" t="n">
        <f aca="false">VLOOKUP(E1306,'MSA-Lookup'!$AA$1:$AB$25,2)</f>
        <v>9999</v>
      </c>
      <c r="H1306" s="0" t="n">
        <f aca="false">IF(C1306&gt;1,IF(C1306&lt;99,VLOOKUP(F1306,'MSA-Lookup'!$AA$1:$AB$25,2),C1306),C1306)</f>
        <v>9999</v>
      </c>
    </row>
    <row r="1307" customFormat="false" ht="12.75" hidden="false" customHeight="false" outlineLevel="0" collapsed="false">
      <c r="A1307" s="0" t="n">
        <f aca="false">B1307*1000+C1307</f>
        <v>26005</v>
      </c>
      <c r="B1307" s="0" t="n">
        <v>26</v>
      </c>
      <c r="C1307" s="0" t="n">
        <v>5</v>
      </c>
      <c r="D1307" s="0" t="n">
        <v>208</v>
      </c>
      <c r="E1307" s="0" t="n">
        <f aca="false">VLOOKUP(B1307,'MSA-Lookup'!$H$2:$I$86,2)</f>
        <v>9999</v>
      </c>
      <c r="F1307" s="0" t="n">
        <f aca="false">IF(C1307&gt;1,IF(C1307&lt;99,VLOOKUP(C1307,'MSA-Lookup'!$H$1:$I$86,2),C1307),C1307)</f>
        <v>9999</v>
      </c>
      <c r="G1307" s="0" t="n">
        <f aca="false">VLOOKUP(E1307,'MSA-Lookup'!$AA$1:$AB$25,2)</f>
        <v>9999</v>
      </c>
      <c r="H1307" s="0" t="n">
        <f aca="false">IF(C1307&gt;1,IF(C1307&lt;99,VLOOKUP(F1307,'MSA-Lookup'!$AA$1:$AB$25,2),C1307),C1307)</f>
        <v>9999</v>
      </c>
    </row>
    <row r="1308" customFormat="false" ht="12.75" hidden="false" customHeight="false" outlineLevel="0" collapsed="false">
      <c r="A1308" s="0" t="n">
        <f aca="false">B1308*1000+C1308</f>
        <v>26006</v>
      </c>
      <c r="B1308" s="0" t="n">
        <v>26</v>
      </c>
      <c r="C1308" s="0" t="n">
        <v>6</v>
      </c>
      <c r="D1308" s="0" t="n">
        <v>0</v>
      </c>
      <c r="E1308" s="0" t="n">
        <f aca="false">VLOOKUP(B1308,'MSA-Lookup'!$H$2:$I$86,2)</f>
        <v>9999</v>
      </c>
      <c r="F1308" s="0" t="n">
        <f aca="false">IF(C1308&gt;1,IF(C1308&lt;99,VLOOKUP(C1308,'MSA-Lookup'!$H$1:$I$86,2),C1308),C1308)</f>
        <v>1620</v>
      </c>
      <c r="G1308" s="0" t="n">
        <f aca="false">VLOOKUP(E1308,'MSA-Lookup'!$AA$1:$AB$25,2)</f>
        <v>9999</v>
      </c>
      <c r="H1308" s="0" t="n">
        <f aca="false">IF(C1308&gt;1,IF(C1308&lt;99,VLOOKUP(F1308,'MSA-Lookup'!$AA$1:$AB$25,2),C1308),C1308)</f>
        <v>1620</v>
      </c>
    </row>
    <row r="1309" customFormat="false" ht="12.75" hidden="false" customHeight="false" outlineLevel="0" collapsed="false">
      <c r="A1309" s="0" t="n">
        <f aca="false">B1309*1000+C1309</f>
        <v>26007</v>
      </c>
      <c r="B1309" s="0" t="n">
        <v>26</v>
      </c>
      <c r="C1309" s="0" t="n">
        <v>7</v>
      </c>
      <c r="D1309" s="0" t="n">
        <v>0</v>
      </c>
      <c r="E1309" s="0" t="n">
        <f aca="false">VLOOKUP(B1309,'MSA-Lookup'!$H$2:$I$86,2)</f>
        <v>9999</v>
      </c>
      <c r="F1309" s="0" t="n">
        <f aca="false">IF(C1309&gt;1,IF(C1309&lt;99,VLOOKUP(C1309,'MSA-Lookup'!$H$1:$I$86,2),C1309),C1309)</f>
        <v>9999</v>
      </c>
      <c r="G1309" s="0" t="n">
        <f aca="false">VLOOKUP(E1309,'MSA-Lookup'!$AA$1:$AB$25,2)</f>
        <v>9999</v>
      </c>
      <c r="H1309" s="0" t="n">
        <f aca="false">IF(C1309&gt;1,IF(C1309&lt;99,VLOOKUP(F1309,'MSA-Lookup'!$AA$1:$AB$25,2),C1309),C1309)</f>
        <v>9999</v>
      </c>
    </row>
    <row r="1310" customFormat="false" ht="12.75" hidden="false" customHeight="false" outlineLevel="0" collapsed="false">
      <c r="A1310" s="0" t="n">
        <f aca="false">B1310*1000+C1310</f>
        <v>26008</v>
      </c>
      <c r="B1310" s="0" t="n">
        <v>26</v>
      </c>
      <c r="C1310" s="0" t="n">
        <v>8</v>
      </c>
      <c r="D1310" s="0" t="n">
        <v>0</v>
      </c>
      <c r="E1310" s="0" t="n">
        <f aca="false">VLOOKUP(B1310,'MSA-Lookup'!$H$2:$I$86,2)</f>
        <v>9999</v>
      </c>
      <c r="F1310" s="0" t="n">
        <f aca="false">IF(C1310&gt;1,IF(C1310&lt;99,VLOOKUP(C1310,'MSA-Lookup'!$H$1:$I$86,2),C1310),C1310)</f>
        <v>9340</v>
      </c>
      <c r="G1310" s="0" t="n">
        <f aca="false">VLOOKUP(E1310,'MSA-Lookup'!$AA$1:$AB$25,2)</f>
        <v>9999</v>
      </c>
      <c r="H1310" s="0" t="n">
        <f aca="false">IF(C1310&gt;1,IF(C1310&lt;99,VLOOKUP(F1310,'MSA-Lookup'!$AA$1:$AB$25,2),C1310),C1310)</f>
        <v>9340</v>
      </c>
    </row>
    <row r="1311" customFormat="false" ht="12.75" hidden="false" customHeight="false" outlineLevel="0" collapsed="false">
      <c r="A1311" s="0" t="n">
        <f aca="false">B1311*1000+C1311</f>
        <v>26009</v>
      </c>
      <c r="B1311" s="0" t="n">
        <v>26</v>
      </c>
      <c r="C1311" s="0" t="n">
        <v>9</v>
      </c>
      <c r="D1311" s="0" t="n">
        <v>0</v>
      </c>
      <c r="E1311" s="0" t="n">
        <f aca="false">VLOOKUP(B1311,'MSA-Lookup'!$H$2:$I$86,2)</f>
        <v>9999</v>
      </c>
      <c r="F1311" s="0" t="n">
        <f aca="false">IF(C1311&gt;1,IF(C1311&lt;99,VLOOKUP(C1311,'MSA-Lookup'!$H$1:$I$86,2),C1311),C1311)</f>
        <v>8720</v>
      </c>
      <c r="G1311" s="0" t="n">
        <f aca="false">VLOOKUP(E1311,'MSA-Lookup'!$AA$1:$AB$25,2)</f>
        <v>9999</v>
      </c>
      <c r="H1311" s="0" t="n">
        <f aca="false">IF(C1311&gt;1,IF(C1311&lt;99,VLOOKUP(F1311,'MSA-Lookup'!$AA$1:$AB$25,2),C1311),C1311)</f>
        <v>7362</v>
      </c>
    </row>
    <row r="1312" customFormat="false" ht="12.75" hidden="false" customHeight="false" outlineLevel="0" collapsed="false">
      <c r="A1312" s="0" t="n">
        <f aca="false">B1312*1000+C1312</f>
        <v>26010</v>
      </c>
      <c r="B1312" s="0" t="n">
        <v>26</v>
      </c>
      <c r="C1312" s="0" t="n">
        <v>10</v>
      </c>
      <c r="D1312" s="0" t="n">
        <v>0</v>
      </c>
      <c r="E1312" s="0" t="n">
        <f aca="false">VLOOKUP(B1312,'MSA-Lookup'!$H$2:$I$86,2)</f>
        <v>9999</v>
      </c>
      <c r="F1312" s="0" t="n">
        <f aca="false">IF(C1312&gt;1,IF(C1312&lt;99,VLOOKUP(C1312,'MSA-Lookup'!$H$1:$I$86,2),C1312),C1312)</f>
        <v>6920</v>
      </c>
      <c r="G1312" s="0" t="n">
        <f aca="false">VLOOKUP(E1312,'MSA-Lookup'!$AA$1:$AB$25,2)</f>
        <v>9999</v>
      </c>
      <c r="H1312" s="0" t="n">
        <f aca="false">IF(C1312&gt;1,IF(C1312&lt;99,VLOOKUP(F1312,'MSA-Lookup'!$AA$1:$AB$25,2),C1312),C1312)</f>
        <v>6920</v>
      </c>
    </row>
    <row r="1313" customFormat="false" ht="12.75" hidden="false" customHeight="false" outlineLevel="0" collapsed="false">
      <c r="A1313" s="0" t="n">
        <f aca="false">B1313*1000+C1313</f>
        <v>26011</v>
      </c>
      <c r="B1313" s="0" t="n">
        <v>26</v>
      </c>
      <c r="C1313" s="0" t="n">
        <v>11</v>
      </c>
      <c r="D1313" s="0" t="n">
        <v>169</v>
      </c>
      <c r="E1313" s="0" t="n">
        <f aca="false">VLOOKUP(B1313,'MSA-Lookup'!$H$2:$I$86,2)</f>
        <v>9999</v>
      </c>
      <c r="F1313" s="0" t="n">
        <f aca="false">IF(C1313&gt;1,IF(C1313&lt;99,VLOOKUP(C1313,'MSA-Lookup'!$H$1:$I$86,2),C1313),C1313)</f>
        <v>6920</v>
      </c>
      <c r="G1313" s="0" t="n">
        <f aca="false">VLOOKUP(E1313,'MSA-Lookup'!$AA$1:$AB$25,2)</f>
        <v>9999</v>
      </c>
      <c r="H1313" s="0" t="n">
        <f aca="false">IF(C1313&gt;1,IF(C1313&lt;99,VLOOKUP(F1313,'MSA-Lookup'!$AA$1:$AB$25,2),C1313),C1313)</f>
        <v>6920</v>
      </c>
    </row>
    <row r="1314" customFormat="false" ht="12.75" hidden="false" customHeight="false" outlineLevel="0" collapsed="false">
      <c r="A1314" s="0" t="n">
        <f aca="false">B1314*1000+C1314</f>
        <v>26012</v>
      </c>
      <c r="B1314" s="0" t="n">
        <v>26</v>
      </c>
      <c r="C1314" s="0" t="n">
        <v>12</v>
      </c>
      <c r="D1314" s="0" t="n">
        <v>208</v>
      </c>
      <c r="E1314" s="0" t="n">
        <f aca="false">VLOOKUP(B1314,'MSA-Lookup'!$H$2:$I$86,2)</f>
        <v>9999</v>
      </c>
      <c r="F1314" s="0" t="n">
        <f aca="false">IF(C1314&gt;1,IF(C1314&lt;99,VLOOKUP(C1314,'MSA-Lookup'!$H$1:$I$86,2),C1314),C1314)</f>
        <v>6920</v>
      </c>
      <c r="G1314" s="0" t="n">
        <f aca="false">VLOOKUP(E1314,'MSA-Lookup'!$AA$1:$AB$25,2)</f>
        <v>9999</v>
      </c>
      <c r="H1314" s="0" t="n">
        <f aca="false">IF(C1314&gt;1,IF(C1314&lt;99,VLOOKUP(F1314,'MSA-Lookup'!$AA$1:$AB$25,2),C1314),C1314)</f>
        <v>6920</v>
      </c>
    </row>
    <row r="1315" customFormat="false" ht="12.75" hidden="false" customHeight="false" outlineLevel="0" collapsed="false">
      <c r="A1315" s="0" t="n">
        <f aca="false">B1315*1000+C1315</f>
        <v>26013</v>
      </c>
      <c r="B1315" s="0" t="n">
        <v>26</v>
      </c>
      <c r="C1315" s="0" t="n">
        <v>13</v>
      </c>
      <c r="D1315" s="0" t="n">
        <v>0</v>
      </c>
      <c r="E1315" s="0" t="n">
        <f aca="false">VLOOKUP(B1315,'MSA-Lookup'!$H$2:$I$86,2)</f>
        <v>9999</v>
      </c>
      <c r="F1315" s="0" t="n">
        <f aca="false">IF(C1315&gt;1,IF(C1315&lt;99,VLOOKUP(C1315,'MSA-Lookup'!$H$1:$I$86,2),C1315),C1315)</f>
        <v>7500</v>
      </c>
      <c r="G1315" s="0" t="n">
        <f aca="false">VLOOKUP(E1315,'MSA-Lookup'!$AA$1:$AB$25,2)</f>
        <v>9999</v>
      </c>
      <c r="H1315" s="0" t="n">
        <f aca="false">IF(C1315&gt;1,IF(C1315&lt;99,VLOOKUP(F1315,'MSA-Lookup'!$AA$1:$AB$25,2),C1315),C1315)</f>
        <v>7362</v>
      </c>
    </row>
    <row r="1316" customFormat="false" ht="12.75" hidden="false" customHeight="false" outlineLevel="0" collapsed="false">
      <c r="A1316" s="0" t="n">
        <f aca="false">B1316*1000+C1316</f>
        <v>26014</v>
      </c>
      <c r="B1316" s="0" t="n">
        <v>26</v>
      </c>
      <c r="C1316" s="0" t="n">
        <v>14</v>
      </c>
      <c r="D1316" s="0" t="n">
        <v>299</v>
      </c>
      <c r="E1316" s="0" t="n">
        <f aca="false">VLOOKUP(B1316,'MSA-Lookup'!$H$2:$I$86,2)</f>
        <v>9999</v>
      </c>
      <c r="F1316" s="0" t="n">
        <f aca="false">IF(C1316&gt;1,IF(C1316&lt;99,VLOOKUP(C1316,'MSA-Lookup'!$H$1:$I$86,2),C1316),C1316)</f>
        <v>7500</v>
      </c>
      <c r="G1316" s="0" t="n">
        <f aca="false">VLOOKUP(E1316,'MSA-Lookup'!$AA$1:$AB$25,2)</f>
        <v>9999</v>
      </c>
      <c r="H1316" s="0" t="n">
        <f aca="false">IF(C1316&gt;1,IF(C1316&lt;99,VLOOKUP(F1316,'MSA-Lookup'!$AA$1:$AB$25,2),C1316),C1316)</f>
        <v>7362</v>
      </c>
    </row>
    <row r="1317" customFormat="false" ht="12.75" hidden="false" customHeight="false" outlineLevel="0" collapsed="false">
      <c r="A1317" s="0" t="n">
        <f aca="false">B1317*1000+C1317</f>
        <v>26015</v>
      </c>
      <c r="B1317" s="0" t="n">
        <v>26</v>
      </c>
      <c r="C1317" s="0" t="n">
        <v>15</v>
      </c>
      <c r="D1317" s="0" t="n">
        <v>0</v>
      </c>
      <c r="E1317" s="0" t="n">
        <f aca="false">VLOOKUP(B1317,'MSA-Lookup'!$H$2:$I$86,2)</f>
        <v>9999</v>
      </c>
      <c r="F1317" s="0" t="n">
        <f aca="false">IF(C1317&gt;1,IF(C1317&lt;99,VLOOKUP(C1317,'MSA-Lookup'!$H$1:$I$86,2),C1317),C1317)</f>
        <v>7360</v>
      </c>
      <c r="G1317" s="0" t="n">
        <f aca="false">VLOOKUP(E1317,'MSA-Lookup'!$AA$1:$AB$25,2)</f>
        <v>9999</v>
      </c>
      <c r="H1317" s="0" t="n">
        <f aca="false">IF(C1317&gt;1,IF(C1317&lt;99,VLOOKUP(F1317,'MSA-Lookup'!$AA$1:$AB$25,2),C1317),C1317)</f>
        <v>7362</v>
      </c>
    </row>
    <row r="1318" customFormat="false" ht="12.75" hidden="false" customHeight="false" outlineLevel="0" collapsed="false">
      <c r="A1318" s="0" t="n">
        <f aca="false">B1318*1000+C1318</f>
        <v>26016</v>
      </c>
      <c r="B1318" s="0" t="n">
        <v>26</v>
      </c>
      <c r="C1318" s="0" t="n">
        <v>16</v>
      </c>
      <c r="D1318" s="0" t="n">
        <v>65</v>
      </c>
      <c r="E1318" s="0" t="n">
        <f aca="false">VLOOKUP(B1318,'MSA-Lookup'!$H$2:$I$86,2)</f>
        <v>9999</v>
      </c>
      <c r="F1318" s="0" t="n">
        <f aca="false">IF(C1318&gt;1,IF(C1318&lt;99,VLOOKUP(C1318,'MSA-Lookup'!$H$1:$I$86,2),C1318),C1318)</f>
        <v>8720</v>
      </c>
      <c r="G1318" s="0" t="n">
        <f aca="false">VLOOKUP(E1318,'MSA-Lookup'!$AA$1:$AB$25,2)</f>
        <v>9999</v>
      </c>
      <c r="H1318" s="0" t="n">
        <f aca="false">IF(C1318&gt;1,IF(C1318&lt;99,VLOOKUP(F1318,'MSA-Lookup'!$AA$1:$AB$25,2),C1318),C1318)</f>
        <v>7362</v>
      </c>
    </row>
    <row r="1319" customFormat="false" ht="12.75" hidden="false" customHeight="false" outlineLevel="0" collapsed="false">
      <c r="A1319" s="0" t="n">
        <f aca="false">B1319*1000+C1319</f>
        <v>26017</v>
      </c>
      <c r="B1319" s="0" t="n">
        <v>26</v>
      </c>
      <c r="C1319" s="0" t="n">
        <v>17</v>
      </c>
      <c r="D1319" s="0" t="n">
        <v>0</v>
      </c>
      <c r="E1319" s="0" t="n">
        <f aca="false">VLOOKUP(B1319,'MSA-Lookup'!$H$2:$I$86,2)</f>
        <v>9999</v>
      </c>
      <c r="F1319" s="0" t="n">
        <f aca="false">IF(C1319&gt;1,IF(C1319&lt;99,VLOOKUP(C1319,'MSA-Lookup'!$H$1:$I$86,2),C1319),C1319)</f>
        <v>5775</v>
      </c>
      <c r="G1319" s="0" t="n">
        <f aca="false">VLOOKUP(E1319,'MSA-Lookup'!$AA$1:$AB$25,2)</f>
        <v>9999</v>
      </c>
      <c r="H1319" s="0" t="n">
        <f aca="false">IF(C1319&gt;1,IF(C1319&lt;99,VLOOKUP(F1319,'MSA-Lookup'!$AA$1:$AB$25,2),C1319),C1319)</f>
        <v>7362</v>
      </c>
    </row>
    <row r="1320" customFormat="false" ht="12.75" hidden="false" customHeight="false" outlineLevel="0" collapsed="false">
      <c r="A1320" s="0" t="n">
        <f aca="false">B1320*1000+C1320</f>
        <v>26018</v>
      </c>
      <c r="B1320" s="0" t="n">
        <v>26</v>
      </c>
      <c r="C1320" s="0" t="n">
        <v>18</v>
      </c>
      <c r="D1320" s="0" t="n">
        <v>247</v>
      </c>
      <c r="E1320" s="0" t="n">
        <f aca="false">VLOOKUP(B1320,'MSA-Lookup'!$H$2:$I$86,2)</f>
        <v>9999</v>
      </c>
      <c r="F1320" s="0" t="n">
        <f aca="false">IF(C1320&gt;1,IF(C1320&lt;99,VLOOKUP(C1320,'MSA-Lookup'!$H$1:$I$86,2),C1320),C1320)</f>
        <v>5775</v>
      </c>
      <c r="G1320" s="0" t="n">
        <f aca="false">VLOOKUP(E1320,'MSA-Lookup'!$AA$1:$AB$25,2)</f>
        <v>9999</v>
      </c>
      <c r="H1320" s="0" t="n">
        <f aca="false">IF(C1320&gt;1,IF(C1320&lt;99,VLOOKUP(F1320,'MSA-Lookup'!$AA$1:$AB$25,2),C1320),C1320)</f>
        <v>7362</v>
      </c>
    </row>
    <row r="1321" customFormat="false" ht="12.75" hidden="false" customHeight="false" outlineLevel="0" collapsed="false">
      <c r="A1321" s="0" t="n">
        <f aca="false">B1321*1000+C1321</f>
        <v>26019</v>
      </c>
      <c r="B1321" s="0" t="n">
        <v>26</v>
      </c>
      <c r="C1321" s="0" t="n">
        <v>19</v>
      </c>
      <c r="D1321" s="0" t="n">
        <v>0</v>
      </c>
      <c r="E1321" s="0" t="n">
        <f aca="false">VLOOKUP(B1321,'MSA-Lookup'!$H$2:$I$86,2)</f>
        <v>9999</v>
      </c>
      <c r="F1321" s="0" t="n">
        <f aca="false">IF(C1321&gt;1,IF(C1321&lt;99,VLOOKUP(C1321,'MSA-Lookup'!$H$1:$I$86,2),C1321),C1321)</f>
        <v>7360</v>
      </c>
      <c r="G1321" s="0" t="n">
        <f aca="false">VLOOKUP(E1321,'MSA-Lookup'!$AA$1:$AB$25,2)</f>
        <v>9999</v>
      </c>
      <c r="H1321" s="0" t="n">
        <f aca="false">IF(C1321&gt;1,IF(C1321&lt;99,VLOOKUP(F1321,'MSA-Lookup'!$AA$1:$AB$25,2),C1321),C1321)</f>
        <v>7362</v>
      </c>
    </row>
    <row r="1322" customFormat="false" ht="12.75" hidden="false" customHeight="false" outlineLevel="0" collapsed="false">
      <c r="A1322" s="0" t="n">
        <f aca="false">B1322*1000+C1322</f>
        <v>26020</v>
      </c>
      <c r="B1322" s="0" t="n">
        <v>26</v>
      </c>
      <c r="C1322" s="0" t="n">
        <v>20</v>
      </c>
      <c r="D1322" s="0" t="n">
        <v>52</v>
      </c>
      <c r="E1322" s="0" t="n">
        <f aca="false">VLOOKUP(B1322,'MSA-Lookup'!$H$2:$I$86,2)</f>
        <v>9999</v>
      </c>
      <c r="F1322" s="0" t="n">
        <f aca="false">IF(C1322&gt;1,IF(C1322&lt;99,VLOOKUP(C1322,'MSA-Lookup'!$H$1:$I$86,2),C1322),C1322)</f>
        <v>5775</v>
      </c>
      <c r="G1322" s="0" t="n">
        <f aca="false">VLOOKUP(E1322,'MSA-Lookup'!$AA$1:$AB$25,2)</f>
        <v>9999</v>
      </c>
      <c r="H1322" s="0" t="n">
        <f aca="false">IF(C1322&gt;1,IF(C1322&lt;99,VLOOKUP(F1322,'MSA-Lookup'!$AA$1:$AB$25,2),C1322),C1322)</f>
        <v>7362</v>
      </c>
    </row>
    <row r="1323" customFormat="false" ht="12.75" hidden="false" customHeight="false" outlineLevel="0" collapsed="false">
      <c r="A1323" s="0" t="n">
        <f aca="false">B1323*1000+C1323</f>
        <v>26021</v>
      </c>
      <c r="B1323" s="0" t="n">
        <v>26</v>
      </c>
      <c r="C1323" s="0" t="n">
        <v>21</v>
      </c>
      <c r="D1323" s="0" t="n">
        <v>429</v>
      </c>
      <c r="E1323" s="0" t="n">
        <f aca="false">VLOOKUP(B1323,'MSA-Lookup'!$H$2:$I$86,2)</f>
        <v>9999</v>
      </c>
      <c r="F1323" s="0" t="n">
        <f aca="false">IF(C1323&gt;1,IF(C1323&lt;99,VLOOKUP(C1323,'MSA-Lookup'!$H$1:$I$86,2),C1323),C1323)</f>
        <v>5775</v>
      </c>
      <c r="G1323" s="0" t="n">
        <f aca="false">VLOOKUP(E1323,'MSA-Lookup'!$AA$1:$AB$25,2)</f>
        <v>9999</v>
      </c>
      <c r="H1323" s="0" t="n">
        <f aca="false">IF(C1323&gt;1,IF(C1323&lt;99,VLOOKUP(F1323,'MSA-Lookup'!$AA$1:$AB$25,2),C1323),C1323)</f>
        <v>7362</v>
      </c>
    </row>
    <row r="1324" customFormat="false" ht="12.75" hidden="false" customHeight="false" outlineLevel="0" collapsed="false">
      <c r="A1324" s="0" t="n">
        <f aca="false">B1324*1000+C1324</f>
        <v>26022</v>
      </c>
      <c r="B1324" s="0" t="n">
        <v>26</v>
      </c>
      <c r="C1324" s="0" t="n">
        <v>22</v>
      </c>
      <c r="D1324" s="0" t="n">
        <v>299</v>
      </c>
      <c r="E1324" s="0" t="n">
        <f aca="false">VLOOKUP(B1324,'MSA-Lookup'!$H$2:$I$86,2)</f>
        <v>9999</v>
      </c>
      <c r="F1324" s="0" t="n">
        <f aca="false">IF(C1324&gt;1,IF(C1324&lt;99,VLOOKUP(C1324,'MSA-Lookup'!$H$1:$I$86,2),C1324),C1324)</f>
        <v>7360</v>
      </c>
      <c r="G1324" s="0" t="n">
        <f aca="false">VLOOKUP(E1324,'MSA-Lookup'!$AA$1:$AB$25,2)</f>
        <v>9999</v>
      </c>
      <c r="H1324" s="0" t="n">
        <f aca="false">IF(C1324&gt;1,IF(C1324&lt;99,VLOOKUP(F1324,'MSA-Lookup'!$AA$1:$AB$25,2),C1324),C1324)</f>
        <v>7362</v>
      </c>
    </row>
    <row r="1325" customFormat="false" ht="12.75" hidden="false" customHeight="false" outlineLevel="0" collapsed="false">
      <c r="A1325" s="0" t="n">
        <f aca="false">B1325*1000+C1325</f>
        <v>26023</v>
      </c>
      <c r="B1325" s="0" t="n">
        <v>26</v>
      </c>
      <c r="C1325" s="0" t="n">
        <v>23</v>
      </c>
      <c r="D1325" s="0" t="n">
        <v>1508</v>
      </c>
      <c r="E1325" s="0" t="n">
        <f aca="false">VLOOKUP(B1325,'MSA-Lookup'!$H$2:$I$86,2)</f>
        <v>9999</v>
      </c>
      <c r="F1325" s="0" t="n">
        <f aca="false">IF(C1325&gt;1,IF(C1325&lt;99,VLOOKUP(C1325,'MSA-Lookup'!$H$1:$I$86,2),C1325),C1325)</f>
        <v>8120</v>
      </c>
      <c r="G1325" s="0" t="n">
        <f aca="false">VLOOKUP(E1325,'MSA-Lookup'!$AA$1:$AB$25,2)</f>
        <v>9999</v>
      </c>
      <c r="H1325" s="0" t="n">
        <f aca="false">IF(C1325&gt;1,IF(C1325&lt;99,VLOOKUP(F1325,'MSA-Lookup'!$AA$1:$AB$25,2),C1325),C1325)</f>
        <v>8120</v>
      </c>
    </row>
    <row r="1326" customFormat="false" ht="12.75" hidden="false" customHeight="false" outlineLevel="0" collapsed="false">
      <c r="A1326" s="0" t="n">
        <f aca="false">B1326*1000+C1326</f>
        <v>26024</v>
      </c>
      <c r="B1326" s="0" t="n">
        <v>26</v>
      </c>
      <c r="C1326" s="0" t="n">
        <v>24</v>
      </c>
      <c r="D1326" s="0" t="n">
        <v>936</v>
      </c>
      <c r="E1326" s="0" t="n">
        <f aca="false">VLOOKUP(B1326,'MSA-Lookup'!$H$2:$I$86,2)</f>
        <v>9999</v>
      </c>
      <c r="F1326" s="0" t="n">
        <f aca="false">IF(C1326&gt;1,IF(C1326&lt;99,VLOOKUP(C1326,'MSA-Lookup'!$H$1:$I$86,2),C1326),C1326)</f>
        <v>5170</v>
      </c>
      <c r="G1326" s="0" t="n">
        <f aca="false">VLOOKUP(E1326,'MSA-Lookup'!$AA$1:$AB$25,2)</f>
        <v>9999</v>
      </c>
      <c r="H1326" s="0" t="n">
        <f aca="false">IF(C1326&gt;1,IF(C1326&lt;99,VLOOKUP(F1326,'MSA-Lookup'!$AA$1:$AB$25,2),C1326),C1326)</f>
        <v>5170</v>
      </c>
    </row>
    <row r="1327" customFormat="false" ht="12.75" hidden="false" customHeight="false" outlineLevel="0" collapsed="false">
      <c r="A1327" s="0" t="n">
        <f aca="false">B1327*1000+C1327</f>
        <v>26025</v>
      </c>
      <c r="B1327" s="0" t="n">
        <v>26</v>
      </c>
      <c r="C1327" s="0" t="n">
        <v>25</v>
      </c>
      <c r="D1327" s="0" t="n">
        <v>832</v>
      </c>
      <c r="E1327" s="0" t="n">
        <f aca="false">VLOOKUP(B1327,'MSA-Lookup'!$H$2:$I$86,2)</f>
        <v>9999</v>
      </c>
      <c r="F1327" s="0" t="n">
        <f aca="false">IF(C1327&gt;1,IF(C1327&lt;99,VLOOKUP(C1327,'MSA-Lookup'!$H$1:$I$86,2),C1327),C1327)</f>
        <v>5170</v>
      </c>
      <c r="G1327" s="0" t="n">
        <f aca="false">VLOOKUP(E1327,'MSA-Lookup'!$AA$1:$AB$25,2)</f>
        <v>9999</v>
      </c>
      <c r="H1327" s="0" t="n">
        <f aca="false">IF(C1327&gt;1,IF(C1327&lt;99,VLOOKUP(F1327,'MSA-Lookup'!$AA$1:$AB$25,2),C1327),C1327)</f>
        <v>5170</v>
      </c>
    </row>
    <row r="1328" customFormat="false" ht="12.75" hidden="false" customHeight="false" outlineLevel="0" collapsed="false">
      <c r="A1328" s="0" t="n">
        <f aca="false">B1328*1000+C1328</f>
        <v>26026</v>
      </c>
      <c r="B1328" s="0" t="n">
        <v>26</v>
      </c>
      <c r="C1328" s="0" t="n">
        <v>26</v>
      </c>
      <c r="D1328" s="0" t="n">
        <v>49543</v>
      </c>
      <c r="E1328" s="0" t="n">
        <f aca="false">VLOOKUP(B1328,'MSA-Lookup'!$H$2:$I$86,2)</f>
        <v>9999</v>
      </c>
      <c r="F1328" s="0" t="n">
        <f aca="false">IF(C1328&gt;1,IF(C1328&lt;99,VLOOKUP(C1328,'MSA-Lookup'!$H$1:$I$86,2),C1328),C1328)</f>
        <v>9999</v>
      </c>
      <c r="G1328" s="0" t="n">
        <f aca="false">VLOOKUP(E1328,'MSA-Lookup'!$AA$1:$AB$25,2)</f>
        <v>9999</v>
      </c>
      <c r="H1328" s="0" t="n">
        <f aca="false">IF(C1328&gt;1,IF(C1328&lt;99,VLOOKUP(F1328,'MSA-Lookup'!$AA$1:$AB$25,2),C1328),C1328)</f>
        <v>9999</v>
      </c>
    </row>
    <row r="1329" customFormat="false" ht="12.75" hidden="false" customHeight="false" outlineLevel="0" collapsed="false">
      <c r="A1329" s="0" t="n">
        <f aca="false">B1329*1000+C1329</f>
        <v>26027</v>
      </c>
      <c r="B1329" s="0" t="n">
        <v>26</v>
      </c>
      <c r="C1329" s="0" t="n">
        <v>27</v>
      </c>
      <c r="D1329" s="0" t="n">
        <v>520</v>
      </c>
      <c r="E1329" s="0" t="n">
        <f aca="false">VLOOKUP(B1329,'MSA-Lookup'!$H$2:$I$86,2)</f>
        <v>9999</v>
      </c>
      <c r="F1329" s="0" t="n">
        <f aca="false">IF(C1329&gt;1,IF(C1329&lt;99,VLOOKUP(C1329,'MSA-Lookup'!$H$1:$I$86,2),C1329),C1329)</f>
        <v>9999</v>
      </c>
      <c r="G1329" s="0" t="n">
        <f aca="false">VLOOKUP(E1329,'MSA-Lookup'!$AA$1:$AB$25,2)</f>
        <v>9999</v>
      </c>
      <c r="H1329" s="0" t="n">
        <f aca="false">IF(C1329&gt;1,IF(C1329&lt;99,VLOOKUP(F1329,'MSA-Lookup'!$AA$1:$AB$25,2),C1329),C1329)</f>
        <v>9999</v>
      </c>
    </row>
    <row r="1330" customFormat="false" ht="12.75" hidden="false" customHeight="false" outlineLevel="0" collapsed="false">
      <c r="A1330" s="0" t="n">
        <f aca="false">B1330*1000+C1330</f>
        <v>26028</v>
      </c>
      <c r="B1330" s="0" t="n">
        <v>26</v>
      </c>
      <c r="C1330" s="0" t="n">
        <v>28</v>
      </c>
      <c r="D1330" s="0" t="n">
        <v>676</v>
      </c>
      <c r="E1330" s="0" t="n">
        <f aca="false">VLOOKUP(B1330,'MSA-Lookup'!$H$2:$I$86,2)</f>
        <v>9999</v>
      </c>
      <c r="F1330" s="0" t="n">
        <f aca="false">IF(C1330&gt;1,IF(C1330&lt;99,VLOOKUP(C1330,'MSA-Lookup'!$H$1:$I$86,2),C1330),C1330)</f>
        <v>6920</v>
      </c>
      <c r="G1330" s="0" t="n">
        <f aca="false">VLOOKUP(E1330,'MSA-Lookup'!$AA$1:$AB$25,2)</f>
        <v>9999</v>
      </c>
      <c r="H1330" s="0" t="n">
        <f aca="false">IF(C1330&gt;1,IF(C1330&lt;99,VLOOKUP(F1330,'MSA-Lookup'!$AA$1:$AB$25,2),C1330),C1330)</f>
        <v>6920</v>
      </c>
    </row>
    <row r="1331" customFormat="false" ht="12.75" hidden="false" customHeight="false" outlineLevel="0" collapsed="false">
      <c r="A1331" s="0" t="n">
        <f aca="false">B1331*1000+C1331</f>
        <v>26029</v>
      </c>
      <c r="B1331" s="0" t="n">
        <v>26</v>
      </c>
      <c r="C1331" s="0" t="n">
        <v>29</v>
      </c>
      <c r="D1331" s="0" t="n">
        <v>598</v>
      </c>
      <c r="E1331" s="0" t="n">
        <f aca="false">VLOOKUP(B1331,'MSA-Lookup'!$H$2:$I$86,2)</f>
        <v>9999</v>
      </c>
      <c r="F1331" s="0" t="n">
        <f aca="false">IF(C1331&gt;1,IF(C1331&lt;99,VLOOKUP(C1331,'MSA-Lookup'!$H$1:$I$86,2),C1331),C1331)</f>
        <v>6920</v>
      </c>
      <c r="G1331" s="0" t="n">
        <f aca="false">VLOOKUP(E1331,'MSA-Lookup'!$AA$1:$AB$25,2)</f>
        <v>9999</v>
      </c>
      <c r="H1331" s="0" t="n">
        <f aca="false">IF(C1331&gt;1,IF(C1331&lt;99,VLOOKUP(F1331,'MSA-Lookup'!$AA$1:$AB$25,2),C1331),C1331)</f>
        <v>6920</v>
      </c>
    </row>
    <row r="1332" customFormat="false" ht="12.75" hidden="false" customHeight="false" outlineLevel="0" collapsed="false">
      <c r="A1332" s="0" t="n">
        <f aca="false">B1332*1000+C1332</f>
        <v>26030</v>
      </c>
      <c r="B1332" s="0" t="n">
        <v>26</v>
      </c>
      <c r="C1332" s="0" t="n">
        <v>30</v>
      </c>
      <c r="D1332" s="0" t="n">
        <v>130</v>
      </c>
      <c r="E1332" s="0" t="n">
        <f aca="false">VLOOKUP(B1332,'MSA-Lookup'!$H$2:$I$86,2)</f>
        <v>9999</v>
      </c>
      <c r="F1332" s="0" t="n">
        <f aca="false">IF(C1332&gt;1,IF(C1332&lt;99,VLOOKUP(C1332,'MSA-Lookup'!$H$1:$I$86,2),C1332),C1332)</f>
        <v>4940</v>
      </c>
      <c r="G1332" s="0" t="n">
        <f aca="false">VLOOKUP(E1332,'MSA-Lookup'!$AA$1:$AB$25,2)</f>
        <v>9999</v>
      </c>
      <c r="H1332" s="0" t="n">
        <f aca="false">IF(C1332&gt;1,IF(C1332&lt;99,VLOOKUP(F1332,'MSA-Lookup'!$AA$1:$AB$25,2),C1332),C1332)</f>
        <v>4940</v>
      </c>
    </row>
    <row r="1333" customFormat="false" ht="12.75" hidden="false" customHeight="false" outlineLevel="0" collapsed="false">
      <c r="A1333" s="0" t="n">
        <f aca="false">B1333*1000+C1333</f>
        <v>26031</v>
      </c>
      <c r="B1333" s="0" t="n">
        <v>26</v>
      </c>
      <c r="C1333" s="0" t="n">
        <v>31</v>
      </c>
      <c r="D1333" s="0" t="n">
        <v>0</v>
      </c>
      <c r="E1333" s="0" t="n">
        <f aca="false">VLOOKUP(B1333,'MSA-Lookup'!$H$2:$I$86,2)</f>
        <v>9999</v>
      </c>
      <c r="F1333" s="0" t="n">
        <f aca="false">IF(C1333&gt;1,IF(C1333&lt;99,VLOOKUP(C1333,'MSA-Lookup'!$H$1:$I$86,2),C1333),C1333)</f>
        <v>9999</v>
      </c>
      <c r="G1333" s="0" t="n">
        <f aca="false">VLOOKUP(E1333,'MSA-Lookup'!$AA$1:$AB$25,2)</f>
        <v>9999</v>
      </c>
      <c r="H1333" s="0" t="n">
        <f aca="false">IF(C1333&gt;1,IF(C1333&lt;99,VLOOKUP(F1333,'MSA-Lookup'!$AA$1:$AB$25,2),C1333),C1333)</f>
        <v>9999</v>
      </c>
    </row>
    <row r="1334" customFormat="false" ht="12.75" hidden="false" customHeight="false" outlineLevel="0" collapsed="false">
      <c r="A1334" s="0" t="n">
        <f aca="false">B1334*1000+C1334</f>
        <v>26032</v>
      </c>
      <c r="B1334" s="0" t="n">
        <v>26</v>
      </c>
      <c r="C1334" s="0" t="n">
        <v>32</v>
      </c>
      <c r="D1334" s="0" t="n">
        <v>0</v>
      </c>
      <c r="E1334" s="0" t="n">
        <f aca="false">VLOOKUP(B1334,'MSA-Lookup'!$H$2:$I$86,2)</f>
        <v>9999</v>
      </c>
      <c r="F1334" s="0" t="n">
        <f aca="false">IF(C1334&gt;1,IF(C1334&lt;99,VLOOKUP(C1334,'MSA-Lookup'!$H$1:$I$86,2),C1334),C1334)</f>
        <v>7480</v>
      </c>
      <c r="G1334" s="0" t="n">
        <f aca="false">VLOOKUP(E1334,'MSA-Lookup'!$AA$1:$AB$25,2)</f>
        <v>9999</v>
      </c>
      <c r="H1334" s="0" t="n">
        <f aca="false">IF(C1334&gt;1,IF(C1334&lt;99,VLOOKUP(F1334,'MSA-Lookup'!$AA$1:$AB$25,2),C1334),C1334)</f>
        <v>7480</v>
      </c>
    </row>
    <row r="1335" customFormat="false" ht="12.75" hidden="false" customHeight="false" outlineLevel="0" collapsed="false">
      <c r="A1335" s="0" t="n">
        <f aca="false">B1335*1000+C1335</f>
        <v>26033</v>
      </c>
      <c r="B1335" s="0" t="n">
        <v>26</v>
      </c>
      <c r="C1335" s="0" t="n">
        <v>33</v>
      </c>
      <c r="D1335" s="0" t="n">
        <v>0</v>
      </c>
      <c r="E1335" s="0" t="n">
        <f aca="false">VLOOKUP(B1335,'MSA-Lookup'!$H$2:$I$86,2)</f>
        <v>9999</v>
      </c>
      <c r="F1335" s="0" t="n">
        <f aca="false">IF(C1335&gt;1,IF(C1335&lt;99,VLOOKUP(C1335,'MSA-Lookup'!$H$1:$I$86,2),C1335),C1335)</f>
        <v>7320</v>
      </c>
      <c r="G1335" s="0" t="n">
        <f aca="false">VLOOKUP(E1335,'MSA-Lookup'!$AA$1:$AB$25,2)</f>
        <v>9999</v>
      </c>
      <c r="H1335" s="0" t="n">
        <f aca="false">IF(C1335&gt;1,IF(C1335&lt;99,VLOOKUP(F1335,'MSA-Lookup'!$AA$1:$AB$25,2),C1335),C1335)</f>
        <v>7320</v>
      </c>
    </row>
    <row r="1336" customFormat="false" ht="12.75" hidden="false" customHeight="false" outlineLevel="0" collapsed="false">
      <c r="A1336" s="0" t="n">
        <f aca="false">B1336*1000+C1336</f>
        <v>26034</v>
      </c>
      <c r="B1336" s="0" t="n">
        <v>26</v>
      </c>
      <c r="C1336" s="0" t="n">
        <v>34</v>
      </c>
      <c r="D1336" s="0" t="n">
        <v>0</v>
      </c>
      <c r="E1336" s="0" t="n">
        <f aca="false">VLOOKUP(B1336,'MSA-Lookup'!$H$2:$I$86,2)</f>
        <v>9999</v>
      </c>
      <c r="F1336" s="0" t="n">
        <f aca="false">IF(C1336&gt;1,IF(C1336&lt;99,VLOOKUP(C1336,'MSA-Lookup'!$H$1:$I$86,2),C1336),C1336)</f>
        <v>7320</v>
      </c>
      <c r="G1336" s="0" t="n">
        <f aca="false">VLOOKUP(E1336,'MSA-Lookup'!$AA$1:$AB$25,2)</f>
        <v>9999</v>
      </c>
      <c r="H1336" s="0" t="n">
        <f aca="false">IF(C1336&gt;1,IF(C1336&lt;99,VLOOKUP(F1336,'MSA-Lookup'!$AA$1:$AB$25,2),C1336),C1336)</f>
        <v>7320</v>
      </c>
    </row>
    <row r="1337" customFormat="false" ht="12.75" hidden="false" customHeight="false" outlineLevel="0" collapsed="false">
      <c r="A1337" s="0" t="n">
        <f aca="false">B1337*1000+C1337</f>
        <v>26035</v>
      </c>
      <c r="B1337" s="0" t="n">
        <v>26</v>
      </c>
      <c r="C1337" s="0" t="n">
        <v>35</v>
      </c>
      <c r="D1337" s="0" t="n">
        <v>0</v>
      </c>
      <c r="E1337" s="0" t="n">
        <f aca="false">VLOOKUP(B1337,'MSA-Lookup'!$H$2:$I$86,2)</f>
        <v>9999</v>
      </c>
      <c r="F1337" s="0" t="n">
        <f aca="false">IF(C1337&gt;1,IF(C1337&lt;99,VLOOKUP(C1337,'MSA-Lookup'!$H$1:$I$86,2),C1337),C1337)</f>
        <v>7320</v>
      </c>
      <c r="G1337" s="0" t="n">
        <f aca="false">VLOOKUP(E1337,'MSA-Lookup'!$AA$1:$AB$25,2)</f>
        <v>9999</v>
      </c>
      <c r="H1337" s="0" t="n">
        <f aca="false">IF(C1337&gt;1,IF(C1337&lt;99,VLOOKUP(F1337,'MSA-Lookup'!$AA$1:$AB$25,2),C1337),C1337)</f>
        <v>7320</v>
      </c>
    </row>
    <row r="1338" customFormat="false" ht="12.75" hidden="false" customHeight="false" outlineLevel="0" collapsed="false">
      <c r="A1338" s="0" t="n">
        <f aca="false">B1338*1000+C1338</f>
        <v>26037</v>
      </c>
      <c r="B1338" s="0" t="n">
        <v>26</v>
      </c>
      <c r="C1338" s="0" t="n">
        <v>37</v>
      </c>
      <c r="D1338" s="0" t="n">
        <v>0</v>
      </c>
      <c r="E1338" s="0" t="n">
        <f aca="false">VLOOKUP(B1338,'MSA-Lookup'!$H$2:$I$86,2)</f>
        <v>9999</v>
      </c>
      <c r="F1338" s="0" t="n">
        <f aca="false">IF(C1338&gt;1,IF(C1338&lt;99,VLOOKUP(C1338,'MSA-Lookup'!$H$1:$I$86,2),C1338),C1338)</f>
        <v>7320</v>
      </c>
      <c r="G1338" s="0" t="n">
        <f aca="false">VLOOKUP(E1338,'MSA-Lookup'!$AA$1:$AB$25,2)</f>
        <v>9999</v>
      </c>
      <c r="H1338" s="0" t="n">
        <f aca="false">IF(C1338&gt;1,IF(C1338&lt;99,VLOOKUP(F1338,'MSA-Lookup'!$AA$1:$AB$25,2),C1338),C1338)</f>
        <v>7320</v>
      </c>
    </row>
    <row r="1339" customFormat="false" ht="12.75" hidden="false" customHeight="false" outlineLevel="0" collapsed="false">
      <c r="A1339" s="0" t="n">
        <f aca="false">B1339*1000+C1339</f>
        <v>26038</v>
      </c>
      <c r="B1339" s="0" t="n">
        <v>26</v>
      </c>
      <c r="C1339" s="0" t="n">
        <v>38</v>
      </c>
      <c r="D1339" s="0" t="n">
        <v>0</v>
      </c>
      <c r="E1339" s="0" t="n">
        <f aca="false">VLOOKUP(B1339,'MSA-Lookup'!$H$2:$I$86,2)</f>
        <v>9999</v>
      </c>
      <c r="F1339" s="0" t="n">
        <f aca="false">IF(C1339&gt;1,IF(C1339&lt;99,VLOOKUP(C1339,'MSA-Lookup'!$H$1:$I$86,2),C1339),C1339)</f>
        <v>7120</v>
      </c>
      <c r="G1339" s="0" t="n">
        <f aca="false">VLOOKUP(E1339,'MSA-Lookup'!$AA$1:$AB$25,2)</f>
        <v>9999</v>
      </c>
      <c r="H1339" s="0" t="n">
        <f aca="false">IF(C1339&gt;1,IF(C1339&lt;99,VLOOKUP(F1339,'MSA-Lookup'!$AA$1:$AB$25,2),C1339),C1339)</f>
        <v>7120</v>
      </c>
    </row>
    <row r="1340" customFormat="false" ht="12.75" hidden="false" customHeight="false" outlineLevel="0" collapsed="false">
      <c r="A1340" s="0" t="n">
        <f aca="false">B1340*1000+C1340</f>
        <v>26039</v>
      </c>
      <c r="B1340" s="0" t="n">
        <v>26</v>
      </c>
      <c r="C1340" s="0" t="n">
        <v>39</v>
      </c>
      <c r="D1340" s="0" t="n">
        <v>52</v>
      </c>
      <c r="E1340" s="0" t="n">
        <f aca="false">VLOOKUP(B1340,'MSA-Lookup'!$H$2:$I$86,2)</f>
        <v>9999</v>
      </c>
      <c r="F1340" s="0" t="n">
        <f aca="false">IF(C1340&gt;1,IF(C1340&lt;99,VLOOKUP(C1340,'MSA-Lookup'!$H$1:$I$86,2),C1340),C1340)</f>
        <v>7120</v>
      </c>
      <c r="G1340" s="0" t="n">
        <f aca="false">VLOOKUP(E1340,'MSA-Lookup'!$AA$1:$AB$25,2)</f>
        <v>9999</v>
      </c>
      <c r="H1340" s="0" t="n">
        <f aca="false">IF(C1340&gt;1,IF(C1340&lt;99,VLOOKUP(F1340,'MSA-Lookup'!$AA$1:$AB$25,2),C1340),C1340)</f>
        <v>7120</v>
      </c>
    </row>
    <row r="1341" customFormat="false" ht="12.75" hidden="false" customHeight="false" outlineLevel="0" collapsed="false">
      <c r="A1341" s="0" t="n">
        <f aca="false">B1341*1000+C1341</f>
        <v>26040</v>
      </c>
      <c r="B1341" s="0" t="n">
        <v>26</v>
      </c>
      <c r="C1341" s="0" t="n">
        <v>40</v>
      </c>
      <c r="D1341" s="0" t="n">
        <v>0</v>
      </c>
      <c r="E1341" s="0" t="n">
        <f aca="false">VLOOKUP(B1341,'MSA-Lookup'!$H$2:$I$86,2)</f>
        <v>9999</v>
      </c>
      <c r="F1341" s="0" t="n">
        <f aca="false">IF(C1341&gt;1,IF(C1341&lt;99,VLOOKUP(C1341,'MSA-Lookup'!$H$1:$I$86,2),C1341),C1341)</f>
        <v>2840</v>
      </c>
      <c r="G1341" s="0" t="n">
        <f aca="false">VLOOKUP(E1341,'MSA-Lookup'!$AA$1:$AB$25,2)</f>
        <v>9999</v>
      </c>
      <c r="H1341" s="0" t="n">
        <f aca="false">IF(C1341&gt;1,IF(C1341&lt;99,VLOOKUP(F1341,'MSA-Lookup'!$AA$1:$AB$25,2),C1341),C1341)</f>
        <v>2840</v>
      </c>
    </row>
    <row r="1342" customFormat="false" ht="12.75" hidden="false" customHeight="false" outlineLevel="0" collapsed="false">
      <c r="A1342" s="0" t="n">
        <f aca="false">B1342*1000+C1342</f>
        <v>26041</v>
      </c>
      <c r="B1342" s="0" t="n">
        <v>26</v>
      </c>
      <c r="C1342" s="0" t="n">
        <v>41</v>
      </c>
      <c r="D1342" s="0" t="n">
        <v>26</v>
      </c>
      <c r="E1342" s="0" t="n">
        <f aca="false">VLOOKUP(B1342,'MSA-Lookup'!$H$2:$I$86,2)</f>
        <v>9999</v>
      </c>
      <c r="F1342" s="0" t="n">
        <f aca="false">IF(C1342&gt;1,IF(C1342&lt;99,VLOOKUP(C1342,'MSA-Lookup'!$H$1:$I$86,2),C1342),C1342)</f>
        <v>2840</v>
      </c>
      <c r="G1342" s="0" t="n">
        <f aca="false">VLOOKUP(E1342,'MSA-Lookup'!$AA$1:$AB$25,2)</f>
        <v>9999</v>
      </c>
      <c r="H1342" s="0" t="n">
        <f aca="false">IF(C1342&gt;1,IF(C1342&lt;99,VLOOKUP(F1342,'MSA-Lookup'!$AA$1:$AB$25,2),C1342),C1342)</f>
        <v>2840</v>
      </c>
    </row>
    <row r="1343" customFormat="false" ht="12.75" hidden="false" customHeight="false" outlineLevel="0" collapsed="false">
      <c r="A1343" s="0" t="n">
        <f aca="false">B1343*1000+C1343</f>
        <v>26042</v>
      </c>
      <c r="B1343" s="0" t="n">
        <v>26</v>
      </c>
      <c r="C1343" s="0" t="n">
        <v>42</v>
      </c>
      <c r="D1343" s="0" t="n">
        <v>0</v>
      </c>
      <c r="E1343" s="0" t="n">
        <f aca="false">VLOOKUP(B1343,'MSA-Lookup'!$H$2:$I$86,2)</f>
        <v>9999</v>
      </c>
      <c r="F1343" s="0" t="n">
        <f aca="false">IF(C1343&gt;1,IF(C1343&lt;99,VLOOKUP(C1343,'MSA-Lookup'!$H$1:$I$86,2),C1343),C1343)</f>
        <v>360</v>
      </c>
      <c r="G1343" s="0" t="n">
        <f aca="false">VLOOKUP(E1343,'MSA-Lookup'!$AA$1:$AB$25,2)</f>
        <v>9999</v>
      </c>
      <c r="H1343" s="0" t="n">
        <f aca="false">IF(C1343&gt;1,IF(C1343&lt;99,VLOOKUP(F1343,'MSA-Lookup'!$AA$1:$AB$25,2),C1343),C1343)</f>
        <v>4472</v>
      </c>
    </row>
    <row r="1344" customFormat="false" ht="12.75" hidden="false" customHeight="false" outlineLevel="0" collapsed="false">
      <c r="A1344" s="0" t="n">
        <f aca="false">B1344*1000+C1344</f>
        <v>26043</v>
      </c>
      <c r="B1344" s="0" t="n">
        <v>26</v>
      </c>
      <c r="C1344" s="0" t="n">
        <v>43</v>
      </c>
      <c r="D1344" s="0" t="n">
        <v>0</v>
      </c>
      <c r="E1344" s="0" t="n">
        <f aca="false">VLOOKUP(B1344,'MSA-Lookup'!$H$2:$I$86,2)</f>
        <v>9999</v>
      </c>
      <c r="F1344" s="0" t="n">
        <f aca="false">IF(C1344&gt;1,IF(C1344&lt;99,VLOOKUP(C1344,'MSA-Lookup'!$H$1:$I$86,2),C1344),C1344)</f>
        <v>360</v>
      </c>
      <c r="G1344" s="0" t="n">
        <f aca="false">VLOOKUP(E1344,'MSA-Lookup'!$AA$1:$AB$25,2)</f>
        <v>9999</v>
      </c>
      <c r="H1344" s="0" t="n">
        <f aca="false">IF(C1344&gt;1,IF(C1344&lt;99,VLOOKUP(F1344,'MSA-Lookup'!$AA$1:$AB$25,2),C1344),C1344)</f>
        <v>4472</v>
      </c>
    </row>
    <row r="1345" customFormat="false" ht="12.75" hidden="false" customHeight="false" outlineLevel="0" collapsed="false">
      <c r="A1345" s="0" t="n">
        <f aca="false">B1345*1000+C1345</f>
        <v>26046</v>
      </c>
      <c r="B1345" s="0" t="n">
        <v>26</v>
      </c>
      <c r="C1345" s="0" t="n">
        <v>46</v>
      </c>
      <c r="D1345" s="0" t="n">
        <v>0</v>
      </c>
      <c r="E1345" s="0" t="n">
        <f aca="false">VLOOKUP(B1345,'MSA-Lookup'!$H$2:$I$86,2)</f>
        <v>9999</v>
      </c>
      <c r="F1345" s="0" t="n">
        <f aca="false">IF(C1345&gt;1,IF(C1345&lt;99,VLOOKUP(C1345,'MSA-Lookup'!$H$1:$I$86,2),C1345),C1345)</f>
        <v>360</v>
      </c>
      <c r="G1345" s="0" t="n">
        <f aca="false">VLOOKUP(E1345,'MSA-Lookup'!$AA$1:$AB$25,2)</f>
        <v>9999</v>
      </c>
      <c r="H1345" s="0" t="n">
        <f aca="false">IF(C1345&gt;1,IF(C1345&lt;99,VLOOKUP(F1345,'MSA-Lookup'!$AA$1:$AB$25,2),C1345),C1345)</f>
        <v>4472</v>
      </c>
    </row>
    <row r="1346" customFormat="false" ht="12.75" hidden="false" customHeight="false" outlineLevel="0" collapsed="false">
      <c r="A1346" s="0" t="n">
        <f aca="false">B1346*1000+C1346</f>
        <v>26048</v>
      </c>
      <c r="B1346" s="0" t="n">
        <v>26</v>
      </c>
      <c r="C1346" s="0" t="n">
        <v>48</v>
      </c>
      <c r="D1346" s="0" t="n">
        <v>0</v>
      </c>
      <c r="E1346" s="0" t="n">
        <f aca="false">VLOOKUP(B1346,'MSA-Lookup'!$H$2:$I$86,2)</f>
        <v>9999</v>
      </c>
      <c r="F1346" s="0" t="n">
        <f aca="false">IF(C1346&gt;1,IF(C1346&lt;99,VLOOKUP(C1346,'MSA-Lookup'!$H$1:$I$86,2),C1346),C1346)</f>
        <v>360</v>
      </c>
      <c r="G1346" s="0" t="n">
        <f aca="false">VLOOKUP(E1346,'MSA-Lookup'!$AA$1:$AB$25,2)</f>
        <v>9999</v>
      </c>
      <c r="H1346" s="0" t="n">
        <f aca="false">IF(C1346&gt;1,IF(C1346&lt;99,VLOOKUP(F1346,'MSA-Lookup'!$AA$1:$AB$25,2),C1346),C1346)</f>
        <v>4472</v>
      </c>
    </row>
    <row r="1347" customFormat="false" ht="12.75" hidden="false" customHeight="false" outlineLevel="0" collapsed="false">
      <c r="A1347" s="0" t="n">
        <f aca="false">B1347*1000+C1347</f>
        <v>26049</v>
      </c>
      <c r="B1347" s="0" t="n">
        <v>26</v>
      </c>
      <c r="C1347" s="0" t="n">
        <v>49</v>
      </c>
      <c r="D1347" s="0" t="n">
        <v>351</v>
      </c>
      <c r="E1347" s="0" t="n">
        <f aca="false">VLOOKUP(B1347,'MSA-Lookup'!$H$2:$I$86,2)</f>
        <v>9999</v>
      </c>
      <c r="F1347" s="0" t="n">
        <f aca="false">IF(C1347&gt;1,IF(C1347&lt;99,VLOOKUP(C1347,'MSA-Lookup'!$H$1:$I$86,2),C1347),C1347)</f>
        <v>7400</v>
      </c>
      <c r="G1347" s="0" t="n">
        <f aca="false">VLOOKUP(E1347,'MSA-Lookup'!$AA$1:$AB$25,2)</f>
        <v>9999</v>
      </c>
      <c r="H1347" s="0" t="n">
        <f aca="false">IF(C1347&gt;1,IF(C1347&lt;99,VLOOKUP(F1347,'MSA-Lookup'!$AA$1:$AB$25,2),C1347),C1347)</f>
        <v>7362</v>
      </c>
    </row>
    <row r="1348" customFormat="false" ht="12.75" hidden="false" customHeight="false" outlineLevel="0" collapsed="false">
      <c r="A1348" s="0" t="n">
        <f aca="false">B1348*1000+C1348</f>
        <v>26050</v>
      </c>
      <c r="B1348" s="0" t="n">
        <v>26</v>
      </c>
      <c r="C1348" s="0" t="n">
        <v>50</v>
      </c>
      <c r="D1348" s="0" t="n">
        <v>0</v>
      </c>
      <c r="E1348" s="0" t="n">
        <f aca="false">VLOOKUP(B1348,'MSA-Lookup'!$H$2:$I$86,2)</f>
        <v>9999</v>
      </c>
      <c r="F1348" s="0" t="n">
        <f aca="false">IF(C1348&gt;1,IF(C1348&lt;99,VLOOKUP(C1348,'MSA-Lookup'!$H$1:$I$86,2),C1348),C1348)</f>
        <v>7400</v>
      </c>
      <c r="G1348" s="0" t="n">
        <f aca="false">VLOOKUP(E1348,'MSA-Lookup'!$AA$1:$AB$25,2)</f>
        <v>9999</v>
      </c>
      <c r="H1348" s="0" t="n">
        <f aca="false">IF(C1348&gt;1,IF(C1348&lt;99,VLOOKUP(F1348,'MSA-Lookup'!$AA$1:$AB$25,2),C1348),C1348)</f>
        <v>7362</v>
      </c>
    </row>
    <row r="1349" customFormat="false" ht="12.75" hidden="false" customHeight="false" outlineLevel="0" collapsed="false">
      <c r="A1349" s="0" t="n">
        <f aca="false">B1349*1000+C1349</f>
        <v>26051</v>
      </c>
      <c r="B1349" s="0" t="n">
        <v>26</v>
      </c>
      <c r="C1349" s="0" t="n">
        <v>51</v>
      </c>
      <c r="D1349" s="0" t="n">
        <v>208</v>
      </c>
      <c r="E1349" s="0" t="n">
        <f aca="false">VLOOKUP(B1349,'MSA-Lookup'!$H$2:$I$86,2)</f>
        <v>9999</v>
      </c>
      <c r="F1349" s="0" t="n">
        <f aca="false">IF(C1349&gt;1,IF(C1349&lt;99,VLOOKUP(C1349,'MSA-Lookup'!$H$1:$I$86,2),C1349),C1349)</f>
        <v>7400</v>
      </c>
      <c r="G1349" s="0" t="n">
        <f aca="false">VLOOKUP(E1349,'MSA-Lookup'!$AA$1:$AB$25,2)</f>
        <v>9999</v>
      </c>
      <c r="H1349" s="0" t="n">
        <f aca="false">IF(C1349&gt;1,IF(C1349&lt;99,VLOOKUP(F1349,'MSA-Lookup'!$AA$1:$AB$25,2),C1349),C1349)</f>
        <v>7362</v>
      </c>
    </row>
    <row r="1350" customFormat="false" ht="12.75" hidden="false" customHeight="false" outlineLevel="0" collapsed="false">
      <c r="A1350" s="0" t="n">
        <f aca="false">B1350*1000+C1350</f>
        <v>26052</v>
      </c>
      <c r="B1350" s="0" t="n">
        <v>26</v>
      </c>
      <c r="C1350" s="0" t="n">
        <v>52</v>
      </c>
      <c r="D1350" s="0" t="n">
        <v>0</v>
      </c>
      <c r="E1350" s="0" t="n">
        <f aca="false">VLOOKUP(B1350,'MSA-Lookup'!$H$2:$I$86,2)</f>
        <v>9999</v>
      </c>
      <c r="F1350" s="0" t="n">
        <f aca="false">IF(C1350&gt;1,IF(C1350&lt;99,VLOOKUP(C1350,'MSA-Lookup'!$H$1:$I$86,2),C1350),C1350)</f>
        <v>4480</v>
      </c>
      <c r="G1350" s="0" t="n">
        <f aca="false">VLOOKUP(E1350,'MSA-Lookup'!$AA$1:$AB$25,2)</f>
        <v>9999</v>
      </c>
      <c r="H1350" s="0" t="n">
        <f aca="false">IF(C1350&gt;1,IF(C1350&lt;99,VLOOKUP(F1350,'MSA-Lookup'!$AA$1:$AB$25,2),C1350),C1350)</f>
        <v>4472</v>
      </c>
    </row>
    <row r="1351" customFormat="false" ht="12.75" hidden="false" customHeight="false" outlineLevel="0" collapsed="false">
      <c r="A1351" s="0" t="n">
        <f aca="false">B1351*1000+C1351</f>
        <v>26053</v>
      </c>
      <c r="B1351" s="0" t="n">
        <v>26</v>
      </c>
      <c r="C1351" s="0" t="n">
        <v>53</v>
      </c>
      <c r="D1351" s="0" t="n">
        <v>0</v>
      </c>
      <c r="E1351" s="0" t="n">
        <f aca="false">VLOOKUP(B1351,'MSA-Lookup'!$H$2:$I$86,2)</f>
        <v>9999</v>
      </c>
      <c r="F1351" s="0" t="n">
        <f aca="false">IF(C1351&gt;1,IF(C1351&lt;99,VLOOKUP(C1351,'MSA-Lookup'!$H$1:$I$86,2),C1351),C1351)</f>
        <v>4480</v>
      </c>
      <c r="G1351" s="0" t="n">
        <f aca="false">VLOOKUP(E1351,'MSA-Lookup'!$AA$1:$AB$25,2)</f>
        <v>9999</v>
      </c>
      <c r="H1351" s="0" t="n">
        <f aca="false">IF(C1351&gt;1,IF(C1351&lt;99,VLOOKUP(F1351,'MSA-Lookup'!$AA$1:$AB$25,2),C1351),C1351)</f>
        <v>4472</v>
      </c>
    </row>
    <row r="1352" customFormat="false" ht="12.75" hidden="false" customHeight="false" outlineLevel="0" collapsed="false">
      <c r="A1352" s="0" t="n">
        <f aca="false">B1352*1000+C1352</f>
        <v>26054</v>
      </c>
      <c r="B1352" s="0" t="n">
        <v>26</v>
      </c>
      <c r="C1352" s="0" t="n">
        <v>54</v>
      </c>
      <c r="D1352" s="0" t="n">
        <v>0</v>
      </c>
      <c r="E1352" s="0" t="n">
        <f aca="false">VLOOKUP(B1352,'MSA-Lookup'!$H$2:$I$86,2)</f>
        <v>9999</v>
      </c>
      <c r="F1352" s="0" t="n">
        <f aca="false">IF(C1352&gt;1,IF(C1352&lt;99,VLOOKUP(C1352,'MSA-Lookup'!$H$1:$I$86,2),C1352),C1352)</f>
        <v>4480</v>
      </c>
      <c r="G1352" s="0" t="n">
        <f aca="false">VLOOKUP(E1352,'MSA-Lookup'!$AA$1:$AB$25,2)</f>
        <v>9999</v>
      </c>
      <c r="H1352" s="0" t="n">
        <f aca="false">IF(C1352&gt;1,IF(C1352&lt;99,VLOOKUP(F1352,'MSA-Lookup'!$AA$1:$AB$25,2),C1352),C1352)</f>
        <v>4472</v>
      </c>
    </row>
    <row r="1353" customFormat="false" ht="12.75" hidden="false" customHeight="false" outlineLevel="0" collapsed="false">
      <c r="A1353" s="0" t="n">
        <f aca="false">B1353*1000+C1353</f>
        <v>26055</v>
      </c>
      <c r="B1353" s="0" t="n">
        <v>26</v>
      </c>
      <c r="C1353" s="0" t="n">
        <v>55</v>
      </c>
      <c r="D1353" s="0" t="n">
        <v>0</v>
      </c>
      <c r="E1353" s="0" t="n">
        <f aca="false">VLOOKUP(B1353,'MSA-Lookup'!$H$2:$I$86,2)</f>
        <v>9999</v>
      </c>
      <c r="F1353" s="0" t="n">
        <f aca="false">IF(C1353&gt;1,IF(C1353&lt;99,VLOOKUP(C1353,'MSA-Lookup'!$H$1:$I$86,2),C1353),C1353)</f>
        <v>4480</v>
      </c>
      <c r="G1353" s="0" t="n">
        <f aca="false">VLOOKUP(E1353,'MSA-Lookup'!$AA$1:$AB$25,2)</f>
        <v>9999</v>
      </c>
      <c r="H1353" s="0" t="n">
        <f aca="false">IF(C1353&gt;1,IF(C1353&lt;99,VLOOKUP(F1353,'MSA-Lookup'!$AA$1:$AB$25,2),C1353),C1353)</f>
        <v>4472</v>
      </c>
    </row>
    <row r="1354" customFormat="false" ht="12.75" hidden="false" customHeight="false" outlineLevel="0" collapsed="false">
      <c r="A1354" s="0" t="n">
        <f aca="false">B1354*1000+C1354</f>
        <v>26056</v>
      </c>
      <c r="B1354" s="0" t="n">
        <v>26</v>
      </c>
      <c r="C1354" s="0" t="n">
        <v>56</v>
      </c>
      <c r="D1354" s="0" t="n">
        <v>78</v>
      </c>
      <c r="E1354" s="0" t="n">
        <f aca="false">VLOOKUP(B1354,'MSA-Lookup'!$H$2:$I$86,2)</f>
        <v>9999</v>
      </c>
      <c r="F1354" s="0" t="n">
        <f aca="false">IF(C1354&gt;1,IF(C1354&lt;99,VLOOKUP(C1354,'MSA-Lookup'!$H$1:$I$86,2),C1354),C1354)</f>
        <v>4480</v>
      </c>
      <c r="G1354" s="0" t="n">
        <f aca="false">VLOOKUP(E1354,'MSA-Lookup'!$AA$1:$AB$25,2)</f>
        <v>9999</v>
      </c>
      <c r="H1354" s="0" t="n">
        <f aca="false">IF(C1354&gt;1,IF(C1354&lt;99,VLOOKUP(F1354,'MSA-Lookup'!$AA$1:$AB$25,2),C1354),C1354)</f>
        <v>4472</v>
      </c>
    </row>
    <row r="1355" customFormat="false" ht="12.75" hidden="false" customHeight="false" outlineLevel="0" collapsed="false">
      <c r="A1355" s="0" t="n">
        <f aca="false">B1355*1000+C1355</f>
        <v>26057</v>
      </c>
      <c r="B1355" s="0" t="n">
        <v>26</v>
      </c>
      <c r="C1355" s="0" t="n">
        <v>57</v>
      </c>
      <c r="D1355" s="0" t="n">
        <v>0</v>
      </c>
      <c r="E1355" s="0" t="n">
        <f aca="false">VLOOKUP(B1355,'MSA-Lookup'!$H$2:$I$86,2)</f>
        <v>9999</v>
      </c>
      <c r="F1355" s="0" t="n">
        <f aca="false">IF(C1355&gt;1,IF(C1355&lt;99,VLOOKUP(C1355,'MSA-Lookup'!$H$1:$I$86,2),C1355),C1355)</f>
        <v>4480</v>
      </c>
      <c r="G1355" s="0" t="n">
        <f aca="false">VLOOKUP(E1355,'MSA-Lookup'!$AA$1:$AB$25,2)</f>
        <v>9999</v>
      </c>
      <c r="H1355" s="0" t="n">
        <f aca="false">IF(C1355&gt;1,IF(C1355&lt;99,VLOOKUP(F1355,'MSA-Lookup'!$AA$1:$AB$25,2),C1355),C1355)</f>
        <v>4472</v>
      </c>
    </row>
    <row r="1356" customFormat="false" ht="12.75" hidden="false" customHeight="false" outlineLevel="0" collapsed="false">
      <c r="A1356" s="0" t="n">
        <f aca="false">B1356*1000+C1356</f>
        <v>26059</v>
      </c>
      <c r="B1356" s="0" t="n">
        <v>26</v>
      </c>
      <c r="C1356" s="0" t="n">
        <v>59</v>
      </c>
      <c r="D1356" s="0" t="n">
        <v>0</v>
      </c>
      <c r="E1356" s="0" t="n">
        <f aca="false">VLOOKUP(B1356,'MSA-Lookup'!$H$2:$I$86,2)</f>
        <v>9999</v>
      </c>
      <c r="F1356" s="0" t="n">
        <f aca="false">IF(C1356&gt;1,IF(C1356&lt;99,VLOOKUP(C1356,'MSA-Lookup'!$H$1:$I$86,2),C1356),C1356)</f>
        <v>4480</v>
      </c>
      <c r="G1356" s="0" t="n">
        <f aca="false">VLOOKUP(E1356,'MSA-Lookup'!$AA$1:$AB$25,2)</f>
        <v>9999</v>
      </c>
      <c r="H1356" s="0" t="n">
        <f aca="false">IF(C1356&gt;1,IF(C1356&lt;99,VLOOKUP(F1356,'MSA-Lookup'!$AA$1:$AB$25,2),C1356),C1356)</f>
        <v>4472</v>
      </c>
    </row>
    <row r="1357" customFormat="false" ht="12.75" hidden="false" customHeight="false" outlineLevel="0" collapsed="false">
      <c r="A1357" s="0" t="n">
        <f aca="false">B1357*1000+C1357</f>
        <v>26060</v>
      </c>
      <c r="B1357" s="0" t="n">
        <v>26</v>
      </c>
      <c r="C1357" s="0" t="n">
        <v>60</v>
      </c>
      <c r="D1357" s="0" t="n">
        <v>0</v>
      </c>
      <c r="E1357" s="0" t="n">
        <f aca="false">VLOOKUP(B1357,'MSA-Lookup'!$H$2:$I$86,2)</f>
        <v>9999</v>
      </c>
      <c r="F1357" s="0" t="n">
        <f aca="false">IF(C1357&gt;1,IF(C1357&lt;99,VLOOKUP(C1357,'MSA-Lookup'!$H$1:$I$86,2),C1357),C1357)</f>
        <v>4480</v>
      </c>
      <c r="G1357" s="0" t="n">
        <f aca="false">VLOOKUP(E1357,'MSA-Lookup'!$AA$1:$AB$25,2)</f>
        <v>9999</v>
      </c>
      <c r="H1357" s="0" t="n">
        <f aca="false">IF(C1357&gt;1,IF(C1357&lt;99,VLOOKUP(F1357,'MSA-Lookup'!$AA$1:$AB$25,2),C1357),C1357)</f>
        <v>4472</v>
      </c>
    </row>
    <row r="1358" customFormat="false" ht="12.75" hidden="false" customHeight="false" outlineLevel="0" collapsed="false">
      <c r="A1358" s="0" t="n">
        <f aca="false">B1358*1000+C1358</f>
        <v>26062</v>
      </c>
      <c r="B1358" s="0" t="n">
        <v>26</v>
      </c>
      <c r="C1358" s="0" t="n">
        <v>62</v>
      </c>
      <c r="D1358" s="0" t="n">
        <v>0</v>
      </c>
      <c r="E1358" s="0" t="n">
        <f aca="false">VLOOKUP(B1358,'MSA-Lookup'!$H$2:$I$86,2)</f>
        <v>9999</v>
      </c>
      <c r="F1358" s="0" t="n">
        <f aca="false">IF(C1358&gt;1,IF(C1358&lt;99,VLOOKUP(C1358,'MSA-Lookup'!$H$1:$I$86,2),C1358),C1358)</f>
        <v>4480</v>
      </c>
      <c r="G1358" s="0" t="n">
        <f aca="false">VLOOKUP(E1358,'MSA-Lookup'!$AA$1:$AB$25,2)</f>
        <v>9999</v>
      </c>
      <c r="H1358" s="0" t="n">
        <f aca="false">IF(C1358&gt;1,IF(C1358&lt;99,VLOOKUP(F1358,'MSA-Lookup'!$AA$1:$AB$25,2),C1358),C1358)</f>
        <v>4472</v>
      </c>
    </row>
    <row r="1359" customFormat="false" ht="12.75" hidden="false" customHeight="false" outlineLevel="0" collapsed="false">
      <c r="A1359" s="0" t="n">
        <f aca="false">B1359*1000+C1359</f>
        <v>26064</v>
      </c>
      <c r="B1359" s="0" t="n">
        <v>26</v>
      </c>
      <c r="C1359" s="0" t="n">
        <v>64</v>
      </c>
      <c r="D1359" s="0" t="n">
        <v>78</v>
      </c>
      <c r="E1359" s="0" t="n">
        <f aca="false">VLOOKUP(B1359,'MSA-Lookup'!$H$2:$I$86,2)</f>
        <v>9999</v>
      </c>
      <c r="F1359" s="0" t="n">
        <f aca="false">IF(C1359&gt;1,IF(C1359&lt;99,VLOOKUP(C1359,'MSA-Lookup'!$H$1:$I$86,2),C1359),C1359)</f>
        <v>4480</v>
      </c>
      <c r="G1359" s="0" t="n">
        <f aca="false">VLOOKUP(E1359,'MSA-Lookup'!$AA$1:$AB$25,2)</f>
        <v>9999</v>
      </c>
      <c r="H1359" s="0" t="n">
        <f aca="false">IF(C1359&gt;1,IF(C1359&lt;99,VLOOKUP(F1359,'MSA-Lookup'!$AA$1:$AB$25,2),C1359),C1359)</f>
        <v>4472</v>
      </c>
    </row>
    <row r="1360" customFormat="false" ht="12.75" hidden="false" customHeight="false" outlineLevel="0" collapsed="false">
      <c r="A1360" s="0" t="n">
        <f aca="false">B1360*1000+C1360</f>
        <v>26065</v>
      </c>
      <c r="B1360" s="0" t="n">
        <v>26</v>
      </c>
      <c r="C1360" s="0" t="n">
        <v>65</v>
      </c>
      <c r="D1360" s="0" t="n">
        <v>273</v>
      </c>
      <c r="E1360" s="0" t="n">
        <f aca="false">VLOOKUP(B1360,'MSA-Lookup'!$H$2:$I$86,2)</f>
        <v>9999</v>
      </c>
      <c r="F1360" s="0" t="n">
        <f aca="false">IF(C1360&gt;1,IF(C1360&lt;99,VLOOKUP(C1360,'MSA-Lookup'!$H$1:$I$86,2),C1360),C1360)</f>
        <v>4480</v>
      </c>
      <c r="G1360" s="0" t="n">
        <f aca="false">VLOOKUP(E1360,'MSA-Lookup'!$AA$1:$AB$25,2)</f>
        <v>9999</v>
      </c>
      <c r="H1360" s="0" t="n">
        <f aca="false">IF(C1360&gt;1,IF(C1360&lt;99,VLOOKUP(F1360,'MSA-Lookup'!$AA$1:$AB$25,2),C1360),C1360)</f>
        <v>4472</v>
      </c>
    </row>
    <row r="1361" customFormat="false" ht="12.75" hidden="false" customHeight="false" outlineLevel="0" collapsed="false">
      <c r="A1361" s="0" t="n">
        <f aca="false">B1361*1000+C1361</f>
        <v>26066</v>
      </c>
      <c r="B1361" s="0" t="n">
        <v>26</v>
      </c>
      <c r="C1361" s="0" t="n">
        <v>66</v>
      </c>
      <c r="D1361" s="0" t="n">
        <v>0</v>
      </c>
      <c r="E1361" s="0" t="n">
        <f aca="false">VLOOKUP(B1361,'MSA-Lookup'!$H$2:$I$86,2)</f>
        <v>9999</v>
      </c>
      <c r="F1361" s="0" t="n">
        <f aca="false">IF(C1361&gt;1,IF(C1361&lt;99,VLOOKUP(C1361,'MSA-Lookup'!$H$1:$I$86,2),C1361),C1361)</f>
        <v>4480</v>
      </c>
      <c r="G1361" s="0" t="n">
        <f aca="false">VLOOKUP(E1361,'MSA-Lookup'!$AA$1:$AB$25,2)</f>
        <v>9999</v>
      </c>
      <c r="H1361" s="0" t="n">
        <f aca="false">IF(C1361&gt;1,IF(C1361&lt;99,VLOOKUP(F1361,'MSA-Lookup'!$AA$1:$AB$25,2),C1361),C1361)</f>
        <v>4472</v>
      </c>
    </row>
    <row r="1362" customFormat="false" ht="12.75" hidden="false" customHeight="false" outlineLevel="0" collapsed="false">
      <c r="A1362" s="0" t="n">
        <f aca="false">B1362*1000+C1362</f>
        <v>26067</v>
      </c>
      <c r="B1362" s="0" t="n">
        <v>26</v>
      </c>
      <c r="C1362" s="0" t="n">
        <v>67</v>
      </c>
      <c r="D1362" s="0" t="n">
        <v>0</v>
      </c>
      <c r="E1362" s="0" t="n">
        <f aca="false">VLOOKUP(B1362,'MSA-Lookup'!$H$2:$I$86,2)</f>
        <v>9999</v>
      </c>
      <c r="F1362" s="0" t="n">
        <f aca="false">IF(C1362&gt;1,IF(C1362&lt;99,VLOOKUP(C1362,'MSA-Lookup'!$H$1:$I$86,2),C1362),C1362)</f>
        <v>6000</v>
      </c>
      <c r="G1362" s="0" t="n">
        <f aca="false">VLOOKUP(E1362,'MSA-Lookup'!$AA$1:$AB$25,2)</f>
        <v>9999</v>
      </c>
      <c r="H1362" s="0" t="n">
        <f aca="false">IF(C1362&gt;1,IF(C1362&lt;99,VLOOKUP(F1362,'MSA-Lookup'!$AA$1:$AB$25,2),C1362),C1362)</f>
        <v>4472</v>
      </c>
    </row>
    <row r="1363" customFormat="false" ht="12.75" hidden="false" customHeight="false" outlineLevel="0" collapsed="false">
      <c r="A1363" s="0" t="n">
        <f aca="false">B1363*1000+C1363</f>
        <v>26069</v>
      </c>
      <c r="B1363" s="0" t="n">
        <v>26</v>
      </c>
      <c r="C1363" s="0" t="n">
        <v>69</v>
      </c>
      <c r="D1363" s="0" t="n">
        <v>65</v>
      </c>
      <c r="E1363" s="0" t="n">
        <f aca="false">VLOOKUP(B1363,'MSA-Lookup'!$H$2:$I$86,2)</f>
        <v>9999</v>
      </c>
      <c r="F1363" s="0" t="n">
        <f aca="false">IF(C1363&gt;1,IF(C1363&lt;99,VLOOKUP(C1363,'MSA-Lookup'!$H$1:$I$86,2),C1363),C1363)</f>
        <v>6780</v>
      </c>
      <c r="G1363" s="0" t="n">
        <f aca="false">VLOOKUP(E1363,'MSA-Lookup'!$AA$1:$AB$25,2)</f>
        <v>9999</v>
      </c>
      <c r="H1363" s="0" t="n">
        <f aca="false">IF(C1363&gt;1,IF(C1363&lt;99,VLOOKUP(F1363,'MSA-Lookup'!$AA$1:$AB$25,2),C1363),C1363)</f>
        <v>4472</v>
      </c>
    </row>
    <row r="1364" customFormat="false" ht="12.75" hidden="false" customHeight="false" outlineLevel="0" collapsed="false">
      <c r="A1364" s="0" t="n">
        <f aca="false">B1364*1000+C1364</f>
        <v>26071</v>
      </c>
      <c r="B1364" s="0" t="n">
        <v>26</v>
      </c>
      <c r="C1364" s="0" t="n">
        <v>71</v>
      </c>
      <c r="D1364" s="0" t="n">
        <v>0</v>
      </c>
      <c r="E1364" s="0" t="n">
        <f aca="false">VLOOKUP(B1364,'MSA-Lookup'!$H$2:$I$86,2)</f>
        <v>9999</v>
      </c>
      <c r="F1364" s="0" t="n">
        <f aca="false">IF(C1364&gt;1,IF(C1364&lt;99,VLOOKUP(C1364,'MSA-Lookup'!$H$1:$I$86,2),C1364),C1364)</f>
        <v>6780</v>
      </c>
      <c r="G1364" s="0" t="n">
        <f aca="false">VLOOKUP(E1364,'MSA-Lookup'!$AA$1:$AB$25,2)</f>
        <v>9999</v>
      </c>
      <c r="H1364" s="0" t="n">
        <f aca="false">IF(C1364&gt;1,IF(C1364&lt;99,VLOOKUP(F1364,'MSA-Lookup'!$AA$1:$AB$25,2),C1364),C1364)</f>
        <v>4472</v>
      </c>
    </row>
    <row r="1365" customFormat="false" ht="12.75" hidden="false" customHeight="false" outlineLevel="0" collapsed="false">
      <c r="A1365" s="0" t="n">
        <f aca="false">B1365*1000+C1365</f>
        <v>26072</v>
      </c>
      <c r="B1365" s="0" t="n">
        <v>26</v>
      </c>
      <c r="C1365" s="0" t="n">
        <v>72</v>
      </c>
      <c r="D1365" s="0" t="n">
        <v>0</v>
      </c>
      <c r="E1365" s="0" t="n">
        <f aca="false">VLOOKUP(B1365,'MSA-Lookup'!$H$2:$I$86,2)</f>
        <v>9999</v>
      </c>
      <c r="F1365" s="0" t="n">
        <f aca="false">IF(C1365&gt;1,IF(C1365&lt;99,VLOOKUP(C1365,'MSA-Lookup'!$H$1:$I$86,2),C1365),C1365)</f>
        <v>6780</v>
      </c>
      <c r="G1365" s="0" t="n">
        <f aca="false">VLOOKUP(E1365,'MSA-Lookup'!$AA$1:$AB$25,2)</f>
        <v>9999</v>
      </c>
      <c r="H1365" s="0" t="n">
        <f aca="false">IF(C1365&gt;1,IF(C1365&lt;99,VLOOKUP(F1365,'MSA-Lookup'!$AA$1:$AB$25,2),C1365),C1365)</f>
        <v>4472</v>
      </c>
    </row>
    <row r="1366" customFormat="false" ht="12.75" hidden="false" customHeight="false" outlineLevel="0" collapsed="false">
      <c r="A1366" s="0" t="n">
        <f aca="false">B1366*1000+C1366</f>
        <v>26073</v>
      </c>
      <c r="B1366" s="0" t="n">
        <v>26</v>
      </c>
      <c r="C1366" s="0" t="n">
        <v>73</v>
      </c>
      <c r="D1366" s="0" t="n">
        <v>0</v>
      </c>
      <c r="E1366" s="0" t="n">
        <f aca="false">VLOOKUP(B1366,'MSA-Lookup'!$H$2:$I$86,2)</f>
        <v>9999</v>
      </c>
      <c r="F1366" s="0" t="n">
        <f aca="false">IF(C1366&gt;1,IF(C1366&lt;99,VLOOKUP(C1366,'MSA-Lookup'!$H$1:$I$86,2),C1366),C1366)</f>
        <v>8720</v>
      </c>
      <c r="G1366" s="0" t="n">
        <f aca="false">VLOOKUP(E1366,'MSA-Lookup'!$AA$1:$AB$25,2)</f>
        <v>9999</v>
      </c>
      <c r="H1366" s="0" t="n">
        <f aca="false">IF(C1366&gt;1,IF(C1366&lt;99,VLOOKUP(F1366,'MSA-Lookup'!$AA$1:$AB$25,2),C1366),C1366)</f>
        <v>7362</v>
      </c>
    </row>
    <row r="1367" customFormat="false" ht="12.75" hidden="false" customHeight="false" outlineLevel="0" collapsed="false">
      <c r="A1367" s="0" t="n">
        <f aca="false">B1367*1000+C1367</f>
        <v>26075</v>
      </c>
      <c r="B1367" s="0" t="n">
        <v>26</v>
      </c>
      <c r="C1367" s="0" t="n">
        <v>75</v>
      </c>
      <c r="D1367" s="0" t="n">
        <v>0</v>
      </c>
      <c r="E1367" s="0" t="n">
        <f aca="false">VLOOKUP(B1367,'MSA-Lookup'!$H$2:$I$86,2)</f>
        <v>9999</v>
      </c>
      <c r="F1367" s="0" t="n">
        <f aca="false">IF(C1367&gt;1,IF(C1367&lt;99,VLOOKUP(C1367,'MSA-Lookup'!$H$1:$I$86,2),C1367),C1367)</f>
        <v>8780</v>
      </c>
      <c r="G1367" s="0" t="n">
        <f aca="false">VLOOKUP(E1367,'MSA-Lookup'!$AA$1:$AB$25,2)</f>
        <v>9999</v>
      </c>
      <c r="H1367" s="0" t="n">
        <f aca="false">IF(C1367&gt;1,IF(C1367&lt;99,VLOOKUP(F1367,'MSA-Lookup'!$AA$1:$AB$25,2),C1367),C1367)</f>
        <v>8780</v>
      </c>
    </row>
    <row r="1368" customFormat="false" ht="12.75" hidden="false" customHeight="false" outlineLevel="0" collapsed="false">
      <c r="A1368" s="0" t="n">
        <f aca="false">B1368*1000+C1368</f>
        <v>26076</v>
      </c>
      <c r="B1368" s="0" t="n">
        <v>26</v>
      </c>
      <c r="C1368" s="0" t="n">
        <v>76</v>
      </c>
      <c r="D1368" s="0" t="n">
        <v>0</v>
      </c>
      <c r="E1368" s="0" t="n">
        <f aca="false">VLOOKUP(B1368,'MSA-Lookup'!$H$2:$I$86,2)</f>
        <v>9999</v>
      </c>
      <c r="F1368" s="0" t="n">
        <f aca="false">IF(C1368&gt;1,IF(C1368&lt;99,VLOOKUP(C1368,'MSA-Lookup'!$H$1:$I$86,2),C1368),C1368)</f>
        <v>7485</v>
      </c>
      <c r="G1368" s="0" t="n">
        <f aca="false">VLOOKUP(E1368,'MSA-Lookup'!$AA$1:$AB$25,2)</f>
        <v>9999</v>
      </c>
      <c r="H1368" s="0" t="n">
        <f aca="false">IF(C1368&gt;1,IF(C1368&lt;99,VLOOKUP(F1368,'MSA-Lookup'!$AA$1:$AB$25,2),C1368),C1368)</f>
        <v>7362</v>
      </c>
    </row>
    <row r="1369" customFormat="false" ht="12.75" hidden="false" customHeight="false" outlineLevel="0" collapsed="false">
      <c r="A1369" s="0" t="n">
        <f aca="false">B1369*1000+C1369</f>
        <v>26079</v>
      </c>
      <c r="B1369" s="0" t="n">
        <v>26</v>
      </c>
      <c r="C1369" s="0" t="n">
        <v>79</v>
      </c>
      <c r="D1369" s="0" t="n">
        <v>0</v>
      </c>
      <c r="E1369" s="0" t="n">
        <f aca="false">VLOOKUP(B1369,'MSA-Lookup'!$H$2:$I$86,2)</f>
        <v>9999</v>
      </c>
      <c r="F1369" s="0" t="n">
        <f aca="false">IF(C1369&gt;1,IF(C1369&lt;99,VLOOKUP(C1369,'MSA-Lookup'!$H$1:$I$86,2),C1369),C1369)</f>
        <v>680</v>
      </c>
      <c r="G1369" s="0" t="n">
        <f aca="false">VLOOKUP(E1369,'MSA-Lookup'!$AA$1:$AB$25,2)</f>
        <v>9999</v>
      </c>
      <c r="H1369" s="0" t="n">
        <f aca="false">IF(C1369&gt;1,IF(C1369&lt;99,VLOOKUP(F1369,'MSA-Lookup'!$AA$1:$AB$25,2),C1369),C1369)</f>
        <v>680</v>
      </c>
    </row>
    <row r="1370" customFormat="false" ht="12.75" hidden="false" customHeight="false" outlineLevel="0" collapsed="false">
      <c r="A1370" s="0" t="n">
        <f aca="false">B1370*1000+C1370</f>
        <v>26080</v>
      </c>
      <c r="B1370" s="0" t="n">
        <v>26</v>
      </c>
      <c r="C1370" s="0" t="n">
        <v>80</v>
      </c>
      <c r="D1370" s="0" t="n">
        <v>0</v>
      </c>
      <c r="E1370" s="0" t="n">
        <f aca="false">VLOOKUP(B1370,'MSA-Lookup'!$H$2:$I$86,2)</f>
        <v>9999</v>
      </c>
      <c r="F1370" s="0" t="n">
        <f aca="false">IF(C1370&gt;1,IF(C1370&lt;99,VLOOKUP(C1370,'MSA-Lookup'!$H$1:$I$86,2),C1370),C1370)</f>
        <v>9999</v>
      </c>
      <c r="G1370" s="0" t="n">
        <f aca="false">VLOOKUP(E1370,'MSA-Lookup'!$AA$1:$AB$25,2)</f>
        <v>9999</v>
      </c>
      <c r="H1370" s="0" t="n">
        <f aca="false">IF(C1370&gt;1,IF(C1370&lt;99,VLOOKUP(F1370,'MSA-Lookup'!$AA$1:$AB$25,2),C1370),C1370)</f>
        <v>9999</v>
      </c>
    </row>
    <row r="1371" customFormat="false" ht="12.75" hidden="false" customHeight="false" outlineLevel="0" collapsed="false">
      <c r="A1371" s="0" t="n">
        <f aca="false">B1371*1000+C1371</f>
        <v>26082</v>
      </c>
      <c r="B1371" s="0" t="n">
        <v>26</v>
      </c>
      <c r="C1371" s="0" t="n">
        <v>82</v>
      </c>
      <c r="D1371" s="0" t="n">
        <v>0</v>
      </c>
      <c r="E1371" s="0" t="n">
        <f aca="false">VLOOKUP(B1371,'MSA-Lookup'!$H$2:$I$86,2)</f>
        <v>9999</v>
      </c>
      <c r="F1371" s="0" t="n">
        <f aca="false">IF(C1371&gt;1,IF(C1371&lt;99,VLOOKUP(C1371,'MSA-Lookup'!$H$1:$I$86,2),C1371),C1371)</f>
        <v>6780</v>
      </c>
      <c r="G1371" s="0" t="n">
        <f aca="false">VLOOKUP(E1371,'MSA-Lookup'!$AA$1:$AB$25,2)</f>
        <v>9999</v>
      </c>
      <c r="H1371" s="0" t="n">
        <f aca="false">IF(C1371&gt;1,IF(C1371&lt;99,VLOOKUP(F1371,'MSA-Lookup'!$AA$1:$AB$25,2),C1371),C1371)</f>
        <v>4472</v>
      </c>
    </row>
    <row r="1372" customFormat="false" ht="12.75" hidden="false" customHeight="false" outlineLevel="0" collapsed="false">
      <c r="A1372" s="0" t="n">
        <f aca="false">B1372*1000+C1372</f>
        <v>26085</v>
      </c>
      <c r="B1372" s="0" t="n">
        <v>26</v>
      </c>
      <c r="C1372" s="0" t="n">
        <v>85</v>
      </c>
      <c r="D1372" s="0" t="n">
        <v>1482</v>
      </c>
      <c r="E1372" s="0" t="n">
        <f aca="false">VLOOKUP(B1372,'MSA-Lookup'!$H$2:$I$86,2)</f>
        <v>9999</v>
      </c>
      <c r="F1372" s="0" t="n">
        <f aca="false">IF(C1372&gt;1,IF(C1372&lt;99,VLOOKUP(C1372,'MSA-Lookup'!$H$1:$I$86,2),C1372),C1372)</f>
        <v>8120</v>
      </c>
      <c r="G1372" s="0" t="n">
        <f aca="false">VLOOKUP(E1372,'MSA-Lookup'!$AA$1:$AB$25,2)</f>
        <v>9999</v>
      </c>
      <c r="H1372" s="0" t="n">
        <f aca="false">IF(C1372&gt;1,IF(C1372&lt;99,VLOOKUP(F1372,'MSA-Lookup'!$AA$1:$AB$25,2),C1372),C1372)</f>
        <v>8120</v>
      </c>
    </row>
    <row r="1373" customFormat="false" ht="12.75" hidden="false" customHeight="false" outlineLevel="0" collapsed="false">
      <c r="A1373" s="0" t="n">
        <f aca="false">B1373*1000+C1373</f>
        <v>26858</v>
      </c>
      <c r="B1373" s="0" t="n">
        <v>26</v>
      </c>
      <c r="C1373" s="0" t="n">
        <v>858</v>
      </c>
      <c r="D1373" s="0" t="n">
        <v>0</v>
      </c>
      <c r="E1373" s="0" t="n">
        <f aca="false">VLOOKUP(B1373,'MSA-Lookup'!$H$2:$I$86,2)</f>
        <v>9999</v>
      </c>
      <c r="F1373" s="0" t="n">
        <f aca="false">IF(C1373&gt;1,IF(C1373&lt;99,VLOOKUP(C1373,'MSA-Lookup'!$H$1:$I$86,2),C1373),C1373)</f>
        <v>858</v>
      </c>
      <c r="G1373" s="0" t="n">
        <f aca="false">VLOOKUP(E1373,'MSA-Lookup'!$AA$1:$AB$25,2)</f>
        <v>9999</v>
      </c>
      <c r="H1373" s="0" t="n">
        <f aca="false">IF(C1373&gt;1,IF(C1373&lt;99,VLOOKUP(F1373,'MSA-Lookup'!$AA$1:$AB$25,2),C1373),C1373)</f>
        <v>858</v>
      </c>
    </row>
    <row r="1374" customFormat="false" ht="12.75" hidden="false" customHeight="false" outlineLevel="0" collapsed="false">
      <c r="A1374" s="0" t="n">
        <f aca="false">B1374*1000+C1374</f>
        <v>26999</v>
      </c>
      <c r="B1374" s="0" t="n">
        <v>26</v>
      </c>
      <c r="C1374" s="0" t="n">
        <v>999</v>
      </c>
      <c r="D1374" s="0" t="n">
        <v>0</v>
      </c>
      <c r="E1374" s="0" t="n">
        <f aca="false">VLOOKUP(B1374,'MSA-Lookup'!$H$2:$I$86,2)</f>
        <v>9999</v>
      </c>
      <c r="F1374" s="0" t="n">
        <f aca="false">IF(C1374&gt;1,IF(C1374&lt;99,VLOOKUP(C1374,'MSA-Lookup'!$H$1:$I$86,2),C1374),C1374)</f>
        <v>999</v>
      </c>
      <c r="G1374" s="0" t="n">
        <f aca="false">VLOOKUP(E1374,'MSA-Lookup'!$AA$1:$AB$25,2)</f>
        <v>9999</v>
      </c>
      <c r="H1374" s="0" t="n">
        <f aca="false">IF(C1374&gt;1,IF(C1374&lt;99,VLOOKUP(F1374,'MSA-Lookup'!$AA$1:$AB$25,2),C1374),C1374)</f>
        <v>999</v>
      </c>
    </row>
    <row r="1375" customFormat="false" ht="12.75" hidden="false" customHeight="false" outlineLevel="0" collapsed="false">
      <c r="A1375" s="0" t="n">
        <f aca="false">B1375*1000+C1375</f>
        <v>27000</v>
      </c>
      <c r="B1375" s="0" t="n">
        <v>27</v>
      </c>
      <c r="C1375" s="0" t="n">
        <v>0</v>
      </c>
      <c r="D1375" s="0" t="n">
        <v>78299</v>
      </c>
      <c r="E1375" s="0" t="n">
        <f aca="false">VLOOKUP(B1375,'MSA-Lookup'!$H$2:$I$86,2)</f>
        <v>9999</v>
      </c>
      <c r="F1375" s="0" t="n">
        <f aca="false">IF(C1375&gt;1,IF(C1375&lt;99,VLOOKUP(C1375,'MSA-Lookup'!$H$1:$I$86,2),C1375),C1375)</f>
        <v>0</v>
      </c>
      <c r="G1375" s="0" t="n">
        <f aca="false">VLOOKUP(E1375,'MSA-Lookup'!$AA$1:$AB$25,2)</f>
        <v>9999</v>
      </c>
      <c r="H1375" s="0" t="n">
        <f aca="false">IF(C1375&gt;1,IF(C1375&lt;99,VLOOKUP(F1375,'MSA-Lookup'!$AA$1:$AB$25,2),C1375),C1375)</f>
        <v>0</v>
      </c>
    </row>
    <row r="1376" customFormat="false" ht="12.75" hidden="false" customHeight="false" outlineLevel="0" collapsed="false">
      <c r="A1376" s="0" t="n">
        <f aca="false">B1376*1000+C1376</f>
        <v>27001</v>
      </c>
      <c r="B1376" s="0" t="n">
        <v>27</v>
      </c>
      <c r="C1376" s="0" t="n">
        <v>1</v>
      </c>
      <c r="D1376" s="0" t="n">
        <v>0</v>
      </c>
      <c r="E1376" s="0" t="n">
        <f aca="false">VLOOKUP(B1376,'MSA-Lookup'!$H$2:$I$86,2)</f>
        <v>9999</v>
      </c>
      <c r="F1376" s="0" t="n">
        <f aca="false">IF(C1376&gt;1,IF(C1376&lt;99,VLOOKUP(C1376,'MSA-Lookup'!$H$1:$I$86,2),C1376),C1376)</f>
        <v>1</v>
      </c>
      <c r="G1376" s="0" t="n">
        <f aca="false">VLOOKUP(E1376,'MSA-Lookup'!$AA$1:$AB$25,2)</f>
        <v>9999</v>
      </c>
      <c r="H1376" s="0" t="n">
        <f aca="false">IF(C1376&gt;1,IF(C1376&lt;99,VLOOKUP(F1376,'MSA-Lookup'!$AA$1:$AB$25,2),C1376),C1376)</f>
        <v>1</v>
      </c>
    </row>
    <row r="1377" customFormat="false" ht="12.75" hidden="false" customHeight="false" outlineLevel="0" collapsed="false">
      <c r="A1377" s="0" t="n">
        <f aca="false">B1377*1000+C1377</f>
        <v>27002</v>
      </c>
      <c r="B1377" s="0" t="n">
        <v>27</v>
      </c>
      <c r="C1377" s="0" t="n">
        <v>2</v>
      </c>
      <c r="D1377" s="0" t="n">
        <v>0</v>
      </c>
      <c r="E1377" s="0" t="n">
        <f aca="false">VLOOKUP(B1377,'MSA-Lookup'!$H$2:$I$86,2)</f>
        <v>9999</v>
      </c>
      <c r="F1377" s="0" t="n">
        <f aca="false">IF(C1377&gt;1,IF(C1377&lt;99,VLOOKUP(C1377,'MSA-Lookup'!$H$1:$I$86,2),C1377),C1377)</f>
        <v>9999</v>
      </c>
      <c r="G1377" s="0" t="n">
        <f aca="false">VLOOKUP(E1377,'MSA-Lookup'!$AA$1:$AB$25,2)</f>
        <v>9999</v>
      </c>
      <c r="H1377" s="0" t="n">
        <f aca="false">IF(C1377&gt;1,IF(C1377&lt;99,VLOOKUP(F1377,'MSA-Lookup'!$AA$1:$AB$25,2),C1377),C1377)</f>
        <v>9999</v>
      </c>
    </row>
    <row r="1378" customFormat="false" ht="12.75" hidden="false" customHeight="false" outlineLevel="0" collapsed="false">
      <c r="A1378" s="0" t="n">
        <f aca="false">B1378*1000+C1378</f>
        <v>27003</v>
      </c>
      <c r="B1378" s="0" t="n">
        <v>27</v>
      </c>
      <c r="C1378" s="0" t="n">
        <v>3</v>
      </c>
      <c r="D1378" s="0" t="n">
        <v>0</v>
      </c>
      <c r="E1378" s="0" t="n">
        <f aca="false">VLOOKUP(B1378,'MSA-Lookup'!$H$2:$I$86,2)</f>
        <v>9999</v>
      </c>
      <c r="F1378" s="0" t="n">
        <f aca="false">IF(C1378&gt;1,IF(C1378&lt;99,VLOOKUP(C1378,'MSA-Lookup'!$H$1:$I$86,2),C1378),C1378)</f>
        <v>6690</v>
      </c>
      <c r="G1378" s="0" t="n">
        <f aca="false">VLOOKUP(E1378,'MSA-Lookup'!$AA$1:$AB$25,2)</f>
        <v>9999</v>
      </c>
      <c r="H1378" s="0" t="n">
        <f aca="false">IF(C1378&gt;1,IF(C1378&lt;99,VLOOKUP(F1378,'MSA-Lookup'!$AA$1:$AB$25,2),C1378),C1378)</f>
        <v>6690</v>
      </c>
    </row>
    <row r="1379" customFormat="false" ht="12.75" hidden="false" customHeight="false" outlineLevel="0" collapsed="false">
      <c r="A1379" s="0" t="n">
        <f aca="false">B1379*1000+C1379</f>
        <v>27004</v>
      </c>
      <c r="B1379" s="0" t="n">
        <v>27</v>
      </c>
      <c r="C1379" s="0" t="n">
        <v>4</v>
      </c>
      <c r="D1379" s="0" t="n">
        <v>0</v>
      </c>
      <c r="E1379" s="0" t="n">
        <f aca="false">VLOOKUP(B1379,'MSA-Lookup'!$H$2:$I$86,2)</f>
        <v>9999</v>
      </c>
      <c r="F1379" s="0" t="n">
        <f aca="false">IF(C1379&gt;1,IF(C1379&lt;99,VLOOKUP(C1379,'MSA-Lookup'!$H$1:$I$86,2),C1379),C1379)</f>
        <v>9999</v>
      </c>
      <c r="G1379" s="0" t="n">
        <f aca="false">VLOOKUP(E1379,'MSA-Lookup'!$AA$1:$AB$25,2)</f>
        <v>9999</v>
      </c>
      <c r="H1379" s="0" t="n">
        <f aca="false">IF(C1379&gt;1,IF(C1379&lt;99,VLOOKUP(F1379,'MSA-Lookup'!$AA$1:$AB$25,2),C1379),C1379)</f>
        <v>9999</v>
      </c>
    </row>
    <row r="1380" customFormat="false" ht="12.75" hidden="false" customHeight="false" outlineLevel="0" collapsed="false">
      <c r="A1380" s="0" t="n">
        <f aca="false">B1380*1000+C1380</f>
        <v>27005</v>
      </c>
      <c r="B1380" s="0" t="n">
        <v>27</v>
      </c>
      <c r="C1380" s="0" t="n">
        <v>5</v>
      </c>
      <c r="D1380" s="0" t="n">
        <v>0</v>
      </c>
      <c r="E1380" s="0" t="n">
        <f aca="false">VLOOKUP(B1380,'MSA-Lookup'!$H$2:$I$86,2)</f>
        <v>9999</v>
      </c>
      <c r="F1380" s="0" t="n">
        <f aca="false">IF(C1380&gt;1,IF(C1380&lt;99,VLOOKUP(C1380,'MSA-Lookup'!$H$1:$I$86,2),C1380),C1380)</f>
        <v>9999</v>
      </c>
      <c r="G1380" s="0" t="n">
        <f aca="false">VLOOKUP(E1380,'MSA-Lookup'!$AA$1:$AB$25,2)</f>
        <v>9999</v>
      </c>
      <c r="H1380" s="0" t="n">
        <f aca="false">IF(C1380&gt;1,IF(C1380&lt;99,VLOOKUP(F1380,'MSA-Lookup'!$AA$1:$AB$25,2),C1380),C1380)</f>
        <v>9999</v>
      </c>
    </row>
    <row r="1381" customFormat="false" ht="12.75" hidden="false" customHeight="false" outlineLevel="0" collapsed="false">
      <c r="A1381" s="0" t="n">
        <f aca="false">B1381*1000+C1381</f>
        <v>27006</v>
      </c>
      <c r="B1381" s="0" t="n">
        <v>27</v>
      </c>
      <c r="C1381" s="0" t="n">
        <v>6</v>
      </c>
      <c r="D1381" s="0" t="n">
        <v>0</v>
      </c>
      <c r="E1381" s="0" t="n">
        <f aca="false">VLOOKUP(B1381,'MSA-Lookup'!$H$2:$I$86,2)</f>
        <v>9999</v>
      </c>
      <c r="F1381" s="0" t="n">
        <f aca="false">IF(C1381&gt;1,IF(C1381&lt;99,VLOOKUP(C1381,'MSA-Lookup'!$H$1:$I$86,2),C1381),C1381)</f>
        <v>1620</v>
      </c>
      <c r="G1381" s="0" t="n">
        <f aca="false">VLOOKUP(E1381,'MSA-Lookup'!$AA$1:$AB$25,2)</f>
        <v>9999</v>
      </c>
      <c r="H1381" s="0" t="n">
        <f aca="false">IF(C1381&gt;1,IF(C1381&lt;99,VLOOKUP(F1381,'MSA-Lookup'!$AA$1:$AB$25,2),C1381),C1381)</f>
        <v>1620</v>
      </c>
    </row>
    <row r="1382" customFormat="false" ht="12.75" hidden="false" customHeight="false" outlineLevel="0" collapsed="false">
      <c r="A1382" s="0" t="n">
        <f aca="false">B1382*1000+C1382</f>
        <v>27007</v>
      </c>
      <c r="B1382" s="0" t="n">
        <v>27</v>
      </c>
      <c r="C1382" s="0" t="n">
        <v>7</v>
      </c>
      <c r="D1382" s="0" t="n">
        <v>0</v>
      </c>
      <c r="E1382" s="0" t="n">
        <f aca="false">VLOOKUP(B1382,'MSA-Lookup'!$H$2:$I$86,2)</f>
        <v>9999</v>
      </c>
      <c r="F1382" s="0" t="n">
        <f aca="false">IF(C1382&gt;1,IF(C1382&lt;99,VLOOKUP(C1382,'MSA-Lookup'!$H$1:$I$86,2),C1382),C1382)</f>
        <v>9999</v>
      </c>
      <c r="G1382" s="0" t="n">
        <f aca="false">VLOOKUP(E1382,'MSA-Lookup'!$AA$1:$AB$25,2)</f>
        <v>9999</v>
      </c>
      <c r="H1382" s="0" t="n">
        <f aca="false">IF(C1382&gt;1,IF(C1382&lt;99,VLOOKUP(F1382,'MSA-Lookup'!$AA$1:$AB$25,2),C1382),C1382)</f>
        <v>9999</v>
      </c>
    </row>
    <row r="1383" customFormat="false" ht="12.75" hidden="false" customHeight="false" outlineLevel="0" collapsed="false">
      <c r="A1383" s="0" t="n">
        <f aca="false">B1383*1000+C1383</f>
        <v>27008</v>
      </c>
      <c r="B1383" s="0" t="n">
        <v>27</v>
      </c>
      <c r="C1383" s="0" t="n">
        <v>8</v>
      </c>
      <c r="D1383" s="0" t="n">
        <v>0</v>
      </c>
      <c r="E1383" s="0" t="n">
        <f aca="false">VLOOKUP(B1383,'MSA-Lookup'!$H$2:$I$86,2)</f>
        <v>9999</v>
      </c>
      <c r="F1383" s="0" t="n">
        <f aca="false">IF(C1383&gt;1,IF(C1383&lt;99,VLOOKUP(C1383,'MSA-Lookup'!$H$1:$I$86,2),C1383),C1383)</f>
        <v>9340</v>
      </c>
      <c r="G1383" s="0" t="n">
        <f aca="false">VLOOKUP(E1383,'MSA-Lookup'!$AA$1:$AB$25,2)</f>
        <v>9999</v>
      </c>
      <c r="H1383" s="0" t="n">
        <f aca="false">IF(C1383&gt;1,IF(C1383&lt;99,VLOOKUP(F1383,'MSA-Lookup'!$AA$1:$AB$25,2),C1383),C1383)</f>
        <v>9340</v>
      </c>
    </row>
    <row r="1384" customFormat="false" ht="12.75" hidden="false" customHeight="false" outlineLevel="0" collapsed="false">
      <c r="A1384" s="0" t="n">
        <f aca="false">B1384*1000+C1384</f>
        <v>27009</v>
      </c>
      <c r="B1384" s="0" t="n">
        <v>27</v>
      </c>
      <c r="C1384" s="0" t="n">
        <v>9</v>
      </c>
      <c r="D1384" s="0" t="n">
        <v>143</v>
      </c>
      <c r="E1384" s="0" t="n">
        <f aca="false">VLOOKUP(B1384,'MSA-Lookup'!$H$2:$I$86,2)</f>
        <v>9999</v>
      </c>
      <c r="F1384" s="0" t="n">
        <f aca="false">IF(C1384&gt;1,IF(C1384&lt;99,VLOOKUP(C1384,'MSA-Lookup'!$H$1:$I$86,2),C1384),C1384)</f>
        <v>8720</v>
      </c>
      <c r="G1384" s="0" t="n">
        <f aca="false">VLOOKUP(E1384,'MSA-Lookup'!$AA$1:$AB$25,2)</f>
        <v>9999</v>
      </c>
      <c r="H1384" s="0" t="n">
        <f aca="false">IF(C1384&gt;1,IF(C1384&lt;99,VLOOKUP(F1384,'MSA-Lookup'!$AA$1:$AB$25,2),C1384),C1384)</f>
        <v>7362</v>
      </c>
    </row>
    <row r="1385" customFormat="false" ht="12.75" hidden="false" customHeight="false" outlineLevel="0" collapsed="false">
      <c r="A1385" s="0" t="n">
        <f aca="false">B1385*1000+C1385</f>
        <v>27010</v>
      </c>
      <c r="B1385" s="0" t="n">
        <v>27</v>
      </c>
      <c r="C1385" s="0" t="n">
        <v>10</v>
      </c>
      <c r="D1385" s="0" t="n">
        <v>0</v>
      </c>
      <c r="E1385" s="0" t="n">
        <f aca="false">VLOOKUP(B1385,'MSA-Lookup'!$H$2:$I$86,2)</f>
        <v>9999</v>
      </c>
      <c r="F1385" s="0" t="n">
        <f aca="false">IF(C1385&gt;1,IF(C1385&lt;99,VLOOKUP(C1385,'MSA-Lookup'!$H$1:$I$86,2),C1385),C1385)</f>
        <v>6920</v>
      </c>
      <c r="G1385" s="0" t="n">
        <f aca="false">VLOOKUP(E1385,'MSA-Lookup'!$AA$1:$AB$25,2)</f>
        <v>9999</v>
      </c>
      <c r="H1385" s="0" t="n">
        <f aca="false">IF(C1385&gt;1,IF(C1385&lt;99,VLOOKUP(F1385,'MSA-Lookup'!$AA$1:$AB$25,2),C1385),C1385)</f>
        <v>6920</v>
      </c>
    </row>
    <row r="1386" customFormat="false" ht="12.75" hidden="false" customHeight="false" outlineLevel="0" collapsed="false">
      <c r="A1386" s="0" t="n">
        <f aca="false">B1386*1000+C1386</f>
        <v>27011</v>
      </c>
      <c r="B1386" s="0" t="n">
        <v>27</v>
      </c>
      <c r="C1386" s="0" t="n">
        <v>11</v>
      </c>
      <c r="D1386" s="0" t="n">
        <v>0</v>
      </c>
      <c r="E1386" s="0" t="n">
        <f aca="false">VLOOKUP(B1386,'MSA-Lookup'!$H$2:$I$86,2)</f>
        <v>9999</v>
      </c>
      <c r="F1386" s="0" t="n">
        <f aca="false">IF(C1386&gt;1,IF(C1386&lt;99,VLOOKUP(C1386,'MSA-Lookup'!$H$1:$I$86,2),C1386),C1386)</f>
        <v>6920</v>
      </c>
      <c r="G1386" s="0" t="n">
        <f aca="false">VLOOKUP(E1386,'MSA-Lookup'!$AA$1:$AB$25,2)</f>
        <v>9999</v>
      </c>
      <c r="H1386" s="0" t="n">
        <f aca="false">IF(C1386&gt;1,IF(C1386&lt;99,VLOOKUP(F1386,'MSA-Lookup'!$AA$1:$AB$25,2),C1386),C1386)</f>
        <v>6920</v>
      </c>
    </row>
    <row r="1387" customFormat="false" ht="12.75" hidden="false" customHeight="false" outlineLevel="0" collapsed="false">
      <c r="A1387" s="0" t="n">
        <f aca="false">B1387*1000+C1387</f>
        <v>27012</v>
      </c>
      <c r="B1387" s="0" t="n">
        <v>27</v>
      </c>
      <c r="C1387" s="0" t="n">
        <v>12</v>
      </c>
      <c r="D1387" s="0" t="n">
        <v>0</v>
      </c>
      <c r="E1387" s="0" t="n">
        <f aca="false">VLOOKUP(B1387,'MSA-Lookup'!$H$2:$I$86,2)</f>
        <v>9999</v>
      </c>
      <c r="F1387" s="0" t="n">
        <f aca="false">IF(C1387&gt;1,IF(C1387&lt;99,VLOOKUP(C1387,'MSA-Lookup'!$H$1:$I$86,2),C1387),C1387)</f>
        <v>6920</v>
      </c>
      <c r="G1387" s="0" t="n">
        <f aca="false">VLOOKUP(E1387,'MSA-Lookup'!$AA$1:$AB$25,2)</f>
        <v>9999</v>
      </c>
      <c r="H1387" s="0" t="n">
        <f aca="false">IF(C1387&gt;1,IF(C1387&lt;99,VLOOKUP(F1387,'MSA-Lookup'!$AA$1:$AB$25,2),C1387),C1387)</f>
        <v>6920</v>
      </c>
    </row>
    <row r="1388" customFormat="false" ht="12.75" hidden="false" customHeight="false" outlineLevel="0" collapsed="false">
      <c r="A1388" s="0" t="n">
        <f aca="false">B1388*1000+C1388</f>
        <v>27013</v>
      </c>
      <c r="B1388" s="0" t="n">
        <v>27</v>
      </c>
      <c r="C1388" s="0" t="n">
        <v>13</v>
      </c>
      <c r="D1388" s="0" t="n">
        <v>0</v>
      </c>
      <c r="E1388" s="0" t="n">
        <f aca="false">VLOOKUP(B1388,'MSA-Lookup'!$H$2:$I$86,2)</f>
        <v>9999</v>
      </c>
      <c r="F1388" s="0" t="n">
        <f aca="false">IF(C1388&gt;1,IF(C1388&lt;99,VLOOKUP(C1388,'MSA-Lookup'!$H$1:$I$86,2),C1388),C1388)</f>
        <v>7500</v>
      </c>
      <c r="G1388" s="0" t="n">
        <f aca="false">VLOOKUP(E1388,'MSA-Lookup'!$AA$1:$AB$25,2)</f>
        <v>9999</v>
      </c>
      <c r="H1388" s="0" t="n">
        <f aca="false">IF(C1388&gt;1,IF(C1388&lt;99,VLOOKUP(F1388,'MSA-Lookup'!$AA$1:$AB$25,2),C1388),C1388)</f>
        <v>7362</v>
      </c>
    </row>
    <row r="1389" customFormat="false" ht="12.75" hidden="false" customHeight="false" outlineLevel="0" collapsed="false">
      <c r="A1389" s="0" t="n">
        <f aca="false">B1389*1000+C1389</f>
        <v>27014</v>
      </c>
      <c r="B1389" s="0" t="n">
        <v>27</v>
      </c>
      <c r="C1389" s="0" t="n">
        <v>14</v>
      </c>
      <c r="D1389" s="0" t="n">
        <v>0</v>
      </c>
      <c r="E1389" s="0" t="n">
        <f aca="false">VLOOKUP(B1389,'MSA-Lookup'!$H$2:$I$86,2)</f>
        <v>9999</v>
      </c>
      <c r="F1389" s="0" t="n">
        <f aca="false">IF(C1389&gt;1,IF(C1389&lt;99,VLOOKUP(C1389,'MSA-Lookup'!$H$1:$I$86,2),C1389),C1389)</f>
        <v>7500</v>
      </c>
      <c r="G1389" s="0" t="n">
        <f aca="false">VLOOKUP(E1389,'MSA-Lookup'!$AA$1:$AB$25,2)</f>
        <v>9999</v>
      </c>
      <c r="H1389" s="0" t="n">
        <f aca="false">IF(C1389&gt;1,IF(C1389&lt;99,VLOOKUP(F1389,'MSA-Lookup'!$AA$1:$AB$25,2),C1389),C1389)</f>
        <v>7362</v>
      </c>
    </row>
    <row r="1390" customFormat="false" ht="12.75" hidden="false" customHeight="false" outlineLevel="0" collapsed="false">
      <c r="A1390" s="0" t="n">
        <f aca="false">B1390*1000+C1390</f>
        <v>27015</v>
      </c>
      <c r="B1390" s="0" t="n">
        <v>27</v>
      </c>
      <c r="C1390" s="0" t="n">
        <v>15</v>
      </c>
      <c r="D1390" s="0" t="n">
        <v>0</v>
      </c>
      <c r="E1390" s="0" t="n">
        <f aca="false">VLOOKUP(B1390,'MSA-Lookup'!$H$2:$I$86,2)</f>
        <v>9999</v>
      </c>
      <c r="F1390" s="0" t="n">
        <f aca="false">IF(C1390&gt;1,IF(C1390&lt;99,VLOOKUP(C1390,'MSA-Lookup'!$H$1:$I$86,2),C1390),C1390)</f>
        <v>7360</v>
      </c>
      <c r="G1390" s="0" t="n">
        <f aca="false">VLOOKUP(E1390,'MSA-Lookup'!$AA$1:$AB$25,2)</f>
        <v>9999</v>
      </c>
      <c r="H1390" s="0" t="n">
        <f aca="false">IF(C1390&gt;1,IF(C1390&lt;99,VLOOKUP(F1390,'MSA-Lookup'!$AA$1:$AB$25,2),C1390),C1390)</f>
        <v>7362</v>
      </c>
    </row>
    <row r="1391" customFormat="false" ht="12.75" hidden="false" customHeight="false" outlineLevel="0" collapsed="false">
      <c r="A1391" s="0" t="n">
        <f aca="false">B1391*1000+C1391</f>
        <v>27016</v>
      </c>
      <c r="B1391" s="0" t="n">
        <v>27</v>
      </c>
      <c r="C1391" s="0" t="n">
        <v>16</v>
      </c>
      <c r="D1391" s="0" t="n">
        <v>0</v>
      </c>
      <c r="E1391" s="0" t="n">
        <f aca="false">VLOOKUP(B1391,'MSA-Lookup'!$H$2:$I$86,2)</f>
        <v>9999</v>
      </c>
      <c r="F1391" s="0" t="n">
        <f aca="false">IF(C1391&gt;1,IF(C1391&lt;99,VLOOKUP(C1391,'MSA-Lookup'!$H$1:$I$86,2),C1391),C1391)</f>
        <v>8720</v>
      </c>
      <c r="G1391" s="0" t="n">
        <f aca="false">VLOOKUP(E1391,'MSA-Lookup'!$AA$1:$AB$25,2)</f>
        <v>9999</v>
      </c>
      <c r="H1391" s="0" t="n">
        <f aca="false">IF(C1391&gt;1,IF(C1391&lt;99,VLOOKUP(F1391,'MSA-Lookup'!$AA$1:$AB$25,2),C1391),C1391)</f>
        <v>7362</v>
      </c>
    </row>
    <row r="1392" customFormat="false" ht="12.75" hidden="false" customHeight="false" outlineLevel="0" collapsed="false">
      <c r="A1392" s="0" t="n">
        <f aca="false">B1392*1000+C1392</f>
        <v>27017</v>
      </c>
      <c r="B1392" s="0" t="n">
        <v>27</v>
      </c>
      <c r="C1392" s="0" t="n">
        <v>17</v>
      </c>
      <c r="D1392" s="0" t="n">
        <v>0</v>
      </c>
      <c r="E1392" s="0" t="n">
        <f aca="false">VLOOKUP(B1392,'MSA-Lookup'!$H$2:$I$86,2)</f>
        <v>9999</v>
      </c>
      <c r="F1392" s="0" t="n">
        <f aca="false">IF(C1392&gt;1,IF(C1392&lt;99,VLOOKUP(C1392,'MSA-Lookup'!$H$1:$I$86,2),C1392),C1392)</f>
        <v>5775</v>
      </c>
      <c r="G1392" s="0" t="n">
        <f aca="false">VLOOKUP(E1392,'MSA-Lookup'!$AA$1:$AB$25,2)</f>
        <v>9999</v>
      </c>
      <c r="H1392" s="0" t="n">
        <f aca="false">IF(C1392&gt;1,IF(C1392&lt;99,VLOOKUP(F1392,'MSA-Lookup'!$AA$1:$AB$25,2),C1392),C1392)</f>
        <v>7362</v>
      </c>
    </row>
    <row r="1393" customFormat="false" ht="12.75" hidden="false" customHeight="false" outlineLevel="0" collapsed="false">
      <c r="A1393" s="0" t="n">
        <f aca="false">B1393*1000+C1393</f>
        <v>27018</v>
      </c>
      <c r="B1393" s="0" t="n">
        <v>27</v>
      </c>
      <c r="C1393" s="0" t="n">
        <v>18</v>
      </c>
      <c r="D1393" s="0" t="n">
        <v>91</v>
      </c>
      <c r="E1393" s="0" t="n">
        <f aca="false">VLOOKUP(B1393,'MSA-Lookup'!$H$2:$I$86,2)</f>
        <v>9999</v>
      </c>
      <c r="F1393" s="0" t="n">
        <f aca="false">IF(C1393&gt;1,IF(C1393&lt;99,VLOOKUP(C1393,'MSA-Lookup'!$H$1:$I$86,2),C1393),C1393)</f>
        <v>5775</v>
      </c>
      <c r="G1393" s="0" t="n">
        <f aca="false">VLOOKUP(E1393,'MSA-Lookup'!$AA$1:$AB$25,2)</f>
        <v>9999</v>
      </c>
      <c r="H1393" s="0" t="n">
        <f aca="false">IF(C1393&gt;1,IF(C1393&lt;99,VLOOKUP(F1393,'MSA-Lookup'!$AA$1:$AB$25,2),C1393),C1393)</f>
        <v>7362</v>
      </c>
    </row>
    <row r="1394" customFormat="false" ht="12.75" hidden="false" customHeight="false" outlineLevel="0" collapsed="false">
      <c r="A1394" s="0" t="n">
        <f aca="false">B1394*1000+C1394</f>
        <v>27019</v>
      </c>
      <c r="B1394" s="0" t="n">
        <v>27</v>
      </c>
      <c r="C1394" s="0" t="n">
        <v>19</v>
      </c>
      <c r="D1394" s="0" t="n">
        <v>0</v>
      </c>
      <c r="E1394" s="0" t="n">
        <f aca="false">VLOOKUP(B1394,'MSA-Lookup'!$H$2:$I$86,2)</f>
        <v>9999</v>
      </c>
      <c r="F1394" s="0" t="n">
        <f aca="false">IF(C1394&gt;1,IF(C1394&lt;99,VLOOKUP(C1394,'MSA-Lookup'!$H$1:$I$86,2),C1394),C1394)</f>
        <v>7360</v>
      </c>
      <c r="G1394" s="0" t="n">
        <f aca="false">VLOOKUP(E1394,'MSA-Lookup'!$AA$1:$AB$25,2)</f>
        <v>9999</v>
      </c>
      <c r="H1394" s="0" t="n">
        <f aca="false">IF(C1394&gt;1,IF(C1394&lt;99,VLOOKUP(F1394,'MSA-Lookup'!$AA$1:$AB$25,2),C1394),C1394)</f>
        <v>7362</v>
      </c>
    </row>
    <row r="1395" customFormat="false" ht="12.75" hidden="false" customHeight="false" outlineLevel="0" collapsed="false">
      <c r="A1395" s="0" t="n">
        <f aca="false">B1395*1000+C1395</f>
        <v>27020</v>
      </c>
      <c r="B1395" s="0" t="n">
        <v>27</v>
      </c>
      <c r="C1395" s="0" t="n">
        <v>20</v>
      </c>
      <c r="D1395" s="0" t="n">
        <v>0</v>
      </c>
      <c r="E1395" s="0" t="n">
        <f aca="false">VLOOKUP(B1395,'MSA-Lookup'!$H$2:$I$86,2)</f>
        <v>9999</v>
      </c>
      <c r="F1395" s="0" t="n">
        <f aca="false">IF(C1395&gt;1,IF(C1395&lt;99,VLOOKUP(C1395,'MSA-Lookup'!$H$1:$I$86,2),C1395),C1395)</f>
        <v>5775</v>
      </c>
      <c r="G1395" s="0" t="n">
        <f aca="false">VLOOKUP(E1395,'MSA-Lookup'!$AA$1:$AB$25,2)</f>
        <v>9999</v>
      </c>
      <c r="H1395" s="0" t="n">
        <f aca="false">IF(C1395&gt;1,IF(C1395&lt;99,VLOOKUP(F1395,'MSA-Lookup'!$AA$1:$AB$25,2),C1395),C1395)</f>
        <v>7362</v>
      </c>
    </row>
    <row r="1396" customFormat="false" ht="12.75" hidden="false" customHeight="false" outlineLevel="0" collapsed="false">
      <c r="A1396" s="0" t="n">
        <f aca="false">B1396*1000+C1396</f>
        <v>27021</v>
      </c>
      <c r="B1396" s="0" t="n">
        <v>27</v>
      </c>
      <c r="C1396" s="0" t="n">
        <v>21</v>
      </c>
      <c r="D1396" s="0" t="n">
        <v>91</v>
      </c>
      <c r="E1396" s="0" t="n">
        <f aca="false">VLOOKUP(B1396,'MSA-Lookup'!$H$2:$I$86,2)</f>
        <v>9999</v>
      </c>
      <c r="F1396" s="0" t="n">
        <f aca="false">IF(C1396&gt;1,IF(C1396&lt;99,VLOOKUP(C1396,'MSA-Lookup'!$H$1:$I$86,2),C1396),C1396)</f>
        <v>5775</v>
      </c>
      <c r="G1396" s="0" t="n">
        <f aca="false">VLOOKUP(E1396,'MSA-Lookup'!$AA$1:$AB$25,2)</f>
        <v>9999</v>
      </c>
      <c r="H1396" s="0" t="n">
        <f aca="false">IF(C1396&gt;1,IF(C1396&lt;99,VLOOKUP(F1396,'MSA-Lookup'!$AA$1:$AB$25,2),C1396),C1396)</f>
        <v>7362</v>
      </c>
    </row>
    <row r="1397" customFormat="false" ht="12.75" hidden="false" customHeight="false" outlineLevel="0" collapsed="false">
      <c r="A1397" s="0" t="n">
        <f aca="false">B1397*1000+C1397</f>
        <v>27022</v>
      </c>
      <c r="B1397" s="0" t="n">
        <v>27</v>
      </c>
      <c r="C1397" s="0" t="n">
        <v>22</v>
      </c>
      <c r="D1397" s="0" t="n">
        <v>0</v>
      </c>
      <c r="E1397" s="0" t="n">
        <f aca="false">VLOOKUP(B1397,'MSA-Lookup'!$H$2:$I$86,2)</f>
        <v>9999</v>
      </c>
      <c r="F1397" s="0" t="n">
        <f aca="false">IF(C1397&gt;1,IF(C1397&lt;99,VLOOKUP(C1397,'MSA-Lookup'!$H$1:$I$86,2),C1397),C1397)</f>
        <v>7360</v>
      </c>
      <c r="G1397" s="0" t="n">
        <f aca="false">VLOOKUP(E1397,'MSA-Lookup'!$AA$1:$AB$25,2)</f>
        <v>9999</v>
      </c>
      <c r="H1397" s="0" t="n">
        <f aca="false">IF(C1397&gt;1,IF(C1397&lt;99,VLOOKUP(F1397,'MSA-Lookup'!$AA$1:$AB$25,2),C1397),C1397)</f>
        <v>7362</v>
      </c>
    </row>
    <row r="1398" customFormat="false" ht="12.75" hidden="false" customHeight="false" outlineLevel="0" collapsed="false">
      <c r="A1398" s="0" t="n">
        <f aca="false">B1398*1000+C1398</f>
        <v>27023</v>
      </c>
      <c r="B1398" s="0" t="n">
        <v>27</v>
      </c>
      <c r="C1398" s="0" t="n">
        <v>23</v>
      </c>
      <c r="D1398" s="0" t="n">
        <v>91</v>
      </c>
      <c r="E1398" s="0" t="n">
        <f aca="false">VLOOKUP(B1398,'MSA-Lookup'!$H$2:$I$86,2)</f>
        <v>9999</v>
      </c>
      <c r="F1398" s="0" t="n">
        <f aca="false">IF(C1398&gt;1,IF(C1398&lt;99,VLOOKUP(C1398,'MSA-Lookup'!$H$1:$I$86,2),C1398),C1398)</f>
        <v>8120</v>
      </c>
      <c r="G1398" s="0" t="n">
        <f aca="false">VLOOKUP(E1398,'MSA-Lookup'!$AA$1:$AB$25,2)</f>
        <v>9999</v>
      </c>
      <c r="H1398" s="0" t="n">
        <f aca="false">IF(C1398&gt;1,IF(C1398&lt;99,VLOOKUP(F1398,'MSA-Lookup'!$AA$1:$AB$25,2),C1398),C1398)</f>
        <v>8120</v>
      </c>
    </row>
    <row r="1399" customFormat="false" ht="12.75" hidden="false" customHeight="false" outlineLevel="0" collapsed="false">
      <c r="A1399" s="0" t="n">
        <f aca="false">B1399*1000+C1399</f>
        <v>27024</v>
      </c>
      <c r="B1399" s="0" t="n">
        <v>27</v>
      </c>
      <c r="C1399" s="0" t="n">
        <v>24</v>
      </c>
      <c r="D1399" s="0" t="n">
        <v>260</v>
      </c>
      <c r="E1399" s="0" t="n">
        <f aca="false">VLOOKUP(B1399,'MSA-Lookup'!$H$2:$I$86,2)</f>
        <v>9999</v>
      </c>
      <c r="F1399" s="0" t="n">
        <f aca="false">IF(C1399&gt;1,IF(C1399&lt;99,VLOOKUP(C1399,'MSA-Lookup'!$H$1:$I$86,2),C1399),C1399)</f>
        <v>5170</v>
      </c>
      <c r="G1399" s="0" t="n">
        <f aca="false">VLOOKUP(E1399,'MSA-Lookup'!$AA$1:$AB$25,2)</f>
        <v>9999</v>
      </c>
      <c r="H1399" s="0" t="n">
        <f aca="false">IF(C1399&gt;1,IF(C1399&lt;99,VLOOKUP(F1399,'MSA-Lookup'!$AA$1:$AB$25,2),C1399),C1399)</f>
        <v>5170</v>
      </c>
    </row>
    <row r="1400" customFormat="false" ht="12.75" hidden="false" customHeight="false" outlineLevel="0" collapsed="false">
      <c r="A1400" s="0" t="n">
        <f aca="false">B1400*1000+C1400</f>
        <v>27025</v>
      </c>
      <c r="B1400" s="0" t="n">
        <v>27</v>
      </c>
      <c r="C1400" s="0" t="n">
        <v>25</v>
      </c>
      <c r="D1400" s="0" t="n">
        <v>0</v>
      </c>
      <c r="E1400" s="0" t="n">
        <f aca="false">VLOOKUP(B1400,'MSA-Lookup'!$H$2:$I$86,2)</f>
        <v>9999</v>
      </c>
      <c r="F1400" s="0" t="n">
        <f aca="false">IF(C1400&gt;1,IF(C1400&lt;99,VLOOKUP(C1400,'MSA-Lookup'!$H$1:$I$86,2),C1400),C1400)</f>
        <v>5170</v>
      </c>
      <c r="G1400" s="0" t="n">
        <f aca="false">VLOOKUP(E1400,'MSA-Lookup'!$AA$1:$AB$25,2)</f>
        <v>9999</v>
      </c>
      <c r="H1400" s="0" t="n">
        <f aca="false">IF(C1400&gt;1,IF(C1400&lt;99,VLOOKUP(F1400,'MSA-Lookup'!$AA$1:$AB$25,2),C1400),C1400)</f>
        <v>5170</v>
      </c>
    </row>
    <row r="1401" customFormat="false" ht="12.75" hidden="false" customHeight="false" outlineLevel="0" collapsed="false">
      <c r="A1401" s="0" t="n">
        <f aca="false">B1401*1000+C1401</f>
        <v>27026</v>
      </c>
      <c r="B1401" s="0" t="n">
        <v>27</v>
      </c>
      <c r="C1401" s="0" t="n">
        <v>26</v>
      </c>
      <c r="D1401" s="0" t="n">
        <v>429</v>
      </c>
      <c r="E1401" s="0" t="n">
        <f aca="false">VLOOKUP(B1401,'MSA-Lookup'!$H$2:$I$86,2)</f>
        <v>9999</v>
      </c>
      <c r="F1401" s="0" t="n">
        <f aca="false">IF(C1401&gt;1,IF(C1401&lt;99,VLOOKUP(C1401,'MSA-Lookup'!$H$1:$I$86,2),C1401),C1401)</f>
        <v>9999</v>
      </c>
      <c r="G1401" s="0" t="n">
        <f aca="false">VLOOKUP(E1401,'MSA-Lookup'!$AA$1:$AB$25,2)</f>
        <v>9999</v>
      </c>
      <c r="H1401" s="0" t="n">
        <f aca="false">IF(C1401&gt;1,IF(C1401&lt;99,VLOOKUP(F1401,'MSA-Lookup'!$AA$1:$AB$25,2),C1401),C1401)</f>
        <v>9999</v>
      </c>
    </row>
    <row r="1402" customFormat="false" ht="12.75" hidden="false" customHeight="false" outlineLevel="0" collapsed="false">
      <c r="A1402" s="0" t="n">
        <f aca="false">B1402*1000+C1402</f>
        <v>27027</v>
      </c>
      <c r="B1402" s="0" t="n">
        <v>27</v>
      </c>
      <c r="C1402" s="0" t="n">
        <v>27</v>
      </c>
      <c r="D1402" s="0" t="n">
        <v>34346</v>
      </c>
      <c r="E1402" s="0" t="n">
        <f aca="false">VLOOKUP(B1402,'MSA-Lookup'!$H$2:$I$86,2)</f>
        <v>9999</v>
      </c>
      <c r="F1402" s="0" t="n">
        <f aca="false">IF(C1402&gt;1,IF(C1402&lt;99,VLOOKUP(C1402,'MSA-Lookup'!$H$1:$I$86,2),C1402),C1402)</f>
        <v>9999</v>
      </c>
      <c r="G1402" s="0" t="n">
        <f aca="false">VLOOKUP(E1402,'MSA-Lookup'!$AA$1:$AB$25,2)</f>
        <v>9999</v>
      </c>
      <c r="H1402" s="0" t="n">
        <f aca="false">IF(C1402&gt;1,IF(C1402&lt;99,VLOOKUP(F1402,'MSA-Lookup'!$AA$1:$AB$25,2),C1402),C1402)</f>
        <v>9999</v>
      </c>
    </row>
    <row r="1403" customFormat="false" ht="12.75" hidden="false" customHeight="false" outlineLevel="0" collapsed="false">
      <c r="A1403" s="0" t="n">
        <f aca="false">B1403*1000+C1403</f>
        <v>27028</v>
      </c>
      <c r="B1403" s="0" t="n">
        <v>27</v>
      </c>
      <c r="C1403" s="0" t="n">
        <v>28</v>
      </c>
      <c r="D1403" s="0" t="n">
        <v>0</v>
      </c>
      <c r="E1403" s="0" t="n">
        <f aca="false">VLOOKUP(B1403,'MSA-Lookup'!$H$2:$I$86,2)</f>
        <v>9999</v>
      </c>
      <c r="F1403" s="0" t="n">
        <f aca="false">IF(C1403&gt;1,IF(C1403&lt;99,VLOOKUP(C1403,'MSA-Lookup'!$H$1:$I$86,2),C1403),C1403)</f>
        <v>6920</v>
      </c>
      <c r="G1403" s="0" t="n">
        <f aca="false">VLOOKUP(E1403,'MSA-Lookup'!$AA$1:$AB$25,2)</f>
        <v>9999</v>
      </c>
      <c r="H1403" s="0" t="n">
        <f aca="false">IF(C1403&gt;1,IF(C1403&lt;99,VLOOKUP(F1403,'MSA-Lookup'!$AA$1:$AB$25,2),C1403),C1403)</f>
        <v>6920</v>
      </c>
    </row>
    <row r="1404" customFormat="false" ht="12.75" hidden="false" customHeight="false" outlineLevel="0" collapsed="false">
      <c r="A1404" s="0" t="n">
        <f aca="false">B1404*1000+C1404</f>
        <v>27029</v>
      </c>
      <c r="B1404" s="0" t="n">
        <v>27</v>
      </c>
      <c r="C1404" s="0" t="n">
        <v>29</v>
      </c>
      <c r="D1404" s="0" t="n">
        <v>0</v>
      </c>
      <c r="E1404" s="0" t="n">
        <f aca="false">VLOOKUP(B1404,'MSA-Lookup'!$H$2:$I$86,2)</f>
        <v>9999</v>
      </c>
      <c r="F1404" s="0" t="n">
        <f aca="false">IF(C1404&gt;1,IF(C1404&lt;99,VLOOKUP(C1404,'MSA-Lookup'!$H$1:$I$86,2),C1404),C1404)</f>
        <v>6920</v>
      </c>
      <c r="G1404" s="0" t="n">
        <f aca="false">VLOOKUP(E1404,'MSA-Lookup'!$AA$1:$AB$25,2)</f>
        <v>9999</v>
      </c>
      <c r="H1404" s="0" t="n">
        <f aca="false">IF(C1404&gt;1,IF(C1404&lt;99,VLOOKUP(F1404,'MSA-Lookup'!$AA$1:$AB$25,2),C1404),C1404)</f>
        <v>6920</v>
      </c>
    </row>
    <row r="1405" customFormat="false" ht="12.75" hidden="false" customHeight="false" outlineLevel="0" collapsed="false">
      <c r="A1405" s="0" t="n">
        <f aca="false">B1405*1000+C1405</f>
        <v>27030</v>
      </c>
      <c r="B1405" s="0" t="n">
        <v>27</v>
      </c>
      <c r="C1405" s="0" t="n">
        <v>30</v>
      </c>
      <c r="D1405" s="0" t="n">
        <v>1105</v>
      </c>
      <c r="E1405" s="0" t="n">
        <f aca="false">VLOOKUP(B1405,'MSA-Lookup'!$H$2:$I$86,2)</f>
        <v>9999</v>
      </c>
      <c r="F1405" s="0" t="n">
        <f aca="false">IF(C1405&gt;1,IF(C1405&lt;99,VLOOKUP(C1405,'MSA-Lookup'!$H$1:$I$86,2),C1405),C1405)</f>
        <v>4940</v>
      </c>
      <c r="G1405" s="0" t="n">
        <f aca="false">VLOOKUP(E1405,'MSA-Lookup'!$AA$1:$AB$25,2)</f>
        <v>9999</v>
      </c>
      <c r="H1405" s="0" t="n">
        <f aca="false">IF(C1405&gt;1,IF(C1405&lt;99,VLOOKUP(F1405,'MSA-Lookup'!$AA$1:$AB$25,2),C1405),C1405)</f>
        <v>4940</v>
      </c>
    </row>
    <row r="1406" customFormat="false" ht="12.75" hidden="false" customHeight="false" outlineLevel="0" collapsed="false">
      <c r="A1406" s="0" t="n">
        <f aca="false">B1406*1000+C1406</f>
        <v>27031</v>
      </c>
      <c r="B1406" s="0" t="n">
        <v>27</v>
      </c>
      <c r="C1406" s="0" t="n">
        <v>31</v>
      </c>
      <c r="D1406" s="0" t="n">
        <v>156</v>
      </c>
      <c r="E1406" s="0" t="n">
        <f aca="false">VLOOKUP(B1406,'MSA-Lookup'!$H$2:$I$86,2)</f>
        <v>9999</v>
      </c>
      <c r="F1406" s="0" t="n">
        <f aca="false">IF(C1406&gt;1,IF(C1406&lt;99,VLOOKUP(C1406,'MSA-Lookup'!$H$1:$I$86,2),C1406),C1406)</f>
        <v>9999</v>
      </c>
      <c r="G1406" s="0" t="n">
        <f aca="false">VLOOKUP(E1406,'MSA-Lookup'!$AA$1:$AB$25,2)</f>
        <v>9999</v>
      </c>
      <c r="H1406" s="0" t="n">
        <f aca="false">IF(C1406&gt;1,IF(C1406&lt;99,VLOOKUP(F1406,'MSA-Lookup'!$AA$1:$AB$25,2),C1406),C1406)</f>
        <v>9999</v>
      </c>
    </row>
    <row r="1407" customFormat="false" ht="12.75" hidden="false" customHeight="false" outlineLevel="0" collapsed="false">
      <c r="A1407" s="0" t="n">
        <f aca="false">B1407*1000+C1407</f>
        <v>27032</v>
      </c>
      <c r="B1407" s="0" t="n">
        <v>27</v>
      </c>
      <c r="C1407" s="0" t="n">
        <v>32</v>
      </c>
      <c r="D1407" s="0" t="n">
        <v>78</v>
      </c>
      <c r="E1407" s="0" t="n">
        <f aca="false">VLOOKUP(B1407,'MSA-Lookup'!$H$2:$I$86,2)</f>
        <v>9999</v>
      </c>
      <c r="F1407" s="0" t="n">
        <f aca="false">IF(C1407&gt;1,IF(C1407&lt;99,VLOOKUP(C1407,'MSA-Lookup'!$H$1:$I$86,2),C1407),C1407)</f>
        <v>7480</v>
      </c>
      <c r="G1407" s="0" t="n">
        <f aca="false">VLOOKUP(E1407,'MSA-Lookup'!$AA$1:$AB$25,2)</f>
        <v>9999</v>
      </c>
      <c r="H1407" s="0" t="n">
        <f aca="false">IF(C1407&gt;1,IF(C1407&lt;99,VLOOKUP(F1407,'MSA-Lookup'!$AA$1:$AB$25,2),C1407),C1407)</f>
        <v>7480</v>
      </c>
    </row>
    <row r="1408" customFormat="false" ht="12.75" hidden="false" customHeight="false" outlineLevel="0" collapsed="false">
      <c r="A1408" s="0" t="n">
        <f aca="false">B1408*1000+C1408</f>
        <v>27033</v>
      </c>
      <c r="B1408" s="0" t="n">
        <v>27</v>
      </c>
      <c r="C1408" s="0" t="n">
        <v>33</v>
      </c>
      <c r="D1408" s="0" t="n">
        <v>0</v>
      </c>
      <c r="E1408" s="0" t="n">
        <f aca="false">VLOOKUP(B1408,'MSA-Lookup'!$H$2:$I$86,2)</f>
        <v>9999</v>
      </c>
      <c r="F1408" s="0" t="n">
        <f aca="false">IF(C1408&gt;1,IF(C1408&lt;99,VLOOKUP(C1408,'MSA-Lookup'!$H$1:$I$86,2),C1408),C1408)</f>
        <v>7320</v>
      </c>
      <c r="G1408" s="0" t="n">
        <f aca="false">VLOOKUP(E1408,'MSA-Lookup'!$AA$1:$AB$25,2)</f>
        <v>9999</v>
      </c>
      <c r="H1408" s="0" t="n">
        <f aca="false">IF(C1408&gt;1,IF(C1408&lt;99,VLOOKUP(F1408,'MSA-Lookup'!$AA$1:$AB$25,2),C1408),C1408)</f>
        <v>7320</v>
      </c>
    </row>
    <row r="1409" customFormat="false" ht="12.75" hidden="false" customHeight="false" outlineLevel="0" collapsed="false">
      <c r="A1409" s="0" t="n">
        <f aca="false">B1409*1000+C1409</f>
        <v>27034</v>
      </c>
      <c r="B1409" s="0" t="n">
        <v>27</v>
      </c>
      <c r="C1409" s="0" t="n">
        <v>34</v>
      </c>
      <c r="D1409" s="0" t="n">
        <v>0</v>
      </c>
      <c r="E1409" s="0" t="n">
        <f aca="false">VLOOKUP(B1409,'MSA-Lookup'!$H$2:$I$86,2)</f>
        <v>9999</v>
      </c>
      <c r="F1409" s="0" t="n">
        <f aca="false">IF(C1409&gt;1,IF(C1409&lt;99,VLOOKUP(C1409,'MSA-Lookup'!$H$1:$I$86,2),C1409),C1409)</f>
        <v>7320</v>
      </c>
      <c r="G1409" s="0" t="n">
        <f aca="false">VLOOKUP(E1409,'MSA-Lookup'!$AA$1:$AB$25,2)</f>
        <v>9999</v>
      </c>
      <c r="H1409" s="0" t="n">
        <f aca="false">IF(C1409&gt;1,IF(C1409&lt;99,VLOOKUP(F1409,'MSA-Lookup'!$AA$1:$AB$25,2),C1409),C1409)</f>
        <v>7320</v>
      </c>
    </row>
    <row r="1410" customFormat="false" ht="12.75" hidden="false" customHeight="false" outlineLevel="0" collapsed="false">
      <c r="A1410" s="0" t="n">
        <f aca="false">B1410*1000+C1410</f>
        <v>27035</v>
      </c>
      <c r="B1410" s="0" t="n">
        <v>27</v>
      </c>
      <c r="C1410" s="0" t="n">
        <v>35</v>
      </c>
      <c r="D1410" s="0" t="n">
        <v>0</v>
      </c>
      <c r="E1410" s="0" t="n">
        <f aca="false">VLOOKUP(B1410,'MSA-Lookup'!$H$2:$I$86,2)</f>
        <v>9999</v>
      </c>
      <c r="F1410" s="0" t="n">
        <f aca="false">IF(C1410&gt;1,IF(C1410&lt;99,VLOOKUP(C1410,'MSA-Lookup'!$H$1:$I$86,2),C1410),C1410)</f>
        <v>7320</v>
      </c>
      <c r="G1410" s="0" t="n">
        <f aca="false">VLOOKUP(E1410,'MSA-Lookup'!$AA$1:$AB$25,2)</f>
        <v>9999</v>
      </c>
      <c r="H1410" s="0" t="n">
        <f aca="false">IF(C1410&gt;1,IF(C1410&lt;99,VLOOKUP(F1410,'MSA-Lookup'!$AA$1:$AB$25,2),C1410),C1410)</f>
        <v>7320</v>
      </c>
    </row>
    <row r="1411" customFormat="false" ht="12.75" hidden="false" customHeight="false" outlineLevel="0" collapsed="false">
      <c r="A1411" s="0" t="n">
        <f aca="false">B1411*1000+C1411</f>
        <v>27037</v>
      </c>
      <c r="B1411" s="0" t="n">
        <v>27</v>
      </c>
      <c r="C1411" s="0" t="n">
        <v>37</v>
      </c>
      <c r="D1411" s="0" t="n">
        <v>0</v>
      </c>
      <c r="E1411" s="0" t="n">
        <f aca="false">VLOOKUP(B1411,'MSA-Lookup'!$H$2:$I$86,2)</f>
        <v>9999</v>
      </c>
      <c r="F1411" s="0" t="n">
        <f aca="false">IF(C1411&gt;1,IF(C1411&lt;99,VLOOKUP(C1411,'MSA-Lookup'!$H$1:$I$86,2),C1411),C1411)</f>
        <v>7320</v>
      </c>
      <c r="G1411" s="0" t="n">
        <f aca="false">VLOOKUP(E1411,'MSA-Lookup'!$AA$1:$AB$25,2)</f>
        <v>9999</v>
      </c>
      <c r="H1411" s="0" t="n">
        <f aca="false">IF(C1411&gt;1,IF(C1411&lt;99,VLOOKUP(F1411,'MSA-Lookup'!$AA$1:$AB$25,2),C1411),C1411)</f>
        <v>7320</v>
      </c>
    </row>
    <row r="1412" customFormat="false" ht="12.75" hidden="false" customHeight="false" outlineLevel="0" collapsed="false">
      <c r="A1412" s="0" t="n">
        <f aca="false">B1412*1000+C1412</f>
        <v>27038</v>
      </c>
      <c r="B1412" s="0" t="n">
        <v>27</v>
      </c>
      <c r="C1412" s="0" t="n">
        <v>38</v>
      </c>
      <c r="D1412" s="0" t="n">
        <v>520</v>
      </c>
      <c r="E1412" s="0" t="n">
        <f aca="false">VLOOKUP(B1412,'MSA-Lookup'!$H$2:$I$86,2)</f>
        <v>9999</v>
      </c>
      <c r="F1412" s="0" t="n">
        <f aca="false">IF(C1412&gt;1,IF(C1412&lt;99,VLOOKUP(C1412,'MSA-Lookup'!$H$1:$I$86,2),C1412),C1412)</f>
        <v>7120</v>
      </c>
      <c r="G1412" s="0" t="n">
        <f aca="false">VLOOKUP(E1412,'MSA-Lookup'!$AA$1:$AB$25,2)</f>
        <v>9999</v>
      </c>
      <c r="H1412" s="0" t="n">
        <f aca="false">IF(C1412&gt;1,IF(C1412&lt;99,VLOOKUP(F1412,'MSA-Lookup'!$AA$1:$AB$25,2),C1412),C1412)</f>
        <v>7120</v>
      </c>
    </row>
    <row r="1413" customFormat="false" ht="12.75" hidden="false" customHeight="false" outlineLevel="0" collapsed="false">
      <c r="A1413" s="0" t="n">
        <f aca="false">B1413*1000+C1413</f>
        <v>27039</v>
      </c>
      <c r="B1413" s="0" t="n">
        <v>27</v>
      </c>
      <c r="C1413" s="0" t="n">
        <v>39</v>
      </c>
      <c r="D1413" s="0" t="n">
        <v>806</v>
      </c>
      <c r="E1413" s="0" t="n">
        <f aca="false">VLOOKUP(B1413,'MSA-Lookup'!$H$2:$I$86,2)</f>
        <v>9999</v>
      </c>
      <c r="F1413" s="0" t="n">
        <f aca="false">IF(C1413&gt;1,IF(C1413&lt;99,VLOOKUP(C1413,'MSA-Lookup'!$H$1:$I$86,2),C1413),C1413)</f>
        <v>7120</v>
      </c>
      <c r="G1413" s="0" t="n">
        <f aca="false">VLOOKUP(E1413,'MSA-Lookup'!$AA$1:$AB$25,2)</f>
        <v>9999</v>
      </c>
      <c r="H1413" s="0" t="n">
        <f aca="false">IF(C1413&gt;1,IF(C1413&lt;99,VLOOKUP(F1413,'MSA-Lookup'!$AA$1:$AB$25,2),C1413),C1413)</f>
        <v>7120</v>
      </c>
    </row>
    <row r="1414" customFormat="false" ht="12.75" hidden="false" customHeight="false" outlineLevel="0" collapsed="false">
      <c r="A1414" s="0" t="n">
        <f aca="false">B1414*1000+C1414</f>
        <v>27040</v>
      </c>
      <c r="B1414" s="0" t="n">
        <v>27</v>
      </c>
      <c r="C1414" s="0" t="n">
        <v>40</v>
      </c>
      <c r="D1414" s="0" t="n">
        <v>4810</v>
      </c>
      <c r="E1414" s="0" t="n">
        <f aca="false">VLOOKUP(B1414,'MSA-Lookup'!$H$2:$I$86,2)</f>
        <v>9999</v>
      </c>
      <c r="F1414" s="0" t="n">
        <f aca="false">IF(C1414&gt;1,IF(C1414&lt;99,VLOOKUP(C1414,'MSA-Lookup'!$H$1:$I$86,2),C1414),C1414)</f>
        <v>2840</v>
      </c>
      <c r="G1414" s="0" t="n">
        <f aca="false">VLOOKUP(E1414,'MSA-Lookup'!$AA$1:$AB$25,2)</f>
        <v>9999</v>
      </c>
      <c r="H1414" s="0" t="n">
        <f aca="false">IF(C1414&gt;1,IF(C1414&lt;99,VLOOKUP(F1414,'MSA-Lookup'!$AA$1:$AB$25,2),C1414),C1414)</f>
        <v>2840</v>
      </c>
    </row>
    <row r="1415" customFormat="false" ht="12.75" hidden="false" customHeight="false" outlineLevel="0" collapsed="false">
      <c r="A1415" s="0" t="n">
        <f aca="false">B1415*1000+C1415</f>
        <v>27041</v>
      </c>
      <c r="B1415" s="0" t="n">
        <v>27</v>
      </c>
      <c r="C1415" s="0" t="n">
        <v>41</v>
      </c>
      <c r="D1415" s="0" t="n">
        <v>2821</v>
      </c>
      <c r="E1415" s="0" t="n">
        <f aca="false">VLOOKUP(B1415,'MSA-Lookup'!$H$2:$I$86,2)</f>
        <v>9999</v>
      </c>
      <c r="F1415" s="0" t="n">
        <f aca="false">IF(C1415&gt;1,IF(C1415&lt;99,VLOOKUP(C1415,'MSA-Lookup'!$H$1:$I$86,2),C1415),C1415)</f>
        <v>2840</v>
      </c>
      <c r="G1415" s="0" t="n">
        <f aca="false">VLOOKUP(E1415,'MSA-Lookup'!$AA$1:$AB$25,2)</f>
        <v>9999</v>
      </c>
      <c r="H1415" s="0" t="n">
        <f aca="false">IF(C1415&gt;1,IF(C1415&lt;99,VLOOKUP(F1415,'MSA-Lookup'!$AA$1:$AB$25,2),C1415),C1415)</f>
        <v>2840</v>
      </c>
    </row>
    <row r="1416" customFormat="false" ht="12.75" hidden="false" customHeight="false" outlineLevel="0" collapsed="false">
      <c r="A1416" s="0" t="n">
        <f aca="false">B1416*1000+C1416</f>
        <v>27042</v>
      </c>
      <c r="B1416" s="0" t="n">
        <v>27</v>
      </c>
      <c r="C1416" s="0" t="n">
        <v>42</v>
      </c>
      <c r="D1416" s="0" t="n">
        <v>0</v>
      </c>
      <c r="E1416" s="0" t="n">
        <f aca="false">VLOOKUP(B1416,'MSA-Lookup'!$H$2:$I$86,2)</f>
        <v>9999</v>
      </c>
      <c r="F1416" s="0" t="n">
        <f aca="false">IF(C1416&gt;1,IF(C1416&lt;99,VLOOKUP(C1416,'MSA-Lookup'!$H$1:$I$86,2),C1416),C1416)</f>
        <v>360</v>
      </c>
      <c r="G1416" s="0" t="n">
        <f aca="false">VLOOKUP(E1416,'MSA-Lookup'!$AA$1:$AB$25,2)</f>
        <v>9999</v>
      </c>
      <c r="H1416" s="0" t="n">
        <f aca="false">IF(C1416&gt;1,IF(C1416&lt;99,VLOOKUP(F1416,'MSA-Lookup'!$AA$1:$AB$25,2),C1416),C1416)</f>
        <v>4472</v>
      </c>
    </row>
    <row r="1417" customFormat="false" ht="12.75" hidden="false" customHeight="false" outlineLevel="0" collapsed="false">
      <c r="A1417" s="0" t="n">
        <f aca="false">B1417*1000+C1417</f>
        <v>27043</v>
      </c>
      <c r="B1417" s="0" t="n">
        <v>27</v>
      </c>
      <c r="C1417" s="0" t="n">
        <v>43</v>
      </c>
      <c r="D1417" s="0" t="n">
        <v>0</v>
      </c>
      <c r="E1417" s="0" t="n">
        <f aca="false">VLOOKUP(B1417,'MSA-Lookup'!$H$2:$I$86,2)</f>
        <v>9999</v>
      </c>
      <c r="F1417" s="0" t="n">
        <f aca="false">IF(C1417&gt;1,IF(C1417&lt;99,VLOOKUP(C1417,'MSA-Lookup'!$H$1:$I$86,2),C1417),C1417)</f>
        <v>360</v>
      </c>
      <c r="G1417" s="0" t="n">
        <f aca="false">VLOOKUP(E1417,'MSA-Lookup'!$AA$1:$AB$25,2)</f>
        <v>9999</v>
      </c>
      <c r="H1417" s="0" t="n">
        <f aca="false">IF(C1417&gt;1,IF(C1417&lt;99,VLOOKUP(F1417,'MSA-Lookup'!$AA$1:$AB$25,2),C1417),C1417)</f>
        <v>4472</v>
      </c>
    </row>
    <row r="1418" customFormat="false" ht="12.75" hidden="false" customHeight="false" outlineLevel="0" collapsed="false">
      <c r="A1418" s="0" t="n">
        <f aca="false">B1418*1000+C1418</f>
        <v>27046</v>
      </c>
      <c r="B1418" s="0" t="n">
        <v>27</v>
      </c>
      <c r="C1418" s="0" t="n">
        <v>46</v>
      </c>
      <c r="D1418" s="0" t="n">
        <v>0</v>
      </c>
      <c r="E1418" s="0" t="n">
        <f aca="false">VLOOKUP(B1418,'MSA-Lookup'!$H$2:$I$86,2)</f>
        <v>9999</v>
      </c>
      <c r="F1418" s="0" t="n">
        <f aca="false">IF(C1418&gt;1,IF(C1418&lt;99,VLOOKUP(C1418,'MSA-Lookup'!$H$1:$I$86,2),C1418),C1418)</f>
        <v>360</v>
      </c>
      <c r="G1418" s="0" t="n">
        <f aca="false">VLOOKUP(E1418,'MSA-Lookup'!$AA$1:$AB$25,2)</f>
        <v>9999</v>
      </c>
      <c r="H1418" s="0" t="n">
        <f aca="false">IF(C1418&gt;1,IF(C1418&lt;99,VLOOKUP(F1418,'MSA-Lookup'!$AA$1:$AB$25,2),C1418),C1418)</f>
        <v>4472</v>
      </c>
    </row>
    <row r="1419" customFormat="false" ht="12.75" hidden="false" customHeight="false" outlineLevel="0" collapsed="false">
      <c r="A1419" s="0" t="n">
        <f aca="false">B1419*1000+C1419</f>
        <v>27048</v>
      </c>
      <c r="B1419" s="0" t="n">
        <v>27</v>
      </c>
      <c r="C1419" s="0" t="n">
        <v>48</v>
      </c>
      <c r="D1419" s="0" t="n">
        <v>0</v>
      </c>
      <c r="E1419" s="0" t="n">
        <f aca="false">VLOOKUP(B1419,'MSA-Lookup'!$H$2:$I$86,2)</f>
        <v>9999</v>
      </c>
      <c r="F1419" s="0" t="n">
        <f aca="false">IF(C1419&gt;1,IF(C1419&lt;99,VLOOKUP(C1419,'MSA-Lookup'!$H$1:$I$86,2),C1419),C1419)</f>
        <v>360</v>
      </c>
      <c r="G1419" s="0" t="n">
        <f aca="false">VLOOKUP(E1419,'MSA-Lookup'!$AA$1:$AB$25,2)</f>
        <v>9999</v>
      </c>
      <c r="H1419" s="0" t="n">
        <f aca="false">IF(C1419&gt;1,IF(C1419&lt;99,VLOOKUP(F1419,'MSA-Lookup'!$AA$1:$AB$25,2),C1419),C1419)</f>
        <v>4472</v>
      </c>
    </row>
    <row r="1420" customFormat="false" ht="12.75" hidden="false" customHeight="false" outlineLevel="0" collapsed="false">
      <c r="A1420" s="0" t="n">
        <f aca="false">B1420*1000+C1420</f>
        <v>27049</v>
      </c>
      <c r="B1420" s="0" t="n">
        <v>27</v>
      </c>
      <c r="C1420" s="0" t="n">
        <v>49</v>
      </c>
      <c r="D1420" s="0" t="n">
        <v>2535</v>
      </c>
      <c r="E1420" s="0" t="n">
        <f aca="false">VLOOKUP(B1420,'MSA-Lookup'!$H$2:$I$86,2)</f>
        <v>9999</v>
      </c>
      <c r="F1420" s="0" t="n">
        <f aca="false">IF(C1420&gt;1,IF(C1420&lt;99,VLOOKUP(C1420,'MSA-Lookup'!$H$1:$I$86,2),C1420),C1420)</f>
        <v>7400</v>
      </c>
      <c r="G1420" s="0" t="n">
        <f aca="false">VLOOKUP(E1420,'MSA-Lookup'!$AA$1:$AB$25,2)</f>
        <v>9999</v>
      </c>
      <c r="H1420" s="0" t="n">
        <f aca="false">IF(C1420&gt;1,IF(C1420&lt;99,VLOOKUP(F1420,'MSA-Lookup'!$AA$1:$AB$25,2),C1420),C1420)</f>
        <v>7362</v>
      </c>
    </row>
    <row r="1421" customFormat="false" ht="12.75" hidden="false" customHeight="false" outlineLevel="0" collapsed="false">
      <c r="A1421" s="0" t="n">
        <f aca="false">B1421*1000+C1421</f>
        <v>27050</v>
      </c>
      <c r="B1421" s="0" t="n">
        <v>27</v>
      </c>
      <c r="C1421" s="0" t="n">
        <v>50</v>
      </c>
      <c r="D1421" s="0" t="n">
        <v>351</v>
      </c>
      <c r="E1421" s="0" t="n">
        <f aca="false">VLOOKUP(B1421,'MSA-Lookup'!$H$2:$I$86,2)</f>
        <v>9999</v>
      </c>
      <c r="F1421" s="0" t="n">
        <f aca="false">IF(C1421&gt;1,IF(C1421&lt;99,VLOOKUP(C1421,'MSA-Lookup'!$H$1:$I$86,2),C1421),C1421)</f>
        <v>7400</v>
      </c>
      <c r="G1421" s="0" t="n">
        <f aca="false">VLOOKUP(E1421,'MSA-Lookup'!$AA$1:$AB$25,2)</f>
        <v>9999</v>
      </c>
      <c r="H1421" s="0" t="n">
        <f aca="false">IF(C1421&gt;1,IF(C1421&lt;99,VLOOKUP(F1421,'MSA-Lookup'!$AA$1:$AB$25,2),C1421),C1421)</f>
        <v>7362</v>
      </c>
    </row>
    <row r="1422" customFormat="false" ht="12.75" hidden="false" customHeight="false" outlineLevel="0" collapsed="false">
      <c r="A1422" s="0" t="n">
        <f aca="false">B1422*1000+C1422</f>
        <v>27051</v>
      </c>
      <c r="B1422" s="0" t="n">
        <v>27</v>
      </c>
      <c r="C1422" s="0" t="n">
        <v>51</v>
      </c>
      <c r="D1422" s="0" t="n">
        <v>1222</v>
      </c>
      <c r="E1422" s="0" t="n">
        <f aca="false">VLOOKUP(B1422,'MSA-Lookup'!$H$2:$I$86,2)</f>
        <v>9999</v>
      </c>
      <c r="F1422" s="0" t="n">
        <f aca="false">IF(C1422&gt;1,IF(C1422&lt;99,VLOOKUP(C1422,'MSA-Lookup'!$H$1:$I$86,2),C1422),C1422)</f>
        <v>7400</v>
      </c>
      <c r="G1422" s="0" t="n">
        <f aca="false">VLOOKUP(E1422,'MSA-Lookup'!$AA$1:$AB$25,2)</f>
        <v>9999</v>
      </c>
      <c r="H1422" s="0" t="n">
        <f aca="false">IF(C1422&gt;1,IF(C1422&lt;99,VLOOKUP(F1422,'MSA-Lookup'!$AA$1:$AB$25,2),C1422),C1422)</f>
        <v>7362</v>
      </c>
    </row>
    <row r="1423" customFormat="false" ht="12.75" hidden="false" customHeight="false" outlineLevel="0" collapsed="false">
      <c r="A1423" s="0" t="n">
        <f aca="false">B1423*1000+C1423</f>
        <v>27052</v>
      </c>
      <c r="B1423" s="0" t="n">
        <v>27</v>
      </c>
      <c r="C1423" s="0" t="n">
        <v>52</v>
      </c>
      <c r="D1423" s="0" t="n">
        <v>0</v>
      </c>
      <c r="E1423" s="0" t="n">
        <f aca="false">VLOOKUP(B1423,'MSA-Lookup'!$H$2:$I$86,2)</f>
        <v>9999</v>
      </c>
      <c r="F1423" s="0" t="n">
        <f aca="false">IF(C1423&gt;1,IF(C1423&lt;99,VLOOKUP(C1423,'MSA-Lookup'!$H$1:$I$86,2),C1423),C1423)</f>
        <v>4480</v>
      </c>
      <c r="G1423" s="0" t="n">
        <f aca="false">VLOOKUP(E1423,'MSA-Lookup'!$AA$1:$AB$25,2)</f>
        <v>9999</v>
      </c>
      <c r="H1423" s="0" t="n">
        <f aca="false">IF(C1423&gt;1,IF(C1423&lt;99,VLOOKUP(F1423,'MSA-Lookup'!$AA$1:$AB$25,2),C1423),C1423)</f>
        <v>4472</v>
      </c>
    </row>
    <row r="1424" customFormat="false" ht="12.75" hidden="false" customHeight="false" outlineLevel="0" collapsed="false">
      <c r="A1424" s="0" t="n">
        <f aca="false">B1424*1000+C1424</f>
        <v>27053</v>
      </c>
      <c r="B1424" s="0" t="n">
        <v>27</v>
      </c>
      <c r="C1424" s="0" t="n">
        <v>53</v>
      </c>
      <c r="D1424" s="0" t="n">
        <v>0</v>
      </c>
      <c r="E1424" s="0" t="n">
        <f aca="false">VLOOKUP(B1424,'MSA-Lookup'!$H$2:$I$86,2)</f>
        <v>9999</v>
      </c>
      <c r="F1424" s="0" t="n">
        <f aca="false">IF(C1424&gt;1,IF(C1424&lt;99,VLOOKUP(C1424,'MSA-Lookup'!$H$1:$I$86,2),C1424),C1424)</f>
        <v>4480</v>
      </c>
      <c r="G1424" s="0" t="n">
        <f aca="false">VLOOKUP(E1424,'MSA-Lookup'!$AA$1:$AB$25,2)</f>
        <v>9999</v>
      </c>
      <c r="H1424" s="0" t="n">
        <f aca="false">IF(C1424&gt;1,IF(C1424&lt;99,VLOOKUP(F1424,'MSA-Lookup'!$AA$1:$AB$25,2),C1424),C1424)</f>
        <v>4472</v>
      </c>
    </row>
    <row r="1425" customFormat="false" ht="12.75" hidden="false" customHeight="false" outlineLevel="0" collapsed="false">
      <c r="A1425" s="0" t="n">
        <f aca="false">B1425*1000+C1425</f>
        <v>27054</v>
      </c>
      <c r="B1425" s="0" t="n">
        <v>27</v>
      </c>
      <c r="C1425" s="0" t="n">
        <v>54</v>
      </c>
      <c r="D1425" s="0" t="n">
        <v>0</v>
      </c>
      <c r="E1425" s="0" t="n">
        <f aca="false">VLOOKUP(B1425,'MSA-Lookup'!$H$2:$I$86,2)</f>
        <v>9999</v>
      </c>
      <c r="F1425" s="0" t="n">
        <f aca="false">IF(C1425&gt;1,IF(C1425&lt;99,VLOOKUP(C1425,'MSA-Lookup'!$H$1:$I$86,2),C1425),C1425)</f>
        <v>4480</v>
      </c>
      <c r="G1425" s="0" t="n">
        <f aca="false">VLOOKUP(E1425,'MSA-Lookup'!$AA$1:$AB$25,2)</f>
        <v>9999</v>
      </c>
      <c r="H1425" s="0" t="n">
        <f aca="false">IF(C1425&gt;1,IF(C1425&lt;99,VLOOKUP(F1425,'MSA-Lookup'!$AA$1:$AB$25,2),C1425),C1425)</f>
        <v>4472</v>
      </c>
    </row>
    <row r="1426" customFormat="false" ht="12.75" hidden="false" customHeight="false" outlineLevel="0" collapsed="false">
      <c r="A1426" s="0" t="n">
        <f aca="false">B1426*1000+C1426</f>
        <v>27055</v>
      </c>
      <c r="B1426" s="0" t="n">
        <v>27</v>
      </c>
      <c r="C1426" s="0" t="n">
        <v>55</v>
      </c>
      <c r="D1426" s="0" t="n">
        <v>0</v>
      </c>
      <c r="E1426" s="0" t="n">
        <f aca="false">VLOOKUP(B1426,'MSA-Lookup'!$H$2:$I$86,2)</f>
        <v>9999</v>
      </c>
      <c r="F1426" s="0" t="n">
        <f aca="false">IF(C1426&gt;1,IF(C1426&lt;99,VLOOKUP(C1426,'MSA-Lookup'!$H$1:$I$86,2),C1426),C1426)</f>
        <v>4480</v>
      </c>
      <c r="G1426" s="0" t="n">
        <f aca="false">VLOOKUP(E1426,'MSA-Lookup'!$AA$1:$AB$25,2)</f>
        <v>9999</v>
      </c>
      <c r="H1426" s="0" t="n">
        <f aca="false">IF(C1426&gt;1,IF(C1426&lt;99,VLOOKUP(F1426,'MSA-Lookup'!$AA$1:$AB$25,2),C1426),C1426)</f>
        <v>4472</v>
      </c>
    </row>
    <row r="1427" customFormat="false" ht="12.75" hidden="false" customHeight="false" outlineLevel="0" collapsed="false">
      <c r="A1427" s="0" t="n">
        <f aca="false">B1427*1000+C1427</f>
        <v>27056</v>
      </c>
      <c r="B1427" s="0" t="n">
        <v>27</v>
      </c>
      <c r="C1427" s="0" t="n">
        <v>56</v>
      </c>
      <c r="D1427" s="0" t="n">
        <v>0</v>
      </c>
      <c r="E1427" s="0" t="n">
        <f aca="false">VLOOKUP(B1427,'MSA-Lookup'!$H$2:$I$86,2)</f>
        <v>9999</v>
      </c>
      <c r="F1427" s="0" t="n">
        <f aca="false">IF(C1427&gt;1,IF(C1427&lt;99,VLOOKUP(C1427,'MSA-Lookup'!$H$1:$I$86,2),C1427),C1427)</f>
        <v>4480</v>
      </c>
      <c r="G1427" s="0" t="n">
        <f aca="false">VLOOKUP(E1427,'MSA-Lookup'!$AA$1:$AB$25,2)</f>
        <v>9999</v>
      </c>
      <c r="H1427" s="0" t="n">
        <f aca="false">IF(C1427&gt;1,IF(C1427&lt;99,VLOOKUP(F1427,'MSA-Lookup'!$AA$1:$AB$25,2),C1427),C1427)</f>
        <v>4472</v>
      </c>
    </row>
    <row r="1428" customFormat="false" ht="12.75" hidden="false" customHeight="false" outlineLevel="0" collapsed="false">
      <c r="A1428" s="0" t="n">
        <f aca="false">B1428*1000+C1428</f>
        <v>27057</v>
      </c>
      <c r="B1428" s="0" t="n">
        <v>27</v>
      </c>
      <c r="C1428" s="0" t="n">
        <v>57</v>
      </c>
      <c r="D1428" s="0" t="n">
        <v>0</v>
      </c>
      <c r="E1428" s="0" t="n">
        <f aca="false">VLOOKUP(B1428,'MSA-Lookup'!$H$2:$I$86,2)</f>
        <v>9999</v>
      </c>
      <c r="F1428" s="0" t="n">
        <f aca="false">IF(C1428&gt;1,IF(C1428&lt;99,VLOOKUP(C1428,'MSA-Lookup'!$H$1:$I$86,2),C1428),C1428)</f>
        <v>4480</v>
      </c>
      <c r="G1428" s="0" t="n">
        <f aca="false">VLOOKUP(E1428,'MSA-Lookup'!$AA$1:$AB$25,2)</f>
        <v>9999</v>
      </c>
      <c r="H1428" s="0" t="n">
        <f aca="false">IF(C1428&gt;1,IF(C1428&lt;99,VLOOKUP(F1428,'MSA-Lookup'!$AA$1:$AB$25,2),C1428),C1428)</f>
        <v>4472</v>
      </c>
    </row>
    <row r="1429" customFormat="false" ht="12.75" hidden="false" customHeight="false" outlineLevel="0" collapsed="false">
      <c r="A1429" s="0" t="n">
        <f aca="false">B1429*1000+C1429</f>
        <v>27059</v>
      </c>
      <c r="B1429" s="0" t="n">
        <v>27</v>
      </c>
      <c r="C1429" s="0" t="n">
        <v>59</v>
      </c>
      <c r="D1429" s="0" t="n">
        <v>0</v>
      </c>
      <c r="E1429" s="0" t="n">
        <f aca="false">VLOOKUP(B1429,'MSA-Lookup'!$H$2:$I$86,2)</f>
        <v>9999</v>
      </c>
      <c r="F1429" s="0" t="n">
        <f aca="false">IF(C1429&gt;1,IF(C1429&lt;99,VLOOKUP(C1429,'MSA-Lookup'!$H$1:$I$86,2),C1429),C1429)</f>
        <v>4480</v>
      </c>
      <c r="G1429" s="0" t="n">
        <f aca="false">VLOOKUP(E1429,'MSA-Lookup'!$AA$1:$AB$25,2)</f>
        <v>9999</v>
      </c>
      <c r="H1429" s="0" t="n">
        <f aca="false">IF(C1429&gt;1,IF(C1429&lt;99,VLOOKUP(F1429,'MSA-Lookup'!$AA$1:$AB$25,2),C1429),C1429)</f>
        <v>4472</v>
      </c>
    </row>
    <row r="1430" customFormat="false" ht="12.75" hidden="false" customHeight="false" outlineLevel="0" collapsed="false">
      <c r="A1430" s="0" t="n">
        <f aca="false">B1430*1000+C1430</f>
        <v>27060</v>
      </c>
      <c r="B1430" s="0" t="n">
        <v>27</v>
      </c>
      <c r="C1430" s="0" t="n">
        <v>60</v>
      </c>
      <c r="D1430" s="0" t="n">
        <v>0</v>
      </c>
      <c r="E1430" s="0" t="n">
        <f aca="false">VLOOKUP(B1430,'MSA-Lookup'!$H$2:$I$86,2)</f>
        <v>9999</v>
      </c>
      <c r="F1430" s="0" t="n">
        <f aca="false">IF(C1430&gt;1,IF(C1430&lt;99,VLOOKUP(C1430,'MSA-Lookup'!$H$1:$I$86,2),C1430),C1430)</f>
        <v>4480</v>
      </c>
      <c r="G1430" s="0" t="n">
        <f aca="false">VLOOKUP(E1430,'MSA-Lookup'!$AA$1:$AB$25,2)</f>
        <v>9999</v>
      </c>
      <c r="H1430" s="0" t="n">
        <f aca="false">IF(C1430&gt;1,IF(C1430&lt;99,VLOOKUP(F1430,'MSA-Lookup'!$AA$1:$AB$25,2),C1430),C1430)</f>
        <v>4472</v>
      </c>
    </row>
    <row r="1431" customFormat="false" ht="12.75" hidden="false" customHeight="false" outlineLevel="0" collapsed="false">
      <c r="A1431" s="0" t="n">
        <f aca="false">B1431*1000+C1431</f>
        <v>27062</v>
      </c>
      <c r="B1431" s="0" t="n">
        <v>27</v>
      </c>
      <c r="C1431" s="0" t="n">
        <v>62</v>
      </c>
      <c r="D1431" s="0" t="n">
        <v>0</v>
      </c>
      <c r="E1431" s="0" t="n">
        <f aca="false">VLOOKUP(B1431,'MSA-Lookup'!$H$2:$I$86,2)</f>
        <v>9999</v>
      </c>
      <c r="F1431" s="0" t="n">
        <f aca="false">IF(C1431&gt;1,IF(C1431&lt;99,VLOOKUP(C1431,'MSA-Lookup'!$H$1:$I$86,2),C1431),C1431)</f>
        <v>4480</v>
      </c>
      <c r="G1431" s="0" t="n">
        <f aca="false">VLOOKUP(E1431,'MSA-Lookup'!$AA$1:$AB$25,2)</f>
        <v>9999</v>
      </c>
      <c r="H1431" s="0" t="n">
        <f aca="false">IF(C1431&gt;1,IF(C1431&lt;99,VLOOKUP(F1431,'MSA-Lookup'!$AA$1:$AB$25,2),C1431),C1431)</f>
        <v>4472</v>
      </c>
    </row>
    <row r="1432" customFormat="false" ht="12.75" hidden="false" customHeight="false" outlineLevel="0" collapsed="false">
      <c r="A1432" s="0" t="n">
        <f aca="false">B1432*1000+C1432</f>
        <v>27064</v>
      </c>
      <c r="B1432" s="0" t="n">
        <v>27</v>
      </c>
      <c r="C1432" s="0" t="n">
        <v>64</v>
      </c>
      <c r="D1432" s="0" t="n">
        <v>91</v>
      </c>
      <c r="E1432" s="0" t="n">
        <f aca="false">VLOOKUP(B1432,'MSA-Lookup'!$H$2:$I$86,2)</f>
        <v>9999</v>
      </c>
      <c r="F1432" s="0" t="n">
        <f aca="false">IF(C1432&gt;1,IF(C1432&lt;99,VLOOKUP(C1432,'MSA-Lookup'!$H$1:$I$86,2),C1432),C1432)</f>
        <v>4480</v>
      </c>
      <c r="G1432" s="0" t="n">
        <f aca="false">VLOOKUP(E1432,'MSA-Lookup'!$AA$1:$AB$25,2)</f>
        <v>9999</v>
      </c>
      <c r="H1432" s="0" t="n">
        <f aca="false">IF(C1432&gt;1,IF(C1432&lt;99,VLOOKUP(F1432,'MSA-Lookup'!$AA$1:$AB$25,2),C1432),C1432)</f>
        <v>4472</v>
      </c>
    </row>
    <row r="1433" customFormat="false" ht="12.75" hidden="false" customHeight="false" outlineLevel="0" collapsed="false">
      <c r="A1433" s="0" t="n">
        <f aca="false">B1433*1000+C1433</f>
        <v>27065</v>
      </c>
      <c r="B1433" s="0" t="n">
        <v>27</v>
      </c>
      <c r="C1433" s="0" t="n">
        <v>65</v>
      </c>
      <c r="D1433" s="0" t="n">
        <v>0</v>
      </c>
      <c r="E1433" s="0" t="n">
        <f aca="false">VLOOKUP(B1433,'MSA-Lookup'!$H$2:$I$86,2)</f>
        <v>9999</v>
      </c>
      <c r="F1433" s="0" t="n">
        <f aca="false">IF(C1433&gt;1,IF(C1433&lt;99,VLOOKUP(C1433,'MSA-Lookup'!$H$1:$I$86,2),C1433),C1433)</f>
        <v>4480</v>
      </c>
      <c r="G1433" s="0" t="n">
        <f aca="false">VLOOKUP(E1433,'MSA-Lookup'!$AA$1:$AB$25,2)</f>
        <v>9999</v>
      </c>
      <c r="H1433" s="0" t="n">
        <f aca="false">IF(C1433&gt;1,IF(C1433&lt;99,VLOOKUP(F1433,'MSA-Lookup'!$AA$1:$AB$25,2),C1433),C1433)</f>
        <v>4472</v>
      </c>
    </row>
    <row r="1434" customFormat="false" ht="12.75" hidden="false" customHeight="false" outlineLevel="0" collapsed="false">
      <c r="A1434" s="0" t="n">
        <f aca="false">B1434*1000+C1434</f>
        <v>27066</v>
      </c>
      <c r="B1434" s="0" t="n">
        <v>27</v>
      </c>
      <c r="C1434" s="0" t="n">
        <v>66</v>
      </c>
      <c r="D1434" s="0" t="n">
        <v>0</v>
      </c>
      <c r="E1434" s="0" t="n">
        <f aca="false">VLOOKUP(B1434,'MSA-Lookup'!$H$2:$I$86,2)</f>
        <v>9999</v>
      </c>
      <c r="F1434" s="0" t="n">
        <f aca="false">IF(C1434&gt;1,IF(C1434&lt;99,VLOOKUP(C1434,'MSA-Lookup'!$H$1:$I$86,2),C1434),C1434)</f>
        <v>4480</v>
      </c>
      <c r="G1434" s="0" t="n">
        <f aca="false">VLOOKUP(E1434,'MSA-Lookup'!$AA$1:$AB$25,2)</f>
        <v>9999</v>
      </c>
      <c r="H1434" s="0" t="n">
        <f aca="false">IF(C1434&gt;1,IF(C1434&lt;99,VLOOKUP(F1434,'MSA-Lookup'!$AA$1:$AB$25,2),C1434),C1434)</f>
        <v>4472</v>
      </c>
    </row>
    <row r="1435" customFormat="false" ht="12.75" hidden="false" customHeight="false" outlineLevel="0" collapsed="false">
      <c r="A1435" s="0" t="n">
        <f aca="false">B1435*1000+C1435</f>
        <v>27067</v>
      </c>
      <c r="B1435" s="0" t="n">
        <v>27</v>
      </c>
      <c r="C1435" s="0" t="n">
        <v>67</v>
      </c>
      <c r="D1435" s="0" t="n">
        <v>0</v>
      </c>
      <c r="E1435" s="0" t="n">
        <f aca="false">VLOOKUP(B1435,'MSA-Lookup'!$H$2:$I$86,2)</f>
        <v>9999</v>
      </c>
      <c r="F1435" s="0" t="n">
        <f aca="false">IF(C1435&gt;1,IF(C1435&lt;99,VLOOKUP(C1435,'MSA-Lookup'!$H$1:$I$86,2),C1435),C1435)</f>
        <v>6000</v>
      </c>
      <c r="G1435" s="0" t="n">
        <f aca="false">VLOOKUP(E1435,'MSA-Lookup'!$AA$1:$AB$25,2)</f>
        <v>9999</v>
      </c>
      <c r="H1435" s="0" t="n">
        <f aca="false">IF(C1435&gt;1,IF(C1435&lt;99,VLOOKUP(F1435,'MSA-Lookup'!$AA$1:$AB$25,2),C1435),C1435)</f>
        <v>4472</v>
      </c>
    </row>
    <row r="1436" customFormat="false" ht="12.75" hidden="false" customHeight="false" outlineLevel="0" collapsed="false">
      <c r="A1436" s="0" t="n">
        <f aca="false">B1436*1000+C1436</f>
        <v>27069</v>
      </c>
      <c r="B1436" s="0" t="n">
        <v>27</v>
      </c>
      <c r="C1436" s="0" t="n">
        <v>69</v>
      </c>
      <c r="D1436" s="0" t="n">
        <v>0</v>
      </c>
      <c r="E1436" s="0" t="n">
        <f aca="false">VLOOKUP(B1436,'MSA-Lookup'!$H$2:$I$86,2)</f>
        <v>9999</v>
      </c>
      <c r="F1436" s="0" t="n">
        <f aca="false">IF(C1436&gt;1,IF(C1436&lt;99,VLOOKUP(C1436,'MSA-Lookup'!$H$1:$I$86,2),C1436),C1436)</f>
        <v>6780</v>
      </c>
      <c r="G1436" s="0" t="n">
        <f aca="false">VLOOKUP(E1436,'MSA-Lookup'!$AA$1:$AB$25,2)</f>
        <v>9999</v>
      </c>
      <c r="H1436" s="0" t="n">
        <f aca="false">IF(C1436&gt;1,IF(C1436&lt;99,VLOOKUP(F1436,'MSA-Lookup'!$AA$1:$AB$25,2),C1436),C1436)</f>
        <v>4472</v>
      </c>
    </row>
    <row r="1437" customFormat="false" ht="12.75" hidden="false" customHeight="false" outlineLevel="0" collapsed="false">
      <c r="A1437" s="0" t="n">
        <f aca="false">B1437*1000+C1437</f>
        <v>27071</v>
      </c>
      <c r="B1437" s="0" t="n">
        <v>27</v>
      </c>
      <c r="C1437" s="0" t="n">
        <v>71</v>
      </c>
      <c r="D1437" s="0" t="n">
        <v>0</v>
      </c>
      <c r="E1437" s="0" t="n">
        <f aca="false">VLOOKUP(B1437,'MSA-Lookup'!$H$2:$I$86,2)</f>
        <v>9999</v>
      </c>
      <c r="F1437" s="0" t="n">
        <f aca="false">IF(C1437&gt;1,IF(C1437&lt;99,VLOOKUP(C1437,'MSA-Lookup'!$H$1:$I$86,2),C1437),C1437)</f>
        <v>6780</v>
      </c>
      <c r="G1437" s="0" t="n">
        <f aca="false">VLOOKUP(E1437,'MSA-Lookup'!$AA$1:$AB$25,2)</f>
        <v>9999</v>
      </c>
      <c r="H1437" s="0" t="n">
        <f aca="false">IF(C1437&gt;1,IF(C1437&lt;99,VLOOKUP(F1437,'MSA-Lookup'!$AA$1:$AB$25,2),C1437),C1437)</f>
        <v>4472</v>
      </c>
    </row>
    <row r="1438" customFormat="false" ht="12.75" hidden="false" customHeight="false" outlineLevel="0" collapsed="false">
      <c r="A1438" s="0" t="n">
        <f aca="false">B1438*1000+C1438</f>
        <v>27072</v>
      </c>
      <c r="B1438" s="0" t="n">
        <v>27</v>
      </c>
      <c r="C1438" s="0" t="n">
        <v>72</v>
      </c>
      <c r="D1438" s="0" t="n">
        <v>0</v>
      </c>
      <c r="E1438" s="0" t="n">
        <f aca="false">VLOOKUP(B1438,'MSA-Lookup'!$H$2:$I$86,2)</f>
        <v>9999</v>
      </c>
      <c r="F1438" s="0" t="n">
        <f aca="false">IF(C1438&gt;1,IF(C1438&lt;99,VLOOKUP(C1438,'MSA-Lookup'!$H$1:$I$86,2),C1438),C1438)</f>
        <v>6780</v>
      </c>
      <c r="G1438" s="0" t="n">
        <f aca="false">VLOOKUP(E1438,'MSA-Lookup'!$AA$1:$AB$25,2)</f>
        <v>9999</v>
      </c>
      <c r="H1438" s="0" t="n">
        <f aca="false">IF(C1438&gt;1,IF(C1438&lt;99,VLOOKUP(F1438,'MSA-Lookup'!$AA$1:$AB$25,2),C1438),C1438)</f>
        <v>4472</v>
      </c>
    </row>
    <row r="1439" customFormat="false" ht="12.75" hidden="false" customHeight="false" outlineLevel="0" collapsed="false">
      <c r="A1439" s="0" t="n">
        <f aca="false">B1439*1000+C1439</f>
        <v>27073</v>
      </c>
      <c r="B1439" s="0" t="n">
        <v>27</v>
      </c>
      <c r="C1439" s="0" t="n">
        <v>73</v>
      </c>
      <c r="D1439" s="0" t="n">
        <v>91</v>
      </c>
      <c r="E1439" s="0" t="n">
        <f aca="false">VLOOKUP(B1439,'MSA-Lookup'!$H$2:$I$86,2)</f>
        <v>9999</v>
      </c>
      <c r="F1439" s="0" t="n">
        <f aca="false">IF(C1439&gt;1,IF(C1439&lt;99,VLOOKUP(C1439,'MSA-Lookup'!$H$1:$I$86,2),C1439),C1439)</f>
        <v>8720</v>
      </c>
      <c r="G1439" s="0" t="n">
        <f aca="false">VLOOKUP(E1439,'MSA-Lookup'!$AA$1:$AB$25,2)</f>
        <v>9999</v>
      </c>
      <c r="H1439" s="0" t="n">
        <f aca="false">IF(C1439&gt;1,IF(C1439&lt;99,VLOOKUP(F1439,'MSA-Lookup'!$AA$1:$AB$25,2),C1439),C1439)</f>
        <v>7362</v>
      </c>
    </row>
    <row r="1440" customFormat="false" ht="12.75" hidden="false" customHeight="false" outlineLevel="0" collapsed="false">
      <c r="A1440" s="0" t="n">
        <f aca="false">B1440*1000+C1440</f>
        <v>27075</v>
      </c>
      <c r="B1440" s="0" t="n">
        <v>27</v>
      </c>
      <c r="C1440" s="0" t="n">
        <v>75</v>
      </c>
      <c r="D1440" s="0" t="n">
        <v>130</v>
      </c>
      <c r="E1440" s="0" t="n">
        <f aca="false">VLOOKUP(B1440,'MSA-Lookup'!$H$2:$I$86,2)</f>
        <v>9999</v>
      </c>
      <c r="F1440" s="0" t="n">
        <f aca="false">IF(C1440&gt;1,IF(C1440&lt;99,VLOOKUP(C1440,'MSA-Lookup'!$H$1:$I$86,2),C1440),C1440)</f>
        <v>8780</v>
      </c>
      <c r="G1440" s="0" t="n">
        <f aca="false">VLOOKUP(E1440,'MSA-Lookup'!$AA$1:$AB$25,2)</f>
        <v>9999</v>
      </c>
      <c r="H1440" s="0" t="n">
        <f aca="false">IF(C1440&gt;1,IF(C1440&lt;99,VLOOKUP(F1440,'MSA-Lookup'!$AA$1:$AB$25,2),C1440),C1440)</f>
        <v>8780</v>
      </c>
    </row>
    <row r="1441" customFormat="false" ht="12.75" hidden="false" customHeight="false" outlineLevel="0" collapsed="false">
      <c r="A1441" s="0" t="n">
        <f aca="false">B1441*1000+C1441</f>
        <v>27076</v>
      </c>
      <c r="B1441" s="0" t="n">
        <v>27</v>
      </c>
      <c r="C1441" s="0" t="n">
        <v>76</v>
      </c>
      <c r="D1441" s="0" t="n">
        <v>351</v>
      </c>
      <c r="E1441" s="0" t="n">
        <f aca="false">VLOOKUP(B1441,'MSA-Lookup'!$H$2:$I$86,2)</f>
        <v>9999</v>
      </c>
      <c r="F1441" s="0" t="n">
        <f aca="false">IF(C1441&gt;1,IF(C1441&lt;99,VLOOKUP(C1441,'MSA-Lookup'!$H$1:$I$86,2),C1441),C1441)</f>
        <v>7485</v>
      </c>
      <c r="G1441" s="0" t="n">
        <f aca="false">VLOOKUP(E1441,'MSA-Lookup'!$AA$1:$AB$25,2)</f>
        <v>9999</v>
      </c>
      <c r="H1441" s="0" t="n">
        <f aca="false">IF(C1441&gt;1,IF(C1441&lt;99,VLOOKUP(F1441,'MSA-Lookup'!$AA$1:$AB$25,2),C1441),C1441)</f>
        <v>7362</v>
      </c>
    </row>
    <row r="1442" customFormat="false" ht="12.75" hidden="false" customHeight="false" outlineLevel="0" collapsed="false">
      <c r="A1442" s="0" t="n">
        <f aca="false">B1442*1000+C1442</f>
        <v>27077</v>
      </c>
      <c r="B1442" s="0" t="n">
        <v>27</v>
      </c>
      <c r="C1442" s="0" t="n">
        <v>77</v>
      </c>
      <c r="D1442" s="0" t="n">
        <v>13</v>
      </c>
      <c r="E1442" s="0" t="n">
        <f aca="false">VLOOKUP(B1442,'MSA-Lookup'!$H$2:$I$86,2)</f>
        <v>9999</v>
      </c>
      <c r="F1442" s="0" t="n">
        <f aca="false">IF(C1442&gt;1,IF(C1442&lt;99,VLOOKUP(C1442,'MSA-Lookup'!$H$1:$I$86,2),C1442),C1442)</f>
        <v>9999</v>
      </c>
      <c r="G1442" s="0" t="n">
        <f aca="false">VLOOKUP(E1442,'MSA-Lookup'!$AA$1:$AB$25,2)</f>
        <v>9999</v>
      </c>
      <c r="H1442" s="0" t="n">
        <f aca="false">IF(C1442&gt;1,IF(C1442&lt;99,VLOOKUP(F1442,'MSA-Lookup'!$AA$1:$AB$25,2),C1442),C1442)</f>
        <v>9999</v>
      </c>
    </row>
    <row r="1443" customFormat="false" ht="12.75" hidden="false" customHeight="false" outlineLevel="0" collapsed="false">
      <c r="A1443" s="0" t="n">
        <f aca="false">B1443*1000+C1443</f>
        <v>27079</v>
      </c>
      <c r="B1443" s="0" t="n">
        <v>27</v>
      </c>
      <c r="C1443" s="0" t="n">
        <v>79</v>
      </c>
      <c r="D1443" s="0" t="n">
        <v>143</v>
      </c>
      <c r="E1443" s="0" t="n">
        <f aca="false">VLOOKUP(B1443,'MSA-Lookup'!$H$2:$I$86,2)</f>
        <v>9999</v>
      </c>
      <c r="F1443" s="0" t="n">
        <f aca="false">IF(C1443&gt;1,IF(C1443&lt;99,VLOOKUP(C1443,'MSA-Lookup'!$H$1:$I$86,2),C1443),C1443)</f>
        <v>680</v>
      </c>
      <c r="G1443" s="0" t="n">
        <f aca="false">VLOOKUP(E1443,'MSA-Lookup'!$AA$1:$AB$25,2)</f>
        <v>9999</v>
      </c>
      <c r="H1443" s="0" t="n">
        <f aca="false">IF(C1443&gt;1,IF(C1443&lt;99,VLOOKUP(F1443,'MSA-Lookup'!$AA$1:$AB$25,2),C1443),C1443)</f>
        <v>680</v>
      </c>
    </row>
    <row r="1444" customFormat="false" ht="12.75" hidden="false" customHeight="false" outlineLevel="0" collapsed="false">
      <c r="A1444" s="0" t="n">
        <f aca="false">B1444*1000+C1444</f>
        <v>27080</v>
      </c>
      <c r="B1444" s="0" t="n">
        <v>27</v>
      </c>
      <c r="C1444" s="0" t="n">
        <v>80</v>
      </c>
      <c r="D1444" s="0" t="n">
        <v>0</v>
      </c>
      <c r="E1444" s="0" t="n">
        <f aca="false">VLOOKUP(B1444,'MSA-Lookup'!$H$2:$I$86,2)</f>
        <v>9999</v>
      </c>
      <c r="F1444" s="0" t="n">
        <f aca="false">IF(C1444&gt;1,IF(C1444&lt;99,VLOOKUP(C1444,'MSA-Lookup'!$H$1:$I$86,2),C1444),C1444)</f>
        <v>9999</v>
      </c>
      <c r="G1444" s="0" t="n">
        <f aca="false">VLOOKUP(E1444,'MSA-Lookup'!$AA$1:$AB$25,2)</f>
        <v>9999</v>
      </c>
      <c r="H1444" s="0" t="n">
        <f aca="false">IF(C1444&gt;1,IF(C1444&lt;99,VLOOKUP(F1444,'MSA-Lookup'!$AA$1:$AB$25,2),C1444),C1444)</f>
        <v>9999</v>
      </c>
    </row>
    <row r="1445" customFormat="false" ht="12.75" hidden="false" customHeight="false" outlineLevel="0" collapsed="false">
      <c r="A1445" s="0" t="n">
        <f aca="false">B1445*1000+C1445</f>
        <v>27082</v>
      </c>
      <c r="B1445" s="0" t="n">
        <v>27</v>
      </c>
      <c r="C1445" s="0" t="n">
        <v>82</v>
      </c>
      <c r="D1445" s="0" t="n">
        <v>0</v>
      </c>
      <c r="E1445" s="0" t="n">
        <f aca="false">VLOOKUP(B1445,'MSA-Lookup'!$H$2:$I$86,2)</f>
        <v>9999</v>
      </c>
      <c r="F1445" s="0" t="n">
        <f aca="false">IF(C1445&gt;1,IF(C1445&lt;99,VLOOKUP(C1445,'MSA-Lookup'!$H$1:$I$86,2),C1445),C1445)</f>
        <v>6780</v>
      </c>
      <c r="G1445" s="0" t="n">
        <f aca="false">VLOOKUP(E1445,'MSA-Lookup'!$AA$1:$AB$25,2)</f>
        <v>9999</v>
      </c>
      <c r="H1445" s="0" t="n">
        <f aca="false">IF(C1445&gt;1,IF(C1445&lt;99,VLOOKUP(F1445,'MSA-Lookup'!$AA$1:$AB$25,2),C1445),C1445)</f>
        <v>4472</v>
      </c>
    </row>
    <row r="1446" customFormat="false" ht="12.75" hidden="false" customHeight="false" outlineLevel="0" collapsed="false">
      <c r="A1446" s="0" t="n">
        <f aca="false">B1446*1000+C1446</f>
        <v>27085</v>
      </c>
      <c r="B1446" s="0" t="n">
        <v>27</v>
      </c>
      <c r="C1446" s="0" t="n">
        <v>85</v>
      </c>
      <c r="D1446" s="0" t="n">
        <v>0</v>
      </c>
      <c r="E1446" s="0" t="n">
        <f aca="false">VLOOKUP(B1446,'MSA-Lookup'!$H$2:$I$86,2)</f>
        <v>9999</v>
      </c>
      <c r="F1446" s="0" t="n">
        <f aca="false">IF(C1446&gt;1,IF(C1446&lt;99,VLOOKUP(C1446,'MSA-Lookup'!$H$1:$I$86,2),C1446),C1446)</f>
        <v>8120</v>
      </c>
      <c r="G1446" s="0" t="n">
        <f aca="false">VLOOKUP(E1446,'MSA-Lookup'!$AA$1:$AB$25,2)</f>
        <v>9999</v>
      </c>
      <c r="H1446" s="0" t="n">
        <f aca="false">IF(C1446&gt;1,IF(C1446&lt;99,VLOOKUP(F1446,'MSA-Lookup'!$AA$1:$AB$25,2),C1446),C1446)</f>
        <v>8120</v>
      </c>
    </row>
    <row r="1447" customFormat="false" ht="12.75" hidden="false" customHeight="false" outlineLevel="0" collapsed="false">
      <c r="A1447" s="0" t="n">
        <f aca="false">B1447*1000+C1447</f>
        <v>27858</v>
      </c>
      <c r="B1447" s="0" t="n">
        <v>27</v>
      </c>
      <c r="C1447" s="0" t="n">
        <v>858</v>
      </c>
      <c r="D1447" s="0" t="n">
        <v>0</v>
      </c>
      <c r="E1447" s="0" t="n">
        <f aca="false">VLOOKUP(B1447,'MSA-Lookup'!$H$2:$I$86,2)</f>
        <v>9999</v>
      </c>
      <c r="F1447" s="0" t="n">
        <f aca="false">IF(C1447&gt;1,IF(C1447&lt;99,VLOOKUP(C1447,'MSA-Lookup'!$H$1:$I$86,2),C1447),C1447)</f>
        <v>858</v>
      </c>
      <c r="G1447" s="0" t="n">
        <f aca="false">VLOOKUP(E1447,'MSA-Lookup'!$AA$1:$AB$25,2)</f>
        <v>9999</v>
      </c>
      <c r="H1447" s="0" t="n">
        <f aca="false">IF(C1447&gt;1,IF(C1447&lt;99,VLOOKUP(F1447,'MSA-Lookup'!$AA$1:$AB$25,2),C1447),C1447)</f>
        <v>858</v>
      </c>
    </row>
    <row r="1448" customFormat="false" ht="12.75" hidden="false" customHeight="false" outlineLevel="0" collapsed="false">
      <c r="A1448" s="0" t="n">
        <f aca="false">B1448*1000+C1448</f>
        <v>27999</v>
      </c>
      <c r="B1448" s="0" t="n">
        <v>27</v>
      </c>
      <c r="C1448" s="0" t="n">
        <v>999</v>
      </c>
      <c r="D1448" s="0" t="n">
        <v>0</v>
      </c>
      <c r="E1448" s="0" t="n">
        <f aca="false">VLOOKUP(B1448,'MSA-Lookup'!$H$2:$I$86,2)</f>
        <v>9999</v>
      </c>
      <c r="F1448" s="0" t="n">
        <f aca="false">IF(C1448&gt;1,IF(C1448&lt;99,VLOOKUP(C1448,'MSA-Lookup'!$H$1:$I$86,2),C1448),C1448)</f>
        <v>999</v>
      </c>
      <c r="G1448" s="0" t="n">
        <f aca="false">VLOOKUP(E1448,'MSA-Lookup'!$AA$1:$AB$25,2)</f>
        <v>9999</v>
      </c>
      <c r="H1448" s="0" t="n">
        <f aca="false">IF(C1448&gt;1,IF(C1448&lt;99,VLOOKUP(F1448,'MSA-Lookup'!$AA$1:$AB$25,2),C1448),C1448)</f>
        <v>999</v>
      </c>
    </row>
    <row r="1449" customFormat="false" ht="12.75" hidden="false" customHeight="false" outlineLevel="0" collapsed="false">
      <c r="A1449" s="0" t="n">
        <f aca="false">B1449*1000+C1449</f>
        <v>28000</v>
      </c>
      <c r="B1449" s="0" t="n">
        <v>28</v>
      </c>
      <c r="C1449" s="0" t="n">
        <v>0</v>
      </c>
      <c r="D1449" s="0" t="n">
        <v>215956</v>
      </c>
      <c r="E1449" s="0" t="n">
        <f aca="false">VLOOKUP(B1449,'MSA-Lookup'!$H$2:$I$86,2)</f>
        <v>6920</v>
      </c>
      <c r="F1449" s="0" t="n">
        <f aca="false">IF(C1449&gt;1,IF(C1449&lt;99,VLOOKUP(C1449,'MSA-Lookup'!$H$1:$I$86,2),C1449),C1449)</f>
        <v>0</v>
      </c>
      <c r="G1449" s="0" t="n">
        <f aca="false">VLOOKUP(E1449,'MSA-Lookup'!$AA$1:$AB$25,2)</f>
        <v>6920</v>
      </c>
      <c r="H1449" s="0" t="n">
        <f aca="false">IF(C1449&gt;1,IF(C1449&lt;99,VLOOKUP(F1449,'MSA-Lookup'!$AA$1:$AB$25,2),C1449),C1449)</f>
        <v>0</v>
      </c>
    </row>
    <row r="1450" customFormat="false" ht="12.75" hidden="false" customHeight="false" outlineLevel="0" collapsed="false">
      <c r="A1450" s="0" t="n">
        <f aca="false">B1450*1000+C1450</f>
        <v>28001</v>
      </c>
      <c r="B1450" s="0" t="n">
        <v>28</v>
      </c>
      <c r="C1450" s="0" t="n">
        <v>1</v>
      </c>
      <c r="D1450" s="0" t="n">
        <v>0</v>
      </c>
      <c r="E1450" s="0" t="n">
        <f aca="false">VLOOKUP(B1450,'MSA-Lookup'!$H$2:$I$86,2)</f>
        <v>6920</v>
      </c>
      <c r="F1450" s="0" t="n">
        <f aca="false">IF(C1450&gt;1,IF(C1450&lt;99,VLOOKUP(C1450,'MSA-Lookup'!$H$1:$I$86,2),C1450),C1450)</f>
        <v>1</v>
      </c>
      <c r="G1450" s="0" t="n">
        <f aca="false">VLOOKUP(E1450,'MSA-Lookup'!$AA$1:$AB$25,2)</f>
        <v>6920</v>
      </c>
      <c r="H1450" s="0" t="n">
        <f aca="false">IF(C1450&gt;1,IF(C1450&lt;99,VLOOKUP(F1450,'MSA-Lookup'!$AA$1:$AB$25,2),C1450),C1450)</f>
        <v>1</v>
      </c>
    </row>
    <row r="1451" customFormat="false" ht="12.75" hidden="false" customHeight="false" outlineLevel="0" collapsed="false">
      <c r="A1451" s="0" t="n">
        <f aca="false">B1451*1000+C1451</f>
        <v>28002</v>
      </c>
      <c r="B1451" s="0" t="n">
        <v>28</v>
      </c>
      <c r="C1451" s="0" t="n">
        <v>2</v>
      </c>
      <c r="D1451" s="0" t="n">
        <v>195</v>
      </c>
      <c r="E1451" s="0" t="n">
        <f aca="false">VLOOKUP(B1451,'MSA-Lookup'!$H$2:$I$86,2)</f>
        <v>6920</v>
      </c>
      <c r="F1451" s="0" t="n">
        <f aca="false">IF(C1451&gt;1,IF(C1451&lt;99,VLOOKUP(C1451,'MSA-Lookup'!$H$1:$I$86,2),C1451),C1451)</f>
        <v>9999</v>
      </c>
      <c r="G1451" s="0" t="n">
        <f aca="false">VLOOKUP(E1451,'MSA-Lookup'!$AA$1:$AB$25,2)</f>
        <v>6920</v>
      </c>
      <c r="H1451" s="0" t="n">
        <f aca="false">IF(C1451&gt;1,IF(C1451&lt;99,VLOOKUP(F1451,'MSA-Lookup'!$AA$1:$AB$25,2),C1451),C1451)</f>
        <v>9999</v>
      </c>
    </row>
    <row r="1452" customFormat="false" ht="12.75" hidden="false" customHeight="false" outlineLevel="0" collapsed="false">
      <c r="A1452" s="0" t="n">
        <f aca="false">B1452*1000+C1452</f>
        <v>28003</v>
      </c>
      <c r="B1452" s="0" t="n">
        <v>28</v>
      </c>
      <c r="C1452" s="0" t="n">
        <v>3</v>
      </c>
      <c r="D1452" s="0" t="n">
        <v>117</v>
      </c>
      <c r="E1452" s="0" t="n">
        <f aca="false">VLOOKUP(B1452,'MSA-Lookup'!$H$2:$I$86,2)</f>
        <v>6920</v>
      </c>
      <c r="F1452" s="0" t="n">
        <f aca="false">IF(C1452&gt;1,IF(C1452&lt;99,VLOOKUP(C1452,'MSA-Lookup'!$H$1:$I$86,2),C1452),C1452)</f>
        <v>6690</v>
      </c>
      <c r="G1452" s="0" t="n">
        <f aca="false">VLOOKUP(E1452,'MSA-Lookup'!$AA$1:$AB$25,2)</f>
        <v>6920</v>
      </c>
      <c r="H1452" s="0" t="n">
        <f aca="false">IF(C1452&gt;1,IF(C1452&lt;99,VLOOKUP(F1452,'MSA-Lookup'!$AA$1:$AB$25,2),C1452),C1452)</f>
        <v>6690</v>
      </c>
    </row>
    <row r="1453" customFormat="false" ht="12.75" hidden="false" customHeight="false" outlineLevel="0" collapsed="false">
      <c r="A1453" s="0" t="n">
        <f aca="false">B1453*1000+C1453</f>
        <v>28004</v>
      </c>
      <c r="B1453" s="0" t="n">
        <v>28</v>
      </c>
      <c r="C1453" s="0" t="n">
        <v>4</v>
      </c>
      <c r="D1453" s="0" t="n">
        <v>0</v>
      </c>
      <c r="E1453" s="0" t="n">
        <f aca="false">VLOOKUP(B1453,'MSA-Lookup'!$H$2:$I$86,2)</f>
        <v>6920</v>
      </c>
      <c r="F1453" s="0" t="n">
        <f aca="false">IF(C1453&gt;1,IF(C1453&lt;99,VLOOKUP(C1453,'MSA-Lookup'!$H$1:$I$86,2),C1453),C1453)</f>
        <v>9999</v>
      </c>
      <c r="G1453" s="0" t="n">
        <f aca="false">VLOOKUP(E1453,'MSA-Lookup'!$AA$1:$AB$25,2)</f>
        <v>6920</v>
      </c>
      <c r="H1453" s="0" t="n">
        <f aca="false">IF(C1453&gt;1,IF(C1453&lt;99,VLOOKUP(F1453,'MSA-Lookup'!$AA$1:$AB$25,2),C1453),C1453)</f>
        <v>9999</v>
      </c>
    </row>
    <row r="1454" customFormat="false" ht="12.75" hidden="false" customHeight="false" outlineLevel="0" collapsed="false">
      <c r="A1454" s="0" t="n">
        <f aca="false">B1454*1000+C1454</f>
        <v>28005</v>
      </c>
      <c r="B1454" s="0" t="n">
        <v>28</v>
      </c>
      <c r="C1454" s="0" t="n">
        <v>5</v>
      </c>
      <c r="D1454" s="0" t="n">
        <v>91</v>
      </c>
      <c r="E1454" s="0" t="n">
        <f aca="false">VLOOKUP(B1454,'MSA-Lookup'!$H$2:$I$86,2)</f>
        <v>6920</v>
      </c>
      <c r="F1454" s="0" t="n">
        <f aca="false">IF(C1454&gt;1,IF(C1454&lt;99,VLOOKUP(C1454,'MSA-Lookup'!$H$1:$I$86,2),C1454),C1454)</f>
        <v>9999</v>
      </c>
      <c r="G1454" s="0" t="n">
        <f aca="false">VLOOKUP(E1454,'MSA-Lookup'!$AA$1:$AB$25,2)</f>
        <v>6920</v>
      </c>
      <c r="H1454" s="0" t="n">
        <f aca="false">IF(C1454&gt;1,IF(C1454&lt;99,VLOOKUP(F1454,'MSA-Lookup'!$AA$1:$AB$25,2),C1454),C1454)</f>
        <v>9999</v>
      </c>
    </row>
    <row r="1455" customFormat="false" ht="12.75" hidden="false" customHeight="false" outlineLevel="0" collapsed="false">
      <c r="A1455" s="0" t="n">
        <f aca="false">B1455*1000+C1455</f>
        <v>28006</v>
      </c>
      <c r="B1455" s="0" t="n">
        <v>28</v>
      </c>
      <c r="C1455" s="0" t="n">
        <v>6</v>
      </c>
      <c r="D1455" s="0" t="n">
        <v>0</v>
      </c>
      <c r="E1455" s="0" t="n">
        <f aca="false">VLOOKUP(B1455,'MSA-Lookup'!$H$2:$I$86,2)</f>
        <v>6920</v>
      </c>
      <c r="F1455" s="0" t="n">
        <f aca="false">IF(C1455&gt;1,IF(C1455&lt;99,VLOOKUP(C1455,'MSA-Lookup'!$H$1:$I$86,2),C1455),C1455)</f>
        <v>1620</v>
      </c>
      <c r="G1455" s="0" t="n">
        <f aca="false">VLOOKUP(E1455,'MSA-Lookup'!$AA$1:$AB$25,2)</f>
        <v>6920</v>
      </c>
      <c r="H1455" s="0" t="n">
        <f aca="false">IF(C1455&gt;1,IF(C1455&lt;99,VLOOKUP(F1455,'MSA-Lookup'!$AA$1:$AB$25,2),C1455),C1455)</f>
        <v>1620</v>
      </c>
    </row>
    <row r="1456" customFormat="false" ht="12.75" hidden="false" customHeight="false" outlineLevel="0" collapsed="false">
      <c r="A1456" s="0" t="n">
        <f aca="false">B1456*1000+C1456</f>
        <v>28007</v>
      </c>
      <c r="B1456" s="0" t="n">
        <v>28</v>
      </c>
      <c r="C1456" s="0" t="n">
        <v>7</v>
      </c>
      <c r="D1456" s="0" t="n">
        <v>117</v>
      </c>
      <c r="E1456" s="0" t="n">
        <f aca="false">VLOOKUP(B1456,'MSA-Lookup'!$H$2:$I$86,2)</f>
        <v>6920</v>
      </c>
      <c r="F1456" s="0" t="n">
        <f aca="false">IF(C1456&gt;1,IF(C1456&lt;99,VLOOKUP(C1456,'MSA-Lookup'!$H$1:$I$86,2),C1456),C1456)</f>
        <v>9999</v>
      </c>
      <c r="G1456" s="0" t="n">
        <f aca="false">VLOOKUP(E1456,'MSA-Lookup'!$AA$1:$AB$25,2)</f>
        <v>6920</v>
      </c>
      <c r="H1456" s="0" t="n">
        <f aca="false">IF(C1456&gt;1,IF(C1456&lt;99,VLOOKUP(F1456,'MSA-Lookup'!$AA$1:$AB$25,2),C1456),C1456)</f>
        <v>9999</v>
      </c>
    </row>
    <row r="1457" customFormat="false" ht="12.75" hidden="false" customHeight="false" outlineLevel="0" collapsed="false">
      <c r="A1457" s="0" t="n">
        <f aca="false">B1457*1000+C1457</f>
        <v>28008</v>
      </c>
      <c r="B1457" s="0" t="n">
        <v>28</v>
      </c>
      <c r="C1457" s="0" t="n">
        <v>8</v>
      </c>
      <c r="D1457" s="0" t="n">
        <v>91</v>
      </c>
      <c r="E1457" s="0" t="n">
        <f aca="false">VLOOKUP(B1457,'MSA-Lookup'!$H$2:$I$86,2)</f>
        <v>6920</v>
      </c>
      <c r="F1457" s="0" t="n">
        <f aca="false">IF(C1457&gt;1,IF(C1457&lt;99,VLOOKUP(C1457,'MSA-Lookup'!$H$1:$I$86,2),C1457),C1457)</f>
        <v>9340</v>
      </c>
      <c r="G1457" s="0" t="n">
        <f aca="false">VLOOKUP(E1457,'MSA-Lookup'!$AA$1:$AB$25,2)</f>
        <v>6920</v>
      </c>
      <c r="H1457" s="0" t="n">
        <f aca="false">IF(C1457&gt;1,IF(C1457&lt;99,VLOOKUP(F1457,'MSA-Lookup'!$AA$1:$AB$25,2),C1457),C1457)</f>
        <v>9340</v>
      </c>
    </row>
    <row r="1458" customFormat="false" ht="12.75" hidden="false" customHeight="false" outlineLevel="0" collapsed="false">
      <c r="A1458" s="0" t="n">
        <f aca="false">B1458*1000+C1458</f>
        <v>28009</v>
      </c>
      <c r="B1458" s="0" t="n">
        <v>28</v>
      </c>
      <c r="C1458" s="0" t="n">
        <v>9</v>
      </c>
      <c r="D1458" s="0" t="n">
        <v>0</v>
      </c>
      <c r="E1458" s="0" t="n">
        <f aca="false">VLOOKUP(B1458,'MSA-Lookup'!$H$2:$I$86,2)</f>
        <v>6920</v>
      </c>
      <c r="F1458" s="0" t="n">
        <f aca="false">IF(C1458&gt;1,IF(C1458&lt;99,VLOOKUP(C1458,'MSA-Lookup'!$H$1:$I$86,2),C1458),C1458)</f>
        <v>8720</v>
      </c>
      <c r="G1458" s="0" t="n">
        <f aca="false">VLOOKUP(E1458,'MSA-Lookup'!$AA$1:$AB$25,2)</f>
        <v>6920</v>
      </c>
      <c r="H1458" s="0" t="n">
        <f aca="false">IF(C1458&gt;1,IF(C1458&lt;99,VLOOKUP(F1458,'MSA-Lookup'!$AA$1:$AB$25,2),C1458),C1458)</f>
        <v>7362</v>
      </c>
    </row>
    <row r="1459" customFormat="false" ht="12.75" hidden="false" customHeight="false" outlineLevel="0" collapsed="false">
      <c r="A1459" s="0" t="n">
        <f aca="false">B1459*1000+C1459</f>
        <v>28010</v>
      </c>
      <c r="B1459" s="0" t="n">
        <v>28</v>
      </c>
      <c r="C1459" s="0" t="n">
        <v>10</v>
      </c>
      <c r="D1459" s="0" t="n">
        <v>8320</v>
      </c>
      <c r="E1459" s="0" t="n">
        <f aca="false">VLOOKUP(B1459,'MSA-Lookup'!$H$2:$I$86,2)</f>
        <v>6920</v>
      </c>
      <c r="F1459" s="0" t="n">
        <f aca="false">IF(C1459&gt;1,IF(C1459&lt;99,VLOOKUP(C1459,'MSA-Lookup'!$H$1:$I$86,2),C1459),C1459)</f>
        <v>6920</v>
      </c>
      <c r="G1459" s="0" t="n">
        <f aca="false">VLOOKUP(E1459,'MSA-Lookup'!$AA$1:$AB$25,2)</f>
        <v>6920</v>
      </c>
      <c r="H1459" s="0" t="n">
        <f aca="false">IF(C1459&gt;1,IF(C1459&lt;99,VLOOKUP(F1459,'MSA-Lookup'!$AA$1:$AB$25,2),C1459),C1459)</f>
        <v>6920</v>
      </c>
    </row>
    <row r="1460" customFormat="false" ht="12.75" hidden="false" customHeight="false" outlineLevel="0" collapsed="false">
      <c r="A1460" s="0" t="n">
        <f aca="false">B1460*1000+C1460</f>
        <v>28011</v>
      </c>
      <c r="B1460" s="0" t="n">
        <v>28</v>
      </c>
      <c r="C1460" s="0" t="n">
        <v>11</v>
      </c>
      <c r="D1460" s="0" t="n">
        <v>1365</v>
      </c>
      <c r="E1460" s="0" t="n">
        <f aca="false">VLOOKUP(B1460,'MSA-Lookup'!$H$2:$I$86,2)</f>
        <v>6920</v>
      </c>
      <c r="F1460" s="0" t="n">
        <f aca="false">IF(C1460&gt;1,IF(C1460&lt;99,VLOOKUP(C1460,'MSA-Lookup'!$H$1:$I$86,2),C1460),C1460)</f>
        <v>6920</v>
      </c>
      <c r="G1460" s="0" t="n">
        <f aca="false">VLOOKUP(E1460,'MSA-Lookup'!$AA$1:$AB$25,2)</f>
        <v>6920</v>
      </c>
      <c r="H1460" s="0" t="n">
        <f aca="false">IF(C1460&gt;1,IF(C1460&lt;99,VLOOKUP(F1460,'MSA-Lookup'!$AA$1:$AB$25,2),C1460),C1460)</f>
        <v>6920</v>
      </c>
    </row>
    <row r="1461" customFormat="false" ht="12.75" hidden="false" customHeight="false" outlineLevel="0" collapsed="false">
      <c r="A1461" s="0" t="n">
        <f aca="false">B1461*1000+C1461</f>
        <v>28012</v>
      </c>
      <c r="B1461" s="0" t="n">
        <v>28</v>
      </c>
      <c r="C1461" s="0" t="n">
        <v>12</v>
      </c>
      <c r="D1461" s="0" t="n">
        <v>286</v>
      </c>
      <c r="E1461" s="0" t="n">
        <f aca="false">VLOOKUP(B1461,'MSA-Lookup'!$H$2:$I$86,2)</f>
        <v>6920</v>
      </c>
      <c r="F1461" s="0" t="n">
        <f aca="false">IF(C1461&gt;1,IF(C1461&lt;99,VLOOKUP(C1461,'MSA-Lookup'!$H$1:$I$86,2),C1461),C1461)</f>
        <v>6920</v>
      </c>
      <c r="G1461" s="0" t="n">
        <f aca="false">VLOOKUP(E1461,'MSA-Lookup'!$AA$1:$AB$25,2)</f>
        <v>6920</v>
      </c>
      <c r="H1461" s="0" t="n">
        <f aca="false">IF(C1461&gt;1,IF(C1461&lt;99,VLOOKUP(F1461,'MSA-Lookup'!$AA$1:$AB$25,2),C1461),C1461)</f>
        <v>6920</v>
      </c>
    </row>
    <row r="1462" customFormat="false" ht="12.75" hidden="false" customHeight="false" outlineLevel="0" collapsed="false">
      <c r="A1462" s="0" t="n">
        <f aca="false">B1462*1000+C1462</f>
        <v>28013</v>
      </c>
      <c r="B1462" s="0" t="n">
        <v>28</v>
      </c>
      <c r="C1462" s="0" t="n">
        <v>13</v>
      </c>
      <c r="D1462" s="0" t="n">
        <v>0</v>
      </c>
      <c r="E1462" s="0" t="n">
        <f aca="false">VLOOKUP(B1462,'MSA-Lookup'!$H$2:$I$86,2)</f>
        <v>6920</v>
      </c>
      <c r="F1462" s="0" t="n">
        <f aca="false">IF(C1462&gt;1,IF(C1462&lt;99,VLOOKUP(C1462,'MSA-Lookup'!$H$1:$I$86,2),C1462),C1462)</f>
        <v>7500</v>
      </c>
      <c r="G1462" s="0" t="n">
        <f aca="false">VLOOKUP(E1462,'MSA-Lookup'!$AA$1:$AB$25,2)</f>
        <v>6920</v>
      </c>
      <c r="H1462" s="0" t="n">
        <f aca="false">IF(C1462&gt;1,IF(C1462&lt;99,VLOOKUP(F1462,'MSA-Lookup'!$AA$1:$AB$25,2),C1462),C1462)</f>
        <v>7362</v>
      </c>
    </row>
    <row r="1463" customFormat="false" ht="12.75" hidden="false" customHeight="false" outlineLevel="0" collapsed="false">
      <c r="A1463" s="0" t="n">
        <f aca="false">B1463*1000+C1463</f>
        <v>28014</v>
      </c>
      <c r="B1463" s="0" t="n">
        <v>28</v>
      </c>
      <c r="C1463" s="0" t="n">
        <v>14</v>
      </c>
      <c r="D1463" s="0" t="n">
        <v>0</v>
      </c>
      <c r="E1463" s="0" t="n">
        <f aca="false">VLOOKUP(B1463,'MSA-Lookup'!$H$2:$I$86,2)</f>
        <v>6920</v>
      </c>
      <c r="F1463" s="0" t="n">
        <f aca="false">IF(C1463&gt;1,IF(C1463&lt;99,VLOOKUP(C1463,'MSA-Lookup'!$H$1:$I$86,2),C1463),C1463)</f>
        <v>7500</v>
      </c>
      <c r="G1463" s="0" t="n">
        <f aca="false">VLOOKUP(E1463,'MSA-Lookup'!$AA$1:$AB$25,2)</f>
        <v>6920</v>
      </c>
      <c r="H1463" s="0" t="n">
        <f aca="false">IF(C1463&gt;1,IF(C1463&lt;99,VLOOKUP(F1463,'MSA-Lookup'!$AA$1:$AB$25,2),C1463),C1463)</f>
        <v>7362</v>
      </c>
    </row>
    <row r="1464" customFormat="false" ht="12.75" hidden="false" customHeight="false" outlineLevel="0" collapsed="false">
      <c r="A1464" s="0" t="n">
        <f aca="false">B1464*1000+C1464</f>
        <v>28015</v>
      </c>
      <c r="B1464" s="0" t="n">
        <v>28</v>
      </c>
      <c r="C1464" s="0" t="n">
        <v>15</v>
      </c>
      <c r="D1464" s="0" t="n">
        <v>130</v>
      </c>
      <c r="E1464" s="0" t="n">
        <f aca="false">VLOOKUP(B1464,'MSA-Lookup'!$H$2:$I$86,2)</f>
        <v>6920</v>
      </c>
      <c r="F1464" s="0" t="n">
        <f aca="false">IF(C1464&gt;1,IF(C1464&lt;99,VLOOKUP(C1464,'MSA-Lookup'!$H$1:$I$86,2),C1464),C1464)</f>
        <v>7360</v>
      </c>
      <c r="G1464" s="0" t="n">
        <f aca="false">VLOOKUP(E1464,'MSA-Lookup'!$AA$1:$AB$25,2)</f>
        <v>6920</v>
      </c>
      <c r="H1464" s="0" t="n">
        <f aca="false">IF(C1464&gt;1,IF(C1464&lt;99,VLOOKUP(F1464,'MSA-Lookup'!$AA$1:$AB$25,2),C1464),C1464)</f>
        <v>7362</v>
      </c>
    </row>
    <row r="1465" customFormat="false" ht="12.75" hidden="false" customHeight="false" outlineLevel="0" collapsed="false">
      <c r="A1465" s="0" t="n">
        <f aca="false">B1465*1000+C1465</f>
        <v>28016</v>
      </c>
      <c r="B1465" s="0" t="n">
        <v>28</v>
      </c>
      <c r="C1465" s="0" t="n">
        <v>16</v>
      </c>
      <c r="D1465" s="0" t="n">
        <v>728</v>
      </c>
      <c r="E1465" s="0" t="n">
        <f aca="false">VLOOKUP(B1465,'MSA-Lookup'!$H$2:$I$86,2)</f>
        <v>6920</v>
      </c>
      <c r="F1465" s="0" t="n">
        <f aca="false">IF(C1465&gt;1,IF(C1465&lt;99,VLOOKUP(C1465,'MSA-Lookup'!$H$1:$I$86,2),C1465),C1465)</f>
        <v>8720</v>
      </c>
      <c r="G1465" s="0" t="n">
        <f aca="false">VLOOKUP(E1465,'MSA-Lookup'!$AA$1:$AB$25,2)</f>
        <v>6920</v>
      </c>
      <c r="H1465" s="0" t="n">
        <f aca="false">IF(C1465&gt;1,IF(C1465&lt;99,VLOOKUP(F1465,'MSA-Lookup'!$AA$1:$AB$25,2),C1465),C1465)</f>
        <v>7362</v>
      </c>
    </row>
    <row r="1466" customFormat="false" ht="12.75" hidden="false" customHeight="false" outlineLevel="0" collapsed="false">
      <c r="A1466" s="0" t="n">
        <f aca="false">B1466*1000+C1466</f>
        <v>28017</v>
      </c>
      <c r="B1466" s="0" t="n">
        <v>28</v>
      </c>
      <c r="C1466" s="0" t="n">
        <v>17</v>
      </c>
      <c r="D1466" s="0" t="n">
        <v>91</v>
      </c>
      <c r="E1466" s="0" t="n">
        <f aca="false">VLOOKUP(B1466,'MSA-Lookup'!$H$2:$I$86,2)</f>
        <v>6920</v>
      </c>
      <c r="F1466" s="0" t="n">
        <f aca="false">IF(C1466&gt;1,IF(C1466&lt;99,VLOOKUP(C1466,'MSA-Lookup'!$H$1:$I$86,2),C1466),C1466)</f>
        <v>5775</v>
      </c>
      <c r="G1466" s="0" t="n">
        <f aca="false">VLOOKUP(E1466,'MSA-Lookup'!$AA$1:$AB$25,2)</f>
        <v>6920</v>
      </c>
      <c r="H1466" s="0" t="n">
        <f aca="false">IF(C1466&gt;1,IF(C1466&lt;99,VLOOKUP(F1466,'MSA-Lookup'!$AA$1:$AB$25,2),C1466),C1466)</f>
        <v>7362</v>
      </c>
    </row>
    <row r="1467" customFormat="false" ht="12.75" hidden="false" customHeight="false" outlineLevel="0" collapsed="false">
      <c r="A1467" s="0" t="n">
        <f aca="false">B1467*1000+C1467</f>
        <v>28018</v>
      </c>
      <c r="B1467" s="0" t="n">
        <v>28</v>
      </c>
      <c r="C1467" s="0" t="n">
        <v>18</v>
      </c>
      <c r="D1467" s="0" t="n">
        <v>182</v>
      </c>
      <c r="E1467" s="0" t="n">
        <f aca="false">VLOOKUP(B1467,'MSA-Lookup'!$H$2:$I$86,2)</f>
        <v>6920</v>
      </c>
      <c r="F1467" s="0" t="n">
        <f aca="false">IF(C1467&gt;1,IF(C1467&lt;99,VLOOKUP(C1467,'MSA-Lookup'!$H$1:$I$86,2),C1467),C1467)</f>
        <v>5775</v>
      </c>
      <c r="G1467" s="0" t="n">
        <f aca="false">VLOOKUP(E1467,'MSA-Lookup'!$AA$1:$AB$25,2)</f>
        <v>6920</v>
      </c>
      <c r="H1467" s="0" t="n">
        <f aca="false">IF(C1467&gt;1,IF(C1467&lt;99,VLOOKUP(F1467,'MSA-Lookup'!$AA$1:$AB$25,2),C1467),C1467)</f>
        <v>7362</v>
      </c>
    </row>
    <row r="1468" customFormat="false" ht="12.75" hidden="false" customHeight="false" outlineLevel="0" collapsed="false">
      <c r="A1468" s="0" t="n">
        <f aca="false">B1468*1000+C1468</f>
        <v>28019</v>
      </c>
      <c r="B1468" s="0" t="n">
        <v>28</v>
      </c>
      <c r="C1468" s="0" t="n">
        <v>19</v>
      </c>
      <c r="D1468" s="0" t="n">
        <v>598</v>
      </c>
      <c r="E1468" s="0" t="n">
        <f aca="false">VLOOKUP(B1468,'MSA-Lookup'!$H$2:$I$86,2)</f>
        <v>6920</v>
      </c>
      <c r="F1468" s="0" t="n">
        <f aca="false">IF(C1468&gt;1,IF(C1468&lt;99,VLOOKUP(C1468,'MSA-Lookup'!$H$1:$I$86,2),C1468),C1468)</f>
        <v>7360</v>
      </c>
      <c r="G1468" s="0" t="n">
        <f aca="false">VLOOKUP(E1468,'MSA-Lookup'!$AA$1:$AB$25,2)</f>
        <v>6920</v>
      </c>
      <c r="H1468" s="0" t="n">
        <f aca="false">IF(C1468&gt;1,IF(C1468&lt;99,VLOOKUP(F1468,'MSA-Lookup'!$AA$1:$AB$25,2),C1468),C1468)</f>
        <v>7362</v>
      </c>
    </row>
    <row r="1469" customFormat="false" ht="12.75" hidden="false" customHeight="false" outlineLevel="0" collapsed="false">
      <c r="A1469" s="0" t="n">
        <f aca="false">B1469*1000+C1469</f>
        <v>28020</v>
      </c>
      <c r="B1469" s="0" t="n">
        <v>28</v>
      </c>
      <c r="C1469" s="0" t="n">
        <v>20</v>
      </c>
      <c r="D1469" s="0" t="n">
        <v>0</v>
      </c>
      <c r="E1469" s="0" t="n">
        <f aca="false">VLOOKUP(B1469,'MSA-Lookup'!$H$2:$I$86,2)</f>
        <v>6920</v>
      </c>
      <c r="F1469" s="0" t="n">
        <f aca="false">IF(C1469&gt;1,IF(C1469&lt;99,VLOOKUP(C1469,'MSA-Lookup'!$H$1:$I$86,2),C1469),C1469)</f>
        <v>5775</v>
      </c>
      <c r="G1469" s="0" t="n">
        <f aca="false">VLOOKUP(E1469,'MSA-Lookup'!$AA$1:$AB$25,2)</f>
        <v>6920</v>
      </c>
      <c r="H1469" s="0" t="n">
        <f aca="false">IF(C1469&gt;1,IF(C1469&lt;99,VLOOKUP(F1469,'MSA-Lookup'!$AA$1:$AB$25,2),C1469),C1469)</f>
        <v>7362</v>
      </c>
    </row>
    <row r="1470" customFormat="false" ht="12.75" hidden="false" customHeight="false" outlineLevel="0" collapsed="false">
      <c r="A1470" s="0" t="n">
        <f aca="false">B1470*1000+C1470</f>
        <v>28021</v>
      </c>
      <c r="B1470" s="0" t="n">
        <v>28</v>
      </c>
      <c r="C1470" s="0" t="n">
        <v>21</v>
      </c>
      <c r="D1470" s="0" t="n">
        <v>234</v>
      </c>
      <c r="E1470" s="0" t="n">
        <f aca="false">VLOOKUP(B1470,'MSA-Lookup'!$H$2:$I$86,2)</f>
        <v>6920</v>
      </c>
      <c r="F1470" s="0" t="n">
        <f aca="false">IF(C1470&gt;1,IF(C1470&lt;99,VLOOKUP(C1470,'MSA-Lookup'!$H$1:$I$86,2),C1470),C1470)</f>
        <v>5775</v>
      </c>
      <c r="G1470" s="0" t="n">
        <f aca="false">VLOOKUP(E1470,'MSA-Lookup'!$AA$1:$AB$25,2)</f>
        <v>6920</v>
      </c>
      <c r="H1470" s="0" t="n">
        <f aca="false">IF(C1470&gt;1,IF(C1470&lt;99,VLOOKUP(F1470,'MSA-Lookup'!$AA$1:$AB$25,2),C1470),C1470)</f>
        <v>7362</v>
      </c>
    </row>
    <row r="1471" customFormat="false" ht="12.75" hidden="false" customHeight="false" outlineLevel="0" collapsed="false">
      <c r="A1471" s="0" t="n">
        <f aca="false">B1471*1000+C1471</f>
        <v>28022</v>
      </c>
      <c r="B1471" s="0" t="n">
        <v>28</v>
      </c>
      <c r="C1471" s="0" t="n">
        <v>22</v>
      </c>
      <c r="D1471" s="0" t="n">
        <v>130</v>
      </c>
      <c r="E1471" s="0" t="n">
        <f aca="false">VLOOKUP(B1471,'MSA-Lookup'!$H$2:$I$86,2)</f>
        <v>6920</v>
      </c>
      <c r="F1471" s="0" t="n">
        <f aca="false">IF(C1471&gt;1,IF(C1471&lt;99,VLOOKUP(C1471,'MSA-Lookup'!$H$1:$I$86,2),C1471),C1471)</f>
        <v>7360</v>
      </c>
      <c r="G1471" s="0" t="n">
        <f aca="false">VLOOKUP(E1471,'MSA-Lookup'!$AA$1:$AB$25,2)</f>
        <v>6920</v>
      </c>
      <c r="H1471" s="0" t="n">
        <f aca="false">IF(C1471&gt;1,IF(C1471&lt;99,VLOOKUP(F1471,'MSA-Lookup'!$AA$1:$AB$25,2),C1471),C1471)</f>
        <v>7362</v>
      </c>
    </row>
    <row r="1472" customFormat="false" ht="12.75" hidden="false" customHeight="false" outlineLevel="0" collapsed="false">
      <c r="A1472" s="0" t="n">
        <f aca="false">B1472*1000+C1472</f>
        <v>28023</v>
      </c>
      <c r="B1472" s="0" t="n">
        <v>28</v>
      </c>
      <c r="C1472" s="0" t="n">
        <v>23</v>
      </c>
      <c r="D1472" s="0" t="n">
        <v>1014</v>
      </c>
      <c r="E1472" s="0" t="n">
        <f aca="false">VLOOKUP(B1472,'MSA-Lookup'!$H$2:$I$86,2)</f>
        <v>6920</v>
      </c>
      <c r="F1472" s="0" t="n">
        <f aca="false">IF(C1472&gt;1,IF(C1472&lt;99,VLOOKUP(C1472,'MSA-Lookup'!$H$1:$I$86,2),C1472),C1472)</f>
        <v>8120</v>
      </c>
      <c r="G1472" s="0" t="n">
        <f aca="false">VLOOKUP(E1472,'MSA-Lookup'!$AA$1:$AB$25,2)</f>
        <v>6920</v>
      </c>
      <c r="H1472" s="0" t="n">
        <f aca="false">IF(C1472&gt;1,IF(C1472&lt;99,VLOOKUP(F1472,'MSA-Lookup'!$AA$1:$AB$25,2),C1472),C1472)</f>
        <v>8120</v>
      </c>
    </row>
    <row r="1473" customFormat="false" ht="12.75" hidden="false" customHeight="false" outlineLevel="0" collapsed="false">
      <c r="A1473" s="0" t="n">
        <f aca="false">B1473*1000+C1473</f>
        <v>28024</v>
      </c>
      <c r="B1473" s="0" t="n">
        <v>28</v>
      </c>
      <c r="C1473" s="0" t="n">
        <v>24</v>
      </c>
      <c r="D1473" s="0" t="n">
        <v>0</v>
      </c>
      <c r="E1473" s="0" t="n">
        <f aca="false">VLOOKUP(B1473,'MSA-Lookup'!$H$2:$I$86,2)</f>
        <v>6920</v>
      </c>
      <c r="F1473" s="0" t="n">
        <f aca="false">IF(C1473&gt;1,IF(C1473&lt;99,VLOOKUP(C1473,'MSA-Lookup'!$H$1:$I$86,2),C1473),C1473)</f>
        <v>5170</v>
      </c>
      <c r="G1473" s="0" t="n">
        <f aca="false">VLOOKUP(E1473,'MSA-Lookup'!$AA$1:$AB$25,2)</f>
        <v>6920</v>
      </c>
      <c r="H1473" s="0" t="n">
        <f aca="false">IF(C1473&gt;1,IF(C1473&lt;99,VLOOKUP(F1473,'MSA-Lookup'!$AA$1:$AB$25,2),C1473),C1473)</f>
        <v>5170</v>
      </c>
    </row>
    <row r="1474" customFormat="false" ht="12.75" hidden="false" customHeight="false" outlineLevel="0" collapsed="false">
      <c r="A1474" s="0" t="n">
        <f aca="false">B1474*1000+C1474</f>
        <v>28025</v>
      </c>
      <c r="B1474" s="0" t="n">
        <v>28</v>
      </c>
      <c r="C1474" s="0" t="n">
        <v>25</v>
      </c>
      <c r="D1474" s="0" t="n">
        <v>0</v>
      </c>
      <c r="E1474" s="0" t="n">
        <f aca="false">VLOOKUP(B1474,'MSA-Lookup'!$H$2:$I$86,2)</f>
        <v>6920</v>
      </c>
      <c r="F1474" s="0" t="n">
        <f aca="false">IF(C1474&gt;1,IF(C1474&lt;99,VLOOKUP(C1474,'MSA-Lookup'!$H$1:$I$86,2),C1474),C1474)</f>
        <v>5170</v>
      </c>
      <c r="G1474" s="0" t="n">
        <f aca="false">VLOOKUP(E1474,'MSA-Lookup'!$AA$1:$AB$25,2)</f>
        <v>6920</v>
      </c>
      <c r="H1474" s="0" t="n">
        <f aca="false">IF(C1474&gt;1,IF(C1474&lt;99,VLOOKUP(F1474,'MSA-Lookup'!$AA$1:$AB$25,2),C1474),C1474)</f>
        <v>5170</v>
      </c>
    </row>
    <row r="1475" customFormat="false" ht="12.75" hidden="false" customHeight="false" outlineLevel="0" collapsed="false">
      <c r="A1475" s="0" t="n">
        <f aca="false">B1475*1000+C1475</f>
        <v>28026</v>
      </c>
      <c r="B1475" s="0" t="n">
        <v>28</v>
      </c>
      <c r="C1475" s="0" t="n">
        <v>26</v>
      </c>
      <c r="D1475" s="0" t="n">
        <v>403</v>
      </c>
      <c r="E1475" s="0" t="n">
        <f aca="false">VLOOKUP(B1475,'MSA-Lookup'!$H$2:$I$86,2)</f>
        <v>6920</v>
      </c>
      <c r="F1475" s="0" t="n">
        <f aca="false">IF(C1475&gt;1,IF(C1475&lt;99,VLOOKUP(C1475,'MSA-Lookup'!$H$1:$I$86,2),C1475),C1475)</f>
        <v>9999</v>
      </c>
      <c r="G1475" s="0" t="n">
        <f aca="false">VLOOKUP(E1475,'MSA-Lookup'!$AA$1:$AB$25,2)</f>
        <v>6920</v>
      </c>
      <c r="H1475" s="0" t="n">
        <f aca="false">IF(C1475&gt;1,IF(C1475&lt;99,VLOOKUP(F1475,'MSA-Lookup'!$AA$1:$AB$25,2),C1475),C1475)</f>
        <v>9999</v>
      </c>
    </row>
    <row r="1476" customFormat="false" ht="12.75" hidden="false" customHeight="false" outlineLevel="0" collapsed="false">
      <c r="A1476" s="0" t="n">
        <f aca="false">B1476*1000+C1476</f>
        <v>28027</v>
      </c>
      <c r="B1476" s="0" t="n">
        <v>28</v>
      </c>
      <c r="C1476" s="0" t="n">
        <v>27</v>
      </c>
      <c r="D1476" s="0" t="n">
        <v>0</v>
      </c>
      <c r="E1476" s="0" t="n">
        <f aca="false">VLOOKUP(B1476,'MSA-Lookup'!$H$2:$I$86,2)</f>
        <v>6920</v>
      </c>
      <c r="F1476" s="0" t="n">
        <f aca="false">IF(C1476&gt;1,IF(C1476&lt;99,VLOOKUP(C1476,'MSA-Lookup'!$H$1:$I$86,2),C1476),C1476)</f>
        <v>9999</v>
      </c>
      <c r="G1476" s="0" t="n">
        <f aca="false">VLOOKUP(E1476,'MSA-Lookup'!$AA$1:$AB$25,2)</f>
        <v>6920</v>
      </c>
      <c r="H1476" s="0" t="n">
        <f aca="false">IF(C1476&gt;1,IF(C1476&lt;99,VLOOKUP(F1476,'MSA-Lookup'!$AA$1:$AB$25,2),C1476),C1476)</f>
        <v>9999</v>
      </c>
    </row>
    <row r="1477" customFormat="false" ht="12.75" hidden="false" customHeight="false" outlineLevel="0" collapsed="false">
      <c r="A1477" s="0" t="n">
        <f aca="false">B1477*1000+C1477</f>
        <v>28028</v>
      </c>
      <c r="B1477" s="0" t="n">
        <v>28</v>
      </c>
      <c r="C1477" s="0" t="n">
        <v>28</v>
      </c>
      <c r="D1477" s="0" t="n">
        <v>107159</v>
      </c>
      <c r="E1477" s="0" t="n">
        <f aca="false">VLOOKUP(B1477,'MSA-Lookup'!$H$2:$I$86,2)</f>
        <v>6920</v>
      </c>
      <c r="F1477" s="0" t="n">
        <f aca="false">IF(C1477&gt;1,IF(C1477&lt;99,VLOOKUP(C1477,'MSA-Lookup'!$H$1:$I$86,2),C1477),C1477)</f>
        <v>6920</v>
      </c>
      <c r="G1477" s="0" t="n">
        <f aca="false">VLOOKUP(E1477,'MSA-Lookup'!$AA$1:$AB$25,2)</f>
        <v>6920</v>
      </c>
      <c r="H1477" s="0" t="n">
        <f aca="false">IF(C1477&gt;1,IF(C1477&lt;99,VLOOKUP(F1477,'MSA-Lookup'!$AA$1:$AB$25,2),C1477),C1477)</f>
        <v>6920</v>
      </c>
    </row>
    <row r="1478" customFormat="false" ht="12.75" hidden="false" customHeight="false" outlineLevel="0" collapsed="false">
      <c r="A1478" s="0" t="n">
        <f aca="false">B1478*1000+C1478</f>
        <v>28029</v>
      </c>
      <c r="B1478" s="0" t="n">
        <v>28</v>
      </c>
      <c r="C1478" s="0" t="n">
        <v>29</v>
      </c>
      <c r="D1478" s="0" t="n">
        <v>34047</v>
      </c>
      <c r="E1478" s="0" t="n">
        <f aca="false">VLOOKUP(B1478,'MSA-Lookup'!$H$2:$I$86,2)</f>
        <v>6920</v>
      </c>
      <c r="F1478" s="0" t="n">
        <f aca="false">IF(C1478&gt;1,IF(C1478&lt;99,VLOOKUP(C1478,'MSA-Lookup'!$H$1:$I$86,2),C1478),C1478)</f>
        <v>6920</v>
      </c>
      <c r="G1478" s="0" t="n">
        <f aca="false">VLOOKUP(E1478,'MSA-Lookup'!$AA$1:$AB$25,2)</f>
        <v>6920</v>
      </c>
      <c r="H1478" s="0" t="n">
        <f aca="false">IF(C1478&gt;1,IF(C1478&lt;99,VLOOKUP(F1478,'MSA-Lookup'!$AA$1:$AB$25,2),C1478),C1478)</f>
        <v>6920</v>
      </c>
    </row>
    <row r="1479" customFormat="false" ht="12.75" hidden="false" customHeight="false" outlineLevel="0" collapsed="false">
      <c r="A1479" s="0" t="n">
        <f aca="false">B1479*1000+C1479</f>
        <v>28030</v>
      </c>
      <c r="B1479" s="0" t="n">
        <v>28</v>
      </c>
      <c r="C1479" s="0" t="n">
        <v>30</v>
      </c>
      <c r="D1479" s="0" t="n">
        <v>0</v>
      </c>
      <c r="E1479" s="0" t="n">
        <f aca="false">VLOOKUP(B1479,'MSA-Lookup'!$H$2:$I$86,2)</f>
        <v>6920</v>
      </c>
      <c r="F1479" s="0" t="n">
        <f aca="false">IF(C1479&gt;1,IF(C1479&lt;99,VLOOKUP(C1479,'MSA-Lookup'!$H$1:$I$86,2),C1479),C1479)</f>
        <v>4940</v>
      </c>
      <c r="G1479" s="0" t="n">
        <f aca="false">VLOOKUP(E1479,'MSA-Lookup'!$AA$1:$AB$25,2)</f>
        <v>6920</v>
      </c>
      <c r="H1479" s="0" t="n">
        <f aca="false">IF(C1479&gt;1,IF(C1479&lt;99,VLOOKUP(F1479,'MSA-Lookup'!$AA$1:$AB$25,2),C1479),C1479)</f>
        <v>4940</v>
      </c>
    </row>
    <row r="1480" customFormat="false" ht="12.75" hidden="false" customHeight="false" outlineLevel="0" collapsed="false">
      <c r="A1480" s="0" t="n">
        <f aca="false">B1480*1000+C1480</f>
        <v>28031</v>
      </c>
      <c r="B1480" s="0" t="n">
        <v>28</v>
      </c>
      <c r="C1480" s="0" t="n">
        <v>31</v>
      </c>
      <c r="D1480" s="0" t="n">
        <v>0</v>
      </c>
      <c r="E1480" s="0" t="n">
        <f aca="false">VLOOKUP(B1480,'MSA-Lookup'!$H$2:$I$86,2)</f>
        <v>6920</v>
      </c>
      <c r="F1480" s="0" t="n">
        <f aca="false">IF(C1480&gt;1,IF(C1480&lt;99,VLOOKUP(C1480,'MSA-Lookup'!$H$1:$I$86,2),C1480),C1480)</f>
        <v>9999</v>
      </c>
      <c r="G1480" s="0" t="n">
        <f aca="false">VLOOKUP(E1480,'MSA-Lookup'!$AA$1:$AB$25,2)</f>
        <v>6920</v>
      </c>
      <c r="H1480" s="0" t="n">
        <f aca="false">IF(C1480&gt;1,IF(C1480&lt;99,VLOOKUP(F1480,'MSA-Lookup'!$AA$1:$AB$25,2),C1480),C1480)</f>
        <v>9999</v>
      </c>
    </row>
    <row r="1481" customFormat="false" ht="12.75" hidden="false" customHeight="false" outlineLevel="0" collapsed="false">
      <c r="A1481" s="0" t="n">
        <f aca="false">B1481*1000+C1481</f>
        <v>28032</v>
      </c>
      <c r="B1481" s="0" t="n">
        <v>28</v>
      </c>
      <c r="C1481" s="0" t="n">
        <v>32</v>
      </c>
      <c r="D1481" s="0" t="n">
        <v>0</v>
      </c>
      <c r="E1481" s="0" t="n">
        <f aca="false">VLOOKUP(B1481,'MSA-Lookup'!$H$2:$I$86,2)</f>
        <v>6920</v>
      </c>
      <c r="F1481" s="0" t="n">
        <f aca="false">IF(C1481&gt;1,IF(C1481&lt;99,VLOOKUP(C1481,'MSA-Lookup'!$H$1:$I$86,2),C1481),C1481)</f>
        <v>7480</v>
      </c>
      <c r="G1481" s="0" t="n">
        <f aca="false">VLOOKUP(E1481,'MSA-Lookup'!$AA$1:$AB$25,2)</f>
        <v>6920</v>
      </c>
      <c r="H1481" s="0" t="n">
        <f aca="false">IF(C1481&gt;1,IF(C1481&lt;99,VLOOKUP(F1481,'MSA-Lookup'!$AA$1:$AB$25,2),C1481),C1481)</f>
        <v>7480</v>
      </c>
    </row>
    <row r="1482" customFormat="false" ht="12.75" hidden="false" customHeight="false" outlineLevel="0" collapsed="false">
      <c r="A1482" s="0" t="n">
        <f aca="false">B1482*1000+C1482</f>
        <v>28033</v>
      </c>
      <c r="B1482" s="0" t="n">
        <v>28</v>
      </c>
      <c r="C1482" s="0" t="n">
        <v>33</v>
      </c>
      <c r="D1482" s="0" t="n">
        <v>0</v>
      </c>
      <c r="E1482" s="0" t="n">
        <f aca="false">VLOOKUP(B1482,'MSA-Lookup'!$H$2:$I$86,2)</f>
        <v>6920</v>
      </c>
      <c r="F1482" s="0" t="n">
        <f aca="false">IF(C1482&gt;1,IF(C1482&lt;99,VLOOKUP(C1482,'MSA-Lookup'!$H$1:$I$86,2),C1482),C1482)</f>
        <v>7320</v>
      </c>
      <c r="G1482" s="0" t="n">
        <f aca="false">VLOOKUP(E1482,'MSA-Lookup'!$AA$1:$AB$25,2)</f>
        <v>6920</v>
      </c>
      <c r="H1482" s="0" t="n">
        <f aca="false">IF(C1482&gt;1,IF(C1482&lt;99,VLOOKUP(F1482,'MSA-Lookup'!$AA$1:$AB$25,2),C1482),C1482)</f>
        <v>7320</v>
      </c>
    </row>
    <row r="1483" customFormat="false" ht="12.75" hidden="false" customHeight="false" outlineLevel="0" collapsed="false">
      <c r="A1483" s="0" t="n">
        <f aca="false">B1483*1000+C1483</f>
        <v>28034</v>
      </c>
      <c r="B1483" s="0" t="n">
        <v>28</v>
      </c>
      <c r="C1483" s="0" t="n">
        <v>34</v>
      </c>
      <c r="D1483" s="0" t="n">
        <v>0</v>
      </c>
      <c r="E1483" s="0" t="n">
        <f aca="false">VLOOKUP(B1483,'MSA-Lookup'!$H$2:$I$86,2)</f>
        <v>6920</v>
      </c>
      <c r="F1483" s="0" t="n">
        <f aca="false">IF(C1483&gt;1,IF(C1483&lt;99,VLOOKUP(C1483,'MSA-Lookup'!$H$1:$I$86,2),C1483),C1483)</f>
        <v>7320</v>
      </c>
      <c r="G1483" s="0" t="n">
        <f aca="false">VLOOKUP(E1483,'MSA-Lookup'!$AA$1:$AB$25,2)</f>
        <v>6920</v>
      </c>
      <c r="H1483" s="0" t="n">
        <f aca="false">IF(C1483&gt;1,IF(C1483&lt;99,VLOOKUP(F1483,'MSA-Lookup'!$AA$1:$AB$25,2),C1483),C1483)</f>
        <v>7320</v>
      </c>
    </row>
    <row r="1484" customFormat="false" ht="12.75" hidden="false" customHeight="false" outlineLevel="0" collapsed="false">
      <c r="A1484" s="0" t="n">
        <f aca="false">B1484*1000+C1484</f>
        <v>28035</v>
      </c>
      <c r="B1484" s="0" t="n">
        <v>28</v>
      </c>
      <c r="C1484" s="0" t="n">
        <v>35</v>
      </c>
      <c r="D1484" s="0" t="n">
        <v>0</v>
      </c>
      <c r="E1484" s="0" t="n">
        <f aca="false">VLOOKUP(B1484,'MSA-Lookup'!$H$2:$I$86,2)</f>
        <v>6920</v>
      </c>
      <c r="F1484" s="0" t="n">
        <f aca="false">IF(C1484&gt;1,IF(C1484&lt;99,VLOOKUP(C1484,'MSA-Lookup'!$H$1:$I$86,2),C1484),C1484)</f>
        <v>7320</v>
      </c>
      <c r="G1484" s="0" t="n">
        <f aca="false">VLOOKUP(E1484,'MSA-Lookup'!$AA$1:$AB$25,2)</f>
        <v>6920</v>
      </c>
      <c r="H1484" s="0" t="n">
        <f aca="false">IF(C1484&gt;1,IF(C1484&lt;99,VLOOKUP(F1484,'MSA-Lookup'!$AA$1:$AB$25,2),C1484),C1484)</f>
        <v>7320</v>
      </c>
    </row>
    <row r="1485" customFormat="false" ht="12.75" hidden="false" customHeight="false" outlineLevel="0" collapsed="false">
      <c r="A1485" s="0" t="n">
        <f aca="false">B1485*1000+C1485</f>
        <v>28037</v>
      </c>
      <c r="B1485" s="0" t="n">
        <v>28</v>
      </c>
      <c r="C1485" s="0" t="n">
        <v>37</v>
      </c>
      <c r="D1485" s="0" t="n">
        <v>221</v>
      </c>
      <c r="E1485" s="0" t="n">
        <f aca="false">VLOOKUP(B1485,'MSA-Lookup'!$H$2:$I$86,2)</f>
        <v>6920</v>
      </c>
      <c r="F1485" s="0" t="n">
        <f aca="false">IF(C1485&gt;1,IF(C1485&lt;99,VLOOKUP(C1485,'MSA-Lookup'!$H$1:$I$86,2),C1485),C1485)</f>
        <v>7320</v>
      </c>
      <c r="G1485" s="0" t="n">
        <f aca="false">VLOOKUP(E1485,'MSA-Lookup'!$AA$1:$AB$25,2)</f>
        <v>6920</v>
      </c>
      <c r="H1485" s="0" t="n">
        <f aca="false">IF(C1485&gt;1,IF(C1485&lt;99,VLOOKUP(F1485,'MSA-Lookup'!$AA$1:$AB$25,2),C1485),C1485)</f>
        <v>7320</v>
      </c>
    </row>
    <row r="1486" customFormat="false" ht="12.75" hidden="false" customHeight="false" outlineLevel="0" collapsed="false">
      <c r="A1486" s="0" t="n">
        <f aca="false">B1486*1000+C1486</f>
        <v>28038</v>
      </c>
      <c r="B1486" s="0" t="n">
        <v>28</v>
      </c>
      <c r="C1486" s="0" t="n">
        <v>38</v>
      </c>
      <c r="D1486" s="0" t="n">
        <v>0</v>
      </c>
      <c r="E1486" s="0" t="n">
        <f aca="false">VLOOKUP(B1486,'MSA-Lookup'!$H$2:$I$86,2)</f>
        <v>6920</v>
      </c>
      <c r="F1486" s="0" t="n">
        <f aca="false">IF(C1486&gt;1,IF(C1486&lt;99,VLOOKUP(C1486,'MSA-Lookup'!$H$1:$I$86,2),C1486),C1486)</f>
        <v>7120</v>
      </c>
      <c r="G1486" s="0" t="n">
        <f aca="false">VLOOKUP(E1486,'MSA-Lookup'!$AA$1:$AB$25,2)</f>
        <v>6920</v>
      </c>
      <c r="H1486" s="0" t="n">
        <f aca="false">IF(C1486&gt;1,IF(C1486&lt;99,VLOOKUP(F1486,'MSA-Lookup'!$AA$1:$AB$25,2),C1486),C1486)</f>
        <v>7120</v>
      </c>
    </row>
    <row r="1487" customFormat="false" ht="12.75" hidden="false" customHeight="false" outlineLevel="0" collapsed="false">
      <c r="A1487" s="0" t="n">
        <f aca="false">B1487*1000+C1487</f>
        <v>28039</v>
      </c>
      <c r="B1487" s="0" t="n">
        <v>28</v>
      </c>
      <c r="C1487" s="0" t="n">
        <v>39</v>
      </c>
      <c r="D1487" s="0" t="n">
        <v>0</v>
      </c>
      <c r="E1487" s="0" t="n">
        <f aca="false">VLOOKUP(B1487,'MSA-Lookup'!$H$2:$I$86,2)</f>
        <v>6920</v>
      </c>
      <c r="F1487" s="0" t="n">
        <f aca="false">IF(C1487&gt;1,IF(C1487&lt;99,VLOOKUP(C1487,'MSA-Lookup'!$H$1:$I$86,2),C1487),C1487)</f>
        <v>7120</v>
      </c>
      <c r="G1487" s="0" t="n">
        <f aca="false">VLOOKUP(E1487,'MSA-Lookup'!$AA$1:$AB$25,2)</f>
        <v>6920</v>
      </c>
      <c r="H1487" s="0" t="n">
        <f aca="false">IF(C1487&gt;1,IF(C1487&lt;99,VLOOKUP(F1487,'MSA-Lookup'!$AA$1:$AB$25,2),C1487),C1487)</f>
        <v>7120</v>
      </c>
    </row>
    <row r="1488" customFormat="false" ht="12.75" hidden="false" customHeight="false" outlineLevel="0" collapsed="false">
      <c r="A1488" s="0" t="n">
        <f aca="false">B1488*1000+C1488</f>
        <v>28040</v>
      </c>
      <c r="B1488" s="0" t="n">
        <v>28</v>
      </c>
      <c r="C1488" s="0" t="n">
        <v>40</v>
      </c>
      <c r="D1488" s="0" t="n">
        <v>0</v>
      </c>
      <c r="E1488" s="0" t="n">
        <f aca="false">VLOOKUP(B1488,'MSA-Lookup'!$H$2:$I$86,2)</f>
        <v>6920</v>
      </c>
      <c r="F1488" s="0" t="n">
        <f aca="false">IF(C1488&gt;1,IF(C1488&lt;99,VLOOKUP(C1488,'MSA-Lookup'!$H$1:$I$86,2),C1488),C1488)</f>
        <v>2840</v>
      </c>
      <c r="G1488" s="0" t="n">
        <f aca="false">VLOOKUP(E1488,'MSA-Lookup'!$AA$1:$AB$25,2)</f>
        <v>6920</v>
      </c>
      <c r="H1488" s="0" t="n">
        <f aca="false">IF(C1488&gt;1,IF(C1488&lt;99,VLOOKUP(F1488,'MSA-Lookup'!$AA$1:$AB$25,2),C1488),C1488)</f>
        <v>2840</v>
      </c>
    </row>
    <row r="1489" customFormat="false" ht="12.75" hidden="false" customHeight="false" outlineLevel="0" collapsed="false">
      <c r="A1489" s="0" t="n">
        <f aca="false">B1489*1000+C1489</f>
        <v>28041</v>
      </c>
      <c r="B1489" s="0" t="n">
        <v>28</v>
      </c>
      <c r="C1489" s="0" t="n">
        <v>41</v>
      </c>
      <c r="D1489" s="0" t="n">
        <v>0</v>
      </c>
      <c r="E1489" s="0" t="n">
        <f aca="false">VLOOKUP(B1489,'MSA-Lookup'!$H$2:$I$86,2)</f>
        <v>6920</v>
      </c>
      <c r="F1489" s="0" t="n">
        <f aca="false">IF(C1489&gt;1,IF(C1489&lt;99,VLOOKUP(C1489,'MSA-Lookup'!$H$1:$I$86,2),C1489),C1489)</f>
        <v>2840</v>
      </c>
      <c r="G1489" s="0" t="n">
        <f aca="false">VLOOKUP(E1489,'MSA-Lookup'!$AA$1:$AB$25,2)</f>
        <v>6920</v>
      </c>
      <c r="H1489" s="0" t="n">
        <f aca="false">IF(C1489&gt;1,IF(C1489&lt;99,VLOOKUP(F1489,'MSA-Lookup'!$AA$1:$AB$25,2),C1489),C1489)</f>
        <v>2840</v>
      </c>
    </row>
    <row r="1490" customFormat="false" ht="12.75" hidden="false" customHeight="false" outlineLevel="0" collapsed="false">
      <c r="A1490" s="0" t="n">
        <f aca="false">B1490*1000+C1490</f>
        <v>28042</v>
      </c>
      <c r="B1490" s="0" t="n">
        <v>28</v>
      </c>
      <c r="C1490" s="0" t="n">
        <v>42</v>
      </c>
      <c r="D1490" s="0" t="n">
        <v>0</v>
      </c>
      <c r="E1490" s="0" t="n">
        <f aca="false">VLOOKUP(B1490,'MSA-Lookup'!$H$2:$I$86,2)</f>
        <v>6920</v>
      </c>
      <c r="F1490" s="0" t="n">
        <f aca="false">IF(C1490&gt;1,IF(C1490&lt;99,VLOOKUP(C1490,'MSA-Lookup'!$H$1:$I$86,2),C1490),C1490)</f>
        <v>360</v>
      </c>
      <c r="G1490" s="0" t="n">
        <f aca="false">VLOOKUP(E1490,'MSA-Lookup'!$AA$1:$AB$25,2)</f>
        <v>6920</v>
      </c>
      <c r="H1490" s="0" t="n">
        <f aca="false">IF(C1490&gt;1,IF(C1490&lt;99,VLOOKUP(F1490,'MSA-Lookup'!$AA$1:$AB$25,2),C1490),C1490)</f>
        <v>4472</v>
      </c>
    </row>
    <row r="1491" customFormat="false" ht="12.75" hidden="false" customHeight="false" outlineLevel="0" collapsed="false">
      <c r="A1491" s="0" t="n">
        <f aca="false">B1491*1000+C1491</f>
        <v>28043</v>
      </c>
      <c r="B1491" s="0" t="n">
        <v>28</v>
      </c>
      <c r="C1491" s="0" t="n">
        <v>43</v>
      </c>
      <c r="D1491" s="0" t="n">
        <v>117</v>
      </c>
      <c r="E1491" s="0" t="n">
        <f aca="false">VLOOKUP(B1491,'MSA-Lookup'!$H$2:$I$86,2)</f>
        <v>6920</v>
      </c>
      <c r="F1491" s="0" t="n">
        <f aca="false">IF(C1491&gt;1,IF(C1491&lt;99,VLOOKUP(C1491,'MSA-Lookup'!$H$1:$I$86,2),C1491),C1491)</f>
        <v>360</v>
      </c>
      <c r="G1491" s="0" t="n">
        <f aca="false">VLOOKUP(E1491,'MSA-Lookup'!$AA$1:$AB$25,2)</f>
        <v>6920</v>
      </c>
      <c r="H1491" s="0" t="n">
        <f aca="false">IF(C1491&gt;1,IF(C1491&lt;99,VLOOKUP(F1491,'MSA-Lookup'!$AA$1:$AB$25,2),C1491),C1491)</f>
        <v>4472</v>
      </c>
    </row>
    <row r="1492" customFormat="false" ht="12.75" hidden="false" customHeight="false" outlineLevel="0" collapsed="false">
      <c r="A1492" s="0" t="n">
        <f aca="false">B1492*1000+C1492</f>
        <v>28046</v>
      </c>
      <c r="B1492" s="0" t="n">
        <v>28</v>
      </c>
      <c r="C1492" s="0" t="n">
        <v>46</v>
      </c>
      <c r="D1492" s="0" t="n">
        <v>0</v>
      </c>
      <c r="E1492" s="0" t="n">
        <f aca="false">VLOOKUP(B1492,'MSA-Lookup'!$H$2:$I$86,2)</f>
        <v>6920</v>
      </c>
      <c r="F1492" s="0" t="n">
        <f aca="false">IF(C1492&gt;1,IF(C1492&lt;99,VLOOKUP(C1492,'MSA-Lookup'!$H$1:$I$86,2),C1492),C1492)</f>
        <v>360</v>
      </c>
      <c r="G1492" s="0" t="n">
        <f aca="false">VLOOKUP(E1492,'MSA-Lookup'!$AA$1:$AB$25,2)</f>
        <v>6920</v>
      </c>
      <c r="H1492" s="0" t="n">
        <f aca="false">IF(C1492&gt;1,IF(C1492&lt;99,VLOOKUP(F1492,'MSA-Lookup'!$AA$1:$AB$25,2),C1492),C1492)</f>
        <v>4472</v>
      </c>
    </row>
    <row r="1493" customFormat="false" ht="12.75" hidden="false" customHeight="false" outlineLevel="0" collapsed="false">
      <c r="A1493" s="0" t="n">
        <f aca="false">B1493*1000+C1493</f>
        <v>28048</v>
      </c>
      <c r="B1493" s="0" t="n">
        <v>28</v>
      </c>
      <c r="C1493" s="0" t="n">
        <v>48</v>
      </c>
      <c r="D1493" s="0" t="n">
        <v>0</v>
      </c>
      <c r="E1493" s="0" t="n">
        <f aca="false">VLOOKUP(B1493,'MSA-Lookup'!$H$2:$I$86,2)</f>
        <v>6920</v>
      </c>
      <c r="F1493" s="0" t="n">
        <f aca="false">IF(C1493&gt;1,IF(C1493&lt;99,VLOOKUP(C1493,'MSA-Lookup'!$H$1:$I$86,2),C1493),C1493)</f>
        <v>360</v>
      </c>
      <c r="G1493" s="0" t="n">
        <f aca="false">VLOOKUP(E1493,'MSA-Lookup'!$AA$1:$AB$25,2)</f>
        <v>6920</v>
      </c>
      <c r="H1493" s="0" t="n">
        <f aca="false">IF(C1493&gt;1,IF(C1493&lt;99,VLOOKUP(F1493,'MSA-Lookup'!$AA$1:$AB$25,2),C1493),C1493)</f>
        <v>4472</v>
      </c>
    </row>
    <row r="1494" customFormat="false" ht="12.75" hidden="false" customHeight="false" outlineLevel="0" collapsed="false">
      <c r="A1494" s="0" t="n">
        <f aca="false">B1494*1000+C1494</f>
        <v>28049</v>
      </c>
      <c r="B1494" s="0" t="n">
        <v>28</v>
      </c>
      <c r="C1494" s="0" t="n">
        <v>49</v>
      </c>
      <c r="D1494" s="0" t="n">
        <v>130</v>
      </c>
      <c r="E1494" s="0" t="n">
        <f aca="false">VLOOKUP(B1494,'MSA-Lookup'!$H$2:$I$86,2)</f>
        <v>6920</v>
      </c>
      <c r="F1494" s="0" t="n">
        <f aca="false">IF(C1494&gt;1,IF(C1494&lt;99,VLOOKUP(C1494,'MSA-Lookup'!$H$1:$I$86,2),C1494),C1494)</f>
        <v>7400</v>
      </c>
      <c r="G1494" s="0" t="n">
        <f aca="false">VLOOKUP(E1494,'MSA-Lookup'!$AA$1:$AB$25,2)</f>
        <v>6920</v>
      </c>
      <c r="H1494" s="0" t="n">
        <f aca="false">IF(C1494&gt;1,IF(C1494&lt;99,VLOOKUP(F1494,'MSA-Lookup'!$AA$1:$AB$25,2),C1494),C1494)</f>
        <v>7362</v>
      </c>
    </row>
    <row r="1495" customFormat="false" ht="12.75" hidden="false" customHeight="false" outlineLevel="0" collapsed="false">
      <c r="A1495" s="0" t="n">
        <f aca="false">B1495*1000+C1495</f>
        <v>28050</v>
      </c>
      <c r="B1495" s="0" t="n">
        <v>28</v>
      </c>
      <c r="C1495" s="0" t="n">
        <v>50</v>
      </c>
      <c r="D1495" s="0" t="n">
        <v>312</v>
      </c>
      <c r="E1495" s="0" t="n">
        <f aca="false">VLOOKUP(B1495,'MSA-Lookup'!$H$2:$I$86,2)</f>
        <v>6920</v>
      </c>
      <c r="F1495" s="0" t="n">
        <f aca="false">IF(C1495&gt;1,IF(C1495&lt;99,VLOOKUP(C1495,'MSA-Lookup'!$H$1:$I$86,2),C1495),C1495)</f>
        <v>7400</v>
      </c>
      <c r="G1495" s="0" t="n">
        <f aca="false">VLOOKUP(E1495,'MSA-Lookup'!$AA$1:$AB$25,2)</f>
        <v>6920</v>
      </c>
      <c r="H1495" s="0" t="n">
        <f aca="false">IF(C1495&gt;1,IF(C1495&lt;99,VLOOKUP(F1495,'MSA-Lookup'!$AA$1:$AB$25,2),C1495),C1495)</f>
        <v>7362</v>
      </c>
    </row>
    <row r="1496" customFormat="false" ht="12.75" hidden="false" customHeight="false" outlineLevel="0" collapsed="false">
      <c r="A1496" s="0" t="n">
        <f aca="false">B1496*1000+C1496</f>
        <v>28051</v>
      </c>
      <c r="B1496" s="0" t="n">
        <v>28</v>
      </c>
      <c r="C1496" s="0" t="n">
        <v>51</v>
      </c>
      <c r="D1496" s="0" t="n">
        <v>117</v>
      </c>
      <c r="E1496" s="0" t="n">
        <f aca="false">VLOOKUP(B1496,'MSA-Lookup'!$H$2:$I$86,2)</f>
        <v>6920</v>
      </c>
      <c r="F1496" s="0" t="n">
        <f aca="false">IF(C1496&gt;1,IF(C1496&lt;99,VLOOKUP(C1496,'MSA-Lookup'!$H$1:$I$86,2),C1496),C1496)</f>
        <v>7400</v>
      </c>
      <c r="G1496" s="0" t="n">
        <f aca="false">VLOOKUP(E1496,'MSA-Lookup'!$AA$1:$AB$25,2)</f>
        <v>6920</v>
      </c>
      <c r="H1496" s="0" t="n">
        <f aca="false">IF(C1496&gt;1,IF(C1496&lt;99,VLOOKUP(F1496,'MSA-Lookup'!$AA$1:$AB$25,2),C1496),C1496)</f>
        <v>7362</v>
      </c>
    </row>
    <row r="1497" customFormat="false" ht="12.75" hidden="false" customHeight="false" outlineLevel="0" collapsed="false">
      <c r="A1497" s="0" t="n">
        <f aca="false">B1497*1000+C1497</f>
        <v>28052</v>
      </c>
      <c r="B1497" s="0" t="n">
        <v>28</v>
      </c>
      <c r="C1497" s="0" t="n">
        <v>52</v>
      </c>
      <c r="D1497" s="0" t="n">
        <v>0</v>
      </c>
      <c r="E1497" s="0" t="n">
        <f aca="false">VLOOKUP(B1497,'MSA-Lookup'!$H$2:$I$86,2)</f>
        <v>6920</v>
      </c>
      <c r="F1497" s="0" t="n">
        <f aca="false">IF(C1497&gt;1,IF(C1497&lt;99,VLOOKUP(C1497,'MSA-Lookup'!$H$1:$I$86,2),C1497),C1497)</f>
        <v>4480</v>
      </c>
      <c r="G1497" s="0" t="n">
        <f aca="false">VLOOKUP(E1497,'MSA-Lookup'!$AA$1:$AB$25,2)</f>
        <v>6920</v>
      </c>
      <c r="H1497" s="0" t="n">
        <f aca="false">IF(C1497&gt;1,IF(C1497&lt;99,VLOOKUP(F1497,'MSA-Lookup'!$AA$1:$AB$25,2),C1497),C1497)</f>
        <v>4472</v>
      </c>
    </row>
    <row r="1498" customFormat="false" ht="12.75" hidden="false" customHeight="false" outlineLevel="0" collapsed="false">
      <c r="A1498" s="0" t="n">
        <f aca="false">B1498*1000+C1498</f>
        <v>28053</v>
      </c>
      <c r="B1498" s="0" t="n">
        <v>28</v>
      </c>
      <c r="C1498" s="0" t="n">
        <v>53</v>
      </c>
      <c r="D1498" s="0" t="n">
        <v>0</v>
      </c>
      <c r="E1498" s="0" t="n">
        <f aca="false">VLOOKUP(B1498,'MSA-Lookup'!$H$2:$I$86,2)</f>
        <v>6920</v>
      </c>
      <c r="F1498" s="0" t="n">
        <f aca="false">IF(C1498&gt;1,IF(C1498&lt;99,VLOOKUP(C1498,'MSA-Lookup'!$H$1:$I$86,2),C1498),C1498)</f>
        <v>4480</v>
      </c>
      <c r="G1498" s="0" t="n">
        <f aca="false">VLOOKUP(E1498,'MSA-Lookup'!$AA$1:$AB$25,2)</f>
        <v>6920</v>
      </c>
      <c r="H1498" s="0" t="n">
        <f aca="false">IF(C1498&gt;1,IF(C1498&lt;99,VLOOKUP(F1498,'MSA-Lookup'!$AA$1:$AB$25,2),C1498),C1498)</f>
        <v>4472</v>
      </c>
    </row>
    <row r="1499" customFormat="false" ht="12.75" hidden="false" customHeight="false" outlineLevel="0" collapsed="false">
      <c r="A1499" s="0" t="n">
        <f aca="false">B1499*1000+C1499</f>
        <v>28054</v>
      </c>
      <c r="B1499" s="0" t="n">
        <v>28</v>
      </c>
      <c r="C1499" s="0" t="n">
        <v>54</v>
      </c>
      <c r="D1499" s="0" t="n">
        <v>0</v>
      </c>
      <c r="E1499" s="0" t="n">
        <f aca="false">VLOOKUP(B1499,'MSA-Lookup'!$H$2:$I$86,2)</f>
        <v>6920</v>
      </c>
      <c r="F1499" s="0" t="n">
        <f aca="false">IF(C1499&gt;1,IF(C1499&lt;99,VLOOKUP(C1499,'MSA-Lookup'!$H$1:$I$86,2),C1499),C1499)</f>
        <v>4480</v>
      </c>
      <c r="G1499" s="0" t="n">
        <f aca="false">VLOOKUP(E1499,'MSA-Lookup'!$AA$1:$AB$25,2)</f>
        <v>6920</v>
      </c>
      <c r="H1499" s="0" t="n">
        <f aca="false">IF(C1499&gt;1,IF(C1499&lt;99,VLOOKUP(F1499,'MSA-Lookup'!$AA$1:$AB$25,2),C1499),C1499)</f>
        <v>4472</v>
      </c>
    </row>
    <row r="1500" customFormat="false" ht="12.75" hidden="false" customHeight="false" outlineLevel="0" collapsed="false">
      <c r="A1500" s="0" t="n">
        <f aca="false">B1500*1000+C1500</f>
        <v>28055</v>
      </c>
      <c r="B1500" s="0" t="n">
        <v>28</v>
      </c>
      <c r="C1500" s="0" t="n">
        <v>55</v>
      </c>
      <c r="D1500" s="0" t="n">
        <v>0</v>
      </c>
      <c r="E1500" s="0" t="n">
        <f aca="false">VLOOKUP(B1500,'MSA-Lookup'!$H$2:$I$86,2)</f>
        <v>6920</v>
      </c>
      <c r="F1500" s="0" t="n">
        <f aca="false">IF(C1500&gt;1,IF(C1500&lt;99,VLOOKUP(C1500,'MSA-Lookup'!$H$1:$I$86,2),C1500),C1500)</f>
        <v>4480</v>
      </c>
      <c r="G1500" s="0" t="n">
        <f aca="false">VLOOKUP(E1500,'MSA-Lookup'!$AA$1:$AB$25,2)</f>
        <v>6920</v>
      </c>
      <c r="H1500" s="0" t="n">
        <f aca="false">IF(C1500&gt;1,IF(C1500&lt;99,VLOOKUP(F1500,'MSA-Lookup'!$AA$1:$AB$25,2),C1500),C1500)</f>
        <v>4472</v>
      </c>
    </row>
    <row r="1501" customFormat="false" ht="12.75" hidden="false" customHeight="false" outlineLevel="0" collapsed="false">
      <c r="A1501" s="0" t="n">
        <f aca="false">B1501*1000+C1501</f>
        <v>28056</v>
      </c>
      <c r="B1501" s="0" t="n">
        <v>28</v>
      </c>
      <c r="C1501" s="0" t="n">
        <v>56</v>
      </c>
      <c r="D1501" s="0" t="n">
        <v>65</v>
      </c>
      <c r="E1501" s="0" t="n">
        <f aca="false">VLOOKUP(B1501,'MSA-Lookup'!$H$2:$I$86,2)</f>
        <v>6920</v>
      </c>
      <c r="F1501" s="0" t="n">
        <f aca="false">IF(C1501&gt;1,IF(C1501&lt;99,VLOOKUP(C1501,'MSA-Lookup'!$H$1:$I$86,2),C1501),C1501)</f>
        <v>4480</v>
      </c>
      <c r="G1501" s="0" t="n">
        <f aca="false">VLOOKUP(E1501,'MSA-Lookup'!$AA$1:$AB$25,2)</f>
        <v>6920</v>
      </c>
      <c r="H1501" s="0" t="n">
        <f aca="false">IF(C1501&gt;1,IF(C1501&lt;99,VLOOKUP(F1501,'MSA-Lookup'!$AA$1:$AB$25,2),C1501),C1501)</f>
        <v>4472</v>
      </c>
    </row>
    <row r="1502" customFormat="false" ht="12.75" hidden="false" customHeight="false" outlineLevel="0" collapsed="false">
      <c r="A1502" s="0" t="n">
        <f aca="false">B1502*1000+C1502</f>
        <v>28057</v>
      </c>
      <c r="B1502" s="0" t="n">
        <v>28</v>
      </c>
      <c r="C1502" s="0" t="n">
        <v>57</v>
      </c>
      <c r="D1502" s="0" t="n">
        <v>0</v>
      </c>
      <c r="E1502" s="0" t="n">
        <f aca="false">VLOOKUP(B1502,'MSA-Lookup'!$H$2:$I$86,2)</f>
        <v>6920</v>
      </c>
      <c r="F1502" s="0" t="n">
        <f aca="false">IF(C1502&gt;1,IF(C1502&lt;99,VLOOKUP(C1502,'MSA-Lookup'!$H$1:$I$86,2),C1502),C1502)</f>
        <v>4480</v>
      </c>
      <c r="G1502" s="0" t="n">
        <f aca="false">VLOOKUP(E1502,'MSA-Lookup'!$AA$1:$AB$25,2)</f>
        <v>6920</v>
      </c>
      <c r="H1502" s="0" t="n">
        <f aca="false">IF(C1502&gt;1,IF(C1502&lt;99,VLOOKUP(F1502,'MSA-Lookup'!$AA$1:$AB$25,2),C1502),C1502)</f>
        <v>4472</v>
      </c>
    </row>
    <row r="1503" customFormat="false" ht="12.75" hidden="false" customHeight="false" outlineLevel="0" collapsed="false">
      <c r="A1503" s="0" t="n">
        <f aca="false">B1503*1000+C1503</f>
        <v>28059</v>
      </c>
      <c r="B1503" s="0" t="n">
        <v>28</v>
      </c>
      <c r="C1503" s="0" t="n">
        <v>59</v>
      </c>
      <c r="D1503" s="0" t="n">
        <v>0</v>
      </c>
      <c r="E1503" s="0" t="n">
        <f aca="false">VLOOKUP(B1503,'MSA-Lookup'!$H$2:$I$86,2)</f>
        <v>6920</v>
      </c>
      <c r="F1503" s="0" t="n">
        <f aca="false">IF(C1503&gt;1,IF(C1503&lt;99,VLOOKUP(C1503,'MSA-Lookup'!$H$1:$I$86,2),C1503),C1503)</f>
        <v>4480</v>
      </c>
      <c r="G1503" s="0" t="n">
        <f aca="false">VLOOKUP(E1503,'MSA-Lookup'!$AA$1:$AB$25,2)</f>
        <v>6920</v>
      </c>
      <c r="H1503" s="0" t="n">
        <f aca="false">IF(C1503&gt;1,IF(C1503&lt;99,VLOOKUP(F1503,'MSA-Lookup'!$AA$1:$AB$25,2),C1503),C1503)</f>
        <v>4472</v>
      </c>
    </row>
    <row r="1504" customFormat="false" ht="12.75" hidden="false" customHeight="false" outlineLevel="0" collapsed="false">
      <c r="A1504" s="0" t="n">
        <f aca="false">B1504*1000+C1504</f>
        <v>28060</v>
      </c>
      <c r="B1504" s="0" t="n">
        <v>28</v>
      </c>
      <c r="C1504" s="0" t="n">
        <v>60</v>
      </c>
      <c r="D1504" s="0" t="n">
        <v>0</v>
      </c>
      <c r="E1504" s="0" t="n">
        <f aca="false">VLOOKUP(B1504,'MSA-Lookup'!$H$2:$I$86,2)</f>
        <v>6920</v>
      </c>
      <c r="F1504" s="0" t="n">
        <f aca="false">IF(C1504&gt;1,IF(C1504&lt;99,VLOOKUP(C1504,'MSA-Lookup'!$H$1:$I$86,2),C1504),C1504)</f>
        <v>4480</v>
      </c>
      <c r="G1504" s="0" t="n">
        <f aca="false">VLOOKUP(E1504,'MSA-Lookup'!$AA$1:$AB$25,2)</f>
        <v>6920</v>
      </c>
      <c r="H1504" s="0" t="n">
        <f aca="false">IF(C1504&gt;1,IF(C1504&lt;99,VLOOKUP(F1504,'MSA-Lookup'!$AA$1:$AB$25,2),C1504),C1504)</f>
        <v>4472</v>
      </c>
    </row>
    <row r="1505" customFormat="false" ht="12.75" hidden="false" customHeight="false" outlineLevel="0" collapsed="false">
      <c r="A1505" s="0" t="n">
        <f aca="false">B1505*1000+C1505</f>
        <v>28062</v>
      </c>
      <c r="B1505" s="0" t="n">
        <v>28</v>
      </c>
      <c r="C1505" s="0" t="n">
        <v>62</v>
      </c>
      <c r="D1505" s="0" t="n">
        <v>0</v>
      </c>
      <c r="E1505" s="0" t="n">
        <f aca="false">VLOOKUP(B1505,'MSA-Lookup'!$H$2:$I$86,2)</f>
        <v>6920</v>
      </c>
      <c r="F1505" s="0" t="n">
        <f aca="false">IF(C1505&gt;1,IF(C1505&lt;99,VLOOKUP(C1505,'MSA-Lookup'!$H$1:$I$86,2),C1505),C1505)</f>
        <v>4480</v>
      </c>
      <c r="G1505" s="0" t="n">
        <f aca="false">VLOOKUP(E1505,'MSA-Lookup'!$AA$1:$AB$25,2)</f>
        <v>6920</v>
      </c>
      <c r="H1505" s="0" t="n">
        <f aca="false">IF(C1505&gt;1,IF(C1505&lt;99,VLOOKUP(F1505,'MSA-Lookup'!$AA$1:$AB$25,2),C1505),C1505)</f>
        <v>4472</v>
      </c>
    </row>
    <row r="1506" customFormat="false" ht="12.75" hidden="false" customHeight="false" outlineLevel="0" collapsed="false">
      <c r="A1506" s="0" t="n">
        <f aca="false">B1506*1000+C1506</f>
        <v>28064</v>
      </c>
      <c r="B1506" s="0" t="n">
        <v>28</v>
      </c>
      <c r="C1506" s="0" t="n">
        <v>64</v>
      </c>
      <c r="D1506" s="0" t="n">
        <v>104</v>
      </c>
      <c r="E1506" s="0" t="n">
        <f aca="false">VLOOKUP(B1506,'MSA-Lookup'!$H$2:$I$86,2)</f>
        <v>6920</v>
      </c>
      <c r="F1506" s="0" t="n">
        <f aca="false">IF(C1506&gt;1,IF(C1506&lt;99,VLOOKUP(C1506,'MSA-Lookup'!$H$1:$I$86,2),C1506),C1506)</f>
        <v>4480</v>
      </c>
      <c r="G1506" s="0" t="n">
        <f aca="false">VLOOKUP(E1506,'MSA-Lookup'!$AA$1:$AB$25,2)</f>
        <v>6920</v>
      </c>
      <c r="H1506" s="0" t="n">
        <f aca="false">IF(C1506&gt;1,IF(C1506&lt;99,VLOOKUP(F1506,'MSA-Lookup'!$AA$1:$AB$25,2),C1506),C1506)</f>
        <v>4472</v>
      </c>
    </row>
    <row r="1507" customFormat="false" ht="12.75" hidden="false" customHeight="false" outlineLevel="0" collapsed="false">
      <c r="A1507" s="0" t="n">
        <f aca="false">B1507*1000+C1507</f>
        <v>28065</v>
      </c>
      <c r="B1507" s="0" t="n">
        <v>28</v>
      </c>
      <c r="C1507" s="0" t="n">
        <v>65</v>
      </c>
      <c r="D1507" s="0" t="n">
        <v>0</v>
      </c>
      <c r="E1507" s="0" t="n">
        <f aca="false">VLOOKUP(B1507,'MSA-Lookup'!$H$2:$I$86,2)</f>
        <v>6920</v>
      </c>
      <c r="F1507" s="0" t="n">
        <f aca="false">IF(C1507&gt;1,IF(C1507&lt;99,VLOOKUP(C1507,'MSA-Lookup'!$H$1:$I$86,2),C1507),C1507)</f>
        <v>4480</v>
      </c>
      <c r="G1507" s="0" t="n">
        <f aca="false">VLOOKUP(E1507,'MSA-Lookup'!$AA$1:$AB$25,2)</f>
        <v>6920</v>
      </c>
      <c r="H1507" s="0" t="n">
        <f aca="false">IF(C1507&gt;1,IF(C1507&lt;99,VLOOKUP(F1507,'MSA-Lookup'!$AA$1:$AB$25,2),C1507),C1507)</f>
        <v>4472</v>
      </c>
    </row>
    <row r="1508" customFormat="false" ht="12.75" hidden="false" customHeight="false" outlineLevel="0" collapsed="false">
      <c r="A1508" s="0" t="n">
        <f aca="false">B1508*1000+C1508</f>
        <v>28066</v>
      </c>
      <c r="B1508" s="0" t="n">
        <v>28</v>
      </c>
      <c r="C1508" s="0" t="n">
        <v>66</v>
      </c>
      <c r="D1508" s="0" t="n">
        <v>0</v>
      </c>
      <c r="E1508" s="0" t="n">
        <f aca="false">VLOOKUP(B1508,'MSA-Lookup'!$H$2:$I$86,2)</f>
        <v>6920</v>
      </c>
      <c r="F1508" s="0" t="n">
        <f aca="false">IF(C1508&gt;1,IF(C1508&lt;99,VLOOKUP(C1508,'MSA-Lookup'!$H$1:$I$86,2),C1508),C1508)</f>
        <v>4480</v>
      </c>
      <c r="G1508" s="0" t="n">
        <f aca="false">VLOOKUP(E1508,'MSA-Lookup'!$AA$1:$AB$25,2)</f>
        <v>6920</v>
      </c>
      <c r="H1508" s="0" t="n">
        <f aca="false">IF(C1508&gt;1,IF(C1508&lt;99,VLOOKUP(F1508,'MSA-Lookup'!$AA$1:$AB$25,2),C1508),C1508)</f>
        <v>4472</v>
      </c>
    </row>
    <row r="1509" customFormat="false" ht="12.75" hidden="false" customHeight="false" outlineLevel="0" collapsed="false">
      <c r="A1509" s="0" t="n">
        <f aca="false">B1509*1000+C1509</f>
        <v>28067</v>
      </c>
      <c r="B1509" s="0" t="n">
        <v>28</v>
      </c>
      <c r="C1509" s="0" t="n">
        <v>67</v>
      </c>
      <c r="D1509" s="0" t="n">
        <v>0</v>
      </c>
      <c r="E1509" s="0" t="n">
        <f aca="false">VLOOKUP(B1509,'MSA-Lookup'!$H$2:$I$86,2)</f>
        <v>6920</v>
      </c>
      <c r="F1509" s="0" t="n">
        <f aca="false">IF(C1509&gt;1,IF(C1509&lt;99,VLOOKUP(C1509,'MSA-Lookup'!$H$1:$I$86,2),C1509),C1509)</f>
        <v>6000</v>
      </c>
      <c r="G1509" s="0" t="n">
        <f aca="false">VLOOKUP(E1509,'MSA-Lookup'!$AA$1:$AB$25,2)</f>
        <v>6920</v>
      </c>
      <c r="H1509" s="0" t="n">
        <f aca="false">IF(C1509&gt;1,IF(C1509&lt;99,VLOOKUP(F1509,'MSA-Lookup'!$AA$1:$AB$25,2),C1509),C1509)</f>
        <v>4472</v>
      </c>
    </row>
    <row r="1510" customFormat="false" ht="12.75" hidden="false" customHeight="false" outlineLevel="0" collapsed="false">
      <c r="A1510" s="0" t="n">
        <f aca="false">B1510*1000+C1510</f>
        <v>28069</v>
      </c>
      <c r="B1510" s="0" t="n">
        <v>28</v>
      </c>
      <c r="C1510" s="0" t="n">
        <v>69</v>
      </c>
      <c r="D1510" s="0" t="n">
        <v>0</v>
      </c>
      <c r="E1510" s="0" t="n">
        <f aca="false">VLOOKUP(B1510,'MSA-Lookup'!$H$2:$I$86,2)</f>
        <v>6920</v>
      </c>
      <c r="F1510" s="0" t="n">
        <f aca="false">IF(C1510&gt;1,IF(C1510&lt;99,VLOOKUP(C1510,'MSA-Lookup'!$H$1:$I$86,2),C1510),C1510)</f>
        <v>6780</v>
      </c>
      <c r="G1510" s="0" t="n">
        <f aca="false">VLOOKUP(E1510,'MSA-Lookup'!$AA$1:$AB$25,2)</f>
        <v>6920</v>
      </c>
      <c r="H1510" s="0" t="n">
        <f aca="false">IF(C1510&gt;1,IF(C1510&lt;99,VLOOKUP(F1510,'MSA-Lookup'!$AA$1:$AB$25,2),C1510),C1510)</f>
        <v>4472</v>
      </c>
    </row>
    <row r="1511" customFormat="false" ht="12.75" hidden="false" customHeight="false" outlineLevel="0" collapsed="false">
      <c r="A1511" s="0" t="n">
        <f aca="false">B1511*1000+C1511</f>
        <v>28071</v>
      </c>
      <c r="B1511" s="0" t="n">
        <v>28</v>
      </c>
      <c r="C1511" s="0" t="n">
        <v>71</v>
      </c>
      <c r="D1511" s="0" t="n">
        <v>0</v>
      </c>
      <c r="E1511" s="0" t="n">
        <f aca="false">VLOOKUP(B1511,'MSA-Lookup'!$H$2:$I$86,2)</f>
        <v>6920</v>
      </c>
      <c r="F1511" s="0" t="n">
        <f aca="false">IF(C1511&gt;1,IF(C1511&lt;99,VLOOKUP(C1511,'MSA-Lookup'!$H$1:$I$86,2),C1511),C1511)</f>
        <v>6780</v>
      </c>
      <c r="G1511" s="0" t="n">
        <f aca="false">VLOOKUP(E1511,'MSA-Lookup'!$AA$1:$AB$25,2)</f>
        <v>6920</v>
      </c>
      <c r="H1511" s="0" t="n">
        <f aca="false">IF(C1511&gt;1,IF(C1511&lt;99,VLOOKUP(F1511,'MSA-Lookup'!$AA$1:$AB$25,2),C1511),C1511)</f>
        <v>4472</v>
      </c>
    </row>
    <row r="1512" customFormat="false" ht="12.75" hidden="false" customHeight="false" outlineLevel="0" collapsed="false">
      <c r="A1512" s="0" t="n">
        <f aca="false">B1512*1000+C1512</f>
        <v>28072</v>
      </c>
      <c r="B1512" s="0" t="n">
        <v>28</v>
      </c>
      <c r="C1512" s="0" t="n">
        <v>72</v>
      </c>
      <c r="D1512" s="0" t="n">
        <v>0</v>
      </c>
      <c r="E1512" s="0" t="n">
        <f aca="false">VLOOKUP(B1512,'MSA-Lookup'!$H$2:$I$86,2)</f>
        <v>6920</v>
      </c>
      <c r="F1512" s="0" t="n">
        <f aca="false">IF(C1512&gt;1,IF(C1512&lt;99,VLOOKUP(C1512,'MSA-Lookup'!$H$1:$I$86,2),C1512),C1512)</f>
        <v>6780</v>
      </c>
      <c r="G1512" s="0" t="n">
        <f aca="false">VLOOKUP(E1512,'MSA-Lookup'!$AA$1:$AB$25,2)</f>
        <v>6920</v>
      </c>
      <c r="H1512" s="0" t="n">
        <f aca="false">IF(C1512&gt;1,IF(C1512&lt;99,VLOOKUP(F1512,'MSA-Lookup'!$AA$1:$AB$25,2),C1512),C1512)</f>
        <v>4472</v>
      </c>
    </row>
    <row r="1513" customFormat="false" ht="12.75" hidden="false" customHeight="false" outlineLevel="0" collapsed="false">
      <c r="A1513" s="0" t="n">
        <f aca="false">B1513*1000+C1513</f>
        <v>28073</v>
      </c>
      <c r="B1513" s="0" t="n">
        <v>28</v>
      </c>
      <c r="C1513" s="0" t="n">
        <v>73</v>
      </c>
      <c r="D1513" s="0" t="n">
        <v>234</v>
      </c>
      <c r="E1513" s="0" t="n">
        <f aca="false">VLOOKUP(B1513,'MSA-Lookup'!$H$2:$I$86,2)</f>
        <v>6920</v>
      </c>
      <c r="F1513" s="0" t="n">
        <f aca="false">IF(C1513&gt;1,IF(C1513&lt;99,VLOOKUP(C1513,'MSA-Lookup'!$H$1:$I$86,2),C1513),C1513)</f>
        <v>8720</v>
      </c>
      <c r="G1513" s="0" t="n">
        <f aca="false">VLOOKUP(E1513,'MSA-Lookup'!$AA$1:$AB$25,2)</f>
        <v>6920</v>
      </c>
      <c r="H1513" s="0" t="n">
        <f aca="false">IF(C1513&gt;1,IF(C1513&lt;99,VLOOKUP(F1513,'MSA-Lookup'!$AA$1:$AB$25,2),C1513),C1513)</f>
        <v>7362</v>
      </c>
    </row>
    <row r="1514" customFormat="false" ht="12.75" hidden="false" customHeight="false" outlineLevel="0" collapsed="false">
      <c r="A1514" s="0" t="n">
        <f aca="false">B1514*1000+C1514</f>
        <v>28075</v>
      </c>
      <c r="B1514" s="0" t="n">
        <v>28</v>
      </c>
      <c r="C1514" s="0" t="n">
        <v>75</v>
      </c>
      <c r="D1514" s="0" t="n">
        <v>0</v>
      </c>
      <c r="E1514" s="0" t="n">
        <f aca="false">VLOOKUP(B1514,'MSA-Lookup'!$H$2:$I$86,2)</f>
        <v>6920</v>
      </c>
      <c r="F1514" s="0" t="n">
        <f aca="false">IF(C1514&gt;1,IF(C1514&lt;99,VLOOKUP(C1514,'MSA-Lookup'!$H$1:$I$86,2),C1514),C1514)</f>
        <v>8780</v>
      </c>
      <c r="G1514" s="0" t="n">
        <f aca="false">VLOOKUP(E1514,'MSA-Lookup'!$AA$1:$AB$25,2)</f>
        <v>6920</v>
      </c>
      <c r="H1514" s="0" t="n">
        <f aca="false">IF(C1514&gt;1,IF(C1514&lt;99,VLOOKUP(F1514,'MSA-Lookup'!$AA$1:$AB$25,2),C1514),C1514)</f>
        <v>8780</v>
      </c>
    </row>
    <row r="1515" customFormat="false" ht="12.75" hidden="false" customHeight="false" outlineLevel="0" collapsed="false">
      <c r="A1515" s="0" t="n">
        <f aca="false">B1515*1000+C1515</f>
        <v>28076</v>
      </c>
      <c r="B1515" s="0" t="n">
        <v>28</v>
      </c>
      <c r="C1515" s="0" t="n">
        <v>76</v>
      </c>
      <c r="D1515" s="0" t="n">
        <v>0</v>
      </c>
      <c r="E1515" s="0" t="n">
        <f aca="false">VLOOKUP(B1515,'MSA-Lookup'!$H$2:$I$86,2)</f>
        <v>6920</v>
      </c>
      <c r="F1515" s="0" t="n">
        <f aca="false">IF(C1515&gt;1,IF(C1515&lt;99,VLOOKUP(C1515,'MSA-Lookup'!$H$1:$I$86,2),C1515),C1515)</f>
        <v>7485</v>
      </c>
      <c r="G1515" s="0" t="n">
        <f aca="false">VLOOKUP(E1515,'MSA-Lookup'!$AA$1:$AB$25,2)</f>
        <v>6920</v>
      </c>
      <c r="H1515" s="0" t="n">
        <f aca="false">IF(C1515&gt;1,IF(C1515&lt;99,VLOOKUP(F1515,'MSA-Lookup'!$AA$1:$AB$25,2),C1515),C1515)</f>
        <v>7362</v>
      </c>
    </row>
    <row r="1516" customFormat="false" ht="12.75" hidden="false" customHeight="false" outlineLevel="0" collapsed="false">
      <c r="A1516" s="0" t="n">
        <f aca="false">B1516*1000+C1516</f>
        <v>28077</v>
      </c>
      <c r="B1516" s="0" t="n">
        <v>28</v>
      </c>
      <c r="C1516" s="0" t="n">
        <v>77</v>
      </c>
      <c r="D1516" s="0" t="n">
        <v>0</v>
      </c>
      <c r="E1516" s="0" t="n">
        <f aca="false">VLOOKUP(B1516,'MSA-Lookup'!$H$2:$I$86,2)</f>
        <v>6920</v>
      </c>
      <c r="F1516" s="0" t="n">
        <f aca="false">IF(C1516&gt;1,IF(C1516&lt;99,VLOOKUP(C1516,'MSA-Lookup'!$H$1:$I$86,2),C1516),C1516)</f>
        <v>9999</v>
      </c>
      <c r="G1516" s="0" t="n">
        <f aca="false">VLOOKUP(E1516,'MSA-Lookup'!$AA$1:$AB$25,2)</f>
        <v>6920</v>
      </c>
      <c r="H1516" s="0" t="n">
        <f aca="false">IF(C1516&gt;1,IF(C1516&lt;99,VLOOKUP(F1516,'MSA-Lookup'!$AA$1:$AB$25,2),C1516),C1516)</f>
        <v>9999</v>
      </c>
    </row>
    <row r="1517" customFormat="false" ht="12.75" hidden="false" customHeight="false" outlineLevel="0" collapsed="false">
      <c r="A1517" s="0" t="n">
        <f aca="false">B1517*1000+C1517</f>
        <v>28079</v>
      </c>
      <c r="B1517" s="0" t="n">
        <v>28</v>
      </c>
      <c r="C1517" s="0" t="n">
        <v>79</v>
      </c>
      <c r="D1517" s="0" t="n">
        <v>0</v>
      </c>
      <c r="E1517" s="0" t="n">
        <f aca="false">VLOOKUP(B1517,'MSA-Lookup'!$H$2:$I$86,2)</f>
        <v>6920</v>
      </c>
      <c r="F1517" s="0" t="n">
        <f aca="false">IF(C1517&gt;1,IF(C1517&lt;99,VLOOKUP(C1517,'MSA-Lookup'!$H$1:$I$86,2),C1517),C1517)</f>
        <v>680</v>
      </c>
      <c r="G1517" s="0" t="n">
        <f aca="false">VLOOKUP(E1517,'MSA-Lookup'!$AA$1:$AB$25,2)</f>
        <v>6920</v>
      </c>
      <c r="H1517" s="0" t="n">
        <f aca="false">IF(C1517&gt;1,IF(C1517&lt;99,VLOOKUP(F1517,'MSA-Lookup'!$AA$1:$AB$25,2),C1517),C1517)</f>
        <v>680</v>
      </c>
    </row>
    <row r="1518" customFormat="false" ht="12.75" hidden="false" customHeight="false" outlineLevel="0" collapsed="false">
      <c r="A1518" s="0" t="n">
        <f aca="false">B1518*1000+C1518</f>
        <v>28080</v>
      </c>
      <c r="B1518" s="0" t="n">
        <v>28</v>
      </c>
      <c r="C1518" s="0" t="n">
        <v>80</v>
      </c>
      <c r="D1518" s="0" t="n">
        <v>0</v>
      </c>
      <c r="E1518" s="0" t="n">
        <f aca="false">VLOOKUP(B1518,'MSA-Lookup'!$H$2:$I$86,2)</f>
        <v>6920</v>
      </c>
      <c r="F1518" s="0" t="n">
        <f aca="false">IF(C1518&gt;1,IF(C1518&lt;99,VLOOKUP(C1518,'MSA-Lookup'!$H$1:$I$86,2),C1518),C1518)</f>
        <v>9999</v>
      </c>
      <c r="G1518" s="0" t="n">
        <f aca="false">VLOOKUP(E1518,'MSA-Lookup'!$AA$1:$AB$25,2)</f>
        <v>6920</v>
      </c>
      <c r="H1518" s="0" t="n">
        <f aca="false">IF(C1518&gt;1,IF(C1518&lt;99,VLOOKUP(F1518,'MSA-Lookup'!$AA$1:$AB$25,2),C1518),C1518)</f>
        <v>9999</v>
      </c>
    </row>
    <row r="1519" customFormat="false" ht="12.75" hidden="false" customHeight="false" outlineLevel="0" collapsed="false">
      <c r="A1519" s="0" t="n">
        <f aca="false">B1519*1000+C1519</f>
        <v>28082</v>
      </c>
      <c r="B1519" s="0" t="n">
        <v>28</v>
      </c>
      <c r="C1519" s="0" t="n">
        <v>82</v>
      </c>
      <c r="D1519" s="0" t="n">
        <v>0</v>
      </c>
      <c r="E1519" s="0" t="n">
        <f aca="false">VLOOKUP(B1519,'MSA-Lookup'!$H$2:$I$86,2)</f>
        <v>6920</v>
      </c>
      <c r="F1519" s="0" t="n">
        <f aca="false">IF(C1519&gt;1,IF(C1519&lt;99,VLOOKUP(C1519,'MSA-Lookup'!$H$1:$I$86,2),C1519),C1519)</f>
        <v>6780</v>
      </c>
      <c r="G1519" s="0" t="n">
        <f aca="false">VLOOKUP(E1519,'MSA-Lookup'!$AA$1:$AB$25,2)</f>
        <v>6920</v>
      </c>
      <c r="H1519" s="0" t="n">
        <f aca="false">IF(C1519&gt;1,IF(C1519&lt;99,VLOOKUP(F1519,'MSA-Lookup'!$AA$1:$AB$25,2),C1519),C1519)</f>
        <v>4472</v>
      </c>
    </row>
    <row r="1520" customFormat="false" ht="12.75" hidden="false" customHeight="false" outlineLevel="0" collapsed="false">
      <c r="A1520" s="0" t="n">
        <f aca="false">B1520*1000+C1520</f>
        <v>28085</v>
      </c>
      <c r="B1520" s="0" t="n">
        <v>28</v>
      </c>
      <c r="C1520" s="0" t="n">
        <v>85</v>
      </c>
      <c r="D1520" s="0" t="n">
        <v>468</v>
      </c>
      <c r="E1520" s="0" t="n">
        <f aca="false">VLOOKUP(B1520,'MSA-Lookup'!$H$2:$I$86,2)</f>
        <v>6920</v>
      </c>
      <c r="F1520" s="0" t="n">
        <f aca="false">IF(C1520&gt;1,IF(C1520&lt;99,VLOOKUP(C1520,'MSA-Lookup'!$H$1:$I$86,2),C1520),C1520)</f>
        <v>8120</v>
      </c>
      <c r="G1520" s="0" t="n">
        <f aca="false">VLOOKUP(E1520,'MSA-Lookup'!$AA$1:$AB$25,2)</f>
        <v>6920</v>
      </c>
      <c r="H1520" s="0" t="n">
        <f aca="false">IF(C1520&gt;1,IF(C1520&lt;99,VLOOKUP(F1520,'MSA-Lookup'!$AA$1:$AB$25,2),C1520),C1520)</f>
        <v>8120</v>
      </c>
    </row>
    <row r="1521" customFormat="false" ht="12.75" hidden="false" customHeight="false" outlineLevel="0" collapsed="false">
      <c r="A1521" s="0" t="n">
        <f aca="false">B1521*1000+C1521</f>
        <v>28858</v>
      </c>
      <c r="B1521" s="0" t="n">
        <v>28</v>
      </c>
      <c r="C1521" s="0" t="n">
        <v>858</v>
      </c>
      <c r="D1521" s="0" t="n">
        <v>0</v>
      </c>
      <c r="E1521" s="0" t="n">
        <f aca="false">VLOOKUP(B1521,'MSA-Lookup'!$H$2:$I$86,2)</f>
        <v>6920</v>
      </c>
      <c r="F1521" s="0" t="n">
        <f aca="false">IF(C1521&gt;1,IF(C1521&lt;99,VLOOKUP(C1521,'MSA-Lookup'!$H$1:$I$86,2),C1521),C1521)</f>
        <v>858</v>
      </c>
      <c r="G1521" s="0" t="n">
        <f aca="false">VLOOKUP(E1521,'MSA-Lookup'!$AA$1:$AB$25,2)</f>
        <v>6920</v>
      </c>
      <c r="H1521" s="0" t="n">
        <f aca="false">IF(C1521&gt;1,IF(C1521&lt;99,VLOOKUP(F1521,'MSA-Lookup'!$AA$1:$AB$25,2),C1521),C1521)</f>
        <v>858</v>
      </c>
    </row>
    <row r="1522" customFormat="false" ht="12.75" hidden="false" customHeight="false" outlineLevel="0" collapsed="false">
      <c r="A1522" s="0" t="n">
        <f aca="false">B1522*1000+C1522</f>
        <v>28999</v>
      </c>
      <c r="B1522" s="0" t="n">
        <v>28</v>
      </c>
      <c r="C1522" s="0" t="n">
        <v>999</v>
      </c>
      <c r="D1522" s="0" t="n">
        <v>0</v>
      </c>
      <c r="E1522" s="0" t="n">
        <f aca="false">VLOOKUP(B1522,'MSA-Lookup'!$H$2:$I$86,2)</f>
        <v>6920</v>
      </c>
      <c r="F1522" s="0" t="n">
        <f aca="false">IF(C1522&gt;1,IF(C1522&lt;99,VLOOKUP(C1522,'MSA-Lookup'!$H$1:$I$86,2),C1522),C1522)</f>
        <v>999</v>
      </c>
      <c r="G1522" s="0" t="n">
        <f aca="false">VLOOKUP(E1522,'MSA-Lookup'!$AA$1:$AB$25,2)</f>
        <v>6920</v>
      </c>
      <c r="H1522" s="0" t="n">
        <f aca="false">IF(C1522&gt;1,IF(C1522&lt;99,VLOOKUP(F1522,'MSA-Lookup'!$AA$1:$AB$25,2),C1522),C1522)</f>
        <v>999</v>
      </c>
    </row>
    <row r="1523" customFormat="false" ht="12.75" hidden="false" customHeight="false" outlineLevel="0" collapsed="false">
      <c r="A1523" s="0" t="n">
        <f aca="false">B1523*1000+C1523</f>
        <v>29000</v>
      </c>
      <c r="B1523" s="0" t="n">
        <v>29</v>
      </c>
      <c r="C1523" s="0" t="n">
        <v>0</v>
      </c>
      <c r="D1523" s="0" t="n">
        <v>343122</v>
      </c>
      <c r="E1523" s="0" t="n">
        <f aca="false">VLOOKUP(B1523,'MSA-Lookup'!$H$2:$I$86,2)</f>
        <v>6920</v>
      </c>
      <c r="F1523" s="0" t="n">
        <f aca="false">IF(C1523&gt;1,IF(C1523&lt;99,VLOOKUP(C1523,'MSA-Lookup'!$H$1:$I$86,2),C1523),C1523)</f>
        <v>0</v>
      </c>
      <c r="G1523" s="0" t="n">
        <f aca="false">VLOOKUP(E1523,'MSA-Lookup'!$AA$1:$AB$25,2)</f>
        <v>6920</v>
      </c>
      <c r="H1523" s="0" t="n">
        <f aca="false">IF(C1523&gt;1,IF(C1523&lt;99,VLOOKUP(F1523,'MSA-Lookup'!$AA$1:$AB$25,2),C1523),C1523)</f>
        <v>0</v>
      </c>
    </row>
    <row r="1524" customFormat="false" ht="12.75" hidden="false" customHeight="false" outlineLevel="0" collapsed="false">
      <c r="A1524" s="0" t="n">
        <f aca="false">B1524*1000+C1524</f>
        <v>29001</v>
      </c>
      <c r="B1524" s="0" t="n">
        <v>29</v>
      </c>
      <c r="C1524" s="0" t="n">
        <v>1</v>
      </c>
      <c r="D1524" s="0" t="n">
        <v>390</v>
      </c>
      <c r="E1524" s="0" t="n">
        <f aca="false">VLOOKUP(B1524,'MSA-Lookup'!$H$2:$I$86,2)</f>
        <v>6920</v>
      </c>
      <c r="F1524" s="0" t="n">
        <f aca="false">IF(C1524&gt;1,IF(C1524&lt;99,VLOOKUP(C1524,'MSA-Lookup'!$H$1:$I$86,2),C1524),C1524)</f>
        <v>1</v>
      </c>
      <c r="G1524" s="0" t="n">
        <f aca="false">VLOOKUP(E1524,'MSA-Lookup'!$AA$1:$AB$25,2)</f>
        <v>6920</v>
      </c>
      <c r="H1524" s="0" t="n">
        <f aca="false">IF(C1524&gt;1,IF(C1524&lt;99,VLOOKUP(F1524,'MSA-Lookup'!$AA$1:$AB$25,2),C1524),C1524)</f>
        <v>1</v>
      </c>
    </row>
    <row r="1525" customFormat="false" ht="12.75" hidden="false" customHeight="false" outlineLevel="0" collapsed="false">
      <c r="A1525" s="0" t="n">
        <f aca="false">B1525*1000+C1525</f>
        <v>29002</v>
      </c>
      <c r="B1525" s="0" t="n">
        <v>29</v>
      </c>
      <c r="C1525" s="0" t="n">
        <v>2</v>
      </c>
      <c r="D1525" s="0" t="n">
        <v>286</v>
      </c>
      <c r="E1525" s="0" t="n">
        <f aca="false">VLOOKUP(B1525,'MSA-Lookup'!$H$2:$I$86,2)</f>
        <v>6920</v>
      </c>
      <c r="F1525" s="0" t="n">
        <f aca="false">IF(C1525&gt;1,IF(C1525&lt;99,VLOOKUP(C1525,'MSA-Lookup'!$H$1:$I$86,2),C1525),C1525)</f>
        <v>9999</v>
      </c>
      <c r="G1525" s="0" t="n">
        <f aca="false">VLOOKUP(E1525,'MSA-Lookup'!$AA$1:$AB$25,2)</f>
        <v>6920</v>
      </c>
      <c r="H1525" s="0" t="n">
        <f aca="false">IF(C1525&gt;1,IF(C1525&lt;99,VLOOKUP(F1525,'MSA-Lookup'!$AA$1:$AB$25,2),C1525),C1525)</f>
        <v>9999</v>
      </c>
    </row>
    <row r="1526" customFormat="false" ht="12.75" hidden="false" customHeight="false" outlineLevel="0" collapsed="false">
      <c r="A1526" s="0" t="n">
        <f aca="false">B1526*1000+C1526</f>
        <v>29003</v>
      </c>
      <c r="B1526" s="0" t="n">
        <v>29</v>
      </c>
      <c r="C1526" s="0" t="n">
        <v>3</v>
      </c>
      <c r="D1526" s="0" t="n">
        <v>0</v>
      </c>
      <c r="E1526" s="0" t="n">
        <f aca="false">VLOOKUP(B1526,'MSA-Lookup'!$H$2:$I$86,2)</f>
        <v>6920</v>
      </c>
      <c r="F1526" s="0" t="n">
        <f aca="false">IF(C1526&gt;1,IF(C1526&lt;99,VLOOKUP(C1526,'MSA-Lookup'!$H$1:$I$86,2),C1526),C1526)</f>
        <v>6690</v>
      </c>
      <c r="G1526" s="0" t="n">
        <f aca="false">VLOOKUP(E1526,'MSA-Lookup'!$AA$1:$AB$25,2)</f>
        <v>6920</v>
      </c>
      <c r="H1526" s="0" t="n">
        <f aca="false">IF(C1526&gt;1,IF(C1526&lt;99,VLOOKUP(F1526,'MSA-Lookup'!$AA$1:$AB$25,2),C1526),C1526)</f>
        <v>6690</v>
      </c>
    </row>
    <row r="1527" customFormat="false" ht="12.75" hidden="false" customHeight="false" outlineLevel="0" collapsed="false">
      <c r="A1527" s="0" t="n">
        <f aca="false">B1527*1000+C1527</f>
        <v>29004</v>
      </c>
      <c r="B1527" s="0" t="n">
        <v>29</v>
      </c>
      <c r="C1527" s="0" t="n">
        <v>4</v>
      </c>
      <c r="D1527" s="0" t="n">
        <v>104</v>
      </c>
      <c r="E1527" s="0" t="n">
        <f aca="false">VLOOKUP(B1527,'MSA-Lookup'!$H$2:$I$86,2)</f>
        <v>6920</v>
      </c>
      <c r="F1527" s="0" t="n">
        <f aca="false">IF(C1527&gt;1,IF(C1527&lt;99,VLOOKUP(C1527,'MSA-Lookup'!$H$1:$I$86,2),C1527),C1527)</f>
        <v>9999</v>
      </c>
      <c r="G1527" s="0" t="n">
        <f aca="false">VLOOKUP(E1527,'MSA-Lookup'!$AA$1:$AB$25,2)</f>
        <v>6920</v>
      </c>
      <c r="H1527" s="0" t="n">
        <f aca="false">IF(C1527&gt;1,IF(C1527&lt;99,VLOOKUP(F1527,'MSA-Lookup'!$AA$1:$AB$25,2),C1527),C1527)</f>
        <v>9999</v>
      </c>
    </row>
    <row r="1528" customFormat="false" ht="12.75" hidden="false" customHeight="false" outlineLevel="0" collapsed="false">
      <c r="A1528" s="0" t="n">
        <f aca="false">B1528*1000+C1528</f>
        <v>29005</v>
      </c>
      <c r="B1528" s="0" t="n">
        <v>29</v>
      </c>
      <c r="C1528" s="0" t="n">
        <v>5</v>
      </c>
      <c r="D1528" s="0" t="n">
        <v>195</v>
      </c>
      <c r="E1528" s="0" t="n">
        <f aca="false">VLOOKUP(B1528,'MSA-Lookup'!$H$2:$I$86,2)</f>
        <v>6920</v>
      </c>
      <c r="F1528" s="0" t="n">
        <f aca="false">IF(C1528&gt;1,IF(C1528&lt;99,VLOOKUP(C1528,'MSA-Lookup'!$H$1:$I$86,2),C1528),C1528)</f>
        <v>9999</v>
      </c>
      <c r="G1528" s="0" t="n">
        <f aca="false">VLOOKUP(E1528,'MSA-Lookup'!$AA$1:$AB$25,2)</f>
        <v>6920</v>
      </c>
      <c r="H1528" s="0" t="n">
        <f aca="false">IF(C1528&gt;1,IF(C1528&lt;99,VLOOKUP(F1528,'MSA-Lookup'!$AA$1:$AB$25,2),C1528),C1528)</f>
        <v>9999</v>
      </c>
    </row>
    <row r="1529" customFormat="false" ht="12.75" hidden="false" customHeight="false" outlineLevel="0" collapsed="false">
      <c r="A1529" s="0" t="n">
        <f aca="false">B1529*1000+C1529</f>
        <v>29006</v>
      </c>
      <c r="B1529" s="0" t="n">
        <v>29</v>
      </c>
      <c r="C1529" s="0" t="n">
        <v>6</v>
      </c>
      <c r="D1529" s="0" t="n">
        <v>169</v>
      </c>
      <c r="E1529" s="0" t="n">
        <f aca="false">VLOOKUP(B1529,'MSA-Lookup'!$H$2:$I$86,2)</f>
        <v>6920</v>
      </c>
      <c r="F1529" s="0" t="n">
        <f aca="false">IF(C1529&gt;1,IF(C1529&lt;99,VLOOKUP(C1529,'MSA-Lookup'!$H$1:$I$86,2),C1529),C1529)</f>
        <v>1620</v>
      </c>
      <c r="G1529" s="0" t="n">
        <f aca="false">VLOOKUP(E1529,'MSA-Lookup'!$AA$1:$AB$25,2)</f>
        <v>6920</v>
      </c>
      <c r="H1529" s="0" t="n">
        <f aca="false">IF(C1529&gt;1,IF(C1529&lt;99,VLOOKUP(F1529,'MSA-Lookup'!$AA$1:$AB$25,2),C1529),C1529)</f>
        <v>1620</v>
      </c>
    </row>
    <row r="1530" customFormat="false" ht="12.75" hidden="false" customHeight="false" outlineLevel="0" collapsed="false">
      <c r="A1530" s="0" t="n">
        <f aca="false">B1530*1000+C1530</f>
        <v>29007</v>
      </c>
      <c r="B1530" s="0" t="n">
        <v>29</v>
      </c>
      <c r="C1530" s="0" t="n">
        <v>7</v>
      </c>
      <c r="D1530" s="0" t="n">
        <v>286</v>
      </c>
      <c r="E1530" s="0" t="n">
        <f aca="false">VLOOKUP(B1530,'MSA-Lookup'!$H$2:$I$86,2)</f>
        <v>6920</v>
      </c>
      <c r="F1530" s="0" t="n">
        <f aca="false">IF(C1530&gt;1,IF(C1530&lt;99,VLOOKUP(C1530,'MSA-Lookup'!$H$1:$I$86,2),C1530),C1530)</f>
        <v>9999</v>
      </c>
      <c r="G1530" s="0" t="n">
        <f aca="false">VLOOKUP(E1530,'MSA-Lookup'!$AA$1:$AB$25,2)</f>
        <v>6920</v>
      </c>
      <c r="H1530" s="0" t="n">
        <f aca="false">IF(C1530&gt;1,IF(C1530&lt;99,VLOOKUP(F1530,'MSA-Lookup'!$AA$1:$AB$25,2),C1530),C1530)</f>
        <v>9999</v>
      </c>
    </row>
    <row r="1531" customFormat="false" ht="12.75" hidden="false" customHeight="false" outlineLevel="0" collapsed="false">
      <c r="A1531" s="0" t="n">
        <f aca="false">B1531*1000+C1531</f>
        <v>29008</v>
      </c>
      <c r="B1531" s="0" t="n">
        <v>29</v>
      </c>
      <c r="C1531" s="0" t="n">
        <v>8</v>
      </c>
      <c r="D1531" s="0" t="n">
        <v>338</v>
      </c>
      <c r="E1531" s="0" t="n">
        <f aca="false">VLOOKUP(B1531,'MSA-Lookup'!$H$2:$I$86,2)</f>
        <v>6920</v>
      </c>
      <c r="F1531" s="0" t="n">
        <f aca="false">IF(C1531&gt;1,IF(C1531&lt;99,VLOOKUP(C1531,'MSA-Lookup'!$H$1:$I$86,2),C1531),C1531)</f>
        <v>9340</v>
      </c>
      <c r="G1531" s="0" t="n">
        <f aca="false">VLOOKUP(E1531,'MSA-Lookup'!$AA$1:$AB$25,2)</f>
        <v>6920</v>
      </c>
      <c r="H1531" s="0" t="n">
        <f aca="false">IF(C1531&gt;1,IF(C1531&lt;99,VLOOKUP(F1531,'MSA-Lookup'!$AA$1:$AB$25,2),C1531),C1531)</f>
        <v>9340</v>
      </c>
    </row>
    <row r="1532" customFormat="false" ht="12.75" hidden="false" customHeight="false" outlineLevel="0" collapsed="false">
      <c r="A1532" s="0" t="n">
        <f aca="false">B1532*1000+C1532</f>
        <v>29009</v>
      </c>
      <c r="B1532" s="0" t="n">
        <v>29</v>
      </c>
      <c r="C1532" s="0" t="n">
        <v>9</v>
      </c>
      <c r="D1532" s="0" t="n">
        <v>234</v>
      </c>
      <c r="E1532" s="0" t="n">
        <f aca="false">VLOOKUP(B1532,'MSA-Lookup'!$H$2:$I$86,2)</f>
        <v>6920</v>
      </c>
      <c r="F1532" s="0" t="n">
        <f aca="false">IF(C1532&gt;1,IF(C1532&lt;99,VLOOKUP(C1532,'MSA-Lookup'!$H$1:$I$86,2),C1532),C1532)</f>
        <v>8720</v>
      </c>
      <c r="G1532" s="0" t="n">
        <f aca="false">VLOOKUP(E1532,'MSA-Lookup'!$AA$1:$AB$25,2)</f>
        <v>6920</v>
      </c>
      <c r="H1532" s="0" t="n">
        <f aca="false">IF(C1532&gt;1,IF(C1532&lt;99,VLOOKUP(F1532,'MSA-Lookup'!$AA$1:$AB$25,2),C1532),C1532)</f>
        <v>7362</v>
      </c>
    </row>
    <row r="1533" customFormat="false" ht="12.75" hidden="false" customHeight="false" outlineLevel="0" collapsed="false">
      <c r="A1533" s="0" t="n">
        <f aca="false">B1533*1000+C1533</f>
        <v>29010</v>
      </c>
      <c r="B1533" s="0" t="n">
        <v>29</v>
      </c>
      <c r="C1533" s="0" t="n">
        <v>10</v>
      </c>
      <c r="D1533" s="0" t="n">
        <v>9724</v>
      </c>
      <c r="E1533" s="0" t="n">
        <f aca="false">VLOOKUP(B1533,'MSA-Lookup'!$H$2:$I$86,2)</f>
        <v>6920</v>
      </c>
      <c r="F1533" s="0" t="n">
        <f aca="false">IF(C1533&gt;1,IF(C1533&lt;99,VLOOKUP(C1533,'MSA-Lookup'!$H$1:$I$86,2),C1533),C1533)</f>
        <v>6920</v>
      </c>
      <c r="G1533" s="0" t="n">
        <f aca="false">VLOOKUP(E1533,'MSA-Lookup'!$AA$1:$AB$25,2)</f>
        <v>6920</v>
      </c>
      <c r="H1533" s="0" t="n">
        <f aca="false">IF(C1533&gt;1,IF(C1533&lt;99,VLOOKUP(F1533,'MSA-Lookup'!$AA$1:$AB$25,2),C1533),C1533)</f>
        <v>6920</v>
      </c>
    </row>
    <row r="1534" customFormat="false" ht="12.75" hidden="false" customHeight="false" outlineLevel="0" collapsed="false">
      <c r="A1534" s="0" t="n">
        <f aca="false">B1534*1000+C1534</f>
        <v>29011</v>
      </c>
      <c r="B1534" s="0" t="n">
        <v>29</v>
      </c>
      <c r="C1534" s="0" t="n">
        <v>11</v>
      </c>
      <c r="D1534" s="0" t="n">
        <v>14781</v>
      </c>
      <c r="E1534" s="0" t="n">
        <f aca="false">VLOOKUP(B1534,'MSA-Lookup'!$H$2:$I$86,2)</f>
        <v>6920</v>
      </c>
      <c r="F1534" s="0" t="n">
        <f aca="false">IF(C1534&gt;1,IF(C1534&lt;99,VLOOKUP(C1534,'MSA-Lookup'!$H$1:$I$86,2),C1534),C1534)</f>
        <v>6920</v>
      </c>
      <c r="G1534" s="0" t="n">
        <f aca="false">VLOOKUP(E1534,'MSA-Lookup'!$AA$1:$AB$25,2)</f>
        <v>6920</v>
      </c>
      <c r="H1534" s="0" t="n">
        <f aca="false">IF(C1534&gt;1,IF(C1534&lt;99,VLOOKUP(F1534,'MSA-Lookup'!$AA$1:$AB$25,2),C1534),C1534)</f>
        <v>6920</v>
      </c>
    </row>
    <row r="1535" customFormat="false" ht="12.75" hidden="false" customHeight="false" outlineLevel="0" collapsed="false">
      <c r="A1535" s="0" t="n">
        <f aca="false">B1535*1000+C1535</f>
        <v>29012</v>
      </c>
      <c r="B1535" s="0" t="n">
        <v>29</v>
      </c>
      <c r="C1535" s="0" t="n">
        <v>12</v>
      </c>
      <c r="D1535" s="0" t="n">
        <v>2288</v>
      </c>
      <c r="E1535" s="0" t="n">
        <f aca="false">VLOOKUP(B1535,'MSA-Lookup'!$H$2:$I$86,2)</f>
        <v>6920</v>
      </c>
      <c r="F1535" s="0" t="n">
        <f aca="false">IF(C1535&gt;1,IF(C1535&lt;99,VLOOKUP(C1535,'MSA-Lookup'!$H$1:$I$86,2),C1535),C1535)</f>
        <v>6920</v>
      </c>
      <c r="G1535" s="0" t="n">
        <f aca="false">VLOOKUP(E1535,'MSA-Lookup'!$AA$1:$AB$25,2)</f>
        <v>6920</v>
      </c>
      <c r="H1535" s="0" t="n">
        <f aca="false">IF(C1535&gt;1,IF(C1535&lt;99,VLOOKUP(F1535,'MSA-Lookup'!$AA$1:$AB$25,2),C1535),C1535)</f>
        <v>6920</v>
      </c>
    </row>
    <row r="1536" customFormat="false" ht="12.75" hidden="false" customHeight="false" outlineLevel="0" collapsed="false">
      <c r="A1536" s="0" t="n">
        <f aca="false">B1536*1000+C1536</f>
        <v>29013</v>
      </c>
      <c r="B1536" s="0" t="n">
        <v>29</v>
      </c>
      <c r="C1536" s="0" t="n">
        <v>13</v>
      </c>
      <c r="D1536" s="0" t="n">
        <v>0</v>
      </c>
      <c r="E1536" s="0" t="n">
        <f aca="false">VLOOKUP(B1536,'MSA-Lookup'!$H$2:$I$86,2)</f>
        <v>6920</v>
      </c>
      <c r="F1536" s="0" t="n">
        <f aca="false">IF(C1536&gt;1,IF(C1536&lt;99,VLOOKUP(C1536,'MSA-Lookup'!$H$1:$I$86,2),C1536),C1536)</f>
        <v>7500</v>
      </c>
      <c r="G1536" s="0" t="n">
        <f aca="false">VLOOKUP(E1536,'MSA-Lookup'!$AA$1:$AB$25,2)</f>
        <v>6920</v>
      </c>
      <c r="H1536" s="0" t="n">
        <f aca="false">IF(C1536&gt;1,IF(C1536&lt;99,VLOOKUP(F1536,'MSA-Lookup'!$AA$1:$AB$25,2),C1536),C1536)</f>
        <v>7362</v>
      </c>
    </row>
    <row r="1537" customFormat="false" ht="12.75" hidden="false" customHeight="false" outlineLevel="0" collapsed="false">
      <c r="A1537" s="0" t="n">
        <f aca="false">B1537*1000+C1537</f>
        <v>29014</v>
      </c>
      <c r="B1537" s="0" t="n">
        <v>29</v>
      </c>
      <c r="C1537" s="0" t="n">
        <v>14</v>
      </c>
      <c r="D1537" s="0" t="n">
        <v>0</v>
      </c>
      <c r="E1537" s="0" t="n">
        <f aca="false">VLOOKUP(B1537,'MSA-Lookup'!$H$2:$I$86,2)</f>
        <v>6920</v>
      </c>
      <c r="F1537" s="0" t="n">
        <f aca="false">IF(C1537&gt;1,IF(C1537&lt;99,VLOOKUP(C1537,'MSA-Lookup'!$H$1:$I$86,2),C1537),C1537)</f>
        <v>7500</v>
      </c>
      <c r="G1537" s="0" t="n">
        <f aca="false">VLOOKUP(E1537,'MSA-Lookup'!$AA$1:$AB$25,2)</f>
        <v>6920</v>
      </c>
      <c r="H1537" s="0" t="n">
        <f aca="false">IF(C1537&gt;1,IF(C1537&lt;99,VLOOKUP(F1537,'MSA-Lookup'!$AA$1:$AB$25,2),C1537),C1537)</f>
        <v>7362</v>
      </c>
    </row>
    <row r="1538" customFormat="false" ht="12.75" hidden="false" customHeight="false" outlineLevel="0" collapsed="false">
      <c r="A1538" s="0" t="n">
        <f aca="false">B1538*1000+C1538</f>
        <v>29015</v>
      </c>
      <c r="B1538" s="0" t="n">
        <v>29</v>
      </c>
      <c r="C1538" s="0" t="n">
        <v>15</v>
      </c>
      <c r="D1538" s="0" t="n">
        <v>182</v>
      </c>
      <c r="E1538" s="0" t="n">
        <f aca="false">VLOOKUP(B1538,'MSA-Lookup'!$H$2:$I$86,2)</f>
        <v>6920</v>
      </c>
      <c r="F1538" s="0" t="n">
        <f aca="false">IF(C1538&gt;1,IF(C1538&lt;99,VLOOKUP(C1538,'MSA-Lookup'!$H$1:$I$86,2),C1538),C1538)</f>
        <v>7360</v>
      </c>
      <c r="G1538" s="0" t="n">
        <f aca="false">VLOOKUP(E1538,'MSA-Lookup'!$AA$1:$AB$25,2)</f>
        <v>6920</v>
      </c>
      <c r="H1538" s="0" t="n">
        <f aca="false">IF(C1538&gt;1,IF(C1538&lt;99,VLOOKUP(F1538,'MSA-Lookup'!$AA$1:$AB$25,2),C1538),C1538)</f>
        <v>7362</v>
      </c>
    </row>
    <row r="1539" customFormat="false" ht="12.75" hidden="false" customHeight="false" outlineLevel="0" collapsed="false">
      <c r="A1539" s="0" t="n">
        <f aca="false">B1539*1000+C1539</f>
        <v>29016</v>
      </c>
      <c r="B1539" s="0" t="n">
        <v>29</v>
      </c>
      <c r="C1539" s="0" t="n">
        <v>16</v>
      </c>
      <c r="D1539" s="0" t="n">
        <v>1183</v>
      </c>
      <c r="E1539" s="0" t="n">
        <f aca="false">VLOOKUP(B1539,'MSA-Lookup'!$H$2:$I$86,2)</f>
        <v>6920</v>
      </c>
      <c r="F1539" s="0" t="n">
        <f aca="false">IF(C1539&gt;1,IF(C1539&lt;99,VLOOKUP(C1539,'MSA-Lookup'!$H$1:$I$86,2),C1539),C1539)</f>
        <v>8720</v>
      </c>
      <c r="G1539" s="0" t="n">
        <f aca="false">VLOOKUP(E1539,'MSA-Lookup'!$AA$1:$AB$25,2)</f>
        <v>6920</v>
      </c>
      <c r="H1539" s="0" t="n">
        <f aca="false">IF(C1539&gt;1,IF(C1539&lt;99,VLOOKUP(F1539,'MSA-Lookup'!$AA$1:$AB$25,2),C1539),C1539)</f>
        <v>7362</v>
      </c>
    </row>
    <row r="1540" customFormat="false" ht="12.75" hidden="false" customHeight="false" outlineLevel="0" collapsed="false">
      <c r="A1540" s="0" t="n">
        <f aca="false">B1540*1000+C1540</f>
        <v>29017</v>
      </c>
      <c r="B1540" s="0" t="n">
        <v>29</v>
      </c>
      <c r="C1540" s="0" t="n">
        <v>17</v>
      </c>
      <c r="D1540" s="0" t="n">
        <v>247</v>
      </c>
      <c r="E1540" s="0" t="n">
        <f aca="false">VLOOKUP(B1540,'MSA-Lookup'!$H$2:$I$86,2)</f>
        <v>6920</v>
      </c>
      <c r="F1540" s="0" t="n">
        <f aca="false">IF(C1540&gt;1,IF(C1540&lt;99,VLOOKUP(C1540,'MSA-Lookup'!$H$1:$I$86,2),C1540),C1540)</f>
        <v>5775</v>
      </c>
      <c r="G1540" s="0" t="n">
        <f aca="false">VLOOKUP(E1540,'MSA-Lookup'!$AA$1:$AB$25,2)</f>
        <v>6920</v>
      </c>
      <c r="H1540" s="0" t="n">
        <f aca="false">IF(C1540&gt;1,IF(C1540&lt;99,VLOOKUP(F1540,'MSA-Lookup'!$AA$1:$AB$25,2),C1540),C1540)</f>
        <v>7362</v>
      </c>
    </row>
    <row r="1541" customFormat="false" ht="12.75" hidden="false" customHeight="false" outlineLevel="0" collapsed="false">
      <c r="A1541" s="0" t="n">
        <f aca="false">B1541*1000+C1541</f>
        <v>29018</v>
      </c>
      <c r="B1541" s="0" t="n">
        <v>29</v>
      </c>
      <c r="C1541" s="0" t="n">
        <v>18</v>
      </c>
      <c r="D1541" s="0" t="n">
        <v>975</v>
      </c>
      <c r="E1541" s="0" t="n">
        <f aca="false">VLOOKUP(B1541,'MSA-Lookup'!$H$2:$I$86,2)</f>
        <v>6920</v>
      </c>
      <c r="F1541" s="0" t="n">
        <f aca="false">IF(C1541&gt;1,IF(C1541&lt;99,VLOOKUP(C1541,'MSA-Lookup'!$H$1:$I$86,2),C1541),C1541)</f>
        <v>5775</v>
      </c>
      <c r="G1541" s="0" t="n">
        <f aca="false">VLOOKUP(E1541,'MSA-Lookup'!$AA$1:$AB$25,2)</f>
        <v>6920</v>
      </c>
      <c r="H1541" s="0" t="n">
        <f aca="false">IF(C1541&gt;1,IF(C1541&lt;99,VLOOKUP(F1541,'MSA-Lookup'!$AA$1:$AB$25,2),C1541),C1541)</f>
        <v>7362</v>
      </c>
    </row>
    <row r="1542" customFormat="false" ht="12.75" hidden="false" customHeight="false" outlineLevel="0" collapsed="false">
      <c r="A1542" s="0" t="n">
        <f aca="false">B1542*1000+C1542</f>
        <v>29019</v>
      </c>
      <c r="B1542" s="0" t="n">
        <v>29</v>
      </c>
      <c r="C1542" s="0" t="n">
        <v>19</v>
      </c>
      <c r="D1542" s="0" t="n">
        <v>884</v>
      </c>
      <c r="E1542" s="0" t="n">
        <f aca="false">VLOOKUP(B1542,'MSA-Lookup'!$H$2:$I$86,2)</f>
        <v>6920</v>
      </c>
      <c r="F1542" s="0" t="n">
        <f aca="false">IF(C1542&gt;1,IF(C1542&lt;99,VLOOKUP(C1542,'MSA-Lookup'!$H$1:$I$86,2),C1542),C1542)</f>
        <v>7360</v>
      </c>
      <c r="G1542" s="0" t="n">
        <f aca="false">VLOOKUP(E1542,'MSA-Lookup'!$AA$1:$AB$25,2)</f>
        <v>6920</v>
      </c>
      <c r="H1542" s="0" t="n">
        <f aca="false">IF(C1542&gt;1,IF(C1542&lt;99,VLOOKUP(F1542,'MSA-Lookup'!$AA$1:$AB$25,2),C1542),C1542)</f>
        <v>7362</v>
      </c>
    </row>
    <row r="1543" customFormat="false" ht="12.75" hidden="false" customHeight="false" outlineLevel="0" collapsed="false">
      <c r="A1543" s="0" t="n">
        <f aca="false">B1543*1000+C1543</f>
        <v>29020</v>
      </c>
      <c r="B1543" s="0" t="n">
        <v>29</v>
      </c>
      <c r="C1543" s="0" t="n">
        <v>20</v>
      </c>
      <c r="D1543" s="0" t="n">
        <v>0</v>
      </c>
      <c r="E1543" s="0" t="n">
        <f aca="false">VLOOKUP(B1543,'MSA-Lookup'!$H$2:$I$86,2)</f>
        <v>6920</v>
      </c>
      <c r="F1543" s="0" t="n">
        <f aca="false">IF(C1543&gt;1,IF(C1543&lt;99,VLOOKUP(C1543,'MSA-Lookup'!$H$1:$I$86,2),C1543),C1543)</f>
        <v>5775</v>
      </c>
      <c r="G1543" s="0" t="n">
        <f aca="false">VLOOKUP(E1543,'MSA-Lookup'!$AA$1:$AB$25,2)</f>
        <v>6920</v>
      </c>
      <c r="H1543" s="0" t="n">
        <f aca="false">IF(C1543&gt;1,IF(C1543&lt;99,VLOOKUP(F1543,'MSA-Lookup'!$AA$1:$AB$25,2),C1543),C1543)</f>
        <v>7362</v>
      </c>
    </row>
    <row r="1544" customFormat="false" ht="12.75" hidden="false" customHeight="false" outlineLevel="0" collapsed="false">
      <c r="A1544" s="0" t="n">
        <f aca="false">B1544*1000+C1544</f>
        <v>29021</v>
      </c>
      <c r="B1544" s="0" t="n">
        <v>29</v>
      </c>
      <c r="C1544" s="0" t="n">
        <v>21</v>
      </c>
      <c r="D1544" s="0" t="n">
        <v>1443</v>
      </c>
      <c r="E1544" s="0" t="n">
        <f aca="false">VLOOKUP(B1544,'MSA-Lookup'!$H$2:$I$86,2)</f>
        <v>6920</v>
      </c>
      <c r="F1544" s="0" t="n">
        <f aca="false">IF(C1544&gt;1,IF(C1544&lt;99,VLOOKUP(C1544,'MSA-Lookup'!$H$1:$I$86,2),C1544),C1544)</f>
        <v>5775</v>
      </c>
      <c r="G1544" s="0" t="n">
        <f aca="false">VLOOKUP(E1544,'MSA-Lookup'!$AA$1:$AB$25,2)</f>
        <v>6920</v>
      </c>
      <c r="H1544" s="0" t="n">
        <f aca="false">IF(C1544&gt;1,IF(C1544&lt;99,VLOOKUP(F1544,'MSA-Lookup'!$AA$1:$AB$25,2),C1544),C1544)</f>
        <v>7362</v>
      </c>
    </row>
    <row r="1545" customFormat="false" ht="12.75" hidden="false" customHeight="false" outlineLevel="0" collapsed="false">
      <c r="A1545" s="0" t="n">
        <f aca="false">B1545*1000+C1545</f>
        <v>29022</v>
      </c>
      <c r="B1545" s="0" t="n">
        <v>29</v>
      </c>
      <c r="C1545" s="0" t="n">
        <v>22</v>
      </c>
      <c r="D1545" s="0" t="n">
        <v>351</v>
      </c>
      <c r="E1545" s="0" t="n">
        <f aca="false">VLOOKUP(B1545,'MSA-Lookup'!$H$2:$I$86,2)</f>
        <v>6920</v>
      </c>
      <c r="F1545" s="0" t="n">
        <f aca="false">IF(C1545&gt;1,IF(C1545&lt;99,VLOOKUP(C1545,'MSA-Lookup'!$H$1:$I$86,2),C1545),C1545)</f>
        <v>7360</v>
      </c>
      <c r="G1545" s="0" t="n">
        <f aca="false">VLOOKUP(E1545,'MSA-Lookup'!$AA$1:$AB$25,2)</f>
        <v>6920</v>
      </c>
      <c r="H1545" s="0" t="n">
        <f aca="false">IF(C1545&gt;1,IF(C1545&lt;99,VLOOKUP(F1545,'MSA-Lookup'!$AA$1:$AB$25,2),C1545),C1545)</f>
        <v>7362</v>
      </c>
    </row>
    <row r="1546" customFormat="false" ht="12.75" hidden="false" customHeight="false" outlineLevel="0" collapsed="false">
      <c r="A1546" s="0" t="n">
        <f aca="false">B1546*1000+C1546</f>
        <v>29023</v>
      </c>
      <c r="B1546" s="0" t="n">
        <v>29</v>
      </c>
      <c r="C1546" s="0" t="n">
        <v>23</v>
      </c>
      <c r="D1546" s="0" t="n">
        <v>2964</v>
      </c>
      <c r="E1546" s="0" t="n">
        <f aca="false">VLOOKUP(B1546,'MSA-Lookup'!$H$2:$I$86,2)</f>
        <v>6920</v>
      </c>
      <c r="F1546" s="0" t="n">
        <f aca="false">IF(C1546&gt;1,IF(C1546&lt;99,VLOOKUP(C1546,'MSA-Lookup'!$H$1:$I$86,2),C1546),C1546)</f>
        <v>8120</v>
      </c>
      <c r="G1546" s="0" t="n">
        <f aca="false">VLOOKUP(E1546,'MSA-Lookup'!$AA$1:$AB$25,2)</f>
        <v>6920</v>
      </c>
      <c r="H1546" s="0" t="n">
        <f aca="false">IF(C1546&gt;1,IF(C1546&lt;99,VLOOKUP(F1546,'MSA-Lookup'!$AA$1:$AB$25,2),C1546),C1546)</f>
        <v>8120</v>
      </c>
    </row>
    <row r="1547" customFormat="false" ht="12.75" hidden="false" customHeight="false" outlineLevel="0" collapsed="false">
      <c r="A1547" s="0" t="n">
        <f aca="false">B1547*1000+C1547</f>
        <v>29024</v>
      </c>
      <c r="B1547" s="0" t="n">
        <v>29</v>
      </c>
      <c r="C1547" s="0" t="n">
        <v>24</v>
      </c>
      <c r="D1547" s="0" t="n">
        <v>182</v>
      </c>
      <c r="E1547" s="0" t="n">
        <f aca="false">VLOOKUP(B1547,'MSA-Lookup'!$H$2:$I$86,2)</f>
        <v>6920</v>
      </c>
      <c r="F1547" s="0" t="n">
        <f aca="false">IF(C1547&gt;1,IF(C1547&lt;99,VLOOKUP(C1547,'MSA-Lookup'!$H$1:$I$86,2),C1547),C1547)</f>
        <v>5170</v>
      </c>
      <c r="G1547" s="0" t="n">
        <f aca="false">VLOOKUP(E1547,'MSA-Lookup'!$AA$1:$AB$25,2)</f>
        <v>6920</v>
      </c>
      <c r="H1547" s="0" t="n">
        <f aca="false">IF(C1547&gt;1,IF(C1547&lt;99,VLOOKUP(F1547,'MSA-Lookup'!$AA$1:$AB$25,2),C1547),C1547)</f>
        <v>5170</v>
      </c>
    </row>
    <row r="1548" customFormat="false" ht="12.75" hidden="false" customHeight="false" outlineLevel="0" collapsed="false">
      <c r="A1548" s="0" t="n">
        <f aca="false">B1548*1000+C1548</f>
        <v>29025</v>
      </c>
      <c r="B1548" s="0" t="n">
        <v>29</v>
      </c>
      <c r="C1548" s="0" t="n">
        <v>25</v>
      </c>
      <c r="D1548" s="0" t="n">
        <v>0</v>
      </c>
      <c r="E1548" s="0" t="n">
        <f aca="false">VLOOKUP(B1548,'MSA-Lookup'!$H$2:$I$86,2)</f>
        <v>6920</v>
      </c>
      <c r="F1548" s="0" t="n">
        <f aca="false">IF(C1548&gt;1,IF(C1548&lt;99,VLOOKUP(C1548,'MSA-Lookup'!$H$1:$I$86,2),C1548),C1548)</f>
        <v>5170</v>
      </c>
      <c r="G1548" s="0" t="n">
        <f aca="false">VLOOKUP(E1548,'MSA-Lookup'!$AA$1:$AB$25,2)</f>
        <v>6920</v>
      </c>
      <c r="H1548" s="0" t="n">
        <f aca="false">IF(C1548&gt;1,IF(C1548&lt;99,VLOOKUP(F1548,'MSA-Lookup'!$AA$1:$AB$25,2),C1548),C1548)</f>
        <v>5170</v>
      </c>
    </row>
    <row r="1549" customFormat="false" ht="12.75" hidden="false" customHeight="false" outlineLevel="0" collapsed="false">
      <c r="A1549" s="0" t="n">
        <f aca="false">B1549*1000+C1549</f>
        <v>29026</v>
      </c>
      <c r="B1549" s="0" t="n">
        <v>29</v>
      </c>
      <c r="C1549" s="0" t="n">
        <v>26</v>
      </c>
      <c r="D1549" s="0" t="n">
        <v>338</v>
      </c>
      <c r="E1549" s="0" t="n">
        <f aca="false">VLOOKUP(B1549,'MSA-Lookup'!$H$2:$I$86,2)</f>
        <v>6920</v>
      </c>
      <c r="F1549" s="0" t="n">
        <f aca="false">IF(C1549&gt;1,IF(C1549&lt;99,VLOOKUP(C1549,'MSA-Lookup'!$H$1:$I$86,2),C1549),C1549)</f>
        <v>9999</v>
      </c>
      <c r="G1549" s="0" t="n">
        <f aca="false">VLOOKUP(E1549,'MSA-Lookup'!$AA$1:$AB$25,2)</f>
        <v>6920</v>
      </c>
      <c r="H1549" s="0" t="n">
        <f aca="false">IF(C1549&gt;1,IF(C1549&lt;99,VLOOKUP(F1549,'MSA-Lookup'!$AA$1:$AB$25,2),C1549),C1549)</f>
        <v>9999</v>
      </c>
    </row>
    <row r="1550" customFormat="false" ht="12.75" hidden="false" customHeight="false" outlineLevel="0" collapsed="false">
      <c r="A1550" s="0" t="n">
        <f aca="false">B1550*1000+C1550</f>
        <v>29027</v>
      </c>
      <c r="B1550" s="0" t="n">
        <v>29</v>
      </c>
      <c r="C1550" s="0" t="n">
        <v>27</v>
      </c>
      <c r="D1550" s="0" t="n">
        <v>0</v>
      </c>
      <c r="E1550" s="0" t="n">
        <f aca="false">VLOOKUP(B1550,'MSA-Lookup'!$H$2:$I$86,2)</f>
        <v>6920</v>
      </c>
      <c r="F1550" s="0" t="n">
        <f aca="false">IF(C1550&gt;1,IF(C1550&lt;99,VLOOKUP(C1550,'MSA-Lookup'!$H$1:$I$86,2),C1550),C1550)</f>
        <v>9999</v>
      </c>
      <c r="G1550" s="0" t="n">
        <f aca="false">VLOOKUP(E1550,'MSA-Lookup'!$AA$1:$AB$25,2)</f>
        <v>6920</v>
      </c>
      <c r="H1550" s="0" t="n">
        <f aca="false">IF(C1550&gt;1,IF(C1550&lt;99,VLOOKUP(F1550,'MSA-Lookup'!$AA$1:$AB$25,2),C1550),C1550)</f>
        <v>9999</v>
      </c>
    </row>
    <row r="1551" customFormat="false" ht="12.75" hidden="false" customHeight="false" outlineLevel="0" collapsed="false">
      <c r="A1551" s="0" t="n">
        <f aca="false">B1551*1000+C1551</f>
        <v>29028</v>
      </c>
      <c r="B1551" s="0" t="n">
        <v>29</v>
      </c>
      <c r="C1551" s="0" t="n">
        <v>28</v>
      </c>
      <c r="D1551" s="0" t="n">
        <v>111956</v>
      </c>
      <c r="E1551" s="0" t="n">
        <f aca="false">VLOOKUP(B1551,'MSA-Lookup'!$H$2:$I$86,2)</f>
        <v>6920</v>
      </c>
      <c r="F1551" s="0" t="n">
        <f aca="false">IF(C1551&gt;1,IF(C1551&lt;99,VLOOKUP(C1551,'MSA-Lookup'!$H$1:$I$86,2),C1551),C1551)</f>
        <v>6920</v>
      </c>
      <c r="G1551" s="0" t="n">
        <f aca="false">VLOOKUP(E1551,'MSA-Lookup'!$AA$1:$AB$25,2)</f>
        <v>6920</v>
      </c>
      <c r="H1551" s="0" t="n">
        <f aca="false">IF(C1551&gt;1,IF(C1551&lt;99,VLOOKUP(F1551,'MSA-Lookup'!$AA$1:$AB$25,2),C1551),C1551)</f>
        <v>6920</v>
      </c>
    </row>
    <row r="1552" customFormat="false" ht="12.75" hidden="false" customHeight="false" outlineLevel="0" collapsed="false">
      <c r="A1552" s="0" t="n">
        <f aca="false">B1552*1000+C1552</f>
        <v>29029</v>
      </c>
      <c r="B1552" s="0" t="n">
        <v>29</v>
      </c>
      <c r="C1552" s="0" t="n">
        <v>29</v>
      </c>
      <c r="D1552" s="0" t="n">
        <v>171821</v>
      </c>
      <c r="E1552" s="0" t="n">
        <f aca="false">VLOOKUP(B1552,'MSA-Lookup'!$H$2:$I$86,2)</f>
        <v>6920</v>
      </c>
      <c r="F1552" s="0" t="n">
        <f aca="false">IF(C1552&gt;1,IF(C1552&lt;99,VLOOKUP(C1552,'MSA-Lookup'!$H$1:$I$86,2),C1552),C1552)</f>
        <v>6920</v>
      </c>
      <c r="G1552" s="0" t="n">
        <f aca="false">VLOOKUP(E1552,'MSA-Lookup'!$AA$1:$AB$25,2)</f>
        <v>6920</v>
      </c>
      <c r="H1552" s="0" t="n">
        <f aca="false">IF(C1552&gt;1,IF(C1552&lt;99,VLOOKUP(F1552,'MSA-Lookup'!$AA$1:$AB$25,2),C1552),C1552)</f>
        <v>6920</v>
      </c>
    </row>
    <row r="1553" customFormat="false" ht="12.75" hidden="false" customHeight="false" outlineLevel="0" collapsed="false">
      <c r="A1553" s="0" t="n">
        <f aca="false">B1553*1000+C1553</f>
        <v>29030</v>
      </c>
      <c r="B1553" s="0" t="n">
        <v>29</v>
      </c>
      <c r="C1553" s="0" t="n">
        <v>30</v>
      </c>
      <c r="D1553" s="0" t="n">
        <v>0</v>
      </c>
      <c r="E1553" s="0" t="n">
        <f aca="false">VLOOKUP(B1553,'MSA-Lookup'!$H$2:$I$86,2)</f>
        <v>6920</v>
      </c>
      <c r="F1553" s="0" t="n">
        <f aca="false">IF(C1553&gt;1,IF(C1553&lt;99,VLOOKUP(C1553,'MSA-Lookup'!$H$1:$I$86,2),C1553),C1553)</f>
        <v>4940</v>
      </c>
      <c r="G1553" s="0" t="n">
        <f aca="false">VLOOKUP(E1553,'MSA-Lookup'!$AA$1:$AB$25,2)</f>
        <v>6920</v>
      </c>
      <c r="H1553" s="0" t="n">
        <f aca="false">IF(C1553&gt;1,IF(C1553&lt;99,VLOOKUP(F1553,'MSA-Lookup'!$AA$1:$AB$25,2),C1553),C1553)</f>
        <v>4940</v>
      </c>
    </row>
    <row r="1554" customFormat="false" ht="12.75" hidden="false" customHeight="false" outlineLevel="0" collapsed="false">
      <c r="A1554" s="0" t="n">
        <f aca="false">B1554*1000+C1554</f>
        <v>29031</v>
      </c>
      <c r="B1554" s="0" t="n">
        <v>29</v>
      </c>
      <c r="C1554" s="0" t="n">
        <v>31</v>
      </c>
      <c r="D1554" s="0" t="n">
        <v>0</v>
      </c>
      <c r="E1554" s="0" t="n">
        <f aca="false">VLOOKUP(B1554,'MSA-Lookup'!$H$2:$I$86,2)</f>
        <v>6920</v>
      </c>
      <c r="F1554" s="0" t="n">
        <f aca="false">IF(C1554&gt;1,IF(C1554&lt;99,VLOOKUP(C1554,'MSA-Lookup'!$H$1:$I$86,2),C1554),C1554)</f>
        <v>9999</v>
      </c>
      <c r="G1554" s="0" t="n">
        <f aca="false">VLOOKUP(E1554,'MSA-Lookup'!$AA$1:$AB$25,2)</f>
        <v>6920</v>
      </c>
      <c r="H1554" s="0" t="n">
        <f aca="false">IF(C1554&gt;1,IF(C1554&lt;99,VLOOKUP(F1554,'MSA-Lookup'!$AA$1:$AB$25,2),C1554),C1554)</f>
        <v>9999</v>
      </c>
    </row>
    <row r="1555" customFormat="false" ht="12.75" hidden="false" customHeight="false" outlineLevel="0" collapsed="false">
      <c r="A1555" s="0" t="n">
        <f aca="false">B1555*1000+C1555</f>
        <v>29032</v>
      </c>
      <c r="B1555" s="0" t="n">
        <v>29</v>
      </c>
      <c r="C1555" s="0" t="n">
        <v>32</v>
      </c>
      <c r="D1555" s="0" t="n">
        <v>0</v>
      </c>
      <c r="E1555" s="0" t="n">
        <f aca="false">VLOOKUP(B1555,'MSA-Lookup'!$H$2:$I$86,2)</f>
        <v>6920</v>
      </c>
      <c r="F1555" s="0" t="n">
        <f aca="false">IF(C1555&gt;1,IF(C1555&lt;99,VLOOKUP(C1555,'MSA-Lookup'!$H$1:$I$86,2),C1555),C1555)</f>
        <v>7480</v>
      </c>
      <c r="G1555" s="0" t="n">
        <f aca="false">VLOOKUP(E1555,'MSA-Lookup'!$AA$1:$AB$25,2)</f>
        <v>6920</v>
      </c>
      <c r="H1555" s="0" t="n">
        <f aca="false">IF(C1555&gt;1,IF(C1555&lt;99,VLOOKUP(F1555,'MSA-Lookup'!$AA$1:$AB$25,2),C1555),C1555)</f>
        <v>7480</v>
      </c>
    </row>
    <row r="1556" customFormat="false" ht="12.75" hidden="false" customHeight="false" outlineLevel="0" collapsed="false">
      <c r="A1556" s="0" t="n">
        <f aca="false">B1556*1000+C1556</f>
        <v>29033</v>
      </c>
      <c r="B1556" s="0" t="n">
        <v>29</v>
      </c>
      <c r="C1556" s="0" t="n">
        <v>33</v>
      </c>
      <c r="D1556" s="0" t="n">
        <v>377</v>
      </c>
      <c r="E1556" s="0" t="n">
        <f aca="false">VLOOKUP(B1556,'MSA-Lookup'!$H$2:$I$86,2)</f>
        <v>6920</v>
      </c>
      <c r="F1556" s="0" t="n">
        <f aca="false">IF(C1556&gt;1,IF(C1556&lt;99,VLOOKUP(C1556,'MSA-Lookup'!$H$1:$I$86,2),C1556),C1556)</f>
        <v>7320</v>
      </c>
      <c r="G1556" s="0" t="n">
        <f aca="false">VLOOKUP(E1556,'MSA-Lookup'!$AA$1:$AB$25,2)</f>
        <v>6920</v>
      </c>
      <c r="H1556" s="0" t="n">
        <f aca="false">IF(C1556&gt;1,IF(C1556&lt;99,VLOOKUP(F1556,'MSA-Lookup'!$AA$1:$AB$25,2),C1556),C1556)</f>
        <v>7320</v>
      </c>
    </row>
    <row r="1557" customFormat="false" ht="12.75" hidden="false" customHeight="false" outlineLevel="0" collapsed="false">
      <c r="A1557" s="0" t="n">
        <f aca="false">B1557*1000+C1557</f>
        <v>29034</v>
      </c>
      <c r="B1557" s="0" t="n">
        <v>29</v>
      </c>
      <c r="C1557" s="0" t="n">
        <v>34</v>
      </c>
      <c r="D1557" s="0" t="n">
        <v>0</v>
      </c>
      <c r="E1557" s="0" t="n">
        <f aca="false">VLOOKUP(B1557,'MSA-Lookup'!$H$2:$I$86,2)</f>
        <v>6920</v>
      </c>
      <c r="F1557" s="0" t="n">
        <f aca="false">IF(C1557&gt;1,IF(C1557&lt;99,VLOOKUP(C1557,'MSA-Lookup'!$H$1:$I$86,2),C1557),C1557)</f>
        <v>7320</v>
      </c>
      <c r="G1557" s="0" t="n">
        <f aca="false">VLOOKUP(E1557,'MSA-Lookup'!$AA$1:$AB$25,2)</f>
        <v>6920</v>
      </c>
      <c r="H1557" s="0" t="n">
        <f aca="false">IF(C1557&gt;1,IF(C1557&lt;99,VLOOKUP(F1557,'MSA-Lookup'!$AA$1:$AB$25,2),C1557),C1557)</f>
        <v>7320</v>
      </c>
    </row>
    <row r="1558" customFormat="false" ht="12.75" hidden="false" customHeight="false" outlineLevel="0" collapsed="false">
      <c r="A1558" s="0" t="n">
        <f aca="false">B1558*1000+C1558</f>
        <v>29035</v>
      </c>
      <c r="B1558" s="0" t="n">
        <v>29</v>
      </c>
      <c r="C1558" s="0" t="n">
        <v>35</v>
      </c>
      <c r="D1558" s="0" t="n">
        <v>0</v>
      </c>
      <c r="E1558" s="0" t="n">
        <f aca="false">VLOOKUP(B1558,'MSA-Lookup'!$H$2:$I$86,2)</f>
        <v>6920</v>
      </c>
      <c r="F1558" s="0" t="n">
        <f aca="false">IF(C1558&gt;1,IF(C1558&lt;99,VLOOKUP(C1558,'MSA-Lookup'!$H$1:$I$86,2),C1558),C1558)</f>
        <v>7320</v>
      </c>
      <c r="G1558" s="0" t="n">
        <f aca="false">VLOOKUP(E1558,'MSA-Lookup'!$AA$1:$AB$25,2)</f>
        <v>6920</v>
      </c>
      <c r="H1558" s="0" t="n">
        <f aca="false">IF(C1558&gt;1,IF(C1558&lt;99,VLOOKUP(F1558,'MSA-Lookup'!$AA$1:$AB$25,2),C1558),C1558)</f>
        <v>7320</v>
      </c>
    </row>
    <row r="1559" customFormat="false" ht="12.75" hidden="false" customHeight="false" outlineLevel="0" collapsed="false">
      <c r="A1559" s="0" t="n">
        <f aca="false">B1559*1000+C1559</f>
        <v>29037</v>
      </c>
      <c r="B1559" s="0" t="n">
        <v>29</v>
      </c>
      <c r="C1559" s="0" t="n">
        <v>37</v>
      </c>
      <c r="D1559" s="0" t="n">
        <v>91</v>
      </c>
      <c r="E1559" s="0" t="n">
        <f aca="false">VLOOKUP(B1559,'MSA-Lookup'!$H$2:$I$86,2)</f>
        <v>6920</v>
      </c>
      <c r="F1559" s="0" t="n">
        <f aca="false">IF(C1559&gt;1,IF(C1559&lt;99,VLOOKUP(C1559,'MSA-Lookup'!$H$1:$I$86,2),C1559),C1559)</f>
        <v>7320</v>
      </c>
      <c r="G1559" s="0" t="n">
        <f aca="false">VLOOKUP(E1559,'MSA-Lookup'!$AA$1:$AB$25,2)</f>
        <v>6920</v>
      </c>
      <c r="H1559" s="0" t="n">
        <f aca="false">IF(C1559&gt;1,IF(C1559&lt;99,VLOOKUP(F1559,'MSA-Lookup'!$AA$1:$AB$25,2),C1559),C1559)</f>
        <v>7320</v>
      </c>
    </row>
    <row r="1560" customFormat="false" ht="12.75" hidden="false" customHeight="false" outlineLevel="0" collapsed="false">
      <c r="A1560" s="0" t="n">
        <f aca="false">B1560*1000+C1560</f>
        <v>29038</v>
      </c>
      <c r="B1560" s="0" t="n">
        <v>29</v>
      </c>
      <c r="C1560" s="0" t="n">
        <v>38</v>
      </c>
      <c r="D1560" s="0" t="n">
        <v>0</v>
      </c>
      <c r="E1560" s="0" t="n">
        <f aca="false">VLOOKUP(B1560,'MSA-Lookup'!$H$2:$I$86,2)</f>
        <v>6920</v>
      </c>
      <c r="F1560" s="0" t="n">
        <f aca="false">IF(C1560&gt;1,IF(C1560&lt;99,VLOOKUP(C1560,'MSA-Lookup'!$H$1:$I$86,2),C1560),C1560)</f>
        <v>7120</v>
      </c>
      <c r="G1560" s="0" t="n">
        <f aca="false">VLOOKUP(E1560,'MSA-Lookup'!$AA$1:$AB$25,2)</f>
        <v>6920</v>
      </c>
      <c r="H1560" s="0" t="n">
        <f aca="false">IF(C1560&gt;1,IF(C1560&lt;99,VLOOKUP(F1560,'MSA-Lookup'!$AA$1:$AB$25,2),C1560),C1560)</f>
        <v>7120</v>
      </c>
    </row>
    <row r="1561" customFormat="false" ht="12.75" hidden="false" customHeight="false" outlineLevel="0" collapsed="false">
      <c r="A1561" s="0" t="n">
        <f aca="false">B1561*1000+C1561</f>
        <v>29039</v>
      </c>
      <c r="B1561" s="0" t="n">
        <v>29</v>
      </c>
      <c r="C1561" s="0" t="n">
        <v>39</v>
      </c>
      <c r="D1561" s="0" t="n">
        <v>221</v>
      </c>
      <c r="E1561" s="0" t="n">
        <f aca="false">VLOOKUP(B1561,'MSA-Lookup'!$H$2:$I$86,2)</f>
        <v>6920</v>
      </c>
      <c r="F1561" s="0" t="n">
        <f aca="false">IF(C1561&gt;1,IF(C1561&lt;99,VLOOKUP(C1561,'MSA-Lookup'!$H$1:$I$86,2),C1561),C1561)</f>
        <v>7120</v>
      </c>
      <c r="G1561" s="0" t="n">
        <f aca="false">VLOOKUP(E1561,'MSA-Lookup'!$AA$1:$AB$25,2)</f>
        <v>6920</v>
      </c>
      <c r="H1561" s="0" t="n">
        <f aca="false">IF(C1561&gt;1,IF(C1561&lt;99,VLOOKUP(F1561,'MSA-Lookup'!$AA$1:$AB$25,2),C1561),C1561)</f>
        <v>7120</v>
      </c>
    </row>
    <row r="1562" customFormat="false" ht="12.75" hidden="false" customHeight="false" outlineLevel="0" collapsed="false">
      <c r="A1562" s="0" t="n">
        <f aca="false">B1562*1000+C1562</f>
        <v>29040</v>
      </c>
      <c r="B1562" s="0" t="n">
        <v>29</v>
      </c>
      <c r="C1562" s="0" t="n">
        <v>40</v>
      </c>
      <c r="D1562" s="0" t="n">
        <v>0</v>
      </c>
      <c r="E1562" s="0" t="n">
        <f aca="false">VLOOKUP(B1562,'MSA-Lookup'!$H$2:$I$86,2)</f>
        <v>6920</v>
      </c>
      <c r="F1562" s="0" t="n">
        <f aca="false">IF(C1562&gt;1,IF(C1562&lt;99,VLOOKUP(C1562,'MSA-Lookup'!$H$1:$I$86,2),C1562),C1562)</f>
        <v>2840</v>
      </c>
      <c r="G1562" s="0" t="n">
        <f aca="false">VLOOKUP(E1562,'MSA-Lookup'!$AA$1:$AB$25,2)</f>
        <v>6920</v>
      </c>
      <c r="H1562" s="0" t="n">
        <f aca="false">IF(C1562&gt;1,IF(C1562&lt;99,VLOOKUP(F1562,'MSA-Lookup'!$AA$1:$AB$25,2),C1562),C1562)</f>
        <v>2840</v>
      </c>
    </row>
    <row r="1563" customFormat="false" ht="12.75" hidden="false" customHeight="false" outlineLevel="0" collapsed="false">
      <c r="A1563" s="0" t="n">
        <f aca="false">B1563*1000+C1563</f>
        <v>29041</v>
      </c>
      <c r="B1563" s="0" t="n">
        <v>29</v>
      </c>
      <c r="C1563" s="0" t="n">
        <v>41</v>
      </c>
      <c r="D1563" s="0" t="n">
        <v>117</v>
      </c>
      <c r="E1563" s="0" t="n">
        <f aca="false">VLOOKUP(B1563,'MSA-Lookup'!$H$2:$I$86,2)</f>
        <v>6920</v>
      </c>
      <c r="F1563" s="0" t="n">
        <f aca="false">IF(C1563&gt;1,IF(C1563&lt;99,VLOOKUP(C1563,'MSA-Lookup'!$H$1:$I$86,2),C1563),C1563)</f>
        <v>2840</v>
      </c>
      <c r="G1563" s="0" t="n">
        <f aca="false">VLOOKUP(E1563,'MSA-Lookup'!$AA$1:$AB$25,2)</f>
        <v>6920</v>
      </c>
      <c r="H1563" s="0" t="n">
        <f aca="false">IF(C1563&gt;1,IF(C1563&lt;99,VLOOKUP(F1563,'MSA-Lookup'!$AA$1:$AB$25,2),C1563),C1563)</f>
        <v>2840</v>
      </c>
    </row>
    <row r="1564" customFormat="false" ht="12.75" hidden="false" customHeight="false" outlineLevel="0" collapsed="false">
      <c r="A1564" s="0" t="n">
        <f aca="false">B1564*1000+C1564</f>
        <v>29042</v>
      </c>
      <c r="B1564" s="0" t="n">
        <v>29</v>
      </c>
      <c r="C1564" s="0" t="n">
        <v>42</v>
      </c>
      <c r="D1564" s="0" t="n">
        <v>52</v>
      </c>
      <c r="E1564" s="0" t="n">
        <f aca="false">VLOOKUP(B1564,'MSA-Lookup'!$H$2:$I$86,2)</f>
        <v>6920</v>
      </c>
      <c r="F1564" s="0" t="n">
        <f aca="false">IF(C1564&gt;1,IF(C1564&lt;99,VLOOKUP(C1564,'MSA-Lookup'!$H$1:$I$86,2),C1564),C1564)</f>
        <v>360</v>
      </c>
      <c r="G1564" s="0" t="n">
        <f aca="false">VLOOKUP(E1564,'MSA-Lookup'!$AA$1:$AB$25,2)</f>
        <v>6920</v>
      </c>
      <c r="H1564" s="0" t="n">
        <f aca="false">IF(C1564&gt;1,IF(C1564&lt;99,VLOOKUP(F1564,'MSA-Lookup'!$AA$1:$AB$25,2),C1564),C1564)</f>
        <v>4472</v>
      </c>
    </row>
    <row r="1565" customFormat="false" ht="12.75" hidden="false" customHeight="false" outlineLevel="0" collapsed="false">
      <c r="A1565" s="0" t="n">
        <f aca="false">B1565*1000+C1565</f>
        <v>29043</v>
      </c>
      <c r="B1565" s="0" t="n">
        <v>29</v>
      </c>
      <c r="C1565" s="0" t="n">
        <v>43</v>
      </c>
      <c r="D1565" s="0" t="n">
        <v>0</v>
      </c>
      <c r="E1565" s="0" t="n">
        <f aca="false">VLOOKUP(B1565,'MSA-Lookup'!$H$2:$I$86,2)</f>
        <v>6920</v>
      </c>
      <c r="F1565" s="0" t="n">
        <f aca="false">IF(C1565&gt;1,IF(C1565&lt;99,VLOOKUP(C1565,'MSA-Lookup'!$H$1:$I$86,2),C1565),C1565)</f>
        <v>360</v>
      </c>
      <c r="G1565" s="0" t="n">
        <f aca="false">VLOOKUP(E1565,'MSA-Lookup'!$AA$1:$AB$25,2)</f>
        <v>6920</v>
      </c>
      <c r="H1565" s="0" t="n">
        <f aca="false">IF(C1565&gt;1,IF(C1565&lt;99,VLOOKUP(F1565,'MSA-Lookup'!$AA$1:$AB$25,2),C1565),C1565)</f>
        <v>4472</v>
      </c>
    </row>
    <row r="1566" customFormat="false" ht="12.75" hidden="false" customHeight="false" outlineLevel="0" collapsed="false">
      <c r="A1566" s="0" t="n">
        <f aca="false">B1566*1000+C1566</f>
        <v>29046</v>
      </c>
      <c r="B1566" s="0" t="n">
        <v>29</v>
      </c>
      <c r="C1566" s="0" t="n">
        <v>46</v>
      </c>
      <c r="D1566" s="0" t="n">
        <v>0</v>
      </c>
      <c r="E1566" s="0" t="n">
        <f aca="false">VLOOKUP(B1566,'MSA-Lookup'!$H$2:$I$86,2)</f>
        <v>6920</v>
      </c>
      <c r="F1566" s="0" t="n">
        <f aca="false">IF(C1566&gt;1,IF(C1566&lt;99,VLOOKUP(C1566,'MSA-Lookup'!$H$1:$I$86,2),C1566),C1566)</f>
        <v>360</v>
      </c>
      <c r="G1566" s="0" t="n">
        <f aca="false">VLOOKUP(E1566,'MSA-Lookup'!$AA$1:$AB$25,2)</f>
        <v>6920</v>
      </c>
      <c r="H1566" s="0" t="n">
        <f aca="false">IF(C1566&gt;1,IF(C1566&lt;99,VLOOKUP(F1566,'MSA-Lookup'!$AA$1:$AB$25,2),C1566),C1566)</f>
        <v>4472</v>
      </c>
    </row>
    <row r="1567" customFormat="false" ht="12.75" hidden="false" customHeight="false" outlineLevel="0" collapsed="false">
      <c r="A1567" s="0" t="n">
        <f aca="false">B1567*1000+C1567</f>
        <v>29048</v>
      </c>
      <c r="B1567" s="0" t="n">
        <v>29</v>
      </c>
      <c r="C1567" s="0" t="n">
        <v>48</v>
      </c>
      <c r="D1567" s="0" t="n">
        <v>0</v>
      </c>
      <c r="E1567" s="0" t="n">
        <f aca="false">VLOOKUP(B1567,'MSA-Lookup'!$H$2:$I$86,2)</f>
        <v>6920</v>
      </c>
      <c r="F1567" s="0" t="n">
        <f aca="false">IF(C1567&gt;1,IF(C1567&lt;99,VLOOKUP(C1567,'MSA-Lookup'!$H$1:$I$86,2),C1567),C1567)</f>
        <v>360</v>
      </c>
      <c r="G1567" s="0" t="n">
        <f aca="false">VLOOKUP(E1567,'MSA-Lookup'!$AA$1:$AB$25,2)</f>
        <v>6920</v>
      </c>
      <c r="H1567" s="0" t="n">
        <f aca="false">IF(C1567&gt;1,IF(C1567&lt;99,VLOOKUP(F1567,'MSA-Lookup'!$AA$1:$AB$25,2),C1567),C1567)</f>
        <v>4472</v>
      </c>
    </row>
    <row r="1568" customFormat="false" ht="12.75" hidden="false" customHeight="false" outlineLevel="0" collapsed="false">
      <c r="A1568" s="0" t="n">
        <f aca="false">B1568*1000+C1568</f>
        <v>29049</v>
      </c>
      <c r="B1568" s="0" t="n">
        <v>29</v>
      </c>
      <c r="C1568" s="0" t="n">
        <v>49</v>
      </c>
      <c r="D1568" s="0" t="n">
        <v>91</v>
      </c>
      <c r="E1568" s="0" t="n">
        <f aca="false">VLOOKUP(B1568,'MSA-Lookup'!$H$2:$I$86,2)</f>
        <v>6920</v>
      </c>
      <c r="F1568" s="0" t="n">
        <f aca="false">IF(C1568&gt;1,IF(C1568&lt;99,VLOOKUP(C1568,'MSA-Lookup'!$H$1:$I$86,2),C1568),C1568)</f>
        <v>7400</v>
      </c>
      <c r="G1568" s="0" t="n">
        <f aca="false">VLOOKUP(E1568,'MSA-Lookup'!$AA$1:$AB$25,2)</f>
        <v>6920</v>
      </c>
      <c r="H1568" s="0" t="n">
        <f aca="false">IF(C1568&gt;1,IF(C1568&lt;99,VLOOKUP(F1568,'MSA-Lookup'!$AA$1:$AB$25,2),C1568),C1568)</f>
        <v>7362</v>
      </c>
    </row>
    <row r="1569" customFormat="false" ht="12.75" hidden="false" customHeight="false" outlineLevel="0" collapsed="false">
      <c r="A1569" s="0" t="n">
        <f aca="false">B1569*1000+C1569</f>
        <v>29050</v>
      </c>
      <c r="B1569" s="0" t="n">
        <v>29</v>
      </c>
      <c r="C1569" s="0" t="n">
        <v>50</v>
      </c>
      <c r="D1569" s="0" t="n">
        <v>481</v>
      </c>
      <c r="E1569" s="0" t="n">
        <f aca="false">VLOOKUP(B1569,'MSA-Lookup'!$H$2:$I$86,2)</f>
        <v>6920</v>
      </c>
      <c r="F1569" s="0" t="n">
        <f aca="false">IF(C1569&gt;1,IF(C1569&lt;99,VLOOKUP(C1569,'MSA-Lookup'!$H$1:$I$86,2),C1569),C1569)</f>
        <v>7400</v>
      </c>
      <c r="G1569" s="0" t="n">
        <f aca="false">VLOOKUP(E1569,'MSA-Lookup'!$AA$1:$AB$25,2)</f>
        <v>6920</v>
      </c>
      <c r="H1569" s="0" t="n">
        <f aca="false">IF(C1569&gt;1,IF(C1569&lt;99,VLOOKUP(F1569,'MSA-Lookup'!$AA$1:$AB$25,2),C1569),C1569)</f>
        <v>7362</v>
      </c>
    </row>
    <row r="1570" customFormat="false" ht="12.75" hidden="false" customHeight="false" outlineLevel="0" collapsed="false">
      <c r="A1570" s="0" t="n">
        <f aca="false">B1570*1000+C1570</f>
        <v>29051</v>
      </c>
      <c r="B1570" s="0" t="n">
        <v>29</v>
      </c>
      <c r="C1570" s="0" t="n">
        <v>51</v>
      </c>
      <c r="D1570" s="0" t="n">
        <v>91</v>
      </c>
      <c r="E1570" s="0" t="n">
        <f aca="false">VLOOKUP(B1570,'MSA-Lookup'!$H$2:$I$86,2)</f>
        <v>6920</v>
      </c>
      <c r="F1570" s="0" t="n">
        <f aca="false">IF(C1570&gt;1,IF(C1570&lt;99,VLOOKUP(C1570,'MSA-Lookup'!$H$1:$I$86,2),C1570),C1570)</f>
        <v>7400</v>
      </c>
      <c r="G1570" s="0" t="n">
        <f aca="false">VLOOKUP(E1570,'MSA-Lookup'!$AA$1:$AB$25,2)</f>
        <v>6920</v>
      </c>
      <c r="H1570" s="0" t="n">
        <f aca="false">IF(C1570&gt;1,IF(C1570&lt;99,VLOOKUP(F1570,'MSA-Lookup'!$AA$1:$AB$25,2),C1570),C1570)</f>
        <v>7362</v>
      </c>
    </row>
    <row r="1571" customFormat="false" ht="12.75" hidden="false" customHeight="false" outlineLevel="0" collapsed="false">
      <c r="A1571" s="0" t="n">
        <f aca="false">B1571*1000+C1571</f>
        <v>29052</v>
      </c>
      <c r="B1571" s="0" t="n">
        <v>29</v>
      </c>
      <c r="C1571" s="0" t="n">
        <v>52</v>
      </c>
      <c r="D1571" s="0" t="n">
        <v>0</v>
      </c>
      <c r="E1571" s="0" t="n">
        <f aca="false">VLOOKUP(B1571,'MSA-Lookup'!$H$2:$I$86,2)</f>
        <v>6920</v>
      </c>
      <c r="F1571" s="0" t="n">
        <f aca="false">IF(C1571&gt;1,IF(C1571&lt;99,VLOOKUP(C1571,'MSA-Lookup'!$H$1:$I$86,2),C1571),C1571)</f>
        <v>4480</v>
      </c>
      <c r="G1571" s="0" t="n">
        <f aca="false">VLOOKUP(E1571,'MSA-Lookup'!$AA$1:$AB$25,2)</f>
        <v>6920</v>
      </c>
      <c r="H1571" s="0" t="n">
        <f aca="false">IF(C1571&gt;1,IF(C1571&lt;99,VLOOKUP(F1571,'MSA-Lookup'!$AA$1:$AB$25,2),C1571),C1571)</f>
        <v>4472</v>
      </c>
    </row>
    <row r="1572" customFormat="false" ht="12.75" hidden="false" customHeight="false" outlineLevel="0" collapsed="false">
      <c r="A1572" s="0" t="n">
        <f aca="false">B1572*1000+C1572</f>
        <v>29053</v>
      </c>
      <c r="B1572" s="0" t="n">
        <v>29</v>
      </c>
      <c r="C1572" s="0" t="n">
        <v>53</v>
      </c>
      <c r="D1572" s="0" t="n">
        <v>0</v>
      </c>
      <c r="E1572" s="0" t="n">
        <f aca="false">VLOOKUP(B1572,'MSA-Lookup'!$H$2:$I$86,2)</f>
        <v>6920</v>
      </c>
      <c r="F1572" s="0" t="n">
        <f aca="false">IF(C1572&gt;1,IF(C1572&lt;99,VLOOKUP(C1572,'MSA-Lookup'!$H$1:$I$86,2),C1572),C1572)</f>
        <v>4480</v>
      </c>
      <c r="G1572" s="0" t="n">
        <f aca="false">VLOOKUP(E1572,'MSA-Lookup'!$AA$1:$AB$25,2)</f>
        <v>6920</v>
      </c>
      <c r="H1572" s="0" t="n">
        <f aca="false">IF(C1572&gt;1,IF(C1572&lt;99,VLOOKUP(F1572,'MSA-Lookup'!$AA$1:$AB$25,2),C1572),C1572)</f>
        <v>4472</v>
      </c>
    </row>
    <row r="1573" customFormat="false" ht="12.75" hidden="false" customHeight="false" outlineLevel="0" collapsed="false">
      <c r="A1573" s="0" t="n">
        <f aca="false">B1573*1000+C1573</f>
        <v>29054</v>
      </c>
      <c r="B1573" s="0" t="n">
        <v>29</v>
      </c>
      <c r="C1573" s="0" t="n">
        <v>54</v>
      </c>
      <c r="D1573" s="0" t="n">
        <v>0</v>
      </c>
      <c r="E1573" s="0" t="n">
        <f aca="false">VLOOKUP(B1573,'MSA-Lookup'!$H$2:$I$86,2)</f>
        <v>6920</v>
      </c>
      <c r="F1573" s="0" t="n">
        <f aca="false">IF(C1573&gt;1,IF(C1573&lt;99,VLOOKUP(C1573,'MSA-Lookup'!$H$1:$I$86,2),C1573),C1573)</f>
        <v>4480</v>
      </c>
      <c r="G1573" s="0" t="n">
        <f aca="false">VLOOKUP(E1573,'MSA-Lookup'!$AA$1:$AB$25,2)</f>
        <v>6920</v>
      </c>
      <c r="H1573" s="0" t="n">
        <f aca="false">IF(C1573&gt;1,IF(C1573&lt;99,VLOOKUP(F1573,'MSA-Lookup'!$AA$1:$AB$25,2),C1573),C1573)</f>
        <v>4472</v>
      </c>
    </row>
    <row r="1574" customFormat="false" ht="12.75" hidden="false" customHeight="false" outlineLevel="0" collapsed="false">
      <c r="A1574" s="0" t="n">
        <f aca="false">B1574*1000+C1574</f>
        <v>29055</v>
      </c>
      <c r="B1574" s="0" t="n">
        <v>29</v>
      </c>
      <c r="C1574" s="0" t="n">
        <v>55</v>
      </c>
      <c r="D1574" s="0" t="n">
        <v>0</v>
      </c>
      <c r="E1574" s="0" t="n">
        <f aca="false">VLOOKUP(B1574,'MSA-Lookup'!$H$2:$I$86,2)</f>
        <v>6920</v>
      </c>
      <c r="F1574" s="0" t="n">
        <f aca="false">IF(C1574&gt;1,IF(C1574&lt;99,VLOOKUP(C1574,'MSA-Lookup'!$H$1:$I$86,2),C1574),C1574)</f>
        <v>4480</v>
      </c>
      <c r="G1574" s="0" t="n">
        <f aca="false">VLOOKUP(E1574,'MSA-Lookup'!$AA$1:$AB$25,2)</f>
        <v>6920</v>
      </c>
      <c r="H1574" s="0" t="n">
        <f aca="false">IF(C1574&gt;1,IF(C1574&lt;99,VLOOKUP(F1574,'MSA-Lookup'!$AA$1:$AB$25,2),C1574),C1574)</f>
        <v>4472</v>
      </c>
    </row>
    <row r="1575" customFormat="false" ht="12.75" hidden="false" customHeight="false" outlineLevel="0" collapsed="false">
      <c r="A1575" s="0" t="n">
        <f aca="false">B1575*1000+C1575</f>
        <v>29056</v>
      </c>
      <c r="B1575" s="0" t="n">
        <v>29</v>
      </c>
      <c r="C1575" s="0" t="n">
        <v>56</v>
      </c>
      <c r="D1575" s="0" t="n">
        <v>0</v>
      </c>
      <c r="E1575" s="0" t="n">
        <f aca="false">VLOOKUP(B1575,'MSA-Lookup'!$H$2:$I$86,2)</f>
        <v>6920</v>
      </c>
      <c r="F1575" s="0" t="n">
        <f aca="false">IF(C1575&gt;1,IF(C1575&lt;99,VLOOKUP(C1575,'MSA-Lookup'!$H$1:$I$86,2),C1575),C1575)</f>
        <v>4480</v>
      </c>
      <c r="G1575" s="0" t="n">
        <f aca="false">VLOOKUP(E1575,'MSA-Lookup'!$AA$1:$AB$25,2)</f>
        <v>6920</v>
      </c>
      <c r="H1575" s="0" t="n">
        <f aca="false">IF(C1575&gt;1,IF(C1575&lt;99,VLOOKUP(F1575,'MSA-Lookup'!$AA$1:$AB$25,2),C1575),C1575)</f>
        <v>4472</v>
      </c>
    </row>
    <row r="1576" customFormat="false" ht="12.75" hidden="false" customHeight="false" outlineLevel="0" collapsed="false">
      <c r="A1576" s="0" t="n">
        <f aca="false">B1576*1000+C1576</f>
        <v>29057</v>
      </c>
      <c r="B1576" s="0" t="n">
        <v>29</v>
      </c>
      <c r="C1576" s="0" t="n">
        <v>57</v>
      </c>
      <c r="D1576" s="0" t="n">
        <v>0</v>
      </c>
      <c r="E1576" s="0" t="n">
        <f aca="false">VLOOKUP(B1576,'MSA-Lookup'!$H$2:$I$86,2)</f>
        <v>6920</v>
      </c>
      <c r="F1576" s="0" t="n">
        <f aca="false">IF(C1576&gt;1,IF(C1576&lt;99,VLOOKUP(C1576,'MSA-Lookup'!$H$1:$I$86,2),C1576),C1576)</f>
        <v>4480</v>
      </c>
      <c r="G1576" s="0" t="n">
        <f aca="false">VLOOKUP(E1576,'MSA-Lookup'!$AA$1:$AB$25,2)</f>
        <v>6920</v>
      </c>
      <c r="H1576" s="0" t="n">
        <f aca="false">IF(C1576&gt;1,IF(C1576&lt;99,VLOOKUP(F1576,'MSA-Lookup'!$AA$1:$AB$25,2),C1576),C1576)</f>
        <v>4472</v>
      </c>
    </row>
    <row r="1577" customFormat="false" ht="12.75" hidden="false" customHeight="false" outlineLevel="0" collapsed="false">
      <c r="A1577" s="0" t="n">
        <f aca="false">B1577*1000+C1577</f>
        <v>29059</v>
      </c>
      <c r="B1577" s="0" t="n">
        <v>29</v>
      </c>
      <c r="C1577" s="0" t="n">
        <v>59</v>
      </c>
      <c r="D1577" s="0" t="n">
        <v>0</v>
      </c>
      <c r="E1577" s="0" t="n">
        <f aca="false">VLOOKUP(B1577,'MSA-Lookup'!$H$2:$I$86,2)</f>
        <v>6920</v>
      </c>
      <c r="F1577" s="0" t="n">
        <f aca="false">IF(C1577&gt;1,IF(C1577&lt;99,VLOOKUP(C1577,'MSA-Lookup'!$H$1:$I$86,2),C1577),C1577)</f>
        <v>4480</v>
      </c>
      <c r="G1577" s="0" t="n">
        <f aca="false">VLOOKUP(E1577,'MSA-Lookup'!$AA$1:$AB$25,2)</f>
        <v>6920</v>
      </c>
      <c r="H1577" s="0" t="n">
        <f aca="false">IF(C1577&gt;1,IF(C1577&lt;99,VLOOKUP(F1577,'MSA-Lookup'!$AA$1:$AB$25,2),C1577),C1577)</f>
        <v>4472</v>
      </c>
    </row>
    <row r="1578" customFormat="false" ht="12.75" hidden="false" customHeight="false" outlineLevel="0" collapsed="false">
      <c r="A1578" s="0" t="n">
        <f aca="false">B1578*1000+C1578</f>
        <v>29060</v>
      </c>
      <c r="B1578" s="0" t="n">
        <v>29</v>
      </c>
      <c r="C1578" s="0" t="n">
        <v>60</v>
      </c>
      <c r="D1578" s="0" t="n">
        <v>0</v>
      </c>
      <c r="E1578" s="0" t="n">
        <f aca="false">VLOOKUP(B1578,'MSA-Lookup'!$H$2:$I$86,2)</f>
        <v>6920</v>
      </c>
      <c r="F1578" s="0" t="n">
        <f aca="false">IF(C1578&gt;1,IF(C1578&lt;99,VLOOKUP(C1578,'MSA-Lookup'!$H$1:$I$86,2),C1578),C1578)</f>
        <v>4480</v>
      </c>
      <c r="G1578" s="0" t="n">
        <f aca="false">VLOOKUP(E1578,'MSA-Lookup'!$AA$1:$AB$25,2)</f>
        <v>6920</v>
      </c>
      <c r="H1578" s="0" t="n">
        <f aca="false">IF(C1578&gt;1,IF(C1578&lt;99,VLOOKUP(F1578,'MSA-Lookup'!$AA$1:$AB$25,2),C1578),C1578)</f>
        <v>4472</v>
      </c>
    </row>
    <row r="1579" customFormat="false" ht="12.75" hidden="false" customHeight="false" outlineLevel="0" collapsed="false">
      <c r="A1579" s="0" t="n">
        <f aca="false">B1579*1000+C1579</f>
        <v>29062</v>
      </c>
      <c r="B1579" s="0" t="n">
        <v>29</v>
      </c>
      <c r="C1579" s="0" t="n">
        <v>62</v>
      </c>
      <c r="D1579" s="0" t="n">
        <v>0</v>
      </c>
      <c r="E1579" s="0" t="n">
        <f aca="false">VLOOKUP(B1579,'MSA-Lookup'!$H$2:$I$86,2)</f>
        <v>6920</v>
      </c>
      <c r="F1579" s="0" t="n">
        <f aca="false">IF(C1579&gt;1,IF(C1579&lt;99,VLOOKUP(C1579,'MSA-Lookup'!$H$1:$I$86,2),C1579),C1579)</f>
        <v>4480</v>
      </c>
      <c r="G1579" s="0" t="n">
        <f aca="false">VLOOKUP(E1579,'MSA-Lookup'!$AA$1:$AB$25,2)</f>
        <v>6920</v>
      </c>
      <c r="H1579" s="0" t="n">
        <f aca="false">IF(C1579&gt;1,IF(C1579&lt;99,VLOOKUP(F1579,'MSA-Lookup'!$AA$1:$AB$25,2),C1579),C1579)</f>
        <v>4472</v>
      </c>
    </row>
    <row r="1580" customFormat="false" ht="12.75" hidden="false" customHeight="false" outlineLevel="0" collapsed="false">
      <c r="A1580" s="0" t="n">
        <f aca="false">B1580*1000+C1580</f>
        <v>29064</v>
      </c>
      <c r="B1580" s="0" t="n">
        <v>29</v>
      </c>
      <c r="C1580" s="0" t="n">
        <v>64</v>
      </c>
      <c r="D1580" s="0" t="n">
        <v>0</v>
      </c>
      <c r="E1580" s="0" t="n">
        <f aca="false">VLOOKUP(B1580,'MSA-Lookup'!$H$2:$I$86,2)</f>
        <v>6920</v>
      </c>
      <c r="F1580" s="0" t="n">
        <f aca="false">IF(C1580&gt;1,IF(C1580&lt;99,VLOOKUP(C1580,'MSA-Lookup'!$H$1:$I$86,2),C1580),C1580)</f>
        <v>4480</v>
      </c>
      <c r="G1580" s="0" t="n">
        <f aca="false">VLOOKUP(E1580,'MSA-Lookup'!$AA$1:$AB$25,2)</f>
        <v>6920</v>
      </c>
      <c r="H1580" s="0" t="n">
        <f aca="false">IF(C1580&gt;1,IF(C1580&lt;99,VLOOKUP(F1580,'MSA-Lookup'!$AA$1:$AB$25,2),C1580),C1580)</f>
        <v>4472</v>
      </c>
    </row>
    <row r="1581" customFormat="false" ht="12.75" hidden="false" customHeight="false" outlineLevel="0" collapsed="false">
      <c r="A1581" s="0" t="n">
        <f aca="false">B1581*1000+C1581</f>
        <v>29065</v>
      </c>
      <c r="B1581" s="0" t="n">
        <v>29</v>
      </c>
      <c r="C1581" s="0" t="n">
        <v>65</v>
      </c>
      <c r="D1581" s="0" t="n">
        <v>182</v>
      </c>
      <c r="E1581" s="0" t="n">
        <f aca="false">VLOOKUP(B1581,'MSA-Lookup'!$H$2:$I$86,2)</f>
        <v>6920</v>
      </c>
      <c r="F1581" s="0" t="n">
        <f aca="false">IF(C1581&gt;1,IF(C1581&lt;99,VLOOKUP(C1581,'MSA-Lookup'!$H$1:$I$86,2),C1581),C1581)</f>
        <v>4480</v>
      </c>
      <c r="G1581" s="0" t="n">
        <f aca="false">VLOOKUP(E1581,'MSA-Lookup'!$AA$1:$AB$25,2)</f>
        <v>6920</v>
      </c>
      <c r="H1581" s="0" t="n">
        <f aca="false">IF(C1581&gt;1,IF(C1581&lt;99,VLOOKUP(F1581,'MSA-Lookup'!$AA$1:$AB$25,2),C1581),C1581)</f>
        <v>4472</v>
      </c>
    </row>
    <row r="1582" customFormat="false" ht="12.75" hidden="false" customHeight="false" outlineLevel="0" collapsed="false">
      <c r="A1582" s="0" t="n">
        <f aca="false">B1582*1000+C1582</f>
        <v>29066</v>
      </c>
      <c r="B1582" s="0" t="n">
        <v>29</v>
      </c>
      <c r="C1582" s="0" t="n">
        <v>66</v>
      </c>
      <c r="D1582" s="0" t="n">
        <v>0</v>
      </c>
      <c r="E1582" s="0" t="n">
        <f aca="false">VLOOKUP(B1582,'MSA-Lookup'!$H$2:$I$86,2)</f>
        <v>6920</v>
      </c>
      <c r="F1582" s="0" t="n">
        <f aca="false">IF(C1582&gt;1,IF(C1582&lt;99,VLOOKUP(C1582,'MSA-Lookup'!$H$1:$I$86,2),C1582),C1582)</f>
        <v>4480</v>
      </c>
      <c r="G1582" s="0" t="n">
        <f aca="false">VLOOKUP(E1582,'MSA-Lookup'!$AA$1:$AB$25,2)</f>
        <v>6920</v>
      </c>
      <c r="H1582" s="0" t="n">
        <f aca="false">IF(C1582&gt;1,IF(C1582&lt;99,VLOOKUP(F1582,'MSA-Lookup'!$AA$1:$AB$25,2),C1582),C1582)</f>
        <v>4472</v>
      </c>
    </row>
    <row r="1583" customFormat="false" ht="12.75" hidden="false" customHeight="false" outlineLevel="0" collapsed="false">
      <c r="A1583" s="0" t="n">
        <f aca="false">B1583*1000+C1583</f>
        <v>29067</v>
      </c>
      <c r="B1583" s="0" t="n">
        <v>29</v>
      </c>
      <c r="C1583" s="0" t="n">
        <v>67</v>
      </c>
      <c r="D1583" s="0" t="n">
        <v>0</v>
      </c>
      <c r="E1583" s="0" t="n">
        <f aca="false">VLOOKUP(B1583,'MSA-Lookup'!$H$2:$I$86,2)</f>
        <v>6920</v>
      </c>
      <c r="F1583" s="0" t="n">
        <f aca="false">IF(C1583&gt;1,IF(C1583&lt;99,VLOOKUP(C1583,'MSA-Lookup'!$H$1:$I$86,2),C1583),C1583)</f>
        <v>6000</v>
      </c>
      <c r="G1583" s="0" t="n">
        <f aca="false">VLOOKUP(E1583,'MSA-Lookup'!$AA$1:$AB$25,2)</f>
        <v>6920</v>
      </c>
      <c r="H1583" s="0" t="n">
        <f aca="false">IF(C1583&gt;1,IF(C1583&lt;99,VLOOKUP(F1583,'MSA-Lookup'!$AA$1:$AB$25,2),C1583),C1583)</f>
        <v>4472</v>
      </c>
    </row>
    <row r="1584" customFormat="false" ht="12.75" hidden="false" customHeight="false" outlineLevel="0" collapsed="false">
      <c r="A1584" s="0" t="n">
        <f aca="false">B1584*1000+C1584</f>
        <v>29069</v>
      </c>
      <c r="B1584" s="0" t="n">
        <v>29</v>
      </c>
      <c r="C1584" s="0" t="n">
        <v>69</v>
      </c>
      <c r="D1584" s="0" t="n">
        <v>0</v>
      </c>
      <c r="E1584" s="0" t="n">
        <f aca="false">VLOOKUP(B1584,'MSA-Lookup'!$H$2:$I$86,2)</f>
        <v>6920</v>
      </c>
      <c r="F1584" s="0" t="n">
        <f aca="false">IF(C1584&gt;1,IF(C1584&lt;99,VLOOKUP(C1584,'MSA-Lookup'!$H$1:$I$86,2),C1584),C1584)</f>
        <v>6780</v>
      </c>
      <c r="G1584" s="0" t="n">
        <f aca="false">VLOOKUP(E1584,'MSA-Lookup'!$AA$1:$AB$25,2)</f>
        <v>6920</v>
      </c>
      <c r="H1584" s="0" t="n">
        <f aca="false">IF(C1584&gt;1,IF(C1584&lt;99,VLOOKUP(F1584,'MSA-Lookup'!$AA$1:$AB$25,2),C1584),C1584)</f>
        <v>4472</v>
      </c>
    </row>
    <row r="1585" customFormat="false" ht="12.75" hidden="false" customHeight="false" outlineLevel="0" collapsed="false">
      <c r="A1585" s="0" t="n">
        <f aca="false">B1585*1000+C1585</f>
        <v>29071</v>
      </c>
      <c r="B1585" s="0" t="n">
        <v>29</v>
      </c>
      <c r="C1585" s="0" t="n">
        <v>71</v>
      </c>
      <c r="D1585" s="0" t="n">
        <v>0</v>
      </c>
      <c r="E1585" s="0" t="n">
        <f aca="false">VLOOKUP(B1585,'MSA-Lookup'!$H$2:$I$86,2)</f>
        <v>6920</v>
      </c>
      <c r="F1585" s="0" t="n">
        <f aca="false">IF(C1585&gt;1,IF(C1585&lt;99,VLOOKUP(C1585,'MSA-Lookup'!$H$1:$I$86,2),C1585),C1585)</f>
        <v>6780</v>
      </c>
      <c r="G1585" s="0" t="n">
        <f aca="false">VLOOKUP(E1585,'MSA-Lookup'!$AA$1:$AB$25,2)</f>
        <v>6920</v>
      </c>
      <c r="H1585" s="0" t="n">
        <f aca="false">IF(C1585&gt;1,IF(C1585&lt;99,VLOOKUP(F1585,'MSA-Lookup'!$AA$1:$AB$25,2),C1585),C1585)</f>
        <v>4472</v>
      </c>
    </row>
    <row r="1586" customFormat="false" ht="12.75" hidden="false" customHeight="false" outlineLevel="0" collapsed="false">
      <c r="A1586" s="0" t="n">
        <f aca="false">B1586*1000+C1586</f>
        <v>29072</v>
      </c>
      <c r="B1586" s="0" t="n">
        <v>29</v>
      </c>
      <c r="C1586" s="0" t="n">
        <v>72</v>
      </c>
      <c r="D1586" s="0" t="n">
        <v>0</v>
      </c>
      <c r="E1586" s="0" t="n">
        <f aca="false">VLOOKUP(B1586,'MSA-Lookup'!$H$2:$I$86,2)</f>
        <v>6920</v>
      </c>
      <c r="F1586" s="0" t="n">
        <f aca="false">IF(C1586&gt;1,IF(C1586&lt;99,VLOOKUP(C1586,'MSA-Lookup'!$H$1:$I$86,2),C1586),C1586)</f>
        <v>6780</v>
      </c>
      <c r="G1586" s="0" t="n">
        <f aca="false">VLOOKUP(E1586,'MSA-Lookup'!$AA$1:$AB$25,2)</f>
        <v>6920</v>
      </c>
      <c r="H1586" s="0" t="n">
        <f aca="false">IF(C1586&gt;1,IF(C1586&lt;99,VLOOKUP(F1586,'MSA-Lookup'!$AA$1:$AB$25,2),C1586),C1586)</f>
        <v>4472</v>
      </c>
    </row>
    <row r="1587" customFormat="false" ht="12.75" hidden="false" customHeight="false" outlineLevel="0" collapsed="false">
      <c r="A1587" s="0" t="n">
        <f aca="false">B1587*1000+C1587</f>
        <v>29073</v>
      </c>
      <c r="B1587" s="0" t="n">
        <v>29</v>
      </c>
      <c r="C1587" s="0" t="n">
        <v>73</v>
      </c>
      <c r="D1587" s="0" t="n">
        <v>182</v>
      </c>
      <c r="E1587" s="0" t="n">
        <f aca="false">VLOOKUP(B1587,'MSA-Lookup'!$H$2:$I$86,2)</f>
        <v>6920</v>
      </c>
      <c r="F1587" s="0" t="n">
        <f aca="false">IF(C1587&gt;1,IF(C1587&lt;99,VLOOKUP(C1587,'MSA-Lookup'!$H$1:$I$86,2),C1587),C1587)</f>
        <v>8720</v>
      </c>
      <c r="G1587" s="0" t="n">
        <f aca="false">VLOOKUP(E1587,'MSA-Lookup'!$AA$1:$AB$25,2)</f>
        <v>6920</v>
      </c>
      <c r="H1587" s="0" t="n">
        <f aca="false">IF(C1587&gt;1,IF(C1587&lt;99,VLOOKUP(F1587,'MSA-Lookup'!$AA$1:$AB$25,2),C1587),C1587)</f>
        <v>7362</v>
      </c>
    </row>
    <row r="1588" customFormat="false" ht="12.75" hidden="false" customHeight="false" outlineLevel="0" collapsed="false">
      <c r="A1588" s="0" t="n">
        <f aca="false">B1588*1000+C1588</f>
        <v>29075</v>
      </c>
      <c r="B1588" s="0" t="n">
        <v>29</v>
      </c>
      <c r="C1588" s="0" t="n">
        <v>75</v>
      </c>
      <c r="D1588" s="0" t="n">
        <v>0</v>
      </c>
      <c r="E1588" s="0" t="n">
        <f aca="false">VLOOKUP(B1588,'MSA-Lookup'!$H$2:$I$86,2)</f>
        <v>6920</v>
      </c>
      <c r="F1588" s="0" t="n">
        <f aca="false">IF(C1588&gt;1,IF(C1588&lt;99,VLOOKUP(C1588,'MSA-Lookup'!$H$1:$I$86,2),C1588),C1588)</f>
        <v>8780</v>
      </c>
      <c r="G1588" s="0" t="n">
        <f aca="false">VLOOKUP(E1588,'MSA-Lookup'!$AA$1:$AB$25,2)</f>
        <v>6920</v>
      </c>
      <c r="H1588" s="0" t="n">
        <f aca="false">IF(C1588&gt;1,IF(C1588&lt;99,VLOOKUP(F1588,'MSA-Lookup'!$AA$1:$AB$25,2),C1588),C1588)</f>
        <v>8780</v>
      </c>
    </row>
    <row r="1589" customFormat="false" ht="12.75" hidden="false" customHeight="false" outlineLevel="0" collapsed="false">
      <c r="A1589" s="0" t="n">
        <f aca="false">B1589*1000+C1589</f>
        <v>29076</v>
      </c>
      <c r="B1589" s="0" t="n">
        <v>29</v>
      </c>
      <c r="C1589" s="0" t="n">
        <v>76</v>
      </c>
      <c r="D1589" s="0" t="n">
        <v>0</v>
      </c>
      <c r="E1589" s="0" t="n">
        <f aca="false">VLOOKUP(B1589,'MSA-Lookup'!$H$2:$I$86,2)</f>
        <v>6920</v>
      </c>
      <c r="F1589" s="0" t="n">
        <f aca="false">IF(C1589&gt;1,IF(C1589&lt;99,VLOOKUP(C1589,'MSA-Lookup'!$H$1:$I$86,2),C1589),C1589)</f>
        <v>7485</v>
      </c>
      <c r="G1589" s="0" t="n">
        <f aca="false">VLOOKUP(E1589,'MSA-Lookup'!$AA$1:$AB$25,2)</f>
        <v>6920</v>
      </c>
      <c r="H1589" s="0" t="n">
        <f aca="false">IF(C1589&gt;1,IF(C1589&lt;99,VLOOKUP(F1589,'MSA-Lookup'!$AA$1:$AB$25,2),C1589),C1589)</f>
        <v>7362</v>
      </c>
    </row>
    <row r="1590" customFormat="false" ht="12.75" hidden="false" customHeight="false" outlineLevel="0" collapsed="false">
      <c r="A1590" s="0" t="n">
        <f aca="false">B1590*1000+C1590</f>
        <v>29077</v>
      </c>
      <c r="B1590" s="0" t="n">
        <v>29</v>
      </c>
      <c r="C1590" s="0" t="n">
        <v>77</v>
      </c>
      <c r="D1590" s="0" t="n">
        <v>0</v>
      </c>
      <c r="E1590" s="0" t="n">
        <f aca="false">VLOOKUP(B1590,'MSA-Lookup'!$H$2:$I$86,2)</f>
        <v>6920</v>
      </c>
      <c r="F1590" s="0" t="n">
        <f aca="false">IF(C1590&gt;1,IF(C1590&lt;99,VLOOKUP(C1590,'MSA-Lookup'!$H$1:$I$86,2),C1590),C1590)</f>
        <v>9999</v>
      </c>
      <c r="G1590" s="0" t="n">
        <f aca="false">VLOOKUP(E1590,'MSA-Lookup'!$AA$1:$AB$25,2)</f>
        <v>6920</v>
      </c>
      <c r="H1590" s="0" t="n">
        <f aca="false">IF(C1590&gt;1,IF(C1590&lt;99,VLOOKUP(F1590,'MSA-Lookup'!$AA$1:$AB$25,2),C1590),C1590)</f>
        <v>9999</v>
      </c>
    </row>
    <row r="1591" customFormat="false" ht="12.75" hidden="false" customHeight="false" outlineLevel="0" collapsed="false">
      <c r="A1591" s="0" t="n">
        <f aca="false">B1591*1000+C1591</f>
        <v>29079</v>
      </c>
      <c r="B1591" s="0" t="n">
        <v>29</v>
      </c>
      <c r="C1591" s="0" t="n">
        <v>79</v>
      </c>
      <c r="D1591" s="0" t="n">
        <v>0</v>
      </c>
      <c r="E1591" s="0" t="n">
        <f aca="false">VLOOKUP(B1591,'MSA-Lookup'!$H$2:$I$86,2)</f>
        <v>6920</v>
      </c>
      <c r="F1591" s="0" t="n">
        <f aca="false">IF(C1591&gt;1,IF(C1591&lt;99,VLOOKUP(C1591,'MSA-Lookup'!$H$1:$I$86,2),C1591),C1591)</f>
        <v>680</v>
      </c>
      <c r="G1591" s="0" t="n">
        <f aca="false">VLOOKUP(E1591,'MSA-Lookup'!$AA$1:$AB$25,2)</f>
        <v>6920</v>
      </c>
      <c r="H1591" s="0" t="n">
        <f aca="false">IF(C1591&gt;1,IF(C1591&lt;99,VLOOKUP(F1591,'MSA-Lookup'!$AA$1:$AB$25,2),C1591),C1591)</f>
        <v>680</v>
      </c>
    </row>
    <row r="1592" customFormat="false" ht="12.75" hidden="false" customHeight="false" outlineLevel="0" collapsed="false">
      <c r="A1592" s="0" t="n">
        <f aca="false">B1592*1000+C1592</f>
        <v>29080</v>
      </c>
      <c r="B1592" s="0" t="n">
        <v>29</v>
      </c>
      <c r="C1592" s="0" t="n">
        <v>80</v>
      </c>
      <c r="D1592" s="0" t="n">
        <v>52</v>
      </c>
      <c r="E1592" s="0" t="n">
        <f aca="false">VLOOKUP(B1592,'MSA-Lookup'!$H$2:$I$86,2)</f>
        <v>6920</v>
      </c>
      <c r="F1592" s="0" t="n">
        <f aca="false">IF(C1592&gt;1,IF(C1592&lt;99,VLOOKUP(C1592,'MSA-Lookup'!$H$1:$I$86,2),C1592),C1592)</f>
        <v>9999</v>
      </c>
      <c r="G1592" s="0" t="n">
        <f aca="false">VLOOKUP(E1592,'MSA-Lookup'!$AA$1:$AB$25,2)</f>
        <v>6920</v>
      </c>
      <c r="H1592" s="0" t="n">
        <f aca="false">IF(C1592&gt;1,IF(C1592&lt;99,VLOOKUP(F1592,'MSA-Lookup'!$AA$1:$AB$25,2),C1592),C1592)</f>
        <v>9999</v>
      </c>
    </row>
    <row r="1593" customFormat="false" ht="12.75" hidden="false" customHeight="false" outlineLevel="0" collapsed="false">
      <c r="A1593" s="0" t="n">
        <f aca="false">B1593*1000+C1593</f>
        <v>29082</v>
      </c>
      <c r="B1593" s="0" t="n">
        <v>29</v>
      </c>
      <c r="C1593" s="0" t="n">
        <v>82</v>
      </c>
      <c r="D1593" s="0" t="n">
        <v>130</v>
      </c>
      <c r="E1593" s="0" t="n">
        <f aca="false">VLOOKUP(B1593,'MSA-Lookup'!$H$2:$I$86,2)</f>
        <v>6920</v>
      </c>
      <c r="F1593" s="0" t="n">
        <f aca="false">IF(C1593&gt;1,IF(C1593&lt;99,VLOOKUP(C1593,'MSA-Lookup'!$H$1:$I$86,2),C1593),C1593)</f>
        <v>6780</v>
      </c>
      <c r="G1593" s="0" t="n">
        <f aca="false">VLOOKUP(E1593,'MSA-Lookup'!$AA$1:$AB$25,2)</f>
        <v>6920</v>
      </c>
      <c r="H1593" s="0" t="n">
        <f aca="false">IF(C1593&gt;1,IF(C1593&lt;99,VLOOKUP(F1593,'MSA-Lookup'!$AA$1:$AB$25,2),C1593),C1593)</f>
        <v>4472</v>
      </c>
    </row>
    <row r="1594" customFormat="false" ht="12.75" hidden="false" customHeight="false" outlineLevel="0" collapsed="false">
      <c r="A1594" s="0" t="n">
        <f aca="false">B1594*1000+C1594</f>
        <v>29085</v>
      </c>
      <c r="B1594" s="0" t="n">
        <v>29</v>
      </c>
      <c r="C1594" s="0" t="n">
        <v>85</v>
      </c>
      <c r="D1594" s="0" t="n">
        <v>1898</v>
      </c>
      <c r="E1594" s="0" t="n">
        <f aca="false">VLOOKUP(B1594,'MSA-Lookup'!$H$2:$I$86,2)</f>
        <v>6920</v>
      </c>
      <c r="F1594" s="0" t="n">
        <f aca="false">IF(C1594&gt;1,IF(C1594&lt;99,VLOOKUP(C1594,'MSA-Lookup'!$H$1:$I$86,2),C1594),C1594)</f>
        <v>8120</v>
      </c>
      <c r="G1594" s="0" t="n">
        <f aca="false">VLOOKUP(E1594,'MSA-Lookup'!$AA$1:$AB$25,2)</f>
        <v>6920</v>
      </c>
      <c r="H1594" s="0" t="n">
        <f aca="false">IF(C1594&gt;1,IF(C1594&lt;99,VLOOKUP(F1594,'MSA-Lookup'!$AA$1:$AB$25,2),C1594),C1594)</f>
        <v>8120</v>
      </c>
    </row>
    <row r="1595" customFormat="false" ht="12.75" hidden="false" customHeight="false" outlineLevel="0" collapsed="false">
      <c r="A1595" s="0" t="n">
        <f aca="false">B1595*1000+C1595</f>
        <v>29858</v>
      </c>
      <c r="B1595" s="0" t="n">
        <v>29</v>
      </c>
      <c r="C1595" s="0" t="n">
        <v>858</v>
      </c>
      <c r="D1595" s="0" t="n">
        <v>0</v>
      </c>
      <c r="E1595" s="0" t="n">
        <f aca="false">VLOOKUP(B1595,'MSA-Lookup'!$H$2:$I$86,2)</f>
        <v>6920</v>
      </c>
      <c r="F1595" s="0" t="n">
        <f aca="false">IF(C1595&gt;1,IF(C1595&lt;99,VLOOKUP(C1595,'MSA-Lookup'!$H$1:$I$86,2),C1595),C1595)</f>
        <v>858</v>
      </c>
      <c r="G1595" s="0" t="n">
        <f aca="false">VLOOKUP(E1595,'MSA-Lookup'!$AA$1:$AB$25,2)</f>
        <v>6920</v>
      </c>
      <c r="H1595" s="0" t="n">
        <f aca="false">IF(C1595&gt;1,IF(C1595&lt;99,VLOOKUP(F1595,'MSA-Lookup'!$AA$1:$AB$25,2),C1595),C1595)</f>
        <v>858</v>
      </c>
    </row>
    <row r="1596" customFormat="false" ht="12.75" hidden="false" customHeight="false" outlineLevel="0" collapsed="false">
      <c r="A1596" s="0" t="n">
        <f aca="false">B1596*1000+C1596</f>
        <v>29999</v>
      </c>
      <c r="B1596" s="0" t="n">
        <v>29</v>
      </c>
      <c r="C1596" s="0" t="n">
        <v>999</v>
      </c>
      <c r="D1596" s="0" t="n">
        <v>130</v>
      </c>
      <c r="E1596" s="0" t="n">
        <f aca="false">VLOOKUP(B1596,'MSA-Lookup'!$H$2:$I$86,2)</f>
        <v>6920</v>
      </c>
      <c r="F1596" s="0" t="n">
        <f aca="false">IF(C1596&gt;1,IF(C1596&lt;99,VLOOKUP(C1596,'MSA-Lookup'!$H$1:$I$86,2),C1596),C1596)</f>
        <v>999</v>
      </c>
      <c r="G1596" s="0" t="n">
        <f aca="false">VLOOKUP(E1596,'MSA-Lookup'!$AA$1:$AB$25,2)</f>
        <v>6920</v>
      </c>
      <c r="H1596" s="0" t="n">
        <f aca="false">IF(C1596&gt;1,IF(C1596&lt;99,VLOOKUP(F1596,'MSA-Lookup'!$AA$1:$AB$25,2),C1596),C1596)</f>
        <v>999</v>
      </c>
    </row>
    <row r="1597" customFormat="false" ht="12.75" hidden="false" customHeight="false" outlineLevel="0" collapsed="false">
      <c r="A1597" s="0" t="n">
        <f aca="false">B1597*1000+C1597</f>
        <v>30000</v>
      </c>
      <c r="B1597" s="0" t="n">
        <v>30</v>
      </c>
      <c r="C1597" s="0" t="n">
        <v>0</v>
      </c>
      <c r="D1597" s="0" t="n">
        <v>108225</v>
      </c>
      <c r="E1597" s="0" t="n">
        <f aca="false">VLOOKUP(B1597,'MSA-Lookup'!$H$2:$I$86,2)</f>
        <v>4940</v>
      </c>
      <c r="F1597" s="0" t="n">
        <f aca="false">IF(C1597&gt;1,IF(C1597&lt;99,VLOOKUP(C1597,'MSA-Lookup'!$H$1:$I$86,2),C1597),C1597)</f>
        <v>0</v>
      </c>
      <c r="G1597" s="0" t="n">
        <f aca="false">VLOOKUP(E1597,'MSA-Lookup'!$AA$1:$AB$25,2)</f>
        <v>4940</v>
      </c>
      <c r="H1597" s="0" t="n">
        <f aca="false">IF(C1597&gt;1,IF(C1597&lt;99,VLOOKUP(F1597,'MSA-Lookup'!$AA$1:$AB$25,2),C1597),C1597)</f>
        <v>0</v>
      </c>
    </row>
    <row r="1598" customFormat="false" ht="12.75" hidden="false" customHeight="false" outlineLevel="0" collapsed="false">
      <c r="A1598" s="0" t="n">
        <f aca="false">B1598*1000+C1598</f>
        <v>30001</v>
      </c>
      <c r="B1598" s="0" t="n">
        <v>30</v>
      </c>
      <c r="C1598" s="0" t="n">
        <v>1</v>
      </c>
      <c r="D1598" s="0" t="n">
        <v>0</v>
      </c>
      <c r="E1598" s="0" t="n">
        <f aca="false">VLOOKUP(B1598,'MSA-Lookup'!$H$2:$I$86,2)</f>
        <v>4940</v>
      </c>
      <c r="F1598" s="0" t="n">
        <f aca="false">IF(C1598&gt;1,IF(C1598&lt;99,VLOOKUP(C1598,'MSA-Lookup'!$H$1:$I$86,2),C1598),C1598)</f>
        <v>1</v>
      </c>
      <c r="G1598" s="0" t="n">
        <f aca="false">VLOOKUP(E1598,'MSA-Lookup'!$AA$1:$AB$25,2)</f>
        <v>4940</v>
      </c>
      <c r="H1598" s="0" t="n">
        <f aca="false">IF(C1598&gt;1,IF(C1598&lt;99,VLOOKUP(F1598,'MSA-Lookup'!$AA$1:$AB$25,2),C1598),C1598)</f>
        <v>1</v>
      </c>
    </row>
    <row r="1599" customFormat="false" ht="12.75" hidden="false" customHeight="false" outlineLevel="0" collapsed="false">
      <c r="A1599" s="0" t="n">
        <f aca="false">B1599*1000+C1599</f>
        <v>30002</v>
      </c>
      <c r="B1599" s="0" t="n">
        <v>30</v>
      </c>
      <c r="C1599" s="0" t="n">
        <v>2</v>
      </c>
      <c r="D1599" s="0" t="n">
        <v>0</v>
      </c>
      <c r="E1599" s="0" t="n">
        <f aca="false">VLOOKUP(B1599,'MSA-Lookup'!$H$2:$I$86,2)</f>
        <v>4940</v>
      </c>
      <c r="F1599" s="0" t="n">
        <f aca="false">IF(C1599&gt;1,IF(C1599&lt;99,VLOOKUP(C1599,'MSA-Lookup'!$H$1:$I$86,2),C1599),C1599)</f>
        <v>9999</v>
      </c>
      <c r="G1599" s="0" t="n">
        <f aca="false">VLOOKUP(E1599,'MSA-Lookup'!$AA$1:$AB$25,2)</f>
        <v>4940</v>
      </c>
      <c r="H1599" s="0" t="n">
        <f aca="false">IF(C1599&gt;1,IF(C1599&lt;99,VLOOKUP(F1599,'MSA-Lookup'!$AA$1:$AB$25,2),C1599),C1599)</f>
        <v>9999</v>
      </c>
    </row>
    <row r="1600" customFormat="false" ht="12.75" hidden="false" customHeight="false" outlineLevel="0" collapsed="false">
      <c r="A1600" s="0" t="n">
        <f aca="false">B1600*1000+C1600</f>
        <v>30003</v>
      </c>
      <c r="B1600" s="0" t="n">
        <v>30</v>
      </c>
      <c r="C1600" s="0" t="n">
        <v>3</v>
      </c>
      <c r="D1600" s="0" t="n">
        <v>0</v>
      </c>
      <c r="E1600" s="0" t="n">
        <f aca="false">VLOOKUP(B1600,'MSA-Lookup'!$H$2:$I$86,2)</f>
        <v>4940</v>
      </c>
      <c r="F1600" s="0" t="n">
        <f aca="false">IF(C1600&gt;1,IF(C1600&lt;99,VLOOKUP(C1600,'MSA-Lookup'!$H$1:$I$86,2),C1600),C1600)</f>
        <v>6690</v>
      </c>
      <c r="G1600" s="0" t="n">
        <f aca="false">VLOOKUP(E1600,'MSA-Lookup'!$AA$1:$AB$25,2)</f>
        <v>4940</v>
      </c>
      <c r="H1600" s="0" t="n">
        <f aca="false">IF(C1600&gt;1,IF(C1600&lt;99,VLOOKUP(F1600,'MSA-Lookup'!$AA$1:$AB$25,2),C1600),C1600)</f>
        <v>6690</v>
      </c>
    </row>
    <row r="1601" customFormat="false" ht="12.75" hidden="false" customHeight="false" outlineLevel="0" collapsed="false">
      <c r="A1601" s="0" t="n">
        <f aca="false">B1601*1000+C1601</f>
        <v>30004</v>
      </c>
      <c r="B1601" s="0" t="n">
        <v>30</v>
      </c>
      <c r="C1601" s="0" t="n">
        <v>4</v>
      </c>
      <c r="D1601" s="0" t="n">
        <v>0</v>
      </c>
      <c r="E1601" s="0" t="n">
        <f aca="false">VLOOKUP(B1601,'MSA-Lookup'!$H$2:$I$86,2)</f>
        <v>4940</v>
      </c>
      <c r="F1601" s="0" t="n">
        <f aca="false">IF(C1601&gt;1,IF(C1601&lt;99,VLOOKUP(C1601,'MSA-Lookup'!$H$1:$I$86,2),C1601),C1601)</f>
        <v>9999</v>
      </c>
      <c r="G1601" s="0" t="n">
        <f aca="false">VLOOKUP(E1601,'MSA-Lookup'!$AA$1:$AB$25,2)</f>
        <v>4940</v>
      </c>
      <c r="H1601" s="0" t="n">
        <f aca="false">IF(C1601&gt;1,IF(C1601&lt;99,VLOOKUP(F1601,'MSA-Lookup'!$AA$1:$AB$25,2),C1601),C1601)</f>
        <v>9999</v>
      </c>
    </row>
    <row r="1602" customFormat="false" ht="12.75" hidden="false" customHeight="false" outlineLevel="0" collapsed="false">
      <c r="A1602" s="0" t="n">
        <f aca="false">B1602*1000+C1602</f>
        <v>30005</v>
      </c>
      <c r="B1602" s="0" t="n">
        <v>30</v>
      </c>
      <c r="C1602" s="0" t="n">
        <v>5</v>
      </c>
      <c r="D1602" s="0" t="n">
        <v>0</v>
      </c>
      <c r="E1602" s="0" t="n">
        <f aca="false">VLOOKUP(B1602,'MSA-Lookup'!$H$2:$I$86,2)</f>
        <v>4940</v>
      </c>
      <c r="F1602" s="0" t="n">
        <f aca="false">IF(C1602&gt;1,IF(C1602&lt;99,VLOOKUP(C1602,'MSA-Lookup'!$H$1:$I$86,2),C1602),C1602)</f>
        <v>9999</v>
      </c>
      <c r="G1602" s="0" t="n">
        <f aca="false">VLOOKUP(E1602,'MSA-Lookup'!$AA$1:$AB$25,2)</f>
        <v>4940</v>
      </c>
      <c r="H1602" s="0" t="n">
        <f aca="false">IF(C1602&gt;1,IF(C1602&lt;99,VLOOKUP(F1602,'MSA-Lookup'!$AA$1:$AB$25,2),C1602),C1602)</f>
        <v>9999</v>
      </c>
    </row>
    <row r="1603" customFormat="false" ht="12.75" hidden="false" customHeight="false" outlineLevel="0" collapsed="false">
      <c r="A1603" s="0" t="n">
        <f aca="false">B1603*1000+C1603</f>
        <v>30006</v>
      </c>
      <c r="B1603" s="0" t="n">
        <v>30</v>
      </c>
      <c r="C1603" s="0" t="n">
        <v>6</v>
      </c>
      <c r="D1603" s="0" t="n">
        <v>0</v>
      </c>
      <c r="E1603" s="0" t="n">
        <f aca="false">VLOOKUP(B1603,'MSA-Lookup'!$H$2:$I$86,2)</f>
        <v>4940</v>
      </c>
      <c r="F1603" s="0" t="n">
        <f aca="false">IF(C1603&gt;1,IF(C1603&lt;99,VLOOKUP(C1603,'MSA-Lookup'!$H$1:$I$86,2),C1603),C1603)</f>
        <v>1620</v>
      </c>
      <c r="G1603" s="0" t="n">
        <f aca="false">VLOOKUP(E1603,'MSA-Lookup'!$AA$1:$AB$25,2)</f>
        <v>4940</v>
      </c>
      <c r="H1603" s="0" t="n">
        <f aca="false">IF(C1603&gt;1,IF(C1603&lt;99,VLOOKUP(F1603,'MSA-Lookup'!$AA$1:$AB$25,2),C1603),C1603)</f>
        <v>1620</v>
      </c>
    </row>
    <row r="1604" customFormat="false" ht="12.75" hidden="false" customHeight="false" outlineLevel="0" collapsed="false">
      <c r="A1604" s="0" t="n">
        <f aca="false">B1604*1000+C1604</f>
        <v>30007</v>
      </c>
      <c r="B1604" s="0" t="n">
        <v>30</v>
      </c>
      <c r="C1604" s="0" t="n">
        <v>7</v>
      </c>
      <c r="D1604" s="0" t="n">
        <v>0</v>
      </c>
      <c r="E1604" s="0" t="n">
        <f aca="false">VLOOKUP(B1604,'MSA-Lookup'!$H$2:$I$86,2)</f>
        <v>4940</v>
      </c>
      <c r="F1604" s="0" t="n">
        <f aca="false">IF(C1604&gt;1,IF(C1604&lt;99,VLOOKUP(C1604,'MSA-Lookup'!$H$1:$I$86,2),C1604),C1604)</f>
        <v>9999</v>
      </c>
      <c r="G1604" s="0" t="n">
        <f aca="false">VLOOKUP(E1604,'MSA-Lookup'!$AA$1:$AB$25,2)</f>
        <v>4940</v>
      </c>
      <c r="H1604" s="0" t="n">
        <f aca="false">IF(C1604&gt;1,IF(C1604&lt;99,VLOOKUP(F1604,'MSA-Lookup'!$AA$1:$AB$25,2),C1604),C1604)</f>
        <v>9999</v>
      </c>
    </row>
    <row r="1605" customFormat="false" ht="12.75" hidden="false" customHeight="false" outlineLevel="0" collapsed="false">
      <c r="A1605" s="0" t="n">
        <f aca="false">B1605*1000+C1605</f>
        <v>30008</v>
      </c>
      <c r="B1605" s="0" t="n">
        <v>30</v>
      </c>
      <c r="C1605" s="0" t="n">
        <v>8</v>
      </c>
      <c r="D1605" s="0" t="n">
        <v>0</v>
      </c>
      <c r="E1605" s="0" t="n">
        <f aca="false">VLOOKUP(B1605,'MSA-Lookup'!$H$2:$I$86,2)</f>
        <v>4940</v>
      </c>
      <c r="F1605" s="0" t="n">
        <f aca="false">IF(C1605&gt;1,IF(C1605&lt;99,VLOOKUP(C1605,'MSA-Lookup'!$H$1:$I$86,2),C1605),C1605)</f>
        <v>9340</v>
      </c>
      <c r="G1605" s="0" t="n">
        <f aca="false">VLOOKUP(E1605,'MSA-Lookup'!$AA$1:$AB$25,2)</f>
        <v>4940</v>
      </c>
      <c r="H1605" s="0" t="n">
        <f aca="false">IF(C1605&gt;1,IF(C1605&lt;99,VLOOKUP(F1605,'MSA-Lookup'!$AA$1:$AB$25,2),C1605),C1605)</f>
        <v>9340</v>
      </c>
    </row>
    <row r="1606" customFormat="false" ht="12.75" hidden="false" customHeight="false" outlineLevel="0" collapsed="false">
      <c r="A1606" s="0" t="n">
        <f aca="false">B1606*1000+C1606</f>
        <v>30009</v>
      </c>
      <c r="B1606" s="0" t="n">
        <v>30</v>
      </c>
      <c r="C1606" s="0" t="n">
        <v>9</v>
      </c>
      <c r="D1606" s="0" t="n">
        <v>0</v>
      </c>
      <c r="E1606" s="0" t="n">
        <f aca="false">VLOOKUP(B1606,'MSA-Lookup'!$H$2:$I$86,2)</f>
        <v>4940</v>
      </c>
      <c r="F1606" s="0" t="n">
        <f aca="false">IF(C1606&gt;1,IF(C1606&lt;99,VLOOKUP(C1606,'MSA-Lookup'!$H$1:$I$86,2),C1606),C1606)</f>
        <v>8720</v>
      </c>
      <c r="G1606" s="0" t="n">
        <f aca="false">VLOOKUP(E1606,'MSA-Lookup'!$AA$1:$AB$25,2)</f>
        <v>4940</v>
      </c>
      <c r="H1606" s="0" t="n">
        <f aca="false">IF(C1606&gt;1,IF(C1606&lt;99,VLOOKUP(F1606,'MSA-Lookup'!$AA$1:$AB$25,2),C1606),C1606)</f>
        <v>7362</v>
      </c>
    </row>
    <row r="1607" customFormat="false" ht="12.75" hidden="false" customHeight="false" outlineLevel="0" collapsed="false">
      <c r="A1607" s="0" t="n">
        <f aca="false">B1607*1000+C1607</f>
        <v>30010</v>
      </c>
      <c r="B1607" s="0" t="n">
        <v>30</v>
      </c>
      <c r="C1607" s="0" t="n">
        <v>10</v>
      </c>
      <c r="D1607" s="0" t="n">
        <v>0</v>
      </c>
      <c r="E1607" s="0" t="n">
        <f aca="false">VLOOKUP(B1607,'MSA-Lookup'!$H$2:$I$86,2)</f>
        <v>4940</v>
      </c>
      <c r="F1607" s="0" t="n">
        <f aca="false">IF(C1607&gt;1,IF(C1607&lt;99,VLOOKUP(C1607,'MSA-Lookup'!$H$1:$I$86,2),C1607),C1607)</f>
        <v>6920</v>
      </c>
      <c r="G1607" s="0" t="n">
        <f aca="false">VLOOKUP(E1607,'MSA-Lookup'!$AA$1:$AB$25,2)</f>
        <v>4940</v>
      </c>
      <c r="H1607" s="0" t="n">
        <f aca="false">IF(C1607&gt;1,IF(C1607&lt;99,VLOOKUP(F1607,'MSA-Lookup'!$AA$1:$AB$25,2),C1607),C1607)</f>
        <v>6920</v>
      </c>
    </row>
    <row r="1608" customFormat="false" ht="12.75" hidden="false" customHeight="false" outlineLevel="0" collapsed="false">
      <c r="A1608" s="0" t="n">
        <f aca="false">B1608*1000+C1608</f>
        <v>30011</v>
      </c>
      <c r="B1608" s="0" t="n">
        <v>30</v>
      </c>
      <c r="C1608" s="0" t="n">
        <v>11</v>
      </c>
      <c r="D1608" s="0" t="n">
        <v>0</v>
      </c>
      <c r="E1608" s="0" t="n">
        <f aca="false">VLOOKUP(B1608,'MSA-Lookup'!$H$2:$I$86,2)</f>
        <v>4940</v>
      </c>
      <c r="F1608" s="0" t="n">
        <f aca="false">IF(C1608&gt;1,IF(C1608&lt;99,VLOOKUP(C1608,'MSA-Lookup'!$H$1:$I$86,2),C1608),C1608)</f>
        <v>6920</v>
      </c>
      <c r="G1608" s="0" t="n">
        <f aca="false">VLOOKUP(E1608,'MSA-Lookup'!$AA$1:$AB$25,2)</f>
        <v>4940</v>
      </c>
      <c r="H1608" s="0" t="n">
        <f aca="false">IF(C1608&gt;1,IF(C1608&lt;99,VLOOKUP(F1608,'MSA-Lookup'!$AA$1:$AB$25,2),C1608),C1608)</f>
        <v>6920</v>
      </c>
    </row>
    <row r="1609" customFormat="false" ht="12.75" hidden="false" customHeight="false" outlineLevel="0" collapsed="false">
      <c r="A1609" s="0" t="n">
        <f aca="false">B1609*1000+C1609</f>
        <v>30012</v>
      </c>
      <c r="B1609" s="0" t="n">
        <v>30</v>
      </c>
      <c r="C1609" s="0" t="n">
        <v>12</v>
      </c>
      <c r="D1609" s="0" t="n">
        <v>0</v>
      </c>
      <c r="E1609" s="0" t="n">
        <f aca="false">VLOOKUP(B1609,'MSA-Lookup'!$H$2:$I$86,2)</f>
        <v>4940</v>
      </c>
      <c r="F1609" s="0" t="n">
        <f aca="false">IF(C1609&gt;1,IF(C1609&lt;99,VLOOKUP(C1609,'MSA-Lookup'!$H$1:$I$86,2),C1609),C1609)</f>
        <v>6920</v>
      </c>
      <c r="G1609" s="0" t="n">
        <f aca="false">VLOOKUP(E1609,'MSA-Lookup'!$AA$1:$AB$25,2)</f>
        <v>4940</v>
      </c>
      <c r="H1609" s="0" t="n">
        <f aca="false">IF(C1609&gt;1,IF(C1609&lt;99,VLOOKUP(F1609,'MSA-Lookup'!$AA$1:$AB$25,2),C1609),C1609)</f>
        <v>6920</v>
      </c>
    </row>
    <row r="1610" customFormat="false" ht="12.75" hidden="false" customHeight="false" outlineLevel="0" collapsed="false">
      <c r="A1610" s="0" t="n">
        <f aca="false">B1610*1000+C1610</f>
        <v>30013</v>
      </c>
      <c r="B1610" s="0" t="n">
        <v>30</v>
      </c>
      <c r="C1610" s="0" t="n">
        <v>13</v>
      </c>
      <c r="D1610" s="0" t="n">
        <v>0</v>
      </c>
      <c r="E1610" s="0" t="n">
        <f aca="false">VLOOKUP(B1610,'MSA-Lookup'!$H$2:$I$86,2)</f>
        <v>4940</v>
      </c>
      <c r="F1610" s="0" t="n">
        <f aca="false">IF(C1610&gt;1,IF(C1610&lt;99,VLOOKUP(C1610,'MSA-Lookup'!$H$1:$I$86,2),C1610),C1610)</f>
        <v>7500</v>
      </c>
      <c r="G1610" s="0" t="n">
        <f aca="false">VLOOKUP(E1610,'MSA-Lookup'!$AA$1:$AB$25,2)</f>
        <v>4940</v>
      </c>
      <c r="H1610" s="0" t="n">
        <f aca="false">IF(C1610&gt;1,IF(C1610&lt;99,VLOOKUP(F1610,'MSA-Lookup'!$AA$1:$AB$25,2),C1610),C1610)</f>
        <v>7362</v>
      </c>
    </row>
    <row r="1611" customFormat="false" ht="12.75" hidden="false" customHeight="false" outlineLevel="0" collapsed="false">
      <c r="A1611" s="0" t="n">
        <f aca="false">B1611*1000+C1611</f>
        <v>30014</v>
      </c>
      <c r="B1611" s="0" t="n">
        <v>30</v>
      </c>
      <c r="C1611" s="0" t="n">
        <v>14</v>
      </c>
      <c r="D1611" s="0" t="n">
        <v>0</v>
      </c>
      <c r="E1611" s="0" t="n">
        <f aca="false">VLOOKUP(B1611,'MSA-Lookup'!$H$2:$I$86,2)</f>
        <v>4940</v>
      </c>
      <c r="F1611" s="0" t="n">
        <f aca="false">IF(C1611&gt;1,IF(C1611&lt;99,VLOOKUP(C1611,'MSA-Lookup'!$H$1:$I$86,2),C1611),C1611)</f>
        <v>7500</v>
      </c>
      <c r="G1611" s="0" t="n">
        <f aca="false">VLOOKUP(E1611,'MSA-Lookup'!$AA$1:$AB$25,2)</f>
        <v>4940</v>
      </c>
      <c r="H1611" s="0" t="n">
        <f aca="false">IF(C1611&gt;1,IF(C1611&lt;99,VLOOKUP(F1611,'MSA-Lookup'!$AA$1:$AB$25,2),C1611),C1611)</f>
        <v>7362</v>
      </c>
    </row>
    <row r="1612" customFormat="false" ht="12.75" hidden="false" customHeight="false" outlineLevel="0" collapsed="false">
      <c r="A1612" s="0" t="n">
        <f aca="false">B1612*1000+C1612</f>
        <v>30015</v>
      </c>
      <c r="B1612" s="0" t="n">
        <v>30</v>
      </c>
      <c r="C1612" s="0" t="n">
        <v>15</v>
      </c>
      <c r="D1612" s="0" t="n">
        <v>0</v>
      </c>
      <c r="E1612" s="0" t="n">
        <f aca="false">VLOOKUP(B1612,'MSA-Lookup'!$H$2:$I$86,2)</f>
        <v>4940</v>
      </c>
      <c r="F1612" s="0" t="n">
        <f aca="false">IF(C1612&gt;1,IF(C1612&lt;99,VLOOKUP(C1612,'MSA-Lookup'!$H$1:$I$86,2),C1612),C1612)</f>
        <v>7360</v>
      </c>
      <c r="G1612" s="0" t="n">
        <f aca="false">VLOOKUP(E1612,'MSA-Lookup'!$AA$1:$AB$25,2)</f>
        <v>4940</v>
      </c>
      <c r="H1612" s="0" t="n">
        <f aca="false">IF(C1612&gt;1,IF(C1612&lt;99,VLOOKUP(F1612,'MSA-Lookup'!$AA$1:$AB$25,2),C1612),C1612)</f>
        <v>7362</v>
      </c>
    </row>
    <row r="1613" customFormat="false" ht="12.75" hidden="false" customHeight="false" outlineLevel="0" collapsed="false">
      <c r="A1613" s="0" t="n">
        <f aca="false">B1613*1000+C1613</f>
        <v>30016</v>
      </c>
      <c r="B1613" s="0" t="n">
        <v>30</v>
      </c>
      <c r="C1613" s="0" t="n">
        <v>16</v>
      </c>
      <c r="D1613" s="0" t="n">
        <v>0</v>
      </c>
      <c r="E1613" s="0" t="n">
        <f aca="false">VLOOKUP(B1613,'MSA-Lookup'!$H$2:$I$86,2)</f>
        <v>4940</v>
      </c>
      <c r="F1613" s="0" t="n">
        <f aca="false">IF(C1613&gt;1,IF(C1613&lt;99,VLOOKUP(C1613,'MSA-Lookup'!$H$1:$I$86,2),C1613),C1613)</f>
        <v>8720</v>
      </c>
      <c r="G1613" s="0" t="n">
        <f aca="false">VLOOKUP(E1613,'MSA-Lookup'!$AA$1:$AB$25,2)</f>
        <v>4940</v>
      </c>
      <c r="H1613" s="0" t="n">
        <f aca="false">IF(C1613&gt;1,IF(C1613&lt;99,VLOOKUP(F1613,'MSA-Lookup'!$AA$1:$AB$25,2),C1613),C1613)</f>
        <v>7362</v>
      </c>
    </row>
    <row r="1614" customFormat="false" ht="12.75" hidden="false" customHeight="false" outlineLevel="0" collapsed="false">
      <c r="A1614" s="0" t="n">
        <f aca="false">B1614*1000+C1614</f>
        <v>30017</v>
      </c>
      <c r="B1614" s="0" t="n">
        <v>30</v>
      </c>
      <c r="C1614" s="0" t="n">
        <v>17</v>
      </c>
      <c r="D1614" s="0" t="n">
        <v>0</v>
      </c>
      <c r="E1614" s="0" t="n">
        <f aca="false">VLOOKUP(B1614,'MSA-Lookup'!$H$2:$I$86,2)</f>
        <v>4940</v>
      </c>
      <c r="F1614" s="0" t="n">
        <f aca="false">IF(C1614&gt;1,IF(C1614&lt;99,VLOOKUP(C1614,'MSA-Lookup'!$H$1:$I$86,2),C1614),C1614)</f>
        <v>5775</v>
      </c>
      <c r="G1614" s="0" t="n">
        <f aca="false">VLOOKUP(E1614,'MSA-Lookup'!$AA$1:$AB$25,2)</f>
        <v>4940</v>
      </c>
      <c r="H1614" s="0" t="n">
        <f aca="false">IF(C1614&gt;1,IF(C1614&lt;99,VLOOKUP(F1614,'MSA-Lookup'!$AA$1:$AB$25,2),C1614),C1614)</f>
        <v>7362</v>
      </c>
    </row>
    <row r="1615" customFormat="false" ht="12.75" hidden="false" customHeight="false" outlineLevel="0" collapsed="false">
      <c r="A1615" s="0" t="n">
        <f aca="false">B1615*1000+C1615</f>
        <v>30018</v>
      </c>
      <c r="B1615" s="0" t="n">
        <v>30</v>
      </c>
      <c r="C1615" s="0" t="n">
        <v>18</v>
      </c>
      <c r="D1615" s="0" t="n">
        <v>0</v>
      </c>
      <c r="E1615" s="0" t="n">
        <f aca="false">VLOOKUP(B1615,'MSA-Lookup'!$H$2:$I$86,2)</f>
        <v>4940</v>
      </c>
      <c r="F1615" s="0" t="n">
        <f aca="false">IF(C1615&gt;1,IF(C1615&lt;99,VLOOKUP(C1615,'MSA-Lookup'!$H$1:$I$86,2),C1615),C1615)</f>
        <v>5775</v>
      </c>
      <c r="G1615" s="0" t="n">
        <f aca="false">VLOOKUP(E1615,'MSA-Lookup'!$AA$1:$AB$25,2)</f>
        <v>4940</v>
      </c>
      <c r="H1615" s="0" t="n">
        <f aca="false">IF(C1615&gt;1,IF(C1615&lt;99,VLOOKUP(F1615,'MSA-Lookup'!$AA$1:$AB$25,2),C1615),C1615)</f>
        <v>7362</v>
      </c>
    </row>
    <row r="1616" customFormat="false" ht="12.75" hidden="false" customHeight="false" outlineLevel="0" collapsed="false">
      <c r="A1616" s="0" t="n">
        <f aca="false">B1616*1000+C1616</f>
        <v>30019</v>
      </c>
      <c r="B1616" s="0" t="n">
        <v>30</v>
      </c>
      <c r="C1616" s="0" t="n">
        <v>19</v>
      </c>
      <c r="D1616" s="0" t="n">
        <v>182</v>
      </c>
      <c r="E1616" s="0" t="n">
        <f aca="false">VLOOKUP(B1616,'MSA-Lookup'!$H$2:$I$86,2)</f>
        <v>4940</v>
      </c>
      <c r="F1616" s="0" t="n">
        <f aca="false">IF(C1616&gt;1,IF(C1616&lt;99,VLOOKUP(C1616,'MSA-Lookup'!$H$1:$I$86,2),C1616),C1616)</f>
        <v>7360</v>
      </c>
      <c r="G1616" s="0" t="n">
        <f aca="false">VLOOKUP(E1616,'MSA-Lookup'!$AA$1:$AB$25,2)</f>
        <v>4940</v>
      </c>
      <c r="H1616" s="0" t="n">
        <f aca="false">IF(C1616&gt;1,IF(C1616&lt;99,VLOOKUP(F1616,'MSA-Lookup'!$AA$1:$AB$25,2),C1616),C1616)</f>
        <v>7362</v>
      </c>
    </row>
    <row r="1617" customFormat="false" ht="12.75" hidden="false" customHeight="false" outlineLevel="0" collapsed="false">
      <c r="A1617" s="0" t="n">
        <f aca="false">B1617*1000+C1617</f>
        <v>30020</v>
      </c>
      <c r="B1617" s="0" t="n">
        <v>30</v>
      </c>
      <c r="C1617" s="0" t="n">
        <v>20</v>
      </c>
      <c r="D1617" s="0" t="n">
        <v>0</v>
      </c>
      <c r="E1617" s="0" t="n">
        <f aca="false">VLOOKUP(B1617,'MSA-Lookup'!$H$2:$I$86,2)</f>
        <v>4940</v>
      </c>
      <c r="F1617" s="0" t="n">
        <f aca="false">IF(C1617&gt;1,IF(C1617&lt;99,VLOOKUP(C1617,'MSA-Lookup'!$H$1:$I$86,2),C1617),C1617)</f>
        <v>5775</v>
      </c>
      <c r="G1617" s="0" t="n">
        <f aca="false">VLOOKUP(E1617,'MSA-Lookup'!$AA$1:$AB$25,2)</f>
        <v>4940</v>
      </c>
      <c r="H1617" s="0" t="n">
        <f aca="false">IF(C1617&gt;1,IF(C1617&lt;99,VLOOKUP(F1617,'MSA-Lookup'!$AA$1:$AB$25,2),C1617),C1617)</f>
        <v>7362</v>
      </c>
    </row>
    <row r="1618" customFormat="false" ht="12.75" hidden="false" customHeight="false" outlineLevel="0" collapsed="false">
      <c r="A1618" s="0" t="n">
        <f aca="false">B1618*1000+C1618</f>
        <v>30021</v>
      </c>
      <c r="B1618" s="0" t="n">
        <v>30</v>
      </c>
      <c r="C1618" s="0" t="n">
        <v>21</v>
      </c>
      <c r="D1618" s="0" t="n">
        <v>52</v>
      </c>
      <c r="E1618" s="0" t="n">
        <f aca="false">VLOOKUP(B1618,'MSA-Lookup'!$H$2:$I$86,2)</f>
        <v>4940</v>
      </c>
      <c r="F1618" s="0" t="n">
        <f aca="false">IF(C1618&gt;1,IF(C1618&lt;99,VLOOKUP(C1618,'MSA-Lookup'!$H$1:$I$86,2),C1618),C1618)</f>
        <v>5775</v>
      </c>
      <c r="G1618" s="0" t="n">
        <f aca="false">VLOOKUP(E1618,'MSA-Lookup'!$AA$1:$AB$25,2)</f>
        <v>4940</v>
      </c>
      <c r="H1618" s="0" t="n">
        <f aca="false">IF(C1618&gt;1,IF(C1618&lt;99,VLOOKUP(F1618,'MSA-Lookup'!$AA$1:$AB$25,2),C1618),C1618)</f>
        <v>7362</v>
      </c>
    </row>
    <row r="1619" customFormat="false" ht="12.75" hidden="false" customHeight="false" outlineLevel="0" collapsed="false">
      <c r="A1619" s="0" t="n">
        <f aca="false">B1619*1000+C1619</f>
        <v>30022</v>
      </c>
      <c r="B1619" s="0" t="n">
        <v>30</v>
      </c>
      <c r="C1619" s="0" t="n">
        <v>22</v>
      </c>
      <c r="D1619" s="0" t="n">
        <v>0</v>
      </c>
      <c r="E1619" s="0" t="n">
        <f aca="false">VLOOKUP(B1619,'MSA-Lookup'!$H$2:$I$86,2)</f>
        <v>4940</v>
      </c>
      <c r="F1619" s="0" t="n">
        <f aca="false">IF(C1619&gt;1,IF(C1619&lt;99,VLOOKUP(C1619,'MSA-Lookup'!$H$1:$I$86,2),C1619),C1619)</f>
        <v>7360</v>
      </c>
      <c r="G1619" s="0" t="n">
        <f aca="false">VLOOKUP(E1619,'MSA-Lookup'!$AA$1:$AB$25,2)</f>
        <v>4940</v>
      </c>
      <c r="H1619" s="0" t="n">
        <f aca="false">IF(C1619&gt;1,IF(C1619&lt;99,VLOOKUP(F1619,'MSA-Lookup'!$AA$1:$AB$25,2),C1619),C1619)</f>
        <v>7362</v>
      </c>
    </row>
    <row r="1620" customFormat="false" ht="12.75" hidden="false" customHeight="false" outlineLevel="0" collapsed="false">
      <c r="A1620" s="0" t="n">
        <f aca="false">B1620*1000+C1620</f>
        <v>30023</v>
      </c>
      <c r="B1620" s="0" t="n">
        <v>30</v>
      </c>
      <c r="C1620" s="0" t="n">
        <v>23</v>
      </c>
      <c r="D1620" s="0" t="n">
        <v>117</v>
      </c>
      <c r="E1620" s="0" t="n">
        <f aca="false">VLOOKUP(B1620,'MSA-Lookup'!$H$2:$I$86,2)</f>
        <v>4940</v>
      </c>
      <c r="F1620" s="0" t="n">
        <f aca="false">IF(C1620&gt;1,IF(C1620&lt;99,VLOOKUP(C1620,'MSA-Lookup'!$H$1:$I$86,2),C1620),C1620)</f>
        <v>8120</v>
      </c>
      <c r="G1620" s="0" t="n">
        <f aca="false">VLOOKUP(E1620,'MSA-Lookup'!$AA$1:$AB$25,2)</f>
        <v>4940</v>
      </c>
      <c r="H1620" s="0" t="n">
        <f aca="false">IF(C1620&gt;1,IF(C1620&lt;99,VLOOKUP(F1620,'MSA-Lookup'!$AA$1:$AB$25,2),C1620),C1620)</f>
        <v>8120</v>
      </c>
    </row>
    <row r="1621" customFormat="false" ht="12.75" hidden="false" customHeight="false" outlineLevel="0" collapsed="false">
      <c r="A1621" s="0" t="n">
        <f aca="false">B1621*1000+C1621</f>
        <v>30024</v>
      </c>
      <c r="B1621" s="0" t="n">
        <v>30</v>
      </c>
      <c r="C1621" s="0" t="n">
        <v>24</v>
      </c>
      <c r="D1621" s="0" t="n">
        <v>1053</v>
      </c>
      <c r="E1621" s="0" t="n">
        <f aca="false">VLOOKUP(B1621,'MSA-Lookup'!$H$2:$I$86,2)</f>
        <v>4940</v>
      </c>
      <c r="F1621" s="0" t="n">
        <f aca="false">IF(C1621&gt;1,IF(C1621&lt;99,VLOOKUP(C1621,'MSA-Lookup'!$H$1:$I$86,2),C1621),C1621)</f>
        <v>5170</v>
      </c>
      <c r="G1621" s="0" t="n">
        <f aca="false">VLOOKUP(E1621,'MSA-Lookup'!$AA$1:$AB$25,2)</f>
        <v>4940</v>
      </c>
      <c r="H1621" s="0" t="n">
        <f aca="false">IF(C1621&gt;1,IF(C1621&lt;99,VLOOKUP(F1621,'MSA-Lookup'!$AA$1:$AB$25,2),C1621),C1621)</f>
        <v>5170</v>
      </c>
    </row>
    <row r="1622" customFormat="false" ht="12.75" hidden="false" customHeight="false" outlineLevel="0" collapsed="false">
      <c r="A1622" s="0" t="n">
        <f aca="false">B1622*1000+C1622</f>
        <v>30025</v>
      </c>
      <c r="B1622" s="0" t="n">
        <v>30</v>
      </c>
      <c r="C1622" s="0" t="n">
        <v>25</v>
      </c>
      <c r="D1622" s="0" t="n">
        <v>4095</v>
      </c>
      <c r="E1622" s="0" t="n">
        <f aca="false">VLOOKUP(B1622,'MSA-Lookup'!$H$2:$I$86,2)</f>
        <v>4940</v>
      </c>
      <c r="F1622" s="0" t="n">
        <f aca="false">IF(C1622&gt;1,IF(C1622&lt;99,VLOOKUP(C1622,'MSA-Lookup'!$H$1:$I$86,2),C1622),C1622)</f>
        <v>5170</v>
      </c>
      <c r="G1622" s="0" t="n">
        <f aca="false">VLOOKUP(E1622,'MSA-Lookup'!$AA$1:$AB$25,2)</f>
        <v>4940</v>
      </c>
      <c r="H1622" s="0" t="n">
        <f aca="false">IF(C1622&gt;1,IF(C1622&lt;99,VLOOKUP(F1622,'MSA-Lookup'!$AA$1:$AB$25,2),C1622),C1622)</f>
        <v>5170</v>
      </c>
    </row>
    <row r="1623" customFormat="false" ht="12.75" hidden="false" customHeight="false" outlineLevel="0" collapsed="false">
      <c r="A1623" s="0" t="n">
        <f aca="false">B1623*1000+C1623</f>
        <v>30026</v>
      </c>
      <c r="B1623" s="0" t="n">
        <v>30</v>
      </c>
      <c r="C1623" s="0" t="n">
        <v>26</v>
      </c>
      <c r="D1623" s="0" t="n">
        <v>0</v>
      </c>
      <c r="E1623" s="0" t="n">
        <f aca="false">VLOOKUP(B1623,'MSA-Lookup'!$H$2:$I$86,2)</f>
        <v>4940</v>
      </c>
      <c r="F1623" s="0" t="n">
        <f aca="false">IF(C1623&gt;1,IF(C1623&lt;99,VLOOKUP(C1623,'MSA-Lookup'!$H$1:$I$86,2),C1623),C1623)</f>
        <v>9999</v>
      </c>
      <c r="G1623" s="0" t="n">
        <f aca="false">VLOOKUP(E1623,'MSA-Lookup'!$AA$1:$AB$25,2)</f>
        <v>4940</v>
      </c>
      <c r="H1623" s="0" t="n">
        <f aca="false">IF(C1623&gt;1,IF(C1623&lt;99,VLOOKUP(F1623,'MSA-Lookup'!$AA$1:$AB$25,2),C1623),C1623)</f>
        <v>9999</v>
      </c>
    </row>
    <row r="1624" customFormat="false" ht="12.75" hidden="false" customHeight="false" outlineLevel="0" collapsed="false">
      <c r="A1624" s="0" t="n">
        <f aca="false">B1624*1000+C1624</f>
        <v>30027</v>
      </c>
      <c r="B1624" s="0" t="n">
        <v>30</v>
      </c>
      <c r="C1624" s="0" t="n">
        <v>27</v>
      </c>
      <c r="D1624" s="0" t="n">
        <v>1261</v>
      </c>
      <c r="E1624" s="0" t="n">
        <f aca="false">VLOOKUP(B1624,'MSA-Lookup'!$H$2:$I$86,2)</f>
        <v>4940</v>
      </c>
      <c r="F1624" s="0" t="n">
        <f aca="false">IF(C1624&gt;1,IF(C1624&lt;99,VLOOKUP(C1624,'MSA-Lookup'!$H$1:$I$86,2),C1624),C1624)</f>
        <v>9999</v>
      </c>
      <c r="G1624" s="0" t="n">
        <f aca="false">VLOOKUP(E1624,'MSA-Lookup'!$AA$1:$AB$25,2)</f>
        <v>4940</v>
      </c>
      <c r="H1624" s="0" t="n">
        <f aca="false">IF(C1624&gt;1,IF(C1624&lt;99,VLOOKUP(F1624,'MSA-Lookup'!$AA$1:$AB$25,2),C1624),C1624)</f>
        <v>9999</v>
      </c>
    </row>
    <row r="1625" customFormat="false" ht="12.75" hidden="false" customHeight="false" outlineLevel="0" collapsed="false">
      <c r="A1625" s="0" t="n">
        <f aca="false">B1625*1000+C1625</f>
        <v>30028</v>
      </c>
      <c r="B1625" s="0" t="n">
        <v>30</v>
      </c>
      <c r="C1625" s="0" t="n">
        <v>28</v>
      </c>
      <c r="D1625" s="0" t="n">
        <v>0</v>
      </c>
      <c r="E1625" s="0" t="n">
        <f aca="false">VLOOKUP(B1625,'MSA-Lookup'!$H$2:$I$86,2)</f>
        <v>4940</v>
      </c>
      <c r="F1625" s="0" t="n">
        <f aca="false">IF(C1625&gt;1,IF(C1625&lt;99,VLOOKUP(C1625,'MSA-Lookup'!$H$1:$I$86,2),C1625),C1625)</f>
        <v>6920</v>
      </c>
      <c r="G1625" s="0" t="n">
        <f aca="false">VLOOKUP(E1625,'MSA-Lookup'!$AA$1:$AB$25,2)</f>
        <v>4940</v>
      </c>
      <c r="H1625" s="0" t="n">
        <f aca="false">IF(C1625&gt;1,IF(C1625&lt;99,VLOOKUP(F1625,'MSA-Lookup'!$AA$1:$AB$25,2),C1625),C1625)</f>
        <v>6920</v>
      </c>
    </row>
    <row r="1626" customFormat="false" ht="12.75" hidden="false" customHeight="false" outlineLevel="0" collapsed="false">
      <c r="A1626" s="0" t="n">
        <f aca="false">B1626*1000+C1626</f>
        <v>30029</v>
      </c>
      <c r="B1626" s="0" t="n">
        <v>30</v>
      </c>
      <c r="C1626" s="0" t="n">
        <v>29</v>
      </c>
      <c r="D1626" s="0" t="n">
        <v>0</v>
      </c>
      <c r="E1626" s="0" t="n">
        <f aca="false">VLOOKUP(B1626,'MSA-Lookup'!$H$2:$I$86,2)</f>
        <v>4940</v>
      </c>
      <c r="F1626" s="0" t="n">
        <f aca="false">IF(C1626&gt;1,IF(C1626&lt;99,VLOOKUP(C1626,'MSA-Lookup'!$H$1:$I$86,2),C1626),C1626)</f>
        <v>6920</v>
      </c>
      <c r="G1626" s="0" t="n">
        <f aca="false">VLOOKUP(E1626,'MSA-Lookup'!$AA$1:$AB$25,2)</f>
        <v>4940</v>
      </c>
      <c r="H1626" s="0" t="n">
        <f aca="false">IF(C1626&gt;1,IF(C1626&lt;99,VLOOKUP(F1626,'MSA-Lookup'!$AA$1:$AB$25,2),C1626),C1626)</f>
        <v>6920</v>
      </c>
    </row>
    <row r="1627" customFormat="false" ht="12.75" hidden="false" customHeight="false" outlineLevel="0" collapsed="false">
      <c r="A1627" s="0" t="n">
        <f aca="false">B1627*1000+C1627</f>
        <v>30030</v>
      </c>
      <c r="B1627" s="0" t="n">
        <v>30</v>
      </c>
      <c r="C1627" s="0" t="n">
        <v>30</v>
      </c>
      <c r="D1627" s="0" t="n">
        <v>59956</v>
      </c>
      <c r="E1627" s="0" t="n">
        <f aca="false">VLOOKUP(B1627,'MSA-Lookup'!$H$2:$I$86,2)</f>
        <v>4940</v>
      </c>
      <c r="F1627" s="0" t="n">
        <f aca="false">IF(C1627&gt;1,IF(C1627&lt;99,VLOOKUP(C1627,'MSA-Lookup'!$H$1:$I$86,2),C1627),C1627)</f>
        <v>4940</v>
      </c>
      <c r="G1627" s="0" t="n">
        <f aca="false">VLOOKUP(E1627,'MSA-Lookup'!$AA$1:$AB$25,2)</f>
        <v>4940</v>
      </c>
      <c r="H1627" s="0" t="n">
        <f aca="false">IF(C1627&gt;1,IF(C1627&lt;99,VLOOKUP(F1627,'MSA-Lookup'!$AA$1:$AB$25,2),C1627),C1627)</f>
        <v>4940</v>
      </c>
    </row>
    <row r="1628" customFormat="false" ht="12.75" hidden="false" customHeight="false" outlineLevel="0" collapsed="false">
      <c r="A1628" s="0" t="n">
        <f aca="false">B1628*1000+C1628</f>
        <v>30031</v>
      </c>
      <c r="B1628" s="0" t="n">
        <v>30</v>
      </c>
      <c r="C1628" s="0" t="n">
        <v>31</v>
      </c>
      <c r="D1628" s="0" t="n">
        <v>195</v>
      </c>
      <c r="E1628" s="0" t="n">
        <f aca="false">VLOOKUP(B1628,'MSA-Lookup'!$H$2:$I$86,2)</f>
        <v>4940</v>
      </c>
      <c r="F1628" s="0" t="n">
        <f aca="false">IF(C1628&gt;1,IF(C1628&lt;99,VLOOKUP(C1628,'MSA-Lookup'!$H$1:$I$86,2),C1628),C1628)</f>
        <v>9999</v>
      </c>
      <c r="G1628" s="0" t="n">
        <f aca="false">VLOOKUP(E1628,'MSA-Lookup'!$AA$1:$AB$25,2)</f>
        <v>4940</v>
      </c>
      <c r="H1628" s="0" t="n">
        <f aca="false">IF(C1628&gt;1,IF(C1628&lt;99,VLOOKUP(F1628,'MSA-Lookup'!$AA$1:$AB$25,2),C1628),C1628)</f>
        <v>9999</v>
      </c>
    </row>
    <row r="1629" customFormat="false" ht="12.75" hidden="false" customHeight="false" outlineLevel="0" collapsed="false">
      <c r="A1629" s="0" t="n">
        <f aca="false">B1629*1000+C1629</f>
        <v>30032</v>
      </c>
      <c r="B1629" s="0" t="n">
        <v>30</v>
      </c>
      <c r="C1629" s="0" t="n">
        <v>32</v>
      </c>
      <c r="D1629" s="0" t="n">
        <v>0</v>
      </c>
      <c r="E1629" s="0" t="n">
        <f aca="false">VLOOKUP(B1629,'MSA-Lookup'!$H$2:$I$86,2)</f>
        <v>4940</v>
      </c>
      <c r="F1629" s="0" t="n">
        <f aca="false">IF(C1629&gt;1,IF(C1629&lt;99,VLOOKUP(C1629,'MSA-Lookup'!$H$1:$I$86,2),C1629),C1629)</f>
        <v>7480</v>
      </c>
      <c r="G1629" s="0" t="n">
        <f aca="false">VLOOKUP(E1629,'MSA-Lookup'!$AA$1:$AB$25,2)</f>
        <v>4940</v>
      </c>
      <c r="H1629" s="0" t="n">
        <f aca="false">IF(C1629&gt;1,IF(C1629&lt;99,VLOOKUP(F1629,'MSA-Lookup'!$AA$1:$AB$25,2),C1629),C1629)</f>
        <v>7480</v>
      </c>
    </row>
    <row r="1630" customFormat="false" ht="12.75" hidden="false" customHeight="false" outlineLevel="0" collapsed="false">
      <c r="A1630" s="0" t="n">
        <f aca="false">B1630*1000+C1630</f>
        <v>30033</v>
      </c>
      <c r="B1630" s="0" t="n">
        <v>30</v>
      </c>
      <c r="C1630" s="0" t="n">
        <v>33</v>
      </c>
      <c r="D1630" s="0" t="n">
        <v>0</v>
      </c>
      <c r="E1630" s="0" t="n">
        <f aca="false">VLOOKUP(B1630,'MSA-Lookup'!$H$2:$I$86,2)</f>
        <v>4940</v>
      </c>
      <c r="F1630" s="0" t="n">
        <f aca="false">IF(C1630&gt;1,IF(C1630&lt;99,VLOOKUP(C1630,'MSA-Lookup'!$H$1:$I$86,2),C1630),C1630)</f>
        <v>7320</v>
      </c>
      <c r="G1630" s="0" t="n">
        <f aca="false">VLOOKUP(E1630,'MSA-Lookup'!$AA$1:$AB$25,2)</f>
        <v>4940</v>
      </c>
      <c r="H1630" s="0" t="n">
        <f aca="false">IF(C1630&gt;1,IF(C1630&lt;99,VLOOKUP(F1630,'MSA-Lookup'!$AA$1:$AB$25,2),C1630),C1630)</f>
        <v>7320</v>
      </c>
    </row>
    <row r="1631" customFormat="false" ht="12.75" hidden="false" customHeight="false" outlineLevel="0" collapsed="false">
      <c r="A1631" s="0" t="n">
        <f aca="false">B1631*1000+C1631</f>
        <v>30034</v>
      </c>
      <c r="B1631" s="0" t="n">
        <v>30</v>
      </c>
      <c r="C1631" s="0" t="n">
        <v>34</v>
      </c>
      <c r="D1631" s="0" t="n">
        <v>0</v>
      </c>
      <c r="E1631" s="0" t="n">
        <f aca="false">VLOOKUP(B1631,'MSA-Lookup'!$H$2:$I$86,2)</f>
        <v>4940</v>
      </c>
      <c r="F1631" s="0" t="n">
        <f aca="false">IF(C1631&gt;1,IF(C1631&lt;99,VLOOKUP(C1631,'MSA-Lookup'!$H$1:$I$86,2),C1631),C1631)</f>
        <v>7320</v>
      </c>
      <c r="G1631" s="0" t="n">
        <f aca="false">VLOOKUP(E1631,'MSA-Lookup'!$AA$1:$AB$25,2)</f>
        <v>4940</v>
      </c>
      <c r="H1631" s="0" t="n">
        <f aca="false">IF(C1631&gt;1,IF(C1631&lt;99,VLOOKUP(F1631,'MSA-Lookup'!$AA$1:$AB$25,2),C1631),C1631)</f>
        <v>7320</v>
      </c>
    </row>
    <row r="1632" customFormat="false" ht="12.75" hidden="false" customHeight="false" outlineLevel="0" collapsed="false">
      <c r="A1632" s="0" t="n">
        <f aca="false">B1632*1000+C1632</f>
        <v>30035</v>
      </c>
      <c r="B1632" s="0" t="n">
        <v>30</v>
      </c>
      <c r="C1632" s="0" t="n">
        <v>35</v>
      </c>
      <c r="D1632" s="0" t="n">
        <v>0</v>
      </c>
      <c r="E1632" s="0" t="n">
        <f aca="false">VLOOKUP(B1632,'MSA-Lookup'!$H$2:$I$86,2)</f>
        <v>4940</v>
      </c>
      <c r="F1632" s="0" t="n">
        <f aca="false">IF(C1632&gt;1,IF(C1632&lt;99,VLOOKUP(C1632,'MSA-Lookup'!$H$1:$I$86,2),C1632),C1632)</f>
        <v>7320</v>
      </c>
      <c r="G1632" s="0" t="n">
        <f aca="false">VLOOKUP(E1632,'MSA-Lookup'!$AA$1:$AB$25,2)</f>
        <v>4940</v>
      </c>
      <c r="H1632" s="0" t="n">
        <f aca="false">IF(C1632&gt;1,IF(C1632&lt;99,VLOOKUP(F1632,'MSA-Lookup'!$AA$1:$AB$25,2),C1632),C1632)</f>
        <v>7320</v>
      </c>
    </row>
    <row r="1633" customFormat="false" ht="12.75" hidden="false" customHeight="false" outlineLevel="0" collapsed="false">
      <c r="A1633" s="0" t="n">
        <f aca="false">B1633*1000+C1633</f>
        <v>30037</v>
      </c>
      <c r="B1633" s="0" t="n">
        <v>30</v>
      </c>
      <c r="C1633" s="0" t="n">
        <v>37</v>
      </c>
      <c r="D1633" s="0" t="n">
        <v>0</v>
      </c>
      <c r="E1633" s="0" t="n">
        <f aca="false">VLOOKUP(B1633,'MSA-Lookup'!$H$2:$I$86,2)</f>
        <v>4940</v>
      </c>
      <c r="F1633" s="0" t="n">
        <f aca="false">IF(C1633&gt;1,IF(C1633&lt;99,VLOOKUP(C1633,'MSA-Lookup'!$H$1:$I$86,2),C1633),C1633)</f>
        <v>7320</v>
      </c>
      <c r="G1633" s="0" t="n">
        <f aca="false">VLOOKUP(E1633,'MSA-Lookup'!$AA$1:$AB$25,2)</f>
        <v>4940</v>
      </c>
      <c r="H1633" s="0" t="n">
        <f aca="false">IF(C1633&gt;1,IF(C1633&lt;99,VLOOKUP(F1633,'MSA-Lookup'!$AA$1:$AB$25,2),C1633),C1633)</f>
        <v>7320</v>
      </c>
    </row>
    <row r="1634" customFormat="false" ht="12.75" hidden="false" customHeight="false" outlineLevel="0" collapsed="false">
      <c r="A1634" s="0" t="n">
        <f aca="false">B1634*1000+C1634</f>
        <v>30038</v>
      </c>
      <c r="B1634" s="0" t="n">
        <v>30</v>
      </c>
      <c r="C1634" s="0" t="n">
        <v>38</v>
      </c>
      <c r="D1634" s="0" t="n">
        <v>0</v>
      </c>
      <c r="E1634" s="0" t="n">
        <f aca="false">VLOOKUP(B1634,'MSA-Lookup'!$H$2:$I$86,2)</f>
        <v>4940</v>
      </c>
      <c r="F1634" s="0" t="n">
        <f aca="false">IF(C1634&gt;1,IF(C1634&lt;99,VLOOKUP(C1634,'MSA-Lookup'!$H$1:$I$86,2),C1634),C1634)</f>
        <v>7120</v>
      </c>
      <c r="G1634" s="0" t="n">
        <f aca="false">VLOOKUP(E1634,'MSA-Lookup'!$AA$1:$AB$25,2)</f>
        <v>4940</v>
      </c>
      <c r="H1634" s="0" t="n">
        <f aca="false">IF(C1634&gt;1,IF(C1634&lt;99,VLOOKUP(F1634,'MSA-Lookup'!$AA$1:$AB$25,2),C1634),C1634)</f>
        <v>7120</v>
      </c>
    </row>
    <row r="1635" customFormat="false" ht="12.75" hidden="false" customHeight="false" outlineLevel="0" collapsed="false">
      <c r="A1635" s="0" t="n">
        <f aca="false">B1635*1000+C1635</f>
        <v>30039</v>
      </c>
      <c r="B1635" s="0" t="n">
        <v>30</v>
      </c>
      <c r="C1635" s="0" t="n">
        <v>39</v>
      </c>
      <c r="D1635" s="0" t="n">
        <v>0</v>
      </c>
      <c r="E1635" s="0" t="n">
        <f aca="false">VLOOKUP(B1635,'MSA-Lookup'!$H$2:$I$86,2)</f>
        <v>4940</v>
      </c>
      <c r="F1635" s="0" t="n">
        <f aca="false">IF(C1635&gt;1,IF(C1635&lt;99,VLOOKUP(C1635,'MSA-Lookup'!$H$1:$I$86,2),C1635),C1635)</f>
        <v>7120</v>
      </c>
      <c r="G1635" s="0" t="n">
        <f aca="false">VLOOKUP(E1635,'MSA-Lookup'!$AA$1:$AB$25,2)</f>
        <v>4940</v>
      </c>
      <c r="H1635" s="0" t="n">
        <f aca="false">IF(C1635&gt;1,IF(C1635&lt;99,VLOOKUP(F1635,'MSA-Lookup'!$AA$1:$AB$25,2),C1635),C1635)</f>
        <v>7120</v>
      </c>
    </row>
    <row r="1636" customFormat="false" ht="12.75" hidden="false" customHeight="false" outlineLevel="0" collapsed="false">
      <c r="A1636" s="0" t="n">
        <f aca="false">B1636*1000+C1636</f>
        <v>30040</v>
      </c>
      <c r="B1636" s="0" t="n">
        <v>30</v>
      </c>
      <c r="C1636" s="0" t="n">
        <v>40</v>
      </c>
      <c r="D1636" s="0" t="n">
        <v>286</v>
      </c>
      <c r="E1636" s="0" t="n">
        <f aca="false">VLOOKUP(B1636,'MSA-Lookup'!$H$2:$I$86,2)</f>
        <v>4940</v>
      </c>
      <c r="F1636" s="0" t="n">
        <f aca="false">IF(C1636&gt;1,IF(C1636&lt;99,VLOOKUP(C1636,'MSA-Lookup'!$H$1:$I$86,2),C1636),C1636)</f>
        <v>2840</v>
      </c>
      <c r="G1636" s="0" t="n">
        <f aca="false">VLOOKUP(E1636,'MSA-Lookup'!$AA$1:$AB$25,2)</f>
        <v>4940</v>
      </c>
      <c r="H1636" s="0" t="n">
        <f aca="false">IF(C1636&gt;1,IF(C1636&lt;99,VLOOKUP(F1636,'MSA-Lookup'!$AA$1:$AB$25,2),C1636),C1636)</f>
        <v>2840</v>
      </c>
    </row>
    <row r="1637" customFormat="false" ht="12.75" hidden="false" customHeight="false" outlineLevel="0" collapsed="false">
      <c r="A1637" s="0" t="n">
        <f aca="false">B1637*1000+C1637</f>
        <v>30041</v>
      </c>
      <c r="B1637" s="0" t="n">
        <v>30</v>
      </c>
      <c r="C1637" s="0" t="n">
        <v>41</v>
      </c>
      <c r="D1637" s="0" t="n">
        <v>286</v>
      </c>
      <c r="E1637" s="0" t="n">
        <f aca="false">VLOOKUP(B1637,'MSA-Lookup'!$H$2:$I$86,2)</f>
        <v>4940</v>
      </c>
      <c r="F1637" s="0" t="n">
        <f aca="false">IF(C1637&gt;1,IF(C1637&lt;99,VLOOKUP(C1637,'MSA-Lookup'!$H$1:$I$86,2),C1637),C1637)</f>
        <v>2840</v>
      </c>
      <c r="G1637" s="0" t="n">
        <f aca="false">VLOOKUP(E1637,'MSA-Lookup'!$AA$1:$AB$25,2)</f>
        <v>4940</v>
      </c>
      <c r="H1637" s="0" t="n">
        <f aca="false">IF(C1637&gt;1,IF(C1637&lt;99,VLOOKUP(F1637,'MSA-Lookup'!$AA$1:$AB$25,2),C1637),C1637)</f>
        <v>2840</v>
      </c>
    </row>
    <row r="1638" customFormat="false" ht="12.75" hidden="false" customHeight="false" outlineLevel="0" collapsed="false">
      <c r="A1638" s="0" t="n">
        <f aca="false">B1638*1000+C1638</f>
        <v>30042</v>
      </c>
      <c r="B1638" s="0" t="n">
        <v>30</v>
      </c>
      <c r="C1638" s="0" t="n">
        <v>42</v>
      </c>
      <c r="D1638" s="0" t="n">
        <v>0</v>
      </c>
      <c r="E1638" s="0" t="n">
        <f aca="false">VLOOKUP(B1638,'MSA-Lookup'!$H$2:$I$86,2)</f>
        <v>4940</v>
      </c>
      <c r="F1638" s="0" t="n">
        <f aca="false">IF(C1638&gt;1,IF(C1638&lt;99,VLOOKUP(C1638,'MSA-Lookup'!$H$1:$I$86,2),C1638),C1638)</f>
        <v>360</v>
      </c>
      <c r="G1638" s="0" t="n">
        <f aca="false">VLOOKUP(E1638,'MSA-Lookup'!$AA$1:$AB$25,2)</f>
        <v>4940</v>
      </c>
      <c r="H1638" s="0" t="n">
        <f aca="false">IF(C1638&gt;1,IF(C1638&lt;99,VLOOKUP(F1638,'MSA-Lookup'!$AA$1:$AB$25,2),C1638),C1638)</f>
        <v>4472</v>
      </c>
    </row>
    <row r="1639" customFormat="false" ht="12.75" hidden="false" customHeight="false" outlineLevel="0" collapsed="false">
      <c r="A1639" s="0" t="n">
        <f aca="false">B1639*1000+C1639</f>
        <v>30043</v>
      </c>
      <c r="B1639" s="0" t="n">
        <v>30</v>
      </c>
      <c r="C1639" s="0" t="n">
        <v>43</v>
      </c>
      <c r="D1639" s="0" t="n">
        <v>0</v>
      </c>
      <c r="E1639" s="0" t="n">
        <f aca="false">VLOOKUP(B1639,'MSA-Lookup'!$H$2:$I$86,2)</f>
        <v>4940</v>
      </c>
      <c r="F1639" s="0" t="n">
        <f aca="false">IF(C1639&gt;1,IF(C1639&lt;99,VLOOKUP(C1639,'MSA-Lookup'!$H$1:$I$86,2),C1639),C1639)</f>
        <v>360</v>
      </c>
      <c r="G1639" s="0" t="n">
        <f aca="false">VLOOKUP(E1639,'MSA-Lookup'!$AA$1:$AB$25,2)</f>
        <v>4940</v>
      </c>
      <c r="H1639" s="0" t="n">
        <f aca="false">IF(C1639&gt;1,IF(C1639&lt;99,VLOOKUP(F1639,'MSA-Lookup'!$AA$1:$AB$25,2),C1639),C1639)</f>
        <v>4472</v>
      </c>
    </row>
    <row r="1640" customFormat="false" ht="12.75" hidden="false" customHeight="false" outlineLevel="0" collapsed="false">
      <c r="A1640" s="0" t="n">
        <f aca="false">B1640*1000+C1640</f>
        <v>30046</v>
      </c>
      <c r="B1640" s="0" t="n">
        <v>30</v>
      </c>
      <c r="C1640" s="0" t="n">
        <v>46</v>
      </c>
      <c r="D1640" s="0" t="n">
        <v>0</v>
      </c>
      <c r="E1640" s="0" t="n">
        <f aca="false">VLOOKUP(B1640,'MSA-Lookup'!$H$2:$I$86,2)</f>
        <v>4940</v>
      </c>
      <c r="F1640" s="0" t="n">
        <f aca="false">IF(C1640&gt;1,IF(C1640&lt;99,VLOOKUP(C1640,'MSA-Lookup'!$H$1:$I$86,2),C1640),C1640)</f>
        <v>360</v>
      </c>
      <c r="G1640" s="0" t="n">
        <f aca="false">VLOOKUP(E1640,'MSA-Lookup'!$AA$1:$AB$25,2)</f>
        <v>4940</v>
      </c>
      <c r="H1640" s="0" t="n">
        <f aca="false">IF(C1640&gt;1,IF(C1640&lt;99,VLOOKUP(F1640,'MSA-Lookup'!$AA$1:$AB$25,2),C1640),C1640)</f>
        <v>4472</v>
      </c>
    </row>
    <row r="1641" customFormat="false" ht="12.75" hidden="false" customHeight="false" outlineLevel="0" collapsed="false">
      <c r="A1641" s="0" t="n">
        <f aca="false">B1641*1000+C1641</f>
        <v>30048</v>
      </c>
      <c r="B1641" s="0" t="n">
        <v>30</v>
      </c>
      <c r="C1641" s="0" t="n">
        <v>48</v>
      </c>
      <c r="D1641" s="0" t="n">
        <v>0</v>
      </c>
      <c r="E1641" s="0" t="n">
        <f aca="false">VLOOKUP(B1641,'MSA-Lookup'!$H$2:$I$86,2)</f>
        <v>4940</v>
      </c>
      <c r="F1641" s="0" t="n">
        <f aca="false">IF(C1641&gt;1,IF(C1641&lt;99,VLOOKUP(C1641,'MSA-Lookup'!$H$1:$I$86,2),C1641),C1641)</f>
        <v>360</v>
      </c>
      <c r="G1641" s="0" t="n">
        <f aca="false">VLOOKUP(E1641,'MSA-Lookup'!$AA$1:$AB$25,2)</f>
        <v>4940</v>
      </c>
      <c r="H1641" s="0" t="n">
        <f aca="false">IF(C1641&gt;1,IF(C1641&lt;99,VLOOKUP(F1641,'MSA-Lookup'!$AA$1:$AB$25,2),C1641),C1641)</f>
        <v>4472</v>
      </c>
    </row>
    <row r="1642" customFormat="false" ht="12.75" hidden="false" customHeight="false" outlineLevel="0" collapsed="false">
      <c r="A1642" s="0" t="n">
        <f aca="false">B1642*1000+C1642</f>
        <v>30049</v>
      </c>
      <c r="B1642" s="0" t="n">
        <v>30</v>
      </c>
      <c r="C1642" s="0" t="n">
        <v>49</v>
      </c>
      <c r="D1642" s="0" t="n">
        <v>559</v>
      </c>
      <c r="E1642" s="0" t="n">
        <f aca="false">VLOOKUP(B1642,'MSA-Lookup'!$H$2:$I$86,2)</f>
        <v>4940</v>
      </c>
      <c r="F1642" s="0" t="n">
        <f aca="false">IF(C1642&gt;1,IF(C1642&lt;99,VLOOKUP(C1642,'MSA-Lookup'!$H$1:$I$86,2),C1642),C1642)</f>
        <v>7400</v>
      </c>
      <c r="G1642" s="0" t="n">
        <f aca="false">VLOOKUP(E1642,'MSA-Lookup'!$AA$1:$AB$25,2)</f>
        <v>4940</v>
      </c>
      <c r="H1642" s="0" t="n">
        <f aca="false">IF(C1642&gt;1,IF(C1642&lt;99,VLOOKUP(F1642,'MSA-Lookup'!$AA$1:$AB$25,2),C1642),C1642)</f>
        <v>7362</v>
      </c>
    </row>
    <row r="1643" customFormat="false" ht="12.75" hidden="false" customHeight="false" outlineLevel="0" collapsed="false">
      <c r="A1643" s="0" t="n">
        <f aca="false">B1643*1000+C1643</f>
        <v>30050</v>
      </c>
      <c r="B1643" s="0" t="n">
        <v>30</v>
      </c>
      <c r="C1643" s="0" t="n">
        <v>50</v>
      </c>
      <c r="D1643" s="0" t="n">
        <v>0</v>
      </c>
      <c r="E1643" s="0" t="n">
        <f aca="false">VLOOKUP(B1643,'MSA-Lookup'!$H$2:$I$86,2)</f>
        <v>4940</v>
      </c>
      <c r="F1643" s="0" t="n">
        <f aca="false">IF(C1643&gt;1,IF(C1643&lt;99,VLOOKUP(C1643,'MSA-Lookup'!$H$1:$I$86,2),C1643),C1643)</f>
        <v>7400</v>
      </c>
      <c r="G1643" s="0" t="n">
        <f aca="false">VLOOKUP(E1643,'MSA-Lookup'!$AA$1:$AB$25,2)</f>
        <v>4940</v>
      </c>
      <c r="H1643" s="0" t="n">
        <f aca="false">IF(C1643&gt;1,IF(C1643&lt;99,VLOOKUP(F1643,'MSA-Lookup'!$AA$1:$AB$25,2),C1643),C1643)</f>
        <v>7362</v>
      </c>
    </row>
    <row r="1644" customFormat="false" ht="12.75" hidden="false" customHeight="false" outlineLevel="0" collapsed="false">
      <c r="A1644" s="0" t="n">
        <f aca="false">B1644*1000+C1644</f>
        <v>30051</v>
      </c>
      <c r="B1644" s="0" t="n">
        <v>30</v>
      </c>
      <c r="C1644" s="0" t="n">
        <v>51</v>
      </c>
      <c r="D1644" s="0" t="n">
        <v>390</v>
      </c>
      <c r="E1644" s="0" t="n">
        <f aca="false">VLOOKUP(B1644,'MSA-Lookup'!$H$2:$I$86,2)</f>
        <v>4940</v>
      </c>
      <c r="F1644" s="0" t="n">
        <f aca="false">IF(C1644&gt;1,IF(C1644&lt;99,VLOOKUP(C1644,'MSA-Lookup'!$H$1:$I$86,2),C1644),C1644)</f>
        <v>7400</v>
      </c>
      <c r="G1644" s="0" t="n">
        <f aca="false">VLOOKUP(E1644,'MSA-Lookup'!$AA$1:$AB$25,2)</f>
        <v>4940</v>
      </c>
      <c r="H1644" s="0" t="n">
        <f aca="false">IF(C1644&gt;1,IF(C1644&lt;99,VLOOKUP(F1644,'MSA-Lookup'!$AA$1:$AB$25,2),C1644),C1644)</f>
        <v>7362</v>
      </c>
    </row>
    <row r="1645" customFormat="false" ht="12.75" hidden="false" customHeight="false" outlineLevel="0" collapsed="false">
      <c r="A1645" s="0" t="n">
        <f aca="false">B1645*1000+C1645</f>
        <v>30052</v>
      </c>
      <c r="B1645" s="0" t="n">
        <v>30</v>
      </c>
      <c r="C1645" s="0" t="n">
        <v>52</v>
      </c>
      <c r="D1645" s="0" t="n">
        <v>0</v>
      </c>
      <c r="E1645" s="0" t="n">
        <f aca="false">VLOOKUP(B1645,'MSA-Lookup'!$H$2:$I$86,2)</f>
        <v>4940</v>
      </c>
      <c r="F1645" s="0" t="n">
        <f aca="false">IF(C1645&gt;1,IF(C1645&lt;99,VLOOKUP(C1645,'MSA-Lookup'!$H$1:$I$86,2),C1645),C1645)</f>
        <v>4480</v>
      </c>
      <c r="G1645" s="0" t="n">
        <f aca="false">VLOOKUP(E1645,'MSA-Lookup'!$AA$1:$AB$25,2)</f>
        <v>4940</v>
      </c>
      <c r="H1645" s="0" t="n">
        <f aca="false">IF(C1645&gt;1,IF(C1645&lt;99,VLOOKUP(F1645,'MSA-Lookup'!$AA$1:$AB$25,2),C1645),C1645)</f>
        <v>4472</v>
      </c>
    </row>
    <row r="1646" customFormat="false" ht="12.75" hidden="false" customHeight="false" outlineLevel="0" collapsed="false">
      <c r="A1646" s="0" t="n">
        <f aca="false">B1646*1000+C1646</f>
        <v>30053</v>
      </c>
      <c r="B1646" s="0" t="n">
        <v>30</v>
      </c>
      <c r="C1646" s="0" t="n">
        <v>53</v>
      </c>
      <c r="D1646" s="0" t="n">
        <v>0</v>
      </c>
      <c r="E1646" s="0" t="n">
        <f aca="false">VLOOKUP(B1646,'MSA-Lookup'!$H$2:$I$86,2)</f>
        <v>4940</v>
      </c>
      <c r="F1646" s="0" t="n">
        <f aca="false">IF(C1646&gt;1,IF(C1646&lt;99,VLOOKUP(C1646,'MSA-Lookup'!$H$1:$I$86,2),C1646),C1646)</f>
        <v>4480</v>
      </c>
      <c r="G1646" s="0" t="n">
        <f aca="false">VLOOKUP(E1646,'MSA-Lookup'!$AA$1:$AB$25,2)</f>
        <v>4940</v>
      </c>
      <c r="H1646" s="0" t="n">
        <f aca="false">IF(C1646&gt;1,IF(C1646&lt;99,VLOOKUP(F1646,'MSA-Lookup'!$AA$1:$AB$25,2),C1646),C1646)</f>
        <v>4472</v>
      </c>
    </row>
    <row r="1647" customFormat="false" ht="12.75" hidden="false" customHeight="false" outlineLevel="0" collapsed="false">
      <c r="A1647" s="0" t="n">
        <f aca="false">B1647*1000+C1647</f>
        <v>30054</v>
      </c>
      <c r="B1647" s="0" t="n">
        <v>30</v>
      </c>
      <c r="C1647" s="0" t="n">
        <v>54</v>
      </c>
      <c r="D1647" s="0" t="n">
        <v>0</v>
      </c>
      <c r="E1647" s="0" t="n">
        <f aca="false">VLOOKUP(B1647,'MSA-Lookup'!$H$2:$I$86,2)</f>
        <v>4940</v>
      </c>
      <c r="F1647" s="0" t="n">
        <f aca="false">IF(C1647&gt;1,IF(C1647&lt;99,VLOOKUP(C1647,'MSA-Lookup'!$H$1:$I$86,2),C1647),C1647)</f>
        <v>4480</v>
      </c>
      <c r="G1647" s="0" t="n">
        <f aca="false">VLOOKUP(E1647,'MSA-Lookup'!$AA$1:$AB$25,2)</f>
        <v>4940</v>
      </c>
      <c r="H1647" s="0" t="n">
        <f aca="false">IF(C1647&gt;1,IF(C1647&lt;99,VLOOKUP(F1647,'MSA-Lookup'!$AA$1:$AB$25,2),C1647),C1647)</f>
        <v>4472</v>
      </c>
    </row>
    <row r="1648" customFormat="false" ht="12.75" hidden="false" customHeight="false" outlineLevel="0" collapsed="false">
      <c r="A1648" s="0" t="n">
        <f aca="false">B1648*1000+C1648</f>
        <v>30055</v>
      </c>
      <c r="B1648" s="0" t="n">
        <v>30</v>
      </c>
      <c r="C1648" s="0" t="n">
        <v>55</v>
      </c>
      <c r="D1648" s="0" t="n">
        <v>0</v>
      </c>
      <c r="E1648" s="0" t="n">
        <f aca="false">VLOOKUP(B1648,'MSA-Lookup'!$H$2:$I$86,2)</f>
        <v>4940</v>
      </c>
      <c r="F1648" s="0" t="n">
        <f aca="false">IF(C1648&gt;1,IF(C1648&lt;99,VLOOKUP(C1648,'MSA-Lookup'!$H$1:$I$86,2),C1648),C1648)</f>
        <v>4480</v>
      </c>
      <c r="G1648" s="0" t="n">
        <f aca="false">VLOOKUP(E1648,'MSA-Lookup'!$AA$1:$AB$25,2)</f>
        <v>4940</v>
      </c>
      <c r="H1648" s="0" t="n">
        <f aca="false">IF(C1648&gt;1,IF(C1648&lt;99,VLOOKUP(F1648,'MSA-Lookup'!$AA$1:$AB$25,2),C1648),C1648)</f>
        <v>4472</v>
      </c>
    </row>
    <row r="1649" customFormat="false" ht="12.75" hidden="false" customHeight="false" outlineLevel="0" collapsed="false">
      <c r="A1649" s="0" t="n">
        <f aca="false">B1649*1000+C1649</f>
        <v>30056</v>
      </c>
      <c r="B1649" s="0" t="n">
        <v>30</v>
      </c>
      <c r="C1649" s="0" t="n">
        <v>56</v>
      </c>
      <c r="D1649" s="0" t="n">
        <v>0</v>
      </c>
      <c r="E1649" s="0" t="n">
        <f aca="false">VLOOKUP(B1649,'MSA-Lookup'!$H$2:$I$86,2)</f>
        <v>4940</v>
      </c>
      <c r="F1649" s="0" t="n">
        <f aca="false">IF(C1649&gt;1,IF(C1649&lt;99,VLOOKUP(C1649,'MSA-Lookup'!$H$1:$I$86,2),C1649),C1649)</f>
        <v>4480</v>
      </c>
      <c r="G1649" s="0" t="n">
        <f aca="false">VLOOKUP(E1649,'MSA-Lookup'!$AA$1:$AB$25,2)</f>
        <v>4940</v>
      </c>
      <c r="H1649" s="0" t="n">
        <f aca="false">IF(C1649&gt;1,IF(C1649&lt;99,VLOOKUP(F1649,'MSA-Lookup'!$AA$1:$AB$25,2),C1649),C1649)</f>
        <v>4472</v>
      </c>
    </row>
    <row r="1650" customFormat="false" ht="12.75" hidden="false" customHeight="false" outlineLevel="0" collapsed="false">
      <c r="A1650" s="0" t="n">
        <f aca="false">B1650*1000+C1650</f>
        <v>30057</v>
      </c>
      <c r="B1650" s="0" t="n">
        <v>30</v>
      </c>
      <c r="C1650" s="0" t="n">
        <v>57</v>
      </c>
      <c r="D1650" s="0" t="n">
        <v>0</v>
      </c>
      <c r="E1650" s="0" t="n">
        <f aca="false">VLOOKUP(B1650,'MSA-Lookup'!$H$2:$I$86,2)</f>
        <v>4940</v>
      </c>
      <c r="F1650" s="0" t="n">
        <f aca="false">IF(C1650&gt;1,IF(C1650&lt;99,VLOOKUP(C1650,'MSA-Lookup'!$H$1:$I$86,2),C1650),C1650)</f>
        <v>4480</v>
      </c>
      <c r="G1650" s="0" t="n">
        <f aca="false">VLOOKUP(E1650,'MSA-Lookup'!$AA$1:$AB$25,2)</f>
        <v>4940</v>
      </c>
      <c r="H1650" s="0" t="n">
        <f aca="false">IF(C1650&gt;1,IF(C1650&lt;99,VLOOKUP(F1650,'MSA-Lookup'!$AA$1:$AB$25,2),C1650),C1650)</f>
        <v>4472</v>
      </c>
    </row>
    <row r="1651" customFormat="false" ht="12.75" hidden="false" customHeight="false" outlineLevel="0" collapsed="false">
      <c r="A1651" s="0" t="n">
        <f aca="false">B1651*1000+C1651</f>
        <v>30059</v>
      </c>
      <c r="B1651" s="0" t="n">
        <v>30</v>
      </c>
      <c r="C1651" s="0" t="n">
        <v>59</v>
      </c>
      <c r="D1651" s="0" t="n">
        <v>0</v>
      </c>
      <c r="E1651" s="0" t="n">
        <f aca="false">VLOOKUP(B1651,'MSA-Lookup'!$H$2:$I$86,2)</f>
        <v>4940</v>
      </c>
      <c r="F1651" s="0" t="n">
        <f aca="false">IF(C1651&gt;1,IF(C1651&lt;99,VLOOKUP(C1651,'MSA-Lookup'!$H$1:$I$86,2),C1651),C1651)</f>
        <v>4480</v>
      </c>
      <c r="G1651" s="0" t="n">
        <f aca="false">VLOOKUP(E1651,'MSA-Lookup'!$AA$1:$AB$25,2)</f>
        <v>4940</v>
      </c>
      <c r="H1651" s="0" t="n">
        <f aca="false">IF(C1651&gt;1,IF(C1651&lt;99,VLOOKUP(F1651,'MSA-Lookup'!$AA$1:$AB$25,2),C1651),C1651)</f>
        <v>4472</v>
      </c>
    </row>
    <row r="1652" customFormat="false" ht="12.75" hidden="false" customHeight="false" outlineLevel="0" collapsed="false">
      <c r="A1652" s="0" t="n">
        <f aca="false">B1652*1000+C1652</f>
        <v>30060</v>
      </c>
      <c r="B1652" s="0" t="n">
        <v>30</v>
      </c>
      <c r="C1652" s="0" t="n">
        <v>60</v>
      </c>
      <c r="D1652" s="0" t="n">
        <v>0</v>
      </c>
      <c r="E1652" s="0" t="n">
        <f aca="false">VLOOKUP(B1652,'MSA-Lookup'!$H$2:$I$86,2)</f>
        <v>4940</v>
      </c>
      <c r="F1652" s="0" t="n">
        <f aca="false">IF(C1652&gt;1,IF(C1652&lt;99,VLOOKUP(C1652,'MSA-Lookup'!$H$1:$I$86,2),C1652),C1652)</f>
        <v>4480</v>
      </c>
      <c r="G1652" s="0" t="n">
        <f aca="false">VLOOKUP(E1652,'MSA-Lookup'!$AA$1:$AB$25,2)</f>
        <v>4940</v>
      </c>
      <c r="H1652" s="0" t="n">
        <f aca="false">IF(C1652&gt;1,IF(C1652&lt;99,VLOOKUP(F1652,'MSA-Lookup'!$AA$1:$AB$25,2),C1652),C1652)</f>
        <v>4472</v>
      </c>
    </row>
    <row r="1653" customFormat="false" ht="12.75" hidden="false" customHeight="false" outlineLevel="0" collapsed="false">
      <c r="A1653" s="0" t="n">
        <f aca="false">B1653*1000+C1653</f>
        <v>30062</v>
      </c>
      <c r="B1653" s="0" t="n">
        <v>30</v>
      </c>
      <c r="C1653" s="0" t="n">
        <v>62</v>
      </c>
      <c r="D1653" s="0" t="n">
        <v>0</v>
      </c>
      <c r="E1653" s="0" t="n">
        <f aca="false">VLOOKUP(B1653,'MSA-Lookup'!$H$2:$I$86,2)</f>
        <v>4940</v>
      </c>
      <c r="F1653" s="0" t="n">
        <f aca="false">IF(C1653&gt;1,IF(C1653&lt;99,VLOOKUP(C1653,'MSA-Lookup'!$H$1:$I$86,2),C1653),C1653)</f>
        <v>4480</v>
      </c>
      <c r="G1653" s="0" t="n">
        <f aca="false">VLOOKUP(E1653,'MSA-Lookup'!$AA$1:$AB$25,2)</f>
        <v>4940</v>
      </c>
      <c r="H1653" s="0" t="n">
        <f aca="false">IF(C1653&gt;1,IF(C1653&lt;99,VLOOKUP(F1653,'MSA-Lookup'!$AA$1:$AB$25,2),C1653),C1653)</f>
        <v>4472</v>
      </c>
    </row>
    <row r="1654" customFormat="false" ht="12.75" hidden="false" customHeight="false" outlineLevel="0" collapsed="false">
      <c r="A1654" s="0" t="n">
        <f aca="false">B1654*1000+C1654</f>
        <v>30064</v>
      </c>
      <c r="B1654" s="0" t="n">
        <v>30</v>
      </c>
      <c r="C1654" s="0" t="n">
        <v>64</v>
      </c>
      <c r="D1654" s="0" t="n">
        <v>0</v>
      </c>
      <c r="E1654" s="0" t="n">
        <f aca="false">VLOOKUP(B1654,'MSA-Lookup'!$H$2:$I$86,2)</f>
        <v>4940</v>
      </c>
      <c r="F1654" s="0" t="n">
        <f aca="false">IF(C1654&gt;1,IF(C1654&lt;99,VLOOKUP(C1654,'MSA-Lookup'!$H$1:$I$86,2),C1654),C1654)</f>
        <v>4480</v>
      </c>
      <c r="G1654" s="0" t="n">
        <f aca="false">VLOOKUP(E1654,'MSA-Lookup'!$AA$1:$AB$25,2)</f>
        <v>4940</v>
      </c>
      <c r="H1654" s="0" t="n">
        <f aca="false">IF(C1654&gt;1,IF(C1654&lt;99,VLOOKUP(F1654,'MSA-Lookup'!$AA$1:$AB$25,2),C1654),C1654)</f>
        <v>4472</v>
      </c>
    </row>
    <row r="1655" customFormat="false" ht="12.75" hidden="false" customHeight="false" outlineLevel="0" collapsed="false">
      <c r="A1655" s="0" t="n">
        <f aca="false">B1655*1000+C1655</f>
        <v>30065</v>
      </c>
      <c r="B1655" s="0" t="n">
        <v>30</v>
      </c>
      <c r="C1655" s="0" t="n">
        <v>65</v>
      </c>
      <c r="D1655" s="0" t="n">
        <v>0</v>
      </c>
      <c r="E1655" s="0" t="n">
        <f aca="false">VLOOKUP(B1655,'MSA-Lookup'!$H$2:$I$86,2)</f>
        <v>4940</v>
      </c>
      <c r="F1655" s="0" t="n">
        <f aca="false">IF(C1655&gt;1,IF(C1655&lt;99,VLOOKUP(C1655,'MSA-Lookup'!$H$1:$I$86,2),C1655),C1655)</f>
        <v>4480</v>
      </c>
      <c r="G1655" s="0" t="n">
        <f aca="false">VLOOKUP(E1655,'MSA-Lookup'!$AA$1:$AB$25,2)</f>
        <v>4940</v>
      </c>
      <c r="H1655" s="0" t="n">
        <f aca="false">IF(C1655&gt;1,IF(C1655&lt;99,VLOOKUP(F1655,'MSA-Lookup'!$AA$1:$AB$25,2),C1655),C1655)</f>
        <v>4472</v>
      </c>
    </row>
    <row r="1656" customFormat="false" ht="12.75" hidden="false" customHeight="false" outlineLevel="0" collapsed="false">
      <c r="A1656" s="0" t="n">
        <f aca="false">B1656*1000+C1656</f>
        <v>30066</v>
      </c>
      <c r="B1656" s="0" t="n">
        <v>30</v>
      </c>
      <c r="C1656" s="0" t="n">
        <v>66</v>
      </c>
      <c r="D1656" s="0" t="n">
        <v>0</v>
      </c>
      <c r="E1656" s="0" t="n">
        <f aca="false">VLOOKUP(B1656,'MSA-Lookup'!$H$2:$I$86,2)</f>
        <v>4940</v>
      </c>
      <c r="F1656" s="0" t="n">
        <f aca="false">IF(C1656&gt;1,IF(C1656&lt;99,VLOOKUP(C1656,'MSA-Lookup'!$H$1:$I$86,2),C1656),C1656)</f>
        <v>4480</v>
      </c>
      <c r="G1656" s="0" t="n">
        <f aca="false">VLOOKUP(E1656,'MSA-Lookup'!$AA$1:$AB$25,2)</f>
        <v>4940</v>
      </c>
      <c r="H1656" s="0" t="n">
        <f aca="false">IF(C1656&gt;1,IF(C1656&lt;99,VLOOKUP(F1656,'MSA-Lookup'!$AA$1:$AB$25,2),C1656),C1656)</f>
        <v>4472</v>
      </c>
    </row>
    <row r="1657" customFormat="false" ht="12.75" hidden="false" customHeight="false" outlineLevel="0" collapsed="false">
      <c r="A1657" s="0" t="n">
        <f aca="false">B1657*1000+C1657</f>
        <v>30067</v>
      </c>
      <c r="B1657" s="0" t="n">
        <v>30</v>
      </c>
      <c r="C1657" s="0" t="n">
        <v>67</v>
      </c>
      <c r="D1657" s="0" t="n">
        <v>0</v>
      </c>
      <c r="E1657" s="0" t="n">
        <f aca="false">VLOOKUP(B1657,'MSA-Lookup'!$H$2:$I$86,2)</f>
        <v>4940</v>
      </c>
      <c r="F1657" s="0" t="n">
        <f aca="false">IF(C1657&gt;1,IF(C1657&lt;99,VLOOKUP(C1657,'MSA-Lookup'!$H$1:$I$86,2),C1657),C1657)</f>
        <v>6000</v>
      </c>
      <c r="G1657" s="0" t="n">
        <f aca="false">VLOOKUP(E1657,'MSA-Lookup'!$AA$1:$AB$25,2)</f>
        <v>4940</v>
      </c>
      <c r="H1657" s="0" t="n">
        <f aca="false">IF(C1657&gt;1,IF(C1657&lt;99,VLOOKUP(F1657,'MSA-Lookup'!$AA$1:$AB$25,2),C1657),C1657)</f>
        <v>4472</v>
      </c>
    </row>
    <row r="1658" customFormat="false" ht="12.75" hidden="false" customHeight="false" outlineLevel="0" collapsed="false">
      <c r="A1658" s="0" t="n">
        <f aca="false">B1658*1000+C1658</f>
        <v>30069</v>
      </c>
      <c r="B1658" s="0" t="n">
        <v>30</v>
      </c>
      <c r="C1658" s="0" t="n">
        <v>69</v>
      </c>
      <c r="D1658" s="0" t="n">
        <v>0</v>
      </c>
      <c r="E1658" s="0" t="n">
        <f aca="false">VLOOKUP(B1658,'MSA-Lookup'!$H$2:$I$86,2)</f>
        <v>4940</v>
      </c>
      <c r="F1658" s="0" t="n">
        <f aca="false">IF(C1658&gt;1,IF(C1658&lt;99,VLOOKUP(C1658,'MSA-Lookup'!$H$1:$I$86,2),C1658),C1658)</f>
        <v>6780</v>
      </c>
      <c r="G1658" s="0" t="n">
        <f aca="false">VLOOKUP(E1658,'MSA-Lookup'!$AA$1:$AB$25,2)</f>
        <v>4940</v>
      </c>
      <c r="H1658" s="0" t="n">
        <f aca="false">IF(C1658&gt;1,IF(C1658&lt;99,VLOOKUP(F1658,'MSA-Lookup'!$AA$1:$AB$25,2),C1658),C1658)</f>
        <v>4472</v>
      </c>
    </row>
    <row r="1659" customFormat="false" ht="12.75" hidden="false" customHeight="false" outlineLevel="0" collapsed="false">
      <c r="A1659" s="0" t="n">
        <f aca="false">B1659*1000+C1659</f>
        <v>30071</v>
      </c>
      <c r="B1659" s="0" t="n">
        <v>30</v>
      </c>
      <c r="C1659" s="0" t="n">
        <v>71</v>
      </c>
      <c r="D1659" s="0" t="n">
        <v>0</v>
      </c>
      <c r="E1659" s="0" t="n">
        <f aca="false">VLOOKUP(B1659,'MSA-Lookup'!$H$2:$I$86,2)</f>
        <v>4940</v>
      </c>
      <c r="F1659" s="0" t="n">
        <f aca="false">IF(C1659&gt;1,IF(C1659&lt;99,VLOOKUP(C1659,'MSA-Lookup'!$H$1:$I$86,2),C1659),C1659)</f>
        <v>6780</v>
      </c>
      <c r="G1659" s="0" t="n">
        <f aca="false">VLOOKUP(E1659,'MSA-Lookup'!$AA$1:$AB$25,2)</f>
        <v>4940</v>
      </c>
      <c r="H1659" s="0" t="n">
        <f aca="false">IF(C1659&gt;1,IF(C1659&lt;99,VLOOKUP(F1659,'MSA-Lookup'!$AA$1:$AB$25,2),C1659),C1659)</f>
        <v>4472</v>
      </c>
    </row>
    <row r="1660" customFormat="false" ht="12.75" hidden="false" customHeight="false" outlineLevel="0" collapsed="false">
      <c r="A1660" s="0" t="n">
        <f aca="false">B1660*1000+C1660</f>
        <v>30072</v>
      </c>
      <c r="B1660" s="0" t="n">
        <v>30</v>
      </c>
      <c r="C1660" s="0" t="n">
        <v>72</v>
      </c>
      <c r="D1660" s="0" t="n">
        <v>0</v>
      </c>
      <c r="E1660" s="0" t="n">
        <f aca="false">VLOOKUP(B1660,'MSA-Lookup'!$H$2:$I$86,2)</f>
        <v>4940</v>
      </c>
      <c r="F1660" s="0" t="n">
        <f aca="false">IF(C1660&gt;1,IF(C1660&lt;99,VLOOKUP(C1660,'MSA-Lookup'!$H$1:$I$86,2),C1660),C1660)</f>
        <v>6780</v>
      </c>
      <c r="G1660" s="0" t="n">
        <f aca="false">VLOOKUP(E1660,'MSA-Lookup'!$AA$1:$AB$25,2)</f>
        <v>4940</v>
      </c>
      <c r="H1660" s="0" t="n">
        <f aca="false">IF(C1660&gt;1,IF(C1660&lt;99,VLOOKUP(F1660,'MSA-Lookup'!$AA$1:$AB$25,2),C1660),C1660)</f>
        <v>4472</v>
      </c>
    </row>
    <row r="1661" customFormat="false" ht="12.75" hidden="false" customHeight="false" outlineLevel="0" collapsed="false">
      <c r="A1661" s="0" t="n">
        <f aca="false">B1661*1000+C1661</f>
        <v>30073</v>
      </c>
      <c r="B1661" s="0" t="n">
        <v>30</v>
      </c>
      <c r="C1661" s="0" t="n">
        <v>73</v>
      </c>
      <c r="D1661" s="0" t="n">
        <v>0</v>
      </c>
      <c r="E1661" s="0" t="n">
        <f aca="false">VLOOKUP(B1661,'MSA-Lookup'!$H$2:$I$86,2)</f>
        <v>4940</v>
      </c>
      <c r="F1661" s="0" t="n">
        <f aca="false">IF(C1661&gt;1,IF(C1661&lt;99,VLOOKUP(C1661,'MSA-Lookup'!$H$1:$I$86,2),C1661),C1661)</f>
        <v>8720</v>
      </c>
      <c r="G1661" s="0" t="n">
        <f aca="false">VLOOKUP(E1661,'MSA-Lookup'!$AA$1:$AB$25,2)</f>
        <v>4940</v>
      </c>
      <c r="H1661" s="0" t="n">
        <f aca="false">IF(C1661&gt;1,IF(C1661&lt;99,VLOOKUP(F1661,'MSA-Lookup'!$AA$1:$AB$25,2),C1661),C1661)</f>
        <v>7362</v>
      </c>
    </row>
    <row r="1662" customFormat="false" ht="12.75" hidden="false" customHeight="false" outlineLevel="0" collapsed="false">
      <c r="A1662" s="0" t="n">
        <f aca="false">B1662*1000+C1662</f>
        <v>30075</v>
      </c>
      <c r="B1662" s="0" t="n">
        <v>30</v>
      </c>
      <c r="C1662" s="0" t="n">
        <v>75</v>
      </c>
      <c r="D1662" s="0" t="n">
        <v>0</v>
      </c>
      <c r="E1662" s="0" t="n">
        <f aca="false">VLOOKUP(B1662,'MSA-Lookup'!$H$2:$I$86,2)</f>
        <v>4940</v>
      </c>
      <c r="F1662" s="0" t="n">
        <f aca="false">IF(C1662&gt;1,IF(C1662&lt;99,VLOOKUP(C1662,'MSA-Lookup'!$H$1:$I$86,2),C1662),C1662)</f>
        <v>8780</v>
      </c>
      <c r="G1662" s="0" t="n">
        <f aca="false">VLOOKUP(E1662,'MSA-Lookup'!$AA$1:$AB$25,2)</f>
        <v>4940</v>
      </c>
      <c r="H1662" s="0" t="n">
        <f aca="false">IF(C1662&gt;1,IF(C1662&lt;99,VLOOKUP(F1662,'MSA-Lookup'!$AA$1:$AB$25,2),C1662),C1662)</f>
        <v>8780</v>
      </c>
    </row>
    <row r="1663" customFormat="false" ht="12.75" hidden="false" customHeight="false" outlineLevel="0" collapsed="false">
      <c r="A1663" s="0" t="n">
        <f aca="false">B1663*1000+C1663</f>
        <v>30076</v>
      </c>
      <c r="B1663" s="0" t="n">
        <v>30</v>
      </c>
      <c r="C1663" s="0" t="n">
        <v>76</v>
      </c>
      <c r="D1663" s="0" t="n">
        <v>0</v>
      </c>
      <c r="E1663" s="0" t="n">
        <f aca="false">VLOOKUP(B1663,'MSA-Lookup'!$H$2:$I$86,2)</f>
        <v>4940</v>
      </c>
      <c r="F1663" s="0" t="n">
        <f aca="false">IF(C1663&gt;1,IF(C1663&lt;99,VLOOKUP(C1663,'MSA-Lookup'!$H$1:$I$86,2),C1663),C1663)</f>
        <v>7485</v>
      </c>
      <c r="G1663" s="0" t="n">
        <f aca="false">VLOOKUP(E1663,'MSA-Lookup'!$AA$1:$AB$25,2)</f>
        <v>4940</v>
      </c>
      <c r="H1663" s="0" t="n">
        <f aca="false">IF(C1663&gt;1,IF(C1663&lt;99,VLOOKUP(F1663,'MSA-Lookup'!$AA$1:$AB$25,2),C1663),C1663)</f>
        <v>7362</v>
      </c>
    </row>
    <row r="1664" customFormat="false" ht="12.75" hidden="false" customHeight="false" outlineLevel="0" collapsed="false">
      <c r="A1664" s="0" t="n">
        <f aca="false">B1664*1000+C1664</f>
        <v>30077</v>
      </c>
      <c r="B1664" s="0" t="n">
        <v>30</v>
      </c>
      <c r="C1664" s="0" t="n">
        <v>77</v>
      </c>
      <c r="D1664" s="0" t="n">
        <v>0</v>
      </c>
      <c r="E1664" s="0" t="n">
        <f aca="false">VLOOKUP(B1664,'MSA-Lookup'!$H$2:$I$86,2)</f>
        <v>4940</v>
      </c>
      <c r="F1664" s="0" t="n">
        <f aca="false">IF(C1664&gt;1,IF(C1664&lt;99,VLOOKUP(C1664,'MSA-Lookup'!$H$1:$I$86,2),C1664),C1664)</f>
        <v>9999</v>
      </c>
      <c r="G1664" s="0" t="n">
        <f aca="false">VLOOKUP(E1664,'MSA-Lookup'!$AA$1:$AB$25,2)</f>
        <v>4940</v>
      </c>
      <c r="H1664" s="0" t="n">
        <f aca="false">IF(C1664&gt;1,IF(C1664&lt;99,VLOOKUP(F1664,'MSA-Lookup'!$AA$1:$AB$25,2),C1664),C1664)</f>
        <v>9999</v>
      </c>
    </row>
    <row r="1665" customFormat="false" ht="12.75" hidden="false" customHeight="false" outlineLevel="0" collapsed="false">
      <c r="A1665" s="0" t="n">
        <f aca="false">B1665*1000+C1665</f>
        <v>30079</v>
      </c>
      <c r="B1665" s="0" t="n">
        <v>30</v>
      </c>
      <c r="C1665" s="0" t="n">
        <v>79</v>
      </c>
      <c r="D1665" s="0" t="n">
        <v>0</v>
      </c>
      <c r="E1665" s="0" t="n">
        <f aca="false">VLOOKUP(B1665,'MSA-Lookup'!$H$2:$I$86,2)</f>
        <v>4940</v>
      </c>
      <c r="F1665" s="0" t="n">
        <f aca="false">IF(C1665&gt;1,IF(C1665&lt;99,VLOOKUP(C1665,'MSA-Lookup'!$H$1:$I$86,2),C1665),C1665)</f>
        <v>680</v>
      </c>
      <c r="G1665" s="0" t="n">
        <f aca="false">VLOOKUP(E1665,'MSA-Lookup'!$AA$1:$AB$25,2)</f>
        <v>4940</v>
      </c>
      <c r="H1665" s="0" t="n">
        <f aca="false">IF(C1665&gt;1,IF(C1665&lt;99,VLOOKUP(F1665,'MSA-Lookup'!$AA$1:$AB$25,2),C1665),C1665)</f>
        <v>680</v>
      </c>
    </row>
    <row r="1666" customFormat="false" ht="12.75" hidden="false" customHeight="false" outlineLevel="0" collapsed="false">
      <c r="A1666" s="0" t="n">
        <f aca="false">B1666*1000+C1666</f>
        <v>30080</v>
      </c>
      <c r="B1666" s="0" t="n">
        <v>30</v>
      </c>
      <c r="C1666" s="0" t="n">
        <v>80</v>
      </c>
      <c r="D1666" s="0" t="n">
        <v>0</v>
      </c>
      <c r="E1666" s="0" t="n">
        <f aca="false">VLOOKUP(B1666,'MSA-Lookup'!$H$2:$I$86,2)</f>
        <v>4940</v>
      </c>
      <c r="F1666" s="0" t="n">
        <f aca="false">IF(C1666&gt;1,IF(C1666&lt;99,VLOOKUP(C1666,'MSA-Lookup'!$H$1:$I$86,2),C1666),C1666)</f>
        <v>9999</v>
      </c>
      <c r="G1666" s="0" t="n">
        <f aca="false">VLOOKUP(E1666,'MSA-Lookup'!$AA$1:$AB$25,2)</f>
        <v>4940</v>
      </c>
      <c r="H1666" s="0" t="n">
        <f aca="false">IF(C1666&gt;1,IF(C1666&lt;99,VLOOKUP(F1666,'MSA-Lookup'!$AA$1:$AB$25,2),C1666),C1666)</f>
        <v>9999</v>
      </c>
    </row>
    <row r="1667" customFormat="false" ht="12.75" hidden="false" customHeight="false" outlineLevel="0" collapsed="false">
      <c r="A1667" s="0" t="n">
        <f aca="false">B1667*1000+C1667</f>
        <v>30082</v>
      </c>
      <c r="B1667" s="0" t="n">
        <v>30</v>
      </c>
      <c r="C1667" s="0" t="n">
        <v>82</v>
      </c>
      <c r="D1667" s="0" t="n">
        <v>0</v>
      </c>
      <c r="E1667" s="0" t="n">
        <f aca="false">VLOOKUP(B1667,'MSA-Lookup'!$H$2:$I$86,2)</f>
        <v>4940</v>
      </c>
      <c r="F1667" s="0" t="n">
        <f aca="false">IF(C1667&gt;1,IF(C1667&lt;99,VLOOKUP(C1667,'MSA-Lookup'!$H$1:$I$86,2),C1667),C1667)</f>
        <v>6780</v>
      </c>
      <c r="G1667" s="0" t="n">
        <f aca="false">VLOOKUP(E1667,'MSA-Lookup'!$AA$1:$AB$25,2)</f>
        <v>4940</v>
      </c>
      <c r="H1667" s="0" t="n">
        <f aca="false">IF(C1667&gt;1,IF(C1667&lt;99,VLOOKUP(F1667,'MSA-Lookup'!$AA$1:$AB$25,2),C1667),C1667)</f>
        <v>4472</v>
      </c>
    </row>
    <row r="1668" customFormat="false" ht="12.75" hidden="false" customHeight="false" outlineLevel="0" collapsed="false">
      <c r="A1668" s="0" t="n">
        <f aca="false">B1668*1000+C1668</f>
        <v>30085</v>
      </c>
      <c r="B1668" s="0" t="n">
        <v>30</v>
      </c>
      <c r="C1668" s="0" t="n">
        <v>85</v>
      </c>
      <c r="D1668" s="0" t="n">
        <v>0</v>
      </c>
      <c r="E1668" s="0" t="n">
        <f aca="false">VLOOKUP(B1668,'MSA-Lookup'!$H$2:$I$86,2)</f>
        <v>4940</v>
      </c>
      <c r="F1668" s="0" t="n">
        <f aca="false">IF(C1668&gt;1,IF(C1668&lt;99,VLOOKUP(C1668,'MSA-Lookup'!$H$1:$I$86,2),C1668),C1668)</f>
        <v>8120</v>
      </c>
      <c r="G1668" s="0" t="n">
        <f aca="false">VLOOKUP(E1668,'MSA-Lookup'!$AA$1:$AB$25,2)</f>
        <v>4940</v>
      </c>
      <c r="H1668" s="0" t="n">
        <f aca="false">IF(C1668&gt;1,IF(C1668&lt;99,VLOOKUP(F1668,'MSA-Lookup'!$AA$1:$AB$25,2),C1668),C1668)</f>
        <v>8120</v>
      </c>
    </row>
    <row r="1669" customFormat="false" ht="12.75" hidden="false" customHeight="false" outlineLevel="0" collapsed="false">
      <c r="A1669" s="0" t="n">
        <f aca="false">B1669*1000+C1669</f>
        <v>30858</v>
      </c>
      <c r="B1669" s="0" t="n">
        <v>30</v>
      </c>
      <c r="C1669" s="0" t="n">
        <v>858</v>
      </c>
      <c r="D1669" s="0" t="n">
        <v>0</v>
      </c>
      <c r="E1669" s="0" t="n">
        <f aca="false">VLOOKUP(B1669,'MSA-Lookup'!$H$2:$I$86,2)</f>
        <v>4940</v>
      </c>
      <c r="F1669" s="0" t="n">
        <f aca="false">IF(C1669&gt;1,IF(C1669&lt;99,VLOOKUP(C1669,'MSA-Lookup'!$H$1:$I$86,2),C1669),C1669)</f>
        <v>858</v>
      </c>
      <c r="G1669" s="0" t="n">
        <f aca="false">VLOOKUP(E1669,'MSA-Lookup'!$AA$1:$AB$25,2)</f>
        <v>4940</v>
      </c>
      <c r="H1669" s="0" t="n">
        <f aca="false">IF(C1669&gt;1,IF(C1669&lt;99,VLOOKUP(F1669,'MSA-Lookup'!$AA$1:$AB$25,2),C1669),C1669)</f>
        <v>858</v>
      </c>
    </row>
    <row r="1670" customFormat="false" ht="12.75" hidden="false" customHeight="false" outlineLevel="0" collapsed="false">
      <c r="A1670" s="0" t="n">
        <f aca="false">B1670*1000+C1670</f>
        <v>30999</v>
      </c>
      <c r="B1670" s="0" t="n">
        <v>30</v>
      </c>
      <c r="C1670" s="0" t="n">
        <v>999</v>
      </c>
      <c r="D1670" s="0" t="n">
        <v>0</v>
      </c>
      <c r="E1670" s="0" t="n">
        <f aca="false">VLOOKUP(B1670,'MSA-Lookup'!$H$2:$I$86,2)</f>
        <v>4940</v>
      </c>
      <c r="F1670" s="0" t="n">
        <f aca="false">IF(C1670&gt;1,IF(C1670&lt;99,VLOOKUP(C1670,'MSA-Lookup'!$H$1:$I$86,2),C1670),C1670)</f>
        <v>999</v>
      </c>
      <c r="G1670" s="0" t="n">
        <f aca="false">VLOOKUP(E1670,'MSA-Lookup'!$AA$1:$AB$25,2)</f>
        <v>4940</v>
      </c>
      <c r="H1670" s="0" t="n">
        <f aca="false">IF(C1670&gt;1,IF(C1670&lt;99,VLOOKUP(F1670,'MSA-Lookup'!$AA$1:$AB$25,2),C1670),C1670)</f>
        <v>999</v>
      </c>
    </row>
    <row r="1671" customFormat="false" ht="12.75" hidden="false" customHeight="false" outlineLevel="0" collapsed="false">
      <c r="A1671" s="0" t="n">
        <f aca="false">B1671*1000+C1671</f>
        <v>31000</v>
      </c>
      <c r="B1671" s="0" t="n">
        <v>31</v>
      </c>
      <c r="C1671" s="0" t="n">
        <v>0</v>
      </c>
      <c r="D1671" s="0" t="n">
        <v>63609</v>
      </c>
      <c r="E1671" s="0" t="n">
        <f aca="false">VLOOKUP(B1671,'MSA-Lookup'!$H$2:$I$86,2)</f>
        <v>9999</v>
      </c>
      <c r="F1671" s="0" t="n">
        <f aca="false">IF(C1671&gt;1,IF(C1671&lt;99,VLOOKUP(C1671,'MSA-Lookup'!$H$1:$I$86,2),C1671),C1671)</f>
        <v>0</v>
      </c>
      <c r="G1671" s="0" t="n">
        <f aca="false">VLOOKUP(E1671,'MSA-Lookup'!$AA$1:$AB$25,2)</f>
        <v>9999</v>
      </c>
      <c r="H1671" s="0" t="n">
        <f aca="false">IF(C1671&gt;1,IF(C1671&lt;99,VLOOKUP(F1671,'MSA-Lookup'!$AA$1:$AB$25,2),C1671),C1671)</f>
        <v>0</v>
      </c>
    </row>
    <row r="1672" customFormat="false" ht="12.75" hidden="false" customHeight="false" outlineLevel="0" collapsed="false">
      <c r="A1672" s="0" t="n">
        <f aca="false">B1672*1000+C1672</f>
        <v>31001</v>
      </c>
      <c r="B1672" s="0" t="n">
        <v>31</v>
      </c>
      <c r="C1672" s="0" t="n">
        <v>1</v>
      </c>
      <c r="D1672" s="0" t="n">
        <v>0</v>
      </c>
      <c r="E1672" s="0" t="n">
        <f aca="false">VLOOKUP(B1672,'MSA-Lookup'!$H$2:$I$86,2)</f>
        <v>9999</v>
      </c>
      <c r="F1672" s="0" t="n">
        <f aca="false">IF(C1672&gt;1,IF(C1672&lt;99,VLOOKUP(C1672,'MSA-Lookup'!$H$1:$I$86,2),C1672),C1672)</f>
        <v>1</v>
      </c>
      <c r="G1672" s="0" t="n">
        <f aca="false">VLOOKUP(E1672,'MSA-Lookup'!$AA$1:$AB$25,2)</f>
        <v>9999</v>
      </c>
      <c r="H1672" s="0" t="n">
        <f aca="false">IF(C1672&gt;1,IF(C1672&lt;99,VLOOKUP(F1672,'MSA-Lookup'!$AA$1:$AB$25,2),C1672),C1672)</f>
        <v>1</v>
      </c>
    </row>
    <row r="1673" customFormat="false" ht="12.75" hidden="false" customHeight="false" outlineLevel="0" collapsed="false">
      <c r="A1673" s="0" t="n">
        <f aca="false">B1673*1000+C1673</f>
        <v>31002</v>
      </c>
      <c r="B1673" s="0" t="n">
        <v>31</v>
      </c>
      <c r="C1673" s="0" t="n">
        <v>2</v>
      </c>
      <c r="D1673" s="0" t="n">
        <v>0</v>
      </c>
      <c r="E1673" s="0" t="n">
        <f aca="false">VLOOKUP(B1673,'MSA-Lookup'!$H$2:$I$86,2)</f>
        <v>9999</v>
      </c>
      <c r="F1673" s="0" t="n">
        <f aca="false">IF(C1673&gt;1,IF(C1673&lt;99,VLOOKUP(C1673,'MSA-Lookup'!$H$1:$I$86,2),C1673),C1673)</f>
        <v>9999</v>
      </c>
      <c r="G1673" s="0" t="n">
        <f aca="false">VLOOKUP(E1673,'MSA-Lookup'!$AA$1:$AB$25,2)</f>
        <v>9999</v>
      </c>
      <c r="H1673" s="0" t="n">
        <f aca="false">IF(C1673&gt;1,IF(C1673&lt;99,VLOOKUP(F1673,'MSA-Lookup'!$AA$1:$AB$25,2),C1673),C1673)</f>
        <v>9999</v>
      </c>
    </row>
    <row r="1674" customFormat="false" ht="12.75" hidden="false" customHeight="false" outlineLevel="0" collapsed="false">
      <c r="A1674" s="0" t="n">
        <f aca="false">B1674*1000+C1674</f>
        <v>31003</v>
      </c>
      <c r="B1674" s="0" t="n">
        <v>31</v>
      </c>
      <c r="C1674" s="0" t="n">
        <v>3</v>
      </c>
      <c r="D1674" s="0" t="n">
        <v>0</v>
      </c>
      <c r="E1674" s="0" t="n">
        <f aca="false">VLOOKUP(B1674,'MSA-Lookup'!$H$2:$I$86,2)</f>
        <v>9999</v>
      </c>
      <c r="F1674" s="0" t="n">
        <f aca="false">IF(C1674&gt;1,IF(C1674&lt;99,VLOOKUP(C1674,'MSA-Lookup'!$H$1:$I$86,2),C1674),C1674)</f>
        <v>6690</v>
      </c>
      <c r="G1674" s="0" t="n">
        <f aca="false">VLOOKUP(E1674,'MSA-Lookup'!$AA$1:$AB$25,2)</f>
        <v>9999</v>
      </c>
      <c r="H1674" s="0" t="n">
        <f aca="false">IF(C1674&gt;1,IF(C1674&lt;99,VLOOKUP(F1674,'MSA-Lookup'!$AA$1:$AB$25,2),C1674),C1674)</f>
        <v>6690</v>
      </c>
    </row>
    <row r="1675" customFormat="false" ht="12.75" hidden="false" customHeight="false" outlineLevel="0" collapsed="false">
      <c r="A1675" s="0" t="n">
        <f aca="false">B1675*1000+C1675</f>
        <v>31004</v>
      </c>
      <c r="B1675" s="0" t="n">
        <v>31</v>
      </c>
      <c r="C1675" s="0" t="n">
        <v>4</v>
      </c>
      <c r="D1675" s="0" t="n">
        <v>0</v>
      </c>
      <c r="E1675" s="0" t="n">
        <f aca="false">VLOOKUP(B1675,'MSA-Lookup'!$H$2:$I$86,2)</f>
        <v>9999</v>
      </c>
      <c r="F1675" s="0" t="n">
        <f aca="false">IF(C1675&gt;1,IF(C1675&lt;99,VLOOKUP(C1675,'MSA-Lookup'!$H$1:$I$86,2),C1675),C1675)</f>
        <v>9999</v>
      </c>
      <c r="G1675" s="0" t="n">
        <f aca="false">VLOOKUP(E1675,'MSA-Lookup'!$AA$1:$AB$25,2)</f>
        <v>9999</v>
      </c>
      <c r="H1675" s="0" t="n">
        <f aca="false">IF(C1675&gt;1,IF(C1675&lt;99,VLOOKUP(F1675,'MSA-Lookup'!$AA$1:$AB$25,2),C1675),C1675)</f>
        <v>9999</v>
      </c>
    </row>
    <row r="1676" customFormat="false" ht="12.75" hidden="false" customHeight="false" outlineLevel="0" collapsed="false">
      <c r="A1676" s="0" t="n">
        <f aca="false">B1676*1000+C1676</f>
        <v>31005</v>
      </c>
      <c r="B1676" s="0" t="n">
        <v>31</v>
      </c>
      <c r="C1676" s="0" t="n">
        <v>5</v>
      </c>
      <c r="D1676" s="0" t="n">
        <v>0</v>
      </c>
      <c r="E1676" s="0" t="n">
        <f aca="false">VLOOKUP(B1676,'MSA-Lookup'!$H$2:$I$86,2)</f>
        <v>9999</v>
      </c>
      <c r="F1676" s="0" t="n">
        <f aca="false">IF(C1676&gt;1,IF(C1676&lt;99,VLOOKUP(C1676,'MSA-Lookup'!$H$1:$I$86,2),C1676),C1676)</f>
        <v>9999</v>
      </c>
      <c r="G1676" s="0" t="n">
        <f aca="false">VLOOKUP(E1676,'MSA-Lookup'!$AA$1:$AB$25,2)</f>
        <v>9999</v>
      </c>
      <c r="H1676" s="0" t="n">
        <f aca="false">IF(C1676&gt;1,IF(C1676&lt;99,VLOOKUP(F1676,'MSA-Lookup'!$AA$1:$AB$25,2),C1676),C1676)</f>
        <v>9999</v>
      </c>
    </row>
    <row r="1677" customFormat="false" ht="12.75" hidden="false" customHeight="false" outlineLevel="0" collapsed="false">
      <c r="A1677" s="0" t="n">
        <f aca="false">B1677*1000+C1677</f>
        <v>31006</v>
      </c>
      <c r="B1677" s="0" t="n">
        <v>31</v>
      </c>
      <c r="C1677" s="0" t="n">
        <v>6</v>
      </c>
      <c r="D1677" s="0" t="n">
        <v>0</v>
      </c>
      <c r="E1677" s="0" t="n">
        <f aca="false">VLOOKUP(B1677,'MSA-Lookup'!$H$2:$I$86,2)</f>
        <v>9999</v>
      </c>
      <c r="F1677" s="0" t="n">
        <f aca="false">IF(C1677&gt;1,IF(C1677&lt;99,VLOOKUP(C1677,'MSA-Lookup'!$H$1:$I$86,2),C1677),C1677)</f>
        <v>1620</v>
      </c>
      <c r="G1677" s="0" t="n">
        <f aca="false">VLOOKUP(E1677,'MSA-Lookup'!$AA$1:$AB$25,2)</f>
        <v>9999</v>
      </c>
      <c r="H1677" s="0" t="n">
        <f aca="false">IF(C1677&gt;1,IF(C1677&lt;99,VLOOKUP(F1677,'MSA-Lookup'!$AA$1:$AB$25,2),C1677),C1677)</f>
        <v>1620</v>
      </c>
    </row>
    <row r="1678" customFormat="false" ht="12.75" hidden="false" customHeight="false" outlineLevel="0" collapsed="false">
      <c r="A1678" s="0" t="n">
        <f aca="false">B1678*1000+C1678</f>
        <v>31007</v>
      </c>
      <c r="B1678" s="0" t="n">
        <v>31</v>
      </c>
      <c r="C1678" s="0" t="n">
        <v>7</v>
      </c>
      <c r="D1678" s="0" t="n">
        <v>0</v>
      </c>
      <c r="E1678" s="0" t="n">
        <f aca="false">VLOOKUP(B1678,'MSA-Lookup'!$H$2:$I$86,2)</f>
        <v>9999</v>
      </c>
      <c r="F1678" s="0" t="n">
        <f aca="false">IF(C1678&gt;1,IF(C1678&lt;99,VLOOKUP(C1678,'MSA-Lookup'!$H$1:$I$86,2),C1678),C1678)</f>
        <v>9999</v>
      </c>
      <c r="G1678" s="0" t="n">
        <f aca="false">VLOOKUP(E1678,'MSA-Lookup'!$AA$1:$AB$25,2)</f>
        <v>9999</v>
      </c>
      <c r="H1678" s="0" t="n">
        <f aca="false">IF(C1678&gt;1,IF(C1678&lt;99,VLOOKUP(F1678,'MSA-Lookup'!$AA$1:$AB$25,2),C1678),C1678)</f>
        <v>9999</v>
      </c>
    </row>
    <row r="1679" customFormat="false" ht="12.75" hidden="false" customHeight="false" outlineLevel="0" collapsed="false">
      <c r="A1679" s="0" t="n">
        <f aca="false">B1679*1000+C1679</f>
        <v>31008</v>
      </c>
      <c r="B1679" s="0" t="n">
        <v>31</v>
      </c>
      <c r="C1679" s="0" t="n">
        <v>8</v>
      </c>
      <c r="D1679" s="0" t="n">
        <v>0</v>
      </c>
      <c r="E1679" s="0" t="n">
        <f aca="false">VLOOKUP(B1679,'MSA-Lookup'!$H$2:$I$86,2)</f>
        <v>9999</v>
      </c>
      <c r="F1679" s="0" t="n">
        <f aca="false">IF(C1679&gt;1,IF(C1679&lt;99,VLOOKUP(C1679,'MSA-Lookup'!$H$1:$I$86,2),C1679),C1679)</f>
        <v>9340</v>
      </c>
      <c r="G1679" s="0" t="n">
        <f aca="false">VLOOKUP(E1679,'MSA-Lookup'!$AA$1:$AB$25,2)</f>
        <v>9999</v>
      </c>
      <c r="H1679" s="0" t="n">
        <f aca="false">IF(C1679&gt;1,IF(C1679&lt;99,VLOOKUP(F1679,'MSA-Lookup'!$AA$1:$AB$25,2),C1679),C1679)</f>
        <v>9340</v>
      </c>
    </row>
    <row r="1680" customFormat="false" ht="12.75" hidden="false" customHeight="false" outlineLevel="0" collapsed="false">
      <c r="A1680" s="0" t="n">
        <f aca="false">B1680*1000+C1680</f>
        <v>31009</v>
      </c>
      <c r="B1680" s="0" t="n">
        <v>31</v>
      </c>
      <c r="C1680" s="0" t="n">
        <v>9</v>
      </c>
      <c r="D1680" s="0" t="n">
        <v>0</v>
      </c>
      <c r="E1680" s="0" t="n">
        <f aca="false">VLOOKUP(B1680,'MSA-Lookup'!$H$2:$I$86,2)</f>
        <v>9999</v>
      </c>
      <c r="F1680" s="0" t="n">
        <f aca="false">IF(C1680&gt;1,IF(C1680&lt;99,VLOOKUP(C1680,'MSA-Lookup'!$H$1:$I$86,2),C1680),C1680)</f>
        <v>8720</v>
      </c>
      <c r="G1680" s="0" t="n">
        <f aca="false">VLOOKUP(E1680,'MSA-Lookup'!$AA$1:$AB$25,2)</f>
        <v>9999</v>
      </c>
      <c r="H1680" s="0" t="n">
        <f aca="false">IF(C1680&gt;1,IF(C1680&lt;99,VLOOKUP(F1680,'MSA-Lookup'!$AA$1:$AB$25,2),C1680),C1680)</f>
        <v>7362</v>
      </c>
    </row>
    <row r="1681" customFormat="false" ht="12.75" hidden="false" customHeight="false" outlineLevel="0" collapsed="false">
      <c r="A1681" s="0" t="n">
        <f aca="false">B1681*1000+C1681</f>
        <v>31010</v>
      </c>
      <c r="B1681" s="0" t="n">
        <v>31</v>
      </c>
      <c r="C1681" s="0" t="n">
        <v>10</v>
      </c>
      <c r="D1681" s="0" t="n">
        <v>0</v>
      </c>
      <c r="E1681" s="0" t="n">
        <f aca="false">VLOOKUP(B1681,'MSA-Lookup'!$H$2:$I$86,2)</f>
        <v>9999</v>
      </c>
      <c r="F1681" s="0" t="n">
        <f aca="false">IF(C1681&gt;1,IF(C1681&lt;99,VLOOKUP(C1681,'MSA-Lookup'!$H$1:$I$86,2),C1681),C1681)</f>
        <v>6920</v>
      </c>
      <c r="G1681" s="0" t="n">
        <f aca="false">VLOOKUP(E1681,'MSA-Lookup'!$AA$1:$AB$25,2)</f>
        <v>9999</v>
      </c>
      <c r="H1681" s="0" t="n">
        <f aca="false">IF(C1681&gt;1,IF(C1681&lt;99,VLOOKUP(F1681,'MSA-Lookup'!$AA$1:$AB$25,2),C1681),C1681)</f>
        <v>6920</v>
      </c>
    </row>
    <row r="1682" customFormat="false" ht="12.75" hidden="false" customHeight="false" outlineLevel="0" collapsed="false">
      <c r="A1682" s="0" t="n">
        <f aca="false">B1682*1000+C1682</f>
        <v>31011</v>
      </c>
      <c r="B1682" s="0" t="n">
        <v>31</v>
      </c>
      <c r="C1682" s="0" t="n">
        <v>11</v>
      </c>
      <c r="D1682" s="0" t="n">
        <v>0</v>
      </c>
      <c r="E1682" s="0" t="n">
        <f aca="false">VLOOKUP(B1682,'MSA-Lookup'!$H$2:$I$86,2)</f>
        <v>9999</v>
      </c>
      <c r="F1682" s="0" t="n">
        <f aca="false">IF(C1682&gt;1,IF(C1682&lt;99,VLOOKUP(C1682,'MSA-Lookup'!$H$1:$I$86,2),C1682),C1682)</f>
        <v>6920</v>
      </c>
      <c r="G1682" s="0" t="n">
        <f aca="false">VLOOKUP(E1682,'MSA-Lookup'!$AA$1:$AB$25,2)</f>
        <v>9999</v>
      </c>
      <c r="H1682" s="0" t="n">
        <f aca="false">IF(C1682&gt;1,IF(C1682&lt;99,VLOOKUP(F1682,'MSA-Lookup'!$AA$1:$AB$25,2),C1682),C1682)</f>
        <v>6920</v>
      </c>
    </row>
    <row r="1683" customFormat="false" ht="12.75" hidden="false" customHeight="false" outlineLevel="0" collapsed="false">
      <c r="A1683" s="0" t="n">
        <f aca="false">B1683*1000+C1683</f>
        <v>31012</v>
      </c>
      <c r="B1683" s="0" t="n">
        <v>31</v>
      </c>
      <c r="C1683" s="0" t="n">
        <v>12</v>
      </c>
      <c r="D1683" s="0" t="n">
        <v>0</v>
      </c>
      <c r="E1683" s="0" t="n">
        <f aca="false">VLOOKUP(B1683,'MSA-Lookup'!$H$2:$I$86,2)</f>
        <v>9999</v>
      </c>
      <c r="F1683" s="0" t="n">
        <f aca="false">IF(C1683&gt;1,IF(C1683&lt;99,VLOOKUP(C1683,'MSA-Lookup'!$H$1:$I$86,2),C1683),C1683)</f>
        <v>6920</v>
      </c>
      <c r="G1683" s="0" t="n">
        <f aca="false">VLOOKUP(E1683,'MSA-Lookup'!$AA$1:$AB$25,2)</f>
        <v>9999</v>
      </c>
      <c r="H1683" s="0" t="n">
        <f aca="false">IF(C1683&gt;1,IF(C1683&lt;99,VLOOKUP(F1683,'MSA-Lookup'!$AA$1:$AB$25,2),C1683),C1683)</f>
        <v>6920</v>
      </c>
    </row>
    <row r="1684" customFormat="false" ht="12.75" hidden="false" customHeight="false" outlineLevel="0" collapsed="false">
      <c r="A1684" s="0" t="n">
        <f aca="false">B1684*1000+C1684</f>
        <v>31013</v>
      </c>
      <c r="B1684" s="0" t="n">
        <v>31</v>
      </c>
      <c r="C1684" s="0" t="n">
        <v>13</v>
      </c>
      <c r="D1684" s="0" t="n">
        <v>0</v>
      </c>
      <c r="E1684" s="0" t="n">
        <f aca="false">VLOOKUP(B1684,'MSA-Lookup'!$H$2:$I$86,2)</f>
        <v>9999</v>
      </c>
      <c r="F1684" s="0" t="n">
        <f aca="false">IF(C1684&gt;1,IF(C1684&lt;99,VLOOKUP(C1684,'MSA-Lookup'!$H$1:$I$86,2),C1684),C1684)</f>
        <v>7500</v>
      </c>
      <c r="G1684" s="0" t="n">
        <f aca="false">VLOOKUP(E1684,'MSA-Lookup'!$AA$1:$AB$25,2)</f>
        <v>9999</v>
      </c>
      <c r="H1684" s="0" t="n">
        <f aca="false">IF(C1684&gt;1,IF(C1684&lt;99,VLOOKUP(F1684,'MSA-Lookup'!$AA$1:$AB$25,2),C1684),C1684)</f>
        <v>7362</v>
      </c>
    </row>
    <row r="1685" customFormat="false" ht="12.75" hidden="false" customHeight="false" outlineLevel="0" collapsed="false">
      <c r="A1685" s="0" t="n">
        <f aca="false">B1685*1000+C1685</f>
        <v>31014</v>
      </c>
      <c r="B1685" s="0" t="n">
        <v>31</v>
      </c>
      <c r="C1685" s="0" t="n">
        <v>14</v>
      </c>
      <c r="D1685" s="0" t="n">
        <v>0</v>
      </c>
      <c r="E1685" s="0" t="n">
        <f aca="false">VLOOKUP(B1685,'MSA-Lookup'!$H$2:$I$86,2)</f>
        <v>9999</v>
      </c>
      <c r="F1685" s="0" t="n">
        <f aca="false">IF(C1685&gt;1,IF(C1685&lt;99,VLOOKUP(C1685,'MSA-Lookup'!$H$1:$I$86,2),C1685),C1685)</f>
        <v>7500</v>
      </c>
      <c r="G1685" s="0" t="n">
        <f aca="false">VLOOKUP(E1685,'MSA-Lookup'!$AA$1:$AB$25,2)</f>
        <v>9999</v>
      </c>
      <c r="H1685" s="0" t="n">
        <f aca="false">IF(C1685&gt;1,IF(C1685&lt;99,VLOOKUP(F1685,'MSA-Lookup'!$AA$1:$AB$25,2),C1685),C1685)</f>
        <v>7362</v>
      </c>
    </row>
    <row r="1686" customFormat="false" ht="12.75" hidden="false" customHeight="false" outlineLevel="0" collapsed="false">
      <c r="A1686" s="0" t="n">
        <f aca="false">B1686*1000+C1686</f>
        <v>31015</v>
      </c>
      <c r="B1686" s="0" t="n">
        <v>31</v>
      </c>
      <c r="C1686" s="0" t="n">
        <v>15</v>
      </c>
      <c r="D1686" s="0" t="n">
        <v>0</v>
      </c>
      <c r="E1686" s="0" t="n">
        <f aca="false">VLOOKUP(B1686,'MSA-Lookup'!$H$2:$I$86,2)</f>
        <v>9999</v>
      </c>
      <c r="F1686" s="0" t="n">
        <f aca="false">IF(C1686&gt;1,IF(C1686&lt;99,VLOOKUP(C1686,'MSA-Lookup'!$H$1:$I$86,2),C1686),C1686)</f>
        <v>7360</v>
      </c>
      <c r="G1686" s="0" t="n">
        <f aca="false">VLOOKUP(E1686,'MSA-Lookup'!$AA$1:$AB$25,2)</f>
        <v>9999</v>
      </c>
      <c r="H1686" s="0" t="n">
        <f aca="false">IF(C1686&gt;1,IF(C1686&lt;99,VLOOKUP(F1686,'MSA-Lookup'!$AA$1:$AB$25,2),C1686),C1686)</f>
        <v>7362</v>
      </c>
    </row>
    <row r="1687" customFormat="false" ht="12.75" hidden="false" customHeight="false" outlineLevel="0" collapsed="false">
      <c r="A1687" s="0" t="n">
        <f aca="false">B1687*1000+C1687</f>
        <v>31016</v>
      </c>
      <c r="B1687" s="0" t="n">
        <v>31</v>
      </c>
      <c r="C1687" s="0" t="n">
        <v>16</v>
      </c>
      <c r="D1687" s="0" t="n">
        <v>0</v>
      </c>
      <c r="E1687" s="0" t="n">
        <f aca="false">VLOOKUP(B1687,'MSA-Lookup'!$H$2:$I$86,2)</f>
        <v>9999</v>
      </c>
      <c r="F1687" s="0" t="n">
        <f aca="false">IF(C1687&gt;1,IF(C1687&lt;99,VLOOKUP(C1687,'MSA-Lookup'!$H$1:$I$86,2),C1687),C1687)</f>
        <v>8720</v>
      </c>
      <c r="G1687" s="0" t="n">
        <f aca="false">VLOOKUP(E1687,'MSA-Lookup'!$AA$1:$AB$25,2)</f>
        <v>9999</v>
      </c>
      <c r="H1687" s="0" t="n">
        <f aca="false">IF(C1687&gt;1,IF(C1687&lt;99,VLOOKUP(F1687,'MSA-Lookup'!$AA$1:$AB$25,2),C1687),C1687)</f>
        <v>7362</v>
      </c>
    </row>
    <row r="1688" customFormat="false" ht="12.75" hidden="false" customHeight="false" outlineLevel="0" collapsed="false">
      <c r="A1688" s="0" t="n">
        <f aca="false">B1688*1000+C1688</f>
        <v>31017</v>
      </c>
      <c r="B1688" s="0" t="n">
        <v>31</v>
      </c>
      <c r="C1688" s="0" t="n">
        <v>17</v>
      </c>
      <c r="D1688" s="0" t="n">
        <v>0</v>
      </c>
      <c r="E1688" s="0" t="n">
        <f aca="false">VLOOKUP(B1688,'MSA-Lookup'!$H$2:$I$86,2)</f>
        <v>9999</v>
      </c>
      <c r="F1688" s="0" t="n">
        <f aca="false">IF(C1688&gt;1,IF(C1688&lt;99,VLOOKUP(C1688,'MSA-Lookup'!$H$1:$I$86,2),C1688),C1688)</f>
        <v>5775</v>
      </c>
      <c r="G1688" s="0" t="n">
        <f aca="false">VLOOKUP(E1688,'MSA-Lookup'!$AA$1:$AB$25,2)</f>
        <v>9999</v>
      </c>
      <c r="H1688" s="0" t="n">
        <f aca="false">IF(C1688&gt;1,IF(C1688&lt;99,VLOOKUP(F1688,'MSA-Lookup'!$AA$1:$AB$25,2),C1688),C1688)</f>
        <v>7362</v>
      </c>
    </row>
    <row r="1689" customFormat="false" ht="12.75" hidden="false" customHeight="false" outlineLevel="0" collapsed="false">
      <c r="A1689" s="0" t="n">
        <f aca="false">B1689*1000+C1689</f>
        <v>31018</v>
      </c>
      <c r="B1689" s="0" t="n">
        <v>31</v>
      </c>
      <c r="C1689" s="0" t="n">
        <v>18</v>
      </c>
      <c r="D1689" s="0" t="n">
        <v>0</v>
      </c>
      <c r="E1689" s="0" t="n">
        <f aca="false">VLOOKUP(B1689,'MSA-Lookup'!$H$2:$I$86,2)</f>
        <v>9999</v>
      </c>
      <c r="F1689" s="0" t="n">
        <f aca="false">IF(C1689&gt;1,IF(C1689&lt;99,VLOOKUP(C1689,'MSA-Lookup'!$H$1:$I$86,2),C1689),C1689)</f>
        <v>5775</v>
      </c>
      <c r="G1689" s="0" t="n">
        <f aca="false">VLOOKUP(E1689,'MSA-Lookup'!$AA$1:$AB$25,2)</f>
        <v>9999</v>
      </c>
      <c r="H1689" s="0" t="n">
        <f aca="false">IF(C1689&gt;1,IF(C1689&lt;99,VLOOKUP(F1689,'MSA-Lookup'!$AA$1:$AB$25,2),C1689),C1689)</f>
        <v>7362</v>
      </c>
    </row>
    <row r="1690" customFormat="false" ht="12.75" hidden="false" customHeight="false" outlineLevel="0" collapsed="false">
      <c r="A1690" s="0" t="n">
        <f aca="false">B1690*1000+C1690</f>
        <v>31019</v>
      </c>
      <c r="B1690" s="0" t="n">
        <v>31</v>
      </c>
      <c r="C1690" s="0" t="n">
        <v>19</v>
      </c>
      <c r="D1690" s="0" t="n">
        <v>0</v>
      </c>
      <c r="E1690" s="0" t="n">
        <f aca="false">VLOOKUP(B1690,'MSA-Lookup'!$H$2:$I$86,2)</f>
        <v>9999</v>
      </c>
      <c r="F1690" s="0" t="n">
        <f aca="false">IF(C1690&gt;1,IF(C1690&lt;99,VLOOKUP(C1690,'MSA-Lookup'!$H$1:$I$86,2),C1690),C1690)</f>
        <v>7360</v>
      </c>
      <c r="G1690" s="0" t="n">
        <f aca="false">VLOOKUP(E1690,'MSA-Lookup'!$AA$1:$AB$25,2)</f>
        <v>9999</v>
      </c>
      <c r="H1690" s="0" t="n">
        <f aca="false">IF(C1690&gt;1,IF(C1690&lt;99,VLOOKUP(F1690,'MSA-Lookup'!$AA$1:$AB$25,2),C1690),C1690)</f>
        <v>7362</v>
      </c>
    </row>
    <row r="1691" customFormat="false" ht="12.75" hidden="false" customHeight="false" outlineLevel="0" collapsed="false">
      <c r="A1691" s="0" t="n">
        <f aca="false">B1691*1000+C1691</f>
        <v>31020</v>
      </c>
      <c r="B1691" s="0" t="n">
        <v>31</v>
      </c>
      <c r="C1691" s="0" t="n">
        <v>20</v>
      </c>
      <c r="D1691" s="0" t="n">
        <v>0</v>
      </c>
      <c r="E1691" s="0" t="n">
        <f aca="false">VLOOKUP(B1691,'MSA-Lookup'!$H$2:$I$86,2)</f>
        <v>9999</v>
      </c>
      <c r="F1691" s="0" t="n">
        <f aca="false">IF(C1691&gt;1,IF(C1691&lt;99,VLOOKUP(C1691,'MSA-Lookup'!$H$1:$I$86,2),C1691),C1691)</f>
        <v>5775</v>
      </c>
      <c r="G1691" s="0" t="n">
        <f aca="false">VLOOKUP(E1691,'MSA-Lookup'!$AA$1:$AB$25,2)</f>
        <v>9999</v>
      </c>
      <c r="H1691" s="0" t="n">
        <f aca="false">IF(C1691&gt;1,IF(C1691&lt;99,VLOOKUP(F1691,'MSA-Lookup'!$AA$1:$AB$25,2),C1691),C1691)</f>
        <v>7362</v>
      </c>
    </row>
    <row r="1692" customFormat="false" ht="12.75" hidden="false" customHeight="false" outlineLevel="0" collapsed="false">
      <c r="A1692" s="0" t="n">
        <f aca="false">B1692*1000+C1692</f>
        <v>31021</v>
      </c>
      <c r="B1692" s="0" t="n">
        <v>31</v>
      </c>
      <c r="C1692" s="0" t="n">
        <v>21</v>
      </c>
      <c r="D1692" s="0" t="n">
        <v>169</v>
      </c>
      <c r="E1692" s="0" t="n">
        <f aca="false">VLOOKUP(B1692,'MSA-Lookup'!$H$2:$I$86,2)</f>
        <v>9999</v>
      </c>
      <c r="F1692" s="0" t="n">
        <f aca="false">IF(C1692&gt;1,IF(C1692&lt;99,VLOOKUP(C1692,'MSA-Lookup'!$H$1:$I$86,2),C1692),C1692)</f>
        <v>5775</v>
      </c>
      <c r="G1692" s="0" t="n">
        <f aca="false">VLOOKUP(E1692,'MSA-Lookup'!$AA$1:$AB$25,2)</f>
        <v>9999</v>
      </c>
      <c r="H1692" s="0" t="n">
        <f aca="false">IF(C1692&gt;1,IF(C1692&lt;99,VLOOKUP(F1692,'MSA-Lookup'!$AA$1:$AB$25,2),C1692),C1692)</f>
        <v>7362</v>
      </c>
    </row>
    <row r="1693" customFormat="false" ht="12.75" hidden="false" customHeight="false" outlineLevel="0" collapsed="false">
      <c r="A1693" s="0" t="n">
        <f aca="false">B1693*1000+C1693</f>
        <v>31022</v>
      </c>
      <c r="B1693" s="0" t="n">
        <v>31</v>
      </c>
      <c r="C1693" s="0" t="n">
        <v>22</v>
      </c>
      <c r="D1693" s="0" t="n">
        <v>0</v>
      </c>
      <c r="E1693" s="0" t="n">
        <f aca="false">VLOOKUP(B1693,'MSA-Lookup'!$H$2:$I$86,2)</f>
        <v>9999</v>
      </c>
      <c r="F1693" s="0" t="n">
        <f aca="false">IF(C1693&gt;1,IF(C1693&lt;99,VLOOKUP(C1693,'MSA-Lookup'!$H$1:$I$86,2),C1693),C1693)</f>
        <v>7360</v>
      </c>
      <c r="G1693" s="0" t="n">
        <f aca="false">VLOOKUP(E1693,'MSA-Lookup'!$AA$1:$AB$25,2)</f>
        <v>9999</v>
      </c>
      <c r="H1693" s="0" t="n">
        <f aca="false">IF(C1693&gt;1,IF(C1693&lt;99,VLOOKUP(F1693,'MSA-Lookup'!$AA$1:$AB$25,2),C1693),C1693)</f>
        <v>7362</v>
      </c>
    </row>
    <row r="1694" customFormat="false" ht="12.75" hidden="false" customHeight="false" outlineLevel="0" collapsed="false">
      <c r="A1694" s="0" t="n">
        <f aca="false">B1694*1000+C1694</f>
        <v>31023</v>
      </c>
      <c r="B1694" s="0" t="n">
        <v>31</v>
      </c>
      <c r="C1694" s="0" t="n">
        <v>23</v>
      </c>
      <c r="D1694" s="0" t="n">
        <v>0</v>
      </c>
      <c r="E1694" s="0" t="n">
        <f aca="false">VLOOKUP(B1694,'MSA-Lookup'!$H$2:$I$86,2)</f>
        <v>9999</v>
      </c>
      <c r="F1694" s="0" t="n">
        <f aca="false">IF(C1694&gt;1,IF(C1694&lt;99,VLOOKUP(C1694,'MSA-Lookup'!$H$1:$I$86,2),C1694),C1694)</f>
        <v>8120</v>
      </c>
      <c r="G1694" s="0" t="n">
        <f aca="false">VLOOKUP(E1694,'MSA-Lookup'!$AA$1:$AB$25,2)</f>
        <v>9999</v>
      </c>
      <c r="H1694" s="0" t="n">
        <f aca="false">IF(C1694&gt;1,IF(C1694&lt;99,VLOOKUP(F1694,'MSA-Lookup'!$AA$1:$AB$25,2),C1694),C1694)</f>
        <v>8120</v>
      </c>
    </row>
    <row r="1695" customFormat="false" ht="12.75" hidden="false" customHeight="false" outlineLevel="0" collapsed="false">
      <c r="A1695" s="0" t="n">
        <f aca="false">B1695*1000+C1695</f>
        <v>31024</v>
      </c>
      <c r="B1695" s="0" t="n">
        <v>31</v>
      </c>
      <c r="C1695" s="0" t="n">
        <v>24</v>
      </c>
      <c r="D1695" s="0" t="n">
        <v>0</v>
      </c>
      <c r="E1695" s="0" t="n">
        <f aca="false">VLOOKUP(B1695,'MSA-Lookup'!$H$2:$I$86,2)</f>
        <v>9999</v>
      </c>
      <c r="F1695" s="0" t="n">
        <f aca="false">IF(C1695&gt;1,IF(C1695&lt;99,VLOOKUP(C1695,'MSA-Lookup'!$H$1:$I$86,2),C1695),C1695)</f>
        <v>5170</v>
      </c>
      <c r="G1695" s="0" t="n">
        <f aca="false">VLOOKUP(E1695,'MSA-Lookup'!$AA$1:$AB$25,2)</f>
        <v>9999</v>
      </c>
      <c r="H1695" s="0" t="n">
        <f aca="false">IF(C1695&gt;1,IF(C1695&lt;99,VLOOKUP(F1695,'MSA-Lookup'!$AA$1:$AB$25,2),C1695),C1695)</f>
        <v>5170</v>
      </c>
    </row>
    <row r="1696" customFormat="false" ht="12.75" hidden="false" customHeight="false" outlineLevel="0" collapsed="false">
      <c r="A1696" s="0" t="n">
        <f aca="false">B1696*1000+C1696</f>
        <v>31025</v>
      </c>
      <c r="B1696" s="0" t="n">
        <v>31</v>
      </c>
      <c r="C1696" s="0" t="n">
        <v>25</v>
      </c>
      <c r="D1696" s="0" t="n">
        <v>0</v>
      </c>
      <c r="E1696" s="0" t="n">
        <f aca="false">VLOOKUP(B1696,'MSA-Lookup'!$H$2:$I$86,2)</f>
        <v>9999</v>
      </c>
      <c r="F1696" s="0" t="n">
        <f aca="false">IF(C1696&gt;1,IF(C1696&lt;99,VLOOKUP(C1696,'MSA-Lookup'!$H$1:$I$86,2),C1696),C1696)</f>
        <v>5170</v>
      </c>
      <c r="G1696" s="0" t="n">
        <f aca="false">VLOOKUP(E1696,'MSA-Lookup'!$AA$1:$AB$25,2)</f>
        <v>9999</v>
      </c>
      <c r="H1696" s="0" t="n">
        <f aca="false">IF(C1696&gt;1,IF(C1696&lt;99,VLOOKUP(F1696,'MSA-Lookup'!$AA$1:$AB$25,2),C1696),C1696)</f>
        <v>5170</v>
      </c>
    </row>
    <row r="1697" customFormat="false" ht="12.75" hidden="false" customHeight="false" outlineLevel="0" collapsed="false">
      <c r="A1697" s="0" t="n">
        <f aca="false">B1697*1000+C1697</f>
        <v>31026</v>
      </c>
      <c r="B1697" s="0" t="n">
        <v>31</v>
      </c>
      <c r="C1697" s="0" t="n">
        <v>26</v>
      </c>
      <c r="D1697" s="0" t="n">
        <v>0</v>
      </c>
      <c r="E1697" s="0" t="n">
        <f aca="false">VLOOKUP(B1697,'MSA-Lookup'!$H$2:$I$86,2)</f>
        <v>9999</v>
      </c>
      <c r="F1697" s="0" t="n">
        <f aca="false">IF(C1697&gt;1,IF(C1697&lt;99,VLOOKUP(C1697,'MSA-Lookup'!$H$1:$I$86,2),C1697),C1697)</f>
        <v>9999</v>
      </c>
      <c r="G1697" s="0" t="n">
        <f aca="false">VLOOKUP(E1697,'MSA-Lookup'!$AA$1:$AB$25,2)</f>
        <v>9999</v>
      </c>
      <c r="H1697" s="0" t="n">
        <f aca="false">IF(C1697&gt;1,IF(C1697&lt;99,VLOOKUP(F1697,'MSA-Lookup'!$AA$1:$AB$25,2),C1697),C1697)</f>
        <v>9999</v>
      </c>
    </row>
    <row r="1698" customFormat="false" ht="12.75" hidden="false" customHeight="false" outlineLevel="0" collapsed="false">
      <c r="A1698" s="0" t="n">
        <f aca="false">B1698*1000+C1698</f>
        <v>31027</v>
      </c>
      <c r="B1698" s="0" t="n">
        <v>31</v>
      </c>
      <c r="C1698" s="0" t="n">
        <v>27</v>
      </c>
      <c r="D1698" s="0" t="n">
        <v>0</v>
      </c>
      <c r="E1698" s="0" t="n">
        <f aca="false">VLOOKUP(B1698,'MSA-Lookup'!$H$2:$I$86,2)</f>
        <v>9999</v>
      </c>
      <c r="F1698" s="0" t="n">
        <f aca="false">IF(C1698&gt;1,IF(C1698&lt;99,VLOOKUP(C1698,'MSA-Lookup'!$H$1:$I$86,2),C1698),C1698)</f>
        <v>9999</v>
      </c>
      <c r="G1698" s="0" t="n">
        <f aca="false">VLOOKUP(E1698,'MSA-Lookup'!$AA$1:$AB$25,2)</f>
        <v>9999</v>
      </c>
      <c r="H1698" s="0" t="n">
        <f aca="false">IF(C1698&gt;1,IF(C1698&lt;99,VLOOKUP(F1698,'MSA-Lookup'!$AA$1:$AB$25,2),C1698),C1698)</f>
        <v>9999</v>
      </c>
    </row>
    <row r="1699" customFormat="false" ht="12.75" hidden="false" customHeight="false" outlineLevel="0" collapsed="false">
      <c r="A1699" s="0" t="n">
        <f aca="false">B1699*1000+C1699</f>
        <v>31028</v>
      </c>
      <c r="B1699" s="0" t="n">
        <v>31</v>
      </c>
      <c r="C1699" s="0" t="n">
        <v>28</v>
      </c>
      <c r="D1699" s="0" t="n">
        <v>0</v>
      </c>
      <c r="E1699" s="0" t="n">
        <f aca="false">VLOOKUP(B1699,'MSA-Lookup'!$H$2:$I$86,2)</f>
        <v>9999</v>
      </c>
      <c r="F1699" s="0" t="n">
        <f aca="false">IF(C1699&gt;1,IF(C1699&lt;99,VLOOKUP(C1699,'MSA-Lookup'!$H$1:$I$86,2),C1699),C1699)</f>
        <v>6920</v>
      </c>
      <c r="G1699" s="0" t="n">
        <f aca="false">VLOOKUP(E1699,'MSA-Lookup'!$AA$1:$AB$25,2)</f>
        <v>9999</v>
      </c>
      <c r="H1699" s="0" t="n">
        <f aca="false">IF(C1699&gt;1,IF(C1699&lt;99,VLOOKUP(F1699,'MSA-Lookup'!$AA$1:$AB$25,2),C1699),C1699)</f>
        <v>6920</v>
      </c>
    </row>
    <row r="1700" customFormat="false" ht="12.75" hidden="false" customHeight="false" outlineLevel="0" collapsed="false">
      <c r="A1700" s="0" t="n">
        <f aca="false">B1700*1000+C1700</f>
        <v>31029</v>
      </c>
      <c r="B1700" s="0" t="n">
        <v>31</v>
      </c>
      <c r="C1700" s="0" t="n">
        <v>29</v>
      </c>
      <c r="D1700" s="0" t="n">
        <v>0</v>
      </c>
      <c r="E1700" s="0" t="n">
        <f aca="false">VLOOKUP(B1700,'MSA-Lookup'!$H$2:$I$86,2)</f>
        <v>9999</v>
      </c>
      <c r="F1700" s="0" t="n">
        <f aca="false">IF(C1700&gt;1,IF(C1700&lt;99,VLOOKUP(C1700,'MSA-Lookup'!$H$1:$I$86,2),C1700),C1700)</f>
        <v>6920</v>
      </c>
      <c r="G1700" s="0" t="n">
        <f aca="false">VLOOKUP(E1700,'MSA-Lookup'!$AA$1:$AB$25,2)</f>
        <v>9999</v>
      </c>
      <c r="H1700" s="0" t="n">
        <f aca="false">IF(C1700&gt;1,IF(C1700&lt;99,VLOOKUP(F1700,'MSA-Lookup'!$AA$1:$AB$25,2),C1700),C1700)</f>
        <v>6920</v>
      </c>
    </row>
    <row r="1701" customFormat="false" ht="12.75" hidden="false" customHeight="false" outlineLevel="0" collapsed="false">
      <c r="A1701" s="0" t="n">
        <f aca="false">B1701*1000+C1701</f>
        <v>31030</v>
      </c>
      <c r="B1701" s="0" t="n">
        <v>31</v>
      </c>
      <c r="C1701" s="0" t="n">
        <v>30</v>
      </c>
      <c r="D1701" s="0" t="n">
        <v>0</v>
      </c>
      <c r="E1701" s="0" t="n">
        <f aca="false">VLOOKUP(B1701,'MSA-Lookup'!$H$2:$I$86,2)</f>
        <v>9999</v>
      </c>
      <c r="F1701" s="0" t="n">
        <f aca="false">IF(C1701&gt;1,IF(C1701&lt;99,VLOOKUP(C1701,'MSA-Lookup'!$H$1:$I$86,2),C1701),C1701)</f>
        <v>4940</v>
      </c>
      <c r="G1701" s="0" t="n">
        <f aca="false">VLOOKUP(E1701,'MSA-Lookup'!$AA$1:$AB$25,2)</f>
        <v>9999</v>
      </c>
      <c r="H1701" s="0" t="n">
        <f aca="false">IF(C1701&gt;1,IF(C1701&lt;99,VLOOKUP(F1701,'MSA-Lookup'!$AA$1:$AB$25,2),C1701),C1701)</f>
        <v>4940</v>
      </c>
    </row>
    <row r="1702" customFormat="false" ht="12.75" hidden="false" customHeight="false" outlineLevel="0" collapsed="false">
      <c r="A1702" s="0" t="n">
        <f aca="false">B1702*1000+C1702</f>
        <v>31031</v>
      </c>
      <c r="B1702" s="0" t="n">
        <v>31</v>
      </c>
      <c r="C1702" s="0" t="n">
        <v>31</v>
      </c>
      <c r="D1702" s="0" t="n">
        <v>30563</v>
      </c>
      <c r="E1702" s="0" t="n">
        <f aca="false">VLOOKUP(B1702,'MSA-Lookup'!$H$2:$I$86,2)</f>
        <v>9999</v>
      </c>
      <c r="F1702" s="0" t="n">
        <f aca="false">IF(C1702&gt;1,IF(C1702&lt;99,VLOOKUP(C1702,'MSA-Lookup'!$H$1:$I$86,2),C1702),C1702)</f>
        <v>9999</v>
      </c>
      <c r="G1702" s="0" t="n">
        <f aca="false">VLOOKUP(E1702,'MSA-Lookup'!$AA$1:$AB$25,2)</f>
        <v>9999</v>
      </c>
      <c r="H1702" s="0" t="n">
        <f aca="false">IF(C1702&gt;1,IF(C1702&lt;99,VLOOKUP(F1702,'MSA-Lookup'!$AA$1:$AB$25,2),C1702),C1702)</f>
        <v>9999</v>
      </c>
    </row>
    <row r="1703" customFormat="false" ht="12.75" hidden="false" customHeight="false" outlineLevel="0" collapsed="false">
      <c r="A1703" s="0" t="n">
        <f aca="false">B1703*1000+C1703</f>
        <v>31032</v>
      </c>
      <c r="B1703" s="0" t="n">
        <v>31</v>
      </c>
      <c r="C1703" s="0" t="n">
        <v>32</v>
      </c>
      <c r="D1703" s="0" t="n">
        <v>117</v>
      </c>
      <c r="E1703" s="0" t="n">
        <f aca="false">VLOOKUP(B1703,'MSA-Lookup'!$H$2:$I$86,2)</f>
        <v>9999</v>
      </c>
      <c r="F1703" s="0" t="n">
        <f aca="false">IF(C1703&gt;1,IF(C1703&lt;99,VLOOKUP(C1703,'MSA-Lookup'!$H$1:$I$86,2),C1703),C1703)</f>
        <v>7480</v>
      </c>
      <c r="G1703" s="0" t="n">
        <f aca="false">VLOOKUP(E1703,'MSA-Lookup'!$AA$1:$AB$25,2)</f>
        <v>9999</v>
      </c>
      <c r="H1703" s="0" t="n">
        <f aca="false">IF(C1703&gt;1,IF(C1703&lt;99,VLOOKUP(F1703,'MSA-Lookup'!$AA$1:$AB$25,2),C1703),C1703)</f>
        <v>7480</v>
      </c>
    </row>
    <row r="1704" customFormat="false" ht="12.75" hidden="false" customHeight="false" outlineLevel="0" collapsed="false">
      <c r="A1704" s="0" t="n">
        <f aca="false">B1704*1000+C1704</f>
        <v>31033</v>
      </c>
      <c r="B1704" s="0" t="n">
        <v>31</v>
      </c>
      <c r="C1704" s="0" t="n">
        <v>33</v>
      </c>
      <c r="D1704" s="0" t="n">
        <v>0</v>
      </c>
      <c r="E1704" s="0" t="n">
        <f aca="false">VLOOKUP(B1704,'MSA-Lookup'!$H$2:$I$86,2)</f>
        <v>9999</v>
      </c>
      <c r="F1704" s="0" t="n">
        <f aca="false">IF(C1704&gt;1,IF(C1704&lt;99,VLOOKUP(C1704,'MSA-Lookup'!$H$1:$I$86,2),C1704),C1704)</f>
        <v>7320</v>
      </c>
      <c r="G1704" s="0" t="n">
        <f aca="false">VLOOKUP(E1704,'MSA-Lookup'!$AA$1:$AB$25,2)</f>
        <v>9999</v>
      </c>
      <c r="H1704" s="0" t="n">
        <f aca="false">IF(C1704&gt;1,IF(C1704&lt;99,VLOOKUP(F1704,'MSA-Lookup'!$AA$1:$AB$25,2),C1704),C1704)</f>
        <v>7320</v>
      </c>
    </row>
    <row r="1705" customFormat="false" ht="12.75" hidden="false" customHeight="false" outlineLevel="0" collapsed="false">
      <c r="A1705" s="0" t="n">
        <f aca="false">B1705*1000+C1705</f>
        <v>31034</v>
      </c>
      <c r="B1705" s="0" t="n">
        <v>31</v>
      </c>
      <c r="C1705" s="0" t="n">
        <v>34</v>
      </c>
      <c r="D1705" s="0" t="n">
        <v>0</v>
      </c>
      <c r="E1705" s="0" t="n">
        <f aca="false">VLOOKUP(B1705,'MSA-Lookup'!$H$2:$I$86,2)</f>
        <v>9999</v>
      </c>
      <c r="F1705" s="0" t="n">
        <f aca="false">IF(C1705&gt;1,IF(C1705&lt;99,VLOOKUP(C1705,'MSA-Lookup'!$H$1:$I$86,2),C1705),C1705)</f>
        <v>7320</v>
      </c>
      <c r="G1705" s="0" t="n">
        <f aca="false">VLOOKUP(E1705,'MSA-Lookup'!$AA$1:$AB$25,2)</f>
        <v>9999</v>
      </c>
      <c r="H1705" s="0" t="n">
        <f aca="false">IF(C1705&gt;1,IF(C1705&lt;99,VLOOKUP(F1705,'MSA-Lookup'!$AA$1:$AB$25,2),C1705),C1705)</f>
        <v>7320</v>
      </c>
    </row>
    <row r="1706" customFormat="false" ht="12.75" hidden="false" customHeight="false" outlineLevel="0" collapsed="false">
      <c r="A1706" s="0" t="n">
        <f aca="false">B1706*1000+C1706</f>
        <v>31035</v>
      </c>
      <c r="B1706" s="0" t="n">
        <v>31</v>
      </c>
      <c r="C1706" s="0" t="n">
        <v>35</v>
      </c>
      <c r="D1706" s="0" t="n">
        <v>0</v>
      </c>
      <c r="E1706" s="0" t="n">
        <f aca="false">VLOOKUP(B1706,'MSA-Lookup'!$H$2:$I$86,2)</f>
        <v>9999</v>
      </c>
      <c r="F1706" s="0" t="n">
        <f aca="false">IF(C1706&gt;1,IF(C1706&lt;99,VLOOKUP(C1706,'MSA-Lookup'!$H$1:$I$86,2),C1706),C1706)</f>
        <v>7320</v>
      </c>
      <c r="G1706" s="0" t="n">
        <f aca="false">VLOOKUP(E1706,'MSA-Lookup'!$AA$1:$AB$25,2)</f>
        <v>9999</v>
      </c>
      <c r="H1706" s="0" t="n">
        <f aca="false">IF(C1706&gt;1,IF(C1706&lt;99,VLOOKUP(F1706,'MSA-Lookup'!$AA$1:$AB$25,2),C1706),C1706)</f>
        <v>7320</v>
      </c>
    </row>
    <row r="1707" customFormat="false" ht="12.75" hidden="false" customHeight="false" outlineLevel="0" collapsed="false">
      <c r="A1707" s="0" t="n">
        <f aca="false">B1707*1000+C1707</f>
        <v>31037</v>
      </c>
      <c r="B1707" s="0" t="n">
        <v>31</v>
      </c>
      <c r="C1707" s="0" t="n">
        <v>37</v>
      </c>
      <c r="D1707" s="0" t="n">
        <v>0</v>
      </c>
      <c r="E1707" s="0" t="n">
        <f aca="false">VLOOKUP(B1707,'MSA-Lookup'!$H$2:$I$86,2)</f>
        <v>9999</v>
      </c>
      <c r="F1707" s="0" t="n">
        <f aca="false">IF(C1707&gt;1,IF(C1707&lt;99,VLOOKUP(C1707,'MSA-Lookup'!$H$1:$I$86,2),C1707),C1707)</f>
        <v>7320</v>
      </c>
      <c r="G1707" s="0" t="n">
        <f aca="false">VLOOKUP(E1707,'MSA-Lookup'!$AA$1:$AB$25,2)</f>
        <v>9999</v>
      </c>
      <c r="H1707" s="0" t="n">
        <f aca="false">IF(C1707&gt;1,IF(C1707&lt;99,VLOOKUP(F1707,'MSA-Lookup'!$AA$1:$AB$25,2),C1707),C1707)</f>
        <v>7320</v>
      </c>
    </row>
    <row r="1708" customFormat="false" ht="12.75" hidden="false" customHeight="false" outlineLevel="0" collapsed="false">
      <c r="A1708" s="0" t="n">
        <f aca="false">B1708*1000+C1708</f>
        <v>31038</v>
      </c>
      <c r="B1708" s="0" t="n">
        <v>31</v>
      </c>
      <c r="C1708" s="0" t="n">
        <v>38</v>
      </c>
      <c r="D1708" s="0" t="n">
        <v>0</v>
      </c>
      <c r="E1708" s="0" t="n">
        <f aca="false">VLOOKUP(B1708,'MSA-Lookup'!$H$2:$I$86,2)</f>
        <v>9999</v>
      </c>
      <c r="F1708" s="0" t="n">
        <f aca="false">IF(C1708&gt;1,IF(C1708&lt;99,VLOOKUP(C1708,'MSA-Lookup'!$H$1:$I$86,2),C1708),C1708)</f>
        <v>7120</v>
      </c>
      <c r="G1708" s="0" t="n">
        <f aca="false">VLOOKUP(E1708,'MSA-Lookup'!$AA$1:$AB$25,2)</f>
        <v>9999</v>
      </c>
      <c r="H1708" s="0" t="n">
        <f aca="false">IF(C1708&gt;1,IF(C1708&lt;99,VLOOKUP(F1708,'MSA-Lookup'!$AA$1:$AB$25,2),C1708),C1708)</f>
        <v>7120</v>
      </c>
    </row>
    <row r="1709" customFormat="false" ht="12.75" hidden="false" customHeight="false" outlineLevel="0" collapsed="false">
      <c r="A1709" s="0" t="n">
        <f aca="false">B1709*1000+C1709</f>
        <v>31039</v>
      </c>
      <c r="B1709" s="0" t="n">
        <v>31</v>
      </c>
      <c r="C1709" s="0" t="n">
        <v>39</v>
      </c>
      <c r="D1709" s="0" t="n">
        <v>0</v>
      </c>
      <c r="E1709" s="0" t="n">
        <f aca="false">VLOOKUP(B1709,'MSA-Lookup'!$H$2:$I$86,2)</f>
        <v>9999</v>
      </c>
      <c r="F1709" s="0" t="n">
        <f aca="false">IF(C1709&gt;1,IF(C1709&lt;99,VLOOKUP(C1709,'MSA-Lookup'!$H$1:$I$86,2),C1709),C1709)</f>
        <v>7120</v>
      </c>
      <c r="G1709" s="0" t="n">
        <f aca="false">VLOOKUP(E1709,'MSA-Lookup'!$AA$1:$AB$25,2)</f>
        <v>9999</v>
      </c>
      <c r="H1709" s="0" t="n">
        <f aca="false">IF(C1709&gt;1,IF(C1709&lt;99,VLOOKUP(F1709,'MSA-Lookup'!$AA$1:$AB$25,2),C1709),C1709)</f>
        <v>7120</v>
      </c>
    </row>
    <row r="1710" customFormat="false" ht="12.75" hidden="false" customHeight="false" outlineLevel="0" collapsed="false">
      <c r="A1710" s="0" t="n">
        <f aca="false">B1710*1000+C1710</f>
        <v>31040</v>
      </c>
      <c r="B1710" s="0" t="n">
        <v>31</v>
      </c>
      <c r="C1710" s="0" t="n">
        <v>40</v>
      </c>
      <c r="D1710" s="0" t="n">
        <v>871</v>
      </c>
      <c r="E1710" s="0" t="n">
        <f aca="false">VLOOKUP(B1710,'MSA-Lookup'!$H$2:$I$86,2)</f>
        <v>9999</v>
      </c>
      <c r="F1710" s="0" t="n">
        <f aca="false">IF(C1710&gt;1,IF(C1710&lt;99,VLOOKUP(C1710,'MSA-Lookup'!$H$1:$I$86,2),C1710),C1710)</f>
        <v>2840</v>
      </c>
      <c r="G1710" s="0" t="n">
        <f aca="false">VLOOKUP(E1710,'MSA-Lookup'!$AA$1:$AB$25,2)</f>
        <v>9999</v>
      </c>
      <c r="H1710" s="0" t="n">
        <f aca="false">IF(C1710&gt;1,IF(C1710&lt;99,VLOOKUP(F1710,'MSA-Lookup'!$AA$1:$AB$25,2),C1710),C1710)</f>
        <v>2840</v>
      </c>
    </row>
    <row r="1711" customFormat="false" ht="12.75" hidden="false" customHeight="false" outlineLevel="0" collapsed="false">
      <c r="A1711" s="0" t="n">
        <f aca="false">B1711*1000+C1711</f>
        <v>31041</v>
      </c>
      <c r="B1711" s="0" t="n">
        <v>31</v>
      </c>
      <c r="C1711" s="0" t="n">
        <v>41</v>
      </c>
      <c r="D1711" s="0" t="n">
        <v>1612</v>
      </c>
      <c r="E1711" s="0" t="n">
        <f aca="false">VLOOKUP(B1711,'MSA-Lookup'!$H$2:$I$86,2)</f>
        <v>9999</v>
      </c>
      <c r="F1711" s="0" t="n">
        <f aca="false">IF(C1711&gt;1,IF(C1711&lt;99,VLOOKUP(C1711,'MSA-Lookup'!$H$1:$I$86,2),C1711),C1711)</f>
        <v>2840</v>
      </c>
      <c r="G1711" s="0" t="n">
        <f aca="false">VLOOKUP(E1711,'MSA-Lookup'!$AA$1:$AB$25,2)</f>
        <v>9999</v>
      </c>
      <c r="H1711" s="0" t="n">
        <f aca="false">IF(C1711&gt;1,IF(C1711&lt;99,VLOOKUP(F1711,'MSA-Lookup'!$AA$1:$AB$25,2),C1711),C1711)</f>
        <v>2840</v>
      </c>
    </row>
    <row r="1712" customFormat="false" ht="12.75" hidden="false" customHeight="false" outlineLevel="0" collapsed="false">
      <c r="A1712" s="0" t="n">
        <f aca="false">B1712*1000+C1712</f>
        <v>31042</v>
      </c>
      <c r="B1712" s="0" t="n">
        <v>31</v>
      </c>
      <c r="C1712" s="0" t="n">
        <v>42</v>
      </c>
      <c r="D1712" s="0" t="n">
        <v>0</v>
      </c>
      <c r="E1712" s="0" t="n">
        <f aca="false">VLOOKUP(B1712,'MSA-Lookup'!$H$2:$I$86,2)</f>
        <v>9999</v>
      </c>
      <c r="F1712" s="0" t="n">
        <f aca="false">IF(C1712&gt;1,IF(C1712&lt;99,VLOOKUP(C1712,'MSA-Lookup'!$H$1:$I$86,2),C1712),C1712)</f>
        <v>360</v>
      </c>
      <c r="G1712" s="0" t="n">
        <f aca="false">VLOOKUP(E1712,'MSA-Lookup'!$AA$1:$AB$25,2)</f>
        <v>9999</v>
      </c>
      <c r="H1712" s="0" t="n">
        <f aca="false">IF(C1712&gt;1,IF(C1712&lt;99,VLOOKUP(F1712,'MSA-Lookup'!$AA$1:$AB$25,2),C1712),C1712)</f>
        <v>4472</v>
      </c>
    </row>
    <row r="1713" customFormat="false" ht="12.75" hidden="false" customHeight="false" outlineLevel="0" collapsed="false">
      <c r="A1713" s="0" t="n">
        <f aca="false">B1713*1000+C1713</f>
        <v>31043</v>
      </c>
      <c r="B1713" s="0" t="n">
        <v>31</v>
      </c>
      <c r="C1713" s="0" t="n">
        <v>43</v>
      </c>
      <c r="D1713" s="0" t="n">
        <v>0</v>
      </c>
      <c r="E1713" s="0" t="n">
        <f aca="false">VLOOKUP(B1713,'MSA-Lookup'!$H$2:$I$86,2)</f>
        <v>9999</v>
      </c>
      <c r="F1713" s="0" t="n">
        <f aca="false">IF(C1713&gt;1,IF(C1713&lt;99,VLOOKUP(C1713,'MSA-Lookup'!$H$1:$I$86,2),C1713),C1713)</f>
        <v>360</v>
      </c>
      <c r="G1713" s="0" t="n">
        <f aca="false">VLOOKUP(E1713,'MSA-Lookup'!$AA$1:$AB$25,2)</f>
        <v>9999</v>
      </c>
      <c r="H1713" s="0" t="n">
        <f aca="false">IF(C1713&gt;1,IF(C1713&lt;99,VLOOKUP(F1713,'MSA-Lookup'!$AA$1:$AB$25,2),C1713),C1713)</f>
        <v>4472</v>
      </c>
    </row>
    <row r="1714" customFormat="false" ht="12.75" hidden="false" customHeight="false" outlineLevel="0" collapsed="false">
      <c r="A1714" s="0" t="n">
        <f aca="false">B1714*1000+C1714</f>
        <v>31046</v>
      </c>
      <c r="B1714" s="0" t="n">
        <v>31</v>
      </c>
      <c r="C1714" s="0" t="n">
        <v>46</v>
      </c>
      <c r="D1714" s="0" t="n">
        <v>0</v>
      </c>
      <c r="E1714" s="0" t="n">
        <f aca="false">VLOOKUP(B1714,'MSA-Lookup'!$H$2:$I$86,2)</f>
        <v>9999</v>
      </c>
      <c r="F1714" s="0" t="n">
        <f aca="false">IF(C1714&gt;1,IF(C1714&lt;99,VLOOKUP(C1714,'MSA-Lookup'!$H$1:$I$86,2),C1714),C1714)</f>
        <v>360</v>
      </c>
      <c r="G1714" s="0" t="n">
        <f aca="false">VLOOKUP(E1714,'MSA-Lookup'!$AA$1:$AB$25,2)</f>
        <v>9999</v>
      </c>
      <c r="H1714" s="0" t="n">
        <f aca="false">IF(C1714&gt;1,IF(C1714&lt;99,VLOOKUP(F1714,'MSA-Lookup'!$AA$1:$AB$25,2),C1714),C1714)</f>
        <v>4472</v>
      </c>
    </row>
    <row r="1715" customFormat="false" ht="12.75" hidden="false" customHeight="false" outlineLevel="0" collapsed="false">
      <c r="A1715" s="0" t="n">
        <f aca="false">B1715*1000+C1715</f>
        <v>31048</v>
      </c>
      <c r="B1715" s="0" t="n">
        <v>31</v>
      </c>
      <c r="C1715" s="0" t="n">
        <v>48</v>
      </c>
      <c r="D1715" s="0" t="n">
        <v>0</v>
      </c>
      <c r="E1715" s="0" t="n">
        <f aca="false">VLOOKUP(B1715,'MSA-Lookup'!$H$2:$I$86,2)</f>
        <v>9999</v>
      </c>
      <c r="F1715" s="0" t="n">
        <f aca="false">IF(C1715&gt;1,IF(C1715&lt;99,VLOOKUP(C1715,'MSA-Lookup'!$H$1:$I$86,2),C1715),C1715)</f>
        <v>360</v>
      </c>
      <c r="G1715" s="0" t="n">
        <f aca="false">VLOOKUP(E1715,'MSA-Lookup'!$AA$1:$AB$25,2)</f>
        <v>9999</v>
      </c>
      <c r="H1715" s="0" t="n">
        <f aca="false">IF(C1715&gt;1,IF(C1715&lt;99,VLOOKUP(F1715,'MSA-Lookup'!$AA$1:$AB$25,2),C1715),C1715)</f>
        <v>4472</v>
      </c>
    </row>
    <row r="1716" customFormat="false" ht="12.75" hidden="false" customHeight="false" outlineLevel="0" collapsed="false">
      <c r="A1716" s="0" t="n">
        <f aca="false">B1716*1000+C1716</f>
        <v>31049</v>
      </c>
      <c r="B1716" s="0" t="n">
        <v>31</v>
      </c>
      <c r="C1716" s="0" t="n">
        <v>49</v>
      </c>
      <c r="D1716" s="0" t="n">
        <v>104</v>
      </c>
      <c r="E1716" s="0" t="n">
        <f aca="false">VLOOKUP(B1716,'MSA-Lookup'!$H$2:$I$86,2)</f>
        <v>9999</v>
      </c>
      <c r="F1716" s="0" t="n">
        <f aca="false">IF(C1716&gt;1,IF(C1716&lt;99,VLOOKUP(C1716,'MSA-Lookup'!$H$1:$I$86,2),C1716),C1716)</f>
        <v>7400</v>
      </c>
      <c r="G1716" s="0" t="n">
        <f aca="false">VLOOKUP(E1716,'MSA-Lookup'!$AA$1:$AB$25,2)</f>
        <v>9999</v>
      </c>
      <c r="H1716" s="0" t="n">
        <f aca="false">IF(C1716&gt;1,IF(C1716&lt;99,VLOOKUP(F1716,'MSA-Lookup'!$AA$1:$AB$25,2),C1716),C1716)</f>
        <v>7362</v>
      </c>
    </row>
    <row r="1717" customFormat="false" ht="12.75" hidden="false" customHeight="false" outlineLevel="0" collapsed="false">
      <c r="A1717" s="0" t="n">
        <f aca="false">B1717*1000+C1717</f>
        <v>31050</v>
      </c>
      <c r="B1717" s="0" t="n">
        <v>31</v>
      </c>
      <c r="C1717" s="0" t="n">
        <v>50</v>
      </c>
      <c r="D1717" s="0" t="n">
        <v>0</v>
      </c>
      <c r="E1717" s="0" t="n">
        <f aca="false">VLOOKUP(B1717,'MSA-Lookup'!$H$2:$I$86,2)</f>
        <v>9999</v>
      </c>
      <c r="F1717" s="0" t="n">
        <f aca="false">IF(C1717&gt;1,IF(C1717&lt;99,VLOOKUP(C1717,'MSA-Lookup'!$H$1:$I$86,2),C1717),C1717)</f>
        <v>7400</v>
      </c>
      <c r="G1717" s="0" t="n">
        <f aca="false">VLOOKUP(E1717,'MSA-Lookup'!$AA$1:$AB$25,2)</f>
        <v>9999</v>
      </c>
      <c r="H1717" s="0" t="n">
        <f aca="false">IF(C1717&gt;1,IF(C1717&lt;99,VLOOKUP(F1717,'MSA-Lookup'!$AA$1:$AB$25,2),C1717),C1717)</f>
        <v>7362</v>
      </c>
    </row>
    <row r="1718" customFormat="false" ht="12.75" hidden="false" customHeight="false" outlineLevel="0" collapsed="false">
      <c r="A1718" s="0" t="n">
        <f aca="false">B1718*1000+C1718</f>
        <v>31051</v>
      </c>
      <c r="B1718" s="0" t="n">
        <v>31</v>
      </c>
      <c r="C1718" s="0" t="n">
        <v>51</v>
      </c>
      <c r="D1718" s="0" t="n">
        <v>0</v>
      </c>
      <c r="E1718" s="0" t="n">
        <f aca="false">VLOOKUP(B1718,'MSA-Lookup'!$H$2:$I$86,2)</f>
        <v>9999</v>
      </c>
      <c r="F1718" s="0" t="n">
        <f aca="false">IF(C1718&gt;1,IF(C1718&lt;99,VLOOKUP(C1718,'MSA-Lookup'!$H$1:$I$86,2),C1718),C1718)</f>
        <v>7400</v>
      </c>
      <c r="G1718" s="0" t="n">
        <f aca="false">VLOOKUP(E1718,'MSA-Lookup'!$AA$1:$AB$25,2)</f>
        <v>9999</v>
      </c>
      <c r="H1718" s="0" t="n">
        <f aca="false">IF(C1718&gt;1,IF(C1718&lt;99,VLOOKUP(F1718,'MSA-Lookup'!$AA$1:$AB$25,2),C1718),C1718)</f>
        <v>7362</v>
      </c>
    </row>
    <row r="1719" customFormat="false" ht="12.75" hidden="false" customHeight="false" outlineLevel="0" collapsed="false">
      <c r="A1719" s="0" t="n">
        <f aca="false">B1719*1000+C1719</f>
        <v>31052</v>
      </c>
      <c r="B1719" s="0" t="n">
        <v>31</v>
      </c>
      <c r="C1719" s="0" t="n">
        <v>52</v>
      </c>
      <c r="D1719" s="0" t="n">
        <v>0</v>
      </c>
      <c r="E1719" s="0" t="n">
        <f aca="false">VLOOKUP(B1719,'MSA-Lookup'!$H$2:$I$86,2)</f>
        <v>9999</v>
      </c>
      <c r="F1719" s="0" t="n">
        <f aca="false">IF(C1719&gt;1,IF(C1719&lt;99,VLOOKUP(C1719,'MSA-Lookup'!$H$1:$I$86,2),C1719),C1719)</f>
        <v>4480</v>
      </c>
      <c r="G1719" s="0" t="n">
        <f aca="false">VLOOKUP(E1719,'MSA-Lookup'!$AA$1:$AB$25,2)</f>
        <v>9999</v>
      </c>
      <c r="H1719" s="0" t="n">
        <f aca="false">IF(C1719&gt;1,IF(C1719&lt;99,VLOOKUP(F1719,'MSA-Lookup'!$AA$1:$AB$25,2),C1719),C1719)</f>
        <v>4472</v>
      </c>
    </row>
    <row r="1720" customFormat="false" ht="12.75" hidden="false" customHeight="false" outlineLevel="0" collapsed="false">
      <c r="A1720" s="0" t="n">
        <f aca="false">B1720*1000+C1720</f>
        <v>31053</v>
      </c>
      <c r="B1720" s="0" t="n">
        <v>31</v>
      </c>
      <c r="C1720" s="0" t="n">
        <v>53</v>
      </c>
      <c r="D1720" s="0" t="n">
        <v>0</v>
      </c>
      <c r="E1720" s="0" t="n">
        <f aca="false">VLOOKUP(B1720,'MSA-Lookup'!$H$2:$I$86,2)</f>
        <v>9999</v>
      </c>
      <c r="F1720" s="0" t="n">
        <f aca="false">IF(C1720&gt;1,IF(C1720&lt;99,VLOOKUP(C1720,'MSA-Lookup'!$H$1:$I$86,2),C1720),C1720)</f>
        <v>4480</v>
      </c>
      <c r="G1720" s="0" t="n">
        <f aca="false">VLOOKUP(E1720,'MSA-Lookup'!$AA$1:$AB$25,2)</f>
        <v>9999</v>
      </c>
      <c r="H1720" s="0" t="n">
        <f aca="false">IF(C1720&gt;1,IF(C1720&lt;99,VLOOKUP(F1720,'MSA-Lookup'!$AA$1:$AB$25,2),C1720),C1720)</f>
        <v>4472</v>
      </c>
    </row>
    <row r="1721" customFormat="false" ht="12.75" hidden="false" customHeight="false" outlineLevel="0" collapsed="false">
      <c r="A1721" s="0" t="n">
        <f aca="false">B1721*1000+C1721</f>
        <v>31054</v>
      </c>
      <c r="B1721" s="0" t="n">
        <v>31</v>
      </c>
      <c r="C1721" s="0" t="n">
        <v>54</v>
      </c>
      <c r="D1721" s="0" t="n">
        <v>0</v>
      </c>
      <c r="E1721" s="0" t="n">
        <f aca="false">VLOOKUP(B1721,'MSA-Lookup'!$H$2:$I$86,2)</f>
        <v>9999</v>
      </c>
      <c r="F1721" s="0" t="n">
        <f aca="false">IF(C1721&gt;1,IF(C1721&lt;99,VLOOKUP(C1721,'MSA-Lookup'!$H$1:$I$86,2),C1721),C1721)</f>
        <v>4480</v>
      </c>
      <c r="G1721" s="0" t="n">
        <f aca="false">VLOOKUP(E1721,'MSA-Lookup'!$AA$1:$AB$25,2)</f>
        <v>9999</v>
      </c>
      <c r="H1721" s="0" t="n">
        <f aca="false">IF(C1721&gt;1,IF(C1721&lt;99,VLOOKUP(F1721,'MSA-Lookup'!$AA$1:$AB$25,2),C1721),C1721)</f>
        <v>4472</v>
      </c>
    </row>
    <row r="1722" customFormat="false" ht="12.75" hidden="false" customHeight="false" outlineLevel="0" collapsed="false">
      <c r="A1722" s="0" t="n">
        <f aca="false">B1722*1000+C1722</f>
        <v>31055</v>
      </c>
      <c r="B1722" s="0" t="n">
        <v>31</v>
      </c>
      <c r="C1722" s="0" t="n">
        <v>55</v>
      </c>
      <c r="D1722" s="0" t="n">
        <v>0</v>
      </c>
      <c r="E1722" s="0" t="n">
        <f aca="false">VLOOKUP(B1722,'MSA-Lookup'!$H$2:$I$86,2)</f>
        <v>9999</v>
      </c>
      <c r="F1722" s="0" t="n">
        <f aca="false">IF(C1722&gt;1,IF(C1722&lt;99,VLOOKUP(C1722,'MSA-Lookup'!$H$1:$I$86,2),C1722),C1722)</f>
        <v>4480</v>
      </c>
      <c r="G1722" s="0" t="n">
        <f aca="false">VLOOKUP(E1722,'MSA-Lookup'!$AA$1:$AB$25,2)</f>
        <v>9999</v>
      </c>
      <c r="H1722" s="0" t="n">
        <f aca="false">IF(C1722&gt;1,IF(C1722&lt;99,VLOOKUP(F1722,'MSA-Lookup'!$AA$1:$AB$25,2),C1722),C1722)</f>
        <v>4472</v>
      </c>
    </row>
    <row r="1723" customFormat="false" ht="12.75" hidden="false" customHeight="false" outlineLevel="0" collapsed="false">
      <c r="A1723" s="0" t="n">
        <f aca="false">B1723*1000+C1723</f>
        <v>31056</v>
      </c>
      <c r="B1723" s="0" t="n">
        <v>31</v>
      </c>
      <c r="C1723" s="0" t="n">
        <v>56</v>
      </c>
      <c r="D1723" s="0" t="n">
        <v>0</v>
      </c>
      <c r="E1723" s="0" t="n">
        <f aca="false">VLOOKUP(B1723,'MSA-Lookup'!$H$2:$I$86,2)</f>
        <v>9999</v>
      </c>
      <c r="F1723" s="0" t="n">
        <f aca="false">IF(C1723&gt;1,IF(C1723&lt;99,VLOOKUP(C1723,'MSA-Lookup'!$H$1:$I$86,2),C1723),C1723)</f>
        <v>4480</v>
      </c>
      <c r="G1723" s="0" t="n">
        <f aca="false">VLOOKUP(E1723,'MSA-Lookup'!$AA$1:$AB$25,2)</f>
        <v>9999</v>
      </c>
      <c r="H1723" s="0" t="n">
        <f aca="false">IF(C1723&gt;1,IF(C1723&lt;99,VLOOKUP(F1723,'MSA-Lookup'!$AA$1:$AB$25,2),C1723),C1723)</f>
        <v>4472</v>
      </c>
    </row>
    <row r="1724" customFormat="false" ht="12.75" hidden="false" customHeight="false" outlineLevel="0" collapsed="false">
      <c r="A1724" s="0" t="n">
        <f aca="false">B1724*1000+C1724</f>
        <v>31057</v>
      </c>
      <c r="B1724" s="0" t="n">
        <v>31</v>
      </c>
      <c r="C1724" s="0" t="n">
        <v>57</v>
      </c>
      <c r="D1724" s="0" t="n">
        <v>0</v>
      </c>
      <c r="E1724" s="0" t="n">
        <f aca="false">VLOOKUP(B1724,'MSA-Lookup'!$H$2:$I$86,2)</f>
        <v>9999</v>
      </c>
      <c r="F1724" s="0" t="n">
        <f aca="false">IF(C1724&gt;1,IF(C1724&lt;99,VLOOKUP(C1724,'MSA-Lookup'!$H$1:$I$86,2),C1724),C1724)</f>
        <v>4480</v>
      </c>
      <c r="G1724" s="0" t="n">
        <f aca="false">VLOOKUP(E1724,'MSA-Lookup'!$AA$1:$AB$25,2)</f>
        <v>9999</v>
      </c>
      <c r="H1724" s="0" t="n">
        <f aca="false">IF(C1724&gt;1,IF(C1724&lt;99,VLOOKUP(F1724,'MSA-Lookup'!$AA$1:$AB$25,2),C1724),C1724)</f>
        <v>4472</v>
      </c>
    </row>
    <row r="1725" customFormat="false" ht="12.75" hidden="false" customHeight="false" outlineLevel="0" collapsed="false">
      <c r="A1725" s="0" t="n">
        <f aca="false">B1725*1000+C1725</f>
        <v>31059</v>
      </c>
      <c r="B1725" s="0" t="n">
        <v>31</v>
      </c>
      <c r="C1725" s="0" t="n">
        <v>59</v>
      </c>
      <c r="D1725" s="0" t="n">
        <v>0</v>
      </c>
      <c r="E1725" s="0" t="n">
        <f aca="false">VLOOKUP(B1725,'MSA-Lookup'!$H$2:$I$86,2)</f>
        <v>9999</v>
      </c>
      <c r="F1725" s="0" t="n">
        <f aca="false">IF(C1725&gt;1,IF(C1725&lt;99,VLOOKUP(C1725,'MSA-Lookup'!$H$1:$I$86,2),C1725),C1725)</f>
        <v>4480</v>
      </c>
      <c r="G1725" s="0" t="n">
        <f aca="false">VLOOKUP(E1725,'MSA-Lookup'!$AA$1:$AB$25,2)</f>
        <v>9999</v>
      </c>
      <c r="H1725" s="0" t="n">
        <f aca="false">IF(C1725&gt;1,IF(C1725&lt;99,VLOOKUP(F1725,'MSA-Lookup'!$AA$1:$AB$25,2),C1725),C1725)</f>
        <v>4472</v>
      </c>
    </row>
    <row r="1726" customFormat="false" ht="12.75" hidden="false" customHeight="false" outlineLevel="0" collapsed="false">
      <c r="A1726" s="0" t="n">
        <f aca="false">B1726*1000+C1726</f>
        <v>31060</v>
      </c>
      <c r="B1726" s="0" t="n">
        <v>31</v>
      </c>
      <c r="C1726" s="0" t="n">
        <v>60</v>
      </c>
      <c r="D1726" s="0" t="n">
        <v>0</v>
      </c>
      <c r="E1726" s="0" t="n">
        <f aca="false">VLOOKUP(B1726,'MSA-Lookup'!$H$2:$I$86,2)</f>
        <v>9999</v>
      </c>
      <c r="F1726" s="0" t="n">
        <f aca="false">IF(C1726&gt;1,IF(C1726&lt;99,VLOOKUP(C1726,'MSA-Lookup'!$H$1:$I$86,2),C1726),C1726)</f>
        <v>4480</v>
      </c>
      <c r="G1726" s="0" t="n">
        <f aca="false">VLOOKUP(E1726,'MSA-Lookup'!$AA$1:$AB$25,2)</f>
        <v>9999</v>
      </c>
      <c r="H1726" s="0" t="n">
        <f aca="false">IF(C1726&gt;1,IF(C1726&lt;99,VLOOKUP(F1726,'MSA-Lookup'!$AA$1:$AB$25,2),C1726),C1726)</f>
        <v>4472</v>
      </c>
    </row>
    <row r="1727" customFormat="false" ht="12.75" hidden="false" customHeight="false" outlineLevel="0" collapsed="false">
      <c r="A1727" s="0" t="n">
        <f aca="false">B1727*1000+C1727</f>
        <v>31062</v>
      </c>
      <c r="B1727" s="0" t="n">
        <v>31</v>
      </c>
      <c r="C1727" s="0" t="n">
        <v>62</v>
      </c>
      <c r="D1727" s="0" t="n">
        <v>0</v>
      </c>
      <c r="E1727" s="0" t="n">
        <f aca="false">VLOOKUP(B1727,'MSA-Lookup'!$H$2:$I$86,2)</f>
        <v>9999</v>
      </c>
      <c r="F1727" s="0" t="n">
        <f aca="false">IF(C1727&gt;1,IF(C1727&lt;99,VLOOKUP(C1727,'MSA-Lookup'!$H$1:$I$86,2),C1727),C1727)</f>
        <v>4480</v>
      </c>
      <c r="G1727" s="0" t="n">
        <f aca="false">VLOOKUP(E1727,'MSA-Lookup'!$AA$1:$AB$25,2)</f>
        <v>9999</v>
      </c>
      <c r="H1727" s="0" t="n">
        <f aca="false">IF(C1727&gt;1,IF(C1727&lt;99,VLOOKUP(F1727,'MSA-Lookup'!$AA$1:$AB$25,2),C1727),C1727)</f>
        <v>4472</v>
      </c>
    </row>
    <row r="1728" customFormat="false" ht="12.75" hidden="false" customHeight="false" outlineLevel="0" collapsed="false">
      <c r="A1728" s="0" t="n">
        <f aca="false">B1728*1000+C1728</f>
        <v>31064</v>
      </c>
      <c r="B1728" s="0" t="n">
        <v>31</v>
      </c>
      <c r="C1728" s="0" t="n">
        <v>64</v>
      </c>
      <c r="D1728" s="0" t="n">
        <v>0</v>
      </c>
      <c r="E1728" s="0" t="n">
        <f aca="false">VLOOKUP(B1728,'MSA-Lookup'!$H$2:$I$86,2)</f>
        <v>9999</v>
      </c>
      <c r="F1728" s="0" t="n">
        <f aca="false">IF(C1728&gt;1,IF(C1728&lt;99,VLOOKUP(C1728,'MSA-Lookup'!$H$1:$I$86,2),C1728),C1728)</f>
        <v>4480</v>
      </c>
      <c r="G1728" s="0" t="n">
        <f aca="false">VLOOKUP(E1728,'MSA-Lookup'!$AA$1:$AB$25,2)</f>
        <v>9999</v>
      </c>
      <c r="H1728" s="0" t="n">
        <f aca="false">IF(C1728&gt;1,IF(C1728&lt;99,VLOOKUP(F1728,'MSA-Lookup'!$AA$1:$AB$25,2),C1728),C1728)</f>
        <v>4472</v>
      </c>
    </row>
    <row r="1729" customFormat="false" ht="12.75" hidden="false" customHeight="false" outlineLevel="0" collapsed="false">
      <c r="A1729" s="0" t="n">
        <f aca="false">B1729*1000+C1729</f>
        <v>31065</v>
      </c>
      <c r="B1729" s="0" t="n">
        <v>31</v>
      </c>
      <c r="C1729" s="0" t="n">
        <v>65</v>
      </c>
      <c r="D1729" s="0" t="n">
        <v>91</v>
      </c>
      <c r="E1729" s="0" t="n">
        <f aca="false">VLOOKUP(B1729,'MSA-Lookup'!$H$2:$I$86,2)</f>
        <v>9999</v>
      </c>
      <c r="F1729" s="0" t="n">
        <f aca="false">IF(C1729&gt;1,IF(C1729&lt;99,VLOOKUP(C1729,'MSA-Lookup'!$H$1:$I$86,2),C1729),C1729)</f>
        <v>4480</v>
      </c>
      <c r="G1729" s="0" t="n">
        <f aca="false">VLOOKUP(E1729,'MSA-Lookup'!$AA$1:$AB$25,2)</f>
        <v>9999</v>
      </c>
      <c r="H1729" s="0" t="n">
        <f aca="false">IF(C1729&gt;1,IF(C1729&lt;99,VLOOKUP(F1729,'MSA-Lookup'!$AA$1:$AB$25,2),C1729),C1729)</f>
        <v>4472</v>
      </c>
    </row>
    <row r="1730" customFormat="false" ht="12.75" hidden="false" customHeight="false" outlineLevel="0" collapsed="false">
      <c r="A1730" s="0" t="n">
        <f aca="false">B1730*1000+C1730</f>
        <v>31066</v>
      </c>
      <c r="B1730" s="0" t="n">
        <v>31</v>
      </c>
      <c r="C1730" s="0" t="n">
        <v>66</v>
      </c>
      <c r="D1730" s="0" t="n">
        <v>0</v>
      </c>
      <c r="E1730" s="0" t="n">
        <f aca="false">VLOOKUP(B1730,'MSA-Lookup'!$H$2:$I$86,2)</f>
        <v>9999</v>
      </c>
      <c r="F1730" s="0" t="n">
        <f aca="false">IF(C1730&gt;1,IF(C1730&lt;99,VLOOKUP(C1730,'MSA-Lookup'!$H$1:$I$86,2),C1730),C1730)</f>
        <v>4480</v>
      </c>
      <c r="G1730" s="0" t="n">
        <f aca="false">VLOOKUP(E1730,'MSA-Lookup'!$AA$1:$AB$25,2)</f>
        <v>9999</v>
      </c>
      <c r="H1730" s="0" t="n">
        <f aca="false">IF(C1730&gt;1,IF(C1730&lt;99,VLOOKUP(F1730,'MSA-Lookup'!$AA$1:$AB$25,2),C1730),C1730)</f>
        <v>4472</v>
      </c>
    </row>
    <row r="1731" customFormat="false" ht="12.75" hidden="false" customHeight="false" outlineLevel="0" collapsed="false">
      <c r="A1731" s="0" t="n">
        <f aca="false">B1731*1000+C1731</f>
        <v>31067</v>
      </c>
      <c r="B1731" s="0" t="n">
        <v>31</v>
      </c>
      <c r="C1731" s="0" t="n">
        <v>67</v>
      </c>
      <c r="D1731" s="0" t="n">
        <v>0</v>
      </c>
      <c r="E1731" s="0" t="n">
        <f aca="false">VLOOKUP(B1731,'MSA-Lookup'!$H$2:$I$86,2)</f>
        <v>9999</v>
      </c>
      <c r="F1731" s="0" t="n">
        <f aca="false">IF(C1731&gt;1,IF(C1731&lt;99,VLOOKUP(C1731,'MSA-Lookup'!$H$1:$I$86,2),C1731),C1731)</f>
        <v>6000</v>
      </c>
      <c r="G1731" s="0" t="n">
        <f aca="false">VLOOKUP(E1731,'MSA-Lookup'!$AA$1:$AB$25,2)</f>
        <v>9999</v>
      </c>
      <c r="H1731" s="0" t="n">
        <f aca="false">IF(C1731&gt;1,IF(C1731&lt;99,VLOOKUP(F1731,'MSA-Lookup'!$AA$1:$AB$25,2),C1731),C1731)</f>
        <v>4472</v>
      </c>
    </row>
    <row r="1732" customFormat="false" ht="12.75" hidden="false" customHeight="false" outlineLevel="0" collapsed="false">
      <c r="A1732" s="0" t="n">
        <f aca="false">B1732*1000+C1732</f>
        <v>31069</v>
      </c>
      <c r="B1732" s="0" t="n">
        <v>31</v>
      </c>
      <c r="C1732" s="0" t="n">
        <v>69</v>
      </c>
      <c r="D1732" s="0" t="n">
        <v>0</v>
      </c>
      <c r="E1732" s="0" t="n">
        <f aca="false">VLOOKUP(B1732,'MSA-Lookup'!$H$2:$I$86,2)</f>
        <v>9999</v>
      </c>
      <c r="F1732" s="0" t="n">
        <f aca="false">IF(C1732&gt;1,IF(C1732&lt;99,VLOOKUP(C1732,'MSA-Lookup'!$H$1:$I$86,2),C1732),C1732)</f>
        <v>6780</v>
      </c>
      <c r="G1732" s="0" t="n">
        <f aca="false">VLOOKUP(E1732,'MSA-Lookup'!$AA$1:$AB$25,2)</f>
        <v>9999</v>
      </c>
      <c r="H1732" s="0" t="n">
        <f aca="false">IF(C1732&gt;1,IF(C1732&lt;99,VLOOKUP(F1732,'MSA-Lookup'!$AA$1:$AB$25,2),C1732),C1732)</f>
        <v>4472</v>
      </c>
    </row>
    <row r="1733" customFormat="false" ht="12.75" hidden="false" customHeight="false" outlineLevel="0" collapsed="false">
      <c r="A1733" s="0" t="n">
        <f aca="false">B1733*1000+C1733</f>
        <v>31071</v>
      </c>
      <c r="B1733" s="0" t="n">
        <v>31</v>
      </c>
      <c r="C1733" s="0" t="n">
        <v>71</v>
      </c>
      <c r="D1733" s="0" t="n">
        <v>0</v>
      </c>
      <c r="E1733" s="0" t="n">
        <f aca="false">VLOOKUP(B1733,'MSA-Lookup'!$H$2:$I$86,2)</f>
        <v>9999</v>
      </c>
      <c r="F1733" s="0" t="n">
        <f aca="false">IF(C1733&gt;1,IF(C1733&lt;99,VLOOKUP(C1733,'MSA-Lookup'!$H$1:$I$86,2),C1733),C1733)</f>
        <v>6780</v>
      </c>
      <c r="G1733" s="0" t="n">
        <f aca="false">VLOOKUP(E1733,'MSA-Lookup'!$AA$1:$AB$25,2)</f>
        <v>9999</v>
      </c>
      <c r="H1733" s="0" t="n">
        <f aca="false">IF(C1733&gt;1,IF(C1733&lt;99,VLOOKUP(F1733,'MSA-Lookup'!$AA$1:$AB$25,2),C1733),C1733)</f>
        <v>4472</v>
      </c>
    </row>
    <row r="1734" customFormat="false" ht="12.75" hidden="false" customHeight="false" outlineLevel="0" collapsed="false">
      <c r="A1734" s="0" t="n">
        <f aca="false">B1734*1000+C1734</f>
        <v>31072</v>
      </c>
      <c r="B1734" s="0" t="n">
        <v>31</v>
      </c>
      <c r="C1734" s="0" t="n">
        <v>72</v>
      </c>
      <c r="D1734" s="0" t="n">
        <v>0</v>
      </c>
      <c r="E1734" s="0" t="n">
        <f aca="false">VLOOKUP(B1734,'MSA-Lookup'!$H$2:$I$86,2)</f>
        <v>9999</v>
      </c>
      <c r="F1734" s="0" t="n">
        <f aca="false">IF(C1734&gt;1,IF(C1734&lt;99,VLOOKUP(C1734,'MSA-Lookup'!$H$1:$I$86,2),C1734),C1734)</f>
        <v>6780</v>
      </c>
      <c r="G1734" s="0" t="n">
        <f aca="false">VLOOKUP(E1734,'MSA-Lookup'!$AA$1:$AB$25,2)</f>
        <v>9999</v>
      </c>
      <c r="H1734" s="0" t="n">
        <f aca="false">IF(C1734&gt;1,IF(C1734&lt;99,VLOOKUP(F1734,'MSA-Lookup'!$AA$1:$AB$25,2),C1734),C1734)</f>
        <v>4472</v>
      </c>
    </row>
    <row r="1735" customFormat="false" ht="12.75" hidden="false" customHeight="false" outlineLevel="0" collapsed="false">
      <c r="A1735" s="0" t="n">
        <f aca="false">B1735*1000+C1735</f>
        <v>31073</v>
      </c>
      <c r="B1735" s="0" t="n">
        <v>31</v>
      </c>
      <c r="C1735" s="0" t="n">
        <v>73</v>
      </c>
      <c r="D1735" s="0" t="n">
        <v>0</v>
      </c>
      <c r="E1735" s="0" t="n">
        <f aca="false">VLOOKUP(B1735,'MSA-Lookup'!$H$2:$I$86,2)</f>
        <v>9999</v>
      </c>
      <c r="F1735" s="0" t="n">
        <f aca="false">IF(C1735&gt;1,IF(C1735&lt;99,VLOOKUP(C1735,'MSA-Lookup'!$H$1:$I$86,2),C1735),C1735)</f>
        <v>8720</v>
      </c>
      <c r="G1735" s="0" t="n">
        <f aca="false">VLOOKUP(E1735,'MSA-Lookup'!$AA$1:$AB$25,2)</f>
        <v>9999</v>
      </c>
      <c r="H1735" s="0" t="n">
        <f aca="false">IF(C1735&gt;1,IF(C1735&lt;99,VLOOKUP(F1735,'MSA-Lookup'!$AA$1:$AB$25,2),C1735),C1735)</f>
        <v>7362</v>
      </c>
    </row>
    <row r="1736" customFormat="false" ht="12.75" hidden="false" customHeight="false" outlineLevel="0" collapsed="false">
      <c r="A1736" s="0" t="n">
        <f aca="false">B1736*1000+C1736</f>
        <v>31075</v>
      </c>
      <c r="B1736" s="0" t="n">
        <v>31</v>
      </c>
      <c r="C1736" s="0" t="n">
        <v>75</v>
      </c>
      <c r="D1736" s="0" t="n">
        <v>1417</v>
      </c>
      <c r="E1736" s="0" t="n">
        <f aca="false">VLOOKUP(B1736,'MSA-Lookup'!$H$2:$I$86,2)</f>
        <v>9999</v>
      </c>
      <c r="F1736" s="0" t="n">
        <f aca="false">IF(C1736&gt;1,IF(C1736&lt;99,VLOOKUP(C1736,'MSA-Lookup'!$H$1:$I$86,2),C1736),C1736)</f>
        <v>8780</v>
      </c>
      <c r="G1736" s="0" t="n">
        <f aca="false">VLOOKUP(E1736,'MSA-Lookup'!$AA$1:$AB$25,2)</f>
        <v>9999</v>
      </c>
      <c r="H1736" s="0" t="n">
        <f aca="false">IF(C1736&gt;1,IF(C1736&lt;99,VLOOKUP(F1736,'MSA-Lookup'!$AA$1:$AB$25,2),C1736),C1736)</f>
        <v>8780</v>
      </c>
    </row>
    <row r="1737" customFormat="false" ht="12.75" hidden="false" customHeight="false" outlineLevel="0" collapsed="false">
      <c r="A1737" s="0" t="n">
        <f aca="false">B1737*1000+C1737</f>
        <v>31076</v>
      </c>
      <c r="B1737" s="0" t="n">
        <v>31</v>
      </c>
      <c r="C1737" s="0" t="n">
        <v>76</v>
      </c>
      <c r="D1737" s="0" t="n">
        <v>0</v>
      </c>
      <c r="E1737" s="0" t="n">
        <f aca="false">VLOOKUP(B1737,'MSA-Lookup'!$H$2:$I$86,2)</f>
        <v>9999</v>
      </c>
      <c r="F1737" s="0" t="n">
        <f aca="false">IF(C1737&gt;1,IF(C1737&lt;99,VLOOKUP(C1737,'MSA-Lookup'!$H$1:$I$86,2),C1737),C1737)</f>
        <v>7485</v>
      </c>
      <c r="G1737" s="0" t="n">
        <f aca="false">VLOOKUP(E1737,'MSA-Lookup'!$AA$1:$AB$25,2)</f>
        <v>9999</v>
      </c>
      <c r="H1737" s="0" t="n">
        <f aca="false">IF(C1737&gt;1,IF(C1737&lt;99,VLOOKUP(F1737,'MSA-Lookup'!$AA$1:$AB$25,2),C1737),C1737)</f>
        <v>7362</v>
      </c>
    </row>
    <row r="1738" customFormat="false" ht="12.75" hidden="false" customHeight="false" outlineLevel="0" collapsed="false">
      <c r="A1738" s="0" t="n">
        <f aca="false">B1738*1000+C1738</f>
        <v>31077</v>
      </c>
      <c r="B1738" s="0" t="n">
        <v>31</v>
      </c>
      <c r="C1738" s="0" t="n">
        <v>77</v>
      </c>
      <c r="D1738" s="0" t="n">
        <v>0</v>
      </c>
      <c r="E1738" s="0" t="n">
        <f aca="false">VLOOKUP(B1738,'MSA-Lookup'!$H$2:$I$86,2)</f>
        <v>9999</v>
      </c>
      <c r="F1738" s="0" t="n">
        <f aca="false">IF(C1738&gt;1,IF(C1738&lt;99,VLOOKUP(C1738,'MSA-Lookup'!$H$1:$I$86,2),C1738),C1738)</f>
        <v>9999</v>
      </c>
      <c r="G1738" s="0" t="n">
        <f aca="false">VLOOKUP(E1738,'MSA-Lookup'!$AA$1:$AB$25,2)</f>
        <v>9999</v>
      </c>
      <c r="H1738" s="0" t="n">
        <f aca="false">IF(C1738&gt;1,IF(C1738&lt;99,VLOOKUP(F1738,'MSA-Lookup'!$AA$1:$AB$25,2),C1738),C1738)</f>
        <v>9999</v>
      </c>
    </row>
    <row r="1739" customFormat="false" ht="12.75" hidden="false" customHeight="false" outlineLevel="0" collapsed="false">
      <c r="A1739" s="0" t="n">
        <f aca="false">B1739*1000+C1739</f>
        <v>31079</v>
      </c>
      <c r="B1739" s="0" t="n">
        <v>31</v>
      </c>
      <c r="C1739" s="0" t="n">
        <v>79</v>
      </c>
      <c r="D1739" s="0" t="n">
        <v>247</v>
      </c>
      <c r="E1739" s="0" t="n">
        <f aca="false">VLOOKUP(B1739,'MSA-Lookup'!$H$2:$I$86,2)</f>
        <v>9999</v>
      </c>
      <c r="F1739" s="0" t="n">
        <f aca="false">IF(C1739&gt;1,IF(C1739&lt;99,VLOOKUP(C1739,'MSA-Lookup'!$H$1:$I$86,2),C1739),C1739)</f>
        <v>680</v>
      </c>
      <c r="G1739" s="0" t="n">
        <f aca="false">VLOOKUP(E1739,'MSA-Lookup'!$AA$1:$AB$25,2)</f>
        <v>9999</v>
      </c>
      <c r="H1739" s="0" t="n">
        <f aca="false">IF(C1739&gt;1,IF(C1739&lt;99,VLOOKUP(F1739,'MSA-Lookup'!$AA$1:$AB$25,2),C1739),C1739)</f>
        <v>680</v>
      </c>
    </row>
    <row r="1740" customFormat="false" ht="12.75" hidden="false" customHeight="false" outlineLevel="0" collapsed="false">
      <c r="A1740" s="0" t="n">
        <f aca="false">B1740*1000+C1740</f>
        <v>31080</v>
      </c>
      <c r="B1740" s="0" t="n">
        <v>31</v>
      </c>
      <c r="C1740" s="0" t="n">
        <v>80</v>
      </c>
      <c r="D1740" s="0" t="n">
        <v>507</v>
      </c>
      <c r="E1740" s="0" t="n">
        <f aca="false">VLOOKUP(B1740,'MSA-Lookup'!$H$2:$I$86,2)</f>
        <v>9999</v>
      </c>
      <c r="F1740" s="0" t="n">
        <f aca="false">IF(C1740&gt;1,IF(C1740&lt;99,VLOOKUP(C1740,'MSA-Lookup'!$H$1:$I$86,2),C1740),C1740)</f>
        <v>9999</v>
      </c>
      <c r="G1740" s="0" t="n">
        <f aca="false">VLOOKUP(E1740,'MSA-Lookup'!$AA$1:$AB$25,2)</f>
        <v>9999</v>
      </c>
      <c r="H1740" s="0" t="n">
        <f aca="false">IF(C1740&gt;1,IF(C1740&lt;99,VLOOKUP(F1740,'MSA-Lookup'!$AA$1:$AB$25,2),C1740),C1740)</f>
        <v>9999</v>
      </c>
    </row>
    <row r="1741" customFormat="false" ht="12.75" hidden="false" customHeight="false" outlineLevel="0" collapsed="false">
      <c r="A1741" s="0" t="n">
        <f aca="false">B1741*1000+C1741</f>
        <v>31082</v>
      </c>
      <c r="B1741" s="0" t="n">
        <v>31</v>
      </c>
      <c r="C1741" s="0" t="n">
        <v>82</v>
      </c>
      <c r="D1741" s="0" t="n">
        <v>0</v>
      </c>
      <c r="E1741" s="0" t="n">
        <f aca="false">VLOOKUP(B1741,'MSA-Lookup'!$H$2:$I$86,2)</f>
        <v>9999</v>
      </c>
      <c r="F1741" s="0" t="n">
        <f aca="false">IF(C1741&gt;1,IF(C1741&lt;99,VLOOKUP(C1741,'MSA-Lookup'!$H$1:$I$86,2),C1741),C1741)</f>
        <v>6780</v>
      </c>
      <c r="G1741" s="0" t="n">
        <f aca="false">VLOOKUP(E1741,'MSA-Lookup'!$AA$1:$AB$25,2)</f>
        <v>9999</v>
      </c>
      <c r="H1741" s="0" t="n">
        <f aca="false">IF(C1741&gt;1,IF(C1741&lt;99,VLOOKUP(F1741,'MSA-Lookup'!$AA$1:$AB$25,2),C1741),C1741)</f>
        <v>4472</v>
      </c>
    </row>
    <row r="1742" customFormat="false" ht="12.75" hidden="false" customHeight="false" outlineLevel="0" collapsed="false">
      <c r="A1742" s="0" t="n">
        <f aca="false">B1742*1000+C1742</f>
        <v>31085</v>
      </c>
      <c r="B1742" s="0" t="n">
        <v>31</v>
      </c>
      <c r="C1742" s="0" t="n">
        <v>85</v>
      </c>
      <c r="D1742" s="0" t="n">
        <v>0</v>
      </c>
      <c r="E1742" s="0" t="n">
        <f aca="false">VLOOKUP(B1742,'MSA-Lookup'!$H$2:$I$86,2)</f>
        <v>9999</v>
      </c>
      <c r="F1742" s="0" t="n">
        <f aca="false">IF(C1742&gt;1,IF(C1742&lt;99,VLOOKUP(C1742,'MSA-Lookup'!$H$1:$I$86,2),C1742),C1742)</f>
        <v>8120</v>
      </c>
      <c r="G1742" s="0" t="n">
        <f aca="false">VLOOKUP(E1742,'MSA-Lookup'!$AA$1:$AB$25,2)</f>
        <v>9999</v>
      </c>
      <c r="H1742" s="0" t="n">
        <f aca="false">IF(C1742&gt;1,IF(C1742&lt;99,VLOOKUP(F1742,'MSA-Lookup'!$AA$1:$AB$25,2),C1742),C1742)</f>
        <v>8120</v>
      </c>
    </row>
    <row r="1743" customFormat="false" ht="12.75" hidden="false" customHeight="false" outlineLevel="0" collapsed="false">
      <c r="A1743" s="0" t="n">
        <f aca="false">B1743*1000+C1743</f>
        <v>31858</v>
      </c>
      <c r="B1743" s="0" t="n">
        <v>31</v>
      </c>
      <c r="C1743" s="0" t="n">
        <v>858</v>
      </c>
      <c r="D1743" s="0" t="n">
        <v>0</v>
      </c>
      <c r="E1743" s="0" t="n">
        <f aca="false">VLOOKUP(B1743,'MSA-Lookup'!$H$2:$I$86,2)</f>
        <v>9999</v>
      </c>
      <c r="F1743" s="0" t="n">
        <f aca="false">IF(C1743&gt;1,IF(C1743&lt;99,VLOOKUP(C1743,'MSA-Lookup'!$H$1:$I$86,2),C1743),C1743)</f>
        <v>858</v>
      </c>
      <c r="G1743" s="0" t="n">
        <f aca="false">VLOOKUP(E1743,'MSA-Lookup'!$AA$1:$AB$25,2)</f>
        <v>9999</v>
      </c>
      <c r="H1743" s="0" t="n">
        <f aca="false">IF(C1743&gt;1,IF(C1743&lt;99,VLOOKUP(F1743,'MSA-Lookup'!$AA$1:$AB$25,2),C1743),C1743)</f>
        <v>858</v>
      </c>
    </row>
    <row r="1744" customFormat="false" ht="12.75" hidden="false" customHeight="false" outlineLevel="0" collapsed="false">
      <c r="A1744" s="0" t="n">
        <f aca="false">B1744*1000+C1744</f>
        <v>31999</v>
      </c>
      <c r="B1744" s="0" t="n">
        <v>31</v>
      </c>
      <c r="C1744" s="0" t="n">
        <v>999</v>
      </c>
      <c r="D1744" s="0" t="n">
        <v>0</v>
      </c>
      <c r="E1744" s="0" t="n">
        <f aca="false">VLOOKUP(B1744,'MSA-Lookup'!$H$2:$I$86,2)</f>
        <v>9999</v>
      </c>
      <c r="F1744" s="0" t="n">
        <f aca="false">IF(C1744&gt;1,IF(C1744&lt;99,VLOOKUP(C1744,'MSA-Lookup'!$H$1:$I$86,2),C1744),C1744)</f>
        <v>999</v>
      </c>
      <c r="G1744" s="0" t="n">
        <f aca="false">VLOOKUP(E1744,'MSA-Lookup'!$AA$1:$AB$25,2)</f>
        <v>9999</v>
      </c>
      <c r="H1744" s="0" t="n">
        <f aca="false">IF(C1744&gt;1,IF(C1744&lt;99,VLOOKUP(F1744,'MSA-Lookup'!$AA$1:$AB$25,2),C1744),C1744)</f>
        <v>999</v>
      </c>
    </row>
    <row r="1745" customFormat="false" ht="12.75" hidden="false" customHeight="false" outlineLevel="0" collapsed="false">
      <c r="A1745" s="0" t="n">
        <f aca="false">B1745*1000+C1745</f>
        <v>32000</v>
      </c>
      <c r="B1745" s="0" t="n">
        <v>32</v>
      </c>
      <c r="C1745" s="0" t="n">
        <v>0</v>
      </c>
      <c r="D1745" s="0" t="n">
        <v>187317</v>
      </c>
      <c r="E1745" s="0" t="n">
        <f aca="false">VLOOKUP(B1745,'MSA-Lookup'!$H$2:$I$86,2)</f>
        <v>7480</v>
      </c>
      <c r="F1745" s="0" t="n">
        <f aca="false">IF(C1745&gt;1,IF(C1745&lt;99,VLOOKUP(C1745,'MSA-Lookup'!$H$1:$I$86,2),C1745),C1745)</f>
        <v>0</v>
      </c>
      <c r="G1745" s="0" t="n">
        <f aca="false">VLOOKUP(E1745,'MSA-Lookup'!$AA$1:$AB$25,2)</f>
        <v>7480</v>
      </c>
      <c r="H1745" s="0" t="n">
        <f aca="false">IF(C1745&gt;1,IF(C1745&lt;99,VLOOKUP(F1745,'MSA-Lookup'!$AA$1:$AB$25,2),C1745),C1745)</f>
        <v>0</v>
      </c>
    </row>
    <row r="1746" customFormat="false" ht="12.75" hidden="false" customHeight="false" outlineLevel="0" collapsed="false">
      <c r="A1746" s="0" t="n">
        <f aca="false">B1746*1000+C1746</f>
        <v>32001</v>
      </c>
      <c r="B1746" s="0" t="n">
        <v>32</v>
      </c>
      <c r="C1746" s="0" t="n">
        <v>1</v>
      </c>
      <c r="D1746" s="0" t="n">
        <v>0</v>
      </c>
      <c r="E1746" s="0" t="n">
        <f aca="false">VLOOKUP(B1746,'MSA-Lookup'!$H$2:$I$86,2)</f>
        <v>7480</v>
      </c>
      <c r="F1746" s="0" t="n">
        <f aca="false">IF(C1746&gt;1,IF(C1746&lt;99,VLOOKUP(C1746,'MSA-Lookup'!$H$1:$I$86,2),C1746),C1746)</f>
        <v>1</v>
      </c>
      <c r="G1746" s="0" t="n">
        <f aca="false">VLOOKUP(E1746,'MSA-Lookup'!$AA$1:$AB$25,2)</f>
        <v>7480</v>
      </c>
      <c r="H1746" s="0" t="n">
        <f aca="false">IF(C1746&gt;1,IF(C1746&lt;99,VLOOKUP(F1746,'MSA-Lookup'!$AA$1:$AB$25,2),C1746),C1746)</f>
        <v>1</v>
      </c>
    </row>
    <row r="1747" customFormat="false" ht="12.75" hidden="false" customHeight="false" outlineLevel="0" collapsed="false">
      <c r="A1747" s="0" t="n">
        <f aca="false">B1747*1000+C1747</f>
        <v>32002</v>
      </c>
      <c r="B1747" s="0" t="n">
        <v>32</v>
      </c>
      <c r="C1747" s="0" t="n">
        <v>2</v>
      </c>
      <c r="D1747" s="0" t="n">
        <v>0</v>
      </c>
      <c r="E1747" s="0" t="n">
        <f aca="false">VLOOKUP(B1747,'MSA-Lookup'!$H$2:$I$86,2)</f>
        <v>7480</v>
      </c>
      <c r="F1747" s="0" t="n">
        <f aca="false">IF(C1747&gt;1,IF(C1747&lt;99,VLOOKUP(C1747,'MSA-Lookup'!$H$1:$I$86,2),C1747),C1747)</f>
        <v>9999</v>
      </c>
      <c r="G1747" s="0" t="n">
        <f aca="false">VLOOKUP(E1747,'MSA-Lookup'!$AA$1:$AB$25,2)</f>
        <v>7480</v>
      </c>
      <c r="H1747" s="0" t="n">
        <f aca="false">IF(C1747&gt;1,IF(C1747&lt;99,VLOOKUP(F1747,'MSA-Lookup'!$AA$1:$AB$25,2),C1747),C1747)</f>
        <v>9999</v>
      </c>
    </row>
    <row r="1748" customFormat="false" ht="12.75" hidden="false" customHeight="false" outlineLevel="0" collapsed="false">
      <c r="A1748" s="0" t="n">
        <f aca="false">B1748*1000+C1748</f>
        <v>32003</v>
      </c>
      <c r="B1748" s="0" t="n">
        <v>32</v>
      </c>
      <c r="C1748" s="0" t="n">
        <v>3</v>
      </c>
      <c r="D1748" s="0" t="n">
        <v>65</v>
      </c>
      <c r="E1748" s="0" t="n">
        <f aca="false">VLOOKUP(B1748,'MSA-Lookup'!$H$2:$I$86,2)</f>
        <v>7480</v>
      </c>
      <c r="F1748" s="0" t="n">
        <f aca="false">IF(C1748&gt;1,IF(C1748&lt;99,VLOOKUP(C1748,'MSA-Lookup'!$H$1:$I$86,2),C1748),C1748)</f>
        <v>6690</v>
      </c>
      <c r="G1748" s="0" t="n">
        <f aca="false">VLOOKUP(E1748,'MSA-Lookup'!$AA$1:$AB$25,2)</f>
        <v>7480</v>
      </c>
      <c r="H1748" s="0" t="n">
        <f aca="false">IF(C1748&gt;1,IF(C1748&lt;99,VLOOKUP(F1748,'MSA-Lookup'!$AA$1:$AB$25,2),C1748),C1748)</f>
        <v>6690</v>
      </c>
    </row>
    <row r="1749" customFormat="false" ht="12.75" hidden="false" customHeight="false" outlineLevel="0" collapsed="false">
      <c r="A1749" s="0" t="n">
        <f aca="false">B1749*1000+C1749</f>
        <v>32004</v>
      </c>
      <c r="B1749" s="0" t="n">
        <v>32</v>
      </c>
      <c r="C1749" s="0" t="n">
        <v>4</v>
      </c>
      <c r="D1749" s="0" t="n">
        <v>0</v>
      </c>
      <c r="E1749" s="0" t="n">
        <f aca="false">VLOOKUP(B1749,'MSA-Lookup'!$H$2:$I$86,2)</f>
        <v>7480</v>
      </c>
      <c r="F1749" s="0" t="n">
        <f aca="false">IF(C1749&gt;1,IF(C1749&lt;99,VLOOKUP(C1749,'MSA-Lookup'!$H$1:$I$86,2),C1749),C1749)</f>
        <v>9999</v>
      </c>
      <c r="G1749" s="0" t="n">
        <f aca="false">VLOOKUP(E1749,'MSA-Lookup'!$AA$1:$AB$25,2)</f>
        <v>7480</v>
      </c>
      <c r="H1749" s="0" t="n">
        <f aca="false">IF(C1749&gt;1,IF(C1749&lt;99,VLOOKUP(F1749,'MSA-Lookup'!$AA$1:$AB$25,2),C1749),C1749)</f>
        <v>9999</v>
      </c>
    </row>
    <row r="1750" customFormat="false" ht="12.75" hidden="false" customHeight="false" outlineLevel="0" collapsed="false">
      <c r="A1750" s="0" t="n">
        <f aca="false">B1750*1000+C1750</f>
        <v>32005</v>
      </c>
      <c r="B1750" s="0" t="n">
        <v>32</v>
      </c>
      <c r="C1750" s="0" t="n">
        <v>5</v>
      </c>
      <c r="D1750" s="0" t="n">
        <v>0</v>
      </c>
      <c r="E1750" s="0" t="n">
        <f aca="false">VLOOKUP(B1750,'MSA-Lookup'!$H$2:$I$86,2)</f>
        <v>7480</v>
      </c>
      <c r="F1750" s="0" t="n">
        <f aca="false">IF(C1750&gt;1,IF(C1750&lt;99,VLOOKUP(C1750,'MSA-Lookup'!$H$1:$I$86,2),C1750),C1750)</f>
        <v>9999</v>
      </c>
      <c r="G1750" s="0" t="n">
        <f aca="false">VLOOKUP(E1750,'MSA-Lookup'!$AA$1:$AB$25,2)</f>
        <v>7480</v>
      </c>
      <c r="H1750" s="0" t="n">
        <f aca="false">IF(C1750&gt;1,IF(C1750&lt;99,VLOOKUP(F1750,'MSA-Lookup'!$AA$1:$AB$25,2),C1750),C1750)</f>
        <v>9999</v>
      </c>
    </row>
    <row r="1751" customFormat="false" ht="12.75" hidden="false" customHeight="false" outlineLevel="0" collapsed="false">
      <c r="A1751" s="0" t="n">
        <f aca="false">B1751*1000+C1751</f>
        <v>32006</v>
      </c>
      <c r="B1751" s="0" t="n">
        <v>32</v>
      </c>
      <c r="C1751" s="0" t="n">
        <v>6</v>
      </c>
      <c r="D1751" s="0" t="n">
        <v>0</v>
      </c>
      <c r="E1751" s="0" t="n">
        <f aca="false">VLOOKUP(B1751,'MSA-Lookup'!$H$2:$I$86,2)</f>
        <v>7480</v>
      </c>
      <c r="F1751" s="0" t="n">
        <f aca="false">IF(C1751&gt;1,IF(C1751&lt;99,VLOOKUP(C1751,'MSA-Lookup'!$H$1:$I$86,2),C1751),C1751)</f>
        <v>1620</v>
      </c>
      <c r="G1751" s="0" t="n">
        <f aca="false">VLOOKUP(E1751,'MSA-Lookup'!$AA$1:$AB$25,2)</f>
        <v>7480</v>
      </c>
      <c r="H1751" s="0" t="n">
        <f aca="false">IF(C1751&gt;1,IF(C1751&lt;99,VLOOKUP(F1751,'MSA-Lookup'!$AA$1:$AB$25,2),C1751),C1751)</f>
        <v>1620</v>
      </c>
    </row>
    <row r="1752" customFormat="false" ht="12.75" hidden="false" customHeight="false" outlineLevel="0" collapsed="false">
      <c r="A1752" s="0" t="n">
        <f aca="false">B1752*1000+C1752</f>
        <v>32007</v>
      </c>
      <c r="B1752" s="0" t="n">
        <v>32</v>
      </c>
      <c r="C1752" s="0" t="n">
        <v>7</v>
      </c>
      <c r="D1752" s="0" t="n">
        <v>0</v>
      </c>
      <c r="E1752" s="0" t="n">
        <f aca="false">VLOOKUP(B1752,'MSA-Lookup'!$H$2:$I$86,2)</f>
        <v>7480</v>
      </c>
      <c r="F1752" s="0" t="n">
        <f aca="false">IF(C1752&gt;1,IF(C1752&lt;99,VLOOKUP(C1752,'MSA-Lookup'!$H$1:$I$86,2),C1752),C1752)</f>
        <v>9999</v>
      </c>
      <c r="G1752" s="0" t="n">
        <f aca="false">VLOOKUP(E1752,'MSA-Lookup'!$AA$1:$AB$25,2)</f>
        <v>7480</v>
      </c>
      <c r="H1752" s="0" t="n">
        <f aca="false">IF(C1752&gt;1,IF(C1752&lt;99,VLOOKUP(F1752,'MSA-Lookup'!$AA$1:$AB$25,2),C1752),C1752)</f>
        <v>9999</v>
      </c>
    </row>
    <row r="1753" customFormat="false" ht="12.75" hidden="false" customHeight="false" outlineLevel="0" collapsed="false">
      <c r="A1753" s="0" t="n">
        <f aca="false">B1753*1000+C1753</f>
        <v>32008</v>
      </c>
      <c r="B1753" s="0" t="n">
        <v>32</v>
      </c>
      <c r="C1753" s="0" t="n">
        <v>8</v>
      </c>
      <c r="D1753" s="0" t="n">
        <v>0</v>
      </c>
      <c r="E1753" s="0" t="n">
        <f aca="false">VLOOKUP(B1753,'MSA-Lookup'!$H$2:$I$86,2)</f>
        <v>7480</v>
      </c>
      <c r="F1753" s="0" t="n">
        <f aca="false">IF(C1753&gt;1,IF(C1753&lt;99,VLOOKUP(C1753,'MSA-Lookup'!$H$1:$I$86,2),C1753),C1753)</f>
        <v>9340</v>
      </c>
      <c r="G1753" s="0" t="n">
        <f aca="false">VLOOKUP(E1753,'MSA-Lookup'!$AA$1:$AB$25,2)</f>
        <v>7480</v>
      </c>
      <c r="H1753" s="0" t="n">
        <f aca="false">IF(C1753&gt;1,IF(C1753&lt;99,VLOOKUP(F1753,'MSA-Lookup'!$AA$1:$AB$25,2),C1753),C1753)</f>
        <v>9340</v>
      </c>
    </row>
    <row r="1754" customFormat="false" ht="12.75" hidden="false" customHeight="false" outlineLevel="0" collapsed="false">
      <c r="A1754" s="0" t="n">
        <f aca="false">B1754*1000+C1754</f>
        <v>32009</v>
      </c>
      <c r="B1754" s="0" t="n">
        <v>32</v>
      </c>
      <c r="C1754" s="0" t="n">
        <v>9</v>
      </c>
      <c r="D1754" s="0" t="n">
        <v>0</v>
      </c>
      <c r="E1754" s="0" t="n">
        <f aca="false">VLOOKUP(B1754,'MSA-Lookup'!$H$2:$I$86,2)</f>
        <v>7480</v>
      </c>
      <c r="F1754" s="0" t="n">
        <f aca="false">IF(C1754&gt;1,IF(C1754&lt;99,VLOOKUP(C1754,'MSA-Lookup'!$H$1:$I$86,2),C1754),C1754)</f>
        <v>8720</v>
      </c>
      <c r="G1754" s="0" t="n">
        <f aca="false">VLOOKUP(E1754,'MSA-Lookup'!$AA$1:$AB$25,2)</f>
        <v>7480</v>
      </c>
      <c r="H1754" s="0" t="n">
        <f aca="false">IF(C1754&gt;1,IF(C1754&lt;99,VLOOKUP(F1754,'MSA-Lookup'!$AA$1:$AB$25,2),C1754),C1754)</f>
        <v>7362</v>
      </c>
    </row>
    <row r="1755" customFormat="false" ht="12.75" hidden="false" customHeight="false" outlineLevel="0" collapsed="false">
      <c r="A1755" s="0" t="n">
        <f aca="false">B1755*1000+C1755</f>
        <v>32010</v>
      </c>
      <c r="B1755" s="0" t="n">
        <v>32</v>
      </c>
      <c r="C1755" s="0" t="n">
        <v>10</v>
      </c>
      <c r="D1755" s="0" t="n">
        <v>0</v>
      </c>
      <c r="E1755" s="0" t="n">
        <f aca="false">VLOOKUP(B1755,'MSA-Lookup'!$H$2:$I$86,2)</f>
        <v>7480</v>
      </c>
      <c r="F1755" s="0" t="n">
        <f aca="false">IF(C1755&gt;1,IF(C1755&lt;99,VLOOKUP(C1755,'MSA-Lookup'!$H$1:$I$86,2),C1755),C1755)</f>
        <v>6920</v>
      </c>
      <c r="G1755" s="0" t="n">
        <f aca="false">VLOOKUP(E1755,'MSA-Lookup'!$AA$1:$AB$25,2)</f>
        <v>7480</v>
      </c>
      <c r="H1755" s="0" t="n">
        <f aca="false">IF(C1755&gt;1,IF(C1755&lt;99,VLOOKUP(F1755,'MSA-Lookup'!$AA$1:$AB$25,2),C1755),C1755)</f>
        <v>6920</v>
      </c>
    </row>
    <row r="1756" customFormat="false" ht="12.75" hidden="false" customHeight="false" outlineLevel="0" collapsed="false">
      <c r="A1756" s="0" t="n">
        <f aca="false">B1756*1000+C1756</f>
        <v>32011</v>
      </c>
      <c r="B1756" s="0" t="n">
        <v>32</v>
      </c>
      <c r="C1756" s="0" t="n">
        <v>11</v>
      </c>
      <c r="D1756" s="0" t="n">
        <v>0</v>
      </c>
      <c r="E1756" s="0" t="n">
        <f aca="false">VLOOKUP(B1756,'MSA-Lookup'!$H$2:$I$86,2)</f>
        <v>7480</v>
      </c>
      <c r="F1756" s="0" t="n">
        <f aca="false">IF(C1756&gt;1,IF(C1756&lt;99,VLOOKUP(C1756,'MSA-Lookup'!$H$1:$I$86,2),C1756),C1756)</f>
        <v>6920</v>
      </c>
      <c r="G1756" s="0" t="n">
        <f aca="false">VLOOKUP(E1756,'MSA-Lookup'!$AA$1:$AB$25,2)</f>
        <v>7480</v>
      </c>
      <c r="H1756" s="0" t="n">
        <f aca="false">IF(C1756&gt;1,IF(C1756&lt;99,VLOOKUP(F1756,'MSA-Lookup'!$AA$1:$AB$25,2),C1756),C1756)</f>
        <v>6920</v>
      </c>
    </row>
    <row r="1757" customFormat="false" ht="12.75" hidden="false" customHeight="false" outlineLevel="0" collapsed="false">
      <c r="A1757" s="0" t="n">
        <f aca="false">B1757*1000+C1757</f>
        <v>32012</v>
      </c>
      <c r="B1757" s="0" t="n">
        <v>32</v>
      </c>
      <c r="C1757" s="0" t="n">
        <v>12</v>
      </c>
      <c r="D1757" s="0" t="n">
        <v>0</v>
      </c>
      <c r="E1757" s="0" t="n">
        <f aca="false">VLOOKUP(B1757,'MSA-Lookup'!$H$2:$I$86,2)</f>
        <v>7480</v>
      </c>
      <c r="F1757" s="0" t="n">
        <f aca="false">IF(C1757&gt;1,IF(C1757&lt;99,VLOOKUP(C1757,'MSA-Lookup'!$H$1:$I$86,2),C1757),C1757)</f>
        <v>6920</v>
      </c>
      <c r="G1757" s="0" t="n">
        <f aca="false">VLOOKUP(E1757,'MSA-Lookup'!$AA$1:$AB$25,2)</f>
        <v>7480</v>
      </c>
      <c r="H1757" s="0" t="n">
        <f aca="false">IF(C1757&gt;1,IF(C1757&lt;99,VLOOKUP(F1757,'MSA-Lookup'!$AA$1:$AB$25,2),C1757),C1757)</f>
        <v>6920</v>
      </c>
    </row>
    <row r="1758" customFormat="false" ht="12.75" hidden="false" customHeight="false" outlineLevel="0" collapsed="false">
      <c r="A1758" s="0" t="n">
        <f aca="false">B1758*1000+C1758</f>
        <v>32013</v>
      </c>
      <c r="B1758" s="0" t="n">
        <v>32</v>
      </c>
      <c r="C1758" s="0" t="n">
        <v>13</v>
      </c>
      <c r="D1758" s="0" t="n">
        <v>0</v>
      </c>
      <c r="E1758" s="0" t="n">
        <f aca="false">VLOOKUP(B1758,'MSA-Lookup'!$H$2:$I$86,2)</f>
        <v>7480</v>
      </c>
      <c r="F1758" s="0" t="n">
        <f aca="false">IF(C1758&gt;1,IF(C1758&lt;99,VLOOKUP(C1758,'MSA-Lookup'!$H$1:$I$86,2),C1758),C1758)</f>
        <v>7500</v>
      </c>
      <c r="G1758" s="0" t="n">
        <f aca="false">VLOOKUP(E1758,'MSA-Lookup'!$AA$1:$AB$25,2)</f>
        <v>7480</v>
      </c>
      <c r="H1758" s="0" t="n">
        <f aca="false">IF(C1758&gt;1,IF(C1758&lt;99,VLOOKUP(F1758,'MSA-Lookup'!$AA$1:$AB$25,2),C1758),C1758)</f>
        <v>7362</v>
      </c>
    </row>
    <row r="1759" customFormat="false" ht="12.75" hidden="false" customHeight="false" outlineLevel="0" collapsed="false">
      <c r="A1759" s="0" t="n">
        <f aca="false">B1759*1000+C1759</f>
        <v>32014</v>
      </c>
      <c r="B1759" s="0" t="n">
        <v>32</v>
      </c>
      <c r="C1759" s="0" t="n">
        <v>14</v>
      </c>
      <c r="D1759" s="0" t="n">
        <v>0</v>
      </c>
      <c r="E1759" s="0" t="n">
        <f aca="false">VLOOKUP(B1759,'MSA-Lookup'!$H$2:$I$86,2)</f>
        <v>7480</v>
      </c>
      <c r="F1759" s="0" t="n">
        <f aca="false">IF(C1759&gt;1,IF(C1759&lt;99,VLOOKUP(C1759,'MSA-Lookup'!$H$1:$I$86,2),C1759),C1759)</f>
        <v>7500</v>
      </c>
      <c r="G1759" s="0" t="n">
        <f aca="false">VLOOKUP(E1759,'MSA-Lookup'!$AA$1:$AB$25,2)</f>
        <v>7480</v>
      </c>
      <c r="H1759" s="0" t="n">
        <f aca="false">IF(C1759&gt;1,IF(C1759&lt;99,VLOOKUP(F1759,'MSA-Lookup'!$AA$1:$AB$25,2),C1759),C1759)</f>
        <v>7362</v>
      </c>
    </row>
    <row r="1760" customFormat="false" ht="12.75" hidden="false" customHeight="false" outlineLevel="0" collapsed="false">
      <c r="A1760" s="0" t="n">
        <f aca="false">B1760*1000+C1760</f>
        <v>32015</v>
      </c>
      <c r="B1760" s="0" t="n">
        <v>32</v>
      </c>
      <c r="C1760" s="0" t="n">
        <v>15</v>
      </c>
      <c r="D1760" s="0" t="n">
        <v>0</v>
      </c>
      <c r="E1760" s="0" t="n">
        <f aca="false">VLOOKUP(B1760,'MSA-Lookup'!$H$2:$I$86,2)</f>
        <v>7480</v>
      </c>
      <c r="F1760" s="0" t="n">
        <f aca="false">IF(C1760&gt;1,IF(C1760&lt;99,VLOOKUP(C1760,'MSA-Lookup'!$H$1:$I$86,2),C1760),C1760)</f>
        <v>7360</v>
      </c>
      <c r="G1760" s="0" t="n">
        <f aca="false">VLOOKUP(E1760,'MSA-Lookup'!$AA$1:$AB$25,2)</f>
        <v>7480</v>
      </c>
      <c r="H1760" s="0" t="n">
        <f aca="false">IF(C1760&gt;1,IF(C1760&lt;99,VLOOKUP(F1760,'MSA-Lookup'!$AA$1:$AB$25,2),C1760),C1760)</f>
        <v>7362</v>
      </c>
    </row>
    <row r="1761" customFormat="false" ht="12.75" hidden="false" customHeight="false" outlineLevel="0" collapsed="false">
      <c r="A1761" s="0" t="n">
        <f aca="false">B1761*1000+C1761</f>
        <v>32016</v>
      </c>
      <c r="B1761" s="0" t="n">
        <v>32</v>
      </c>
      <c r="C1761" s="0" t="n">
        <v>16</v>
      </c>
      <c r="D1761" s="0" t="n">
        <v>0</v>
      </c>
      <c r="E1761" s="0" t="n">
        <f aca="false">VLOOKUP(B1761,'MSA-Lookup'!$H$2:$I$86,2)</f>
        <v>7480</v>
      </c>
      <c r="F1761" s="0" t="n">
        <f aca="false">IF(C1761&gt;1,IF(C1761&lt;99,VLOOKUP(C1761,'MSA-Lookup'!$H$1:$I$86,2),C1761),C1761)</f>
        <v>8720</v>
      </c>
      <c r="G1761" s="0" t="n">
        <f aca="false">VLOOKUP(E1761,'MSA-Lookup'!$AA$1:$AB$25,2)</f>
        <v>7480</v>
      </c>
      <c r="H1761" s="0" t="n">
        <f aca="false">IF(C1761&gt;1,IF(C1761&lt;99,VLOOKUP(F1761,'MSA-Lookup'!$AA$1:$AB$25,2),C1761),C1761)</f>
        <v>7362</v>
      </c>
    </row>
    <row r="1762" customFormat="false" ht="12.75" hidden="false" customHeight="false" outlineLevel="0" collapsed="false">
      <c r="A1762" s="0" t="n">
        <f aca="false">B1762*1000+C1762</f>
        <v>32017</v>
      </c>
      <c r="B1762" s="0" t="n">
        <v>32</v>
      </c>
      <c r="C1762" s="0" t="n">
        <v>17</v>
      </c>
      <c r="D1762" s="0" t="n">
        <v>0</v>
      </c>
      <c r="E1762" s="0" t="n">
        <f aca="false">VLOOKUP(B1762,'MSA-Lookup'!$H$2:$I$86,2)</f>
        <v>7480</v>
      </c>
      <c r="F1762" s="0" t="n">
        <f aca="false">IF(C1762&gt;1,IF(C1762&lt;99,VLOOKUP(C1762,'MSA-Lookup'!$H$1:$I$86,2),C1762),C1762)</f>
        <v>5775</v>
      </c>
      <c r="G1762" s="0" t="n">
        <f aca="false">VLOOKUP(E1762,'MSA-Lookup'!$AA$1:$AB$25,2)</f>
        <v>7480</v>
      </c>
      <c r="H1762" s="0" t="n">
        <f aca="false">IF(C1762&gt;1,IF(C1762&lt;99,VLOOKUP(F1762,'MSA-Lookup'!$AA$1:$AB$25,2),C1762),C1762)</f>
        <v>7362</v>
      </c>
    </row>
    <row r="1763" customFormat="false" ht="12.75" hidden="false" customHeight="false" outlineLevel="0" collapsed="false">
      <c r="A1763" s="0" t="n">
        <f aca="false">B1763*1000+C1763</f>
        <v>32018</v>
      </c>
      <c r="B1763" s="0" t="n">
        <v>32</v>
      </c>
      <c r="C1763" s="0" t="n">
        <v>18</v>
      </c>
      <c r="D1763" s="0" t="n">
        <v>0</v>
      </c>
      <c r="E1763" s="0" t="n">
        <f aca="false">VLOOKUP(B1763,'MSA-Lookup'!$H$2:$I$86,2)</f>
        <v>7480</v>
      </c>
      <c r="F1763" s="0" t="n">
        <f aca="false">IF(C1763&gt;1,IF(C1763&lt;99,VLOOKUP(C1763,'MSA-Lookup'!$H$1:$I$86,2),C1763),C1763)</f>
        <v>5775</v>
      </c>
      <c r="G1763" s="0" t="n">
        <f aca="false">VLOOKUP(E1763,'MSA-Lookup'!$AA$1:$AB$25,2)</f>
        <v>7480</v>
      </c>
      <c r="H1763" s="0" t="n">
        <f aca="false">IF(C1763&gt;1,IF(C1763&lt;99,VLOOKUP(F1763,'MSA-Lookup'!$AA$1:$AB$25,2),C1763),C1763)</f>
        <v>7362</v>
      </c>
    </row>
    <row r="1764" customFormat="false" ht="12.75" hidden="false" customHeight="false" outlineLevel="0" collapsed="false">
      <c r="A1764" s="0" t="n">
        <f aca="false">B1764*1000+C1764</f>
        <v>32019</v>
      </c>
      <c r="B1764" s="0" t="n">
        <v>32</v>
      </c>
      <c r="C1764" s="0" t="n">
        <v>19</v>
      </c>
      <c r="D1764" s="0" t="n">
        <v>0</v>
      </c>
      <c r="E1764" s="0" t="n">
        <f aca="false">VLOOKUP(B1764,'MSA-Lookup'!$H$2:$I$86,2)</f>
        <v>7480</v>
      </c>
      <c r="F1764" s="0" t="n">
        <f aca="false">IF(C1764&gt;1,IF(C1764&lt;99,VLOOKUP(C1764,'MSA-Lookup'!$H$1:$I$86,2),C1764),C1764)</f>
        <v>7360</v>
      </c>
      <c r="G1764" s="0" t="n">
        <f aca="false">VLOOKUP(E1764,'MSA-Lookup'!$AA$1:$AB$25,2)</f>
        <v>7480</v>
      </c>
      <c r="H1764" s="0" t="n">
        <f aca="false">IF(C1764&gt;1,IF(C1764&lt;99,VLOOKUP(F1764,'MSA-Lookup'!$AA$1:$AB$25,2),C1764),C1764)</f>
        <v>7362</v>
      </c>
    </row>
    <row r="1765" customFormat="false" ht="12.75" hidden="false" customHeight="false" outlineLevel="0" collapsed="false">
      <c r="A1765" s="0" t="n">
        <f aca="false">B1765*1000+C1765</f>
        <v>32020</v>
      </c>
      <c r="B1765" s="0" t="n">
        <v>32</v>
      </c>
      <c r="C1765" s="0" t="n">
        <v>20</v>
      </c>
      <c r="D1765" s="0" t="n">
        <v>78</v>
      </c>
      <c r="E1765" s="0" t="n">
        <f aca="false">VLOOKUP(B1765,'MSA-Lookup'!$H$2:$I$86,2)</f>
        <v>7480</v>
      </c>
      <c r="F1765" s="0" t="n">
        <f aca="false">IF(C1765&gt;1,IF(C1765&lt;99,VLOOKUP(C1765,'MSA-Lookup'!$H$1:$I$86,2),C1765),C1765)</f>
        <v>5775</v>
      </c>
      <c r="G1765" s="0" t="n">
        <f aca="false">VLOOKUP(E1765,'MSA-Lookup'!$AA$1:$AB$25,2)</f>
        <v>7480</v>
      </c>
      <c r="H1765" s="0" t="n">
        <f aca="false">IF(C1765&gt;1,IF(C1765&lt;99,VLOOKUP(F1765,'MSA-Lookup'!$AA$1:$AB$25,2),C1765),C1765)</f>
        <v>7362</v>
      </c>
    </row>
    <row r="1766" customFormat="false" ht="12.75" hidden="false" customHeight="false" outlineLevel="0" collapsed="false">
      <c r="A1766" s="0" t="n">
        <f aca="false">B1766*1000+C1766</f>
        <v>32021</v>
      </c>
      <c r="B1766" s="0" t="n">
        <v>32</v>
      </c>
      <c r="C1766" s="0" t="n">
        <v>21</v>
      </c>
      <c r="D1766" s="0" t="n">
        <v>78</v>
      </c>
      <c r="E1766" s="0" t="n">
        <f aca="false">VLOOKUP(B1766,'MSA-Lookup'!$H$2:$I$86,2)</f>
        <v>7480</v>
      </c>
      <c r="F1766" s="0" t="n">
        <f aca="false">IF(C1766&gt;1,IF(C1766&lt;99,VLOOKUP(C1766,'MSA-Lookup'!$H$1:$I$86,2),C1766),C1766)</f>
        <v>5775</v>
      </c>
      <c r="G1766" s="0" t="n">
        <f aca="false">VLOOKUP(E1766,'MSA-Lookup'!$AA$1:$AB$25,2)</f>
        <v>7480</v>
      </c>
      <c r="H1766" s="0" t="n">
        <f aca="false">IF(C1766&gt;1,IF(C1766&lt;99,VLOOKUP(F1766,'MSA-Lookup'!$AA$1:$AB$25,2),C1766),C1766)</f>
        <v>7362</v>
      </c>
    </row>
    <row r="1767" customFormat="false" ht="12.75" hidden="false" customHeight="false" outlineLevel="0" collapsed="false">
      <c r="A1767" s="0" t="n">
        <f aca="false">B1767*1000+C1767</f>
        <v>32022</v>
      </c>
      <c r="B1767" s="0" t="n">
        <v>32</v>
      </c>
      <c r="C1767" s="0" t="n">
        <v>22</v>
      </c>
      <c r="D1767" s="0" t="n">
        <v>377</v>
      </c>
      <c r="E1767" s="0" t="n">
        <f aca="false">VLOOKUP(B1767,'MSA-Lookup'!$H$2:$I$86,2)</f>
        <v>7480</v>
      </c>
      <c r="F1767" s="0" t="n">
        <f aca="false">IF(C1767&gt;1,IF(C1767&lt;99,VLOOKUP(C1767,'MSA-Lookup'!$H$1:$I$86,2),C1767),C1767)</f>
        <v>7360</v>
      </c>
      <c r="G1767" s="0" t="n">
        <f aca="false">VLOOKUP(E1767,'MSA-Lookup'!$AA$1:$AB$25,2)</f>
        <v>7480</v>
      </c>
      <c r="H1767" s="0" t="n">
        <f aca="false">IF(C1767&gt;1,IF(C1767&lt;99,VLOOKUP(F1767,'MSA-Lookup'!$AA$1:$AB$25,2),C1767),C1767)</f>
        <v>7362</v>
      </c>
    </row>
    <row r="1768" customFormat="false" ht="12.75" hidden="false" customHeight="false" outlineLevel="0" collapsed="false">
      <c r="A1768" s="0" t="n">
        <f aca="false">B1768*1000+C1768</f>
        <v>32023</v>
      </c>
      <c r="B1768" s="0" t="n">
        <v>32</v>
      </c>
      <c r="C1768" s="0" t="n">
        <v>23</v>
      </c>
      <c r="D1768" s="0" t="n">
        <v>0</v>
      </c>
      <c r="E1768" s="0" t="n">
        <f aca="false">VLOOKUP(B1768,'MSA-Lookup'!$H$2:$I$86,2)</f>
        <v>7480</v>
      </c>
      <c r="F1768" s="0" t="n">
        <f aca="false">IF(C1768&gt;1,IF(C1768&lt;99,VLOOKUP(C1768,'MSA-Lookup'!$H$1:$I$86,2),C1768),C1768)</f>
        <v>8120</v>
      </c>
      <c r="G1768" s="0" t="n">
        <f aca="false">VLOOKUP(E1768,'MSA-Lookup'!$AA$1:$AB$25,2)</f>
        <v>7480</v>
      </c>
      <c r="H1768" s="0" t="n">
        <f aca="false">IF(C1768&gt;1,IF(C1768&lt;99,VLOOKUP(F1768,'MSA-Lookup'!$AA$1:$AB$25,2),C1768),C1768)</f>
        <v>8120</v>
      </c>
    </row>
    <row r="1769" customFormat="false" ht="12.75" hidden="false" customHeight="false" outlineLevel="0" collapsed="false">
      <c r="A1769" s="0" t="n">
        <f aca="false">B1769*1000+C1769</f>
        <v>32024</v>
      </c>
      <c r="B1769" s="0" t="n">
        <v>32</v>
      </c>
      <c r="C1769" s="0" t="n">
        <v>24</v>
      </c>
      <c r="D1769" s="0" t="n">
        <v>0</v>
      </c>
      <c r="E1769" s="0" t="n">
        <f aca="false">VLOOKUP(B1769,'MSA-Lookup'!$H$2:$I$86,2)</f>
        <v>7480</v>
      </c>
      <c r="F1769" s="0" t="n">
        <f aca="false">IF(C1769&gt;1,IF(C1769&lt;99,VLOOKUP(C1769,'MSA-Lookup'!$H$1:$I$86,2),C1769),C1769)</f>
        <v>5170</v>
      </c>
      <c r="G1769" s="0" t="n">
        <f aca="false">VLOOKUP(E1769,'MSA-Lookup'!$AA$1:$AB$25,2)</f>
        <v>7480</v>
      </c>
      <c r="H1769" s="0" t="n">
        <f aca="false">IF(C1769&gt;1,IF(C1769&lt;99,VLOOKUP(F1769,'MSA-Lookup'!$AA$1:$AB$25,2),C1769),C1769)</f>
        <v>5170</v>
      </c>
    </row>
    <row r="1770" customFormat="false" ht="12.75" hidden="false" customHeight="false" outlineLevel="0" collapsed="false">
      <c r="A1770" s="0" t="n">
        <f aca="false">B1770*1000+C1770</f>
        <v>32025</v>
      </c>
      <c r="B1770" s="0" t="n">
        <v>32</v>
      </c>
      <c r="C1770" s="0" t="n">
        <v>25</v>
      </c>
      <c r="D1770" s="0" t="n">
        <v>0</v>
      </c>
      <c r="E1770" s="0" t="n">
        <f aca="false">VLOOKUP(B1770,'MSA-Lookup'!$H$2:$I$86,2)</f>
        <v>7480</v>
      </c>
      <c r="F1770" s="0" t="n">
        <f aca="false">IF(C1770&gt;1,IF(C1770&lt;99,VLOOKUP(C1770,'MSA-Lookup'!$H$1:$I$86,2),C1770),C1770)</f>
        <v>5170</v>
      </c>
      <c r="G1770" s="0" t="n">
        <f aca="false">VLOOKUP(E1770,'MSA-Lookup'!$AA$1:$AB$25,2)</f>
        <v>7480</v>
      </c>
      <c r="H1770" s="0" t="n">
        <f aca="false">IF(C1770&gt;1,IF(C1770&lt;99,VLOOKUP(F1770,'MSA-Lookup'!$AA$1:$AB$25,2),C1770),C1770)</f>
        <v>5170</v>
      </c>
    </row>
    <row r="1771" customFormat="false" ht="12.75" hidden="false" customHeight="false" outlineLevel="0" collapsed="false">
      <c r="A1771" s="0" t="n">
        <f aca="false">B1771*1000+C1771</f>
        <v>32026</v>
      </c>
      <c r="B1771" s="0" t="n">
        <v>32</v>
      </c>
      <c r="C1771" s="0" t="n">
        <v>26</v>
      </c>
      <c r="D1771" s="0" t="n">
        <v>0</v>
      </c>
      <c r="E1771" s="0" t="n">
        <f aca="false">VLOOKUP(B1771,'MSA-Lookup'!$H$2:$I$86,2)</f>
        <v>7480</v>
      </c>
      <c r="F1771" s="0" t="n">
        <f aca="false">IF(C1771&gt;1,IF(C1771&lt;99,VLOOKUP(C1771,'MSA-Lookup'!$H$1:$I$86,2),C1771),C1771)</f>
        <v>9999</v>
      </c>
      <c r="G1771" s="0" t="n">
        <f aca="false">VLOOKUP(E1771,'MSA-Lookup'!$AA$1:$AB$25,2)</f>
        <v>7480</v>
      </c>
      <c r="H1771" s="0" t="n">
        <f aca="false">IF(C1771&gt;1,IF(C1771&lt;99,VLOOKUP(F1771,'MSA-Lookup'!$AA$1:$AB$25,2),C1771),C1771)</f>
        <v>9999</v>
      </c>
    </row>
    <row r="1772" customFormat="false" ht="12.75" hidden="false" customHeight="false" outlineLevel="0" collapsed="false">
      <c r="A1772" s="0" t="n">
        <f aca="false">B1772*1000+C1772</f>
        <v>32027</v>
      </c>
      <c r="B1772" s="0" t="n">
        <v>32</v>
      </c>
      <c r="C1772" s="0" t="n">
        <v>27</v>
      </c>
      <c r="D1772" s="0" t="n">
        <v>0</v>
      </c>
      <c r="E1772" s="0" t="n">
        <f aca="false">VLOOKUP(B1772,'MSA-Lookup'!$H$2:$I$86,2)</f>
        <v>7480</v>
      </c>
      <c r="F1772" s="0" t="n">
        <f aca="false">IF(C1772&gt;1,IF(C1772&lt;99,VLOOKUP(C1772,'MSA-Lookup'!$H$1:$I$86,2),C1772),C1772)</f>
        <v>9999</v>
      </c>
      <c r="G1772" s="0" t="n">
        <f aca="false">VLOOKUP(E1772,'MSA-Lookup'!$AA$1:$AB$25,2)</f>
        <v>7480</v>
      </c>
      <c r="H1772" s="0" t="n">
        <f aca="false">IF(C1772&gt;1,IF(C1772&lt;99,VLOOKUP(F1772,'MSA-Lookup'!$AA$1:$AB$25,2),C1772),C1772)</f>
        <v>9999</v>
      </c>
    </row>
    <row r="1773" customFormat="false" ht="12.75" hidden="false" customHeight="false" outlineLevel="0" collapsed="false">
      <c r="A1773" s="0" t="n">
        <f aca="false">B1773*1000+C1773</f>
        <v>32028</v>
      </c>
      <c r="B1773" s="0" t="n">
        <v>32</v>
      </c>
      <c r="C1773" s="0" t="n">
        <v>28</v>
      </c>
      <c r="D1773" s="0" t="n">
        <v>0</v>
      </c>
      <c r="E1773" s="0" t="n">
        <f aca="false">VLOOKUP(B1773,'MSA-Lookup'!$H$2:$I$86,2)</f>
        <v>7480</v>
      </c>
      <c r="F1773" s="0" t="n">
        <f aca="false">IF(C1773&gt;1,IF(C1773&lt;99,VLOOKUP(C1773,'MSA-Lookup'!$H$1:$I$86,2),C1773),C1773)</f>
        <v>6920</v>
      </c>
      <c r="G1773" s="0" t="n">
        <f aca="false">VLOOKUP(E1773,'MSA-Lookup'!$AA$1:$AB$25,2)</f>
        <v>7480</v>
      </c>
      <c r="H1773" s="0" t="n">
        <f aca="false">IF(C1773&gt;1,IF(C1773&lt;99,VLOOKUP(F1773,'MSA-Lookup'!$AA$1:$AB$25,2),C1773),C1773)</f>
        <v>6920</v>
      </c>
    </row>
    <row r="1774" customFormat="false" ht="12.75" hidden="false" customHeight="false" outlineLevel="0" collapsed="false">
      <c r="A1774" s="0" t="n">
        <f aca="false">B1774*1000+C1774</f>
        <v>32029</v>
      </c>
      <c r="B1774" s="0" t="n">
        <v>32</v>
      </c>
      <c r="C1774" s="0" t="n">
        <v>29</v>
      </c>
      <c r="D1774" s="0" t="n">
        <v>0</v>
      </c>
      <c r="E1774" s="0" t="n">
        <f aca="false">VLOOKUP(B1774,'MSA-Lookup'!$H$2:$I$86,2)</f>
        <v>7480</v>
      </c>
      <c r="F1774" s="0" t="n">
        <f aca="false">IF(C1774&gt;1,IF(C1774&lt;99,VLOOKUP(C1774,'MSA-Lookup'!$H$1:$I$86,2),C1774),C1774)</f>
        <v>6920</v>
      </c>
      <c r="G1774" s="0" t="n">
        <f aca="false">VLOOKUP(E1774,'MSA-Lookup'!$AA$1:$AB$25,2)</f>
        <v>7480</v>
      </c>
      <c r="H1774" s="0" t="n">
        <f aca="false">IF(C1774&gt;1,IF(C1774&lt;99,VLOOKUP(F1774,'MSA-Lookup'!$AA$1:$AB$25,2),C1774),C1774)</f>
        <v>6920</v>
      </c>
    </row>
    <row r="1775" customFormat="false" ht="12.75" hidden="false" customHeight="false" outlineLevel="0" collapsed="false">
      <c r="A1775" s="0" t="n">
        <f aca="false">B1775*1000+C1775</f>
        <v>32030</v>
      </c>
      <c r="B1775" s="0" t="n">
        <v>32</v>
      </c>
      <c r="C1775" s="0" t="n">
        <v>30</v>
      </c>
      <c r="D1775" s="0" t="n">
        <v>13</v>
      </c>
      <c r="E1775" s="0" t="n">
        <f aca="false">VLOOKUP(B1775,'MSA-Lookup'!$H$2:$I$86,2)</f>
        <v>7480</v>
      </c>
      <c r="F1775" s="0" t="n">
        <f aca="false">IF(C1775&gt;1,IF(C1775&lt;99,VLOOKUP(C1775,'MSA-Lookup'!$H$1:$I$86,2),C1775),C1775)</f>
        <v>4940</v>
      </c>
      <c r="G1775" s="0" t="n">
        <f aca="false">VLOOKUP(E1775,'MSA-Lookup'!$AA$1:$AB$25,2)</f>
        <v>7480</v>
      </c>
      <c r="H1775" s="0" t="n">
        <f aca="false">IF(C1775&gt;1,IF(C1775&lt;99,VLOOKUP(F1775,'MSA-Lookup'!$AA$1:$AB$25,2),C1775),C1775)</f>
        <v>4940</v>
      </c>
    </row>
    <row r="1776" customFormat="false" ht="12.75" hidden="false" customHeight="false" outlineLevel="0" collapsed="false">
      <c r="A1776" s="0" t="n">
        <f aca="false">B1776*1000+C1776</f>
        <v>32031</v>
      </c>
      <c r="B1776" s="0" t="n">
        <v>32</v>
      </c>
      <c r="C1776" s="0" t="n">
        <v>31</v>
      </c>
      <c r="D1776" s="0" t="n">
        <v>0</v>
      </c>
      <c r="E1776" s="0" t="n">
        <f aca="false">VLOOKUP(B1776,'MSA-Lookup'!$H$2:$I$86,2)</f>
        <v>7480</v>
      </c>
      <c r="F1776" s="0" t="n">
        <f aca="false">IF(C1776&gt;1,IF(C1776&lt;99,VLOOKUP(C1776,'MSA-Lookup'!$H$1:$I$86,2),C1776),C1776)</f>
        <v>9999</v>
      </c>
      <c r="G1776" s="0" t="n">
        <f aca="false">VLOOKUP(E1776,'MSA-Lookup'!$AA$1:$AB$25,2)</f>
        <v>7480</v>
      </c>
      <c r="H1776" s="0" t="n">
        <f aca="false">IF(C1776&gt;1,IF(C1776&lt;99,VLOOKUP(F1776,'MSA-Lookup'!$AA$1:$AB$25,2),C1776),C1776)</f>
        <v>9999</v>
      </c>
    </row>
    <row r="1777" customFormat="false" ht="12.75" hidden="false" customHeight="false" outlineLevel="0" collapsed="false">
      <c r="A1777" s="0" t="n">
        <f aca="false">B1777*1000+C1777</f>
        <v>32032</v>
      </c>
      <c r="B1777" s="0" t="n">
        <v>32</v>
      </c>
      <c r="C1777" s="0" t="n">
        <v>32</v>
      </c>
      <c r="D1777" s="0" t="n">
        <v>169559</v>
      </c>
      <c r="E1777" s="0" t="n">
        <f aca="false">VLOOKUP(B1777,'MSA-Lookup'!$H$2:$I$86,2)</f>
        <v>7480</v>
      </c>
      <c r="F1777" s="0" t="n">
        <f aca="false">IF(C1777&gt;1,IF(C1777&lt;99,VLOOKUP(C1777,'MSA-Lookup'!$H$1:$I$86,2),C1777),C1777)</f>
        <v>7480</v>
      </c>
      <c r="G1777" s="0" t="n">
        <f aca="false">VLOOKUP(E1777,'MSA-Lookup'!$AA$1:$AB$25,2)</f>
        <v>7480</v>
      </c>
      <c r="H1777" s="0" t="n">
        <f aca="false">IF(C1777&gt;1,IF(C1777&lt;99,VLOOKUP(F1777,'MSA-Lookup'!$AA$1:$AB$25,2),C1777),C1777)</f>
        <v>7480</v>
      </c>
    </row>
    <row r="1778" customFormat="false" ht="12.75" hidden="false" customHeight="false" outlineLevel="0" collapsed="false">
      <c r="A1778" s="0" t="n">
        <f aca="false">B1778*1000+C1778</f>
        <v>32033</v>
      </c>
      <c r="B1778" s="0" t="n">
        <v>32</v>
      </c>
      <c r="C1778" s="0" t="n">
        <v>33</v>
      </c>
      <c r="D1778" s="0" t="n">
        <v>0</v>
      </c>
      <c r="E1778" s="0" t="n">
        <f aca="false">VLOOKUP(B1778,'MSA-Lookup'!$H$2:$I$86,2)</f>
        <v>7480</v>
      </c>
      <c r="F1778" s="0" t="n">
        <f aca="false">IF(C1778&gt;1,IF(C1778&lt;99,VLOOKUP(C1778,'MSA-Lookup'!$H$1:$I$86,2),C1778),C1778)</f>
        <v>7320</v>
      </c>
      <c r="G1778" s="0" t="n">
        <f aca="false">VLOOKUP(E1778,'MSA-Lookup'!$AA$1:$AB$25,2)</f>
        <v>7480</v>
      </c>
      <c r="H1778" s="0" t="n">
        <f aca="false">IF(C1778&gt;1,IF(C1778&lt;99,VLOOKUP(F1778,'MSA-Lookup'!$AA$1:$AB$25,2),C1778),C1778)</f>
        <v>7320</v>
      </c>
    </row>
    <row r="1779" customFormat="false" ht="12.75" hidden="false" customHeight="false" outlineLevel="0" collapsed="false">
      <c r="A1779" s="0" t="n">
        <f aca="false">B1779*1000+C1779</f>
        <v>32034</v>
      </c>
      <c r="B1779" s="0" t="n">
        <v>32</v>
      </c>
      <c r="C1779" s="0" t="n">
        <v>34</v>
      </c>
      <c r="D1779" s="0" t="n">
        <v>0</v>
      </c>
      <c r="E1779" s="0" t="n">
        <f aca="false">VLOOKUP(B1779,'MSA-Lookup'!$H$2:$I$86,2)</f>
        <v>7480</v>
      </c>
      <c r="F1779" s="0" t="n">
        <f aca="false">IF(C1779&gt;1,IF(C1779&lt;99,VLOOKUP(C1779,'MSA-Lookup'!$H$1:$I$86,2),C1779),C1779)</f>
        <v>7320</v>
      </c>
      <c r="G1779" s="0" t="n">
        <f aca="false">VLOOKUP(E1779,'MSA-Lookup'!$AA$1:$AB$25,2)</f>
        <v>7480</v>
      </c>
      <c r="H1779" s="0" t="n">
        <f aca="false">IF(C1779&gt;1,IF(C1779&lt;99,VLOOKUP(F1779,'MSA-Lookup'!$AA$1:$AB$25,2),C1779),C1779)</f>
        <v>7320</v>
      </c>
    </row>
    <row r="1780" customFormat="false" ht="12.75" hidden="false" customHeight="false" outlineLevel="0" collapsed="false">
      <c r="A1780" s="0" t="n">
        <f aca="false">B1780*1000+C1780</f>
        <v>32035</v>
      </c>
      <c r="B1780" s="0" t="n">
        <v>32</v>
      </c>
      <c r="C1780" s="0" t="n">
        <v>35</v>
      </c>
      <c r="D1780" s="0" t="n">
        <v>0</v>
      </c>
      <c r="E1780" s="0" t="n">
        <f aca="false">VLOOKUP(B1780,'MSA-Lookup'!$H$2:$I$86,2)</f>
        <v>7480</v>
      </c>
      <c r="F1780" s="0" t="n">
        <f aca="false">IF(C1780&gt;1,IF(C1780&lt;99,VLOOKUP(C1780,'MSA-Lookup'!$H$1:$I$86,2),C1780),C1780)</f>
        <v>7320</v>
      </c>
      <c r="G1780" s="0" t="n">
        <f aca="false">VLOOKUP(E1780,'MSA-Lookup'!$AA$1:$AB$25,2)</f>
        <v>7480</v>
      </c>
      <c r="H1780" s="0" t="n">
        <f aca="false">IF(C1780&gt;1,IF(C1780&lt;99,VLOOKUP(F1780,'MSA-Lookup'!$AA$1:$AB$25,2),C1780),C1780)</f>
        <v>7320</v>
      </c>
    </row>
    <row r="1781" customFormat="false" ht="12.75" hidden="false" customHeight="false" outlineLevel="0" collapsed="false">
      <c r="A1781" s="0" t="n">
        <f aca="false">B1781*1000+C1781</f>
        <v>32037</v>
      </c>
      <c r="B1781" s="0" t="n">
        <v>32</v>
      </c>
      <c r="C1781" s="0" t="n">
        <v>37</v>
      </c>
      <c r="D1781" s="0" t="n">
        <v>65</v>
      </c>
      <c r="E1781" s="0" t="n">
        <f aca="false">VLOOKUP(B1781,'MSA-Lookup'!$H$2:$I$86,2)</f>
        <v>7480</v>
      </c>
      <c r="F1781" s="0" t="n">
        <f aca="false">IF(C1781&gt;1,IF(C1781&lt;99,VLOOKUP(C1781,'MSA-Lookup'!$H$1:$I$86,2),C1781),C1781)</f>
        <v>7320</v>
      </c>
      <c r="G1781" s="0" t="n">
        <f aca="false">VLOOKUP(E1781,'MSA-Lookup'!$AA$1:$AB$25,2)</f>
        <v>7480</v>
      </c>
      <c r="H1781" s="0" t="n">
        <f aca="false">IF(C1781&gt;1,IF(C1781&lt;99,VLOOKUP(F1781,'MSA-Lookup'!$AA$1:$AB$25,2),C1781),C1781)</f>
        <v>7320</v>
      </c>
    </row>
    <row r="1782" customFormat="false" ht="12.75" hidden="false" customHeight="false" outlineLevel="0" collapsed="false">
      <c r="A1782" s="0" t="n">
        <f aca="false">B1782*1000+C1782</f>
        <v>32038</v>
      </c>
      <c r="B1782" s="0" t="n">
        <v>32</v>
      </c>
      <c r="C1782" s="0" t="n">
        <v>38</v>
      </c>
      <c r="D1782" s="0" t="n">
        <v>0</v>
      </c>
      <c r="E1782" s="0" t="n">
        <f aca="false">VLOOKUP(B1782,'MSA-Lookup'!$H$2:$I$86,2)</f>
        <v>7480</v>
      </c>
      <c r="F1782" s="0" t="n">
        <f aca="false">IF(C1782&gt;1,IF(C1782&lt;99,VLOOKUP(C1782,'MSA-Lookup'!$H$1:$I$86,2),C1782),C1782)</f>
        <v>7120</v>
      </c>
      <c r="G1782" s="0" t="n">
        <f aca="false">VLOOKUP(E1782,'MSA-Lookup'!$AA$1:$AB$25,2)</f>
        <v>7480</v>
      </c>
      <c r="H1782" s="0" t="n">
        <f aca="false">IF(C1782&gt;1,IF(C1782&lt;99,VLOOKUP(F1782,'MSA-Lookup'!$AA$1:$AB$25,2),C1782),C1782)</f>
        <v>7120</v>
      </c>
    </row>
    <row r="1783" customFormat="false" ht="12.75" hidden="false" customHeight="false" outlineLevel="0" collapsed="false">
      <c r="A1783" s="0" t="n">
        <f aca="false">B1783*1000+C1783</f>
        <v>32039</v>
      </c>
      <c r="B1783" s="0" t="n">
        <v>32</v>
      </c>
      <c r="C1783" s="0" t="n">
        <v>39</v>
      </c>
      <c r="D1783" s="0" t="n">
        <v>208</v>
      </c>
      <c r="E1783" s="0" t="n">
        <f aca="false">VLOOKUP(B1783,'MSA-Lookup'!$H$2:$I$86,2)</f>
        <v>7480</v>
      </c>
      <c r="F1783" s="0" t="n">
        <f aca="false">IF(C1783&gt;1,IF(C1783&lt;99,VLOOKUP(C1783,'MSA-Lookup'!$H$1:$I$86,2),C1783),C1783)</f>
        <v>7120</v>
      </c>
      <c r="G1783" s="0" t="n">
        <f aca="false">VLOOKUP(E1783,'MSA-Lookup'!$AA$1:$AB$25,2)</f>
        <v>7480</v>
      </c>
      <c r="H1783" s="0" t="n">
        <f aca="false">IF(C1783&gt;1,IF(C1783&lt;99,VLOOKUP(F1783,'MSA-Lookup'!$AA$1:$AB$25,2),C1783),C1783)</f>
        <v>7120</v>
      </c>
    </row>
    <row r="1784" customFormat="false" ht="12.75" hidden="false" customHeight="false" outlineLevel="0" collapsed="false">
      <c r="A1784" s="0" t="n">
        <f aca="false">B1784*1000+C1784</f>
        <v>32040</v>
      </c>
      <c r="B1784" s="0" t="n">
        <v>32</v>
      </c>
      <c r="C1784" s="0" t="n">
        <v>40</v>
      </c>
      <c r="D1784" s="0" t="n">
        <v>78</v>
      </c>
      <c r="E1784" s="0" t="n">
        <f aca="false">VLOOKUP(B1784,'MSA-Lookup'!$H$2:$I$86,2)</f>
        <v>7480</v>
      </c>
      <c r="F1784" s="0" t="n">
        <f aca="false">IF(C1784&gt;1,IF(C1784&lt;99,VLOOKUP(C1784,'MSA-Lookup'!$H$1:$I$86,2),C1784),C1784)</f>
        <v>2840</v>
      </c>
      <c r="G1784" s="0" t="n">
        <f aca="false">VLOOKUP(E1784,'MSA-Lookup'!$AA$1:$AB$25,2)</f>
        <v>7480</v>
      </c>
      <c r="H1784" s="0" t="n">
        <f aca="false">IF(C1784&gt;1,IF(C1784&lt;99,VLOOKUP(F1784,'MSA-Lookup'!$AA$1:$AB$25,2),C1784),C1784)</f>
        <v>2840</v>
      </c>
    </row>
    <row r="1785" customFormat="false" ht="12.75" hidden="false" customHeight="false" outlineLevel="0" collapsed="false">
      <c r="A1785" s="0" t="n">
        <f aca="false">B1785*1000+C1785</f>
        <v>32041</v>
      </c>
      <c r="B1785" s="0" t="n">
        <v>32</v>
      </c>
      <c r="C1785" s="0" t="n">
        <v>41</v>
      </c>
      <c r="D1785" s="0" t="n">
        <v>65</v>
      </c>
      <c r="E1785" s="0" t="n">
        <f aca="false">VLOOKUP(B1785,'MSA-Lookup'!$H$2:$I$86,2)</f>
        <v>7480</v>
      </c>
      <c r="F1785" s="0" t="n">
        <f aca="false">IF(C1785&gt;1,IF(C1785&lt;99,VLOOKUP(C1785,'MSA-Lookup'!$H$1:$I$86,2),C1785),C1785)</f>
        <v>2840</v>
      </c>
      <c r="G1785" s="0" t="n">
        <f aca="false">VLOOKUP(E1785,'MSA-Lookup'!$AA$1:$AB$25,2)</f>
        <v>7480</v>
      </c>
      <c r="H1785" s="0" t="n">
        <f aca="false">IF(C1785&gt;1,IF(C1785&lt;99,VLOOKUP(F1785,'MSA-Lookup'!$AA$1:$AB$25,2),C1785),C1785)</f>
        <v>2840</v>
      </c>
    </row>
    <row r="1786" customFormat="false" ht="12.75" hidden="false" customHeight="false" outlineLevel="0" collapsed="false">
      <c r="A1786" s="0" t="n">
        <f aca="false">B1786*1000+C1786</f>
        <v>32042</v>
      </c>
      <c r="B1786" s="0" t="n">
        <v>32</v>
      </c>
      <c r="C1786" s="0" t="n">
        <v>42</v>
      </c>
      <c r="D1786" s="0" t="n">
        <v>91</v>
      </c>
      <c r="E1786" s="0" t="n">
        <f aca="false">VLOOKUP(B1786,'MSA-Lookup'!$H$2:$I$86,2)</f>
        <v>7480</v>
      </c>
      <c r="F1786" s="0" t="n">
        <f aca="false">IF(C1786&gt;1,IF(C1786&lt;99,VLOOKUP(C1786,'MSA-Lookup'!$H$1:$I$86,2),C1786),C1786)</f>
        <v>360</v>
      </c>
      <c r="G1786" s="0" t="n">
        <f aca="false">VLOOKUP(E1786,'MSA-Lookup'!$AA$1:$AB$25,2)</f>
        <v>7480</v>
      </c>
      <c r="H1786" s="0" t="n">
        <f aca="false">IF(C1786&gt;1,IF(C1786&lt;99,VLOOKUP(F1786,'MSA-Lookup'!$AA$1:$AB$25,2),C1786),C1786)</f>
        <v>4472</v>
      </c>
    </row>
    <row r="1787" customFormat="false" ht="12.75" hidden="false" customHeight="false" outlineLevel="0" collapsed="false">
      <c r="A1787" s="0" t="n">
        <f aca="false">B1787*1000+C1787</f>
        <v>32043</v>
      </c>
      <c r="B1787" s="0" t="n">
        <v>32</v>
      </c>
      <c r="C1787" s="0" t="n">
        <v>43</v>
      </c>
      <c r="D1787" s="0" t="n">
        <v>0</v>
      </c>
      <c r="E1787" s="0" t="n">
        <f aca="false">VLOOKUP(B1787,'MSA-Lookup'!$H$2:$I$86,2)</f>
        <v>7480</v>
      </c>
      <c r="F1787" s="0" t="n">
        <f aca="false">IF(C1787&gt;1,IF(C1787&lt;99,VLOOKUP(C1787,'MSA-Lookup'!$H$1:$I$86,2),C1787),C1787)</f>
        <v>360</v>
      </c>
      <c r="G1787" s="0" t="n">
        <f aca="false">VLOOKUP(E1787,'MSA-Lookup'!$AA$1:$AB$25,2)</f>
        <v>7480</v>
      </c>
      <c r="H1787" s="0" t="n">
        <f aca="false">IF(C1787&gt;1,IF(C1787&lt;99,VLOOKUP(F1787,'MSA-Lookup'!$AA$1:$AB$25,2),C1787),C1787)</f>
        <v>4472</v>
      </c>
    </row>
    <row r="1788" customFormat="false" ht="12.75" hidden="false" customHeight="false" outlineLevel="0" collapsed="false">
      <c r="A1788" s="0" t="n">
        <f aca="false">B1788*1000+C1788</f>
        <v>32046</v>
      </c>
      <c r="B1788" s="0" t="n">
        <v>32</v>
      </c>
      <c r="C1788" s="0" t="n">
        <v>46</v>
      </c>
      <c r="D1788" s="0" t="n">
        <v>0</v>
      </c>
      <c r="E1788" s="0" t="n">
        <f aca="false">VLOOKUP(B1788,'MSA-Lookup'!$H$2:$I$86,2)</f>
        <v>7480</v>
      </c>
      <c r="F1788" s="0" t="n">
        <f aca="false">IF(C1788&gt;1,IF(C1788&lt;99,VLOOKUP(C1788,'MSA-Lookup'!$H$1:$I$86,2),C1788),C1788)</f>
        <v>360</v>
      </c>
      <c r="G1788" s="0" t="n">
        <f aca="false">VLOOKUP(E1788,'MSA-Lookup'!$AA$1:$AB$25,2)</f>
        <v>7480</v>
      </c>
      <c r="H1788" s="0" t="n">
        <f aca="false">IF(C1788&gt;1,IF(C1788&lt;99,VLOOKUP(F1788,'MSA-Lookup'!$AA$1:$AB$25,2),C1788),C1788)</f>
        <v>4472</v>
      </c>
    </row>
    <row r="1789" customFormat="false" ht="12.75" hidden="false" customHeight="false" outlineLevel="0" collapsed="false">
      <c r="A1789" s="0" t="n">
        <f aca="false">B1789*1000+C1789</f>
        <v>32048</v>
      </c>
      <c r="B1789" s="0" t="n">
        <v>32</v>
      </c>
      <c r="C1789" s="0" t="n">
        <v>48</v>
      </c>
      <c r="D1789" s="0" t="n">
        <v>0</v>
      </c>
      <c r="E1789" s="0" t="n">
        <f aca="false">VLOOKUP(B1789,'MSA-Lookup'!$H$2:$I$86,2)</f>
        <v>7480</v>
      </c>
      <c r="F1789" s="0" t="n">
        <f aca="false">IF(C1789&gt;1,IF(C1789&lt;99,VLOOKUP(C1789,'MSA-Lookup'!$H$1:$I$86,2),C1789),C1789)</f>
        <v>360</v>
      </c>
      <c r="G1789" s="0" t="n">
        <f aca="false">VLOOKUP(E1789,'MSA-Lookup'!$AA$1:$AB$25,2)</f>
        <v>7480</v>
      </c>
      <c r="H1789" s="0" t="n">
        <f aca="false">IF(C1789&gt;1,IF(C1789&lt;99,VLOOKUP(F1789,'MSA-Lookup'!$AA$1:$AB$25,2),C1789),C1789)</f>
        <v>4472</v>
      </c>
    </row>
    <row r="1790" customFormat="false" ht="12.75" hidden="false" customHeight="false" outlineLevel="0" collapsed="false">
      <c r="A1790" s="0" t="n">
        <f aca="false">B1790*1000+C1790</f>
        <v>32049</v>
      </c>
      <c r="B1790" s="0" t="n">
        <v>32</v>
      </c>
      <c r="C1790" s="0" t="n">
        <v>49</v>
      </c>
      <c r="D1790" s="0" t="n">
        <v>0</v>
      </c>
      <c r="E1790" s="0" t="n">
        <f aca="false">VLOOKUP(B1790,'MSA-Lookup'!$H$2:$I$86,2)</f>
        <v>7480</v>
      </c>
      <c r="F1790" s="0" t="n">
        <f aca="false">IF(C1790&gt;1,IF(C1790&lt;99,VLOOKUP(C1790,'MSA-Lookup'!$H$1:$I$86,2),C1790),C1790)</f>
        <v>7400</v>
      </c>
      <c r="G1790" s="0" t="n">
        <f aca="false">VLOOKUP(E1790,'MSA-Lookup'!$AA$1:$AB$25,2)</f>
        <v>7480</v>
      </c>
      <c r="H1790" s="0" t="n">
        <f aca="false">IF(C1790&gt;1,IF(C1790&lt;99,VLOOKUP(F1790,'MSA-Lookup'!$AA$1:$AB$25,2),C1790),C1790)</f>
        <v>7362</v>
      </c>
    </row>
    <row r="1791" customFormat="false" ht="12.75" hidden="false" customHeight="false" outlineLevel="0" collapsed="false">
      <c r="A1791" s="0" t="n">
        <f aca="false">B1791*1000+C1791</f>
        <v>32050</v>
      </c>
      <c r="B1791" s="0" t="n">
        <v>32</v>
      </c>
      <c r="C1791" s="0" t="n">
        <v>50</v>
      </c>
      <c r="D1791" s="0" t="n">
        <v>104</v>
      </c>
      <c r="E1791" s="0" t="n">
        <f aca="false">VLOOKUP(B1791,'MSA-Lookup'!$H$2:$I$86,2)</f>
        <v>7480</v>
      </c>
      <c r="F1791" s="0" t="n">
        <f aca="false">IF(C1791&gt;1,IF(C1791&lt;99,VLOOKUP(C1791,'MSA-Lookup'!$H$1:$I$86,2),C1791),C1791)</f>
        <v>7400</v>
      </c>
      <c r="G1791" s="0" t="n">
        <f aca="false">VLOOKUP(E1791,'MSA-Lookup'!$AA$1:$AB$25,2)</f>
        <v>7480</v>
      </c>
      <c r="H1791" s="0" t="n">
        <f aca="false">IF(C1791&gt;1,IF(C1791&lt;99,VLOOKUP(F1791,'MSA-Lookup'!$AA$1:$AB$25,2),C1791),C1791)</f>
        <v>7362</v>
      </c>
    </row>
    <row r="1792" customFormat="false" ht="12.75" hidden="false" customHeight="false" outlineLevel="0" collapsed="false">
      <c r="A1792" s="0" t="n">
        <f aca="false">B1792*1000+C1792</f>
        <v>32051</v>
      </c>
      <c r="B1792" s="0" t="n">
        <v>32</v>
      </c>
      <c r="C1792" s="0" t="n">
        <v>51</v>
      </c>
      <c r="D1792" s="0" t="n">
        <v>0</v>
      </c>
      <c r="E1792" s="0" t="n">
        <f aca="false">VLOOKUP(B1792,'MSA-Lookup'!$H$2:$I$86,2)</f>
        <v>7480</v>
      </c>
      <c r="F1792" s="0" t="n">
        <f aca="false">IF(C1792&gt;1,IF(C1792&lt;99,VLOOKUP(C1792,'MSA-Lookup'!$H$1:$I$86,2),C1792),C1792)</f>
        <v>7400</v>
      </c>
      <c r="G1792" s="0" t="n">
        <f aca="false">VLOOKUP(E1792,'MSA-Lookup'!$AA$1:$AB$25,2)</f>
        <v>7480</v>
      </c>
      <c r="H1792" s="0" t="n">
        <f aca="false">IF(C1792&gt;1,IF(C1792&lt;99,VLOOKUP(F1792,'MSA-Lookup'!$AA$1:$AB$25,2),C1792),C1792)</f>
        <v>7362</v>
      </c>
    </row>
    <row r="1793" customFormat="false" ht="12.75" hidden="false" customHeight="false" outlineLevel="0" collapsed="false">
      <c r="A1793" s="0" t="n">
        <f aca="false">B1793*1000+C1793</f>
        <v>32052</v>
      </c>
      <c r="B1793" s="0" t="n">
        <v>32</v>
      </c>
      <c r="C1793" s="0" t="n">
        <v>52</v>
      </c>
      <c r="D1793" s="0" t="n">
        <v>0</v>
      </c>
      <c r="E1793" s="0" t="n">
        <f aca="false">VLOOKUP(B1793,'MSA-Lookup'!$H$2:$I$86,2)</f>
        <v>7480</v>
      </c>
      <c r="F1793" s="0" t="n">
        <f aca="false">IF(C1793&gt;1,IF(C1793&lt;99,VLOOKUP(C1793,'MSA-Lookup'!$H$1:$I$86,2),C1793),C1793)</f>
        <v>4480</v>
      </c>
      <c r="G1793" s="0" t="n">
        <f aca="false">VLOOKUP(E1793,'MSA-Lookup'!$AA$1:$AB$25,2)</f>
        <v>7480</v>
      </c>
      <c r="H1793" s="0" t="n">
        <f aca="false">IF(C1793&gt;1,IF(C1793&lt;99,VLOOKUP(F1793,'MSA-Lookup'!$AA$1:$AB$25,2),C1793),C1793)</f>
        <v>4472</v>
      </c>
    </row>
    <row r="1794" customFormat="false" ht="12.75" hidden="false" customHeight="false" outlineLevel="0" collapsed="false">
      <c r="A1794" s="0" t="n">
        <f aca="false">B1794*1000+C1794</f>
        <v>32053</v>
      </c>
      <c r="B1794" s="0" t="n">
        <v>32</v>
      </c>
      <c r="C1794" s="0" t="n">
        <v>53</v>
      </c>
      <c r="D1794" s="0" t="n">
        <v>0</v>
      </c>
      <c r="E1794" s="0" t="n">
        <f aca="false">VLOOKUP(B1794,'MSA-Lookup'!$H$2:$I$86,2)</f>
        <v>7480</v>
      </c>
      <c r="F1794" s="0" t="n">
        <f aca="false">IF(C1794&gt;1,IF(C1794&lt;99,VLOOKUP(C1794,'MSA-Lookup'!$H$1:$I$86,2),C1794),C1794)</f>
        <v>4480</v>
      </c>
      <c r="G1794" s="0" t="n">
        <f aca="false">VLOOKUP(E1794,'MSA-Lookup'!$AA$1:$AB$25,2)</f>
        <v>7480</v>
      </c>
      <c r="H1794" s="0" t="n">
        <f aca="false">IF(C1794&gt;1,IF(C1794&lt;99,VLOOKUP(F1794,'MSA-Lookup'!$AA$1:$AB$25,2),C1794),C1794)</f>
        <v>4472</v>
      </c>
    </row>
    <row r="1795" customFormat="false" ht="12.75" hidden="false" customHeight="false" outlineLevel="0" collapsed="false">
      <c r="A1795" s="0" t="n">
        <f aca="false">B1795*1000+C1795</f>
        <v>32054</v>
      </c>
      <c r="B1795" s="0" t="n">
        <v>32</v>
      </c>
      <c r="C1795" s="0" t="n">
        <v>54</v>
      </c>
      <c r="D1795" s="0" t="n">
        <v>0</v>
      </c>
      <c r="E1795" s="0" t="n">
        <f aca="false">VLOOKUP(B1795,'MSA-Lookup'!$H$2:$I$86,2)</f>
        <v>7480</v>
      </c>
      <c r="F1795" s="0" t="n">
        <f aca="false">IF(C1795&gt;1,IF(C1795&lt;99,VLOOKUP(C1795,'MSA-Lookup'!$H$1:$I$86,2),C1795),C1795)</f>
        <v>4480</v>
      </c>
      <c r="G1795" s="0" t="n">
        <f aca="false">VLOOKUP(E1795,'MSA-Lookup'!$AA$1:$AB$25,2)</f>
        <v>7480</v>
      </c>
      <c r="H1795" s="0" t="n">
        <f aca="false">IF(C1795&gt;1,IF(C1795&lt;99,VLOOKUP(F1795,'MSA-Lookup'!$AA$1:$AB$25,2),C1795),C1795)</f>
        <v>4472</v>
      </c>
    </row>
    <row r="1796" customFormat="false" ht="12.75" hidden="false" customHeight="false" outlineLevel="0" collapsed="false">
      <c r="A1796" s="0" t="n">
        <f aca="false">B1796*1000+C1796</f>
        <v>32055</v>
      </c>
      <c r="B1796" s="0" t="n">
        <v>32</v>
      </c>
      <c r="C1796" s="0" t="n">
        <v>55</v>
      </c>
      <c r="D1796" s="0" t="n">
        <v>0</v>
      </c>
      <c r="E1796" s="0" t="n">
        <f aca="false">VLOOKUP(B1796,'MSA-Lookup'!$H$2:$I$86,2)</f>
        <v>7480</v>
      </c>
      <c r="F1796" s="0" t="n">
        <f aca="false">IF(C1796&gt;1,IF(C1796&lt;99,VLOOKUP(C1796,'MSA-Lookup'!$H$1:$I$86,2),C1796),C1796)</f>
        <v>4480</v>
      </c>
      <c r="G1796" s="0" t="n">
        <f aca="false">VLOOKUP(E1796,'MSA-Lookup'!$AA$1:$AB$25,2)</f>
        <v>7480</v>
      </c>
      <c r="H1796" s="0" t="n">
        <f aca="false">IF(C1796&gt;1,IF(C1796&lt;99,VLOOKUP(F1796,'MSA-Lookup'!$AA$1:$AB$25,2),C1796),C1796)</f>
        <v>4472</v>
      </c>
    </row>
    <row r="1797" customFormat="false" ht="12.75" hidden="false" customHeight="false" outlineLevel="0" collapsed="false">
      <c r="A1797" s="0" t="n">
        <f aca="false">B1797*1000+C1797</f>
        <v>32056</v>
      </c>
      <c r="B1797" s="0" t="n">
        <v>32</v>
      </c>
      <c r="C1797" s="0" t="n">
        <v>56</v>
      </c>
      <c r="D1797" s="0" t="n">
        <v>0</v>
      </c>
      <c r="E1797" s="0" t="n">
        <f aca="false">VLOOKUP(B1797,'MSA-Lookup'!$H$2:$I$86,2)</f>
        <v>7480</v>
      </c>
      <c r="F1797" s="0" t="n">
        <f aca="false">IF(C1797&gt;1,IF(C1797&lt;99,VLOOKUP(C1797,'MSA-Lookup'!$H$1:$I$86,2),C1797),C1797)</f>
        <v>4480</v>
      </c>
      <c r="G1797" s="0" t="n">
        <f aca="false">VLOOKUP(E1797,'MSA-Lookup'!$AA$1:$AB$25,2)</f>
        <v>7480</v>
      </c>
      <c r="H1797" s="0" t="n">
        <f aca="false">IF(C1797&gt;1,IF(C1797&lt;99,VLOOKUP(F1797,'MSA-Lookup'!$AA$1:$AB$25,2),C1797),C1797)</f>
        <v>4472</v>
      </c>
    </row>
    <row r="1798" customFormat="false" ht="12.75" hidden="false" customHeight="false" outlineLevel="0" collapsed="false">
      <c r="A1798" s="0" t="n">
        <f aca="false">B1798*1000+C1798</f>
        <v>32057</v>
      </c>
      <c r="B1798" s="0" t="n">
        <v>32</v>
      </c>
      <c r="C1798" s="0" t="n">
        <v>57</v>
      </c>
      <c r="D1798" s="0" t="n">
        <v>0</v>
      </c>
      <c r="E1798" s="0" t="n">
        <f aca="false">VLOOKUP(B1798,'MSA-Lookup'!$H$2:$I$86,2)</f>
        <v>7480</v>
      </c>
      <c r="F1798" s="0" t="n">
        <f aca="false">IF(C1798&gt;1,IF(C1798&lt;99,VLOOKUP(C1798,'MSA-Lookup'!$H$1:$I$86,2),C1798),C1798)</f>
        <v>4480</v>
      </c>
      <c r="G1798" s="0" t="n">
        <f aca="false">VLOOKUP(E1798,'MSA-Lookup'!$AA$1:$AB$25,2)</f>
        <v>7480</v>
      </c>
      <c r="H1798" s="0" t="n">
        <f aca="false">IF(C1798&gt;1,IF(C1798&lt;99,VLOOKUP(F1798,'MSA-Lookup'!$AA$1:$AB$25,2),C1798),C1798)</f>
        <v>4472</v>
      </c>
    </row>
    <row r="1799" customFormat="false" ht="12.75" hidden="false" customHeight="false" outlineLevel="0" collapsed="false">
      <c r="A1799" s="0" t="n">
        <f aca="false">B1799*1000+C1799</f>
        <v>32059</v>
      </c>
      <c r="B1799" s="0" t="n">
        <v>32</v>
      </c>
      <c r="C1799" s="0" t="n">
        <v>59</v>
      </c>
      <c r="D1799" s="0" t="n">
        <v>0</v>
      </c>
      <c r="E1799" s="0" t="n">
        <f aca="false">VLOOKUP(B1799,'MSA-Lookup'!$H$2:$I$86,2)</f>
        <v>7480</v>
      </c>
      <c r="F1799" s="0" t="n">
        <f aca="false">IF(C1799&gt;1,IF(C1799&lt;99,VLOOKUP(C1799,'MSA-Lookup'!$H$1:$I$86,2),C1799),C1799)</f>
        <v>4480</v>
      </c>
      <c r="G1799" s="0" t="n">
        <f aca="false">VLOOKUP(E1799,'MSA-Lookup'!$AA$1:$AB$25,2)</f>
        <v>7480</v>
      </c>
      <c r="H1799" s="0" t="n">
        <f aca="false">IF(C1799&gt;1,IF(C1799&lt;99,VLOOKUP(F1799,'MSA-Lookup'!$AA$1:$AB$25,2),C1799),C1799)</f>
        <v>4472</v>
      </c>
    </row>
    <row r="1800" customFormat="false" ht="12.75" hidden="false" customHeight="false" outlineLevel="0" collapsed="false">
      <c r="A1800" s="0" t="n">
        <f aca="false">B1800*1000+C1800</f>
        <v>32060</v>
      </c>
      <c r="B1800" s="0" t="n">
        <v>32</v>
      </c>
      <c r="C1800" s="0" t="n">
        <v>60</v>
      </c>
      <c r="D1800" s="0" t="n">
        <v>0</v>
      </c>
      <c r="E1800" s="0" t="n">
        <f aca="false">VLOOKUP(B1800,'MSA-Lookup'!$H$2:$I$86,2)</f>
        <v>7480</v>
      </c>
      <c r="F1800" s="0" t="n">
        <f aca="false">IF(C1800&gt;1,IF(C1800&lt;99,VLOOKUP(C1800,'MSA-Lookup'!$H$1:$I$86,2),C1800),C1800)</f>
        <v>4480</v>
      </c>
      <c r="G1800" s="0" t="n">
        <f aca="false">VLOOKUP(E1800,'MSA-Lookup'!$AA$1:$AB$25,2)</f>
        <v>7480</v>
      </c>
      <c r="H1800" s="0" t="n">
        <f aca="false">IF(C1800&gt;1,IF(C1800&lt;99,VLOOKUP(F1800,'MSA-Lookup'!$AA$1:$AB$25,2),C1800),C1800)</f>
        <v>4472</v>
      </c>
    </row>
    <row r="1801" customFormat="false" ht="12.75" hidden="false" customHeight="false" outlineLevel="0" collapsed="false">
      <c r="A1801" s="0" t="n">
        <f aca="false">B1801*1000+C1801</f>
        <v>32062</v>
      </c>
      <c r="B1801" s="0" t="n">
        <v>32</v>
      </c>
      <c r="C1801" s="0" t="n">
        <v>62</v>
      </c>
      <c r="D1801" s="0" t="n">
        <v>52</v>
      </c>
      <c r="E1801" s="0" t="n">
        <f aca="false">VLOOKUP(B1801,'MSA-Lookup'!$H$2:$I$86,2)</f>
        <v>7480</v>
      </c>
      <c r="F1801" s="0" t="n">
        <f aca="false">IF(C1801&gt;1,IF(C1801&lt;99,VLOOKUP(C1801,'MSA-Lookup'!$H$1:$I$86,2),C1801),C1801)</f>
        <v>4480</v>
      </c>
      <c r="G1801" s="0" t="n">
        <f aca="false">VLOOKUP(E1801,'MSA-Lookup'!$AA$1:$AB$25,2)</f>
        <v>7480</v>
      </c>
      <c r="H1801" s="0" t="n">
        <f aca="false">IF(C1801&gt;1,IF(C1801&lt;99,VLOOKUP(F1801,'MSA-Lookup'!$AA$1:$AB$25,2),C1801),C1801)</f>
        <v>4472</v>
      </c>
    </row>
    <row r="1802" customFormat="false" ht="12.75" hidden="false" customHeight="false" outlineLevel="0" collapsed="false">
      <c r="A1802" s="0" t="n">
        <f aca="false">B1802*1000+C1802</f>
        <v>32064</v>
      </c>
      <c r="B1802" s="0" t="n">
        <v>32</v>
      </c>
      <c r="C1802" s="0" t="n">
        <v>64</v>
      </c>
      <c r="D1802" s="0" t="n">
        <v>598</v>
      </c>
      <c r="E1802" s="0" t="n">
        <f aca="false">VLOOKUP(B1802,'MSA-Lookup'!$H$2:$I$86,2)</f>
        <v>7480</v>
      </c>
      <c r="F1802" s="0" t="n">
        <f aca="false">IF(C1802&gt;1,IF(C1802&lt;99,VLOOKUP(C1802,'MSA-Lookup'!$H$1:$I$86,2),C1802),C1802)</f>
        <v>4480</v>
      </c>
      <c r="G1802" s="0" t="n">
        <f aca="false">VLOOKUP(E1802,'MSA-Lookup'!$AA$1:$AB$25,2)</f>
        <v>7480</v>
      </c>
      <c r="H1802" s="0" t="n">
        <f aca="false">IF(C1802&gt;1,IF(C1802&lt;99,VLOOKUP(F1802,'MSA-Lookup'!$AA$1:$AB$25,2),C1802),C1802)</f>
        <v>4472</v>
      </c>
    </row>
    <row r="1803" customFormat="false" ht="12.75" hidden="false" customHeight="false" outlineLevel="0" collapsed="false">
      <c r="A1803" s="0" t="n">
        <f aca="false">B1803*1000+C1803</f>
        <v>32065</v>
      </c>
      <c r="B1803" s="0" t="n">
        <v>32</v>
      </c>
      <c r="C1803" s="0" t="n">
        <v>65</v>
      </c>
      <c r="D1803" s="0" t="n">
        <v>949</v>
      </c>
      <c r="E1803" s="0" t="n">
        <f aca="false">VLOOKUP(B1803,'MSA-Lookup'!$H$2:$I$86,2)</f>
        <v>7480</v>
      </c>
      <c r="F1803" s="0" t="n">
        <f aca="false">IF(C1803&gt;1,IF(C1803&lt;99,VLOOKUP(C1803,'MSA-Lookup'!$H$1:$I$86,2),C1803),C1803)</f>
        <v>4480</v>
      </c>
      <c r="G1803" s="0" t="n">
        <f aca="false">VLOOKUP(E1803,'MSA-Lookup'!$AA$1:$AB$25,2)</f>
        <v>7480</v>
      </c>
      <c r="H1803" s="0" t="n">
        <f aca="false">IF(C1803&gt;1,IF(C1803&lt;99,VLOOKUP(F1803,'MSA-Lookup'!$AA$1:$AB$25,2),C1803),C1803)</f>
        <v>4472</v>
      </c>
    </row>
    <row r="1804" customFormat="false" ht="12.75" hidden="false" customHeight="false" outlineLevel="0" collapsed="false">
      <c r="A1804" s="0" t="n">
        <f aca="false">B1804*1000+C1804</f>
        <v>32066</v>
      </c>
      <c r="B1804" s="0" t="n">
        <v>32</v>
      </c>
      <c r="C1804" s="0" t="n">
        <v>66</v>
      </c>
      <c r="D1804" s="0" t="n">
        <v>0</v>
      </c>
      <c r="E1804" s="0" t="n">
        <f aca="false">VLOOKUP(B1804,'MSA-Lookup'!$H$2:$I$86,2)</f>
        <v>7480</v>
      </c>
      <c r="F1804" s="0" t="n">
        <f aca="false">IF(C1804&gt;1,IF(C1804&lt;99,VLOOKUP(C1804,'MSA-Lookup'!$H$1:$I$86,2),C1804),C1804)</f>
        <v>4480</v>
      </c>
      <c r="G1804" s="0" t="n">
        <f aca="false">VLOOKUP(E1804,'MSA-Lookup'!$AA$1:$AB$25,2)</f>
        <v>7480</v>
      </c>
      <c r="H1804" s="0" t="n">
        <f aca="false">IF(C1804&gt;1,IF(C1804&lt;99,VLOOKUP(F1804,'MSA-Lookup'!$AA$1:$AB$25,2),C1804),C1804)</f>
        <v>4472</v>
      </c>
    </row>
    <row r="1805" customFormat="false" ht="12.75" hidden="false" customHeight="false" outlineLevel="0" collapsed="false">
      <c r="A1805" s="0" t="n">
        <f aca="false">B1805*1000+C1805</f>
        <v>32067</v>
      </c>
      <c r="B1805" s="0" t="n">
        <v>32</v>
      </c>
      <c r="C1805" s="0" t="n">
        <v>67</v>
      </c>
      <c r="D1805" s="0" t="n">
        <v>1768</v>
      </c>
      <c r="E1805" s="0" t="n">
        <f aca="false">VLOOKUP(B1805,'MSA-Lookup'!$H$2:$I$86,2)</f>
        <v>7480</v>
      </c>
      <c r="F1805" s="0" t="n">
        <f aca="false">IF(C1805&gt;1,IF(C1805&lt;99,VLOOKUP(C1805,'MSA-Lookup'!$H$1:$I$86,2),C1805),C1805)</f>
        <v>6000</v>
      </c>
      <c r="G1805" s="0" t="n">
        <f aca="false">VLOOKUP(E1805,'MSA-Lookup'!$AA$1:$AB$25,2)</f>
        <v>7480</v>
      </c>
      <c r="H1805" s="0" t="n">
        <f aca="false">IF(C1805&gt;1,IF(C1805&lt;99,VLOOKUP(F1805,'MSA-Lookup'!$AA$1:$AB$25,2),C1805),C1805)</f>
        <v>4472</v>
      </c>
    </row>
    <row r="1806" customFormat="false" ht="12.75" hidden="false" customHeight="false" outlineLevel="0" collapsed="false">
      <c r="A1806" s="0" t="n">
        <f aca="false">B1806*1000+C1806</f>
        <v>32069</v>
      </c>
      <c r="B1806" s="0" t="n">
        <v>32</v>
      </c>
      <c r="C1806" s="0" t="n">
        <v>69</v>
      </c>
      <c r="D1806" s="0" t="n">
        <v>156</v>
      </c>
      <c r="E1806" s="0" t="n">
        <f aca="false">VLOOKUP(B1806,'MSA-Lookup'!$H$2:$I$86,2)</f>
        <v>7480</v>
      </c>
      <c r="F1806" s="0" t="n">
        <f aca="false">IF(C1806&gt;1,IF(C1806&lt;99,VLOOKUP(C1806,'MSA-Lookup'!$H$1:$I$86,2),C1806),C1806)</f>
        <v>6780</v>
      </c>
      <c r="G1806" s="0" t="n">
        <f aca="false">VLOOKUP(E1806,'MSA-Lookup'!$AA$1:$AB$25,2)</f>
        <v>7480</v>
      </c>
      <c r="H1806" s="0" t="n">
        <f aca="false">IF(C1806&gt;1,IF(C1806&lt;99,VLOOKUP(F1806,'MSA-Lookup'!$AA$1:$AB$25,2),C1806),C1806)</f>
        <v>4472</v>
      </c>
    </row>
    <row r="1807" customFormat="false" ht="12.75" hidden="false" customHeight="false" outlineLevel="0" collapsed="false">
      <c r="A1807" s="0" t="n">
        <f aca="false">B1807*1000+C1807</f>
        <v>32071</v>
      </c>
      <c r="B1807" s="0" t="n">
        <v>32</v>
      </c>
      <c r="C1807" s="0" t="n">
        <v>71</v>
      </c>
      <c r="D1807" s="0" t="n">
        <v>0</v>
      </c>
      <c r="E1807" s="0" t="n">
        <f aca="false">VLOOKUP(B1807,'MSA-Lookup'!$H$2:$I$86,2)</f>
        <v>7480</v>
      </c>
      <c r="F1807" s="0" t="n">
        <f aca="false">IF(C1807&gt;1,IF(C1807&lt;99,VLOOKUP(C1807,'MSA-Lookup'!$H$1:$I$86,2),C1807),C1807)</f>
        <v>6780</v>
      </c>
      <c r="G1807" s="0" t="n">
        <f aca="false">VLOOKUP(E1807,'MSA-Lookup'!$AA$1:$AB$25,2)</f>
        <v>7480</v>
      </c>
      <c r="H1807" s="0" t="n">
        <f aca="false">IF(C1807&gt;1,IF(C1807&lt;99,VLOOKUP(F1807,'MSA-Lookup'!$AA$1:$AB$25,2),C1807),C1807)</f>
        <v>4472</v>
      </c>
    </row>
    <row r="1808" customFormat="false" ht="12.75" hidden="false" customHeight="false" outlineLevel="0" collapsed="false">
      <c r="A1808" s="0" t="n">
        <f aca="false">B1808*1000+C1808</f>
        <v>32072</v>
      </c>
      <c r="B1808" s="0" t="n">
        <v>32</v>
      </c>
      <c r="C1808" s="0" t="n">
        <v>72</v>
      </c>
      <c r="D1808" s="0" t="n">
        <v>260</v>
      </c>
      <c r="E1808" s="0" t="n">
        <f aca="false">VLOOKUP(B1808,'MSA-Lookup'!$H$2:$I$86,2)</f>
        <v>7480</v>
      </c>
      <c r="F1808" s="0" t="n">
        <f aca="false">IF(C1808&gt;1,IF(C1808&lt;99,VLOOKUP(C1808,'MSA-Lookup'!$H$1:$I$86,2),C1808),C1808)</f>
        <v>6780</v>
      </c>
      <c r="G1808" s="0" t="n">
        <f aca="false">VLOOKUP(E1808,'MSA-Lookup'!$AA$1:$AB$25,2)</f>
        <v>7480</v>
      </c>
      <c r="H1808" s="0" t="n">
        <f aca="false">IF(C1808&gt;1,IF(C1808&lt;99,VLOOKUP(F1808,'MSA-Lookup'!$AA$1:$AB$25,2),C1808),C1808)</f>
        <v>4472</v>
      </c>
    </row>
    <row r="1809" customFormat="false" ht="12.75" hidden="false" customHeight="false" outlineLevel="0" collapsed="false">
      <c r="A1809" s="0" t="n">
        <f aca="false">B1809*1000+C1809</f>
        <v>32073</v>
      </c>
      <c r="B1809" s="0" t="n">
        <v>32</v>
      </c>
      <c r="C1809" s="0" t="n">
        <v>73</v>
      </c>
      <c r="D1809" s="0" t="n">
        <v>0</v>
      </c>
      <c r="E1809" s="0" t="n">
        <f aca="false">VLOOKUP(B1809,'MSA-Lookup'!$H$2:$I$86,2)</f>
        <v>7480</v>
      </c>
      <c r="F1809" s="0" t="n">
        <f aca="false">IF(C1809&gt;1,IF(C1809&lt;99,VLOOKUP(C1809,'MSA-Lookup'!$H$1:$I$86,2),C1809),C1809)</f>
        <v>8720</v>
      </c>
      <c r="G1809" s="0" t="n">
        <f aca="false">VLOOKUP(E1809,'MSA-Lookup'!$AA$1:$AB$25,2)</f>
        <v>7480</v>
      </c>
      <c r="H1809" s="0" t="n">
        <f aca="false">IF(C1809&gt;1,IF(C1809&lt;99,VLOOKUP(F1809,'MSA-Lookup'!$AA$1:$AB$25,2),C1809),C1809)</f>
        <v>7362</v>
      </c>
    </row>
    <row r="1810" customFormat="false" ht="12.75" hidden="false" customHeight="false" outlineLevel="0" collapsed="false">
      <c r="A1810" s="0" t="n">
        <f aca="false">B1810*1000+C1810</f>
        <v>32075</v>
      </c>
      <c r="B1810" s="0" t="n">
        <v>32</v>
      </c>
      <c r="C1810" s="0" t="n">
        <v>75</v>
      </c>
      <c r="D1810" s="0" t="n">
        <v>0</v>
      </c>
      <c r="E1810" s="0" t="n">
        <f aca="false">VLOOKUP(B1810,'MSA-Lookup'!$H$2:$I$86,2)</f>
        <v>7480</v>
      </c>
      <c r="F1810" s="0" t="n">
        <f aca="false">IF(C1810&gt;1,IF(C1810&lt;99,VLOOKUP(C1810,'MSA-Lookup'!$H$1:$I$86,2),C1810),C1810)</f>
        <v>8780</v>
      </c>
      <c r="G1810" s="0" t="n">
        <f aca="false">VLOOKUP(E1810,'MSA-Lookup'!$AA$1:$AB$25,2)</f>
        <v>7480</v>
      </c>
      <c r="H1810" s="0" t="n">
        <f aca="false">IF(C1810&gt;1,IF(C1810&lt;99,VLOOKUP(F1810,'MSA-Lookup'!$AA$1:$AB$25,2),C1810),C1810)</f>
        <v>8780</v>
      </c>
    </row>
    <row r="1811" customFormat="false" ht="12.75" hidden="false" customHeight="false" outlineLevel="0" collapsed="false">
      <c r="A1811" s="0" t="n">
        <f aca="false">B1811*1000+C1811</f>
        <v>32076</v>
      </c>
      <c r="B1811" s="0" t="n">
        <v>32</v>
      </c>
      <c r="C1811" s="0" t="n">
        <v>76</v>
      </c>
      <c r="D1811" s="0" t="n">
        <v>0</v>
      </c>
      <c r="E1811" s="0" t="n">
        <f aca="false">VLOOKUP(B1811,'MSA-Lookup'!$H$2:$I$86,2)</f>
        <v>7480</v>
      </c>
      <c r="F1811" s="0" t="n">
        <f aca="false">IF(C1811&gt;1,IF(C1811&lt;99,VLOOKUP(C1811,'MSA-Lookup'!$H$1:$I$86,2),C1811),C1811)</f>
        <v>7485</v>
      </c>
      <c r="G1811" s="0" t="n">
        <f aca="false">VLOOKUP(E1811,'MSA-Lookup'!$AA$1:$AB$25,2)</f>
        <v>7480</v>
      </c>
      <c r="H1811" s="0" t="n">
        <f aca="false">IF(C1811&gt;1,IF(C1811&lt;99,VLOOKUP(F1811,'MSA-Lookup'!$AA$1:$AB$25,2),C1811),C1811)</f>
        <v>7362</v>
      </c>
    </row>
    <row r="1812" customFormat="false" ht="12.75" hidden="false" customHeight="false" outlineLevel="0" collapsed="false">
      <c r="A1812" s="0" t="n">
        <f aca="false">B1812*1000+C1812</f>
        <v>32077</v>
      </c>
      <c r="B1812" s="0" t="n">
        <v>32</v>
      </c>
      <c r="C1812" s="0" t="n">
        <v>77</v>
      </c>
      <c r="D1812" s="0" t="n">
        <v>0</v>
      </c>
      <c r="E1812" s="0" t="n">
        <f aca="false">VLOOKUP(B1812,'MSA-Lookup'!$H$2:$I$86,2)</f>
        <v>7480</v>
      </c>
      <c r="F1812" s="0" t="n">
        <f aca="false">IF(C1812&gt;1,IF(C1812&lt;99,VLOOKUP(C1812,'MSA-Lookup'!$H$1:$I$86,2),C1812),C1812)</f>
        <v>9999</v>
      </c>
      <c r="G1812" s="0" t="n">
        <f aca="false">VLOOKUP(E1812,'MSA-Lookup'!$AA$1:$AB$25,2)</f>
        <v>7480</v>
      </c>
      <c r="H1812" s="0" t="n">
        <f aca="false">IF(C1812&gt;1,IF(C1812&lt;99,VLOOKUP(F1812,'MSA-Lookup'!$AA$1:$AB$25,2),C1812),C1812)</f>
        <v>9999</v>
      </c>
    </row>
    <row r="1813" customFormat="false" ht="12.75" hidden="false" customHeight="false" outlineLevel="0" collapsed="false">
      <c r="A1813" s="0" t="n">
        <f aca="false">B1813*1000+C1813</f>
        <v>32079</v>
      </c>
      <c r="B1813" s="0" t="n">
        <v>32</v>
      </c>
      <c r="C1813" s="0" t="n">
        <v>79</v>
      </c>
      <c r="D1813" s="0" t="n">
        <v>0</v>
      </c>
      <c r="E1813" s="0" t="n">
        <f aca="false">VLOOKUP(B1813,'MSA-Lookup'!$H$2:$I$86,2)</f>
        <v>7480</v>
      </c>
      <c r="F1813" s="0" t="n">
        <f aca="false">IF(C1813&gt;1,IF(C1813&lt;99,VLOOKUP(C1813,'MSA-Lookup'!$H$1:$I$86,2),C1813),C1813)</f>
        <v>680</v>
      </c>
      <c r="G1813" s="0" t="n">
        <f aca="false">VLOOKUP(E1813,'MSA-Lookup'!$AA$1:$AB$25,2)</f>
        <v>7480</v>
      </c>
      <c r="H1813" s="0" t="n">
        <f aca="false">IF(C1813&gt;1,IF(C1813&lt;99,VLOOKUP(F1813,'MSA-Lookup'!$AA$1:$AB$25,2),C1813),C1813)</f>
        <v>680</v>
      </c>
    </row>
    <row r="1814" customFormat="false" ht="12.75" hidden="false" customHeight="false" outlineLevel="0" collapsed="false">
      <c r="A1814" s="0" t="n">
        <f aca="false">B1814*1000+C1814</f>
        <v>32080</v>
      </c>
      <c r="B1814" s="0" t="n">
        <v>32</v>
      </c>
      <c r="C1814" s="0" t="n">
        <v>80</v>
      </c>
      <c r="D1814" s="0" t="n">
        <v>5109</v>
      </c>
      <c r="E1814" s="0" t="n">
        <f aca="false">VLOOKUP(B1814,'MSA-Lookup'!$H$2:$I$86,2)</f>
        <v>7480</v>
      </c>
      <c r="F1814" s="0" t="n">
        <f aca="false">IF(C1814&gt;1,IF(C1814&lt;99,VLOOKUP(C1814,'MSA-Lookup'!$H$1:$I$86,2),C1814),C1814)</f>
        <v>9999</v>
      </c>
      <c r="G1814" s="0" t="n">
        <f aca="false">VLOOKUP(E1814,'MSA-Lookup'!$AA$1:$AB$25,2)</f>
        <v>7480</v>
      </c>
      <c r="H1814" s="0" t="n">
        <f aca="false">IF(C1814&gt;1,IF(C1814&lt;99,VLOOKUP(F1814,'MSA-Lookup'!$AA$1:$AB$25,2),C1814),C1814)</f>
        <v>9999</v>
      </c>
    </row>
    <row r="1815" customFormat="false" ht="12.75" hidden="false" customHeight="false" outlineLevel="0" collapsed="false">
      <c r="A1815" s="0" t="n">
        <f aca="false">B1815*1000+C1815</f>
        <v>32082</v>
      </c>
      <c r="B1815" s="0" t="n">
        <v>32</v>
      </c>
      <c r="C1815" s="0" t="n">
        <v>82</v>
      </c>
      <c r="D1815" s="0" t="n">
        <v>221</v>
      </c>
      <c r="E1815" s="0" t="n">
        <f aca="false">VLOOKUP(B1815,'MSA-Lookup'!$H$2:$I$86,2)</f>
        <v>7480</v>
      </c>
      <c r="F1815" s="0" t="n">
        <f aca="false">IF(C1815&gt;1,IF(C1815&lt;99,VLOOKUP(C1815,'MSA-Lookup'!$H$1:$I$86,2),C1815),C1815)</f>
        <v>6780</v>
      </c>
      <c r="G1815" s="0" t="n">
        <f aca="false">VLOOKUP(E1815,'MSA-Lookup'!$AA$1:$AB$25,2)</f>
        <v>7480</v>
      </c>
      <c r="H1815" s="0" t="n">
        <f aca="false">IF(C1815&gt;1,IF(C1815&lt;99,VLOOKUP(F1815,'MSA-Lookup'!$AA$1:$AB$25,2),C1815),C1815)</f>
        <v>4472</v>
      </c>
    </row>
    <row r="1816" customFormat="false" ht="12.75" hidden="false" customHeight="false" outlineLevel="0" collapsed="false">
      <c r="A1816" s="0" t="n">
        <f aca="false">B1816*1000+C1816</f>
        <v>32083</v>
      </c>
      <c r="B1816" s="0" t="n">
        <v>32</v>
      </c>
      <c r="C1816" s="0" t="n">
        <v>83</v>
      </c>
      <c r="D1816" s="0" t="n">
        <v>247</v>
      </c>
      <c r="E1816" s="0" t="n">
        <f aca="false">VLOOKUP(B1816,'MSA-Lookup'!$H$2:$I$86,2)</f>
        <v>7480</v>
      </c>
      <c r="F1816" s="0" t="n">
        <f aca="false">IF(C1816&gt;1,IF(C1816&lt;99,VLOOKUP(C1816,'MSA-Lookup'!$H$1:$I$86,2),C1816),C1816)</f>
        <v>6000</v>
      </c>
      <c r="G1816" s="0" t="n">
        <f aca="false">VLOOKUP(E1816,'MSA-Lookup'!$AA$1:$AB$25,2)</f>
        <v>7480</v>
      </c>
      <c r="H1816" s="0" t="n">
        <f aca="false">IF(C1816&gt;1,IF(C1816&lt;99,VLOOKUP(F1816,'MSA-Lookup'!$AA$1:$AB$25,2),C1816),C1816)</f>
        <v>4472</v>
      </c>
    </row>
    <row r="1817" customFormat="false" ht="12.75" hidden="false" customHeight="false" outlineLevel="0" collapsed="false">
      <c r="A1817" s="0" t="n">
        <f aca="false">B1817*1000+C1817</f>
        <v>32085</v>
      </c>
      <c r="B1817" s="0" t="n">
        <v>32</v>
      </c>
      <c r="C1817" s="0" t="n">
        <v>85</v>
      </c>
      <c r="D1817" s="0" t="n">
        <v>0</v>
      </c>
      <c r="E1817" s="0" t="n">
        <f aca="false">VLOOKUP(B1817,'MSA-Lookup'!$H$2:$I$86,2)</f>
        <v>7480</v>
      </c>
      <c r="F1817" s="0" t="n">
        <f aca="false">IF(C1817&gt;1,IF(C1817&lt;99,VLOOKUP(C1817,'MSA-Lookup'!$H$1:$I$86,2),C1817),C1817)</f>
        <v>8120</v>
      </c>
      <c r="G1817" s="0" t="n">
        <f aca="false">VLOOKUP(E1817,'MSA-Lookup'!$AA$1:$AB$25,2)</f>
        <v>7480</v>
      </c>
      <c r="H1817" s="0" t="n">
        <f aca="false">IF(C1817&gt;1,IF(C1817&lt;99,VLOOKUP(F1817,'MSA-Lookup'!$AA$1:$AB$25,2),C1817),C1817)</f>
        <v>8120</v>
      </c>
    </row>
    <row r="1818" customFormat="false" ht="12.75" hidden="false" customHeight="false" outlineLevel="0" collapsed="false">
      <c r="A1818" s="0" t="n">
        <f aca="false">B1818*1000+C1818</f>
        <v>32858</v>
      </c>
      <c r="B1818" s="0" t="n">
        <v>32</v>
      </c>
      <c r="C1818" s="0" t="n">
        <v>858</v>
      </c>
      <c r="D1818" s="0" t="n">
        <v>0</v>
      </c>
      <c r="E1818" s="0" t="n">
        <f aca="false">VLOOKUP(B1818,'MSA-Lookup'!$H$2:$I$86,2)</f>
        <v>7480</v>
      </c>
      <c r="F1818" s="0" t="n">
        <f aca="false">IF(C1818&gt;1,IF(C1818&lt;99,VLOOKUP(C1818,'MSA-Lookup'!$H$1:$I$86,2),C1818),C1818)</f>
        <v>858</v>
      </c>
      <c r="G1818" s="0" t="n">
        <f aca="false">VLOOKUP(E1818,'MSA-Lookup'!$AA$1:$AB$25,2)</f>
        <v>7480</v>
      </c>
      <c r="H1818" s="0" t="n">
        <f aca="false">IF(C1818&gt;1,IF(C1818&lt;99,VLOOKUP(F1818,'MSA-Lookup'!$AA$1:$AB$25,2),C1818),C1818)</f>
        <v>858</v>
      </c>
    </row>
    <row r="1819" customFormat="false" ht="12.75" hidden="false" customHeight="false" outlineLevel="0" collapsed="false">
      <c r="A1819" s="0" t="n">
        <f aca="false">B1819*1000+C1819</f>
        <v>32999</v>
      </c>
      <c r="B1819" s="0" t="n">
        <v>32</v>
      </c>
      <c r="C1819" s="0" t="n">
        <v>999</v>
      </c>
      <c r="D1819" s="0" t="n">
        <v>0</v>
      </c>
      <c r="E1819" s="0" t="n">
        <f aca="false">VLOOKUP(B1819,'MSA-Lookup'!$H$2:$I$86,2)</f>
        <v>7480</v>
      </c>
      <c r="F1819" s="0" t="n">
        <f aca="false">IF(C1819&gt;1,IF(C1819&lt;99,VLOOKUP(C1819,'MSA-Lookup'!$H$1:$I$86,2),C1819),C1819)</f>
        <v>999</v>
      </c>
      <c r="G1819" s="0" t="n">
        <f aca="false">VLOOKUP(E1819,'MSA-Lookup'!$AA$1:$AB$25,2)</f>
        <v>7480</v>
      </c>
      <c r="H1819" s="0" t="n">
        <f aca="false">IF(C1819&gt;1,IF(C1819&lt;99,VLOOKUP(F1819,'MSA-Lookup'!$AA$1:$AB$25,2),C1819),C1819)</f>
        <v>999</v>
      </c>
    </row>
    <row r="1820" customFormat="false" ht="12.75" hidden="false" customHeight="false" outlineLevel="0" collapsed="false">
      <c r="A1820" s="0" t="n">
        <f aca="false">B1820*1000+C1820</f>
        <v>33000</v>
      </c>
      <c r="B1820" s="0" t="n">
        <v>33</v>
      </c>
      <c r="C1820" s="0" t="n">
        <v>0</v>
      </c>
      <c r="D1820" s="0" t="n">
        <v>543075</v>
      </c>
      <c r="E1820" s="0" t="n">
        <f aca="false">VLOOKUP(B1820,'MSA-Lookup'!$H$2:$I$86,2)</f>
        <v>7320</v>
      </c>
      <c r="F1820" s="0" t="n">
        <f aca="false">IF(C1820&gt;1,IF(C1820&lt;99,VLOOKUP(C1820,'MSA-Lookup'!$H$1:$I$86,2),C1820),C1820)</f>
        <v>0</v>
      </c>
      <c r="G1820" s="0" t="n">
        <f aca="false">VLOOKUP(E1820,'MSA-Lookup'!$AA$1:$AB$25,2)</f>
        <v>7320</v>
      </c>
      <c r="H1820" s="0" t="n">
        <f aca="false">IF(C1820&gt;1,IF(C1820&lt;99,VLOOKUP(F1820,'MSA-Lookup'!$AA$1:$AB$25,2),C1820),C1820)</f>
        <v>0</v>
      </c>
    </row>
    <row r="1821" customFormat="false" ht="12.75" hidden="false" customHeight="false" outlineLevel="0" collapsed="false">
      <c r="A1821" s="0" t="n">
        <f aca="false">B1821*1000+C1821</f>
        <v>33001</v>
      </c>
      <c r="B1821" s="0" t="n">
        <v>33</v>
      </c>
      <c r="C1821" s="0" t="n">
        <v>1</v>
      </c>
      <c r="D1821" s="0" t="n">
        <v>169</v>
      </c>
      <c r="E1821" s="0" t="n">
        <f aca="false">VLOOKUP(B1821,'MSA-Lookup'!$H$2:$I$86,2)</f>
        <v>7320</v>
      </c>
      <c r="F1821" s="0" t="n">
        <f aca="false">IF(C1821&gt;1,IF(C1821&lt;99,VLOOKUP(C1821,'MSA-Lookup'!$H$1:$I$86,2),C1821),C1821)</f>
        <v>1</v>
      </c>
      <c r="G1821" s="0" t="n">
        <f aca="false">VLOOKUP(E1821,'MSA-Lookup'!$AA$1:$AB$25,2)</f>
        <v>7320</v>
      </c>
      <c r="H1821" s="0" t="n">
        <f aca="false">IF(C1821&gt;1,IF(C1821&lt;99,VLOOKUP(F1821,'MSA-Lookup'!$AA$1:$AB$25,2),C1821),C1821)</f>
        <v>1</v>
      </c>
    </row>
    <row r="1822" customFormat="false" ht="12.75" hidden="false" customHeight="false" outlineLevel="0" collapsed="false">
      <c r="A1822" s="0" t="n">
        <f aca="false">B1822*1000+C1822</f>
        <v>33002</v>
      </c>
      <c r="B1822" s="0" t="n">
        <v>33</v>
      </c>
      <c r="C1822" s="0" t="n">
        <v>2</v>
      </c>
      <c r="D1822" s="0" t="n">
        <v>0</v>
      </c>
      <c r="E1822" s="0" t="n">
        <f aca="false">VLOOKUP(B1822,'MSA-Lookup'!$H$2:$I$86,2)</f>
        <v>7320</v>
      </c>
      <c r="F1822" s="0" t="n">
        <f aca="false">IF(C1822&gt;1,IF(C1822&lt;99,VLOOKUP(C1822,'MSA-Lookup'!$H$1:$I$86,2),C1822),C1822)</f>
        <v>9999</v>
      </c>
      <c r="G1822" s="0" t="n">
        <f aca="false">VLOOKUP(E1822,'MSA-Lookup'!$AA$1:$AB$25,2)</f>
        <v>7320</v>
      </c>
      <c r="H1822" s="0" t="n">
        <f aca="false">IF(C1822&gt;1,IF(C1822&lt;99,VLOOKUP(F1822,'MSA-Lookup'!$AA$1:$AB$25,2),C1822),C1822)</f>
        <v>9999</v>
      </c>
    </row>
    <row r="1823" customFormat="false" ht="12.75" hidden="false" customHeight="false" outlineLevel="0" collapsed="false">
      <c r="A1823" s="0" t="n">
        <f aca="false">B1823*1000+C1823</f>
        <v>33003</v>
      </c>
      <c r="B1823" s="0" t="n">
        <v>33</v>
      </c>
      <c r="C1823" s="0" t="n">
        <v>3</v>
      </c>
      <c r="D1823" s="0" t="n">
        <v>0</v>
      </c>
      <c r="E1823" s="0" t="n">
        <f aca="false">VLOOKUP(B1823,'MSA-Lookup'!$H$2:$I$86,2)</f>
        <v>7320</v>
      </c>
      <c r="F1823" s="0" t="n">
        <f aca="false">IF(C1823&gt;1,IF(C1823&lt;99,VLOOKUP(C1823,'MSA-Lookup'!$H$1:$I$86,2),C1823),C1823)</f>
        <v>6690</v>
      </c>
      <c r="G1823" s="0" t="n">
        <f aca="false">VLOOKUP(E1823,'MSA-Lookup'!$AA$1:$AB$25,2)</f>
        <v>7320</v>
      </c>
      <c r="H1823" s="0" t="n">
        <f aca="false">IF(C1823&gt;1,IF(C1823&lt;99,VLOOKUP(F1823,'MSA-Lookup'!$AA$1:$AB$25,2),C1823),C1823)</f>
        <v>6690</v>
      </c>
    </row>
    <row r="1824" customFormat="false" ht="12.75" hidden="false" customHeight="false" outlineLevel="0" collapsed="false">
      <c r="A1824" s="0" t="n">
        <f aca="false">B1824*1000+C1824</f>
        <v>33004</v>
      </c>
      <c r="B1824" s="0" t="n">
        <v>33</v>
      </c>
      <c r="C1824" s="0" t="n">
        <v>4</v>
      </c>
      <c r="D1824" s="0" t="n">
        <v>130</v>
      </c>
      <c r="E1824" s="0" t="n">
        <f aca="false">VLOOKUP(B1824,'MSA-Lookup'!$H$2:$I$86,2)</f>
        <v>7320</v>
      </c>
      <c r="F1824" s="0" t="n">
        <f aca="false">IF(C1824&gt;1,IF(C1824&lt;99,VLOOKUP(C1824,'MSA-Lookup'!$H$1:$I$86,2),C1824),C1824)</f>
        <v>9999</v>
      </c>
      <c r="G1824" s="0" t="n">
        <f aca="false">VLOOKUP(E1824,'MSA-Lookup'!$AA$1:$AB$25,2)</f>
        <v>7320</v>
      </c>
      <c r="H1824" s="0" t="n">
        <f aca="false">IF(C1824&gt;1,IF(C1824&lt;99,VLOOKUP(F1824,'MSA-Lookup'!$AA$1:$AB$25,2),C1824),C1824)</f>
        <v>9999</v>
      </c>
    </row>
    <row r="1825" customFormat="false" ht="12.75" hidden="false" customHeight="false" outlineLevel="0" collapsed="false">
      <c r="A1825" s="0" t="n">
        <f aca="false">B1825*1000+C1825</f>
        <v>33005</v>
      </c>
      <c r="B1825" s="0" t="n">
        <v>33</v>
      </c>
      <c r="C1825" s="0" t="n">
        <v>5</v>
      </c>
      <c r="D1825" s="0" t="n">
        <v>0</v>
      </c>
      <c r="E1825" s="0" t="n">
        <f aca="false">VLOOKUP(B1825,'MSA-Lookup'!$H$2:$I$86,2)</f>
        <v>7320</v>
      </c>
      <c r="F1825" s="0" t="n">
        <f aca="false">IF(C1825&gt;1,IF(C1825&lt;99,VLOOKUP(C1825,'MSA-Lookup'!$H$1:$I$86,2),C1825),C1825)</f>
        <v>9999</v>
      </c>
      <c r="G1825" s="0" t="n">
        <f aca="false">VLOOKUP(E1825,'MSA-Lookup'!$AA$1:$AB$25,2)</f>
        <v>7320</v>
      </c>
      <c r="H1825" s="0" t="n">
        <f aca="false">IF(C1825&gt;1,IF(C1825&lt;99,VLOOKUP(F1825,'MSA-Lookup'!$AA$1:$AB$25,2),C1825),C1825)</f>
        <v>9999</v>
      </c>
    </row>
    <row r="1826" customFormat="false" ht="12.75" hidden="false" customHeight="false" outlineLevel="0" collapsed="false">
      <c r="A1826" s="0" t="n">
        <f aca="false">B1826*1000+C1826</f>
        <v>33006</v>
      </c>
      <c r="B1826" s="0" t="n">
        <v>33</v>
      </c>
      <c r="C1826" s="0" t="n">
        <v>6</v>
      </c>
      <c r="D1826" s="0" t="n">
        <v>130</v>
      </c>
      <c r="E1826" s="0" t="n">
        <f aca="false">VLOOKUP(B1826,'MSA-Lookup'!$H$2:$I$86,2)</f>
        <v>7320</v>
      </c>
      <c r="F1826" s="0" t="n">
        <f aca="false">IF(C1826&gt;1,IF(C1826&lt;99,VLOOKUP(C1826,'MSA-Lookup'!$H$1:$I$86,2),C1826),C1826)</f>
        <v>1620</v>
      </c>
      <c r="G1826" s="0" t="n">
        <f aca="false">VLOOKUP(E1826,'MSA-Lookup'!$AA$1:$AB$25,2)</f>
        <v>7320</v>
      </c>
      <c r="H1826" s="0" t="n">
        <f aca="false">IF(C1826&gt;1,IF(C1826&lt;99,VLOOKUP(F1826,'MSA-Lookup'!$AA$1:$AB$25,2),C1826),C1826)</f>
        <v>1620</v>
      </c>
    </row>
    <row r="1827" customFormat="false" ht="12.75" hidden="false" customHeight="false" outlineLevel="0" collapsed="false">
      <c r="A1827" s="0" t="n">
        <f aca="false">B1827*1000+C1827</f>
        <v>33007</v>
      </c>
      <c r="B1827" s="0" t="n">
        <v>33</v>
      </c>
      <c r="C1827" s="0" t="n">
        <v>7</v>
      </c>
      <c r="D1827" s="0" t="n">
        <v>65</v>
      </c>
      <c r="E1827" s="0" t="n">
        <f aca="false">VLOOKUP(B1827,'MSA-Lookup'!$H$2:$I$86,2)</f>
        <v>7320</v>
      </c>
      <c r="F1827" s="0" t="n">
        <f aca="false">IF(C1827&gt;1,IF(C1827&lt;99,VLOOKUP(C1827,'MSA-Lookup'!$H$1:$I$86,2),C1827),C1827)</f>
        <v>9999</v>
      </c>
      <c r="G1827" s="0" t="n">
        <f aca="false">VLOOKUP(E1827,'MSA-Lookup'!$AA$1:$AB$25,2)</f>
        <v>7320</v>
      </c>
      <c r="H1827" s="0" t="n">
        <f aca="false">IF(C1827&gt;1,IF(C1827&lt;99,VLOOKUP(F1827,'MSA-Lookup'!$AA$1:$AB$25,2),C1827),C1827)</f>
        <v>9999</v>
      </c>
    </row>
    <row r="1828" customFormat="false" ht="12.75" hidden="false" customHeight="false" outlineLevel="0" collapsed="false">
      <c r="A1828" s="0" t="n">
        <f aca="false">B1828*1000+C1828</f>
        <v>33008</v>
      </c>
      <c r="B1828" s="0" t="n">
        <v>33</v>
      </c>
      <c r="C1828" s="0" t="n">
        <v>8</v>
      </c>
      <c r="D1828" s="0" t="n">
        <v>104</v>
      </c>
      <c r="E1828" s="0" t="n">
        <f aca="false">VLOOKUP(B1828,'MSA-Lookup'!$H$2:$I$86,2)</f>
        <v>7320</v>
      </c>
      <c r="F1828" s="0" t="n">
        <f aca="false">IF(C1828&gt;1,IF(C1828&lt;99,VLOOKUP(C1828,'MSA-Lookup'!$H$1:$I$86,2),C1828),C1828)</f>
        <v>9340</v>
      </c>
      <c r="G1828" s="0" t="n">
        <f aca="false">VLOOKUP(E1828,'MSA-Lookup'!$AA$1:$AB$25,2)</f>
        <v>7320</v>
      </c>
      <c r="H1828" s="0" t="n">
        <f aca="false">IF(C1828&gt;1,IF(C1828&lt;99,VLOOKUP(F1828,'MSA-Lookup'!$AA$1:$AB$25,2),C1828),C1828)</f>
        <v>9340</v>
      </c>
    </row>
    <row r="1829" customFormat="false" ht="12.75" hidden="false" customHeight="false" outlineLevel="0" collapsed="false">
      <c r="A1829" s="0" t="n">
        <f aca="false">B1829*1000+C1829</f>
        <v>33009</v>
      </c>
      <c r="B1829" s="0" t="n">
        <v>33</v>
      </c>
      <c r="C1829" s="0" t="n">
        <v>9</v>
      </c>
      <c r="D1829" s="0" t="n">
        <v>78</v>
      </c>
      <c r="E1829" s="0" t="n">
        <f aca="false">VLOOKUP(B1829,'MSA-Lookup'!$H$2:$I$86,2)</f>
        <v>7320</v>
      </c>
      <c r="F1829" s="0" t="n">
        <f aca="false">IF(C1829&gt;1,IF(C1829&lt;99,VLOOKUP(C1829,'MSA-Lookup'!$H$1:$I$86,2),C1829),C1829)</f>
        <v>8720</v>
      </c>
      <c r="G1829" s="0" t="n">
        <f aca="false">VLOOKUP(E1829,'MSA-Lookup'!$AA$1:$AB$25,2)</f>
        <v>7320</v>
      </c>
      <c r="H1829" s="0" t="n">
        <f aca="false">IF(C1829&gt;1,IF(C1829&lt;99,VLOOKUP(F1829,'MSA-Lookup'!$AA$1:$AB$25,2),C1829),C1829)</f>
        <v>7362</v>
      </c>
    </row>
    <row r="1830" customFormat="false" ht="12.75" hidden="false" customHeight="false" outlineLevel="0" collapsed="false">
      <c r="A1830" s="0" t="n">
        <f aca="false">B1830*1000+C1830</f>
        <v>33010</v>
      </c>
      <c r="B1830" s="0" t="n">
        <v>33</v>
      </c>
      <c r="C1830" s="0" t="n">
        <v>10</v>
      </c>
      <c r="D1830" s="0" t="n">
        <v>0</v>
      </c>
      <c r="E1830" s="0" t="n">
        <f aca="false">VLOOKUP(B1830,'MSA-Lookup'!$H$2:$I$86,2)</f>
        <v>7320</v>
      </c>
      <c r="F1830" s="0" t="n">
        <f aca="false">IF(C1830&gt;1,IF(C1830&lt;99,VLOOKUP(C1830,'MSA-Lookup'!$H$1:$I$86,2),C1830),C1830)</f>
        <v>6920</v>
      </c>
      <c r="G1830" s="0" t="n">
        <f aca="false">VLOOKUP(E1830,'MSA-Lookup'!$AA$1:$AB$25,2)</f>
        <v>7320</v>
      </c>
      <c r="H1830" s="0" t="n">
        <f aca="false">IF(C1830&gt;1,IF(C1830&lt;99,VLOOKUP(F1830,'MSA-Lookup'!$AA$1:$AB$25,2),C1830),C1830)</f>
        <v>6920</v>
      </c>
    </row>
    <row r="1831" customFormat="false" ht="12.75" hidden="false" customHeight="false" outlineLevel="0" collapsed="false">
      <c r="A1831" s="0" t="n">
        <f aca="false">B1831*1000+C1831</f>
        <v>33011</v>
      </c>
      <c r="B1831" s="0" t="n">
        <v>33</v>
      </c>
      <c r="C1831" s="0" t="n">
        <v>11</v>
      </c>
      <c r="D1831" s="0" t="n">
        <v>104</v>
      </c>
      <c r="E1831" s="0" t="n">
        <f aca="false">VLOOKUP(B1831,'MSA-Lookup'!$H$2:$I$86,2)</f>
        <v>7320</v>
      </c>
      <c r="F1831" s="0" t="n">
        <f aca="false">IF(C1831&gt;1,IF(C1831&lt;99,VLOOKUP(C1831,'MSA-Lookup'!$H$1:$I$86,2),C1831),C1831)</f>
        <v>6920</v>
      </c>
      <c r="G1831" s="0" t="n">
        <f aca="false">VLOOKUP(E1831,'MSA-Lookup'!$AA$1:$AB$25,2)</f>
        <v>7320</v>
      </c>
      <c r="H1831" s="0" t="n">
        <f aca="false">IF(C1831&gt;1,IF(C1831&lt;99,VLOOKUP(F1831,'MSA-Lookup'!$AA$1:$AB$25,2),C1831),C1831)</f>
        <v>6920</v>
      </c>
    </row>
    <row r="1832" customFormat="false" ht="12.75" hidden="false" customHeight="false" outlineLevel="0" collapsed="false">
      <c r="A1832" s="0" t="n">
        <f aca="false">B1832*1000+C1832</f>
        <v>33012</v>
      </c>
      <c r="B1832" s="0" t="n">
        <v>33</v>
      </c>
      <c r="C1832" s="0" t="n">
        <v>12</v>
      </c>
      <c r="D1832" s="0" t="n">
        <v>130</v>
      </c>
      <c r="E1832" s="0" t="n">
        <f aca="false">VLOOKUP(B1832,'MSA-Lookup'!$H$2:$I$86,2)</f>
        <v>7320</v>
      </c>
      <c r="F1832" s="0" t="n">
        <f aca="false">IF(C1832&gt;1,IF(C1832&lt;99,VLOOKUP(C1832,'MSA-Lookup'!$H$1:$I$86,2),C1832),C1832)</f>
        <v>6920</v>
      </c>
      <c r="G1832" s="0" t="n">
        <f aca="false">VLOOKUP(E1832,'MSA-Lookup'!$AA$1:$AB$25,2)</f>
        <v>7320</v>
      </c>
      <c r="H1832" s="0" t="n">
        <f aca="false">IF(C1832&gt;1,IF(C1832&lt;99,VLOOKUP(F1832,'MSA-Lookup'!$AA$1:$AB$25,2),C1832),C1832)</f>
        <v>6920</v>
      </c>
    </row>
    <row r="1833" customFormat="false" ht="12.75" hidden="false" customHeight="false" outlineLevel="0" collapsed="false">
      <c r="A1833" s="0" t="n">
        <f aca="false">B1833*1000+C1833</f>
        <v>33013</v>
      </c>
      <c r="B1833" s="0" t="n">
        <v>33</v>
      </c>
      <c r="C1833" s="0" t="n">
        <v>13</v>
      </c>
      <c r="D1833" s="0" t="n">
        <v>0</v>
      </c>
      <c r="E1833" s="0" t="n">
        <f aca="false">VLOOKUP(B1833,'MSA-Lookup'!$H$2:$I$86,2)</f>
        <v>7320</v>
      </c>
      <c r="F1833" s="0" t="n">
        <f aca="false">IF(C1833&gt;1,IF(C1833&lt;99,VLOOKUP(C1833,'MSA-Lookup'!$H$1:$I$86,2),C1833),C1833)</f>
        <v>7500</v>
      </c>
      <c r="G1833" s="0" t="n">
        <f aca="false">VLOOKUP(E1833,'MSA-Lookup'!$AA$1:$AB$25,2)</f>
        <v>7320</v>
      </c>
      <c r="H1833" s="0" t="n">
        <f aca="false">IF(C1833&gt;1,IF(C1833&lt;99,VLOOKUP(F1833,'MSA-Lookup'!$AA$1:$AB$25,2),C1833),C1833)</f>
        <v>7362</v>
      </c>
    </row>
    <row r="1834" customFormat="false" ht="12.75" hidden="false" customHeight="false" outlineLevel="0" collapsed="false">
      <c r="A1834" s="0" t="n">
        <f aca="false">B1834*1000+C1834</f>
        <v>33014</v>
      </c>
      <c r="B1834" s="0" t="n">
        <v>33</v>
      </c>
      <c r="C1834" s="0" t="n">
        <v>14</v>
      </c>
      <c r="D1834" s="0" t="n">
        <v>0</v>
      </c>
      <c r="E1834" s="0" t="n">
        <f aca="false">VLOOKUP(B1834,'MSA-Lookup'!$H$2:$I$86,2)</f>
        <v>7320</v>
      </c>
      <c r="F1834" s="0" t="n">
        <f aca="false">IF(C1834&gt;1,IF(C1834&lt;99,VLOOKUP(C1834,'MSA-Lookup'!$H$1:$I$86,2),C1834),C1834)</f>
        <v>7500</v>
      </c>
      <c r="G1834" s="0" t="n">
        <f aca="false">VLOOKUP(E1834,'MSA-Lookup'!$AA$1:$AB$25,2)</f>
        <v>7320</v>
      </c>
      <c r="H1834" s="0" t="n">
        <f aca="false">IF(C1834&gt;1,IF(C1834&lt;99,VLOOKUP(F1834,'MSA-Lookup'!$AA$1:$AB$25,2),C1834),C1834)</f>
        <v>7362</v>
      </c>
    </row>
    <row r="1835" customFormat="false" ht="12.75" hidden="false" customHeight="false" outlineLevel="0" collapsed="false">
      <c r="A1835" s="0" t="n">
        <f aca="false">B1835*1000+C1835</f>
        <v>33015</v>
      </c>
      <c r="B1835" s="0" t="n">
        <v>33</v>
      </c>
      <c r="C1835" s="0" t="n">
        <v>15</v>
      </c>
      <c r="D1835" s="0" t="n">
        <v>0</v>
      </c>
      <c r="E1835" s="0" t="n">
        <f aca="false">VLOOKUP(B1835,'MSA-Lookup'!$H$2:$I$86,2)</f>
        <v>7320</v>
      </c>
      <c r="F1835" s="0" t="n">
        <f aca="false">IF(C1835&gt;1,IF(C1835&lt;99,VLOOKUP(C1835,'MSA-Lookup'!$H$1:$I$86,2),C1835),C1835)</f>
        <v>7360</v>
      </c>
      <c r="G1835" s="0" t="n">
        <f aca="false">VLOOKUP(E1835,'MSA-Lookup'!$AA$1:$AB$25,2)</f>
        <v>7320</v>
      </c>
      <c r="H1835" s="0" t="n">
        <f aca="false">IF(C1835&gt;1,IF(C1835&lt;99,VLOOKUP(F1835,'MSA-Lookup'!$AA$1:$AB$25,2),C1835),C1835)</f>
        <v>7362</v>
      </c>
    </row>
    <row r="1836" customFormat="false" ht="12.75" hidden="false" customHeight="false" outlineLevel="0" collapsed="false">
      <c r="A1836" s="0" t="n">
        <f aca="false">B1836*1000+C1836</f>
        <v>33016</v>
      </c>
      <c r="B1836" s="0" t="n">
        <v>33</v>
      </c>
      <c r="C1836" s="0" t="n">
        <v>16</v>
      </c>
      <c r="D1836" s="0" t="n">
        <v>65</v>
      </c>
      <c r="E1836" s="0" t="n">
        <f aca="false">VLOOKUP(B1836,'MSA-Lookup'!$H$2:$I$86,2)</f>
        <v>7320</v>
      </c>
      <c r="F1836" s="0" t="n">
        <f aca="false">IF(C1836&gt;1,IF(C1836&lt;99,VLOOKUP(C1836,'MSA-Lookup'!$H$1:$I$86,2),C1836),C1836)</f>
        <v>8720</v>
      </c>
      <c r="G1836" s="0" t="n">
        <f aca="false">VLOOKUP(E1836,'MSA-Lookup'!$AA$1:$AB$25,2)</f>
        <v>7320</v>
      </c>
      <c r="H1836" s="0" t="n">
        <f aca="false">IF(C1836&gt;1,IF(C1836&lt;99,VLOOKUP(F1836,'MSA-Lookup'!$AA$1:$AB$25,2),C1836),C1836)</f>
        <v>7362</v>
      </c>
    </row>
    <row r="1837" customFormat="false" ht="12.75" hidden="false" customHeight="false" outlineLevel="0" collapsed="false">
      <c r="A1837" s="0" t="n">
        <f aca="false">B1837*1000+C1837</f>
        <v>33017</v>
      </c>
      <c r="B1837" s="0" t="n">
        <v>33</v>
      </c>
      <c r="C1837" s="0" t="n">
        <v>17</v>
      </c>
      <c r="D1837" s="0" t="n">
        <v>0</v>
      </c>
      <c r="E1837" s="0" t="n">
        <f aca="false">VLOOKUP(B1837,'MSA-Lookup'!$H$2:$I$86,2)</f>
        <v>7320</v>
      </c>
      <c r="F1837" s="0" t="n">
        <f aca="false">IF(C1837&gt;1,IF(C1837&lt;99,VLOOKUP(C1837,'MSA-Lookup'!$H$1:$I$86,2),C1837),C1837)</f>
        <v>5775</v>
      </c>
      <c r="G1837" s="0" t="n">
        <f aca="false">VLOOKUP(E1837,'MSA-Lookup'!$AA$1:$AB$25,2)</f>
        <v>7320</v>
      </c>
      <c r="H1837" s="0" t="n">
        <f aca="false">IF(C1837&gt;1,IF(C1837&lt;99,VLOOKUP(F1837,'MSA-Lookup'!$AA$1:$AB$25,2),C1837),C1837)</f>
        <v>7362</v>
      </c>
    </row>
    <row r="1838" customFormat="false" ht="12.75" hidden="false" customHeight="false" outlineLevel="0" collapsed="false">
      <c r="A1838" s="0" t="n">
        <f aca="false">B1838*1000+C1838</f>
        <v>33018</v>
      </c>
      <c r="B1838" s="0" t="n">
        <v>33</v>
      </c>
      <c r="C1838" s="0" t="n">
        <v>18</v>
      </c>
      <c r="D1838" s="0" t="n">
        <v>0</v>
      </c>
      <c r="E1838" s="0" t="n">
        <f aca="false">VLOOKUP(B1838,'MSA-Lookup'!$H$2:$I$86,2)</f>
        <v>7320</v>
      </c>
      <c r="F1838" s="0" t="n">
        <f aca="false">IF(C1838&gt;1,IF(C1838&lt;99,VLOOKUP(C1838,'MSA-Lookup'!$H$1:$I$86,2),C1838),C1838)</f>
        <v>5775</v>
      </c>
      <c r="G1838" s="0" t="n">
        <f aca="false">VLOOKUP(E1838,'MSA-Lookup'!$AA$1:$AB$25,2)</f>
        <v>7320</v>
      </c>
      <c r="H1838" s="0" t="n">
        <f aca="false">IF(C1838&gt;1,IF(C1838&lt;99,VLOOKUP(F1838,'MSA-Lookup'!$AA$1:$AB$25,2),C1838),C1838)</f>
        <v>7362</v>
      </c>
    </row>
    <row r="1839" customFormat="false" ht="12.75" hidden="false" customHeight="false" outlineLevel="0" collapsed="false">
      <c r="A1839" s="0" t="n">
        <f aca="false">B1839*1000+C1839</f>
        <v>33019</v>
      </c>
      <c r="B1839" s="0" t="n">
        <v>33</v>
      </c>
      <c r="C1839" s="0" t="n">
        <v>19</v>
      </c>
      <c r="D1839" s="0" t="n">
        <v>637</v>
      </c>
      <c r="E1839" s="0" t="n">
        <f aca="false">VLOOKUP(B1839,'MSA-Lookup'!$H$2:$I$86,2)</f>
        <v>7320</v>
      </c>
      <c r="F1839" s="0" t="n">
        <f aca="false">IF(C1839&gt;1,IF(C1839&lt;99,VLOOKUP(C1839,'MSA-Lookup'!$H$1:$I$86,2),C1839),C1839)</f>
        <v>7360</v>
      </c>
      <c r="G1839" s="0" t="n">
        <f aca="false">VLOOKUP(E1839,'MSA-Lookup'!$AA$1:$AB$25,2)</f>
        <v>7320</v>
      </c>
      <c r="H1839" s="0" t="n">
        <f aca="false">IF(C1839&gt;1,IF(C1839&lt;99,VLOOKUP(F1839,'MSA-Lookup'!$AA$1:$AB$25,2),C1839),C1839)</f>
        <v>7362</v>
      </c>
    </row>
    <row r="1840" customFormat="false" ht="12.75" hidden="false" customHeight="false" outlineLevel="0" collapsed="false">
      <c r="A1840" s="0" t="n">
        <f aca="false">B1840*1000+C1840</f>
        <v>33020</v>
      </c>
      <c r="B1840" s="0" t="n">
        <v>33</v>
      </c>
      <c r="C1840" s="0" t="n">
        <v>20</v>
      </c>
      <c r="D1840" s="0" t="n">
        <v>130</v>
      </c>
      <c r="E1840" s="0" t="n">
        <f aca="false">VLOOKUP(B1840,'MSA-Lookup'!$H$2:$I$86,2)</f>
        <v>7320</v>
      </c>
      <c r="F1840" s="0" t="n">
        <f aca="false">IF(C1840&gt;1,IF(C1840&lt;99,VLOOKUP(C1840,'MSA-Lookup'!$H$1:$I$86,2),C1840),C1840)</f>
        <v>5775</v>
      </c>
      <c r="G1840" s="0" t="n">
        <f aca="false">VLOOKUP(E1840,'MSA-Lookup'!$AA$1:$AB$25,2)</f>
        <v>7320</v>
      </c>
      <c r="H1840" s="0" t="n">
        <f aca="false">IF(C1840&gt;1,IF(C1840&lt;99,VLOOKUP(F1840,'MSA-Lookup'!$AA$1:$AB$25,2),C1840),C1840)</f>
        <v>7362</v>
      </c>
    </row>
    <row r="1841" customFormat="false" ht="12.75" hidden="false" customHeight="false" outlineLevel="0" collapsed="false">
      <c r="A1841" s="0" t="n">
        <f aca="false">B1841*1000+C1841</f>
        <v>33021</v>
      </c>
      <c r="B1841" s="0" t="n">
        <v>33</v>
      </c>
      <c r="C1841" s="0" t="n">
        <v>21</v>
      </c>
      <c r="D1841" s="0" t="n">
        <v>663</v>
      </c>
      <c r="E1841" s="0" t="n">
        <f aca="false">VLOOKUP(B1841,'MSA-Lookup'!$H$2:$I$86,2)</f>
        <v>7320</v>
      </c>
      <c r="F1841" s="0" t="n">
        <f aca="false">IF(C1841&gt;1,IF(C1841&lt;99,VLOOKUP(C1841,'MSA-Lookup'!$H$1:$I$86,2),C1841),C1841)</f>
        <v>5775</v>
      </c>
      <c r="G1841" s="0" t="n">
        <f aca="false">VLOOKUP(E1841,'MSA-Lookup'!$AA$1:$AB$25,2)</f>
        <v>7320</v>
      </c>
      <c r="H1841" s="0" t="n">
        <f aca="false">IF(C1841&gt;1,IF(C1841&lt;99,VLOOKUP(F1841,'MSA-Lookup'!$AA$1:$AB$25,2),C1841),C1841)</f>
        <v>7362</v>
      </c>
    </row>
    <row r="1842" customFormat="false" ht="12.75" hidden="false" customHeight="false" outlineLevel="0" collapsed="false">
      <c r="A1842" s="0" t="n">
        <f aca="false">B1842*1000+C1842</f>
        <v>33022</v>
      </c>
      <c r="B1842" s="0" t="n">
        <v>33</v>
      </c>
      <c r="C1842" s="0" t="n">
        <v>22</v>
      </c>
      <c r="D1842" s="0" t="n">
        <v>559</v>
      </c>
      <c r="E1842" s="0" t="n">
        <f aca="false">VLOOKUP(B1842,'MSA-Lookup'!$H$2:$I$86,2)</f>
        <v>7320</v>
      </c>
      <c r="F1842" s="0" t="n">
        <f aca="false">IF(C1842&gt;1,IF(C1842&lt;99,VLOOKUP(C1842,'MSA-Lookup'!$H$1:$I$86,2),C1842),C1842)</f>
        <v>7360</v>
      </c>
      <c r="G1842" s="0" t="n">
        <f aca="false">VLOOKUP(E1842,'MSA-Lookup'!$AA$1:$AB$25,2)</f>
        <v>7320</v>
      </c>
      <c r="H1842" s="0" t="n">
        <f aca="false">IF(C1842&gt;1,IF(C1842&lt;99,VLOOKUP(F1842,'MSA-Lookup'!$AA$1:$AB$25,2),C1842),C1842)</f>
        <v>7362</v>
      </c>
    </row>
    <row r="1843" customFormat="false" ht="12.75" hidden="false" customHeight="false" outlineLevel="0" collapsed="false">
      <c r="A1843" s="0" t="n">
        <f aca="false">B1843*1000+C1843</f>
        <v>33023</v>
      </c>
      <c r="B1843" s="0" t="n">
        <v>33</v>
      </c>
      <c r="C1843" s="0" t="n">
        <v>23</v>
      </c>
      <c r="D1843" s="0" t="n">
        <v>91</v>
      </c>
      <c r="E1843" s="0" t="n">
        <f aca="false">VLOOKUP(B1843,'MSA-Lookup'!$H$2:$I$86,2)</f>
        <v>7320</v>
      </c>
      <c r="F1843" s="0" t="n">
        <f aca="false">IF(C1843&gt;1,IF(C1843&lt;99,VLOOKUP(C1843,'MSA-Lookup'!$H$1:$I$86,2),C1843),C1843)</f>
        <v>8120</v>
      </c>
      <c r="G1843" s="0" t="n">
        <f aca="false">VLOOKUP(E1843,'MSA-Lookup'!$AA$1:$AB$25,2)</f>
        <v>7320</v>
      </c>
      <c r="H1843" s="0" t="n">
        <f aca="false">IF(C1843&gt;1,IF(C1843&lt;99,VLOOKUP(F1843,'MSA-Lookup'!$AA$1:$AB$25,2),C1843),C1843)</f>
        <v>8120</v>
      </c>
    </row>
    <row r="1844" customFormat="false" ht="12.75" hidden="false" customHeight="false" outlineLevel="0" collapsed="false">
      <c r="A1844" s="0" t="n">
        <f aca="false">B1844*1000+C1844</f>
        <v>33024</v>
      </c>
      <c r="B1844" s="0" t="n">
        <v>33</v>
      </c>
      <c r="C1844" s="0" t="n">
        <v>24</v>
      </c>
      <c r="D1844" s="0" t="n">
        <v>0</v>
      </c>
      <c r="E1844" s="0" t="n">
        <f aca="false">VLOOKUP(B1844,'MSA-Lookup'!$H$2:$I$86,2)</f>
        <v>7320</v>
      </c>
      <c r="F1844" s="0" t="n">
        <f aca="false">IF(C1844&gt;1,IF(C1844&lt;99,VLOOKUP(C1844,'MSA-Lookup'!$H$1:$I$86,2),C1844),C1844)</f>
        <v>5170</v>
      </c>
      <c r="G1844" s="0" t="n">
        <f aca="false">VLOOKUP(E1844,'MSA-Lookup'!$AA$1:$AB$25,2)</f>
        <v>7320</v>
      </c>
      <c r="H1844" s="0" t="n">
        <f aca="false">IF(C1844&gt;1,IF(C1844&lt;99,VLOOKUP(F1844,'MSA-Lookup'!$AA$1:$AB$25,2),C1844),C1844)</f>
        <v>5170</v>
      </c>
    </row>
    <row r="1845" customFormat="false" ht="12.75" hidden="false" customHeight="false" outlineLevel="0" collapsed="false">
      <c r="A1845" s="0" t="n">
        <f aca="false">B1845*1000+C1845</f>
        <v>33025</v>
      </c>
      <c r="B1845" s="0" t="n">
        <v>33</v>
      </c>
      <c r="C1845" s="0" t="n">
        <v>25</v>
      </c>
      <c r="D1845" s="0" t="n">
        <v>143</v>
      </c>
      <c r="E1845" s="0" t="n">
        <f aca="false">VLOOKUP(B1845,'MSA-Lookup'!$H$2:$I$86,2)</f>
        <v>7320</v>
      </c>
      <c r="F1845" s="0" t="n">
        <f aca="false">IF(C1845&gt;1,IF(C1845&lt;99,VLOOKUP(C1845,'MSA-Lookup'!$H$1:$I$86,2),C1845),C1845)</f>
        <v>5170</v>
      </c>
      <c r="G1845" s="0" t="n">
        <f aca="false">VLOOKUP(E1845,'MSA-Lookup'!$AA$1:$AB$25,2)</f>
        <v>7320</v>
      </c>
      <c r="H1845" s="0" t="n">
        <f aca="false">IF(C1845&gt;1,IF(C1845&lt;99,VLOOKUP(F1845,'MSA-Lookup'!$AA$1:$AB$25,2),C1845),C1845)</f>
        <v>5170</v>
      </c>
    </row>
    <row r="1846" customFormat="false" ht="12.75" hidden="false" customHeight="false" outlineLevel="0" collapsed="false">
      <c r="A1846" s="0" t="n">
        <f aca="false">B1846*1000+C1846</f>
        <v>33026</v>
      </c>
      <c r="B1846" s="0" t="n">
        <v>33</v>
      </c>
      <c r="C1846" s="0" t="n">
        <v>26</v>
      </c>
      <c r="D1846" s="0" t="n">
        <v>156</v>
      </c>
      <c r="E1846" s="0" t="n">
        <f aca="false">VLOOKUP(B1846,'MSA-Lookup'!$H$2:$I$86,2)</f>
        <v>7320</v>
      </c>
      <c r="F1846" s="0" t="n">
        <f aca="false">IF(C1846&gt;1,IF(C1846&lt;99,VLOOKUP(C1846,'MSA-Lookup'!$H$1:$I$86,2),C1846),C1846)</f>
        <v>9999</v>
      </c>
      <c r="G1846" s="0" t="n">
        <f aca="false">VLOOKUP(E1846,'MSA-Lookup'!$AA$1:$AB$25,2)</f>
        <v>7320</v>
      </c>
      <c r="H1846" s="0" t="n">
        <f aca="false">IF(C1846&gt;1,IF(C1846&lt;99,VLOOKUP(F1846,'MSA-Lookup'!$AA$1:$AB$25,2),C1846),C1846)</f>
        <v>9999</v>
      </c>
    </row>
    <row r="1847" customFormat="false" ht="12.75" hidden="false" customHeight="false" outlineLevel="0" collapsed="false">
      <c r="A1847" s="0" t="n">
        <f aca="false">B1847*1000+C1847</f>
        <v>33027</v>
      </c>
      <c r="B1847" s="0" t="n">
        <v>33</v>
      </c>
      <c r="C1847" s="0" t="n">
        <v>27</v>
      </c>
      <c r="D1847" s="0" t="n">
        <v>0</v>
      </c>
      <c r="E1847" s="0" t="n">
        <f aca="false">VLOOKUP(B1847,'MSA-Lookup'!$H$2:$I$86,2)</f>
        <v>7320</v>
      </c>
      <c r="F1847" s="0" t="n">
        <f aca="false">IF(C1847&gt;1,IF(C1847&lt;99,VLOOKUP(C1847,'MSA-Lookup'!$H$1:$I$86,2),C1847),C1847)</f>
        <v>9999</v>
      </c>
      <c r="G1847" s="0" t="n">
        <f aca="false">VLOOKUP(E1847,'MSA-Lookup'!$AA$1:$AB$25,2)</f>
        <v>7320</v>
      </c>
      <c r="H1847" s="0" t="n">
        <f aca="false">IF(C1847&gt;1,IF(C1847&lt;99,VLOOKUP(F1847,'MSA-Lookup'!$AA$1:$AB$25,2),C1847),C1847)</f>
        <v>9999</v>
      </c>
    </row>
    <row r="1848" customFormat="false" ht="12.75" hidden="false" customHeight="false" outlineLevel="0" collapsed="false">
      <c r="A1848" s="0" t="n">
        <f aca="false">B1848*1000+C1848</f>
        <v>33028</v>
      </c>
      <c r="B1848" s="0" t="n">
        <v>33</v>
      </c>
      <c r="C1848" s="0" t="n">
        <v>28</v>
      </c>
      <c r="D1848" s="0" t="n">
        <v>0</v>
      </c>
      <c r="E1848" s="0" t="n">
        <f aca="false">VLOOKUP(B1848,'MSA-Lookup'!$H$2:$I$86,2)</f>
        <v>7320</v>
      </c>
      <c r="F1848" s="0" t="n">
        <f aca="false">IF(C1848&gt;1,IF(C1848&lt;99,VLOOKUP(C1848,'MSA-Lookup'!$H$1:$I$86,2),C1848),C1848)</f>
        <v>6920</v>
      </c>
      <c r="G1848" s="0" t="n">
        <f aca="false">VLOOKUP(E1848,'MSA-Lookup'!$AA$1:$AB$25,2)</f>
        <v>7320</v>
      </c>
      <c r="H1848" s="0" t="n">
        <f aca="false">IF(C1848&gt;1,IF(C1848&lt;99,VLOOKUP(F1848,'MSA-Lookup'!$AA$1:$AB$25,2),C1848),C1848)</f>
        <v>6920</v>
      </c>
    </row>
    <row r="1849" customFormat="false" ht="12.75" hidden="false" customHeight="false" outlineLevel="0" collapsed="false">
      <c r="A1849" s="0" t="n">
        <f aca="false">B1849*1000+C1849</f>
        <v>33029</v>
      </c>
      <c r="B1849" s="0" t="n">
        <v>33</v>
      </c>
      <c r="C1849" s="0" t="n">
        <v>29</v>
      </c>
      <c r="D1849" s="0" t="n">
        <v>91</v>
      </c>
      <c r="E1849" s="0" t="n">
        <f aca="false">VLOOKUP(B1849,'MSA-Lookup'!$H$2:$I$86,2)</f>
        <v>7320</v>
      </c>
      <c r="F1849" s="0" t="n">
        <f aca="false">IF(C1849&gt;1,IF(C1849&lt;99,VLOOKUP(C1849,'MSA-Lookup'!$H$1:$I$86,2),C1849),C1849)</f>
        <v>6920</v>
      </c>
      <c r="G1849" s="0" t="n">
        <f aca="false">VLOOKUP(E1849,'MSA-Lookup'!$AA$1:$AB$25,2)</f>
        <v>7320</v>
      </c>
      <c r="H1849" s="0" t="n">
        <f aca="false">IF(C1849&gt;1,IF(C1849&lt;99,VLOOKUP(F1849,'MSA-Lookup'!$AA$1:$AB$25,2),C1849),C1849)</f>
        <v>6920</v>
      </c>
    </row>
    <row r="1850" customFormat="false" ht="12.75" hidden="false" customHeight="false" outlineLevel="0" collapsed="false">
      <c r="A1850" s="0" t="n">
        <f aca="false">B1850*1000+C1850</f>
        <v>33030</v>
      </c>
      <c r="B1850" s="0" t="n">
        <v>33</v>
      </c>
      <c r="C1850" s="0" t="n">
        <v>30</v>
      </c>
      <c r="D1850" s="0" t="n">
        <v>91</v>
      </c>
      <c r="E1850" s="0" t="n">
        <f aca="false">VLOOKUP(B1850,'MSA-Lookup'!$H$2:$I$86,2)</f>
        <v>7320</v>
      </c>
      <c r="F1850" s="0" t="n">
        <f aca="false">IF(C1850&gt;1,IF(C1850&lt;99,VLOOKUP(C1850,'MSA-Lookup'!$H$1:$I$86,2),C1850),C1850)</f>
        <v>4940</v>
      </c>
      <c r="G1850" s="0" t="n">
        <f aca="false">VLOOKUP(E1850,'MSA-Lookup'!$AA$1:$AB$25,2)</f>
        <v>7320</v>
      </c>
      <c r="H1850" s="0" t="n">
        <f aca="false">IF(C1850&gt;1,IF(C1850&lt;99,VLOOKUP(F1850,'MSA-Lookup'!$AA$1:$AB$25,2),C1850),C1850)</f>
        <v>4940</v>
      </c>
    </row>
    <row r="1851" customFormat="false" ht="12.75" hidden="false" customHeight="false" outlineLevel="0" collapsed="false">
      <c r="A1851" s="0" t="n">
        <f aca="false">B1851*1000+C1851</f>
        <v>33031</v>
      </c>
      <c r="B1851" s="0" t="n">
        <v>33</v>
      </c>
      <c r="C1851" s="0" t="n">
        <v>31</v>
      </c>
      <c r="D1851" s="0" t="n">
        <v>0</v>
      </c>
      <c r="E1851" s="0" t="n">
        <f aca="false">VLOOKUP(B1851,'MSA-Lookup'!$H$2:$I$86,2)</f>
        <v>7320</v>
      </c>
      <c r="F1851" s="0" t="n">
        <f aca="false">IF(C1851&gt;1,IF(C1851&lt;99,VLOOKUP(C1851,'MSA-Lookup'!$H$1:$I$86,2),C1851),C1851)</f>
        <v>9999</v>
      </c>
      <c r="G1851" s="0" t="n">
        <f aca="false">VLOOKUP(E1851,'MSA-Lookup'!$AA$1:$AB$25,2)</f>
        <v>7320</v>
      </c>
      <c r="H1851" s="0" t="n">
        <f aca="false">IF(C1851&gt;1,IF(C1851&lt;99,VLOOKUP(F1851,'MSA-Lookup'!$AA$1:$AB$25,2),C1851),C1851)</f>
        <v>9999</v>
      </c>
    </row>
    <row r="1852" customFormat="false" ht="12.75" hidden="false" customHeight="false" outlineLevel="0" collapsed="false">
      <c r="A1852" s="0" t="n">
        <f aca="false">B1852*1000+C1852</f>
        <v>33032</v>
      </c>
      <c r="B1852" s="0" t="n">
        <v>33</v>
      </c>
      <c r="C1852" s="0" t="n">
        <v>32</v>
      </c>
      <c r="D1852" s="0" t="n">
        <v>0</v>
      </c>
      <c r="E1852" s="0" t="n">
        <f aca="false">VLOOKUP(B1852,'MSA-Lookup'!$H$2:$I$86,2)</f>
        <v>7320</v>
      </c>
      <c r="F1852" s="0" t="n">
        <f aca="false">IF(C1852&gt;1,IF(C1852&lt;99,VLOOKUP(C1852,'MSA-Lookup'!$H$1:$I$86,2),C1852),C1852)</f>
        <v>7480</v>
      </c>
      <c r="G1852" s="0" t="n">
        <f aca="false">VLOOKUP(E1852,'MSA-Lookup'!$AA$1:$AB$25,2)</f>
        <v>7320</v>
      </c>
      <c r="H1852" s="0" t="n">
        <f aca="false">IF(C1852&gt;1,IF(C1852&lt;99,VLOOKUP(F1852,'MSA-Lookup'!$AA$1:$AB$25,2),C1852),C1852)</f>
        <v>7480</v>
      </c>
    </row>
    <row r="1853" customFormat="false" ht="12.75" hidden="false" customHeight="false" outlineLevel="0" collapsed="false">
      <c r="A1853" s="0" t="n">
        <f aca="false">B1853*1000+C1853</f>
        <v>33033</v>
      </c>
      <c r="B1853" s="0" t="n">
        <v>33</v>
      </c>
      <c r="C1853" s="0" t="n">
        <v>33</v>
      </c>
      <c r="D1853" s="0" t="n">
        <v>455325</v>
      </c>
      <c r="E1853" s="0" t="n">
        <f aca="false">VLOOKUP(B1853,'MSA-Lookup'!$H$2:$I$86,2)</f>
        <v>7320</v>
      </c>
      <c r="F1853" s="0" t="n">
        <f aca="false">IF(C1853&gt;1,IF(C1853&lt;99,VLOOKUP(C1853,'MSA-Lookup'!$H$1:$I$86,2),C1853),C1853)</f>
        <v>7320</v>
      </c>
      <c r="G1853" s="0" t="n">
        <f aca="false">VLOOKUP(E1853,'MSA-Lookup'!$AA$1:$AB$25,2)</f>
        <v>7320</v>
      </c>
      <c r="H1853" s="0" t="n">
        <f aca="false">IF(C1853&gt;1,IF(C1853&lt;99,VLOOKUP(F1853,'MSA-Lookup'!$AA$1:$AB$25,2),C1853),C1853)</f>
        <v>7320</v>
      </c>
    </row>
    <row r="1854" customFormat="false" ht="12.75" hidden="false" customHeight="false" outlineLevel="0" collapsed="false">
      <c r="A1854" s="0" t="n">
        <f aca="false">B1854*1000+C1854</f>
        <v>33034</v>
      </c>
      <c r="B1854" s="0" t="n">
        <v>33</v>
      </c>
      <c r="C1854" s="0" t="n">
        <v>34</v>
      </c>
      <c r="D1854" s="0" t="n">
        <v>1612</v>
      </c>
      <c r="E1854" s="0" t="n">
        <f aca="false">VLOOKUP(B1854,'MSA-Lookup'!$H$2:$I$86,2)</f>
        <v>7320</v>
      </c>
      <c r="F1854" s="0" t="n">
        <f aca="false">IF(C1854&gt;1,IF(C1854&lt;99,VLOOKUP(C1854,'MSA-Lookup'!$H$1:$I$86,2),C1854),C1854)</f>
        <v>7320</v>
      </c>
      <c r="G1854" s="0" t="n">
        <f aca="false">VLOOKUP(E1854,'MSA-Lookup'!$AA$1:$AB$25,2)</f>
        <v>7320</v>
      </c>
      <c r="H1854" s="0" t="n">
        <f aca="false">IF(C1854&gt;1,IF(C1854&lt;99,VLOOKUP(F1854,'MSA-Lookup'!$AA$1:$AB$25,2),C1854),C1854)</f>
        <v>7320</v>
      </c>
    </row>
    <row r="1855" customFormat="false" ht="12.75" hidden="false" customHeight="false" outlineLevel="0" collapsed="false">
      <c r="A1855" s="0" t="n">
        <f aca="false">B1855*1000+C1855</f>
        <v>33035</v>
      </c>
      <c r="B1855" s="0" t="n">
        <v>33</v>
      </c>
      <c r="C1855" s="0" t="n">
        <v>35</v>
      </c>
      <c r="D1855" s="0" t="n">
        <v>4030</v>
      </c>
      <c r="E1855" s="0" t="n">
        <f aca="false">VLOOKUP(B1855,'MSA-Lookup'!$H$2:$I$86,2)</f>
        <v>7320</v>
      </c>
      <c r="F1855" s="0" t="n">
        <f aca="false">IF(C1855&gt;1,IF(C1855&lt;99,VLOOKUP(C1855,'MSA-Lookup'!$H$1:$I$86,2),C1855),C1855)</f>
        <v>7320</v>
      </c>
      <c r="G1855" s="0" t="n">
        <f aca="false">VLOOKUP(E1855,'MSA-Lookup'!$AA$1:$AB$25,2)</f>
        <v>7320</v>
      </c>
      <c r="H1855" s="0" t="n">
        <f aca="false">IF(C1855&gt;1,IF(C1855&lt;99,VLOOKUP(F1855,'MSA-Lookup'!$AA$1:$AB$25,2),C1855),C1855)</f>
        <v>7320</v>
      </c>
    </row>
    <row r="1856" customFormat="false" ht="12.75" hidden="false" customHeight="false" outlineLevel="0" collapsed="false">
      <c r="A1856" s="0" t="n">
        <f aca="false">B1856*1000+C1856</f>
        <v>33036</v>
      </c>
      <c r="B1856" s="0" t="n">
        <v>33</v>
      </c>
      <c r="C1856" s="0" t="n">
        <v>36</v>
      </c>
      <c r="D1856" s="0" t="n">
        <v>14807</v>
      </c>
      <c r="E1856" s="0" t="n">
        <f aca="false">VLOOKUP(B1856,'MSA-Lookup'!$H$2:$I$86,2)</f>
        <v>7320</v>
      </c>
      <c r="F1856" s="0" t="n">
        <f aca="false">IF(C1856&gt;1,IF(C1856&lt;99,VLOOKUP(C1856,'MSA-Lookup'!$H$1:$I$86,2),C1856),C1856)</f>
        <v>7320</v>
      </c>
      <c r="G1856" s="0" t="n">
        <f aca="false">VLOOKUP(E1856,'MSA-Lookup'!$AA$1:$AB$25,2)</f>
        <v>7320</v>
      </c>
      <c r="H1856" s="0" t="n">
        <f aca="false">IF(C1856&gt;1,IF(C1856&lt;99,VLOOKUP(F1856,'MSA-Lookup'!$AA$1:$AB$25,2),C1856),C1856)</f>
        <v>7320</v>
      </c>
    </row>
    <row r="1857" customFormat="false" ht="12.75" hidden="false" customHeight="false" outlineLevel="0" collapsed="false">
      <c r="A1857" s="0" t="n">
        <f aca="false">B1857*1000+C1857</f>
        <v>33037</v>
      </c>
      <c r="B1857" s="0" t="n">
        <v>33</v>
      </c>
      <c r="C1857" s="0" t="n">
        <v>37</v>
      </c>
      <c r="D1857" s="0" t="n">
        <v>71305</v>
      </c>
      <c r="E1857" s="0" t="n">
        <f aca="false">VLOOKUP(B1857,'MSA-Lookup'!$H$2:$I$86,2)</f>
        <v>7320</v>
      </c>
      <c r="F1857" s="0" t="n">
        <f aca="false">IF(C1857&gt;1,IF(C1857&lt;99,VLOOKUP(C1857,'MSA-Lookup'!$H$1:$I$86,2),C1857),C1857)</f>
        <v>7320</v>
      </c>
      <c r="G1857" s="0" t="n">
        <f aca="false">VLOOKUP(E1857,'MSA-Lookup'!$AA$1:$AB$25,2)</f>
        <v>7320</v>
      </c>
      <c r="H1857" s="0" t="n">
        <f aca="false">IF(C1857&gt;1,IF(C1857&lt;99,VLOOKUP(F1857,'MSA-Lookup'!$AA$1:$AB$25,2),C1857),C1857)</f>
        <v>7320</v>
      </c>
    </row>
    <row r="1858" customFormat="false" ht="12.75" hidden="false" customHeight="false" outlineLevel="0" collapsed="false">
      <c r="A1858" s="0" t="n">
        <f aca="false">B1858*1000+C1858</f>
        <v>33038</v>
      </c>
      <c r="B1858" s="0" t="n">
        <v>33</v>
      </c>
      <c r="C1858" s="0" t="n">
        <v>38</v>
      </c>
      <c r="D1858" s="0" t="n">
        <v>0</v>
      </c>
      <c r="E1858" s="0" t="n">
        <f aca="false">VLOOKUP(B1858,'MSA-Lookup'!$H$2:$I$86,2)</f>
        <v>7320</v>
      </c>
      <c r="F1858" s="0" t="n">
        <f aca="false">IF(C1858&gt;1,IF(C1858&lt;99,VLOOKUP(C1858,'MSA-Lookup'!$H$1:$I$86,2),C1858),C1858)</f>
        <v>7120</v>
      </c>
      <c r="G1858" s="0" t="n">
        <f aca="false">VLOOKUP(E1858,'MSA-Lookup'!$AA$1:$AB$25,2)</f>
        <v>7320</v>
      </c>
      <c r="H1858" s="0" t="n">
        <f aca="false">IF(C1858&gt;1,IF(C1858&lt;99,VLOOKUP(F1858,'MSA-Lookup'!$AA$1:$AB$25,2),C1858),C1858)</f>
        <v>7120</v>
      </c>
    </row>
    <row r="1859" customFormat="false" ht="12.75" hidden="false" customHeight="false" outlineLevel="0" collapsed="false">
      <c r="A1859" s="0" t="n">
        <f aca="false">B1859*1000+C1859</f>
        <v>33039</v>
      </c>
      <c r="B1859" s="0" t="n">
        <v>33</v>
      </c>
      <c r="C1859" s="0" t="n">
        <v>39</v>
      </c>
      <c r="D1859" s="0" t="n">
        <v>78</v>
      </c>
      <c r="E1859" s="0" t="n">
        <f aca="false">VLOOKUP(B1859,'MSA-Lookup'!$H$2:$I$86,2)</f>
        <v>7320</v>
      </c>
      <c r="F1859" s="0" t="n">
        <f aca="false">IF(C1859&gt;1,IF(C1859&lt;99,VLOOKUP(C1859,'MSA-Lookup'!$H$1:$I$86,2),C1859),C1859)</f>
        <v>7120</v>
      </c>
      <c r="G1859" s="0" t="n">
        <f aca="false">VLOOKUP(E1859,'MSA-Lookup'!$AA$1:$AB$25,2)</f>
        <v>7320</v>
      </c>
      <c r="H1859" s="0" t="n">
        <f aca="false">IF(C1859&gt;1,IF(C1859&lt;99,VLOOKUP(F1859,'MSA-Lookup'!$AA$1:$AB$25,2),C1859),C1859)</f>
        <v>7120</v>
      </c>
    </row>
    <row r="1860" customFormat="false" ht="12.75" hidden="false" customHeight="false" outlineLevel="0" collapsed="false">
      <c r="A1860" s="0" t="n">
        <f aca="false">B1860*1000+C1860</f>
        <v>33040</v>
      </c>
      <c r="B1860" s="0" t="n">
        <v>33</v>
      </c>
      <c r="C1860" s="0" t="n">
        <v>40</v>
      </c>
      <c r="D1860" s="0" t="n">
        <v>143</v>
      </c>
      <c r="E1860" s="0" t="n">
        <f aca="false">VLOOKUP(B1860,'MSA-Lookup'!$H$2:$I$86,2)</f>
        <v>7320</v>
      </c>
      <c r="F1860" s="0" t="n">
        <f aca="false">IF(C1860&gt;1,IF(C1860&lt;99,VLOOKUP(C1860,'MSA-Lookup'!$H$1:$I$86,2),C1860),C1860)</f>
        <v>2840</v>
      </c>
      <c r="G1860" s="0" t="n">
        <f aca="false">VLOOKUP(E1860,'MSA-Lookup'!$AA$1:$AB$25,2)</f>
        <v>7320</v>
      </c>
      <c r="H1860" s="0" t="n">
        <f aca="false">IF(C1860&gt;1,IF(C1860&lt;99,VLOOKUP(F1860,'MSA-Lookup'!$AA$1:$AB$25,2),C1860),C1860)</f>
        <v>2840</v>
      </c>
    </row>
    <row r="1861" customFormat="false" ht="12.75" hidden="false" customHeight="false" outlineLevel="0" collapsed="false">
      <c r="A1861" s="0" t="n">
        <f aca="false">B1861*1000+C1861</f>
        <v>33041</v>
      </c>
      <c r="B1861" s="0" t="n">
        <v>33</v>
      </c>
      <c r="C1861" s="0" t="n">
        <v>41</v>
      </c>
      <c r="D1861" s="0" t="n">
        <v>0</v>
      </c>
      <c r="E1861" s="0" t="n">
        <f aca="false">VLOOKUP(B1861,'MSA-Lookup'!$H$2:$I$86,2)</f>
        <v>7320</v>
      </c>
      <c r="F1861" s="0" t="n">
        <f aca="false">IF(C1861&gt;1,IF(C1861&lt;99,VLOOKUP(C1861,'MSA-Lookup'!$H$1:$I$86,2),C1861),C1861)</f>
        <v>2840</v>
      </c>
      <c r="G1861" s="0" t="n">
        <f aca="false">VLOOKUP(E1861,'MSA-Lookup'!$AA$1:$AB$25,2)</f>
        <v>7320</v>
      </c>
      <c r="H1861" s="0" t="n">
        <f aca="false">IF(C1861&gt;1,IF(C1861&lt;99,VLOOKUP(F1861,'MSA-Lookup'!$AA$1:$AB$25,2),C1861),C1861)</f>
        <v>2840</v>
      </c>
    </row>
    <row r="1862" customFormat="false" ht="12.75" hidden="false" customHeight="false" outlineLevel="0" collapsed="false">
      <c r="A1862" s="0" t="n">
        <f aca="false">B1862*1000+C1862</f>
        <v>33042</v>
      </c>
      <c r="B1862" s="0" t="n">
        <v>33</v>
      </c>
      <c r="C1862" s="0" t="n">
        <v>42</v>
      </c>
      <c r="D1862" s="0" t="n">
        <v>221</v>
      </c>
      <c r="E1862" s="0" t="n">
        <f aca="false">VLOOKUP(B1862,'MSA-Lookup'!$H$2:$I$86,2)</f>
        <v>7320</v>
      </c>
      <c r="F1862" s="0" t="n">
        <f aca="false">IF(C1862&gt;1,IF(C1862&lt;99,VLOOKUP(C1862,'MSA-Lookup'!$H$1:$I$86,2),C1862),C1862)</f>
        <v>360</v>
      </c>
      <c r="G1862" s="0" t="n">
        <f aca="false">VLOOKUP(E1862,'MSA-Lookup'!$AA$1:$AB$25,2)</f>
        <v>7320</v>
      </c>
      <c r="H1862" s="0" t="n">
        <f aca="false">IF(C1862&gt;1,IF(C1862&lt;99,VLOOKUP(F1862,'MSA-Lookup'!$AA$1:$AB$25,2),C1862),C1862)</f>
        <v>4472</v>
      </c>
    </row>
    <row r="1863" customFormat="false" ht="12.75" hidden="false" customHeight="false" outlineLevel="0" collapsed="false">
      <c r="A1863" s="0" t="n">
        <f aca="false">B1863*1000+C1863</f>
        <v>33043</v>
      </c>
      <c r="B1863" s="0" t="n">
        <v>33</v>
      </c>
      <c r="C1863" s="0" t="n">
        <v>43</v>
      </c>
      <c r="D1863" s="0" t="n">
        <v>585</v>
      </c>
      <c r="E1863" s="0" t="n">
        <f aca="false">VLOOKUP(B1863,'MSA-Lookup'!$H$2:$I$86,2)</f>
        <v>7320</v>
      </c>
      <c r="F1863" s="0" t="n">
        <f aca="false">IF(C1863&gt;1,IF(C1863&lt;99,VLOOKUP(C1863,'MSA-Lookup'!$H$1:$I$86,2),C1863),C1863)</f>
        <v>360</v>
      </c>
      <c r="G1863" s="0" t="n">
        <f aca="false">VLOOKUP(E1863,'MSA-Lookup'!$AA$1:$AB$25,2)</f>
        <v>7320</v>
      </c>
      <c r="H1863" s="0" t="n">
        <f aca="false">IF(C1863&gt;1,IF(C1863&lt;99,VLOOKUP(F1863,'MSA-Lookup'!$AA$1:$AB$25,2),C1863),C1863)</f>
        <v>4472</v>
      </c>
    </row>
    <row r="1864" customFormat="false" ht="12.75" hidden="false" customHeight="false" outlineLevel="0" collapsed="false">
      <c r="A1864" s="0" t="n">
        <f aca="false">B1864*1000+C1864</f>
        <v>33045</v>
      </c>
      <c r="B1864" s="0" t="n">
        <v>33</v>
      </c>
      <c r="C1864" s="0" t="n">
        <v>45</v>
      </c>
      <c r="D1864" s="0" t="n">
        <v>130</v>
      </c>
      <c r="E1864" s="0" t="n">
        <f aca="false">VLOOKUP(B1864,'MSA-Lookup'!$H$2:$I$86,2)</f>
        <v>7320</v>
      </c>
      <c r="F1864" s="0" t="n">
        <f aca="false">IF(C1864&gt;1,IF(C1864&lt;99,VLOOKUP(C1864,'MSA-Lookup'!$H$1:$I$86,2),C1864),C1864)</f>
        <v>360</v>
      </c>
      <c r="G1864" s="0" t="n">
        <f aca="false">VLOOKUP(E1864,'MSA-Lookup'!$AA$1:$AB$25,2)</f>
        <v>7320</v>
      </c>
      <c r="H1864" s="0" t="n">
        <f aca="false">IF(C1864&gt;1,IF(C1864&lt;99,VLOOKUP(F1864,'MSA-Lookup'!$AA$1:$AB$25,2),C1864),C1864)</f>
        <v>4472</v>
      </c>
    </row>
    <row r="1865" customFormat="false" ht="12.75" hidden="false" customHeight="false" outlineLevel="0" collapsed="false">
      <c r="A1865" s="0" t="n">
        <f aca="false">B1865*1000+C1865</f>
        <v>33046</v>
      </c>
      <c r="B1865" s="0" t="n">
        <v>33</v>
      </c>
      <c r="C1865" s="0" t="n">
        <v>46</v>
      </c>
      <c r="D1865" s="0" t="n">
        <v>117</v>
      </c>
      <c r="E1865" s="0" t="n">
        <f aca="false">VLOOKUP(B1865,'MSA-Lookup'!$H$2:$I$86,2)</f>
        <v>7320</v>
      </c>
      <c r="F1865" s="0" t="n">
        <f aca="false">IF(C1865&gt;1,IF(C1865&lt;99,VLOOKUP(C1865,'MSA-Lookup'!$H$1:$I$86,2),C1865),C1865)</f>
        <v>360</v>
      </c>
      <c r="G1865" s="0" t="n">
        <f aca="false">VLOOKUP(E1865,'MSA-Lookup'!$AA$1:$AB$25,2)</f>
        <v>7320</v>
      </c>
      <c r="H1865" s="0" t="n">
        <f aca="false">IF(C1865&gt;1,IF(C1865&lt;99,VLOOKUP(F1865,'MSA-Lookup'!$AA$1:$AB$25,2),C1865),C1865)</f>
        <v>4472</v>
      </c>
    </row>
    <row r="1866" customFormat="false" ht="12.75" hidden="false" customHeight="false" outlineLevel="0" collapsed="false">
      <c r="A1866" s="0" t="n">
        <f aca="false">B1866*1000+C1866</f>
        <v>33048</v>
      </c>
      <c r="B1866" s="0" t="n">
        <v>33</v>
      </c>
      <c r="C1866" s="0" t="n">
        <v>48</v>
      </c>
      <c r="D1866" s="0" t="n">
        <v>1365</v>
      </c>
      <c r="E1866" s="0" t="n">
        <f aca="false">VLOOKUP(B1866,'MSA-Lookup'!$H$2:$I$86,2)</f>
        <v>7320</v>
      </c>
      <c r="F1866" s="0" t="n">
        <f aca="false">IF(C1866&gt;1,IF(C1866&lt;99,VLOOKUP(C1866,'MSA-Lookup'!$H$1:$I$86,2),C1866),C1866)</f>
        <v>360</v>
      </c>
      <c r="G1866" s="0" t="n">
        <f aca="false">VLOOKUP(E1866,'MSA-Lookup'!$AA$1:$AB$25,2)</f>
        <v>7320</v>
      </c>
      <c r="H1866" s="0" t="n">
        <f aca="false">IF(C1866&gt;1,IF(C1866&lt;99,VLOOKUP(F1866,'MSA-Lookup'!$AA$1:$AB$25,2),C1866),C1866)</f>
        <v>4472</v>
      </c>
    </row>
    <row r="1867" customFormat="false" ht="12.75" hidden="false" customHeight="false" outlineLevel="0" collapsed="false">
      <c r="A1867" s="0" t="n">
        <f aca="false">B1867*1000+C1867</f>
        <v>33049</v>
      </c>
      <c r="B1867" s="0" t="n">
        <v>33</v>
      </c>
      <c r="C1867" s="0" t="n">
        <v>49</v>
      </c>
      <c r="D1867" s="0" t="n">
        <v>130</v>
      </c>
      <c r="E1867" s="0" t="n">
        <f aca="false">VLOOKUP(B1867,'MSA-Lookup'!$H$2:$I$86,2)</f>
        <v>7320</v>
      </c>
      <c r="F1867" s="0" t="n">
        <f aca="false">IF(C1867&gt;1,IF(C1867&lt;99,VLOOKUP(C1867,'MSA-Lookup'!$H$1:$I$86,2),C1867),C1867)</f>
        <v>7400</v>
      </c>
      <c r="G1867" s="0" t="n">
        <f aca="false">VLOOKUP(E1867,'MSA-Lookup'!$AA$1:$AB$25,2)</f>
        <v>7320</v>
      </c>
      <c r="H1867" s="0" t="n">
        <f aca="false">IF(C1867&gt;1,IF(C1867&lt;99,VLOOKUP(F1867,'MSA-Lookup'!$AA$1:$AB$25,2),C1867),C1867)</f>
        <v>7362</v>
      </c>
    </row>
    <row r="1868" customFormat="false" ht="12.75" hidden="false" customHeight="false" outlineLevel="0" collapsed="false">
      <c r="A1868" s="0" t="n">
        <f aca="false">B1868*1000+C1868</f>
        <v>33050</v>
      </c>
      <c r="B1868" s="0" t="n">
        <v>33</v>
      </c>
      <c r="C1868" s="0" t="n">
        <v>50</v>
      </c>
      <c r="D1868" s="0" t="n">
        <v>273</v>
      </c>
      <c r="E1868" s="0" t="n">
        <f aca="false">VLOOKUP(B1868,'MSA-Lookup'!$H$2:$I$86,2)</f>
        <v>7320</v>
      </c>
      <c r="F1868" s="0" t="n">
        <f aca="false">IF(C1868&gt;1,IF(C1868&lt;99,VLOOKUP(C1868,'MSA-Lookup'!$H$1:$I$86,2),C1868),C1868)</f>
        <v>7400</v>
      </c>
      <c r="G1868" s="0" t="n">
        <f aca="false">VLOOKUP(E1868,'MSA-Lookup'!$AA$1:$AB$25,2)</f>
        <v>7320</v>
      </c>
      <c r="H1868" s="0" t="n">
        <f aca="false">IF(C1868&gt;1,IF(C1868&lt;99,VLOOKUP(F1868,'MSA-Lookup'!$AA$1:$AB$25,2),C1868),C1868)</f>
        <v>7362</v>
      </c>
    </row>
    <row r="1869" customFormat="false" ht="12.75" hidden="false" customHeight="false" outlineLevel="0" collapsed="false">
      <c r="A1869" s="0" t="n">
        <f aca="false">B1869*1000+C1869</f>
        <v>33051</v>
      </c>
      <c r="B1869" s="0" t="n">
        <v>33</v>
      </c>
      <c r="C1869" s="0" t="n">
        <v>51</v>
      </c>
      <c r="D1869" s="0" t="n">
        <v>0</v>
      </c>
      <c r="E1869" s="0" t="n">
        <f aca="false">VLOOKUP(B1869,'MSA-Lookup'!$H$2:$I$86,2)</f>
        <v>7320</v>
      </c>
      <c r="F1869" s="0" t="n">
        <f aca="false">IF(C1869&gt;1,IF(C1869&lt;99,VLOOKUP(C1869,'MSA-Lookup'!$H$1:$I$86,2),C1869),C1869)</f>
        <v>7400</v>
      </c>
      <c r="G1869" s="0" t="n">
        <f aca="false">VLOOKUP(E1869,'MSA-Lookup'!$AA$1:$AB$25,2)</f>
        <v>7320</v>
      </c>
      <c r="H1869" s="0" t="n">
        <f aca="false">IF(C1869&gt;1,IF(C1869&lt;99,VLOOKUP(F1869,'MSA-Lookup'!$AA$1:$AB$25,2),C1869),C1869)</f>
        <v>7362</v>
      </c>
    </row>
    <row r="1870" customFormat="false" ht="12.75" hidden="false" customHeight="false" outlineLevel="0" collapsed="false">
      <c r="A1870" s="0" t="n">
        <f aca="false">B1870*1000+C1870</f>
        <v>33052</v>
      </c>
      <c r="B1870" s="0" t="n">
        <v>33</v>
      </c>
      <c r="C1870" s="0" t="n">
        <v>52</v>
      </c>
      <c r="D1870" s="0" t="n">
        <v>130</v>
      </c>
      <c r="E1870" s="0" t="n">
        <f aca="false">VLOOKUP(B1870,'MSA-Lookup'!$H$2:$I$86,2)</f>
        <v>7320</v>
      </c>
      <c r="F1870" s="0" t="n">
        <f aca="false">IF(C1870&gt;1,IF(C1870&lt;99,VLOOKUP(C1870,'MSA-Lookup'!$H$1:$I$86,2),C1870),C1870)</f>
        <v>4480</v>
      </c>
      <c r="G1870" s="0" t="n">
        <f aca="false">VLOOKUP(E1870,'MSA-Lookup'!$AA$1:$AB$25,2)</f>
        <v>7320</v>
      </c>
      <c r="H1870" s="0" t="n">
        <f aca="false">IF(C1870&gt;1,IF(C1870&lt;99,VLOOKUP(F1870,'MSA-Lookup'!$AA$1:$AB$25,2),C1870),C1870)</f>
        <v>4472</v>
      </c>
    </row>
    <row r="1871" customFormat="false" ht="12.75" hidden="false" customHeight="false" outlineLevel="0" collapsed="false">
      <c r="A1871" s="0" t="n">
        <f aca="false">B1871*1000+C1871</f>
        <v>33053</v>
      </c>
      <c r="B1871" s="0" t="n">
        <v>33</v>
      </c>
      <c r="C1871" s="0" t="n">
        <v>53</v>
      </c>
      <c r="D1871" s="0" t="n">
        <v>0</v>
      </c>
      <c r="E1871" s="0" t="n">
        <f aca="false">VLOOKUP(B1871,'MSA-Lookup'!$H$2:$I$86,2)</f>
        <v>7320</v>
      </c>
      <c r="F1871" s="0" t="n">
        <f aca="false">IF(C1871&gt;1,IF(C1871&lt;99,VLOOKUP(C1871,'MSA-Lookup'!$H$1:$I$86,2),C1871),C1871)</f>
        <v>4480</v>
      </c>
      <c r="G1871" s="0" t="n">
        <f aca="false">VLOOKUP(E1871,'MSA-Lookup'!$AA$1:$AB$25,2)</f>
        <v>7320</v>
      </c>
      <c r="H1871" s="0" t="n">
        <f aca="false">IF(C1871&gt;1,IF(C1871&lt;99,VLOOKUP(F1871,'MSA-Lookup'!$AA$1:$AB$25,2),C1871),C1871)</f>
        <v>4472</v>
      </c>
    </row>
    <row r="1872" customFormat="false" ht="12.75" hidden="false" customHeight="false" outlineLevel="0" collapsed="false">
      <c r="A1872" s="0" t="n">
        <f aca="false">B1872*1000+C1872</f>
        <v>33054</v>
      </c>
      <c r="B1872" s="0" t="n">
        <v>33</v>
      </c>
      <c r="C1872" s="0" t="n">
        <v>54</v>
      </c>
      <c r="D1872" s="0" t="n">
        <v>0</v>
      </c>
      <c r="E1872" s="0" t="n">
        <f aca="false">VLOOKUP(B1872,'MSA-Lookup'!$H$2:$I$86,2)</f>
        <v>7320</v>
      </c>
      <c r="F1872" s="0" t="n">
        <f aca="false">IF(C1872&gt;1,IF(C1872&lt;99,VLOOKUP(C1872,'MSA-Lookup'!$H$1:$I$86,2),C1872),C1872)</f>
        <v>4480</v>
      </c>
      <c r="G1872" s="0" t="n">
        <f aca="false">VLOOKUP(E1872,'MSA-Lookup'!$AA$1:$AB$25,2)</f>
        <v>7320</v>
      </c>
      <c r="H1872" s="0" t="n">
        <f aca="false">IF(C1872&gt;1,IF(C1872&lt;99,VLOOKUP(F1872,'MSA-Lookup'!$AA$1:$AB$25,2),C1872),C1872)</f>
        <v>4472</v>
      </c>
    </row>
    <row r="1873" customFormat="false" ht="12.75" hidden="false" customHeight="false" outlineLevel="0" collapsed="false">
      <c r="A1873" s="0" t="n">
        <f aca="false">B1873*1000+C1873</f>
        <v>33055</v>
      </c>
      <c r="B1873" s="0" t="n">
        <v>33</v>
      </c>
      <c r="C1873" s="0" t="n">
        <v>55</v>
      </c>
      <c r="D1873" s="0" t="n">
        <v>0</v>
      </c>
      <c r="E1873" s="0" t="n">
        <f aca="false">VLOOKUP(B1873,'MSA-Lookup'!$H$2:$I$86,2)</f>
        <v>7320</v>
      </c>
      <c r="F1873" s="0" t="n">
        <f aca="false">IF(C1873&gt;1,IF(C1873&lt;99,VLOOKUP(C1873,'MSA-Lookup'!$H$1:$I$86,2),C1873),C1873)</f>
        <v>4480</v>
      </c>
      <c r="G1873" s="0" t="n">
        <f aca="false">VLOOKUP(E1873,'MSA-Lookup'!$AA$1:$AB$25,2)</f>
        <v>7320</v>
      </c>
      <c r="H1873" s="0" t="n">
        <f aca="false">IF(C1873&gt;1,IF(C1873&lt;99,VLOOKUP(F1873,'MSA-Lookup'!$AA$1:$AB$25,2),C1873),C1873)</f>
        <v>4472</v>
      </c>
    </row>
    <row r="1874" customFormat="false" ht="12.75" hidden="false" customHeight="false" outlineLevel="0" collapsed="false">
      <c r="A1874" s="0" t="n">
        <f aca="false">B1874*1000+C1874</f>
        <v>33056</v>
      </c>
      <c r="B1874" s="0" t="n">
        <v>33</v>
      </c>
      <c r="C1874" s="0" t="n">
        <v>56</v>
      </c>
      <c r="D1874" s="0" t="n">
        <v>0</v>
      </c>
      <c r="E1874" s="0" t="n">
        <f aca="false">VLOOKUP(B1874,'MSA-Lookup'!$H$2:$I$86,2)</f>
        <v>7320</v>
      </c>
      <c r="F1874" s="0" t="n">
        <f aca="false">IF(C1874&gt;1,IF(C1874&lt;99,VLOOKUP(C1874,'MSA-Lookup'!$H$1:$I$86,2),C1874),C1874)</f>
        <v>4480</v>
      </c>
      <c r="G1874" s="0" t="n">
        <f aca="false">VLOOKUP(E1874,'MSA-Lookup'!$AA$1:$AB$25,2)</f>
        <v>7320</v>
      </c>
      <c r="H1874" s="0" t="n">
        <f aca="false">IF(C1874&gt;1,IF(C1874&lt;99,VLOOKUP(F1874,'MSA-Lookup'!$AA$1:$AB$25,2),C1874),C1874)</f>
        <v>4472</v>
      </c>
    </row>
    <row r="1875" customFormat="false" ht="12.75" hidden="false" customHeight="false" outlineLevel="0" collapsed="false">
      <c r="A1875" s="0" t="n">
        <f aca="false">B1875*1000+C1875</f>
        <v>33057</v>
      </c>
      <c r="B1875" s="0" t="n">
        <v>33</v>
      </c>
      <c r="C1875" s="0" t="n">
        <v>57</v>
      </c>
      <c r="D1875" s="0" t="n">
        <v>0</v>
      </c>
      <c r="E1875" s="0" t="n">
        <f aca="false">VLOOKUP(B1875,'MSA-Lookup'!$H$2:$I$86,2)</f>
        <v>7320</v>
      </c>
      <c r="F1875" s="0" t="n">
        <f aca="false">IF(C1875&gt;1,IF(C1875&lt;99,VLOOKUP(C1875,'MSA-Lookup'!$H$1:$I$86,2),C1875),C1875)</f>
        <v>4480</v>
      </c>
      <c r="G1875" s="0" t="n">
        <f aca="false">VLOOKUP(E1875,'MSA-Lookup'!$AA$1:$AB$25,2)</f>
        <v>7320</v>
      </c>
      <c r="H1875" s="0" t="n">
        <f aca="false">IF(C1875&gt;1,IF(C1875&lt;99,VLOOKUP(F1875,'MSA-Lookup'!$AA$1:$AB$25,2),C1875),C1875)</f>
        <v>4472</v>
      </c>
    </row>
    <row r="1876" customFormat="false" ht="12.75" hidden="false" customHeight="false" outlineLevel="0" collapsed="false">
      <c r="A1876" s="0" t="n">
        <f aca="false">B1876*1000+C1876</f>
        <v>33059</v>
      </c>
      <c r="B1876" s="0" t="n">
        <v>33</v>
      </c>
      <c r="C1876" s="0" t="n">
        <v>59</v>
      </c>
      <c r="D1876" s="0" t="n">
        <v>0</v>
      </c>
      <c r="E1876" s="0" t="n">
        <f aca="false">VLOOKUP(B1876,'MSA-Lookup'!$H$2:$I$86,2)</f>
        <v>7320</v>
      </c>
      <c r="F1876" s="0" t="n">
        <f aca="false">IF(C1876&gt;1,IF(C1876&lt;99,VLOOKUP(C1876,'MSA-Lookup'!$H$1:$I$86,2),C1876),C1876)</f>
        <v>4480</v>
      </c>
      <c r="G1876" s="0" t="n">
        <f aca="false">VLOOKUP(E1876,'MSA-Lookup'!$AA$1:$AB$25,2)</f>
        <v>7320</v>
      </c>
      <c r="H1876" s="0" t="n">
        <f aca="false">IF(C1876&gt;1,IF(C1876&lt;99,VLOOKUP(F1876,'MSA-Lookup'!$AA$1:$AB$25,2),C1876),C1876)</f>
        <v>4472</v>
      </c>
    </row>
    <row r="1877" customFormat="false" ht="12.75" hidden="false" customHeight="false" outlineLevel="0" collapsed="false">
      <c r="A1877" s="0" t="n">
        <f aca="false">B1877*1000+C1877</f>
        <v>33060</v>
      </c>
      <c r="B1877" s="0" t="n">
        <v>33</v>
      </c>
      <c r="C1877" s="0" t="n">
        <v>60</v>
      </c>
      <c r="D1877" s="0" t="n">
        <v>0</v>
      </c>
      <c r="E1877" s="0" t="n">
        <f aca="false">VLOOKUP(B1877,'MSA-Lookup'!$H$2:$I$86,2)</f>
        <v>7320</v>
      </c>
      <c r="F1877" s="0" t="n">
        <f aca="false">IF(C1877&gt;1,IF(C1877&lt;99,VLOOKUP(C1877,'MSA-Lookup'!$H$1:$I$86,2),C1877),C1877)</f>
        <v>4480</v>
      </c>
      <c r="G1877" s="0" t="n">
        <f aca="false">VLOOKUP(E1877,'MSA-Lookup'!$AA$1:$AB$25,2)</f>
        <v>7320</v>
      </c>
      <c r="H1877" s="0" t="n">
        <f aca="false">IF(C1877&gt;1,IF(C1877&lt;99,VLOOKUP(F1877,'MSA-Lookup'!$AA$1:$AB$25,2),C1877),C1877)</f>
        <v>4472</v>
      </c>
    </row>
    <row r="1878" customFormat="false" ht="12.75" hidden="false" customHeight="false" outlineLevel="0" collapsed="false">
      <c r="A1878" s="0" t="n">
        <f aca="false">B1878*1000+C1878</f>
        <v>33062</v>
      </c>
      <c r="B1878" s="0" t="n">
        <v>33</v>
      </c>
      <c r="C1878" s="0" t="n">
        <v>62</v>
      </c>
      <c r="D1878" s="0" t="n">
        <v>0</v>
      </c>
      <c r="E1878" s="0" t="n">
        <f aca="false">VLOOKUP(B1878,'MSA-Lookup'!$H$2:$I$86,2)</f>
        <v>7320</v>
      </c>
      <c r="F1878" s="0" t="n">
        <f aca="false">IF(C1878&gt;1,IF(C1878&lt;99,VLOOKUP(C1878,'MSA-Lookup'!$H$1:$I$86,2),C1878),C1878)</f>
        <v>4480</v>
      </c>
      <c r="G1878" s="0" t="n">
        <f aca="false">VLOOKUP(E1878,'MSA-Lookup'!$AA$1:$AB$25,2)</f>
        <v>7320</v>
      </c>
      <c r="H1878" s="0" t="n">
        <f aca="false">IF(C1878&gt;1,IF(C1878&lt;99,VLOOKUP(F1878,'MSA-Lookup'!$AA$1:$AB$25,2),C1878),C1878)</f>
        <v>4472</v>
      </c>
    </row>
    <row r="1879" customFormat="false" ht="12.75" hidden="false" customHeight="false" outlineLevel="0" collapsed="false">
      <c r="A1879" s="0" t="n">
        <f aca="false">B1879*1000+C1879</f>
        <v>33063</v>
      </c>
      <c r="B1879" s="0" t="n">
        <v>33</v>
      </c>
      <c r="C1879" s="0" t="n">
        <v>63</v>
      </c>
      <c r="D1879" s="0" t="n">
        <v>247</v>
      </c>
      <c r="E1879" s="0" t="n">
        <f aca="false">VLOOKUP(B1879,'MSA-Lookup'!$H$2:$I$86,2)</f>
        <v>7320</v>
      </c>
      <c r="F1879" s="0" t="n">
        <f aca="false">IF(C1879&gt;1,IF(C1879&lt;99,VLOOKUP(C1879,'MSA-Lookup'!$H$1:$I$86,2),C1879),C1879)</f>
        <v>4480</v>
      </c>
      <c r="G1879" s="0" t="n">
        <f aca="false">VLOOKUP(E1879,'MSA-Lookup'!$AA$1:$AB$25,2)</f>
        <v>7320</v>
      </c>
      <c r="H1879" s="0" t="n">
        <f aca="false">IF(C1879&gt;1,IF(C1879&lt;99,VLOOKUP(F1879,'MSA-Lookup'!$AA$1:$AB$25,2),C1879),C1879)</f>
        <v>4472</v>
      </c>
    </row>
    <row r="1880" customFormat="false" ht="12.75" hidden="false" customHeight="false" outlineLevel="0" collapsed="false">
      <c r="A1880" s="0" t="n">
        <f aca="false">B1880*1000+C1880</f>
        <v>33064</v>
      </c>
      <c r="B1880" s="0" t="n">
        <v>33</v>
      </c>
      <c r="C1880" s="0" t="n">
        <v>64</v>
      </c>
      <c r="D1880" s="0" t="n">
        <v>1001</v>
      </c>
      <c r="E1880" s="0" t="n">
        <f aca="false">VLOOKUP(B1880,'MSA-Lookup'!$H$2:$I$86,2)</f>
        <v>7320</v>
      </c>
      <c r="F1880" s="0" t="n">
        <f aca="false">IF(C1880&gt;1,IF(C1880&lt;99,VLOOKUP(C1880,'MSA-Lookup'!$H$1:$I$86,2),C1880),C1880)</f>
        <v>4480</v>
      </c>
      <c r="G1880" s="0" t="n">
        <f aca="false">VLOOKUP(E1880,'MSA-Lookup'!$AA$1:$AB$25,2)</f>
        <v>7320</v>
      </c>
      <c r="H1880" s="0" t="n">
        <f aca="false">IF(C1880&gt;1,IF(C1880&lt;99,VLOOKUP(F1880,'MSA-Lookup'!$AA$1:$AB$25,2),C1880),C1880)</f>
        <v>4472</v>
      </c>
    </row>
    <row r="1881" customFormat="false" ht="12.75" hidden="false" customHeight="false" outlineLevel="0" collapsed="false">
      <c r="A1881" s="0" t="n">
        <f aca="false">B1881*1000+C1881</f>
        <v>33065</v>
      </c>
      <c r="B1881" s="0" t="n">
        <v>33</v>
      </c>
      <c r="C1881" s="0" t="n">
        <v>65</v>
      </c>
      <c r="D1881" s="0" t="n">
        <v>663</v>
      </c>
      <c r="E1881" s="0" t="n">
        <f aca="false">VLOOKUP(B1881,'MSA-Lookup'!$H$2:$I$86,2)</f>
        <v>7320</v>
      </c>
      <c r="F1881" s="0" t="n">
        <f aca="false">IF(C1881&gt;1,IF(C1881&lt;99,VLOOKUP(C1881,'MSA-Lookup'!$H$1:$I$86,2),C1881),C1881)</f>
        <v>4480</v>
      </c>
      <c r="G1881" s="0" t="n">
        <f aca="false">VLOOKUP(E1881,'MSA-Lookup'!$AA$1:$AB$25,2)</f>
        <v>7320</v>
      </c>
      <c r="H1881" s="0" t="n">
        <f aca="false">IF(C1881&gt;1,IF(C1881&lt;99,VLOOKUP(F1881,'MSA-Lookup'!$AA$1:$AB$25,2),C1881),C1881)</f>
        <v>4472</v>
      </c>
    </row>
    <row r="1882" customFormat="false" ht="12.75" hidden="false" customHeight="false" outlineLevel="0" collapsed="false">
      <c r="A1882" s="0" t="n">
        <f aca="false">B1882*1000+C1882</f>
        <v>33066</v>
      </c>
      <c r="B1882" s="0" t="n">
        <v>33</v>
      </c>
      <c r="C1882" s="0" t="n">
        <v>66</v>
      </c>
      <c r="D1882" s="0" t="n">
        <v>91</v>
      </c>
      <c r="E1882" s="0" t="n">
        <f aca="false">VLOOKUP(B1882,'MSA-Lookup'!$H$2:$I$86,2)</f>
        <v>7320</v>
      </c>
      <c r="F1882" s="0" t="n">
        <f aca="false">IF(C1882&gt;1,IF(C1882&lt;99,VLOOKUP(C1882,'MSA-Lookup'!$H$1:$I$86,2),C1882),C1882)</f>
        <v>4480</v>
      </c>
      <c r="G1882" s="0" t="n">
        <f aca="false">VLOOKUP(E1882,'MSA-Lookup'!$AA$1:$AB$25,2)</f>
        <v>7320</v>
      </c>
      <c r="H1882" s="0" t="n">
        <f aca="false">IF(C1882&gt;1,IF(C1882&lt;99,VLOOKUP(F1882,'MSA-Lookup'!$AA$1:$AB$25,2),C1882),C1882)</f>
        <v>4472</v>
      </c>
    </row>
    <row r="1883" customFormat="false" ht="12.75" hidden="false" customHeight="false" outlineLevel="0" collapsed="false">
      <c r="A1883" s="0" t="n">
        <f aca="false">B1883*1000+C1883</f>
        <v>33067</v>
      </c>
      <c r="B1883" s="0" t="n">
        <v>33</v>
      </c>
      <c r="C1883" s="0" t="n">
        <v>67</v>
      </c>
      <c r="D1883" s="0" t="n">
        <v>182</v>
      </c>
      <c r="E1883" s="0" t="n">
        <f aca="false">VLOOKUP(B1883,'MSA-Lookup'!$H$2:$I$86,2)</f>
        <v>7320</v>
      </c>
      <c r="F1883" s="0" t="n">
        <f aca="false">IF(C1883&gt;1,IF(C1883&lt;99,VLOOKUP(C1883,'MSA-Lookup'!$H$1:$I$86,2),C1883),C1883)</f>
        <v>6000</v>
      </c>
      <c r="G1883" s="0" t="n">
        <f aca="false">VLOOKUP(E1883,'MSA-Lookup'!$AA$1:$AB$25,2)</f>
        <v>7320</v>
      </c>
      <c r="H1883" s="0" t="n">
        <f aca="false">IF(C1883&gt;1,IF(C1883&lt;99,VLOOKUP(F1883,'MSA-Lookup'!$AA$1:$AB$25,2),C1883),C1883)</f>
        <v>4472</v>
      </c>
    </row>
    <row r="1884" customFormat="false" ht="12.75" hidden="false" customHeight="false" outlineLevel="0" collapsed="false">
      <c r="A1884" s="0" t="n">
        <f aca="false">B1884*1000+C1884</f>
        <v>33069</v>
      </c>
      <c r="B1884" s="0" t="n">
        <v>33</v>
      </c>
      <c r="C1884" s="0" t="n">
        <v>69</v>
      </c>
      <c r="D1884" s="0" t="n">
        <v>910</v>
      </c>
      <c r="E1884" s="0" t="n">
        <f aca="false">VLOOKUP(B1884,'MSA-Lookup'!$H$2:$I$86,2)</f>
        <v>7320</v>
      </c>
      <c r="F1884" s="0" t="n">
        <f aca="false">IF(C1884&gt;1,IF(C1884&lt;99,VLOOKUP(C1884,'MSA-Lookup'!$H$1:$I$86,2),C1884),C1884)</f>
        <v>6780</v>
      </c>
      <c r="G1884" s="0" t="n">
        <f aca="false">VLOOKUP(E1884,'MSA-Lookup'!$AA$1:$AB$25,2)</f>
        <v>7320</v>
      </c>
      <c r="H1884" s="0" t="n">
        <f aca="false">IF(C1884&gt;1,IF(C1884&lt;99,VLOOKUP(F1884,'MSA-Lookup'!$AA$1:$AB$25,2),C1884),C1884)</f>
        <v>4472</v>
      </c>
    </row>
    <row r="1885" customFormat="false" ht="12.75" hidden="false" customHeight="false" outlineLevel="0" collapsed="false">
      <c r="A1885" s="0" t="n">
        <f aca="false">B1885*1000+C1885</f>
        <v>33071</v>
      </c>
      <c r="B1885" s="0" t="n">
        <v>33</v>
      </c>
      <c r="C1885" s="0" t="n">
        <v>71</v>
      </c>
      <c r="D1885" s="0" t="n">
        <v>0</v>
      </c>
      <c r="E1885" s="0" t="n">
        <f aca="false">VLOOKUP(B1885,'MSA-Lookup'!$H$2:$I$86,2)</f>
        <v>7320</v>
      </c>
      <c r="F1885" s="0" t="n">
        <f aca="false">IF(C1885&gt;1,IF(C1885&lt;99,VLOOKUP(C1885,'MSA-Lookup'!$H$1:$I$86,2),C1885),C1885)</f>
        <v>6780</v>
      </c>
      <c r="G1885" s="0" t="n">
        <f aca="false">VLOOKUP(E1885,'MSA-Lookup'!$AA$1:$AB$25,2)</f>
        <v>7320</v>
      </c>
      <c r="H1885" s="0" t="n">
        <f aca="false">IF(C1885&gt;1,IF(C1885&lt;99,VLOOKUP(F1885,'MSA-Lookup'!$AA$1:$AB$25,2),C1885),C1885)</f>
        <v>4472</v>
      </c>
    </row>
    <row r="1886" customFormat="false" ht="12.75" hidden="false" customHeight="false" outlineLevel="0" collapsed="false">
      <c r="A1886" s="0" t="n">
        <f aca="false">B1886*1000+C1886</f>
        <v>33072</v>
      </c>
      <c r="B1886" s="0" t="n">
        <v>33</v>
      </c>
      <c r="C1886" s="0" t="n">
        <v>72</v>
      </c>
      <c r="D1886" s="0" t="n">
        <v>260</v>
      </c>
      <c r="E1886" s="0" t="n">
        <f aca="false">VLOOKUP(B1886,'MSA-Lookup'!$H$2:$I$86,2)</f>
        <v>7320</v>
      </c>
      <c r="F1886" s="0" t="n">
        <f aca="false">IF(C1886&gt;1,IF(C1886&lt;99,VLOOKUP(C1886,'MSA-Lookup'!$H$1:$I$86,2),C1886),C1886)</f>
        <v>6780</v>
      </c>
      <c r="G1886" s="0" t="n">
        <f aca="false">VLOOKUP(E1886,'MSA-Lookup'!$AA$1:$AB$25,2)</f>
        <v>7320</v>
      </c>
      <c r="H1886" s="0" t="n">
        <f aca="false">IF(C1886&gt;1,IF(C1886&lt;99,VLOOKUP(F1886,'MSA-Lookup'!$AA$1:$AB$25,2),C1886),C1886)</f>
        <v>4472</v>
      </c>
    </row>
    <row r="1887" customFormat="false" ht="12.75" hidden="false" customHeight="false" outlineLevel="0" collapsed="false">
      <c r="A1887" s="0" t="n">
        <f aca="false">B1887*1000+C1887</f>
        <v>33073</v>
      </c>
      <c r="B1887" s="0" t="n">
        <v>33</v>
      </c>
      <c r="C1887" s="0" t="n">
        <v>73</v>
      </c>
      <c r="D1887" s="0" t="n">
        <v>0</v>
      </c>
      <c r="E1887" s="0" t="n">
        <f aca="false">VLOOKUP(B1887,'MSA-Lookup'!$H$2:$I$86,2)</f>
        <v>7320</v>
      </c>
      <c r="F1887" s="0" t="n">
        <f aca="false">IF(C1887&gt;1,IF(C1887&lt;99,VLOOKUP(C1887,'MSA-Lookup'!$H$1:$I$86,2),C1887),C1887)</f>
        <v>8720</v>
      </c>
      <c r="G1887" s="0" t="n">
        <f aca="false">VLOOKUP(E1887,'MSA-Lookup'!$AA$1:$AB$25,2)</f>
        <v>7320</v>
      </c>
      <c r="H1887" s="0" t="n">
        <f aca="false">IF(C1887&gt;1,IF(C1887&lt;99,VLOOKUP(F1887,'MSA-Lookup'!$AA$1:$AB$25,2),C1887),C1887)</f>
        <v>7362</v>
      </c>
    </row>
    <row r="1888" customFormat="false" ht="12.75" hidden="false" customHeight="false" outlineLevel="0" collapsed="false">
      <c r="A1888" s="0" t="n">
        <f aca="false">B1888*1000+C1888</f>
        <v>33075</v>
      </c>
      <c r="B1888" s="0" t="n">
        <v>33</v>
      </c>
      <c r="C1888" s="0" t="n">
        <v>75</v>
      </c>
      <c r="D1888" s="0" t="n">
        <v>0</v>
      </c>
      <c r="E1888" s="0" t="n">
        <f aca="false">VLOOKUP(B1888,'MSA-Lookup'!$H$2:$I$86,2)</f>
        <v>7320</v>
      </c>
      <c r="F1888" s="0" t="n">
        <f aca="false">IF(C1888&gt;1,IF(C1888&lt;99,VLOOKUP(C1888,'MSA-Lookup'!$H$1:$I$86,2),C1888),C1888)</f>
        <v>8780</v>
      </c>
      <c r="G1888" s="0" t="n">
        <f aca="false">VLOOKUP(E1888,'MSA-Lookup'!$AA$1:$AB$25,2)</f>
        <v>7320</v>
      </c>
      <c r="H1888" s="0" t="n">
        <f aca="false">IF(C1888&gt;1,IF(C1888&lt;99,VLOOKUP(F1888,'MSA-Lookup'!$AA$1:$AB$25,2),C1888),C1888)</f>
        <v>8780</v>
      </c>
    </row>
    <row r="1889" customFormat="false" ht="12.75" hidden="false" customHeight="false" outlineLevel="0" collapsed="false">
      <c r="A1889" s="0" t="n">
        <f aca="false">B1889*1000+C1889</f>
        <v>33076</v>
      </c>
      <c r="B1889" s="0" t="n">
        <v>33</v>
      </c>
      <c r="C1889" s="0" t="n">
        <v>76</v>
      </c>
      <c r="D1889" s="0" t="n">
        <v>169</v>
      </c>
      <c r="E1889" s="0" t="n">
        <f aca="false">VLOOKUP(B1889,'MSA-Lookup'!$H$2:$I$86,2)</f>
        <v>7320</v>
      </c>
      <c r="F1889" s="0" t="n">
        <f aca="false">IF(C1889&gt;1,IF(C1889&lt;99,VLOOKUP(C1889,'MSA-Lookup'!$H$1:$I$86,2),C1889),C1889)</f>
        <v>7485</v>
      </c>
      <c r="G1889" s="0" t="n">
        <f aca="false">VLOOKUP(E1889,'MSA-Lookup'!$AA$1:$AB$25,2)</f>
        <v>7320</v>
      </c>
      <c r="H1889" s="0" t="n">
        <f aca="false">IF(C1889&gt;1,IF(C1889&lt;99,VLOOKUP(F1889,'MSA-Lookup'!$AA$1:$AB$25,2),C1889),C1889)</f>
        <v>7362</v>
      </c>
    </row>
    <row r="1890" customFormat="false" ht="12.75" hidden="false" customHeight="false" outlineLevel="0" collapsed="false">
      <c r="A1890" s="0" t="n">
        <f aca="false">B1890*1000+C1890</f>
        <v>33077</v>
      </c>
      <c r="B1890" s="0" t="n">
        <v>33</v>
      </c>
      <c r="C1890" s="0" t="n">
        <v>77</v>
      </c>
      <c r="D1890" s="0" t="n">
        <v>0</v>
      </c>
      <c r="E1890" s="0" t="n">
        <f aca="false">VLOOKUP(B1890,'MSA-Lookup'!$H$2:$I$86,2)</f>
        <v>7320</v>
      </c>
      <c r="F1890" s="0" t="n">
        <f aca="false">IF(C1890&gt;1,IF(C1890&lt;99,VLOOKUP(C1890,'MSA-Lookup'!$H$1:$I$86,2),C1890),C1890)</f>
        <v>9999</v>
      </c>
      <c r="G1890" s="0" t="n">
        <f aca="false">VLOOKUP(E1890,'MSA-Lookup'!$AA$1:$AB$25,2)</f>
        <v>7320</v>
      </c>
      <c r="H1890" s="0" t="n">
        <f aca="false">IF(C1890&gt;1,IF(C1890&lt;99,VLOOKUP(F1890,'MSA-Lookup'!$AA$1:$AB$25,2),C1890),C1890)</f>
        <v>9999</v>
      </c>
    </row>
    <row r="1891" customFormat="false" ht="12.75" hidden="false" customHeight="false" outlineLevel="0" collapsed="false">
      <c r="A1891" s="0" t="n">
        <f aca="false">B1891*1000+C1891</f>
        <v>33079</v>
      </c>
      <c r="B1891" s="0" t="n">
        <v>33</v>
      </c>
      <c r="C1891" s="0" t="n">
        <v>79</v>
      </c>
      <c r="D1891" s="0" t="n">
        <v>390</v>
      </c>
      <c r="E1891" s="0" t="n">
        <f aca="false">VLOOKUP(B1891,'MSA-Lookup'!$H$2:$I$86,2)</f>
        <v>7320</v>
      </c>
      <c r="F1891" s="0" t="n">
        <f aca="false">IF(C1891&gt;1,IF(C1891&lt;99,VLOOKUP(C1891,'MSA-Lookup'!$H$1:$I$86,2),C1891),C1891)</f>
        <v>680</v>
      </c>
      <c r="G1891" s="0" t="n">
        <f aca="false">VLOOKUP(E1891,'MSA-Lookup'!$AA$1:$AB$25,2)</f>
        <v>7320</v>
      </c>
      <c r="H1891" s="0" t="n">
        <f aca="false">IF(C1891&gt;1,IF(C1891&lt;99,VLOOKUP(F1891,'MSA-Lookup'!$AA$1:$AB$25,2),C1891),C1891)</f>
        <v>680</v>
      </c>
    </row>
    <row r="1892" customFormat="false" ht="12.75" hidden="false" customHeight="false" outlineLevel="0" collapsed="false">
      <c r="A1892" s="0" t="n">
        <f aca="false">B1892*1000+C1892</f>
        <v>33080</v>
      </c>
      <c r="B1892" s="0" t="n">
        <v>33</v>
      </c>
      <c r="C1892" s="0" t="n">
        <v>80</v>
      </c>
      <c r="D1892" s="0" t="n">
        <v>0</v>
      </c>
      <c r="E1892" s="0" t="n">
        <f aca="false">VLOOKUP(B1892,'MSA-Lookup'!$H$2:$I$86,2)</f>
        <v>7320</v>
      </c>
      <c r="F1892" s="0" t="n">
        <f aca="false">IF(C1892&gt;1,IF(C1892&lt;99,VLOOKUP(C1892,'MSA-Lookup'!$H$1:$I$86,2),C1892),C1892)</f>
        <v>9999</v>
      </c>
      <c r="G1892" s="0" t="n">
        <f aca="false">VLOOKUP(E1892,'MSA-Lookup'!$AA$1:$AB$25,2)</f>
        <v>7320</v>
      </c>
      <c r="H1892" s="0" t="n">
        <f aca="false">IF(C1892&gt;1,IF(C1892&lt;99,VLOOKUP(F1892,'MSA-Lookup'!$AA$1:$AB$25,2),C1892),C1892)</f>
        <v>9999</v>
      </c>
    </row>
    <row r="1893" customFormat="false" ht="12.75" hidden="false" customHeight="false" outlineLevel="0" collapsed="false">
      <c r="A1893" s="0" t="n">
        <f aca="false">B1893*1000+C1893</f>
        <v>33082</v>
      </c>
      <c r="B1893" s="0" t="n">
        <v>33</v>
      </c>
      <c r="C1893" s="0" t="n">
        <v>82</v>
      </c>
      <c r="D1893" s="0" t="n">
        <v>130</v>
      </c>
      <c r="E1893" s="0" t="n">
        <f aca="false">VLOOKUP(B1893,'MSA-Lookup'!$H$2:$I$86,2)</f>
        <v>7320</v>
      </c>
      <c r="F1893" s="0" t="n">
        <f aca="false">IF(C1893&gt;1,IF(C1893&lt;99,VLOOKUP(C1893,'MSA-Lookup'!$H$1:$I$86,2),C1893),C1893)</f>
        <v>6780</v>
      </c>
      <c r="G1893" s="0" t="n">
        <f aca="false">VLOOKUP(E1893,'MSA-Lookup'!$AA$1:$AB$25,2)</f>
        <v>7320</v>
      </c>
      <c r="H1893" s="0" t="n">
        <f aca="false">IF(C1893&gt;1,IF(C1893&lt;99,VLOOKUP(F1893,'MSA-Lookup'!$AA$1:$AB$25,2),C1893),C1893)</f>
        <v>4472</v>
      </c>
    </row>
    <row r="1894" customFormat="false" ht="12.75" hidden="false" customHeight="false" outlineLevel="0" collapsed="false">
      <c r="A1894" s="0" t="n">
        <f aca="false">B1894*1000+C1894</f>
        <v>33083</v>
      </c>
      <c r="B1894" s="0" t="n">
        <v>33</v>
      </c>
      <c r="C1894" s="0" t="n">
        <v>83</v>
      </c>
      <c r="D1894" s="0" t="n">
        <v>104</v>
      </c>
      <c r="E1894" s="0" t="n">
        <f aca="false">VLOOKUP(B1894,'MSA-Lookup'!$H$2:$I$86,2)</f>
        <v>7320</v>
      </c>
      <c r="F1894" s="0" t="n">
        <f aca="false">IF(C1894&gt;1,IF(C1894&lt;99,VLOOKUP(C1894,'MSA-Lookup'!$H$1:$I$86,2),C1894),C1894)</f>
        <v>6000</v>
      </c>
      <c r="G1894" s="0" t="n">
        <f aca="false">VLOOKUP(E1894,'MSA-Lookup'!$AA$1:$AB$25,2)</f>
        <v>7320</v>
      </c>
      <c r="H1894" s="0" t="n">
        <f aca="false">IF(C1894&gt;1,IF(C1894&lt;99,VLOOKUP(F1894,'MSA-Lookup'!$AA$1:$AB$25,2),C1894),C1894)</f>
        <v>4472</v>
      </c>
    </row>
    <row r="1895" customFormat="false" ht="12.75" hidden="false" customHeight="false" outlineLevel="0" collapsed="false">
      <c r="A1895" s="0" t="n">
        <f aca="false">B1895*1000+C1895</f>
        <v>33084</v>
      </c>
      <c r="B1895" s="0" t="n">
        <v>33</v>
      </c>
      <c r="C1895" s="0" t="n">
        <v>84</v>
      </c>
      <c r="D1895" s="0" t="n">
        <v>429</v>
      </c>
      <c r="E1895" s="0" t="n">
        <f aca="false">VLOOKUP(B1895,'MSA-Lookup'!$H$2:$I$86,2)</f>
        <v>7320</v>
      </c>
      <c r="F1895" s="0" t="n">
        <f aca="false">IF(C1895&gt;1,IF(C1895&lt;99,VLOOKUP(C1895,'MSA-Lookup'!$H$1:$I$86,2),C1895),C1895)</f>
        <v>360</v>
      </c>
      <c r="G1895" s="0" t="n">
        <f aca="false">VLOOKUP(E1895,'MSA-Lookup'!$AA$1:$AB$25,2)</f>
        <v>7320</v>
      </c>
      <c r="H1895" s="0" t="n">
        <f aca="false">IF(C1895&gt;1,IF(C1895&lt;99,VLOOKUP(F1895,'MSA-Lookup'!$AA$1:$AB$25,2),C1895),C1895)</f>
        <v>4472</v>
      </c>
    </row>
    <row r="1896" customFormat="false" ht="12.75" hidden="false" customHeight="false" outlineLevel="0" collapsed="false">
      <c r="A1896" s="0" t="n">
        <f aca="false">B1896*1000+C1896</f>
        <v>33085</v>
      </c>
      <c r="B1896" s="0" t="n">
        <v>33</v>
      </c>
      <c r="C1896" s="0" t="n">
        <v>85</v>
      </c>
      <c r="D1896" s="0" t="n">
        <v>0</v>
      </c>
      <c r="E1896" s="0" t="n">
        <f aca="false">VLOOKUP(B1896,'MSA-Lookup'!$H$2:$I$86,2)</f>
        <v>7320</v>
      </c>
      <c r="F1896" s="0" t="n">
        <f aca="false">IF(C1896&gt;1,IF(C1896&lt;99,VLOOKUP(C1896,'MSA-Lookup'!$H$1:$I$86,2),C1896),C1896)</f>
        <v>8120</v>
      </c>
      <c r="G1896" s="0" t="n">
        <f aca="false">VLOOKUP(E1896,'MSA-Lookup'!$AA$1:$AB$25,2)</f>
        <v>7320</v>
      </c>
      <c r="H1896" s="0" t="n">
        <f aca="false">IF(C1896&gt;1,IF(C1896&lt;99,VLOOKUP(F1896,'MSA-Lookup'!$AA$1:$AB$25,2),C1896),C1896)</f>
        <v>8120</v>
      </c>
    </row>
    <row r="1897" customFormat="false" ht="12.75" hidden="false" customHeight="false" outlineLevel="0" collapsed="false">
      <c r="A1897" s="0" t="n">
        <f aca="false">B1897*1000+C1897</f>
        <v>33858</v>
      </c>
      <c r="B1897" s="0" t="n">
        <v>33</v>
      </c>
      <c r="C1897" s="0" t="n">
        <v>858</v>
      </c>
      <c r="D1897" s="0" t="n">
        <v>0</v>
      </c>
      <c r="E1897" s="0" t="n">
        <f aca="false">VLOOKUP(B1897,'MSA-Lookup'!$H$2:$I$86,2)</f>
        <v>7320</v>
      </c>
      <c r="F1897" s="0" t="n">
        <f aca="false">IF(C1897&gt;1,IF(C1897&lt;99,VLOOKUP(C1897,'MSA-Lookup'!$H$1:$I$86,2),C1897),C1897)</f>
        <v>858</v>
      </c>
      <c r="G1897" s="0" t="n">
        <f aca="false">VLOOKUP(E1897,'MSA-Lookup'!$AA$1:$AB$25,2)</f>
        <v>7320</v>
      </c>
      <c r="H1897" s="0" t="n">
        <f aca="false">IF(C1897&gt;1,IF(C1897&lt;99,VLOOKUP(F1897,'MSA-Lookup'!$AA$1:$AB$25,2),C1897),C1897)</f>
        <v>858</v>
      </c>
    </row>
    <row r="1898" customFormat="false" ht="12.75" hidden="false" customHeight="false" outlineLevel="0" collapsed="false">
      <c r="A1898" s="0" t="n">
        <f aca="false">B1898*1000+C1898</f>
        <v>33983</v>
      </c>
      <c r="B1898" s="0" t="n">
        <v>33</v>
      </c>
      <c r="C1898" s="0" t="n">
        <v>983</v>
      </c>
      <c r="D1898" s="0" t="n">
        <v>117</v>
      </c>
      <c r="E1898" s="0" t="n">
        <f aca="false">VLOOKUP(B1898,'MSA-Lookup'!$H$2:$I$86,2)</f>
        <v>7320</v>
      </c>
      <c r="F1898" s="0" t="n">
        <f aca="false">IF(C1898&gt;1,IF(C1898&lt;99,VLOOKUP(C1898,'MSA-Lookup'!$H$1:$I$86,2),C1898),C1898)</f>
        <v>983</v>
      </c>
      <c r="G1898" s="0" t="n">
        <f aca="false">VLOOKUP(E1898,'MSA-Lookup'!$AA$1:$AB$25,2)</f>
        <v>7320</v>
      </c>
      <c r="H1898" s="0" t="n">
        <f aca="false">IF(C1898&gt;1,IF(C1898&lt;99,VLOOKUP(F1898,'MSA-Lookup'!$AA$1:$AB$25,2),C1898),C1898)</f>
        <v>983</v>
      </c>
    </row>
    <row r="1899" customFormat="false" ht="12.75" hidden="false" customHeight="false" outlineLevel="0" collapsed="false">
      <c r="A1899" s="0" t="n">
        <f aca="false">B1899*1000+C1899</f>
        <v>33999</v>
      </c>
      <c r="B1899" s="0" t="n">
        <v>33</v>
      </c>
      <c r="C1899" s="0" t="n">
        <v>999</v>
      </c>
      <c r="D1899" s="0" t="n">
        <v>2262</v>
      </c>
      <c r="E1899" s="0" t="n">
        <f aca="false">VLOOKUP(B1899,'MSA-Lookup'!$H$2:$I$86,2)</f>
        <v>7320</v>
      </c>
      <c r="F1899" s="0" t="n">
        <f aca="false">IF(C1899&gt;1,IF(C1899&lt;99,VLOOKUP(C1899,'MSA-Lookup'!$H$1:$I$86,2),C1899),C1899)</f>
        <v>999</v>
      </c>
      <c r="G1899" s="0" t="n">
        <f aca="false">VLOOKUP(E1899,'MSA-Lookup'!$AA$1:$AB$25,2)</f>
        <v>7320</v>
      </c>
      <c r="H1899" s="0" t="n">
        <f aca="false">IF(C1899&gt;1,IF(C1899&lt;99,VLOOKUP(F1899,'MSA-Lookup'!$AA$1:$AB$25,2),C1899),C1899)</f>
        <v>999</v>
      </c>
    </row>
    <row r="1900" customFormat="false" ht="12.75" hidden="false" customHeight="false" outlineLevel="0" collapsed="false">
      <c r="A1900" s="0" t="n">
        <f aca="false">B1900*1000+C1900</f>
        <v>34000</v>
      </c>
      <c r="B1900" s="0" t="n">
        <v>34</v>
      </c>
      <c r="C1900" s="0" t="n">
        <v>0</v>
      </c>
      <c r="D1900" s="0" t="n">
        <v>70278</v>
      </c>
      <c r="E1900" s="0" t="n">
        <f aca="false">VLOOKUP(B1900,'MSA-Lookup'!$H$2:$I$86,2)</f>
        <v>7320</v>
      </c>
      <c r="F1900" s="0" t="n">
        <f aca="false">IF(C1900&gt;1,IF(C1900&lt;99,VLOOKUP(C1900,'MSA-Lookup'!$H$1:$I$86,2),C1900),C1900)</f>
        <v>0</v>
      </c>
      <c r="G1900" s="0" t="n">
        <f aca="false">VLOOKUP(E1900,'MSA-Lookup'!$AA$1:$AB$25,2)</f>
        <v>7320</v>
      </c>
      <c r="H1900" s="0" t="n">
        <f aca="false">IF(C1900&gt;1,IF(C1900&lt;99,VLOOKUP(F1900,'MSA-Lookup'!$AA$1:$AB$25,2),C1900),C1900)</f>
        <v>0</v>
      </c>
    </row>
    <row r="1901" customFormat="false" ht="12.75" hidden="false" customHeight="false" outlineLevel="0" collapsed="false">
      <c r="A1901" s="0" t="n">
        <f aca="false">B1901*1000+C1901</f>
        <v>34001</v>
      </c>
      <c r="B1901" s="0" t="n">
        <v>34</v>
      </c>
      <c r="C1901" s="0" t="n">
        <v>1</v>
      </c>
      <c r="D1901" s="0" t="n">
        <v>0</v>
      </c>
      <c r="E1901" s="0" t="n">
        <f aca="false">VLOOKUP(B1901,'MSA-Lookup'!$H$2:$I$86,2)</f>
        <v>7320</v>
      </c>
      <c r="F1901" s="0" t="n">
        <f aca="false">IF(C1901&gt;1,IF(C1901&lt;99,VLOOKUP(C1901,'MSA-Lookup'!$H$1:$I$86,2),C1901),C1901)</f>
        <v>1</v>
      </c>
      <c r="G1901" s="0" t="n">
        <f aca="false">VLOOKUP(E1901,'MSA-Lookup'!$AA$1:$AB$25,2)</f>
        <v>7320</v>
      </c>
      <c r="H1901" s="0" t="n">
        <f aca="false">IF(C1901&gt;1,IF(C1901&lt;99,VLOOKUP(F1901,'MSA-Lookup'!$AA$1:$AB$25,2),C1901),C1901)</f>
        <v>1</v>
      </c>
    </row>
    <row r="1902" customFormat="false" ht="12.75" hidden="false" customHeight="false" outlineLevel="0" collapsed="false">
      <c r="A1902" s="0" t="n">
        <f aca="false">B1902*1000+C1902</f>
        <v>34002</v>
      </c>
      <c r="B1902" s="0" t="n">
        <v>34</v>
      </c>
      <c r="C1902" s="0" t="n">
        <v>2</v>
      </c>
      <c r="D1902" s="0" t="n">
        <v>0</v>
      </c>
      <c r="E1902" s="0" t="n">
        <f aca="false">VLOOKUP(B1902,'MSA-Lookup'!$H$2:$I$86,2)</f>
        <v>7320</v>
      </c>
      <c r="F1902" s="0" t="n">
        <f aca="false">IF(C1902&gt;1,IF(C1902&lt;99,VLOOKUP(C1902,'MSA-Lookup'!$H$1:$I$86,2),C1902),C1902)</f>
        <v>9999</v>
      </c>
      <c r="G1902" s="0" t="n">
        <f aca="false">VLOOKUP(E1902,'MSA-Lookup'!$AA$1:$AB$25,2)</f>
        <v>7320</v>
      </c>
      <c r="H1902" s="0" t="n">
        <f aca="false">IF(C1902&gt;1,IF(C1902&lt;99,VLOOKUP(F1902,'MSA-Lookup'!$AA$1:$AB$25,2),C1902),C1902)</f>
        <v>9999</v>
      </c>
    </row>
    <row r="1903" customFormat="false" ht="12.75" hidden="false" customHeight="false" outlineLevel="0" collapsed="false">
      <c r="A1903" s="0" t="n">
        <f aca="false">B1903*1000+C1903</f>
        <v>34003</v>
      </c>
      <c r="B1903" s="0" t="n">
        <v>34</v>
      </c>
      <c r="C1903" s="0" t="n">
        <v>3</v>
      </c>
      <c r="D1903" s="0" t="n">
        <v>0</v>
      </c>
      <c r="E1903" s="0" t="n">
        <f aca="false">VLOOKUP(B1903,'MSA-Lookup'!$H$2:$I$86,2)</f>
        <v>7320</v>
      </c>
      <c r="F1903" s="0" t="n">
        <f aca="false">IF(C1903&gt;1,IF(C1903&lt;99,VLOOKUP(C1903,'MSA-Lookup'!$H$1:$I$86,2),C1903),C1903)</f>
        <v>6690</v>
      </c>
      <c r="G1903" s="0" t="n">
        <f aca="false">VLOOKUP(E1903,'MSA-Lookup'!$AA$1:$AB$25,2)</f>
        <v>7320</v>
      </c>
      <c r="H1903" s="0" t="n">
        <f aca="false">IF(C1903&gt;1,IF(C1903&lt;99,VLOOKUP(F1903,'MSA-Lookup'!$AA$1:$AB$25,2),C1903),C1903)</f>
        <v>6690</v>
      </c>
    </row>
    <row r="1904" customFormat="false" ht="12.75" hidden="false" customHeight="false" outlineLevel="0" collapsed="false">
      <c r="A1904" s="0" t="n">
        <f aca="false">B1904*1000+C1904</f>
        <v>34004</v>
      </c>
      <c r="B1904" s="0" t="n">
        <v>34</v>
      </c>
      <c r="C1904" s="0" t="n">
        <v>4</v>
      </c>
      <c r="D1904" s="0" t="n">
        <v>0</v>
      </c>
      <c r="E1904" s="0" t="n">
        <f aca="false">VLOOKUP(B1904,'MSA-Lookup'!$H$2:$I$86,2)</f>
        <v>7320</v>
      </c>
      <c r="F1904" s="0" t="n">
        <f aca="false">IF(C1904&gt;1,IF(C1904&lt;99,VLOOKUP(C1904,'MSA-Lookup'!$H$1:$I$86,2),C1904),C1904)</f>
        <v>9999</v>
      </c>
      <c r="G1904" s="0" t="n">
        <f aca="false">VLOOKUP(E1904,'MSA-Lookup'!$AA$1:$AB$25,2)</f>
        <v>7320</v>
      </c>
      <c r="H1904" s="0" t="n">
        <f aca="false">IF(C1904&gt;1,IF(C1904&lt;99,VLOOKUP(F1904,'MSA-Lookup'!$AA$1:$AB$25,2),C1904),C1904)</f>
        <v>9999</v>
      </c>
    </row>
    <row r="1905" customFormat="false" ht="12.75" hidden="false" customHeight="false" outlineLevel="0" collapsed="false">
      <c r="A1905" s="0" t="n">
        <f aca="false">B1905*1000+C1905</f>
        <v>34005</v>
      </c>
      <c r="B1905" s="0" t="n">
        <v>34</v>
      </c>
      <c r="C1905" s="0" t="n">
        <v>5</v>
      </c>
      <c r="D1905" s="0" t="n">
        <v>0</v>
      </c>
      <c r="E1905" s="0" t="n">
        <f aca="false">VLOOKUP(B1905,'MSA-Lookup'!$H$2:$I$86,2)</f>
        <v>7320</v>
      </c>
      <c r="F1905" s="0" t="n">
        <f aca="false">IF(C1905&gt;1,IF(C1905&lt;99,VLOOKUP(C1905,'MSA-Lookup'!$H$1:$I$86,2),C1905),C1905)</f>
        <v>9999</v>
      </c>
      <c r="G1905" s="0" t="n">
        <f aca="false">VLOOKUP(E1905,'MSA-Lookup'!$AA$1:$AB$25,2)</f>
        <v>7320</v>
      </c>
      <c r="H1905" s="0" t="n">
        <f aca="false">IF(C1905&gt;1,IF(C1905&lt;99,VLOOKUP(F1905,'MSA-Lookup'!$AA$1:$AB$25,2),C1905),C1905)</f>
        <v>9999</v>
      </c>
    </row>
    <row r="1906" customFormat="false" ht="12.75" hidden="false" customHeight="false" outlineLevel="0" collapsed="false">
      <c r="A1906" s="0" t="n">
        <f aca="false">B1906*1000+C1906</f>
        <v>34006</v>
      </c>
      <c r="B1906" s="0" t="n">
        <v>34</v>
      </c>
      <c r="C1906" s="0" t="n">
        <v>6</v>
      </c>
      <c r="D1906" s="0" t="n">
        <v>0</v>
      </c>
      <c r="E1906" s="0" t="n">
        <f aca="false">VLOOKUP(B1906,'MSA-Lookup'!$H$2:$I$86,2)</f>
        <v>7320</v>
      </c>
      <c r="F1906" s="0" t="n">
        <f aca="false">IF(C1906&gt;1,IF(C1906&lt;99,VLOOKUP(C1906,'MSA-Lookup'!$H$1:$I$86,2),C1906),C1906)</f>
        <v>1620</v>
      </c>
      <c r="G1906" s="0" t="n">
        <f aca="false">VLOOKUP(E1906,'MSA-Lookup'!$AA$1:$AB$25,2)</f>
        <v>7320</v>
      </c>
      <c r="H1906" s="0" t="n">
        <f aca="false">IF(C1906&gt;1,IF(C1906&lt;99,VLOOKUP(F1906,'MSA-Lookup'!$AA$1:$AB$25,2),C1906),C1906)</f>
        <v>1620</v>
      </c>
    </row>
    <row r="1907" customFormat="false" ht="12.75" hidden="false" customHeight="false" outlineLevel="0" collapsed="false">
      <c r="A1907" s="0" t="n">
        <f aca="false">B1907*1000+C1907</f>
        <v>34007</v>
      </c>
      <c r="B1907" s="0" t="n">
        <v>34</v>
      </c>
      <c r="C1907" s="0" t="n">
        <v>7</v>
      </c>
      <c r="D1907" s="0" t="n">
        <v>0</v>
      </c>
      <c r="E1907" s="0" t="n">
        <f aca="false">VLOOKUP(B1907,'MSA-Lookup'!$H$2:$I$86,2)</f>
        <v>7320</v>
      </c>
      <c r="F1907" s="0" t="n">
        <f aca="false">IF(C1907&gt;1,IF(C1907&lt;99,VLOOKUP(C1907,'MSA-Lookup'!$H$1:$I$86,2),C1907),C1907)</f>
        <v>9999</v>
      </c>
      <c r="G1907" s="0" t="n">
        <f aca="false">VLOOKUP(E1907,'MSA-Lookup'!$AA$1:$AB$25,2)</f>
        <v>7320</v>
      </c>
      <c r="H1907" s="0" t="n">
        <f aca="false">IF(C1907&gt;1,IF(C1907&lt;99,VLOOKUP(F1907,'MSA-Lookup'!$AA$1:$AB$25,2),C1907),C1907)</f>
        <v>9999</v>
      </c>
    </row>
    <row r="1908" customFormat="false" ht="12.75" hidden="false" customHeight="false" outlineLevel="0" collapsed="false">
      <c r="A1908" s="0" t="n">
        <f aca="false">B1908*1000+C1908</f>
        <v>34008</v>
      </c>
      <c r="B1908" s="0" t="n">
        <v>34</v>
      </c>
      <c r="C1908" s="0" t="n">
        <v>8</v>
      </c>
      <c r="D1908" s="0" t="n">
        <v>0</v>
      </c>
      <c r="E1908" s="0" t="n">
        <f aca="false">VLOOKUP(B1908,'MSA-Lookup'!$H$2:$I$86,2)</f>
        <v>7320</v>
      </c>
      <c r="F1908" s="0" t="n">
        <f aca="false">IF(C1908&gt;1,IF(C1908&lt;99,VLOOKUP(C1908,'MSA-Lookup'!$H$1:$I$86,2),C1908),C1908)</f>
        <v>9340</v>
      </c>
      <c r="G1908" s="0" t="n">
        <f aca="false">VLOOKUP(E1908,'MSA-Lookup'!$AA$1:$AB$25,2)</f>
        <v>7320</v>
      </c>
      <c r="H1908" s="0" t="n">
        <f aca="false">IF(C1908&gt;1,IF(C1908&lt;99,VLOOKUP(F1908,'MSA-Lookup'!$AA$1:$AB$25,2),C1908),C1908)</f>
        <v>9340</v>
      </c>
    </row>
    <row r="1909" customFormat="false" ht="12.75" hidden="false" customHeight="false" outlineLevel="0" collapsed="false">
      <c r="A1909" s="0" t="n">
        <f aca="false">B1909*1000+C1909</f>
        <v>34009</v>
      </c>
      <c r="B1909" s="0" t="n">
        <v>34</v>
      </c>
      <c r="C1909" s="0" t="n">
        <v>9</v>
      </c>
      <c r="D1909" s="0" t="n">
        <v>0</v>
      </c>
      <c r="E1909" s="0" t="n">
        <f aca="false">VLOOKUP(B1909,'MSA-Lookup'!$H$2:$I$86,2)</f>
        <v>7320</v>
      </c>
      <c r="F1909" s="0" t="n">
        <f aca="false">IF(C1909&gt;1,IF(C1909&lt;99,VLOOKUP(C1909,'MSA-Lookup'!$H$1:$I$86,2),C1909),C1909)</f>
        <v>8720</v>
      </c>
      <c r="G1909" s="0" t="n">
        <f aca="false">VLOOKUP(E1909,'MSA-Lookup'!$AA$1:$AB$25,2)</f>
        <v>7320</v>
      </c>
      <c r="H1909" s="0" t="n">
        <f aca="false">IF(C1909&gt;1,IF(C1909&lt;99,VLOOKUP(F1909,'MSA-Lookup'!$AA$1:$AB$25,2),C1909),C1909)</f>
        <v>7362</v>
      </c>
    </row>
    <row r="1910" customFormat="false" ht="12.75" hidden="false" customHeight="false" outlineLevel="0" collapsed="false">
      <c r="A1910" s="0" t="n">
        <f aca="false">B1910*1000+C1910</f>
        <v>34010</v>
      </c>
      <c r="B1910" s="0" t="n">
        <v>34</v>
      </c>
      <c r="C1910" s="0" t="n">
        <v>10</v>
      </c>
      <c r="D1910" s="0" t="n">
        <v>0</v>
      </c>
      <c r="E1910" s="0" t="n">
        <f aca="false">VLOOKUP(B1910,'MSA-Lookup'!$H$2:$I$86,2)</f>
        <v>7320</v>
      </c>
      <c r="F1910" s="0" t="n">
        <f aca="false">IF(C1910&gt;1,IF(C1910&lt;99,VLOOKUP(C1910,'MSA-Lookup'!$H$1:$I$86,2),C1910),C1910)</f>
        <v>6920</v>
      </c>
      <c r="G1910" s="0" t="n">
        <f aca="false">VLOOKUP(E1910,'MSA-Lookup'!$AA$1:$AB$25,2)</f>
        <v>7320</v>
      </c>
      <c r="H1910" s="0" t="n">
        <f aca="false">IF(C1910&gt;1,IF(C1910&lt;99,VLOOKUP(F1910,'MSA-Lookup'!$AA$1:$AB$25,2),C1910),C1910)</f>
        <v>6920</v>
      </c>
    </row>
    <row r="1911" customFormat="false" ht="12.75" hidden="false" customHeight="false" outlineLevel="0" collapsed="false">
      <c r="A1911" s="0" t="n">
        <f aca="false">B1911*1000+C1911</f>
        <v>34011</v>
      </c>
      <c r="B1911" s="0" t="n">
        <v>34</v>
      </c>
      <c r="C1911" s="0" t="n">
        <v>11</v>
      </c>
      <c r="D1911" s="0" t="n">
        <v>0</v>
      </c>
      <c r="E1911" s="0" t="n">
        <f aca="false">VLOOKUP(B1911,'MSA-Lookup'!$H$2:$I$86,2)</f>
        <v>7320</v>
      </c>
      <c r="F1911" s="0" t="n">
        <f aca="false">IF(C1911&gt;1,IF(C1911&lt;99,VLOOKUP(C1911,'MSA-Lookup'!$H$1:$I$86,2),C1911),C1911)</f>
        <v>6920</v>
      </c>
      <c r="G1911" s="0" t="n">
        <f aca="false">VLOOKUP(E1911,'MSA-Lookup'!$AA$1:$AB$25,2)</f>
        <v>7320</v>
      </c>
      <c r="H1911" s="0" t="n">
        <f aca="false">IF(C1911&gt;1,IF(C1911&lt;99,VLOOKUP(F1911,'MSA-Lookup'!$AA$1:$AB$25,2),C1911),C1911)</f>
        <v>6920</v>
      </c>
    </row>
    <row r="1912" customFormat="false" ht="12.75" hidden="false" customHeight="false" outlineLevel="0" collapsed="false">
      <c r="A1912" s="0" t="n">
        <f aca="false">B1912*1000+C1912</f>
        <v>34012</v>
      </c>
      <c r="B1912" s="0" t="n">
        <v>34</v>
      </c>
      <c r="C1912" s="0" t="n">
        <v>12</v>
      </c>
      <c r="D1912" s="0" t="n">
        <v>130</v>
      </c>
      <c r="E1912" s="0" t="n">
        <f aca="false">VLOOKUP(B1912,'MSA-Lookup'!$H$2:$I$86,2)</f>
        <v>7320</v>
      </c>
      <c r="F1912" s="0" t="n">
        <f aca="false">IF(C1912&gt;1,IF(C1912&lt;99,VLOOKUP(C1912,'MSA-Lookup'!$H$1:$I$86,2),C1912),C1912)</f>
        <v>6920</v>
      </c>
      <c r="G1912" s="0" t="n">
        <f aca="false">VLOOKUP(E1912,'MSA-Lookup'!$AA$1:$AB$25,2)</f>
        <v>7320</v>
      </c>
      <c r="H1912" s="0" t="n">
        <f aca="false">IF(C1912&gt;1,IF(C1912&lt;99,VLOOKUP(F1912,'MSA-Lookup'!$AA$1:$AB$25,2),C1912),C1912)</f>
        <v>6920</v>
      </c>
    </row>
    <row r="1913" customFormat="false" ht="12.75" hidden="false" customHeight="false" outlineLevel="0" collapsed="false">
      <c r="A1913" s="0" t="n">
        <f aca="false">B1913*1000+C1913</f>
        <v>34013</v>
      </c>
      <c r="B1913" s="0" t="n">
        <v>34</v>
      </c>
      <c r="C1913" s="0" t="n">
        <v>13</v>
      </c>
      <c r="D1913" s="0" t="n">
        <v>0</v>
      </c>
      <c r="E1913" s="0" t="n">
        <f aca="false">VLOOKUP(B1913,'MSA-Lookup'!$H$2:$I$86,2)</f>
        <v>7320</v>
      </c>
      <c r="F1913" s="0" t="n">
        <f aca="false">IF(C1913&gt;1,IF(C1913&lt;99,VLOOKUP(C1913,'MSA-Lookup'!$H$1:$I$86,2),C1913),C1913)</f>
        <v>7500</v>
      </c>
      <c r="G1913" s="0" t="n">
        <f aca="false">VLOOKUP(E1913,'MSA-Lookup'!$AA$1:$AB$25,2)</f>
        <v>7320</v>
      </c>
      <c r="H1913" s="0" t="n">
        <f aca="false">IF(C1913&gt;1,IF(C1913&lt;99,VLOOKUP(F1913,'MSA-Lookup'!$AA$1:$AB$25,2),C1913),C1913)</f>
        <v>7362</v>
      </c>
    </row>
    <row r="1914" customFormat="false" ht="12.75" hidden="false" customHeight="false" outlineLevel="0" collapsed="false">
      <c r="A1914" s="0" t="n">
        <f aca="false">B1914*1000+C1914</f>
        <v>34014</v>
      </c>
      <c r="B1914" s="0" t="n">
        <v>34</v>
      </c>
      <c r="C1914" s="0" t="n">
        <v>14</v>
      </c>
      <c r="D1914" s="0" t="n">
        <v>91</v>
      </c>
      <c r="E1914" s="0" t="n">
        <f aca="false">VLOOKUP(B1914,'MSA-Lookup'!$H$2:$I$86,2)</f>
        <v>7320</v>
      </c>
      <c r="F1914" s="0" t="n">
        <f aca="false">IF(C1914&gt;1,IF(C1914&lt;99,VLOOKUP(C1914,'MSA-Lookup'!$H$1:$I$86,2),C1914),C1914)</f>
        <v>7500</v>
      </c>
      <c r="G1914" s="0" t="n">
        <f aca="false">VLOOKUP(E1914,'MSA-Lookup'!$AA$1:$AB$25,2)</f>
        <v>7320</v>
      </c>
      <c r="H1914" s="0" t="n">
        <f aca="false">IF(C1914&gt;1,IF(C1914&lt;99,VLOOKUP(F1914,'MSA-Lookup'!$AA$1:$AB$25,2),C1914),C1914)</f>
        <v>7362</v>
      </c>
    </row>
    <row r="1915" customFormat="false" ht="12.75" hidden="false" customHeight="false" outlineLevel="0" collapsed="false">
      <c r="A1915" s="0" t="n">
        <f aca="false">B1915*1000+C1915</f>
        <v>34015</v>
      </c>
      <c r="B1915" s="0" t="n">
        <v>34</v>
      </c>
      <c r="C1915" s="0" t="n">
        <v>15</v>
      </c>
      <c r="D1915" s="0" t="n">
        <v>0</v>
      </c>
      <c r="E1915" s="0" t="n">
        <f aca="false">VLOOKUP(B1915,'MSA-Lookup'!$H$2:$I$86,2)</f>
        <v>7320</v>
      </c>
      <c r="F1915" s="0" t="n">
        <f aca="false">IF(C1915&gt;1,IF(C1915&lt;99,VLOOKUP(C1915,'MSA-Lookup'!$H$1:$I$86,2),C1915),C1915)</f>
        <v>7360</v>
      </c>
      <c r="G1915" s="0" t="n">
        <f aca="false">VLOOKUP(E1915,'MSA-Lookup'!$AA$1:$AB$25,2)</f>
        <v>7320</v>
      </c>
      <c r="H1915" s="0" t="n">
        <f aca="false">IF(C1915&gt;1,IF(C1915&lt;99,VLOOKUP(F1915,'MSA-Lookup'!$AA$1:$AB$25,2),C1915),C1915)</f>
        <v>7362</v>
      </c>
    </row>
    <row r="1916" customFormat="false" ht="12.75" hidden="false" customHeight="false" outlineLevel="0" collapsed="false">
      <c r="A1916" s="0" t="n">
        <f aca="false">B1916*1000+C1916</f>
        <v>34016</v>
      </c>
      <c r="B1916" s="0" t="n">
        <v>34</v>
      </c>
      <c r="C1916" s="0" t="n">
        <v>16</v>
      </c>
      <c r="D1916" s="0" t="n">
        <v>0</v>
      </c>
      <c r="E1916" s="0" t="n">
        <f aca="false">VLOOKUP(B1916,'MSA-Lookup'!$H$2:$I$86,2)</f>
        <v>7320</v>
      </c>
      <c r="F1916" s="0" t="n">
        <f aca="false">IF(C1916&gt;1,IF(C1916&lt;99,VLOOKUP(C1916,'MSA-Lookup'!$H$1:$I$86,2),C1916),C1916)</f>
        <v>8720</v>
      </c>
      <c r="G1916" s="0" t="n">
        <f aca="false">VLOOKUP(E1916,'MSA-Lookup'!$AA$1:$AB$25,2)</f>
        <v>7320</v>
      </c>
      <c r="H1916" s="0" t="n">
        <f aca="false">IF(C1916&gt;1,IF(C1916&lt;99,VLOOKUP(F1916,'MSA-Lookup'!$AA$1:$AB$25,2),C1916),C1916)</f>
        <v>7362</v>
      </c>
    </row>
    <row r="1917" customFormat="false" ht="12.75" hidden="false" customHeight="false" outlineLevel="0" collapsed="false">
      <c r="A1917" s="0" t="n">
        <f aca="false">B1917*1000+C1917</f>
        <v>34017</v>
      </c>
      <c r="B1917" s="0" t="n">
        <v>34</v>
      </c>
      <c r="C1917" s="0" t="n">
        <v>17</v>
      </c>
      <c r="D1917" s="0" t="n">
        <v>0</v>
      </c>
      <c r="E1917" s="0" t="n">
        <f aca="false">VLOOKUP(B1917,'MSA-Lookup'!$H$2:$I$86,2)</f>
        <v>7320</v>
      </c>
      <c r="F1917" s="0" t="n">
        <f aca="false">IF(C1917&gt;1,IF(C1917&lt;99,VLOOKUP(C1917,'MSA-Lookup'!$H$1:$I$86,2),C1917),C1917)</f>
        <v>5775</v>
      </c>
      <c r="G1917" s="0" t="n">
        <f aca="false">VLOOKUP(E1917,'MSA-Lookup'!$AA$1:$AB$25,2)</f>
        <v>7320</v>
      </c>
      <c r="H1917" s="0" t="n">
        <f aca="false">IF(C1917&gt;1,IF(C1917&lt;99,VLOOKUP(F1917,'MSA-Lookup'!$AA$1:$AB$25,2),C1917),C1917)</f>
        <v>7362</v>
      </c>
    </row>
    <row r="1918" customFormat="false" ht="12.75" hidden="false" customHeight="false" outlineLevel="0" collapsed="false">
      <c r="A1918" s="0" t="n">
        <f aca="false">B1918*1000+C1918</f>
        <v>34018</v>
      </c>
      <c r="B1918" s="0" t="n">
        <v>34</v>
      </c>
      <c r="C1918" s="0" t="n">
        <v>18</v>
      </c>
      <c r="D1918" s="0" t="n">
        <v>0</v>
      </c>
      <c r="E1918" s="0" t="n">
        <f aca="false">VLOOKUP(B1918,'MSA-Lookup'!$H$2:$I$86,2)</f>
        <v>7320</v>
      </c>
      <c r="F1918" s="0" t="n">
        <f aca="false">IF(C1918&gt;1,IF(C1918&lt;99,VLOOKUP(C1918,'MSA-Lookup'!$H$1:$I$86,2),C1918),C1918)</f>
        <v>5775</v>
      </c>
      <c r="G1918" s="0" t="n">
        <f aca="false">VLOOKUP(E1918,'MSA-Lookup'!$AA$1:$AB$25,2)</f>
        <v>7320</v>
      </c>
      <c r="H1918" s="0" t="n">
        <f aca="false">IF(C1918&gt;1,IF(C1918&lt;99,VLOOKUP(F1918,'MSA-Lookup'!$AA$1:$AB$25,2),C1918),C1918)</f>
        <v>7362</v>
      </c>
    </row>
    <row r="1919" customFormat="false" ht="12.75" hidden="false" customHeight="false" outlineLevel="0" collapsed="false">
      <c r="A1919" s="0" t="n">
        <f aca="false">B1919*1000+C1919</f>
        <v>34019</v>
      </c>
      <c r="B1919" s="0" t="n">
        <v>34</v>
      </c>
      <c r="C1919" s="0" t="n">
        <v>19</v>
      </c>
      <c r="D1919" s="0" t="n">
        <v>169</v>
      </c>
      <c r="E1919" s="0" t="n">
        <f aca="false">VLOOKUP(B1919,'MSA-Lookup'!$H$2:$I$86,2)</f>
        <v>7320</v>
      </c>
      <c r="F1919" s="0" t="n">
        <f aca="false">IF(C1919&gt;1,IF(C1919&lt;99,VLOOKUP(C1919,'MSA-Lookup'!$H$1:$I$86,2),C1919),C1919)</f>
        <v>7360</v>
      </c>
      <c r="G1919" s="0" t="n">
        <f aca="false">VLOOKUP(E1919,'MSA-Lookup'!$AA$1:$AB$25,2)</f>
        <v>7320</v>
      </c>
      <c r="H1919" s="0" t="n">
        <f aca="false">IF(C1919&gt;1,IF(C1919&lt;99,VLOOKUP(F1919,'MSA-Lookup'!$AA$1:$AB$25,2),C1919),C1919)</f>
        <v>7362</v>
      </c>
    </row>
    <row r="1920" customFormat="false" ht="12.75" hidden="false" customHeight="false" outlineLevel="0" collapsed="false">
      <c r="A1920" s="0" t="n">
        <f aca="false">B1920*1000+C1920</f>
        <v>34020</v>
      </c>
      <c r="B1920" s="0" t="n">
        <v>34</v>
      </c>
      <c r="C1920" s="0" t="n">
        <v>20</v>
      </c>
      <c r="D1920" s="0" t="n">
        <v>0</v>
      </c>
      <c r="E1920" s="0" t="n">
        <f aca="false">VLOOKUP(B1920,'MSA-Lookup'!$H$2:$I$86,2)</f>
        <v>7320</v>
      </c>
      <c r="F1920" s="0" t="n">
        <f aca="false">IF(C1920&gt;1,IF(C1920&lt;99,VLOOKUP(C1920,'MSA-Lookup'!$H$1:$I$86,2),C1920),C1920)</f>
        <v>5775</v>
      </c>
      <c r="G1920" s="0" t="n">
        <f aca="false">VLOOKUP(E1920,'MSA-Lookup'!$AA$1:$AB$25,2)</f>
        <v>7320</v>
      </c>
      <c r="H1920" s="0" t="n">
        <f aca="false">IF(C1920&gt;1,IF(C1920&lt;99,VLOOKUP(F1920,'MSA-Lookup'!$AA$1:$AB$25,2),C1920),C1920)</f>
        <v>7362</v>
      </c>
    </row>
    <row r="1921" customFormat="false" ht="12.75" hidden="false" customHeight="false" outlineLevel="0" collapsed="false">
      <c r="A1921" s="0" t="n">
        <f aca="false">B1921*1000+C1921</f>
        <v>34021</v>
      </c>
      <c r="B1921" s="0" t="n">
        <v>34</v>
      </c>
      <c r="C1921" s="0" t="n">
        <v>21</v>
      </c>
      <c r="D1921" s="0" t="n">
        <v>117</v>
      </c>
      <c r="E1921" s="0" t="n">
        <f aca="false">VLOOKUP(B1921,'MSA-Lookup'!$H$2:$I$86,2)</f>
        <v>7320</v>
      </c>
      <c r="F1921" s="0" t="n">
        <f aca="false">IF(C1921&gt;1,IF(C1921&lt;99,VLOOKUP(C1921,'MSA-Lookup'!$H$1:$I$86,2),C1921),C1921)</f>
        <v>5775</v>
      </c>
      <c r="G1921" s="0" t="n">
        <f aca="false">VLOOKUP(E1921,'MSA-Lookup'!$AA$1:$AB$25,2)</f>
        <v>7320</v>
      </c>
      <c r="H1921" s="0" t="n">
        <f aca="false">IF(C1921&gt;1,IF(C1921&lt;99,VLOOKUP(F1921,'MSA-Lookup'!$AA$1:$AB$25,2),C1921),C1921)</f>
        <v>7362</v>
      </c>
    </row>
    <row r="1922" customFormat="false" ht="12.75" hidden="false" customHeight="false" outlineLevel="0" collapsed="false">
      <c r="A1922" s="0" t="n">
        <f aca="false">B1922*1000+C1922</f>
        <v>34022</v>
      </c>
      <c r="B1922" s="0" t="n">
        <v>34</v>
      </c>
      <c r="C1922" s="0" t="n">
        <v>22</v>
      </c>
      <c r="D1922" s="0" t="n">
        <v>0</v>
      </c>
      <c r="E1922" s="0" t="n">
        <f aca="false">VLOOKUP(B1922,'MSA-Lookup'!$H$2:$I$86,2)</f>
        <v>7320</v>
      </c>
      <c r="F1922" s="0" t="n">
        <f aca="false">IF(C1922&gt;1,IF(C1922&lt;99,VLOOKUP(C1922,'MSA-Lookup'!$H$1:$I$86,2),C1922),C1922)</f>
        <v>7360</v>
      </c>
      <c r="G1922" s="0" t="n">
        <f aca="false">VLOOKUP(E1922,'MSA-Lookup'!$AA$1:$AB$25,2)</f>
        <v>7320</v>
      </c>
      <c r="H1922" s="0" t="n">
        <f aca="false">IF(C1922&gt;1,IF(C1922&lt;99,VLOOKUP(F1922,'MSA-Lookup'!$AA$1:$AB$25,2),C1922),C1922)</f>
        <v>7362</v>
      </c>
    </row>
    <row r="1923" customFormat="false" ht="12.75" hidden="false" customHeight="false" outlineLevel="0" collapsed="false">
      <c r="A1923" s="0" t="n">
        <f aca="false">B1923*1000+C1923</f>
        <v>34023</v>
      </c>
      <c r="B1923" s="0" t="n">
        <v>34</v>
      </c>
      <c r="C1923" s="0" t="n">
        <v>23</v>
      </c>
      <c r="D1923" s="0" t="n">
        <v>78</v>
      </c>
      <c r="E1923" s="0" t="n">
        <f aca="false">VLOOKUP(B1923,'MSA-Lookup'!$H$2:$I$86,2)</f>
        <v>7320</v>
      </c>
      <c r="F1923" s="0" t="n">
        <f aca="false">IF(C1923&gt;1,IF(C1923&lt;99,VLOOKUP(C1923,'MSA-Lookup'!$H$1:$I$86,2),C1923),C1923)</f>
        <v>8120</v>
      </c>
      <c r="G1923" s="0" t="n">
        <f aca="false">VLOOKUP(E1923,'MSA-Lookup'!$AA$1:$AB$25,2)</f>
        <v>7320</v>
      </c>
      <c r="H1923" s="0" t="n">
        <f aca="false">IF(C1923&gt;1,IF(C1923&lt;99,VLOOKUP(F1923,'MSA-Lookup'!$AA$1:$AB$25,2),C1923),C1923)</f>
        <v>8120</v>
      </c>
    </row>
    <row r="1924" customFormat="false" ht="12.75" hidden="false" customHeight="false" outlineLevel="0" collapsed="false">
      <c r="A1924" s="0" t="n">
        <f aca="false">B1924*1000+C1924</f>
        <v>34024</v>
      </c>
      <c r="B1924" s="0" t="n">
        <v>34</v>
      </c>
      <c r="C1924" s="0" t="n">
        <v>24</v>
      </c>
      <c r="D1924" s="0" t="n">
        <v>0</v>
      </c>
      <c r="E1924" s="0" t="n">
        <f aca="false">VLOOKUP(B1924,'MSA-Lookup'!$H$2:$I$86,2)</f>
        <v>7320</v>
      </c>
      <c r="F1924" s="0" t="n">
        <f aca="false">IF(C1924&gt;1,IF(C1924&lt;99,VLOOKUP(C1924,'MSA-Lookup'!$H$1:$I$86,2),C1924),C1924)</f>
        <v>5170</v>
      </c>
      <c r="G1924" s="0" t="n">
        <f aca="false">VLOOKUP(E1924,'MSA-Lookup'!$AA$1:$AB$25,2)</f>
        <v>7320</v>
      </c>
      <c r="H1924" s="0" t="n">
        <f aca="false">IF(C1924&gt;1,IF(C1924&lt;99,VLOOKUP(F1924,'MSA-Lookup'!$AA$1:$AB$25,2),C1924),C1924)</f>
        <v>5170</v>
      </c>
    </row>
    <row r="1925" customFormat="false" ht="12.75" hidden="false" customHeight="false" outlineLevel="0" collapsed="false">
      <c r="A1925" s="0" t="n">
        <f aca="false">B1925*1000+C1925</f>
        <v>34025</v>
      </c>
      <c r="B1925" s="0" t="n">
        <v>34</v>
      </c>
      <c r="C1925" s="0" t="n">
        <v>25</v>
      </c>
      <c r="D1925" s="0" t="n">
        <v>0</v>
      </c>
      <c r="E1925" s="0" t="n">
        <f aca="false">VLOOKUP(B1925,'MSA-Lookup'!$H$2:$I$86,2)</f>
        <v>7320</v>
      </c>
      <c r="F1925" s="0" t="n">
        <f aca="false">IF(C1925&gt;1,IF(C1925&lt;99,VLOOKUP(C1925,'MSA-Lookup'!$H$1:$I$86,2),C1925),C1925)</f>
        <v>5170</v>
      </c>
      <c r="G1925" s="0" t="n">
        <f aca="false">VLOOKUP(E1925,'MSA-Lookup'!$AA$1:$AB$25,2)</f>
        <v>7320</v>
      </c>
      <c r="H1925" s="0" t="n">
        <f aca="false">IF(C1925&gt;1,IF(C1925&lt;99,VLOOKUP(F1925,'MSA-Lookup'!$AA$1:$AB$25,2),C1925),C1925)</f>
        <v>5170</v>
      </c>
    </row>
    <row r="1926" customFormat="false" ht="12.75" hidden="false" customHeight="false" outlineLevel="0" collapsed="false">
      <c r="A1926" s="0" t="n">
        <f aca="false">B1926*1000+C1926</f>
        <v>34026</v>
      </c>
      <c r="B1926" s="0" t="n">
        <v>34</v>
      </c>
      <c r="C1926" s="0" t="n">
        <v>26</v>
      </c>
      <c r="D1926" s="0" t="n">
        <v>0</v>
      </c>
      <c r="E1926" s="0" t="n">
        <f aca="false">VLOOKUP(B1926,'MSA-Lookup'!$H$2:$I$86,2)</f>
        <v>7320</v>
      </c>
      <c r="F1926" s="0" t="n">
        <f aca="false">IF(C1926&gt;1,IF(C1926&lt;99,VLOOKUP(C1926,'MSA-Lookup'!$H$1:$I$86,2),C1926),C1926)</f>
        <v>9999</v>
      </c>
      <c r="G1926" s="0" t="n">
        <f aca="false">VLOOKUP(E1926,'MSA-Lookup'!$AA$1:$AB$25,2)</f>
        <v>7320</v>
      </c>
      <c r="H1926" s="0" t="n">
        <f aca="false">IF(C1926&gt;1,IF(C1926&lt;99,VLOOKUP(F1926,'MSA-Lookup'!$AA$1:$AB$25,2),C1926),C1926)</f>
        <v>9999</v>
      </c>
    </row>
    <row r="1927" customFormat="false" ht="12.75" hidden="false" customHeight="false" outlineLevel="0" collapsed="false">
      <c r="A1927" s="0" t="n">
        <f aca="false">B1927*1000+C1927</f>
        <v>34027</v>
      </c>
      <c r="B1927" s="0" t="n">
        <v>34</v>
      </c>
      <c r="C1927" s="0" t="n">
        <v>27</v>
      </c>
      <c r="D1927" s="0" t="n">
        <v>0</v>
      </c>
      <c r="E1927" s="0" t="n">
        <f aca="false">VLOOKUP(B1927,'MSA-Lookup'!$H$2:$I$86,2)</f>
        <v>7320</v>
      </c>
      <c r="F1927" s="0" t="n">
        <f aca="false">IF(C1927&gt;1,IF(C1927&lt;99,VLOOKUP(C1927,'MSA-Lookup'!$H$1:$I$86,2),C1927),C1927)</f>
        <v>9999</v>
      </c>
      <c r="G1927" s="0" t="n">
        <f aca="false">VLOOKUP(E1927,'MSA-Lookup'!$AA$1:$AB$25,2)</f>
        <v>7320</v>
      </c>
      <c r="H1927" s="0" t="n">
        <f aca="false">IF(C1927&gt;1,IF(C1927&lt;99,VLOOKUP(F1927,'MSA-Lookup'!$AA$1:$AB$25,2),C1927),C1927)</f>
        <v>9999</v>
      </c>
    </row>
    <row r="1928" customFormat="false" ht="12.75" hidden="false" customHeight="false" outlineLevel="0" collapsed="false">
      <c r="A1928" s="0" t="n">
        <f aca="false">B1928*1000+C1928</f>
        <v>34028</v>
      </c>
      <c r="B1928" s="0" t="n">
        <v>34</v>
      </c>
      <c r="C1928" s="0" t="n">
        <v>28</v>
      </c>
      <c r="D1928" s="0" t="n">
        <v>0</v>
      </c>
      <c r="E1928" s="0" t="n">
        <f aca="false">VLOOKUP(B1928,'MSA-Lookup'!$H$2:$I$86,2)</f>
        <v>7320</v>
      </c>
      <c r="F1928" s="0" t="n">
        <f aca="false">IF(C1928&gt;1,IF(C1928&lt;99,VLOOKUP(C1928,'MSA-Lookup'!$H$1:$I$86,2),C1928),C1928)</f>
        <v>6920</v>
      </c>
      <c r="G1928" s="0" t="n">
        <f aca="false">VLOOKUP(E1928,'MSA-Lookup'!$AA$1:$AB$25,2)</f>
        <v>7320</v>
      </c>
      <c r="H1928" s="0" t="n">
        <f aca="false">IF(C1928&gt;1,IF(C1928&lt;99,VLOOKUP(F1928,'MSA-Lookup'!$AA$1:$AB$25,2),C1928),C1928)</f>
        <v>6920</v>
      </c>
    </row>
    <row r="1929" customFormat="false" ht="12.75" hidden="false" customHeight="false" outlineLevel="0" collapsed="false">
      <c r="A1929" s="0" t="n">
        <f aca="false">B1929*1000+C1929</f>
        <v>34029</v>
      </c>
      <c r="B1929" s="0" t="n">
        <v>34</v>
      </c>
      <c r="C1929" s="0" t="n">
        <v>29</v>
      </c>
      <c r="D1929" s="0" t="n">
        <v>0</v>
      </c>
      <c r="E1929" s="0" t="n">
        <f aca="false">VLOOKUP(B1929,'MSA-Lookup'!$H$2:$I$86,2)</f>
        <v>7320</v>
      </c>
      <c r="F1929" s="0" t="n">
        <f aca="false">IF(C1929&gt;1,IF(C1929&lt;99,VLOOKUP(C1929,'MSA-Lookup'!$H$1:$I$86,2),C1929),C1929)</f>
        <v>6920</v>
      </c>
      <c r="G1929" s="0" t="n">
        <f aca="false">VLOOKUP(E1929,'MSA-Lookup'!$AA$1:$AB$25,2)</f>
        <v>7320</v>
      </c>
      <c r="H1929" s="0" t="n">
        <f aca="false">IF(C1929&gt;1,IF(C1929&lt;99,VLOOKUP(F1929,'MSA-Lookup'!$AA$1:$AB$25,2),C1929),C1929)</f>
        <v>6920</v>
      </c>
    </row>
    <row r="1930" customFormat="false" ht="12.75" hidden="false" customHeight="false" outlineLevel="0" collapsed="false">
      <c r="A1930" s="0" t="n">
        <f aca="false">B1930*1000+C1930</f>
        <v>34030</v>
      </c>
      <c r="B1930" s="0" t="n">
        <v>34</v>
      </c>
      <c r="C1930" s="0" t="n">
        <v>30</v>
      </c>
      <c r="D1930" s="0" t="n">
        <v>0</v>
      </c>
      <c r="E1930" s="0" t="n">
        <f aca="false">VLOOKUP(B1930,'MSA-Lookup'!$H$2:$I$86,2)</f>
        <v>7320</v>
      </c>
      <c r="F1930" s="0" t="n">
        <f aca="false">IF(C1930&gt;1,IF(C1930&lt;99,VLOOKUP(C1930,'MSA-Lookup'!$H$1:$I$86,2),C1930),C1930)</f>
        <v>4940</v>
      </c>
      <c r="G1930" s="0" t="n">
        <f aca="false">VLOOKUP(E1930,'MSA-Lookup'!$AA$1:$AB$25,2)</f>
        <v>7320</v>
      </c>
      <c r="H1930" s="0" t="n">
        <f aca="false">IF(C1930&gt;1,IF(C1930&lt;99,VLOOKUP(F1930,'MSA-Lookup'!$AA$1:$AB$25,2),C1930),C1930)</f>
        <v>4940</v>
      </c>
    </row>
    <row r="1931" customFormat="false" ht="12.75" hidden="false" customHeight="false" outlineLevel="0" collapsed="false">
      <c r="A1931" s="0" t="n">
        <f aca="false">B1931*1000+C1931</f>
        <v>34031</v>
      </c>
      <c r="B1931" s="0" t="n">
        <v>34</v>
      </c>
      <c r="C1931" s="0" t="n">
        <v>31</v>
      </c>
      <c r="D1931" s="0" t="n">
        <v>0</v>
      </c>
      <c r="E1931" s="0" t="n">
        <f aca="false">VLOOKUP(B1931,'MSA-Lookup'!$H$2:$I$86,2)</f>
        <v>7320</v>
      </c>
      <c r="F1931" s="0" t="n">
        <f aca="false">IF(C1931&gt;1,IF(C1931&lt;99,VLOOKUP(C1931,'MSA-Lookup'!$H$1:$I$86,2),C1931),C1931)</f>
        <v>9999</v>
      </c>
      <c r="G1931" s="0" t="n">
        <f aca="false">VLOOKUP(E1931,'MSA-Lookup'!$AA$1:$AB$25,2)</f>
        <v>7320</v>
      </c>
      <c r="H1931" s="0" t="n">
        <f aca="false">IF(C1931&gt;1,IF(C1931&lt;99,VLOOKUP(F1931,'MSA-Lookup'!$AA$1:$AB$25,2),C1931),C1931)</f>
        <v>9999</v>
      </c>
    </row>
    <row r="1932" customFormat="false" ht="12.75" hidden="false" customHeight="false" outlineLevel="0" collapsed="false">
      <c r="A1932" s="0" t="n">
        <f aca="false">B1932*1000+C1932</f>
        <v>34032</v>
      </c>
      <c r="B1932" s="0" t="n">
        <v>34</v>
      </c>
      <c r="C1932" s="0" t="n">
        <v>32</v>
      </c>
      <c r="D1932" s="0" t="n">
        <v>0</v>
      </c>
      <c r="E1932" s="0" t="n">
        <f aca="false">VLOOKUP(B1932,'MSA-Lookup'!$H$2:$I$86,2)</f>
        <v>7320</v>
      </c>
      <c r="F1932" s="0" t="n">
        <f aca="false">IF(C1932&gt;1,IF(C1932&lt;99,VLOOKUP(C1932,'MSA-Lookup'!$H$1:$I$86,2),C1932),C1932)</f>
        <v>7480</v>
      </c>
      <c r="G1932" s="0" t="n">
        <f aca="false">VLOOKUP(E1932,'MSA-Lookup'!$AA$1:$AB$25,2)</f>
        <v>7320</v>
      </c>
      <c r="H1932" s="0" t="n">
        <f aca="false">IF(C1932&gt;1,IF(C1932&lt;99,VLOOKUP(F1932,'MSA-Lookup'!$AA$1:$AB$25,2),C1932),C1932)</f>
        <v>7480</v>
      </c>
    </row>
    <row r="1933" customFormat="false" ht="12.75" hidden="false" customHeight="false" outlineLevel="0" collapsed="false">
      <c r="A1933" s="0" t="n">
        <f aca="false">B1933*1000+C1933</f>
        <v>34033</v>
      </c>
      <c r="B1933" s="0" t="n">
        <v>34</v>
      </c>
      <c r="C1933" s="0" t="n">
        <v>33</v>
      </c>
      <c r="D1933" s="0" t="n">
        <v>7514</v>
      </c>
      <c r="E1933" s="0" t="n">
        <f aca="false">VLOOKUP(B1933,'MSA-Lookup'!$H$2:$I$86,2)</f>
        <v>7320</v>
      </c>
      <c r="F1933" s="0" t="n">
        <f aca="false">IF(C1933&gt;1,IF(C1933&lt;99,VLOOKUP(C1933,'MSA-Lookup'!$H$1:$I$86,2),C1933),C1933)</f>
        <v>7320</v>
      </c>
      <c r="G1933" s="0" t="n">
        <f aca="false">VLOOKUP(E1933,'MSA-Lookup'!$AA$1:$AB$25,2)</f>
        <v>7320</v>
      </c>
      <c r="H1933" s="0" t="n">
        <f aca="false">IF(C1933&gt;1,IF(C1933&lt;99,VLOOKUP(F1933,'MSA-Lookup'!$AA$1:$AB$25,2),C1933),C1933)</f>
        <v>7320</v>
      </c>
    </row>
    <row r="1934" customFormat="false" ht="12.75" hidden="false" customHeight="false" outlineLevel="0" collapsed="false">
      <c r="A1934" s="0" t="n">
        <f aca="false">B1934*1000+C1934</f>
        <v>34034</v>
      </c>
      <c r="B1934" s="0" t="n">
        <v>34</v>
      </c>
      <c r="C1934" s="0" t="n">
        <v>34</v>
      </c>
      <c r="D1934" s="0" t="n">
        <v>14196</v>
      </c>
      <c r="E1934" s="0" t="n">
        <f aca="false">VLOOKUP(B1934,'MSA-Lookup'!$H$2:$I$86,2)</f>
        <v>7320</v>
      </c>
      <c r="F1934" s="0" t="n">
        <f aca="false">IF(C1934&gt;1,IF(C1934&lt;99,VLOOKUP(C1934,'MSA-Lookup'!$H$1:$I$86,2),C1934),C1934)</f>
        <v>7320</v>
      </c>
      <c r="G1934" s="0" t="n">
        <f aca="false">VLOOKUP(E1934,'MSA-Lookup'!$AA$1:$AB$25,2)</f>
        <v>7320</v>
      </c>
      <c r="H1934" s="0" t="n">
        <f aca="false">IF(C1934&gt;1,IF(C1934&lt;99,VLOOKUP(F1934,'MSA-Lookup'!$AA$1:$AB$25,2),C1934),C1934)</f>
        <v>7320</v>
      </c>
    </row>
    <row r="1935" customFormat="false" ht="12.75" hidden="false" customHeight="false" outlineLevel="0" collapsed="false">
      <c r="A1935" s="0" t="n">
        <f aca="false">B1935*1000+C1935</f>
        <v>34035</v>
      </c>
      <c r="B1935" s="0" t="n">
        <v>34</v>
      </c>
      <c r="C1935" s="0" t="n">
        <v>35</v>
      </c>
      <c r="D1935" s="0" t="n">
        <v>1469</v>
      </c>
      <c r="E1935" s="0" t="n">
        <f aca="false">VLOOKUP(B1935,'MSA-Lookup'!$H$2:$I$86,2)</f>
        <v>7320</v>
      </c>
      <c r="F1935" s="0" t="n">
        <f aca="false">IF(C1935&gt;1,IF(C1935&lt;99,VLOOKUP(C1935,'MSA-Lookup'!$H$1:$I$86,2),C1935),C1935)</f>
        <v>7320</v>
      </c>
      <c r="G1935" s="0" t="n">
        <f aca="false">VLOOKUP(E1935,'MSA-Lookup'!$AA$1:$AB$25,2)</f>
        <v>7320</v>
      </c>
      <c r="H1935" s="0" t="n">
        <f aca="false">IF(C1935&gt;1,IF(C1935&lt;99,VLOOKUP(F1935,'MSA-Lookup'!$AA$1:$AB$25,2),C1935),C1935)</f>
        <v>7320</v>
      </c>
    </row>
    <row r="1936" customFormat="false" ht="12.75" hidden="false" customHeight="false" outlineLevel="0" collapsed="false">
      <c r="A1936" s="0" t="n">
        <f aca="false">B1936*1000+C1936</f>
        <v>34036</v>
      </c>
      <c r="B1936" s="0" t="n">
        <v>34</v>
      </c>
      <c r="C1936" s="0" t="n">
        <v>36</v>
      </c>
      <c r="D1936" s="0" t="n">
        <v>0</v>
      </c>
      <c r="E1936" s="0" t="n">
        <f aca="false">VLOOKUP(B1936,'MSA-Lookup'!$H$2:$I$86,2)</f>
        <v>7320</v>
      </c>
      <c r="F1936" s="0" t="n">
        <f aca="false">IF(C1936&gt;1,IF(C1936&lt;99,VLOOKUP(C1936,'MSA-Lookup'!$H$1:$I$86,2),C1936),C1936)</f>
        <v>7320</v>
      </c>
      <c r="G1936" s="0" t="n">
        <f aca="false">VLOOKUP(E1936,'MSA-Lookup'!$AA$1:$AB$25,2)</f>
        <v>7320</v>
      </c>
      <c r="H1936" s="0" t="n">
        <f aca="false">IF(C1936&gt;1,IF(C1936&lt;99,VLOOKUP(F1936,'MSA-Lookup'!$AA$1:$AB$25,2),C1936),C1936)</f>
        <v>7320</v>
      </c>
    </row>
    <row r="1937" customFormat="false" ht="12.75" hidden="false" customHeight="false" outlineLevel="0" collapsed="false">
      <c r="A1937" s="0" t="n">
        <f aca="false">B1937*1000+C1937</f>
        <v>34037</v>
      </c>
      <c r="B1937" s="0" t="n">
        <v>34</v>
      </c>
      <c r="C1937" s="0" t="n">
        <v>37</v>
      </c>
      <c r="D1937" s="0" t="n">
        <v>24934</v>
      </c>
      <c r="E1937" s="0" t="n">
        <f aca="false">VLOOKUP(B1937,'MSA-Lookup'!$H$2:$I$86,2)</f>
        <v>7320</v>
      </c>
      <c r="F1937" s="0" t="n">
        <f aca="false">IF(C1937&gt;1,IF(C1937&lt;99,VLOOKUP(C1937,'MSA-Lookup'!$H$1:$I$86,2),C1937),C1937)</f>
        <v>7320</v>
      </c>
      <c r="G1937" s="0" t="n">
        <f aca="false">VLOOKUP(E1937,'MSA-Lookup'!$AA$1:$AB$25,2)</f>
        <v>7320</v>
      </c>
      <c r="H1937" s="0" t="n">
        <f aca="false">IF(C1937&gt;1,IF(C1937&lt;99,VLOOKUP(F1937,'MSA-Lookup'!$AA$1:$AB$25,2),C1937),C1937)</f>
        <v>7320</v>
      </c>
    </row>
    <row r="1938" customFormat="false" ht="12.75" hidden="false" customHeight="false" outlineLevel="0" collapsed="false">
      <c r="A1938" s="0" t="n">
        <f aca="false">B1938*1000+C1938</f>
        <v>34038</v>
      </c>
      <c r="B1938" s="0" t="n">
        <v>34</v>
      </c>
      <c r="C1938" s="0" t="n">
        <v>38</v>
      </c>
      <c r="D1938" s="0" t="n">
        <v>0</v>
      </c>
      <c r="E1938" s="0" t="n">
        <f aca="false">VLOOKUP(B1938,'MSA-Lookup'!$H$2:$I$86,2)</f>
        <v>7320</v>
      </c>
      <c r="F1938" s="0" t="n">
        <f aca="false">IF(C1938&gt;1,IF(C1938&lt;99,VLOOKUP(C1938,'MSA-Lookup'!$H$1:$I$86,2),C1938),C1938)</f>
        <v>7120</v>
      </c>
      <c r="G1938" s="0" t="n">
        <f aca="false">VLOOKUP(E1938,'MSA-Lookup'!$AA$1:$AB$25,2)</f>
        <v>7320</v>
      </c>
      <c r="H1938" s="0" t="n">
        <f aca="false">IF(C1938&gt;1,IF(C1938&lt;99,VLOOKUP(F1938,'MSA-Lookup'!$AA$1:$AB$25,2),C1938),C1938)</f>
        <v>7120</v>
      </c>
    </row>
    <row r="1939" customFormat="false" ht="12.75" hidden="false" customHeight="false" outlineLevel="0" collapsed="false">
      <c r="A1939" s="0" t="n">
        <f aca="false">B1939*1000+C1939</f>
        <v>34039</v>
      </c>
      <c r="B1939" s="0" t="n">
        <v>34</v>
      </c>
      <c r="C1939" s="0" t="n">
        <v>39</v>
      </c>
      <c r="D1939" s="0" t="n">
        <v>0</v>
      </c>
      <c r="E1939" s="0" t="n">
        <f aca="false">VLOOKUP(B1939,'MSA-Lookup'!$H$2:$I$86,2)</f>
        <v>7320</v>
      </c>
      <c r="F1939" s="0" t="n">
        <f aca="false">IF(C1939&gt;1,IF(C1939&lt;99,VLOOKUP(C1939,'MSA-Lookup'!$H$1:$I$86,2),C1939),C1939)</f>
        <v>7120</v>
      </c>
      <c r="G1939" s="0" t="n">
        <f aca="false">VLOOKUP(E1939,'MSA-Lookup'!$AA$1:$AB$25,2)</f>
        <v>7320</v>
      </c>
      <c r="H1939" s="0" t="n">
        <f aca="false">IF(C1939&gt;1,IF(C1939&lt;99,VLOOKUP(F1939,'MSA-Lookup'!$AA$1:$AB$25,2),C1939),C1939)</f>
        <v>7120</v>
      </c>
    </row>
    <row r="1940" customFormat="false" ht="12.75" hidden="false" customHeight="false" outlineLevel="0" collapsed="false">
      <c r="A1940" s="0" t="n">
        <f aca="false">B1940*1000+C1940</f>
        <v>34040</v>
      </c>
      <c r="B1940" s="0" t="n">
        <v>34</v>
      </c>
      <c r="C1940" s="0" t="n">
        <v>40</v>
      </c>
      <c r="D1940" s="0" t="n">
        <v>0</v>
      </c>
      <c r="E1940" s="0" t="n">
        <f aca="false">VLOOKUP(B1940,'MSA-Lookup'!$H$2:$I$86,2)</f>
        <v>7320</v>
      </c>
      <c r="F1940" s="0" t="n">
        <f aca="false">IF(C1940&gt;1,IF(C1940&lt;99,VLOOKUP(C1940,'MSA-Lookup'!$H$1:$I$86,2),C1940),C1940)</f>
        <v>2840</v>
      </c>
      <c r="G1940" s="0" t="n">
        <f aca="false">VLOOKUP(E1940,'MSA-Lookup'!$AA$1:$AB$25,2)</f>
        <v>7320</v>
      </c>
      <c r="H1940" s="0" t="n">
        <f aca="false">IF(C1940&gt;1,IF(C1940&lt;99,VLOOKUP(F1940,'MSA-Lookup'!$AA$1:$AB$25,2),C1940),C1940)</f>
        <v>2840</v>
      </c>
    </row>
    <row r="1941" customFormat="false" ht="12.75" hidden="false" customHeight="false" outlineLevel="0" collapsed="false">
      <c r="A1941" s="0" t="n">
        <f aca="false">B1941*1000+C1941</f>
        <v>34041</v>
      </c>
      <c r="B1941" s="0" t="n">
        <v>34</v>
      </c>
      <c r="C1941" s="0" t="n">
        <v>41</v>
      </c>
      <c r="D1941" s="0" t="n">
        <v>0</v>
      </c>
      <c r="E1941" s="0" t="n">
        <f aca="false">VLOOKUP(B1941,'MSA-Lookup'!$H$2:$I$86,2)</f>
        <v>7320</v>
      </c>
      <c r="F1941" s="0" t="n">
        <f aca="false">IF(C1941&gt;1,IF(C1941&lt;99,VLOOKUP(C1941,'MSA-Lookup'!$H$1:$I$86,2),C1941),C1941)</f>
        <v>2840</v>
      </c>
      <c r="G1941" s="0" t="n">
        <f aca="false">VLOOKUP(E1941,'MSA-Lookup'!$AA$1:$AB$25,2)</f>
        <v>7320</v>
      </c>
      <c r="H1941" s="0" t="n">
        <f aca="false">IF(C1941&gt;1,IF(C1941&lt;99,VLOOKUP(F1941,'MSA-Lookup'!$AA$1:$AB$25,2),C1941),C1941)</f>
        <v>2840</v>
      </c>
    </row>
    <row r="1942" customFormat="false" ht="12.75" hidden="false" customHeight="false" outlineLevel="0" collapsed="false">
      <c r="A1942" s="0" t="n">
        <f aca="false">B1942*1000+C1942</f>
        <v>34042</v>
      </c>
      <c r="B1942" s="0" t="n">
        <v>34</v>
      </c>
      <c r="C1942" s="0" t="n">
        <v>42</v>
      </c>
      <c r="D1942" s="0" t="n">
        <v>273</v>
      </c>
      <c r="E1942" s="0" t="n">
        <f aca="false">VLOOKUP(B1942,'MSA-Lookup'!$H$2:$I$86,2)</f>
        <v>7320</v>
      </c>
      <c r="F1942" s="0" t="n">
        <f aca="false">IF(C1942&gt;1,IF(C1942&lt;99,VLOOKUP(C1942,'MSA-Lookup'!$H$1:$I$86,2),C1942),C1942)</f>
        <v>360</v>
      </c>
      <c r="G1942" s="0" t="n">
        <f aca="false">VLOOKUP(E1942,'MSA-Lookup'!$AA$1:$AB$25,2)</f>
        <v>7320</v>
      </c>
      <c r="H1942" s="0" t="n">
        <f aca="false">IF(C1942&gt;1,IF(C1942&lt;99,VLOOKUP(F1942,'MSA-Lookup'!$AA$1:$AB$25,2),C1942),C1942)</f>
        <v>4472</v>
      </c>
    </row>
    <row r="1943" customFormat="false" ht="12.75" hidden="false" customHeight="false" outlineLevel="0" collapsed="false">
      <c r="A1943" s="0" t="n">
        <f aca="false">B1943*1000+C1943</f>
        <v>34043</v>
      </c>
      <c r="B1943" s="0" t="n">
        <v>34</v>
      </c>
      <c r="C1943" s="0" t="n">
        <v>43</v>
      </c>
      <c r="D1943" s="0" t="n">
        <v>1261</v>
      </c>
      <c r="E1943" s="0" t="n">
        <f aca="false">VLOOKUP(B1943,'MSA-Lookup'!$H$2:$I$86,2)</f>
        <v>7320</v>
      </c>
      <c r="F1943" s="0" t="n">
        <f aca="false">IF(C1943&gt;1,IF(C1943&lt;99,VLOOKUP(C1943,'MSA-Lookup'!$H$1:$I$86,2),C1943),C1943)</f>
        <v>360</v>
      </c>
      <c r="G1943" s="0" t="n">
        <f aca="false">VLOOKUP(E1943,'MSA-Lookup'!$AA$1:$AB$25,2)</f>
        <v>7320</v>
      </c>
      <c r="H1943" s="0" t="n">
        <f aca="false">IF(C1943&gt;1,IF(C1943&lt;99,VLOOKUP(F1943,'MSA-Lookup'!$AA$1:$AB$25,2),C1943),C1943)</f>
        <v>4472</v>
      </c>
    </row>
    <row r="1944" customFormat="false" ht="12.75" hidden="false" customHeight="false" outlineLevel="0" collapsed="false">
      <c r="A1944" s="0" t="n">
        <f aca="false">B1944*1000+C1944</f>
        <v>34044</v>
      </c>
      <c r="B1944" s="0" t="n">
        <v>34</v>
      </c>
      <c r="C1944" s="0" t="n">
        <v>44</v>
      </c>
      <c r="D1944" s="0" t="n">
        <v>455</v>
      </c>
      <c r="E1944" s="0" t="n">
        <f aca="false">VLOOKUP(B1944,'MSA-Lookup'!$H$2:$I$86,2)</f>
        <v>7320</v>
      </c>
      <c r="F1944" s="0" t="n">
        <f aca="false">IF(C1944&gt;1,IF(C1944&lt;99,VLOOKUP(C1944,'MSA-Lookup'!$H$1:$I$86,2),C1944),C1944)</f>
        <v>360</v>
      </c>
      <c r="G1944" s="0" t="n">
        <f aca="false">VLOOKUP(E1944,'MSA-Lookup'!$AA$1:$AB$25,2)</f>
        <v>7320</v>
      </c>
      <c r="H1944" s="0" t="n">
        <f aca="false">IF(C1944&gt;1,IF(C1944&lt;99,VLOOKUP(F1944,'MSA-Lookup'!$AA$1:$AB$25,2),C1944),C1944)</f>
        <v>4472</v>
      </c>
    </row>
    <row r="1945" customFormat="false" ht="12.75" hidden="false" customHeight="false" outlineLevel="0" collapsed="false">
      <c r="A1945" s="0" t="n">
        <f aca="false">B1945*1000+C1945</f>
        <v>34045</v>
      </c>
      <c r="B1945" s="0" t="n">
        <v>34</v>
      </c>
      <c r="C1945" s="0" t="n">
        <v>45</v>
      </c>
      <c r="D1945" s="0" t="n">
        <v>325</v>
      </c>
      <c r="E1945" s="0" t="n">
        <f aca="false">VLOOKUP(B1945,'MSA-Lookup'!$H$2:$I$86,2)</f>
        <v>7320</v>
      </c>
      <c r="F1945" s="0" t="n">
        <f aca="false">IF(C1945&gt;1,IF(C1945&lt;99,VLOOKUP(C1945,'MSA-Lookup'!$H$1:$I$86,2),C1945),C1945)</f>
        <v>360</v>
      </c>
      <c r="G1945" s="0" t="n">
        <f aca="false">VLOOKUP(E1945,'MSA-Lookup'!$AA$1:$AB$25,2)</f>
        <v>7320</v>
      </c>
      <c r="H1945" s="0" t="n">
        <f aca="false">IF(C1945&gt;1,IF(C1945&lt;99,VLOOKUP(F1945,'MSA-Lookup'!$AA$1:$AB$25,2),C1945),C1945)</f>
        <v>4472</v>
      </c>
    </row>
    <row r="1946" customFormat="false" ht="12.75" hidden="false" customHeight="false" outlineLevel="0" collapsed="false">
      <c r="A1946" s="0" t="n">
        <f aca="false">B1946*1000+C1946</f>
        <v>34046</v>
      </c>
      <c r="B1946" s="0" t="n">
        <v>34</v>
      </c>
      <c r="C1946" s="0" t="n">
        <v>46</v>
      </c>
      <c r="D1946" s="0" t="n">
        <v>130</v>
      </c>
      <c r="E1946" s="0" t="n">
        <f aca="false">VLOOKUP(B1946,'MSA-Lookup'!$H$2:$I$86,2)</f>
        <v>7320</v>
      </c>
      <c r="F1946" s="0" t="n">
        <f aca="false">IF(C1946&gt;1,IF(C1946&lt;99,VLOOKUP(C1946,'MSA-Lookup'!$H$1:$I$86,2),C1946),C1946)</f>
        <v>360</v>
      </c>
      <c r="G1946" s="0" t="n">
        <f aca="false">VLOOKUP(E1946,'MSA-Lookup'!$AA$1:$AB$25,2)</f>
        <v>7320</v>
      </c>
      <c r="H1946" s="0" t="n">
        <f aca="false">IF(C1946&gt;1,IF(C1946&lt;99,VLOOKUP(F1946,'MSA-Lookup'!$AA$1:$AB$25,2),C1946),C1946)</f>
        <v>4472</v>
      </c>
    </row>
    <row r="1947" customFormat="false" ht="12.75" hidden="false" customHeight="false" outlineLevel="0" collapsed="false">
      <c r="A1947" s="0" t="n">
        <f aca="false">B1947*1000+C1947</f>
        <v>34047</v>
      </c>
      <c r="B1947" s="0" t="n">
        <v>34</v>
      </c>
      <c r="C1947" s="0" t="n">
        <v>47</v>
      </c>
      <c r="D1947" s="0" t="n">
        <v>104</v>
      </c>
      <c r="E1947" s="0" t="n">
        <f aca="false">VLOOKUP(B1947,'MSA-Lookup'!$H$2:$I$86,2)</f>
        <v>7320</v>
      </c>
      <c r="F1947" s="0" t="n">
        <f aca="false">IF(C1947&gt;1,IF(C1947&lt;99,VLOOKUP(C1947,'MSA-Lookup'!$H$1:$I$86,2),C1947),C1947)</f>
        <v>360</v>
      </c>
      <c r="G1947" s="0" t="n">
        <f aca="false">VLOOKUP(E1947,'MSA-Lookup'!$AA$1:$AB$25,2)</f>
        <v>7320</v>
      </c>
      <c r="H1947" s="0" t="n">
        <f aca="false">IF(C1947&gt;1,IF(C1947&lt;99,VLOOKUP(F1947,'MSA-Lookup'!$AA$1:$AB$25,2),C1947),C1947)</f>
        <v>4472</v>
      </c>
    </row>
    <row r="1948" customFormat="false" ht="12.75" hidden="false" customHeight="false" outlineLevel="0" collapsed="false">
      <c r="A1948" s="0" t="n">
        <f aca="false">B1948*1000+C1948</f>
        <v>34048</v>
      </c>
      <c r="B1948" s="0" t="n">
        <v>34</v>
      </c>
      <c r="C1948" s="0" t="n">
        <v>48</v>
      </c>
      <c r="D1948" s="0" t="n">
        <v>689</v>
      </c>
      <c r="E1948" s="0" t="n">
        <f aca="false">VLOOKUP(B1948,'MSA-Lookup'!$H$2:$I$86,2)</f>
        <v>7320</v>
      </c>
      <c r="F1948" s="0" t="n">
        <f aca="false">IF(C1948&gt;1,IF(C1948&lt;99,VLOOKUP(C1948,'MSA-Lookup'!$H$1:$I$86,2),C1948),C1948)</f>
        <v>360</v>
      </c>
      <c r="G1948" s="0" t="n">
        <f aca="false">VLOOKUP(E1948,'MSA-Lookup'!$AA$1:$AB$25,2)</f>
        <v>7320</v>
      </c>
      <c r="H1948" s="0" t="n">
        <f aca="false">IF(C1948&gt;1,IF(C1948&lt;99,VLOOKUP(F1948,'MSA-Lookup'!$AA$1:$AB$25,2),C1948),C1948)</f>
        <v>4472</v>
      </c>
    </row>
    <row r="1949" customFormat="false" ht="12.75" hidden="false" customHeight="false" outlineLevel="0" collapsed="false">
      <c r="A1949" s="0" t="n">
        <f aca="false">B1949*1000+C1949</f>
        <v>34049</v>
      </c>
      <c r="B1949" s="0" t="n">
        <v>34</v>
      </c>
      <c r="C1949" s="0" t="n">
        <v>49</v>
      </c>
      <c r="D1949" s="0" t="n">
        <v>0</v>
      </c>
      <c r="E1949" s="0" t="n">
        <f aca="false">VLOOKUP(B1949,'MSA-Lookup'!$H$2:$I$86,2)</f>
        <v>7320</v>
      </c>
      <c r="F1949" s="0" t="n">
        <f aca="false">IF(C1949&gt;1,IF(C1949&lt;99,VLOOKUP(C1949,'MSA-Lookup'!$H$1:$I$86,2),C1949),C1949)</f>
        <v>7400</v>
      </c>
      <c r="G1949" s="0" t="n">
        <f aca="false">VLOOKUP(E1949,'MSA-Lookup'!$AA$1:$AB$25,2)</f>
        <v>7320</v>
      </c>
      <c r="H1949" s="0" t="n">
        <f aca="false">IF(C1949&gt;1,IF(C1949&lt;99,VLOOKUP(F1949,'MSA-Lookup'!$AA$1:$AB$25,2),C1949),C1949)</f>
        <v>7362</v>
      </c>
    </row>
    <row r="1950" customFormat="false" ht="12.75" hidden="false" customHeight="false" outlineLevel="0" collapsed="false">
      <c r="A1950" s="0" t="n">
        <f aca="false">B1950*1000+C1950</f>
        <v>34050</v>
      </c>
      <c r="B1950" s="0" t="n">
        <v>34</v>
      </c>
      <c r="C1950" s="0" t="n">
        <v>50</v>
      </c>
      <c r="D1950" s="0" t="n">
        <v>0</v>
      </c>
      <c r="E1950" s="0" t="n">
        <f aca="false">VLOOKUP(B1950,'MSA-Lookup'!$H$2:$I$86,2)</f>
        <v>7320</v>
      </c>
      <c r="F1950" s="0" t="n">
        <f aca="false">IF(C1950&gt;1,IF(C1950&lt;99,VLOOKUP(C1950,'MSA-Lookup'!$H$1:$I$86,2),C1950),C1950)</f>
        <v>7400</v>
      </c>
      <c r="G1950" s="0" t="n">
        <f aca="false">VLOOKUP(E1950,'MSA-Lookup'!$AA$1:$AB$25,2)</f>
        <v>7320</v>
      </c>
      <c r="H1950" s="0" t="n">
        <f aca="false">IF(C1950&gt;1,IF(C1950&lt;99,VLOOKUP(F1950,'MSA-Lookup'!$AA$1:$AB$25,2),C1950),C1950)</f>
        <v>7362</v>
      </c>
    </row>
    <row r="1951" customFormat="false" ht="12.75" hidden="false" customHeight="false" outlineLevel="0" collapsed="false">
      <c r="A1951" s="0" t="n">
        <f aca="false">B1951*1000+C1951</f>
        <v>34051</v>
      </c>
      <c r="B1951" s="0" t="n">
        <v>34</v>
      </c>
      <c r="C1951" s="0" t="n">
        <v>51</v>
      </c>
      <c r="D1951" s="0" t="n">
        <v>0</v>
      </c>
      <c r="E1951" s="0" t="n">
        <f aca="false">VLOOKUP(B1951,'MSA-Lookup'!$H$2:$I$86,2)</f>
        <v>7320</v>
      </c>
      <c r="F1951" s="0" t="n">
        <f aca="false">IF(C1951&gt;1,IF(C1951&lt;99,VLOOKUP(C1951,'MSA-Lookup'!$H$1:$I$86,2),C1951),C1951)</f>
        <v>7400</v>
      </c>
      <c r="G1951" s="0" t="n">
        <f aca="false">VLOOKUP(E1951,'MSA-Lookup'!$AA$1:$AB$25,2)</f>
        <v>7320</v>
      </c>
      <c r="H1951" s="0" t="n">
        <f aca="false">IF(C1951&gt;1,IF(C1951&lt;99,VLOOKUP(F1951,'MSA-Lookup'!$AA$1:$AB$25,2),C1951),C1951)</f>
        <v>7362</v>
      </c>
    </row>
    <row r="1952" customFormat="false" ht="12.75" hidden="false" customHeight="false" outlineLevel="0" collapsed="false">
      <c r="A1952" s="0" t="n">
        <f aca="false">B1952*1000+C1952</f>
        <v>34052</v>
      </c>
      <c r="B1952" s="0" t="n">
        <v>34</v>
      </c>
      <c r="C1952" s="0" t="n">
        <v>52</v>
      </c>
      <c r="D1952" s="0" t="n">
        <v>0</v>
      </c>
      <c r="E1952" s="0" t="n">
        <f aca="false">VLOOKUP(B1952,'MSA-Lookup'!$H$2:$I$86,2)</f>
        <v>7320</v>
      </c>
      <c r="F1952" s="0" t="n">
        <f aca="false">IF(C1952&gt;1,IF(C1952&lt;99,VLOOKUP(C1952,'MSA-Lookup'!$H$1:$I$86,2),C1952),C1952)</f>
        <v>4480</v>
      </c>
      <c r="G1952" s="0" t="n">
        <f aca="false">VLOOKUP(E1952,'MSA-Lookup'!$AA$1:$AB$25,2)</f>
        <v>7320</v>
      </c>
      <c r="H1952" s="0" t="n">
        <f aca="false">IF(C1952&gt;1,IF(C1952&lt;99,VLOOKUP(F1952,'MSA-Lookup'!$AA$1:$AB$25,2),C1952),C1952)</f>
        <v>4472</v>
      </c>
    </row>
    <row r="1953" customFormat="false" ht="12.75" hidden="false" customHeight="false" outlineLevel="0" collapsed="false">
      <c r="A1953" s="0" t="n">
        <f aca="false">B1953*1000+C1953</f>
        <v>34053</v>
      </c>
      <c r="B1953" s="0" t="n">
        <v>34</v>
      </c>
      <c r="C1953" s="0" t="n">
        <v>53</v>
      </c>
      <c r="D1953" s="0" t="n">
        <v>0</v>
      </c>
      <c r="E1953" s="0" t="n">
        <f aca="false">VLOOKUP(B1953,'MSA-Lookup'!$H$2:$I$86,2)</f>
        <v>7320</v>
      </c>
      <c r="F1953" s="0" t="n">
        <f aca="false">IF(C1953&gt;1,IF(C1953&lt;99,VLOOKUP(C1953,'MSA-Lookup'!$H$1:$I$86,2),C1953),C1953)</f>
        <v>4480</v>
      </c>
      <c r="G1953" s="0" t="n">
        <f aca="false">VLOOKUP(E1953,'MSA-Lookup'!$AA$1:$AB$25,2)</f>
        <v>7320</v>
      </c>
      <c r="H1953" s="0" t="n">
        <f aca="false">IF(C1953&gt;1,IF(C1953&lt;99,VLOOKUP(F1953,'MSA-Lookup'!$AA$1:$AB$25,2),C1953),C1953)</f>
        <v>4472</v>
      </c>
    </row>
    <row r="1954" customFormat="false" ht="12.75" hidden="false" customHeight="false" outlineLevel="0" collapsed="false">
      <c r="A1954" s="0" t="n">
        <f aca="false">B1954*1000+C1954</f>
        <v>34054</v>
      </c>
      <c r="B1954" s="0" t="n">
        <v>34</v>
      </c>
      <c r="C1954" s="0" t="n">
        <v>54</v>
      </c>
      <c r="D1954" s="0" t="n">
        <v>0</v>
      </c>
      <c r="E1954" s="0" t="n">
        <f aca="false">VLOOKUP(B1954,'MSA-Lookup'!$H$2:$I$86,2)</f>
        <v>7320</v>
      </c>
      <c r="F1954" s="0" t="n">
        <f aca="false">IF(C1954&gt;1,IF(C1954&lt;99,VLOOKUP(C1954,'MSA-Lookup'!$H$1:$I$86,2),C1954),C1954)</f>
        <v>4480</v>
      </c>
      <c r="G1954" s="0" t="n">
        <f aca="false">VLOOKUP(E1954,'MSA-Lookup'!$AA$1:$AB$25,2)</f>
        <v>7320</v>
      </c>
      <c r="H1954" s="0" t="n">
        <f aca="false">IF(C1954&gt;1,IF(C1954&lt;99,VLOOKUP(F1954,'MSA-Lookup'!$AA$1:$AB$25,2),C1954),C1954)</f>
        <v>4472</v>
      </c>
    </row>
    <row r="1955" customFormat="false" ht="12.75" hidden="false" customHeight="false" outlineLevel="0" collapsed="false">
      <c r="A1955" s="0" t="n">
        <f aca="false">B1955*1000+C1955</f>
        <v>34055</v>
      </c>
      <c r="B1955" s="0" t="n">
        <v>34</v>
      </c>
      <c r="C1955" s="0" t="n">
        <v>55</v>
      </c>
      <c r="D1955" s="0" t="n">
        <v>0</v>
      </c>
      <c r="E1955" s="0" t="n">
        <f aca="false">VLOOKUP(B1955,'MSA-Lookup'!$H$2:$I$86,2)</f>
        <v>7320</v>
      </c>
      <c r="F1955" s="0" t="n">
        <f aca="false">IF(C1955&gt;1,IF(C1955&lt;99,VLOOKUP(C1955,'MSA-Lookup'!$H$1:$I$86,2),C1955),C1955)</f>
        <v>4480</v>
      </c>
      <c r="G1955" s="0" t="n">
        <f aca="false">VLOOKUP(E1955,'MSA-Lookup'!$AA$1:$AB$25,2)</f>
        <v>7320</v>
      </c>
      <c r="H1955" s="0" t="n">
        <f aca="false">IF(C1955&gt;1,IF(C1955&lt;99,VLOOKUP(F1955,'MSA-Lookup'!$AA$1:$AB$25,2),C1955),C1955)</f>
        <v>4472</v>
      </c>
    </row>
    <row r="1956" customFormat="false" ht="12.75" hidden="false" customHeight="false" outlineLevel="0" collapsed="false">
      <c r="A1956" s="0" t="n">
        <f aca="false">B1956*1000+C1956</f>
        <v>34056</v>
      </c>
      <c r="B1956" s="0" t="n">
        <v>34</v>
      </c>
      <c r="C1956" s="0" t="n">
        <v>56</v>
      </c>
      <c r="D1956" s="0" t="n">
        <v>0</v>
      </c>
      <c r="E1956" s="0" t="n">
        <f aca="false">VLOOKUP(B1956,'MSA-Lookup'!$H$2:$I$86,2)</f>
        <v>7320</v>
      </c>
      <c r="F1956" s="0" t="n">
        <f aca="false">IF(C1956&gt;1,IF(C1956&lt;99,VLOOKUP(C1956,'MSA-Lookup'!$H$1:$I$86,2),C1956),C1956)</f>
        <v>4480</v>
      </c>
      <c r="G1956" s="0" t="n">
        <f aca="false">VLOOKUP(E1956,'MSA-Lookup'!$AA$1:$AB$25,2)</f>
        <v>7320</v>
      </c>
      <c r="H1956" s="0" t="n">
        <f aca="false">IF(C1956&gt;1,IF(C1956&lt;99,VLOOKUP(F1956,'MSA-Lookup'!$AA$1:$AB$25,2),C1956),C1956)</f>
        <v>4472</v>
      </c>
    </row>
    <row r="1957" customFormat="false" ht="12.75" hidden="false" customHeight="false" outlineLevel="0" collapsed="false">
      <c r="A1957" s="0" t="n">
        <f aca="false">B1957*1000+C1957</f>
        <v>34057</v>
      </c>
      <c r="B1957" s="0" t="n">
        <v>34</v>
      </c>
      <c r="C1957" s="0" t="n">
        <v>57</v>
      </c>
      <c r="D1957" s="0" t="n">
        <v>0</v>
      </c>
      <c r="E1957" s="0" t="n">
        <f aca="false">VLOOKUP(B1957,'MSA-Lookup'!$H$2:$I$86,2)</f>
        <v>7320</v>
      </c>
      <c r="F1957" s="0" t="n">
        <f aca="false">IF(C1957&gt;1,IF(C1957&lt;99,VLOOKUP(C1957,'MSA-Lookup'!$H$1:$I$86,2),C1957),C1957)</f>
        <v>4480</v>
      </c>
      <c r="G1957" s="0" t="n">
        <f aca="false">VLOOKUP(E1957,'MSA-Lookup'!$AA$1:$AB$25,2)</f>
        <v>7320</v>
      </c>
      <c r="H1957" s="0" t="n">
        <f aca="false">IF(C1957&gt;1,IF(C1957&lt;99,VLOOKUP(F1957,'MSA-Lookup'!$AA$1:$AB$25,2),C1957),C1957)</f>
        <v>4472</v>
      </c>
    </row>
    <row r="1958" customFormat="false" ht="12.75" hidden="false" customHeight="false" outlineLevel="0" collapsed="false">
      <c r="A1958" s="0" t="n">
        <f aca="false">B1958*1000+C1958</f>
        <v>34059</v>
      </c>
      <c r="B1958" s="0" t="n">
        <v>34</v>
      </c>
      <c r="C1958" s="0" t="n">
        <v>59</v>
      </c>
      <c r="D1958" s="0" t="n">
        <v>0</v>
      </c>
      <c r="E1958" s="0" t="n">
        <f aca="false">VLOOKUP(B1958,'MSA-Lookup'!$H$2:$I$86,2)</f>
        <v>7320</v>
      </c>
      <c r="F1958" s="0" t="n">
        <f aca="false">IF(C1958&gt;1,IF(C1958&lt;99,VLOOKUP(C1958,'MSA-Lookup'!$H$1:$I$86,2),C1958),C1958)</f>
        <v>4480</v>
      </c>
      <c r="G1958" s="0" t="n">
        <f aca="false">VLOOKUP(E1958,'MSA-Lookup'!$AA$1:$AB$25,2)</f>
        <v>7320</v>
      </c>
      <c r="H1958" s="0" t="n">
        <f aca="false">IF(C1958&gt;1,IF(C1958&lt;99,VLOOKUP(F1958,'MSA-Lookup'!$AA$1:$AB$25,2),C1958),C1958)</f>
        <v>4472</v>
      </c>
    </row>
    <row r="1959" customFormat="false" ht="12.75" hidden="false" customHeight="false" outlineLevel="0" collapsed="false">
      <c r="A1959" s="0" t="n">
        <f aca="false">B1959*1000+C1959</f>
        <v>34060</v>
      </c>
      <c r="B1959" s="0" t="n">
        <v>34</v>
      </c>
      <c r="C1959" s="0" t="n">
        <v>60</v>
      </c>
      <c r="D1959" s="0" t="n">
        <v>0</v>
      </c>
      <c r="E1959" s="0" t="n">
        <f aca="false">VLOOKUP(B1959,'MSA-Lookup'!$H$2:$I$86,2)</f>
        <v>7320</v>
      </c>
      <c r="F1959" s="0" t="n">
        <f aca="false">IF(C1959&gt;1,IF(C1959&lt;99,VLOOKUP(C1959,'MSA-Lookup'!$H$1:$I$86,2),C1959),C1959)</f>
        <v>4480</v>
      </c>
      <c r="G1959" s="0" t="n">
        <f aca="false">VLOOKUP(E1959,'MSA-Lookup'!$AA$1:$AB$25,2)</f>
        <v>7320</v>
      </c>
      <c r="H1959" s="0" t="n">
        <f aca="false">IF(C1959&gt;1,IF(C1959&lt;99,VLOOKUP(F1959,'MSA-Lookup'!$AA$1:$AB$25,2),C1959),C1959)</f>
        <v>4472</v>
      </c>
    </row>
    <row r="1960" customFormat="false" ht="12.75" hidden="false" customHeight="false" outlineLevel="0" collapsed="false">
      <c r="A1960" s="0" t="n">
        <f aca="false">B1960*1000+C1960</f>
        <v>34062</v>
      </c>
      <c r="B1960" s="0" t="n">
        <v>34</v>
      </c>
      <c r="C1960" s="0" t="n">
        <v>62</v>
      </c>
      <c r="D1960" s="0" t="n">
        <v>117</v>
      </c>
      <c r="E1960" s="0" t="n">
        <f aca="false">VLOOKUP(B1960,'MSA-Lookup'!$H$2:$I$86,2)</f>
        <v>7320</v>
      </c>
      <c r="F1960" s="0" t="n">
        <f aca="false">IF(C1960&gt;1,IF(C1960&lt;99,VLOOKUP(C1960,'MSA-Lookup'!$H$1:$I$86,2),C1960),C1960)</f>
        <v>4480</v>
      </c>
      <c r="G1960" s="0" t="n">
        <f aca="false">VLOOKUP(E1960,'MSA-Lookup'!$AA$1:$AB$25,2)</f>
        <v>7320</v>
      </c>
      <c r="H1960" s="0" t="n">
        <f aca="false">IF(C1960&gt;1,IF(C1960&lt;99,VLOOKUP(F1960,'MSA-Lookup'!$AA$1:$AB$25,2),C1960),C1960)</f>
        <v>4472</v>
      </c>
    </row>
    <row r="1961" customFormat="false" ht="12.75" hidden="false" customHeight="false" outlineLevel="0" collapsed="false">
      <c r="A1961" s="0" t="n">
        <f aca="false">B1961*1000+C1961</f>
        <v>34063</v>
      </c>
      <c r="B1961" s="0" t="n">
        <v>34</v>
      </c>
      <c r="C1961" s="0" t="n">
        <v>63</v>
      </c>
      <c r="D1961" s="0" t="n">
        <v>0</v>
      </c>
      <c r="E1961" s="0" t="n">
        <f aca="false">VLOOKUP(B1961,'MSA-Lookup'!$H$2:$I$86,2)</f>
        <v>7320</v>
      </c>
      <c r="F1961" s="0" t="n">
        <f aca="false">IF(C1961&gt;1,IF(C1961&lt;99,VLOOKUP(C1961,'MSA-Lookup'!$H$1:$I$86,2),C1961),C1961)</f>
        <v>4480</v>
      </c>
      <c r="G1961" s="0" t="n">
        <f aca="false">VLOOKUP(E1961,'MSA-Lookup'!$AA$1:$AB$25,2)</f>
        <v>7320</v>
      </c>
      <c r="H1961" s="0" t="n">
        <f aca="false">IF(C1961&gt;1,IF(C1961&lt;99,VLOOKUP(F1961,'MSA-Lookup'!$AA$1:$AB$25,2),C1961),C1961)</f>
        <v>4472</v>
      </c>
    </row>
    <row r="1962" customFormat="false" ht="12.75" hidden="false" customHeight="false" outlineLevel="0" collapsed="false">
      <c r="A1962" s="0" t="n">
        <f aca="false">B1962*1000+C1962</f>
        <v>34064</v>
      </c>
      <c r="B1962" s="0" t="n">
        <v>34</v>
      </c>
      <c r="C1962" s="0" t="n">
        <v>64</v>
      </c>
      <c r="D1962" s="0" t="n">
        <v>715</v>
      </c>
      <c r="E1962" s="0" t="n">
        <f aca="false">VLOOKUP(B1962,'MSA-Lookup'!$H$2:$I$86,2)</f>
        <v>7320</v>
      </c>
      <c r="F1962" s="0" t="n">
        <f aca="false">IF(C1962&gt;1,IF(C1962&lt;99,VLOOKUP(C1962,'MSA-Lookup'!$H$1:$I$86,2),C1962),C1962)</f>
        <v>4480</v>
      </c>
      <c r="G1962" s="0" t="n">
        <f aca="false">VLOOKUP(E1962,'MSA-Lookup'!$AA$1:$AB$25,2)</f>
        <v>7320</v>
      </c>
      <c r="H1962" s="0" t="n">
        <f aca="false">IF(C1962&gt;1,IF(C1962&lt;99,VLOOKUP(F1962,'MSA-Lookup'!$AA$1:$AB$25,2),C1962),C1962)</f>
        <v>4472</v>
      </c>
    </row>
    <row r="1963" customFormat="false" ht="12.75" hidden="false" customHeight="false" outlineLevel="0" collapsed="false">
      <c r="A1963" s="0" t="n">
        <f aca="false">B1963*1000+C1963</f>
        <v>34065</v>
      </c>
      <c r="B1963" s="0" t="n">
        <v>34</v>
      </c>
      <c r="C1963" s="0" t="n">
        <v>65</v>
      </c>
      <c r="D1963" s="0" t="n">
        <v>338</v>
      </c>
      <c r="E1963" s="0" t="n">
        <f aca="false">VLOOKUP(B1963,'MSA-Lookup'!$H$2:$I$86,2)</f>
        <v>7320</v>
      </c>
      <c r="F1963" s="0" t="n">
        <f aca="false">IF(C1963&gt;1,IF(C1963&lt;99,VLOOKUP(C1963,'MSA-Lookup'!$H$1:$I$86,2),C1963),C1963)</f>
        <v>4480</v>
      </c>
      <c r="G1963" s="0" t="n">
        <f aca="false">VLOOKUP(E1963,'MSA-Lookup'!$AA$1:$AB$25,2)</f>
        <v>7320</v>
      </c>
      <c r="H1963" s="0" t="n">
        <f aca="false">IF(C1963&gt;1,IF(C1963&lt;99,VLOOKUP(F1963,'MSA-Lookup'!$AA$1:$AB$25,2),C1963),C1963)</f>
        <v>4472</v>
      </c>
    </row>
    <row r="1964" customFormat="false" ht="12.75" hidden="false" customHeight="false" outlineLevel="0" collapsed="false">
      <c r="A1964" s="0" t="n">
        <f aca="false">B1964*1000+C1964</f>
        <v>34066</v>
      </c>
      <c r="B1964" s="0" t="n">
        <v>34</v>
      </c>
      <c r="C1964" s="0" t="n">
        <v>66</v>
      </c>
      <c r="D1964" s="0" t="n">
        <v>0</v>
      </c>
      <c r="E1964" s="0" t="n">
        <f aca="false">VLOOKUP(B1964,'MSA-Lookup'!$H$2:$I$86,2)</f>
        <v>7320</v>
      </c>
      <c r="F1964" s="0" t="n">
        <f aca="false">IF(C1964&gt;1,IF(C1964&lt;99,VLOOKUP(C1964,'MSA-Lookup'!$H$1:$I$86,2),C1964),C1964)</f>
        <v>4480</v>
      </c>
      <c r="G1964" s="0" t="n">
        <f aca="false">VLOOKUP(E1964,'MSA-Lookup'!$AA$1:$AB$25,2)</f>
        <v>7320</v>
      </c>
      <c r="H1964" s="0" t="n">
        <f aca="false">IF(C1964&gt;1,IF(C1964&lt;99,VLOOKUP(F1964,'MSA-Lookup'!$AA$1:$AB$25,2),C1964),C1964)</f>
        <v>4472</v>
      </c>
    </row>
    <row r="1965" customFormat="false" ht="12.75" hidden="false" customHeight="false" outlineLevel="0" collapsed="false">
      <c r="A1965" s="0" t="n">
        <f aca="false">B1965*1000+C1965</f>
        <v>34067</v>
      </c>
      <c r="B1965" s="0" t="n">
        <v>34</v>
      </c>
      <c r="C1965" s="0" t="n">
        <v>67</v>
      </c>
      <c r="D1965" s="0" t="n">
        <v>0</v>
      </c>
      <c r="E1965" s="0" t="n">
        <f aca="false">VLOOKUP(B1965,'MSA-Lookup'!$H$2:$I$86,2)</f>
        <v>7320</v>
      </c>
      <c r="F1965" s="0" t="n">
        <f aca="false">IF(C1965&gt;1,IF(C1965&lt;99,VLOOKUP(C1965,'MSA-Lookup'!$H$1:$I$86,2),C1965),C1965)</f>
        <v>6000</v>
      </c>
      <c r="G1965" s="0" t="n">
        <f aca="false">VLOOKUP(E1965,'MSA-Lookup'!$AA$1:$AB$25,2)</f>
        <v>7320</v>
      </c>
      <c r="H1965" s="0" t="n">
        <f aca="false">IF(C1965&gt;1,IF(C1965&lt;99,VLOOKUP(F1965,'MSA-Lookup'!$AA$1:$AB$25,2),C1965),C1965)</f>
        <v>4472</v>
      </c>
    </row>
    <row r="1966" customFormat="false" ht="12.75" hidden="false" customHeight="false" outlineLevel="0" collapsed="false">
      <c r="A1966" s="0" t="n">
        <f aca="false">B1966*1000+C1966</f>
        <v>34069</v>
      </c>
      <c r="B1966" s="0" t="n">
        <v>34</v>
      </c>
      <c r="C1966" s="0" t="n">
        <v>69</v>
      </c>
      <c r="D1966" s="0" t="n">
        <v>377</v>
      </c>
      <c r="E1966" s="0" t="n">
        <f aca="false">VLOOKUP(B1966,'MSA-Lookup'!$H$2:$I$86,2)</f>
        <v>7320</v>
      </c>
      <c r="F1966" s="0" t="n">
        <f aca="false">IF(C1966&gt;1,IF(C1966&lt;99,VLOOKUP(C1966,'MSA-Lookup'!$H$1:$I$86,2),C1966),C1966)</f>
        <v>6780</v>
      </c>
      <c r="G1966" s="0" t="n">
        <f aca="false">VLOOKUP(E1966,'MSA-Lookup'!$AA$1:$AB$25,2)</f>
        <v>7320</v>
      </c>
      <c r="H1966" s="0" t="n">
        <f aca="false">IF(C1966&gt;1,IF(C1966&lt;99,VLOOKUP(F1966,'MSA-Lookup'!$AA$1:$AB$25,2),C1966),C1966)</f>
        <v>4472</v>
      </c>
    </row>
    <row r="1967" customFormat="false" ht="12.75" hidden="false" customHeight="false" outlineLevel="0" collapsed="false">
      <c r="A1967" s="0" t="n">
        <f aca="false">B1967*1000+C1967</f>
        <v>34071</v>
      </c>
      <c r="B1967" s="0" t="n">
        <v>34</v>
      </c>
      <c r="C1967" s="0" t="n">
        <v>71</v>
      </c>
      <c r="D1967" s="0" t="n">
        <v>0</v>
      </c>
      <c r="E1967" s="0" t="n">
        <f aca="false">VLOOKUP(B1967,'MSA-Lookup'!$H$2:$I$86,2)</f>
        <v>7320</v>
      </c>
      <c r="F1967" s="0" t="n">
        <f aca="false">IF(C1967&gt;1,IF(C1967&lt;99,VLOOKUP(C1967,'MSA-Lookup'!$H$1:$I$86,2),C1967),C1967)</f>
        <v>6780</v>
      </c>
      <c r="G1967" s="0" t="n">
        <f aca="false">VLOOKUP(E1967,'MSA-Lookup'!$AA$1:$AB$25,2)</f>
        <v>7320</v>
      </c>
      <c r="H1967" s="0" t="n">
        <f aca="false">IF(C1967&gt;1,IF(C1967&lt;99,VLOOKUP(F1967,'MSA-Lookup'!$AA$1:$AB$25,2),C1967),C1967)</f>
        <v>4472</v>
      </c>
    </row>
    <row r="1968" customFormat="false" ht="12.75" hidden="false" customHeight="false" outlineLevel="0" collapsed="false">
      <c r="A1968" s="0" t="n">
        <f aca="false">B1968*1000+C1968</f>
        <v>34072</v>
      </c>
      <c r="B1968" s="0" t="n">
        <v>34</v>
      </c>
      <c r="C1968" s="0" t="n">
        <v>72</v>
      </c>
      <c r="D1968" s="0" t="n">
        <v>0</v>
      </c>
      <c r="E1968" s="0" t="n">
        <f aca="false">VLOOKUP(B1968,'MSA-Lookup'!$H$2:$I$86,2)</f>
        <v>7320</v>
      </c>
      <c r="F1968" s="0" t="n">
        <f aca="false">IF(C1968&gt;1,IF(C1968&lt;99,VLOOKUP(C1968,'MSA-Lookup'!$H$1:$I$86,2),C1968),C1968)</f>
        <v>6780</v>
      </c>
      <c r="G1968" s="0" t="n">
        <f aca="false">VLOOKUP(E1968,'MSA-Lookup'!$AA$1:$AB$25,2)</f>
        <v>7320</v>
      </c>
      <c r="H1968" s="0" t="n">
        <f aca="false">IF(C1968&gt;1,IF(C1968&lt;99,VLOOKUP(F1968,'MSA-Lookup'!$AA$1:$AB$25,2),C1968),C1968)</f>
        <v>4472</v>
      </c>
    </row>
    <row r="1969" customFormat="false" ht="12.75" hidden="false" customHeight="false" outlineLevel="0" collapsed="false">
      <c r="A1969" s="0" t="n">
        <f aca="false">B1969*1000+C1969</f>
        <v>34073</v>
      </c>
      <c r="B1969" s="0" t="n">
        <v>34</v>
      </c>
      <c r="C1969" s="0" t="n">
        <v>73</v>
      </c>
      <c r="D1969" s="0" t="n">
        <v>0</v>
      </c>
      <c r="E1969" s="0" t="n">
        <f aca="false">VLOOKUP(B1969,'MSA-Lookup'!$H$2:$I$86,2)</f>
        <v>7320</v>
      </c>
      <c r="F1969" s="0" t="n">
        <f aca="false">IF(C1969&gt;1,IF(C1969&lt;99,VLOOKUP(C1969,'MSA-Lookup'!$H$1:$I$86,2),C1969),C1969)</f>
        <v>8720</v>
      </c>
      <c r="G1969" s="0" t="n">
        <f aca="false">VLOOKUP(E1969,'MSA-Lookup'!$AA$1:$AB$25,2)</f>
        <v>7320</v>
      </c>
      <c r="H1969" s="0" t="n">
        <f aca="false">IF(C1969&gt;1,IF(C1969&lt;99,VLOOKUP(F1969,'MSA-Lookup'!$AA$1:$AB$25,2),C1969),C1969)</f>
        <v>7362</v>
      </c>
    </row>
    <row r="1970" customFormat="false" ht="12.75" hidden="false" customHeight="false" outlineLevel="0" collapsed="false">
      <c r="A1970" s="0" t="n">
        <f aca="false">B1970*1000+C1970</f>
        <v>34075</v>
      </c>
      <c r="B1970" s="0" t="n">
        <v>34</v>
      </c>
      <c r="C1970" s="0" t="n">
        <v>75</v>
      </c>
      <c r="D1970" s="0" t="n">
        <v>0</v>
      </c>
      <c r="E1970" s="0" t="n">
        <f aca="false">VLOOKUP(B1970,'MSA-Lookup'!$H$2:$I$86,2)</f>
        <v>7320</v>
      </c>
      <c r="F1970" s="0" t="n">
        <f aca="false">IF(C1970&gt;1,IF(C1970&lt;99,VLOOKUP(C1970,'MSA-Lookup'!$H$1:$I$86,2),C1970),C1970)</f>
        <v>8780</v>
      </c>
      <c r="G1970" s="0" t="n">
        <f aca="false">VLOOKUP(E1970,'MSA-Lookup'!$AA$1:$AB$25,2)</f>
        <v>7320</v>
      </c>
      <c r="H1970" s="0" t="n">
        <f aca="false">IF(C1970&gt;1,IF(C1970&lt;99,VLOOKUP(F1970,'MSA-Lookup'!$AA$1:$AB$25,2),C1970),C1970)</f>
        <v>8780</v>
      </c>
    </row>
    <row r="1971" customFormat="false" ht="12.75" hidden="false" customHeight="false" outlineLevel="0" collapsed="false">
      <c r="A1971" s="0" t="n">
        <f aca="false">B1971*1000+C1971</f>
        <v>34076</v>
      </c>
      <c r="B1971" s="0" t="n">
        <v>34</v>
      </c>
      <c r="C1971" s="0" t="n">
        <v>76</v>
      </c>
      <c r="D1971" s="0" t="n">
        <v>0</v>
      </c>
      <c r="E1971" s="0" t="n">
        <f aca="false">VLOOKUP(B1971,'MSA-Lookup'!$H$2:$I$86,2)</f>
        <v>7320</v>
      </c>
      <c r="F1971" s="0" t="n">
        <f aca="false">IF(C1971&gt;1,IF(C1971&lt;99,VLOOKUP(C1971,'MSA-Lookup'!$H$1:$I$86,2),C1971),C1971)</f>
        <v>7485</v>
      </c>
      <c r="G1971" s="0" t="n">
        <f aca="false">VLOOKUP(E1971,'MSA-Lookup'!$AA$1:$AB$25,2)</f>
        <v>7320</v>
      </c>
      <c r="H1971" s="0" t="n">
        <f aca="false">IF(C1971&gt;1,IF(C1971&lt;99,VLOOKUP(F1971,'MSA-Lookup'!$AA$1:$AB$25,2),C1971),C1971)</f>
        <v>7362</v>
      </c>
    </row>
    <row r="1972" customFormat="false" ht="12.75" hidden="false" customHeight="false" outlineLevel="0" collapsed="false">
      <c r="A1972" s="0" t="n">
        <f aca="false">B1972*1000+C1972</f>
        <v>34077</v>
      </c>
      <c r="B1972" s="0" t="n">
        <v>34</v>
      </c>
      <c r="C1972" s="0" t="n">
        <v>77</v>
      </c>
      <c r="D1972" s="0" t="n">
        <v>0</v>
      </c>
      <c r="E1972" s="0" t="n">
        <f aca="false">VLOOKUP(B1972,'MSA-Lookup'!$H$2:$I$86,2)</f>
        <v>7320</v>
      </c>
      <c r="F1972" s="0" t="n">
        <f aca="false">IF(C1972&gt;1,IF(C1972&lt;99,VLOOKUP(C1972,'MSA-Lookup'!$H$1:$I$86,2),C1972),C1972)</f>
        <v>9999</v>
      </c>
      <c r="G1972" s="0" t="n">
        <f aca="false">VLOOKUP(E1972,'MSA-Lookup'!$AA$1:$AB$25,2)</f>
        <v>7320</v>
      </c>
      <c r="H1972" s="0" t="n">
        <f aca="false">IF(C1972&gt;1,IF(C1972&lt;99,VLOOKUP(F1972,'MSA-Lookup'!$AA$1:$AB$25,2),C1972),C1972)</f>
        <v>9999</v>
      </c>
    </row>
    <row r="1973" customFormat="false" ht="12.75" hidden="false" customHeight="false" outlineLevel="0" collapsed="false">
      <c r="A1973" s="0" t="n">
        <f aca="false">B1973*1000+C1973</f>
        <v>34079</v>
      </c>
      <c r="B1973" s="0" t="n">
        <v>34</v>
      </c>
      <c r="C1973" s="0" t="n">
        <v>79</v>
      </c>
      <c r="D1973" s="0" t="n">
        <v>0</v>
      </c>
      <c r="E1973" s="0" t="n">
        <f aca="false">VLOOKUP(B1973,'MSA-Lookup'!$H$2:$I$86,2)</f>
        <v>7320</v>
      </c>
      <c r="F1973" s="0" t="n">
        <f aca="false">IF(C1973&gt;1,IF(C1973&lt;99,VLOOKUP(C1973,'MSA-Lookup'!$H$1:$I$86,2),C1973),C1973)</f>
        <v>680</v>
      </c>
      <c r="G1973" s="0" t="n">
        <f aca="false">VLOOKUP(E1973,'MSA-Lookup'!$AA$1:$AB$25,2)</f>
        <v>7320</v>
      </c>
      <c r="H1973" s="0" t="n">
        <f aca="false">IF(C1973&gt;1,IF(C1973&lt;99,VLOOKUP(F1973,'MSA-Lookup'!$AA$1:$AB$25,2),C1973),C1973)</f>
        <v>680</v>
      </c>
    </row>
    <row r="1974" customFormat="false" ht="12.75" hidden="false" customHeight="false" outlineLevel="0" collapsed="false">
      <c r="A1974" s="0" t="n">
        <f aca="false">B1974*1000+C1974</f>
        <v>34080</v>
      </c>
      <c r="B1974" s="0" t="n">
        <v>34</v>
      </c>
      <c r="C1974" s="0" t="n">
        <v>80</v>
      </c>
      <c r="D1974" s="0" t="n">
        <v>0</v>
      </c>
      <c r="E1974" s="0" t="n">
        <f aca="false">VLOOKUP(B1974,'MSA-Lookup'!$H$2:$I$86,2)</f>
        <v>7320</v>
      </c>
      <c r="F1974" s="0" t="n">
        <f aca="false">IF(C1974&gt;1,IF(C1974&lt;99,VLOOKUP(C1974,'MSA-Lookup'!$H$1:$I$86,2),C1974),C1974)</f>
        <v>9999</v>
      </c>
      <c r="G1974" s="0" t="n">
        <f aca="false">VLOOKUP(E1974,'MSA-Lookup'!$AA$1:$AB$25,2)</f>
        <v>7320</v>
      </c>
      <c r="H1974" s="0" t="n">
        <f aca="false">IF(C1974&gt;1,IF(C1974&lt;99,VLOOKUP(F1974,'MSA-Lookup'!$AA$1:$AB$25,2),C1974),C1974)</f>
        <v>9999</v>
      </c>
    </row>
    <row r="1975" customFormat="false" ht="12.75" hidden="false" customHeight="false" outlineLevel="0" collapsed="false">
      <c r="A1975" s="0" t="n">
        <f aca="false">B1975*1000+C1975</f>
        <v>34082</v>
      </c>
      <c r="B1975" s="0" t="n">
        <v>34</v>
      </c>
      <c r="C1975" s="0" t="n">
        <v>82</v>
      </c>
      <c r="D1975" s="0" t="n">
        <v>0</v>
      </c>
      <c r="E1975" s="0" t="n">
        <f aca="false">VLOOKUP(B1975,'MSA-Lookup'!$H$2:$I$86,2)</f>
        <v>7320</v>
      </c>
      <c r="F1975" s="0" t="n">
        <f aca="false">IF(C1975&gt;1,IF(C1975&lt;99,VLOOKUP(C1975,'MSA-Lookup'!$H$1:$I$86,2),C1975),C1975)</f>
        <v>6780</v>
      </c>
      <c r="G1975" s="0" t="n">
        <f aca="false">VLOOKUP(E1975,'MSA-Lookup'!$AA$1:$AB$25,2)</f>
        <v>7320</v>
      </c>
      <c r="H1975" s="0" t="n">
        <f aca="false">IF(C1975&gt;1,IF(C1975&lt;99,VLOOKUP(F1975,'MSA-Lookup'!$AA$1:$AB$25,2),C1975),C1975)</f>
        <v>4472</v>
      </c>
    </row>
    <row r="1976" customFormat="false" ht="12.75" hidden="false" customHeight="false" outlineLevel="0" collapsed="false">
      <c r="A1976" s="0" t="n">
        <f aca="false">B1976*1000+C1976</f>
        <v>34083</v>
      </c>
      <c r="B1976" s="0" t="n">
        <v>34</v>
      </c>
      <c r="C1976" s="0" t="n">
        <v>83</v>
      </c>
      <c r="D1976" s="0" t="n">
        <v>0</v>
      </c>
      <c r="E1976" s="0" t="n">
        <f aca="false">VLOOKUP(B1976,'MSA-Lookup'!$H$2:$I$86,2)</f>
        <v>7320</v>
      </c>
      <c r="F1976" s="0" t="n">
        <f aca="false">IF(C1976&gt;1,IF(C1976&lt;99,VLOOKUP(C1976,'MSA-Lookup'!$H$1:$I$86,2),C1976),C1976)</f>
        <v>6000</v>
      </c>
      <c r="G1976" s="0" t="n">
        <f aca="false">VLOOKUP(E1976,'MSA-Lookup'!$AA$1:$AB$25,2)</f>
        <v>7320</v>
      </c>
      <c r="H1976" s="0" t="n">
        <f aca="false">IF(C1976&gt;1,IF(C1976&lt;99,VLOOKUP(F1976,'MSA-Lookup'!$AA$1:$AB$25,2),C1976),C1976)</f>
        <v>4472</v>
      </c>
    </row>
    <row r="1977" customFormat="false" ht="12.75" hidden="false" customHeight="false" outlineLevel="0" collapsed="false">
      <c r="A1977" s="0" t="n">
        <f aca="false">B1977*1000+C1977</f>
        <v>34084</v>
      </c>
      <c r="B1977" s="0" t="n">
        <v>34</v>
      </c>
      <c r="C1977" s="0" t="n">
        <v>84</v>
      </c>
      <c r="D1977" s="0" t="n">
        <v>143</v>
      </c>
      <c r="E1977" s="0" t="n">
        <f aca="false">VLOOKUP(B1977,'MSA-Lookup'!$H$2:$I$86,2)</f>
        <v>7320</v>
      </c>
      <c r="F1977" s="0" t="n">
        <f aca="false">IF(C1977&gt;1,IF(C1977&lt;99,VLOOKUP(C1977,'MSA-Lookup'!$H$1:$I$86,2),C1977),C1977)</f>
        <v>360</v>
      </c>
      <c r="G1977" s="0" t="n">
        <f aca="false">VLOOKUP(E1977,'MSA-Lookup'!$AA$1:$AB$25,2)</f>
        <v>7320</v>
      </c>
      <c r="H1977" s="0" t="n">
        <f aca="false">IF(C1977&gt;1,IF(C1977&lt;99,VLOOKUP(F1977,'MSA-Lookup'!$AA$1:$AB$25,2),C1977),C1977)</f>
        <v>4472</v>
      </c>
    </row>
    <row r="1978" customFormat="false" ht="12.75" hidden="false" customHeight="false" outlineLevel="0" collapsed="false">
      <c r="A1978" s="0" t="n">
        <f aca="false">B1978*1000+C1978</f>
        <v>34085</v>
      </c>
      <c r="B1978" s="0" t="n">
        <v>34</v>
      </c>
      <c r="C1978" s="0" t="n">
        <v>85</v>
      </c>
      <c r="D1978" s="0" t="n">
        <v>0</v>
      </c>
      <c r="E1978" s="0" t="n">
        <f aca="false">VLOOKUP(B1978,'MSA-Lookup'!$H$2:$I$86,2)</f>
        <v>7320</v>
      </c>
      <c r="F1978" s="0" t="n">
        <f aca="false">IF(C1978&gt;1,IF(C1978&lt;99,VLOOKUP(C1978,'MSA-Lookup'!$H$1:$I$86,2),C1978),C1978)</f>
        <v>8120</v>
      </c>
      <c r="G1978" s="0" t="n">
        <f aca="false">VLOOKUP(E1978,'MSA-Lookup'!$AA$1:$AB$25,2)</f>
        <v>7320</v>
      </c>
      <c r="H1978" s="0" t="n">
        <f aca="false">IF(C1978&gt;1,IF(C1978&lt;99,VLOOKUP(F1978,'MSA-Lookup'!$AA$1:$AB$25,2),C1978),C1978)</f>
        <v>8120</v>
      </c>
    </row>
    <row r="1979" customFormat="false" ht="12.75" hidden="false" customHeight="false" outlineLevel="0" collapsed="false">
      <c r="A1979" s="0" t="n">
        <f aca="false">B1979*1000+C1979</f>
        <v>34858</v>
      </c>
      <c r="B1979" s="0" t="n">
        <v>34</v>
      </c>
      <c r="C1979" s="0" t="n">
        <v>858</v>
      </c>
      <c r="D1979" s="0" t="n">
        <v>0</v>
      </c>
      <c r="E1979" s="0" t="n">
        <f aca="false">VLOOKUP(B1979,'MSA-Lookup'!$H$2:$I$86,2)</f>
        <v>7320</v>
      </c>
      <c r="F1979" s="0" t="n">
        <f aca="false">IF(C1979&gt;1,IF(C1979&lt;99,VLOOKUP(C1979,'MSA-Lookup'!$H$1:$I$86,2),C1979),C1979)</f>
        <v>858</v>
      </c>
      <c r="G1979" s="0" t="n">
        <f aca="false">VLOOKUP(E1979,'MSA-Lookup'!$AA$1:$AB$25,2)</f>
        <v>7320</v>
      </c>
      <c r="H1979" s="0" t="n">
        <f aca="false">IF(C1979&gt;1,IF(C1979&lt;99,VLOOKUP(F1979,'MSA-Lookup'!$AA$1:$AB$25,2),C1979),C1979)</f>
        <v>858</v>
      </c>
    </row>
    <row r="1980" customFormat="false" ht="12.75" hidden="false" customHeight="false" outlineLevel="0" collapsed="false">
      <c r="A1980" s="0" t="n">
        <f aca="false">B1980*1000+C1980</f>
        <v>34983</v>
      </c>
      <c r="B1980" s="0" t="n">
        <v>34</v>
      </c>
      <c r="C1980" s="0" t="n">
        <v>983</v>
      </c>
      <c r="D1980" s="0" t="n">
        <v>0</v>
      </c>
      <c r="E1980" s="0" t="n">
        <f aca="false">VLOOKUP(B1980,'MSA-Lookup'!$H$2:$I$86,2)</f>
        <v>7320</v>
      </c>
      <c r="F1980" s="0" t="n">
        <f aca="false">IF(C1980&gt;1,IF(C1980&lt;99,VLOOKUP(C1980,'MSA-Lookup'!$H$1:$I$86,2),C1980),C1980)</f>
        <v>983</v>
      </c>
      <c r="G1980" s="0" t="n">
        <f aca="false">VLOOKUP(E1980,'MSA-Lookup'!$AA$1:$AB$25,2)</f>
        <v>7320</v>
      </c>
      <c r="H1980" s="0" t="n">
        <f aca="false">IF(C1980&gt;1,IF(C1980&lt;99,VLOOKUP(F1980,'MSA-Lookup'!$AA$1:$AB$25,2),C1980),C1980)</f>
        <v>983</v>
      </c>
    </row>
    <row r="1981" customFormat="false" ht="12.75" hidden="false" customHeight="false" outlineLevel="0" collapsed="false">
      <c r="A1981" s="0" t="n">
        <f aca="false">B1981*1000+C1981</f>
        <v>34999</v>
      </c>
      <c r="B1981" s="0" t="n">
        <v>34</v>
      </c>
      <c r="C1981" s="0" t="n">
        <v>999</v>
      </c>
      <c r="D1981" s="0" t="n">
        <v>169</v>
      </c>
      <c r="E1981" s="0" t="n">
        <f aca="false">VLOOKUP(B1981,'MSA-Lookup'!$H$2:$I$86,2)</f>
        <v>7320</v>
      </c>
      <c r="F1981" s="0" t="n">
        <f aca="false">IF(C1981&gt;1,IF(C1981&lt;99,VLOOKUP(C1981,'MSA-Lookup'!$H$1:$I$86,2),C1981),C1981)</f>
        <v>999</v>
      </c>
      <c r="G1981" s="0" t="n">
        <f aca="false">VLOOKUP(E1981,'MSA-Lookup'!$AA$1:$AB$25,2)</f>
        <v>7320</v>
      </c>
      <c r="H1981" s="0" t="n">
        <f aca="false">IF(C1981&gt;1,IF(C1981&lt;99,VLOOKUP(F1981,'MSA-Lookup'!$AA$1:$AB$25,2),C1981),C1981)</f>
        <v>999</v>
      </c>
    </row>
    <row r="1982" customFormat="false" ht="12.75" hidden="false" customHeight="false" outlineLevel="0" collapsed="false">
      <c r="A1982" s="0" t="n">
        <f aca="false">B1982*1000+C1982</f>
        <v>35000</v>
      </c>
      <c r="B1982" s="0" t="n">
        <v>35</v>
      </c>
      <c r="C1982" s="0" t="n">
        <v>0</v>
      </c>
      <c r="D1982" s="0" t="n">
        <v>59202</v>
      </c>
      <c r="E1982" s="0" t="n">
        <f aca="false">VLOOKUP(B1982,'MSA-Lookup'!$H$2:$I$86,2)</f>
        <v>7320</v>
      </c>
      <c r="F1982" s="0" t="n">
        <f aca="false">IF(C1982&gt;1,IF(C1982&lt;99,VLOOKUP(C1982,'MSA-Lookup'!$H$1:$I$86,2),C1982),C1982)</f>
        <v>0</v>
      </c>
      <c r="G1982" s="0" t="n">
        <f aca="false">VLOOKUP(E1982,'MSA-Lookup'!$AA$1:$AB$25,2)</f>
        <v>7320</v>
      </c>
      <c r="H1982" s="0" t="n">
        <f aca="false">IF(C1982&gt;1,IF(C1982&lt;99,VLOOKUP(F1982,'MSA-Lookup'!$AA$1:$AB$25,2),C1982),C1982)</f>
        <v>0</v>
      </c>
    </row>
    <row r="1983" customFormat="false" ht="12.75" hidden="false" customHeight="false" outlineLevel="0" collapsed="false">
      <c r="A1983" s="0" t="n">
        <f aca="false">B1983*1000+C1983</f>
        <v>35001</v>
      </c>
      <c r="B1983" s="0" t="n">
        <v>35</v>
      </c>
      <c r="C1983" s="0" t="n">
        <v>1</v>
      </c>
      <c r="D1983" s="0" t="n">
        <v>0</v>
      </c>
      <c r="E1983" s="0" t="n">
        <f aca="false">VLOOKUP(B1983,'MSA-Lookup'!$H$2:$I$86,2)</f>
        <v>7320</v>
      </c>
      <c r="F1983" s="0" t="n">
        <f aca="false">IF(C1983&gt;1,IF(C1983&lt;99,VLOOKUP(C1983,'MSA-Lookup'!$H$1:$I$86,2),C1983),C1983)</f>
        <v>1</v>
      </c>
      <c r="G1983" s="0" t="n">
        <f aca="false">VLOOKUP(E1983,'MSA-Lookup'!$AA$1:$AB$25,2)</f>
        <v>7320</v>
      </c>
      <c r="H1983" s="0" t="n">
        <f aca="false">IF(C1983&gt;1,IF(C1983&lt;99,VLOOKUP(F1983,'MSA-Lookup'!$AA$1:$AB$25,2),C1983),C1983)</f>
        <v>1</v>
      </c>
    </row>
    <row r="1984" customFormat="false" ht="12.75" hidden="false" customHeight="false" outlineLevel="0" collapsed="false">
      <c r="A1984" s="0" t="n">
        <f aca="false">B1984*1000+C1984</f>
        <v>35002</v>
      </c>
      <c r="B1984" s="0" t="n">
        <v>35</v>
      </c>
      <c r="C1984" s="0" t="n">
        <v>2</v>
      </c>
      <c r="D1984" s="0" t="n">
        <v>0</v>
      </c>
      <c r="E1984" s="0" t="n">
        <f aca="false">VLOOKUP(B1984,'MSA-Lookup'!$H$2:$I$86,2)</f>
        <v>7320</v>
      </c>
      <c r="F1984" s="0" t="n">
        <f aca="false">IF(C1984&gt;1,IF(C1984&lt;99,VLOOKUP(C1984,'MSA-Lookup'!$H$1:$I$86,2),C1984),C1984)</f>
        <v>9999</v>
      </c>
      <c r="G1984" s="0" t="n">
        <f aca="false">VLOOKUP(E1984,'MSA-Lookup'!$AA$1:$AB$25,2)</f>
        <v>7320</v>
      </c>
      <c r="H1984" s="0" t="n">
        <f aca="false">IF(C1984&gt;1,IF(C1984&lt;99,VLOOKUP(F1984,'MSA-Lookup'!$AA$1:$AB$25,2),C1984),C1984)</f>
        <v>9999</v>
      </c>
    </row>
    <row r="1985" customFormat="false" ht="12.75" hidden="false" customHeight="false" outlineLevel="0" collapsed="false">
      <c r="A1985" s="0" t="n">
        <f aca="false">B1985*1000+C1985</f>
        <v>35003</v>
      </c>
      <c r="B1985" s="0" t="n">
        <v>35</v>
      </c>
      <c r="C1985" s="0" t="n">
        <v>3</v>
      </c>
      <c r="D1985" s="0" t="n">
        <v>0</v>
      </c>
      <c r="E1985" s="0" t="n">
        <f aca="false">VLOOKUP(B1985,'MSA-Lookup'!$H$2:$I$86,2)</f>
        <v>7320</v>
      </c>
      <c r="F1985" s="0" t="n">
        <f aca="false">IF(C1985&gt;1,IF(C1985&lt;99,VLOOKUP(C1985,'MSA-Lookup'!$H$1:$I$86,2),C1985),C1985)</f>
        <v>6690</v>
      </c>
      <c r="G1985" s="0" t="n">
        <f aca="false">VLOOKUP(E1985,'MSA-Lookup'!$AA$1:$AB$25,2)</f>
        <v>7320</v>
      </c>
      <c r="H1985" s="0" t="n">
        <f aca="false">IF(C1985&gt;1,IF(C1985&lt;99,VLOOKUP(F1985,'MSA-Lookup'!$AA$1:$AB$25,2),C1985),C1985)</f>
        <v>6690</v>
      </c>
    </row>
    <row r="1986" customFormat="false" ht="12.75" hidden="false" customHeight="false" outlineLevel="0" collapsed="false">
      <c r="A1986" s="0" t="n">
        <f aca="false">B1986*1000+C1986</f>
        <v>35004</v>
      </c>
      <c r="B1986" s="0" t="n">
        <v>35</v>
      </c>
      <c r="C1986" s="0" t="n">
        <v>4</v>
      </c>
      <c r="D1986" s="0" t="n">
        <v>0</v>
      </c>
      <c r="E1986" s="0" t="n">
        <f aca="false">VLOOKUP(B1986,'MSA-Lookup'!$H$2:$I$86,2)</f>
        <v>7320</v>
      </c>
      <c r="F1986" s="0" t="n">
        <f aca="false">IF(C1986&gt;1,IF(C1986&lt;99,VLOOKUP(C1986,'MSA-Lookup'!$H$1:$I$86,2),C1986),C1986)</f>
        <v>9999</v>
      </c>
      <c r="G1986" s="0" t="n">
        <f aca="false">VLOOKUP(E1986,'MSA-Lookup'!$AA$1:$AB$25,2)</f>
        <v>7320</v>
      </c>
      <c r="H1986" s="0" t="n">
        <f aca="false">IF(C1986&gt;1,IF(C1986&lt;99,VLOOKUP(F1986,'MSA-Lookup'!$AA$1:$AB$25,2),C1986),C1986)</f>
        <v>9999</v>
      </c>
    </row>
    <row r="1987" customFormat="false" ht="12.75" hidden="false" customHeight="false" outlineLevel="0" collapsed="false">
      <c r="A1987" s="0" t="n">
        <f aca="false">B1987*1000+C1987</f>
        <v>35005</v>
      </c>
      <c r="B1987" s="0" t="n">
        <v>35</v>
      </c>
      <c r="C1987" s="0" t="n">
        <v>5</v>
      </c>
      <c r="D1987" s="0" t="n">
        <v>0</v>
      </c>
      <c r="E1987" s="0" t="n">
        <f aca="false">VLOOKUP(B1987,'MSA-Lookup'!$H$2:$I$86,2)</f>
        <v>7320</v>
      </c>
      <c r="F1987" s="0" t="n">
        <f aca="false">IF(C1987&gt;1,IF(C1987&lt;99,VLOOKUP(C1987,'MSA-Lookup'!$H$1:$I$86,2),C1987),C1987)</f>
        <v>9999</v>
      </c>
      <c r="G1987" s="0" t="n">
        <f aca="false">VLOOKUP(E1987,'MSA-Lookup'!$AA$1:$AB$25,2)</f>
        <v>7320</v>
      </c>
      <c r="H1987" s="0" t="n">
        <f aca="false">IF(C1987&gt;1,IF(C1987&lt;99,VLOOKUP(F1987,'MSA-Lookup'!$AA$1:$AB$25,2),C1987),C1987)</f>
        <v>9999</v>
      </c>
    </row>
    <row r="1988" customFormat="false" ht="12.75" hidden="false" customHeight="false" outlineLevel="0" collapsed="false">
      <c r="A1988" s="0" t="n">
        <f aca="false">B1988*1000+C1988</f>
        <v>35006</v>
      </c>
      <c r="B1988" s="0" t="n">
        <v>35</v>
      </c>
      <c r="C1988" s="0" t="n">
        <v>6</v>
      </c>
      <c r="D1988" s="0" t="n">
        <v>0</v>
      </c>
      <c r="E1988" s="0" t="n">
        <f aca="false">VLOOKUP(B1988,'MSA-Lookup'!$H$2:$I$86,2)</f>
        <v>7320</v>
      </c>
      <c r="F1988" s="0" t="n">
        <f aca="false">IF(C1988&gt;1,IF(C1988&lt;99,VLOOKUP(C1988,'MSA-Lookup'!$H$1:$I$86,2),C1988),C1988)</f>
        <v>1620</v>
      </c>
      <c r="G1988" s="0" t="n">
        <f aca="false">VLOOKUP(E1988,'MSA-Lookup'!$AA$1:$AB$25,2)</f>
        <v>7320</v>
      </c>
      <c r="H1988" s="0" t="n">
        <f aca="false">IF(C1988&gt;1,IF(C1988&lt;99,VLOOKUP(F1988,'MSA-Lookup'!$AA$1:$AB$25,2),C1988),C1988)</f>
        <v>1620</v>
      </c>
    </row>
    <row r="1989" customFormat="false" ht="12.75" hidden="false" customHeight="false" outlineLevel="0" collapsed="false">
      <c r="A1989" s="0" t="n">
        <f aca="false">B1989*1000+C1989</f>
        <v>35007</v>
      </c>
      <c r="B1989" s="0" t="n">
        <v>35</v>
      </c>
      <c r="C1989" s="0" t="n">
        <v>7</v>
      </c>
      <c r="D1989" s="0" t="n">
        <v>0</v>
      </c>
      <c r="E1989" s="0" t="n">
        <f aca="false">VLOOKUP(B1989,'MSA-Lookup'!$H$2:$I$86,2)</f>
        <v>7320</v>
      </c>
      <c r="F1989" s="0" t="n">
        <f aca="false">IF(C1989&gt;1,IF(C1989&lt;99,VLOOKUP(C1989,'MSA-Lookup'!$H$1:$I$86,2),C1989),C1989)</f>
        <v>9999</v>
      </c>
      <c r="G1989" s="0" t="n">
        <f aca="false">VLOOKUP(E1989,'MSA-Lookup'!$AA$1:$AB$25,2)</f>
        <v>7320</v>
      </c>
      <c r="H1989" s="0" t="n">
        <f aca="false">IF(C1989&gt;1,IF(C1989&lt;99,VLOOKUP(F1989,'MSA-Lookup'!$AA$1:$AB$25,2),C1989),C1989)</f>
        <v>9999</v>
      </c>
    </row>
    <row r="1990" customFormat="false" ht="12.75" hidden="false" customHeight="false" outlineLevel="0" collapsed="false">
      <c r="A1990" s="0" t="n">
        <f aca="false">B1990*1000+C1990</f>
        <v>35008</v>
      </c>
      <c r="B1990" s="0" t="n">
        <v>35</v>
      </c>
      <c r="C1990" s="0" t="n">
        <v>8</v>
      </c>
      <c r="D1990" s="0" t="n">
        <v>0</v>
      </c>
      <c r="E1990" s="0" t="n">
        <f aca="false">VLOOKUP(B1990,'MSA-Lookup'!$H$2:$I$86,2)</f>
        <v>7320</v>
      </c>
      <c r="F1990" s="0" t="n">
        <f aca="false">IF(C1990&gt;1,IF(C1990&lt;99,VLOOKUP(C1990,'MSA-Lookup'!$H$1:$I$86,2),C1990),C1990)</f>
        <v>9340</v>
      </c>
      <c r="G1990" s="0" t="n">
        <f aca="false">VLOOKUP(E1990,'MSA-Lookup'!$AA$1:$AB$25,2)</f>
        <v>7320</v>
      </c>
      <c r="H1990" s="0" t="n">
        <f aca="false">IF(C1990&gt;1,IF(C1990&lt;99,VLOOKUP(F1990,'MSA-Lookup'!$AA$1:$AB$25,2),C1990),C1990)</f>
        <v>9340</v>
      </c>
    </row>
    <row r="1991" customFormat="false" ht="12.75" hidden="false" customHeight="false" outlineLevel="0" collapsed="false">
      <c r="A1991" s="0" t="n">
        <f aca="false">B1991*1000+C1991</f>
        <v>35009</v>
      </c>
      <c r="B1991" s="0" t="n">
        <v>35</v>
      </c>
      <c r="C1991" s="0" t="n">
        <v>9</v>
      </c>
      <c r="D1991" s="0" t="n">
        <v>0</v>
      </c>
      <c r="E1991" s="0" t="n">
        <f aca="false">VLOOKUP(B1991,'MSA-Lookup'!$H$2:$I$86,2)</f>
        <v>7320</v>
      </c>
      <c r="F1991" s="0" t="n">
        <f aca="false">IF(C1991&gt;1,IF(C1991&lt;99,VLOOKUP(C1991,'MSA-Lookup'!$H$1:$I$86,2),C1991),C1991)</f>
        <v>8720</v>
      </c>
      <c r="G1991" s="0" t="n">
        <f aca="false">VLOOKUP(E1991,'MSA-Lookup'!$AA$1:$AB$25,2)</f>
        <v>7320</v>
      </c>
      <c r="H1991" s="0" t="n">
        <f aca="false">IF(C1991&gt;1,IF(C1991&lt;99,VLOOKUP(F1991,'MSA-Lookup'!$AA$1:$AB$25,2),C1991),C1991)</f>
        <v>7362</v>
      </c>
    </row>
    <row r="1992" customFormat="false" ht="12.75" hidden="false" customHeight="false" outlineLevel="0" collapsed="false">
      <c r="A1992" s="0" t="n">
        <f aca="false">B1992*1000+C1992</f>
        <v>35010</v>
      </c>
      <c r="B1992" s="0" t="n">
        <v>35</v>
      </c>
      <c r="C1992" s="0" t="n">
        <v>10</v>
      </c>
      <c r="D1992" s="0" t="n">
        <v>0</v>
      </c>
      <c r="E1992" s="0" t="n">
        <f aca="false">VLOOKUP(B1992,'MSA-Lookup'!$H$2:$I$86,2)</f>
        <v>7320</v>
      </c>
      <c r="F1992" s="0" t="n">
        <f aca="false">IF(C1992&gt;1,IF(C1992&lt;99,VLOOKUP(C1992,'MSA-Lookup'!$H$1:$I$86,2),C1992),C1992)</f>
        <v>6920</v>
      </c>
      <c r="G1992" s="0" t="n">
        <f aca="false">VLOOKUP(E1992,'MSA-Lookup'!$AA$1:$AB$25,2)</f>
        <v>7320</v>
      </c>
      <c r="H1992" s="0" t="n">
        <f aca="false">IF(C1992&gt;1,IF(C1992&lt;99,VLOOKUP(F1992,'MSA-Lookup'!$AA$1:$AB$25,2),C1992),C1992)</f>
        <v>6920</v>
      </c>
    </row>
    <row r="1993" customFormat="false" ht="12.75" hidden="false" customHeight="false" outlineLevel="0" collapsed="false">
      <c r="A1993" s="0" t="n">
        <f aca="false">B1993*1000+C1993</f>
        <v>35011</v>
      </c>
      <c r="B1993" s="0" t="n">
        <v>35</v>
      </c>
      <c r="C1993" s="0" t="n">
        <v>11</v>
      </c>
      <c r="D1993" s="0" t="n">
        <v>0</v>
      </c>
      <c r="E1993" s="0" t="n">
        <f aca="false">VLOOKUP(B1993,'MSA-Lookup'!$H$2:$I$86,2)</f>
        <v>7320</v>
      </c>
      <c r="F1993" s="0" t="n">
        <f aca="false">IF(C1993&gt;1,IF(C1993&lt;99,VLOOKUP(C1993,'MSA-Lookup'!$H$1:$I$86,2),C1993),C1993)</f>
        <v>6920</v>
      </c>
      <c r="G1993" s="0" t="n">
        <f aca="false">VLOOKUP(E1993,'MSA-Lookup'!$AA$1:$AB$25,2)</f>
        <v>7320</v>
      </c>
      <c r="H1993" s="0" t="n">
        <f aca="false">IF(C1993&gt;1,IF(C1993&lt;99,VLOOKUP(F1993,'MSA-Lookup'!$AA$1:$AB$25,2),C1993),C1993)</f>
        <v>6920</v>
      </c>
    </row>
    <row r="1994" customFormat="false" ht="12.75" hidden="false" customHeight="false" outlineLevel="0" collapsed="false">
      <c r="A1994" s="0" t="n">
        <f aca="false">B1994*1000+C1994</f>
        <v>35012</v>
      </c>
      <c r="B1994" s="0" t="n">
        <v>35</v>
      </c>
      <c r="C1994" s="0" t="n">
        <v>12</v>
      </c>
      <c r="D1994" s="0" t="n">
        <v>0</v>
      </c>
      <c r="E1994" s="0" t="n">
        <f aca="false">VLOOKUP(B1994,'MSA-Lookup'!$H$2:$I$86,2)</f>
        <v>7320</v>
      </c>
      <c r="F1994" s="0" t="n">
        <f aca="false">IF(C1994&gt;1,IF(C1994&lt;99,VLOOKUP(C1994,'MSA-Lookup'!$H$1:$I$86,2),C1994),C1994)</f>
        <v>6920</v>
      </c>
      <c r="G1994" s="0" t="n">
        <f aca="false">VLOOKUP(E1994,'MSA-Lookup'!$AA$1:$AB$25,2)</f>
        <v>7320</v>
      </c>
      <c r="H1994" s="0" t="n">
        <f aca="false">IF(C1994&gt;1,IF(C1994&lt;99,VLOOKUP(F1994,'MSA-Lookup'!$AA$1:$AB$25,2),C1994),C1994)</f>
        <v>6920</v>
      </c>
    </row>
    <row r="1995" customFormat="false" ht="12.75" hidden="false" customHeight="false" outlineLevel="0" collapsed="false">
      <c r="A1995" s="0" t="n">
        <f aca="false">B1995*1000+C1995</f>
        <v>35013</v>
      </c>
      <c r="B1995" s="0" t="n">
        <v>35</v>
      </c>
      <c r="C1995" s="0" t="n">
        <v>13</v>
      </c>
      <c r="D1995" s="0" t="n">
        <v>0</v>
      </c>
      <c r="E1995" s="0" t="n">
        <f aca="false">VLOOKUP(B1995,'MSA-Lookup'!$H$2:$I$86,2)</f>
        <v>7320</v>
      </c>
      <c r="F1995" s="0" t="n">
        <f aca="false">IF(C1995&gt;1,IF(C1995&lt;99,VLOOKUP(C1995,'MSA-Lookup'!$H$1:$I$86,2),C1995),C1995)</f>
        <v>7500</v>
      </c>
      <c r="G1995" s="0" t="n">
        <f aca="false">VLOOKUP(E1995,'MSA-Lookup'!$AA$1:$AB$25,2)</f>
        <v>7320</v>
      </c>
      <c r="H1995" s="0" t="n">
        <f aca="false">IF(C1995&gt;1,IF(C1995&lt;99,VLOOKUP(F1995,'MSA-Lookup'!$AA$1:$AB$25,2),C1995),C1995)</f>
        <v>7362</v>
      </c>
    </row>
    <row r="1996" customFormat="false" ht="12.75" hidden="false" customHeight="false" outlineLevel="0" collapsed="false">
      <c r="A1996" s="0" t="n">
        <f aca="false">B1996*1000+C1996</f>
        <v>35014</v>
      </c>
      <c r="B1996" s="0" t="n">
        <v>35</v>
      </c>
      <c r="C1996" s="0" t="n">
        <v>14</v>
      </c>
      <c r="D1996" s="0" t="n">
        <v>0</v>
      </c>
      <c r="E1996" s="0" t="n">
        <f aca="false">VLOOKUP(B1996,'MSA-Lookup'!$H$2:$I$86,2)</f>
        <v>7320</v>
      </c>
      <c r="F1996" s="0" t="n">
        <f aca="false">IF(C1996&gt;1,IF(C1996&lt;99,VLOOKUP(C1996,'MSA-Lookup'!$H$1:$I$86,2),C1996),C1996)</f>
        <v>7500</v>
      </c>
      <c r="G1996" s="0" t="n">
        <f aca="false">VLOOKUP(E1996,'MSA-Lookup'!$AA$1:$AB$25,2)</f>
        <v>7320</v>
      </c>
      <c r="H1996" s="0" t="n">
        <f aca="false">IF(C1996&gt;1,IF(C1996&lt;99,VLOOKUP(F1996,'MSA-Lookup'!$AA$1:$AB$25,2),C1996),C1996)</f>
        <v>7362</v>
      </c>
    </row>
    <row r="1997" customFormat="false" ht="12.75" hidden="false" customHeight="false" outlineLevel="0" collapsed="false">
      <c r="A1997" s="0" t="n">
        <f aca="false">B1997*1000+C1997</f>
        <v>35015</v>
      </c>
      <c r="B1997" s="0" t="n">
        <v>35</v>
      </c>
      <c r="C1997" s="0" t="n">
        <v>15</v>
      </c>
      <c r="D1997" s="0" t="n">
        <v>0</v>
      </c>
      <c r="E1997" s="0" t="n">
        <f aca="false">VLOOKUP(B1997,'MSA-Lookup'!$H$2:$I$86,2)</f>
        <v>7320</v>
      </c>
      <c r="F1997" s="0" t="n">
        <f aca="false">IF(C1997&gt;1,IF(C1997&lt;99,VLOOKUP(C1997,'MSA-Lookup'!$H$1:$I$86,2),C1997),C1997)</f>
        <v>7360</v>
      </c>
      <c r="G1997" s="0" t="n">
        <f aca="false">VLOOKUP(E1997,'MSA-Lookup'!$AA$1:$AB$25,2)</f>
        <v>7320</v>
      </c>
      <c r="H1997" s="0" t="n">
        <f aca="false">IF(C1997&gt;1,IF(C1997&lt;99,VLOOKUP(F1997,'MSA-Lookup'!$AA$1:$AB$25,2),C1997),C1997)</f>
        <v>7362</v>
      </c>
    </row>
    <row r="1998" customFormat="false" ht="12.75" hidden="false" customHeight="false" outlineLevel="0" collapsed="false">
      <c r="A1998" s="0" t="n">
        <f aca="false">B1998*1000+C1998</f>
        <v>35016</v>
      </c>
      <c r="B1998" s="0" t="n">
        <v>35</v>
      </c>
      <c r="C1998" s="0" t="n">
        <v>16</v>
      </c>
      <c r="D1998" s="0" t="n">
        <v>0</v>
      </c>
      <c r="E1998" s="0" t="n">
        <f aca="false">VLOOKUP(B1998,'MSA-Lookup'!$H$2:$I$86,2)</f>
        <v>7320</v>
      </c>
      <c r="F1998" s="0" t="n">
        <f aca="false">IF(C1998&gt;1,IF(C1998&lt;99,VLOOKUP(C1998,'MSA-Lookup'!$H$1:$I$86,2),C1998),C1998)</f>
        <v>8720</v>
      </c>
      <c r="G1998" s="0" t="n">
        <f aca="false">VLOOKUP(E1998,'MSA-Lookup'!$AA$1:$AB$25,2)</f>
        <v>7320</v>
      </c>
      <c r="H1998" s="0" t="n">
        <f aca="false">IF(C1998&gt;1,IF(C1998&lt;99,VLOOKUP(F1998,'MSA-Lookup'!$AA$1:$AB$25,2),C1998),C1998)</f>
        <v>7362</v>
      </c>
    </row>
    <row r="1999" customFormat="false" ht="12.75" hidden="false" customHeight="false" outlineLevel="0" collapsed="false">
      <c r="A1999" s="0" t="n">
        <f aca="false">B1999*1000+C1999</f>
        <v>35017</v>
      </c>
      <c r="B1999" s="0" t="n">
        <v>35</v>
      </c>
      <c r="C1999" s="0" t="n">
        <v>17</v>
      </c>
      <c r="D1999" s="0" t="n">
        <v>0</v>
      </c>
      <c r="E1999" s="0" t="n">
        <f aca="false">VLOOKUP(B1999,'MSA-Lookup'!$H$2:$I$86,2)</f>
        <v>7320</v>
      </c>
      <c r="F1999" s="0" t="n">
        <f aca="false">IF(C1999&gt;1,IF(C1999&lt;99,VLOOKUP(C1999,'MSA-Lookup'!$H$1:$I$86,2),C1999),C1999)</f>
        <v>5775</v>
      </c>
      <c r="G1999" s="0" t="n">
        <f aca="false">VLOOKUP(E1999,'MSA-Lookup'!$AA$1:$AB$25,2)</f>
        <v>7320</v>
      </c>
      <c r="H1999" s="0" t="n">
        <f aca="false">IF(C1999&gt;1,IF(C1999&lt;99,VLOOKUP(F1999,'MSA-Lookup'!$AA$1:$AB$25,2),C1999),C1999)</f>
        <v>7362</v>
      </c>
    </row>
    <row r="2000" customFormat="false" ht="12.75" hidden="false" customHeight="false" outlineLevel="0" collapsed="false">
      <c r="A2000" s="0" t="n">
        <f aca="false">B2000*1000+C2000</f>
        <v>35018</v>
      </c>
      <c r="B2000" s="0" t="n">
        <v>35</v>
      </c>
      <c r="C2000" s="0" t="n">
        <v>18</v>
      </c>
      <c r="D2000" s="0" t="n">
        <v>0</v>
      </c>
      <c r="E2000" s="0" t="n">
        <f aca="false">VLOOKUP(B2000,'MSA-Lookup'!$H$2:$I$86,2)</f>
        <v>7320</v>
      </c>
      <c r="F2000" s="0" t="n">
        <f aca="false">IF(C2000&gt;1,IF(C2000&lt;99,VLOOKUP(C2000,'MSA-Lookup'!$H$1:$I$86,2),C2000),C2000)</f>
        <v>5775</v>
      </c>
      <c r="G2000" s="0" t="n">
        <f aca="false">VLOOKUP(E2000,'MSA-Lookup'!$AA$1:$AB$25,2)</f>
        <v>7320</v>
      </c>
      <c r="H2000" s="0" t="n">
        <f aca="false">IF(C2000&gt;1,IF(C2000&lt;99,VLOOKUP(F2000,'MSA-Lookup'!$AA$1:$AB$25,2),C2000),C2000)</f>
        <v>7362</v>
      </c>
    </row>
    <row r="2001" customFormat="false" ht="12.75" hidden="false" customHeight="false" outlineLevel="0" collapsed="false">
      <c r="A2001" s="0" t="n">
        <f aca="false">B2001*1000+C2001</f>
        <v>35019</v>
      </c>
      <c r="B2001" s="0" t="n">
        <v>35</v>
      </c>
      <c r="C2001" s="0" t="n">
        <v>19</v>
      </c>
      <c r="D2001" s="0" t="n">
        <v>0</v>
      </c>
      <c r="E2001" s="0" t="n">
        <f aca="false">VLOOKUP(B2001,'MSA-Lookup'!$H$2:$I$86,2)</f>
        <v>7320</v>
      </c>
      <c r="F2001" s="0" t="n">
        <f aca="false">IF(C2001&gt;1,IF(C2001&lt;99,VLOOKUP(C2001,'MSA-Lookup'!$H$1:$I$86,2),C2001),C2001)</f>
        <v>7360</v>
      </c>
      <c r="G2001" s="0" t="n">
        <f aca="false">VLOOKUP(E2001,'MSA-Lookup'!$AA$1:$AB$25,2)</f>
        <v>7320</v>
      </c>
      <c r="H2001" s="0" t="n">
        <f aca="false">IF(C2001&gt;1,IF(C2001&lt;99,VLOOKUP(F2001,'MSA-Lookup'!$AA$1:$AB$25,2),C2001),C2001)</f>
        <v>7362</v>
      </c>
    </row>
    <row r="2002" customFormat="false" ht="12.75" hidden="false" customHeight="false" outlineLevel="0" collapsed="false">
      <c r="A2002" s="0" t="n">
        <f aca="false">B2002*1000+C2002</f>
        <v>35020</v>
      </c>
      <c r="B2002" s="0" t="n">
        <v>35</v>
      </c>
      <c r="C2002" s="0" t="n">
        <v>20</v>
      </c>
      <c r="D2002" s="0" t="n">
        <v>0</v>
      </c>
      <c r="E2002" s="0" t="n">
        <f aca="false">VLOOKUP(B2002,'MSA-Lookup'!$H$2:$I$86,2)</f>
        <v>7320</v>
      </c>
      <c r="F2002" s="0" t="n">
        <f aca="false">IF(C2002&gt;1,IF(C2002&lt;99,VLOOKUP(C2002,'MSA-Lookup'!$H$1:$I$86,2),C2002),C2002)</f>
        <v>5775</v>
      </c>
      <c r="G2002" s="0" t="n">
        <f aca="false">VLOOKUP(E2002,'MSA-Lookup'!$AA$1:$AB$25,2)</f>
        <v>7320</v>
      </c>
      <c r="H2002" s="0" t="n">
        <f aca="false">IF(C2002&gt;1,IF(C2002&lt;99,VLOOKUP(F2002,'MSA-Lookup'!$AA$1:$AB$25,2),C2002),C2002)</f>
        <v>7362</v>
      </c>
    </row>
    <row r="2003" customFormat="false" ht="12.75" hidden="false" customHeight="false" outlineLevel="0" collapsed="false">
      <c r="A2003" s="0" t="n">
        <f aca="false">B2003*1000+C2003</f>
        <v>35021</v>
      </c>
      <c r="B2003" s="0" t="n">
        <v>35</v>
      </c>
      <c r="C2003" s="0" t="n">
        <v>21</v>
      </c>
      <c r="D2003" s="0" t="n">
        <v>0</v>
      </c>
      <c r="E2003" s="0" t="n">
        <f aca="false">VLOOKUP(B2003,'MSA-Lookup'!$H$2:$I$86,2)</f>
        <v>7320</v>
      </c>
      <c r="F2003" s="0" t="n">
        <f aca="false">IF(C2003&gt;1,IF(C2003&lt;99,VLOOKUP(C2003,'MSA-Lookup'!$H$1:$I$86,2),C2003),C2003)</f>
        <v>5775</v>
      </c>
      <c r="G2003" s="0" t="n">
        <f aca="false">VLOOKUP(E2003,'MSA-Lookup'!$AA$1:$AB$25,2)</f>
        <v>7320</v>
      </c>
      <c r="H2003" s="0" t="n">
        <f aca="false">IF(C2003&gt;1,IF(C2003&lt;99,VLOOKUP(F2003,'MSA-Lookup'!$AA$1:$AB$25,2),C2003),C2003)</f>
        <v>7362</v>
      </c>
    </row>
    <row r="2004" customFormat="false" ht="12.75" hidden="false" customHeight="false" outlineLevel="0" collapsed="false">
      <c r="A2004" s="0" t="n">
        <f aca="false">B2004*1000+C2004</f>
        <v>35022</v>
      </c>
      <c r="B2004" s="0" t="n">
        <v>35</v>
      </c>
      <c r="C2004" s="0" t="n">
        <v>22</v>
      </c>
      <c r="D2004" s="0" t="n">
        <v>0</v>
      </c>
      <c r="E2004" s="0" t="n">
        <f aca="false">VLOOKUP(B2004,'MSA-Lookup'!$H$2:$I$86,2)</f>
        <v>7320</v>
      </c>
      <c r="F2004" s="0" t="n">
        <f aca="false">IF(C2004&gt;1,IF(C2004&lt;99,VLOOKUP(C2004,'MSA-Lookup'!$H$1:$I$86,2),C2004),C2004)</f>
        <v>7360</v>
      </c>
      <c r="G2004" s="0" t="n">
        <f aca="false">VLOOKUP(E2004,'MSA-Lookup'!$AA$1:$AB$25,2)</f>
        <v>7320</v>
      </c>
      <c r="H2004" s="0" t="n">
        <f aca="false">IF(C2004&gt;1,IF(C2004&lt;99,VLOOKUP(F2004,'MSA-Lookup'!$AA$1:$AB$25,2),C2004),C2004)</f>
        <v>7362</v>
      </c>
    </row>
    <row r="2005" customFormat="false" ht="12.75" hidden="false" customHeight="false" outlineLevel="0" collapsed="false">
      <c r="A2005" s="0" t="n">
        <f aca="false">B2005*1000+C2005</f>
        <v>35023</v>
      </c>
      <c r="B2005" s="0" t="n">
        <v>35</v>
      </c>
      <c r="C2005" s="0" t="n">
        <v>23</v>
      </c>
      <c r="D2005" s="0" t="n">
        <v>0</v>
      </c>
      <c r="E2005" s="0" t="n">
        <f aca="false">VLOOKUP(B2005,'MSA-Lookup'!$H$2:$I$86,2)</f>
        <v>7320</v>
      </c>
      <c r="F2005" s="0" t="n">
        <f aca="false">IF(C2005&gt;1,IF(C2005&lt;99,VLOOKUP(C2005,'MSA-Lookup'!$H$1:$I$86,2),C2005),C2005)</f>
        <v>8120</v>
      </c>
      <c r="G2005" s="0" t="n">
        <f aca="false">VLOOKUP(E2005,'MSA-Lookup'!$AA$1:$AB$25,2)</f>
        <v>7320</v>
      </c>
      <c r="H2005" s="0" t="n">
        <f aca="false">IF(C2005&gt;1,IF(C2005&lt;99,VLOOKUP(F2005,'MSA-Lookup'!$AA$1:$AB$25,2),C2005),C2005)</f>
        <v>8120</v>
      </c>
    </row>
    <row r="2006" customFormat="false" ht="12.75" hidden="false" customHeight="false" outlineLevel="0" collapsed="false">
      <c r="A2006" s="0" t="n">
        <f aca="false">B2006*1000+C2006</f>
        <v>35024</v>
      </c>
      <c r="B2006" s="0" t="n">
        <v>35</v>
      </c>
      <c r="C2006" s="0" t="n">
        <v>24</v>
      </c>
      <c r="D2006" s="0" t="n">
        <v>0</v>
      </c>
      <c r="E2006" s="0" t="n">
        <f aca="false">VLOOKUP(B2006,'MSA-Lookup'!$H$2:$I$86,2)</f>
        <v>7320</v>
      </c>
      <c r="F2006" s="0" t="n">
        <f aca="false">IF(C2006&gt;1,IF(C2006&lt;99,VLOOKUP(C2006,'MSA-Lookup'!$H$1:$I$86,2),C2006),C2006)</f>
        <v>5170</v>
      </c>
      <c r="G2006" s="0" t="n">
        <f aca="false">VLOOKUP(E2006,'MSA-Lookup'!$AA$1:$AB$25,2)</f>
        <v>7320</v>
      </c>
      <c r="H2006" s="0" t="n">
        <f aca="false">IF(C2006&gt;1,IF(C2006&lt;99,VLOOKUP(F2006,'MSA-Lookup'!$AA$1:$AB$25,2),C2006),C2006)</f>
        <v>5170</v>
      </c>
    </row>
    <row r="2007" customFormat="false" ht="12.75" hidden="false" customHeight="false" outlineLevel="0" collapsed="false">
      <c r="A2007" s="0" t="n">
        <f aca="false">B2007*1000+C2007</f>
        <v>35025</v>
      </c>
      <c r="B2007" s="0" t="n">
        <v>35</v>
      </c>
      <c r="C2007" s="0" t="n">
        <v>25</v>
      </c>
      <c r="D2007" s="0" t="n">
        <v>0</v>
      </c>
      <c r="E2007" s="0" t="n">
        <f aca="false">VLOOKUP(B2007,'MSA-Lookup'!$H$2:$I$86,2)</f>
        <v>7320</v>
      </c>
      <c r="F2007" s="0" t="n">
        <f aca="false">IF(C2007&gt;1,IF(C2007&lt;99,VLOOKUP(C2007,'MSA-Lookup'!$H$1:$I$86,2),C2007),C2007)</f>
        <v>5170</v>
      </c>
      <c r="G2007" s="0" t="n">
        <f aca="false">VLOOKUP(E2007,'MSA-Lookup'!$AA$1:$AB$25,2)</f>
        <v>7320</v>
      </c>
      <c r="H2007" s="0" t="n">
        <f aca="false">IF(C2007&gt;1,IF(C2007&lt;99,VLOOKUP(F2007,'MSA-Lookup'!$AA$1:$AB$25,2),C2007),C2007)</f>
        <v>5170</v>
      </c>
    </row>
    <row r="2008" customFormat="false" ht="12.75" hidden="false" customHeight="false" outlineLevel="0" collapsed="false">
      <c r="A2008" s="0" t="n">
        <f aca="false">B2008*1000+C2008</f>
        <v>35026</v>
      </c>
      <c r="B2008" s="0" t="n">
        <v>35</v>
      </c>
      <c r="C2008" s="0" t="n">
        <v>26</v>
      </c>
      <c r="D2008" s="0" t="n">
        <v>0</v>
      </c>
      <c r="E2008" s="0" t="n">
        <f aca="false">VLOOKUP(B2008,'MSA-Lookup'!$H$2:$I$86,2)</f>
        <v>7320</v>
      </c>
      <c r="F2008" s="0" t="n">
        <f aca="false">IF(C2008&gt;1,IF(C2008&lt;99,VLOOKUP(C2008,'MSA-Lookup'!$H$1:$I$86,2),C2008),C2008)</f>
        <v>9999</v>
      </c>
      <c r="G2008" s="0" t="n">
        <f aca="false">VLOOKUP(E2008,'MSA-Lookup'!$AA$1:$AB$25,2)</f>
        <v>7320</v>
      </c>
      <c r="H2008" s="0" t="n">
        <f aca="false">IF(C2008&gt;1,IF(C2008&lt;99,VLOOKUP(F2008,'MSA-Lookup'!$AA$1:$AB$25,2),C2008),C2008)</f>
        <v>9999</v>
      </c>
    </row>
    <row r="2009" customFormat="false" ht="12.75" hidden="false" customHeight="false" outlineLevel="0" collapsed="false">
      <c r="A2009" s="0" t="n">
        <f aca="false">B2009*1000+C2009</f>
        <v>35027</v>
      </c>
      <c r="B2009" s="0" t="n">
        <v>35</v>
      </c>
      <c r="C2009" s="0" t="n">
        <v>27</v>
      </c>
      <c r="D2009" s="0" t="n">
        <v>0</v>
      </c>
      <c r="E2009" s="0" t="n">
        <f aca="false">VLOOKUP(B2009,'MSA-Lookup'!$H$2:$I$86,2)</f>
        <v>7320</v>
      </c>
      <c r="F2009" s="0" t="n">
        <f aca="false">IF(C2009&gt;1,IF(C2009&lt;99,VLOOKUP(C2009,'MSA-Lookup'!$H$1:$I$86,2),C2009),C2009)</f>
        <v>9999</v>
      </c>
      <c r="G2009" s="0" t="n">
        <f aca="false">VLOOKUP(E2009,'MSA-Lookup'!$AA$1:$AB$25,2)</f>
        <v>7320</v>
      </c>
      <c r="H2009" s="0" t="n">
        <f aca="false">IF(C2009&gt;1,IF(C2009&lt;99,VLOOKUP(F2009,'MSA-Lookup'!$AA$1:$AB$25,2),C2009),C2009)</f>
        <v>9999</v>
      </c>
    </row>
    <row r="2010" customFormat="false" ht="12.75" hidden="false" customHeight="false" outlineLevel="0" collapsed="false">
      <c r="A2010" s="0" t="n">
        <f aca="false">B2010*1000+C2010</f>
        <v>35028</v>
      </c>
      <c r="B2010" s="0" t="n">
        <v>35</v>
      </c>
      <c r="C2010" s="0" t="n">
        <v>28</v>
      </c>
      <c r="D2010" s="0" t="n">
        <v>0</v>
      </c>
      <c r="E2010" s="0" t="n">
        <f aca="false">VLOOKUP(B2010,'MSA-Lookup'!$H$2:$I$86,2)</f>
        <v>7320</v>
      </c>
      <c r="F2010" s="0" t="n">
        <f aca="false">IF(C2010&gt;1,IF(C2010&lt;99,VLOOKUP(C2010,'MSA-Lookup'!$H$1:$I$86,2),C2010),C2010)</f>
        <v>6920</v>
      </c>
      <c r="G2010" s="0" t="n">
        <f aca="false">VLOOKUP(E2010,'MSA-Lookup'!$AA$1:$AB$25,2)</f>
        <v>7320</v>
      </c>
      <c r="H2010" s="0" t="n">
        <f aca="false">IF(C2010&gt;1,IF(C2010&lt;99,VLOOKUP(F2010,'MSA-Lookup'!$AA$1:$AB$25,2),C2010),C2010)</f>
        <v>6920</v>
      </c>
    </row>
    <row r="2011" customFormat="false" ht="12.75" hidden="false" customHeight="false" outlineLevel="0" collapsed="false">
      <c r="A2011" s="0" t="n">
        <f aca="false">B2011*1000+C2011</f>
        <v>35029</v>
      </c>
      <c r="B2011" s="0" t="n">
        <v>35</v>
      </c>
      <c r="C2011" s="0" t="n">
        <v>29</v>
      </c>
      <c r="D2011" s="0" t="n">
        <v>0</v>
      </c>
      <c r="E2011" s="0" t="n">
        <f aca="false">VLOOKUP(B2011,'MSA-Lookup'!$H$2:$I$86,2)</f>
        <v>7320</v>
      </c>
      <c r="F2011" s="0" t="n">
        <f aca="false">IF(C2011&gt;1,IF(C2011&lt;99,VLOOKUP(C2011,'MSA-Lookup'!$H$1:$I$86,2),C2011),C2011)</f>
        <v>6920</v>
      </c>
      <c r="G2011" s="0" t="n">
        <f aca="false">VLOOKUP(E2011,'MSA-Lookup'!$AA$1:$AB$25,2)</f>
        <v>7320</v>
      </c>
      <c r="H2011" s="0" t="n">
        <f aca="false">IF(C2011&gt;1,IF(C2011&lt;99,VLOOKUP(F2011,'MSA-Lookup'!$AA$1:$AB$25,2),C2011),C2011)</f>
        <v>6920</v>
      </c>
    </row>
    <row r="2012" customFormat="false" ht="12.75" hidden="false" customHeight="false" outlineLevel="0" collapsed="false">
      <c r="A2012" s="0" t="n">
        <f aca="false">B2012*1000+C2012</f>
        <v>35030</v>
      </c>
      <c r="B2012" s="0" t="n">
        <v>35</v>
      </c>
      <c r="C2012" s="0" t="n">
        <v>30</v>
      </c>
      <c r="D2012" s="0" t="n">
        <v>0</v>
      </c>
      <c r="E2012" s="0" t="n">
        <f aca="false">VLOOKUP(B2012,'MSA-Lookup'!$H$2:$I$86,2)</f>
        <v>7320</v>
      </c>
      <c r="F2012" s="0" t="n">
        <f aca="false">IF(C2012&gt;1,IF(C2012&lt;99,VLOOKUP(C2012,'MSA-Lookup'!$H$1:$I$86,2),C2012),C2012)</f>
        <v>4940</v>
      </c>
      <c r="G2012" s="0" t="n">
        <f aca="false">VLOOKUP(E2012,'MSA-Lookup'!$AA$1:$AB$25,2)</f>
        <v>7320</v>
      </c>
      <c r="H2012" s="0" t="n">
        <f aca="false">IF(C2012&gt;1,IF(C2012&lt;99,VLOOKUP(F2012,'MSA-Lookup'!$AA$1:$AB$25,2),C2012),C2012)</f>
        <v>4940</v>
      </c>
    </row>
    <row r="2013" customFormat="false" ht="12.75" hidden="false" customHeight="false" outlineLevel="0" collapsed="false">
      <c r="A2013" s="0" t="n">
        <f aca="false">B2013*1000+C2013</f>
        <v>35031</v>
      </c>
      <c r="B2013" s="0" t="n">
        <v>35</v>
      </c>
      <c r="C2013" s="0" t="n">
        <v>31</v>
      </c>
      <c r="D2013" s="0" t="n">
        <v>0</v>
      </c>
      <c r="E2013" s="0" t="n">
        <f aca="false">VLOOKUP(B2013,'MSA-Lookup'!$H$2:$I$86,2)</f>
        <v>7320</v>
      </c>
      <c r="F2013" s="0" t="n">
        <f aca="false">IF(C2013&gt;1,IF(C2013&lt;99,VLOOKUP(C2013,'MSA-Lookup'!$H$1:$I$86,2),C2013),C2013)</f>
        <v>9999</v>
      </c>
      <c r="G2013" s="0" t="n">
        <f aca="false">VLOOKUP(E2013,'MSA-Lookup'!$AA$1:$AB$25,2)</f>
        <v>7320</v>
      </c>
      <c r="H2013" s="0" t="n">
        <f aca="false">IF(C2013&gt;1,IF(C2013&lt;99,VLOOKUP(F2013,'MSA-Lookup'!$AA$1:$AB$25,2),C2013),C2013)</f>
        <v>9999</v>
      </c>
    </row>
    <row r="2014" customFormat="false" ht="12.75" hidden="false" customHeight="false" outlineLevel="0" collapsed="false">
      <c r="A2014" s="0" t="n">
        <f aca="false">B2014*1000+C2014</f>
        <v>35032</v>
      </c>
      <c r="B2014" s="0" t="n">
        <v>35</v>
      </c>
      <c r="C2014" s="0" t="n">
        <v>32</v>
      </c>
      <c r="D2014" s="0" t="n">
        <v>0</v>
      </c>
      <c r="E2014" s="0" t="n">
        <f aca="false">VLOOKUP(B2014,'MSA-Lookup'!$H$2:$I$86,2)</f>
        <v>7320</v>
      </c>
      <c r="F2014" s="0" t="n">
        <f aca="false">IF(C2014&gt;1,IF(C2014&lt;99,VLOOKUP(C2014,'MSA-Lookup'!$H$1:$I$86,2),C2014),C2014)</f>
        <v>7480</v>
      </c>
      <c r="G2014" s="0" t="n">
        <f aca="false">VLOOKUP(E2014,'MSA-Lookup'!$AA$1:$AB$25,2)</f>
        <v>7320</v>
      </c>
      <c r="H2014" s="0" t="n">
        <f aca="false">IF(C2014&gt;1,IF(C2014&lt;99,VLOOKUP(F2014,'MSA-Lookup'!$AA$1:$AB$25,2),C2014),C2014)</f>
        <v>7480</v>
      </c>
    </row>
    <row r="2015" customFormat="false" ht="12.75" hidden="false" customHeight="false" outlineLevel="0" collapsed="false">
      <c r="A2015" s="0" t="n">
        <f aca="false">B2015*1000+C2015</f>
        <v>35033</v>
      </c>
      <c r="B2015" s="0" t="n">
        <v>35</v>
      </c>
      <c r="C2015" s="0" t="n">
        <v>33</v>
      </c>
      <c r="D2015" s="0" t="n">
        <v>11934</v>
      </c>
      <c r="E2015" s="0" t="n">
        <f aca="false">VLOOKUP(B2015,'MSA-Lookup'!$H$2:$I$86,2)</f>
        <v>7320</v>
      </c>
      <c r="F2015" s="0" t="n">
        <f aca="false">IF(C2015&gt;1,IF(C2015&lt;99,VLOOKUP(C2015,'MSA-Lookup'!$H$1:$I$86,2),C2015),C2015)</f>
        <v>7320</v>
      </c>
      <c r="G2015" s="0" t="n">
        <f aca="false">VLOOKUP(E2015,'MSA-Lookup'!$AA$1:$AB$25,2)</f>
        <v>7320</v>
      </c>
      <c r="H2015" s="0" t="n">
        <f aca="false">IF(C2015&gt;1,IF(C2015&lt;99,VLOOKUP(F2015,'MSA-Lookup'!$AA$1:$AB$25,2),C2015),C2015)</f>
        <v>7320</v>
      </c>
    </row>
    <row r="2016" customFormat="false" ht="12.75" hidden="false" customHeight="false" outlineLevel="0" collapsed="false">
      <c r="A2016" s="0" t="n">
        <f aca="false">B2016*1000+C2016</f>
        <v>35034</v>
      </c>
      <c r="B2016" s="0" t="n">
        <v>35</v>
      </c>
      <c r="C2016" s="0" t="n">
        <v>34</v>
      </c>
      <c r="D2016" s="0" t="n">
        <v>988</v>
      </c>
      <c r="E2016" s="0" t="n">
        <f aca="false">VLOOKUP(B2016,'MSA-Lookup'!$H$2:$I$86,2)</f>
        <v>7320</v>
      </c>
      <c r="F2016" s="0" t="n">
        <f aca="false">IF(C2016&gt;1,IF(C2016&lt;99,VLOOKUP(C2016,'MSA-Lookup'!$H$1:$I$86,2),C2016),C2016)</f>
        <v>7320</v>
      </c>
      <c r="G2016" s="0" t="n">
        <f aca="false">VLOOKUP(E2016,'MSA-Lookup'!$AA$1:$AB$25,2)</f>
        <v>7320</v>
      </c>
      <c r="H2016" s="0" t="n">
        <f aca="false">IF(C2016&gt;1,IF(C2016&lt;99,VLOOKUP(F2016,'MSA-Lookup'!$AA$1:$AB$25,2),C2016),C2016)</f>
        <v>7320</v>
      </c>
    </row>
    <row r="2017" customFormat="false" ht="12.75" hidden="false" customHeight="false" outlineLevel="0" collapsed="false">
      <c r="A2017" s="0" t="n">
        <f aca="false">B2017*1000+C2017</f>
        <v>35035</v>
      </c>
      <c r="B2017" s="0" t="n">
        <v>35</v>
      </c>
      <c r="C2017" s="0" t="n">
        <v>35</v>
      </c>
      <c r="D2017" s="0" t="n">
        <v>23023</v>
      </c>
      <c r="E2017" s="0" t="n">
        <f aca="false">VLOOKUP(B2017,'MSA-Lookup'!$H$2:$I$86,2)</f>
        <v>7320</v>
      </c>
      <c r="F2017" s="0" t="n">
        <f aca="false">IF(C2017&gt;1,IF(C2017&lt;99,VLOOKUP(C2017,'MSA-Lookup'!$H$1:$I$86,2),C2017),C2017)</f>
        <v>7320</v>
      </c>
      <c r="G2017" s="0" t="n">
        <f aca="false">VLOOKUP(E2017,'MSA-Lookup'!$AA$1:$AB$25,2)</f>
        <v>7320</v>
      </c>
      <c r="H2017" s="0" t="n">
        <f aca="false">IF(C2017&gt;1,IF(C2017&lt;99,VLOOKUP(F2017,'MSA-Lookup'!$AA$1:$AB$25,2),C2017),C2017)</f>
        <v>7320</v>
      </c>
    </row>
    <row r="2018" customFormat="false" ht="12.75" hidden="false" customHeight="false" outlineLevel="0" collapsed="false">
      <c r="A2018" s="0" t="n">
        <f aca="false">B2018*1000+C2018</f>
        <v>35036</v>
      </c>
      <c r="B2018" s="0" t="n">
        <v>35</v>
      </c>
      <c r="C2018" s="0" t="n">
        <v>36</v>
      </c>
      <c r="D2018" s="0" t="n">
        <v>195</v>
      </c>
      <c r="E2018" s="0" t="n">
        <f aca="false">VLOOKUP(B2018,'MSA-Lookup'!$H$2:$I$86,2)</f>
        <v>7320</v>
      </c>
      <c r="F2018" s="0" t="n">
        <f aca="false">IF(C2018&gt;1,IF(C2018&lt;99,VLOOKUP(C2018,'MSA-Lookup'!$H$1:$I$86,2),C2018),C2018)</f>
        <v>7320</v>
      </c>
      <c r="G2018" s="0" t="n">
        <f aca="false">VLOOKUP(E2018,'MSA-Lookup'!$AA$1:$AB$25,2)</f>
        <v>7320</v>
      </c>
      <c r="H2018" s="0" t="n">
        <f aca="false">IF(C2018&gt;1,IF(C2018&lt;99,VLOOKUP(F2018,'MSA-Lookup'!$AA$1:$AB$25,2),C2018),C2018)</f>
        <v>7320</v>
      </c>
    </row>
    <row r="2019" customFormat="false" ht="12.75" hidden="false" customHeight="false" outlineLevel="0" collapsed="false">
      <c r="A2019" s="0" t="n">
        <f aca="false">B2019*1000+C2019</f>
        <v>35037</v>
      </c>
      <c r="B2019" s="0" t="n">
        <v>35</v>
      </c>
      <c r="C2019" s="0" t="n">
        <v>37</v>
      </c>
      <c r="D2019" s="0" t="n">
        <v>13221</v>
      </c>
      <c r="E2019" s="0" t="n">
        <f aca="false">VLOOKUP(B2019,'MSA-Lookup'!$H$2:$I$86,2)</f>
        <v>7320</v>
      </c>
      <c r="F2019" s="0" t="n">
        <f aca="false">IF(C2019&gt;1,IF(C2019&lt;99,VLOOKUP(C2019,'MSA-Lookup'!$H$1:$I$86,2),C2019),C2019)</f>
        <v>7320</v>
      </c>
      <c r="G2019" s="0" t="n">
        <f aca="false">VLOOKUP(E2019,'MSA-Lookup'!$AA$1:$AB$25,2)</f>
        <v>7320</v>
      </c>
      <c r="H2019" s="0" t="n">
        <f aca="false">IF(C2019&gt;1,IF(C2019&lt;99,VLOOKUP(F2019,'MSA-Lookup'!$AA$1:$AB$25,2),C2019),C2019)</f>
        <v>7320</v>
      </c>
    </row>
    <row r="2020" customFormat="false" ht="12.75" hidden="false" customHeight="false" outlineLevel="0" collapsed="false">
      <c r="A2020" s="0" t="n">
        <f aca="false">B2020*1000+C2020</f>
        <v>35038</v>
      </c>
      <c r="B2020" s="0" t="n">
        <v>35</v>
      </c>
      <c r="C2020" s="0" t="n">
        <v>38</v>
      </c>
      <c r="D2020" s="0" t="n">
        <v>0</v>
      </c>
      <c r="E2020" s="0" t="n">
        <f aca="false">VLOOKUP(B2020,'MSA-Lookup'!$H$2:$I$86,2)</f>
        <v>7320</v>
      </c>
      <c r="F2020" s="0" t="n">
        <f aca="false">IF(C2020&gt;1,IF(C2020&lt;99,VLOOKUP(C2020,'MSA-Lookup'!$H$1:$I$86,2),C2020),C2020)</f>
        <v>7120</v>
      </c>
      <c r="G2020" s="0" t="n">
        <f aca="false">VLOOKUP(E2020,'MSA-Lookup'!$AA$1:$AB$25,2)</f>
        <v>7320</v>
      </c>
      <c r="H2020" s="0" t="n">
        <f aca="false">IF(C2020&gt;1,IF(C2020&lt;99,VLOOKUP(F2020,'MSA-Lookup'!$AA$1:$AB$25,2),C2020),C2020)</f>
        <v>7120</v>
      </c>
    </row>
    <row r="2021" customFormat="false" ht="12.75" hidden="false" customHeight="false" outlineLevel="0" collapsed="false">
      <c r="A2021" s="0" t="n">
        <f aca="false">B2021*1000+C2021</f>
        <v>35039</v>
      </c>
      <c r="B2021" s="0" t="n">
        <v>35</v>
      </c>
      <c r="C2021" s="0" t="n">
        <v>39</v>
      </c>
      <c r="D2021" s="0" t="n">
        <v>169</v>
      </c>
      <c r="E2021" s="0" t="n">
        <f aca="false">VLOOKUP(B2021,'MSA-Lookup'!$H$2:$I$86,2)</f>
        <v>7320</v>
      </c>
      <c r="F2021" s="0" t="n">
        <f aca="false">IF(C2021&gt;1,IF(C2021&lt;99,VLOOKUP(C2021,'MSA-Lookup'!$H$1:$I$86,2),C2021),C2021)</f>
        <v>7120</v>
      </c>
      <c r="G2021" s="0" t="n">
        <f aca="false">VLOOKUP(E2021,'MSA-Lookup'!$AA$1:$AB$25,2)</f>
        <v>7320</v>
      </c>
      <c r="H2021" s="0" t="n">
        <f aca="false">IF(C2021&gt;1,IF(C2021&lt;99,VLOOKUP(F2021,'MSA-Lookup'!$AA$1:$AB$25,2),C2021),C2021)</f>
        <v>7120</v>
      </c>
    </row>
    <row r="2022" customFormat="false" ht="12.75" hidden="false" customHeight="false" outlineLevel="0" collapsed="false">
      <c r="A2022" s="0" t="n">
        <f aca="false">B2022*1000+C2022</f>
        <v>35040</v>
      </c>
      <c r="B2022" s="0" t="n">
        <v>35</v>
      </c>
      <c r="C2022" s="0" t="n">
        <v>40</v>
      </c>
      <c r="D2022" s="0" t="n">
        <v>0</v>
      </c>
      <c r="E2022" s="0" t="n">
        <f aca="false">VLOOKUP(B2022,'MSA-Lookup'!$H$2:$I$86,2)</f>
        <v>7320</v>
      </c>
      <c r="F2022" s="0" t="n">
        <f aca="false">IF(C2022&gt;1,IF(C2022&lt;99,VLOOKUP(C2022,'MSA-Lookup'!$H$1:$I$86,2),C2022),C2022)</f>
        <v>2840</v>
      </c>
      <c r="G2022" s="0" t="n">
        <f aca="false">VLOOKUP(E2022,'MSA-Lookup'!$AA$1:$AB$25,2)</f>
        <v>7320</v>
      </c>
      <c r="H2022" s="0" t="n">
        <f aca="false">IF(C2022&gt;1,IF(C2022&lt;99,VLOOKUP(F2022,'MSA-Lookup'!$AA$1:$AB$25,2),C2022),C2022)</f>
        <v>2840</v>
      </c>
    </row>
    <row r="2023" customFormat="false" ht="12.75" hidden="false" customHeight="false" outlineLevel="0" collapsed="false">
      <c r="A2023" s="0" t="n">
        <f aca="false">B2023*1000+C2023</f>
        <v>35041</v>
      </c>
      <c r="B2023" s="0" t="n">
        <v>35</v>
      </c>
      <c r="C2023" s="0" t="n">
        <v>41</v>
      </c>
      <c r="D2023" s="0" t="n">
        <v>0</v>
      </c>
      <c r="E2023" s="0" t="n">
        <f aca="false">VLOOKUP(B2023,'MSA-Lookup'!$H$2:$I$86,2)</f>
        <v>7320</v>
      </c>
      <c r="F2023" s="0" t="n">
        <f aca="false">IF(C2023&gt;1,IF(C2023&lt;99,VLOOKUP(C2023,'MSA-Lookup'!$H$1:$I$86,2),C2023),C2023)</f>
        <v>2840</v>
      </c>
      <c r="G2023" s="0" t="n">
        <f aca="false">VLOOKUP(E2023,'MSA-Lookup'!$AA$1:$AB$25,2)</f>
        <v>7320</v>
      </c>
      <c r="H2023" s="0" t="n">
        <f aca="false">IF(C2023&gt;1,IF(C2023&lt;99,VLOOKUP(F2023,'MSA-Lookup'!$AA$1:$AB$25,2),C2023),C2023)</f>
        <v>2840</v>
      </c>
    </row>
    <row r="2024" customFormat="false" ht="12.75" hidden="false" customHeight="false" outlineLevel="0" collapsed="false">
      <c r="A2024" s="0" t="n">
        <f aca="false">B2024*1000+C2024</f>
        <v>35042</v>
      </c>
      <c r="B2024" s="0" t="n">
        <v>35</v>
      </c>
      <c r="C2024" s="0" t="n">
        <v>42</v>
      </c>
      <c r="D2024" s="0" t="n">
        <v>0</v>
      </c>
      <c r="E2024" s="0" t="n">
        <f aca="false">VLOOKUP(B2024,'MSA-Lookup'!$H$2:$I$86,2)</f>
        <v>7320</v>
      </c>
      <c r="F2024" s="0" t="n">
        <f aca="false">IF(C2024&gt;1,IF(C2024&lt;99,VLOOKUP(C2024,'MSA-Lookup'!$H$1:$I$86,2),C2024),C2024)</f>
        <v>360</v>
      </c>
      <c r="G2024" s="0" t="n">
        <f aca="false">VLOOKUP(E2024,'MSA-Lookup'!$AA$1:$AB$25,2)</f>
        <v>7320</v>
      </c>
      <c r="H2024" s="0" t="n">
        <f aca="false">IF(C2024&gt;1,IF(C2024&lt;99,VLOOKUP(F2024,'MSA-Lookup'!$AA$1:$AB$25,2),C2024),C2024)</f>
        <v>4472</v>
      </c>
    </row>
    <row r="2025" customFormat="false" ht="12.75" hidden="false" customHeight="false" outlineLevel="0" collapsed="false">
      <c r="A2025" s="0" t="n">
        <f aca="false">B2025*1000+C2025</f>
        <v>35043</v>
      </c>
      <c r="B2025" s="0" t="n">
        <v>35</v>
      </c>
      <c r="C2025" s="0" t="n">
        <v>43</v>
      </c>
      <c r="D2025" s="0" t="n">
        <v>0</v>
      </c>
      <c r="E2025" s="0" t="n">
        <f aca="false">VLOOKUP(B2025,'MSA-Lookup'!$H$2:$I$86,2)</f>
        <v>7320</v>
      </c>
      <c r="F2025" s="0" t="n">
        <f aca="false">IF(C2025&gt;1,IF(C2025&lt;99,VLOOKUP(C2025,'MSA-Lookup'!$H$1:$I$86,2),C2025),C2025)</f>
        <v>360</v>
      </c>
      <c r="G2025" s="0" t="n">
        <f aca="false">VLOOKUP(E2025,'MSA-Lookup'!$AA$1:$AB$25,2)</f>
        <v>7320</v>
      </c>
      <c r="H2025" s="0" t="n">
        <f aca="false">IF(C2025&gt;1,IF(C2025&lt;99,VLOOKUP(F2025,'MSA-Lookup'!$AA$1:$AB$25,2),C2025),C2025)</f>
        <v>4472</v>
      </c>
    </row>
    <row r="2026" customFormat="false" ht="12.75" hidden="false" customHeight="false" outlineLevel="0" collapsed="false">
      <c r="A2026" s="0" t="n">
        <f aca="false">B2026*1000+C2026</f>
        <v>35044</v>
      </c>
      <c r="B2026" s="0" t="n">
        <v>35</v>
      </c>
      <c r="C2026" s="0" t="n">
        <v>44</v>
      </c>
      <c r="D2026" s="0" t="n">
        <v>0</v>
      </c>
      <c r="E2026" s="0" t="n">
        <f aca="false">VLOOKUP(B2026,'MSA-Lookup'!$H$2:$I$86,2)</f>
        <v>7320</v>
      </c>
      <c r="F2026" s="0" t="n">
        <f aca="false">IF(C2026&gt;1,IF(C2026&lt;99,VLOOKUP(C2026,'MSA-Lookup'!$H$1:$I$86,2),C2026),C2026)</f>
        <v>360</v>
      </c>
      <c r="G2026" s="0" t="n">
        <f aca="false">VLOOKUP(E2026,'MSA-Lookup'!$AA$1:$AB$25,2)</f>
        <v>7320</v>
      </c>
      <c r="H2026" s="0" t="n">
        <f aca="false">IF(C2026&gt;1,IF(C2026&lt;99,VLOOKUP(F2026,'MSA-Lookup'!$AA$1:$AB$25,2),C2026),C2026)</f>
        <v>4472</v>
      </c>
    </row>
    <row r="2027" customFormat="false" ht="12.75" hidden="false" customHeight="false" outlineLevel="0" collapsed="false">
      <c r="A2027" s="0" t="n">
        <f aca="false">B2027*1000+C2027</f>
        <v>35045</v>
      </c>
      <c r="B2027" s="0" t="n">
        <v>35</v>
      </c>
      <c r="C2027" s="0" t="n">
        <v>45</v>
      </c>
      <c r="D2027" s="0" t="n">
        <v>91</v>
      </c>
      <c r="E2027" s="0" t="n">
        <f aca="false">VLOOKUP(B2027,'MSA-Lookup'!$H$2:$I$86,2)</f>
        <v>7320</v>
      </c>
      <c r="F2027" s="0" t="n">
        <f aca="false">IF(C2027&gt;1,IF(C2027&lt;99,VLOOKUP(C2027,'MSA-Lookup'!$H$1:$I$86,2),C2027),C2027)</f>
        <v>360</v>
      </c>
      <c r="G2027" s="0" t="n">
        <f aca="false">VLOOKUP(E2027,'MSA-Lookup'!$AA$1:$AB$25,2)</f>
        <v>7320</v>
      </c>
      <c r="H2027" s="0" t="n">
        <f aca="false">IF(C2027&gt;1,IF(C2027&lt;99,VLOOKUP(F2027,'MSA-Lookup'!$AA$1:$AB$25,2),C2027),C2027)</f>
        <v>4472</v>
      </c>
    </row>
    <row r="2028" customFormat="false" ht="12.75" hidden="false" customHeight="false" outlineLevel="0" collapsed="false">
      <c r="A2028" s="0" t="n">
        <f aca="false">B2028*1000+C2028</f>
        <v>35046</v>
      </c>
      <c r="B2028" s="0" t="n">
        <v>35</v>
      </c>
      <c r="C2028" s="0" t="n">
        <v>46</v>
      </c>
      <c r="D2028" s="0" t="n">
        <v>0</v>
      </c>
      <c r="E2028" s="0" t="n">
        <f aca="false">VLOOKUP(B2028,'MSA-Lookup'!$H$2:$I$86,2)</f>
        <v>7320</v>
      </c>
      <c r="F2028" s="0" t="n">
        <f aca="false">IF(C2028&gt;1,IF(C2028&lt;99,VLOOKUP(C2028,'MSA-Lookup'!$H$1:$I$86,2),C2028),C2028)</f>
        <v>360</v>
      </c>
      <c r="G2028" s="0" t="n">
        <f aca="false">VLOOKUP(E2028,'MSA-Lookup'!$AA$1:$AB$25,2)</f>
        <v>7320</v>
      </c>
      <c r="H2028" s="0" t="n">
        <f aca="false">IF(C2028&gt;1,IF(C2028&lt;99,VLOOKUP(F2028,'MSA-Lookup'!$AA$1:$AB$25,2),C2028),C2028)</f>
        <v>4472</v>
      </c>
    </row>
    <row r="2029" customFormat="false" ht="12.75" hidden="false" customHeight="false" outlineLevel="0" collapsed="false">
      <c r="A2029" s="0" t="n">
        <f aca="false">B2029*1000+C2029</f>
        <v>35047</v>
      </c>
      <c r="B2029" s="0" t="n">
        <v>35</v>
      </c>
      <c r="C2029" s="0" t="n">
        <v>47</v>
      </c>
      <c r="D2029" s="0" t="n">
        <v>0</v>
      </c>
      <c r="E2029" s="0" t="n">
        <f aca="false">VLOOKUP(B2029,'MSA-Lookup'!$H$2:$I$86,2)</f>
        <v>7320</v>
      </c>
      <c r="F2029" s="0" t="n">
        <f aca="false">IF(C2029&gt;1,IF(C2029&lt;99,VLOOKUP(C2029,'MSA-Lookup'!$H$1:$I$86,2),C2029),C2029)</f>
        <v>360</v>
      </c>
      <c r="G2029" s="0" t="n">
        <f aca="false">VLOOKUP(E2029,'MSA-Lookup'!$AA$1:$AB$25,2)</f>
        <v>7320</v>
      </c>
      <c r="H2029" s="0" t="n">
        <f aca="false">IF(C2029&gt;1,IF(C2029&lt;99,VLOOKUP(F2029,'MSA-Lookup'!$AA$1:$AB$25,2),C2029),C2029)</f>
        <v>4472</v>
      </c>
    </row>
    <row r="2030" customFormat="false" ht="12.75" hidden="false" customHeight="false" outlineLevel="0" collapsed="false">
      <c r="A2030" s="0" t="n">
        <f aca="false">B2030*1000+C2030</f>
        <v>35048</v>
      </c>
      <c r="B2030" s="0" t="n">
        <v>35</v>
      </c>
      <c r="C2030" s="0" t="n">
        <v>48</v>
      </c>
      <c r="D2030" s="0" t="n">
        <v>0</v>
      </c>
      <c r="E2030" s="0" t="n">
        <f aca="false">VLOOKUP(B2030,'MSA-Lookup'!$H$2:$I$86,2)</f>
        <v>7320</v>
      </c>
      <c r="F2030" s="0" t="n">
        <f aca="false">IF(C2030&gt;1,IF(C2030&lt;99,VLOOKUP(C2030,'MSA-Lookup'!$H$1:$I$86,2),C2030),C2030)</f>
        <v>360</v>
      </c>
      <c r="G2030" s="0" t="n">
        <f aca="false">VLOOKUP(E2030,'MSA-Lookup'!$AA$1:$AB$25,2)</f>
        <v>7320</v>
      </c>
      <c r="H2030" s="0" t="n">
        <f aca="false">IF(C2030&gt;1,IF(C2030&lt;99,VLOOKUP(F2030,'MSA-Lookup'!$AA$1:$AB$25,2),C2030),C2030)</f>
        <v>4472</v>
      </c>
    </row>
    <row r="2031" customFormat="false" ht="12.75" hidden="false" customHeight="false" outlineLevel="0" collapsed="false">
      <c r="A2031" s="0" t="n">
        <f aca="false">B2031*1000+C2031</f>
        <v>35049</v>
      </c>
      <c r="B2031" s="0" t="n">
        <v>35</v>
      </c>
      <c r="C2031" s="0" t="n">
        <v>49</v>
      </c>
      <c r="D2031" s="0" t="n">
        <v>0</v>
      </c>
      <c r="E2031" s="0" t="n">
        <f aca="false">VLOOKUP(B2031,'MSA-Lookup'!$H$2:$I$86,2)</f>
        <v>7320</v>
      </c>
      <c r="F2031" s="0" t="n">
        <f aca="false">IF(C2031&gt;1,IF(C2031&lt;99,VLOOKUP(C2031,'MSA-Lookup'!$H$1:$I$86,2),C2031),C2031)</f>
        <v>7400</v>
      </c>
      <c r="G2031" s="0" t="n">
        <f aca="false">VLOOKUP(E2031,'MSA-Lookup'!$AA$1:$AB$25,2)</f>
        <v>7320</v>
      </c>
      <c r="H2031" s="0" t="n">
        <f aca="false">IF(C2031&gt;1,IF(C2031&lt;99,VLOOKUP(F2031,'MSA-Lookup'!$AA$1:$AB$25,2),C2031),C2031)</f>
        <v>7362</v>
      </c>
    </row>
    <row r="2032" customFormat="false" ht="12.75" hidden="false" customHeight="false" outlineLevel="0" collapsed="false">
      <c r="A2032" s="0" t="n">
        <f aca="false">B2032*1000+C2032</f>
        <v>35050</v>
      </c>
      <c r="B2032" s="0" t="n">
        <v>35</v>
      </c>
      <c r="C2032" s="0" t="n">
        <v>50</v>
      </c>
      <c r="D2032" s="0" t="n">
        <v>0</v>
      </c>
      <c r="E2032" s="0" t="n">
        <f aca="false">VLOOKUP(B2032,'MSA-Lookup'!$H$2:$I$86,2)</f>
        <v>7320</v>
      </c>
      <c r="F2032" s="0" t="n">
        <f aca="false">IF(C2032&gt;1,IF(C2032&lt;99,VLOOKUP(C2032,'MSA-Lookup'!$H$1:$I$86,2),C2032),C2032)</f>
        <v>7400</v>
      </c>
      <c r="G2032" s="0" t="n">
        <f aca="false">VLOOKUP(E2032,'MSA-Lookup'!$AA$1:$AB$25,2)</f>
        <v>7320</v>
      </c>
      <c r="H2032" s="0" t="n">
        <f aca="false">IF(C2032&gt;1,IF(C2032&lt;99,VLOOKUP(F2032,'MSA-Lookup'!$AA$1:$AB$25,2),C2032),C2032)</f>
        <v>7362</v>
      </c>
    </row>
    <row r="2033" customFormat="false" ht="12.75" hidden="false" customHeight="false" outlineLevel="0" collapsed="false">
      <c r="A2033" s="0" t="n">
        <f aca="false">B2033*1000+C2033</f>
        <v>35051</v>
      </c>
      <c r="B2033" s="0" t="n">
        <v>35</v>
      </c>
      <c r="C2033" s="0" t="n">
        <v>51</v>
      </c>
      <c r="D2033" s="0" t="n">
        <v>0</v>
      </c>
      <c r="E2033" s="0" t="n">
        <f aca="false">VLOOKUP(B2033,'MSA-Lookup'!$H$2:$I$86,2)</f>
        <v>7320</v>
      </c>
      <c r="F2033" s="0" t="n">
        <f aca="false">IF(C2033&gt;1,IF(C2033&lt;99,VLOOKUP(C2033,'MSA-Lookup'!$H$1:$I$86,2),C2033),C2033)</f>
        <v>7400</v>
      </c>
      <c r="G2033" s="0" t="n">
        <f aca="false">VLOOKUP(E2033,'MSA-Lookup'!$AA$1:$AB$25,2)</f>
        <v>7320</v>
      </c>
      <c r="H2033" s="0" t="n">
        <f aca="false">IF(C2033&gt;1,IF(C2033&lt;99,VLOOKUP(F2033,'MSA-Lookup'!$AA$1:$AB$25,2),C2033),C2033)</f>
        <v>7362</v>
      </c>
    </row>
    <row r="2034" customFormat="false" ht="12.75" hidden="false" customHeight="false" outlineLevel="0" collapsed="false">
      <c r="A2034" s="0" t="n">
        <f aca="false">B2034*1000+C2034</f>
        <v>35052</v>
      </c>
      <c r="B2034" s="0" t="n">
        <v>35</v>
      </c>
      <c r="C2034" s="0" t="n">
        <v>52</v>
      </c>
      <c r="D2034" s="0" t="n">
        <v>0</v>
      </c>
      <c r="E2034" s="0" t="n">
        <f aca="false">VLOOKUP(B2034,'MSA-Lookup'!$H$2:$I$86,2)</f>
        <v>7320</v>
      </c>
      <c r="F2034" s="0" t="n">
        <f aca="false">IF(C2034&gt;1,IF(C2034&lt;99,VLOOKUP(C2034,'MSA-Lookup'!$H$1:$I$86,2),C2034),C2034)</f>
        <v>4480</v>
      </c>
      <c r="G2034" s="0" t="n">
        <f aca="false">VLOOKUP(E2034,'MSA-Lookup'!$AA$1:$AB$25,2)</f>
        <v>7320</v>
      </c>
      <c r="H2034" s="0" t="n">
        <f aca="false">IF(C2034&gt;1,IF(C2034&lt;99,VLOOKUP(F2034,'MSA-Lookup'!$AA$1:$AB$25,2),C2034),C2034)</f>
        <v>4472</v>
      </c>
    </row>
    <row r="2035" customFormat="false" ht="12.75" hidden="false" customHeight="false" outlineLevel="0" collapsed="false">
      <c r="A2035" s="0" t="n">
        <f aca="false">B2035*1000+C2035</f>
        <v>35053</v>
      </c>
      <c r="B2035" s="0" t="n">
        <v>35</v>
      </c>
      <c r="C2035" s="0" t="n">
        <v>53</v>
      </c>
      <c r="D2035" s="0" t="n">
        <v>0</v>
      </c>
      <c r="E2035" s="0" t="n">
        <f aca="false">VLOOKUP(B2035,'MSA-Lookup'!$H$2:$I$86,2)</f>
        <v>7320</v>
      </c>
      <c r="F2035" s="0" t="n">
        <f aca="false">IF(C2035&gt;1,IF(C2035&lt;99,VLOOKUP(C2035,'MSA-Lookup'!$H$1:$I$86,2),C2035),C2035)</f>
        <v>4480</v>
      </c>
      <c r="G2035" s="0" t="n">
        <f aca="false">VLOOKUP(E2035,'MSA-Lookup'!$AA$1:$AB$25,2)</f>
        <v>7320</v>
      </c>
      <c r="H2035" s="0" t="n">
        <f aca="false">IF(C2035&gt;1,IF(C2035&lt;99,VLOOKUP(F2035,'MSA-Lookup'!$AA$1:$AB$25,2),C2035),C2035)</f>
        <v>4472</v>
      </c>
    </row>
    <row r="2036" customFormat="false" ht="12.75" hidden="false" customHeight="false" outlineLevel="0" collapsed="false">
      <c r="A2036" s="0" t="n">
        <f aca="false">B2036*1000+C2036</f>
        <v>35054</v>
      </c>
      <c r="B2036" s="0" t="n">
        <v>35</v>
      </c>
      <c r="C2036" s="0" t="n">
        <v>54</v>
      </c>
      <c r="D2036" s="0" t="n">
        <v>0</v>
      </c>
      <c r="E2036" s="0" t="n">
        <f aca="false">VLOOKUP(B2036,'MSA-Lookup'!$H$2:$I$86,2)</f>
        <v>7320</v>
      </c>
      <c r="F2036" s="0" t="n">
        <f aca="false">IF(C2036&gt;1,IF(C2036&lt;99,VLOOKUP(C2036,'MSA-Lookup'!$H$1:$I$86,2),C2036),C2036)</f>
        <v>4480</v>
      </c>
      <c r="G2036" s="0" t="n">
        <f aca="false">VLOOKUP(E2036,'MSA-Lookup'!$AA$1:$AB$25,2)</f>
        <v>7320</v>
      </c>
      <c r="H2036" s="0" t="n">
        <f aca="false">IF(C2036&gt;1,IF(C2036&lt;99,VLOOKUP(F2036,'MSA-Lookup'!$AA$1:$AB$25,2),C2036),C2036)</f>
        <v>4472</v>
      </c>
    </row>
    <row r="2037" customFormat="false" ht="12.75" hidden="false" customHeight="false" outlineLevel="0" collapsed="false">
      <c r="A2037" s="0" t="n">
        <f aca="false">B2037*1000+C2037</f>
        <v>35055</v>
      </c>
      <c r="B2037" s="0" t="n">
        <v>35</v>
      </c>
      <c r="C2037" s="0" t="n">
        <v>55</v>
      </c>
      <c r="D2037" s="0" t="n">
        <v>0</v>
      </c>
      <c r="E2037" s="0" t="n">
        <f aca="false">VLOOKUP(B2037,'MSA-Lookup'!$H$2:$I$86,2)</f>
        <v>7320</v>
      </c>
      <c r="F2037" s="0" t="n">
        <f aca="false">IF(C2037&gt;1,IF(C2037&lt;99,VLOOKUP(C2037,'MSA-Lookup'!$H$1:$I$86,2),C2037),C2037)</f>
        <v>4480</v>
      </c>
      <c r="G2037" s="0" t="n">
        <f aca="false">VLOOKUP(E2037,'MSA-Lookup'!$AA$1:$AB$25,2)</f>
        <v>7320</v>
      </c>
      <c r="H2037" s="0" t="n">
        <f aca="false">IF(C2037&gt;1,IF(C2037&lt;99,VLOOKUP(F2037,'MSA-Lookup'!$AA$1:$AB$25,2),C2037),C2037)</f>
        <v>4472</v>
      </c>
    </row>
    <row r="2038" customFormat="false" ht="12.75" hidden="false" customHeight="false" outlineLevel="0" collapsed="false">
      <c r="A2038" s="0" t="n">
        <f aca="false">B2038*1000+C2038</f>
        <v>35056</v>
      </c>
      <c r="B2038" s="0" t="n">
        <v>35</v>
      </c>
      <c r="C2038" s="0" t="n">
        <v>56</v>
      </c>
      <c r="D2038" s="0" t="n">
        <v>0</v>
      </c>
      <c r="E2038" s="0" t="n">
        <f aca="false">VLOOKUP(B2038,'MSA-Lookup'!$H$2:$I$86,2)</f>
        <v>7320</v>
      </c>
      <c r="F2038" s="0" t="n">
        <f aca="false">IF(C2038&gt;1,IF(C2038&lt;99,VLOOKUP(C2038,'MSA-Lookup'!$H$1:$I$86,2),C2038),C2038)</f>
        <v>4480</v>
      </c>
      <c r="G2038" s="0" t="n">
        <f aca="false">VLOOKUP(E2038,'MSA-Lookup'!$AA$1:$AB$25,2)</f>
        <v>7320</v>
      </c>
      <c r="H2038" s="0" t="n">
        <f aca="false">IF(C2038&gt;1,IF(C2038&lt;99,VLOOKUP(F2038,'MSA-Lookup'!$AA$1:$AB$25,2),C2038),C2038)</f>
        <v>4472</v>
      </c>
    </row>
    <row r="2039" customFormat="false" ht="12.75" hidden="false" customHeight="false" outlineLevel="0" collapsed="false">
      <c r="A2039" s="0" t="n">
        <f aca="false">B2039*1000+C2039</f>
        <v>35057</v>
      </c>
      <c r="B2039" s="0" t="n">
        <v>35</v>
      </c>
      <c r="C2039" s="0" t="n">
        <v>57</v>
      </c>
      <c r="D2039" s="0" t="n">
        <v>0</v>
      </c>
      <c r="E2039" s="0" t="n">
        <f aca="false">VLOOKUP(B2039,'MSA-Lookup'!$H$2:$I$86,2)</f>
        <v>7320</v>
      </c>
      <c r="F2039" s="0" t="n">
        <f aca="false">IF(C2039&gt;1,IF(C2039&lt;99,VLOOKUP(C2039,'MSA-Lookup'!$H$1:$I$86,2),C2039),C2039)</f>
        <v>4480</v>
      </c>
      <c r="G2039" s="0" t="n">
        <f aca="false">VLOOKUP(E2039,'MSA-Lookup'!$AA$1:$AB$25,2)</f>
        <v>7320</v>
      </c>
      <c r="H2039" s="0" t="n">
        <f aca="false">IF(C2039&gt;1,IF(C2039&lt;99,VLOOKUP(F2039,'MSA-Lookup'!$AA$1:$AB$25,2),C2039),C2039)</f>
        <v>4472</v>
      </c>
    </row>
    <row r="2040" customFormat="false" ht="12.75" hidden="false" customHeight="false" outlineLevel="0" collapsed="false">
      <c r="A2040" s="0" t="n">
        <f aca="false">B2040*1000+C2040</f>
        <v>35059</v>
      </c>
      <c r="B2040" s="0" t="n">
        <v>35</v>
      </c>
      <c r="C2040" s="0" t="n">
        <v>59</v>
      </c>
      <c r="D2040" s="0" t="n">
        <v>0</v>
      </c>
      <c r="E2040" s="0" t="n">
        <f aca="false">VLOOKUP(B2040,'MSA-Lookup'!$H$2:$I$86,2)</f>
        <v>7320</v>
      </c>
      <c r="F2040" s="0" t="n">
        <f aca="false">IF(C2040&gt;1,IF(C2040&lt;99,VLOOKUP(C2040,'MSA-Lookup'!$H$1:$I$86,2),C2040),C2040)</f>
        <v>4480</v>
      </c>
      <c r="G2040" s="0" t="n">
        <f aca="false">VLOOKUP(E2040,'MSA-Lookup'!$AA$1:$AB$25,2)</f>
        <v>7320</v>
      </c>
      <c r="H2040" s="0" t="n">
        <f aca="false">IF(C2040&gt;1,IF(C2040&lt;99,VLOOKUP(F2040,'MSA-Lookup'!$AA$1:$AB$25,2),C2040),C2040)</f>
        <v>4472</v>
      </c>
    </row>
    <row r="2041" customFormat="false" ht="12.75" hidden="false" customHeight="false" outlineLevel="0" collapsed="false">
      <c r="A2041" s="0" t="n">
        <f aca="false">B2041*1000+C2041</f>
        <v>35060</v>
      </c>
      <c r="B2041" s="0" t="n">
        <v>35</v>
      </c>
      <c r="C2041" s="0" t="n">
        <v>60</v>
      </c>
      <c r="D2041" s="0" t="n">
        <v>0</v>
      </c>
      <c r="E2041" s="0" t="n">
        <f aca="false">VLOOKUP(B2041,'MSA-Lookup'!$H$2:$I$86,2)</f>
        <v>7320</v>
      </c>
      <c r="F2041" s="0" t="n">
        <f aca="false">IF(C2041&gt;1,IF(C2041&lt;99,VLOOKUP(C2041,'MSA-Lookup'!$H$1:$I$86,2),C2041),C2041)</f>
        <v>4480</v>
      </c>
      <c r="G2041" s="0" t="n">
        <f aca="false">VLOOKUP(E2041,'MSA-Lookup'!$AA$1:$AB$25,2)</f>
        <v>7320</v>
      </c>
      <c r="H2041" s="0" t="n">
        <f aca="false">IF(C2041&gt;1,IF(C2041&lt;99,VLOOKUP(F2041,'MSA-Lookup'!$AA$1:$AB$25,2),C2041),C2041)</f>
        <v>4472</v>
      </c>
    </row>
    <row r="2042" customFormat="false" ht="12.75" hidden="false" customHeight="false" outlineLevel="0" collapsed="false">
      <c r="A2042" s="0" t="n">
        <f aca="false">B2042*1000+C2042</f>
        <v>35062</v>
      </c>
      <c r="B2042" s="0" t="n">
        <v>35</v>
      </c>
      <c r="C2042" s="0" t="n">
        <v>62</v>
      </c>
      <c r="D2042" s="0" t="n">
        <v>0</v>
      </c>
      <c r="E2042" s="0" t="n">
        <f aca="false">VLOOKUP(B2042,'MSA-Lookup'!$H$2:$I$86,2)</f>
        <v>7320</v>
      </c>
      <c r="F2042" s="0" t="n">
        <f aca="false">IF(C2042&gt;1,IF(C2042&lt;99,VLOOKUP(C2042,'MSA-Lookup'!$H$1:$I$86,2),C2042),C2042)</f>
        <v>4480</v>
      </c>
      <c r="G2042" s="0" t="n">
        <f aca="false">VLOOKUP(E2042,'MSA-Lookup'!$AA$1:$AB$25,2)</f>
        <v>7320</v>
      </c>
      <c r="H2042" s="0" t="n">
        <f aca="false">IF(C2042&gt;1,IF(C2042&lt;99,VLOOKUP(F2042,'MSA-Lookup'!$AA$1:$AB$25,2),C2042),C2042)</f>
        <v>4472</v>
      </c>
    </row>
    <row r="2043" customFormat="false" ht="12.75" hidden="false" customHeight="false" outlineLevel="0" collapsed="false">
      <c r="A2043" s="0" t="n">
        <f aca="false">B2043*1000+C2043</f>
        <v>35063</v>
      </c>
      <c r="B2043" s="0" t="n">
        <v>35</v>
      </c>
      <c r="C2043" s="0" t="n">
        <v>63</v>
      </c>
      <c r="D2043" s="0" t="n">
        <v>0</v>
      </c>
      <c r="E2043" s="0" t="n">
        <f aca="false">VLOOKUP(B2043,'MSA-Lookup'!$H$2:$I$86,2)</f>
        <v>7320</v>
      </c>
      <c r="F2043" s="0" t="n">
        <f aca="false">IF(C2043&gt;1,IF(C2043&lt;99,VLOOKUP(C2043,'MSA-Lookup'!$H$1:$I$86,2),C2043),C2043)</f>
        <v>4480</v>
      </c>
      <c r="G2043" s="0" t="n">
        <f aca="false">VLOOKUP(E2043,'MSA-Lookup'!$AA$1:$AB$25,2)</f>
        <v>7320</v>
      </c>
      <c r="H2043" s="0" t="n">
        <f aca="false">IF(C2043&gt;1,IF(C2043&lt;99,VLOOKUP(F2043,'MSA-Lookup'!$AA$1:$AB$25,2),C2043),C2043)</f>
        <v>4472</v>
      </c>
    </row>
    <row r="2044" customFormat="false" ht="12.75" hidden="false" customHeight="false" outlineLevel="0" collapsed="false">
      <c r="A2044" s="0" t="n">
        <f aca="false">B2044*1000+C2044</f>
        <v>35064</v>
      </c>
      <c r="B2044" s="0" t="n">
        <v>35</v>
      </c>
      <c r="C2044" s="0" t="n">
        <v>64</v>
      </c>
      <c r="D2044" s="0" t="n">
        <v>0</v>
      </c>
      <c r="E2044" s="0" t="n">
        <f aca="false">VLOOKUP(B2044,'MSA-Lookup'!$H$2:$I$86,2)</f>
        <v>7320</v>
      </c>
      <c r="F2044" s="0" t="n">
        <f aca="false">IF(C2044&gt;1,IF(C2044&lt;99,VLOOKUP(C2044,'MSA-Lookup'!$H$1:$I$86,2),C2044),C2044)</f>
        <v>4480</v>
      </c>
      <c r="G2044" s="0" t="n">
        <f aca="false">VLOOKUP(E2044,'MSA-Lookup'!$AA$1:$AB$25,2)</f>
        <v>7320</v>
      </c>
      <c r="H2044" s="0" t="n">
        <f aca="false">IF(C2044&gt;1,IF(C2044&lt;99,VLOOKUP(F2044,'MSA-Lookup'!$AA$1:$AB$25,2),C2044),C2044)</f>
        <v>4472</v>
      </c>
    </row>
    <row r="2045" customFormat="false" ht="12.75" hidden="false" customHeight="false" outlineLevel="0" collapsed="false">
      <c r="A2045" s="0" t="n">
        <f aca="false">B2045*1000+C2045</f>
        <v>35065</v>
      </c>
      <c r="B2045" s="0" t="n">
        <v>35</v>
      </c>
      <c r="C2045" s="0" t="n">
        <v>65</v>
      </c>
      <c r="D2045" s="0" t="n">
        <v>0</v>
      </c>
      <c r="E2045" s="0" t="n">
        <f aca="false">VLOOKUP(B2045,'MSA-Lookup'!$H$2:$I$86,2)</f>
        <v>7320</v>
      </c>
      <c r="F2045" s="0" t="n">
        <f aca="false">IF(C2045&gt;1,IF(C2045&lt;99,VLOOKUP(C2045,'MSA-Lookup'!$H$1:$I$86,2),C2045),C2045)</f>
        <v>4480</v>
      </c>
      <c r="G2045" s="0" t="n">
        <f aca="false">VLOOKUP(E2045,'MSA-Lookup'!$AA$1:$AB$25,2)</f>
        <v>7320</v>
      </c>
      <c r="H2045" s="0" t="n">
        <f aca="false">IF(C2045&gt;1,IF(C2045&lt;99,VLOOKUP(F2045,'MSA-Lookup'!$AA$1:$AB$25,2),C2045),C2045)</f>
        <v>4472</v>
      </c>
    </row>
    <row r="2046" customFormat="false" ht="12.75" hidden="false" customHeight="false" outlineLevel="0" collapsed="false">
      <c r="A2046" s="0" t="n">
        <f aca="false">B2046*1000+C2046</f>
        <v>35066</v>
      </c>
      <c r="B2046" s="0" t="n">
        <v>35</v>
      </c>
      <c r="C2046" s="0" t="n">
        <v>66</v>
      </c>
      <c r="D2046" s="0" t="n">
        <v>0</v>
      </c>
      <c r="E2046" s="0" t="n">
        <f aca="false">VLOOKUP(B2046,'MSA-Lookup'!$H$2:$I$86,2)</f>
        <v>7320</v>
      </c>
      <c r="F2046" s="0" t="n">
        <f aca="false">IF(C2046&gt;1,IF(C2046&lt;99,VLOOKUP(C2046,'MSA-Lookup'!$H$1:$I$86,2),C2046),C2046)</f>
        <v>4480</v>
      </c>
      <c r="G2046" s="0" t="n">
        <f aca="false">VLOOKUP(E2046,'MSA-Lookup'!$AA$1:$AB$25,2)</f>
        <v>7320</v>
      </c>
      <c r="H2046" s="0" t="n">
        <f aca="false">IF(C2046&gt;1,IF(C2046&lt;99,VLOOKUP(F2046,'MSA-Lookup'!$AA$1:$AB$25,2),C2046),C2046)</f>
        <v>4472</v>
      </c>
    </row>
    <row r="2047" customFormat="false" ht="12.75" hidden="false" customHeight="false" outlineLevel="0" collapsed="false">
      <c r="A2047" s="0" t="n">
        <f aca="false">B2047*1000+C2047</f>
        <v>35067</v>
      </c>
      <c r="B2047" s="0" t="n">
        <v>35</v>
      </c>
      <c r="C2047" s="0" t="n">
        <v>67</v>
      </c>
      <c r="D2047" s="0" t="n">
        <v>0</v>
      </c>
      <c r="E2047" s="0" t="n">
        <f aca="false">VLOOKUP(B2047,'MSA-Lookup'!$H$2:$I$86,2)</f>
        <v>7320</v>
      </c>
      <c r="F2047" s="0" t="n">
        <f aca="false">IF(C2047&gt;1,IF(C2047&lt;99,VLOOKUP(C2047,'MSA-Lookup'!$H$1:$I$86,2),C2047),C2047)</f>
        <v>6000</v>
      </c>
      <c r="G2047" s="0" t="n">
        <f aca="false">VLOOKUP(E2047,'MSA-Lookup'!$AA$1:$AB$25,2)</f>
        <v>7320</v>
      </c>
      <c r="H2047" s="0" t="n">
        <f aca="false">IF(C2047&gt;1,IF(C2047&lt;99,VLOOKUP(F2047,'MSA-Lookup'!$AA$1:$AB$25,2),C2047),C2047)</f>
        <v>4472</v>
      </c>
    </row>
    <row r="2048" customFormat="false" ht="12.75" hidden="false" customHeight="false" outlineLevel="0" collapsed="false">
      <c r="A2048" s="0" t="n">
        <f aca="false">B2048*1000+C2048</f>
        <v>35069</v>
      </c>
      <c r="B2048" s="0" t="n">
        <v>35</v>
      </c>
      <c r="C2048" s="0" t="n">
        <v>69</v>
      </c>
      <c r="D2048" s="0" t="n">
        <v>806</v>
      </c>
      <c r="E2048" s="0" t="n">
        <f aca="false">VLOOKUP(B2048,'MSA-Lookup'!$H$2:$I$86,2)</f>
        <v>7320</v>
      </c>
      <c r="F2048" s="0" t="n">
        <f aca="false">IF(C2048&gt;1,IF(C2048&lt;99,VLOOKUP(C2048,'MSA-Lookup'!$H$1:$I$86,2),C2048),C2048)</f>
        <v>6780</v>
      </c>
      <c r="G2048" s="0" t="n">
        <f aca="false">VLOOKUP(E2048,'MSA-Lookup'!$AA$1:$AB$25,2)</f>
        <v>7320</v>
      </c>
      <c r="H2048" s="0" t="n">
        <f aca="false">IF(C2048&gt;1,IF(C2048&lt;99,VLOOKUP(F2048,'MSA-Lookup'!$AA$1:$AB$25,2),C2048),C2048)</f>
        <v>4472</v>
      </c>
    </row>
    <row r="2049" customFormat="false" ht="12.75" hidden="false" customHeight="false" outlineLevel="0" collapsed="false">
      <c r="A2049" s="0" t="n">
        <f aca="false">B2049*1000+C2049</f>
        <v>35071</v>
      </c>
      <c r="B2049" s="0" t="n">
        <v>35</v>
      </c>
      <c r="C2049" s="0" t="n">
        <v>71</v>
      </c>
      <c r="D2049" s="0" t="n">
        <v>0</v>
      </c>
      <c r="E2049" s="0" t="n">
        <f aca="false">VLOOKUP(B2049,'MSA-Lookup'!$H$2:$I$86,2)</f>
        <v>7320</v>
      </c>
      <c r="F2049" s="0" t="n">
        <f aca="false">IF(C2049&gt;1,IF(C2049&lt;99,VLOOKUP(C2049,'MSA-Lookup'!$H$1:$I$86,2),C2049),C2049)</f>
        <v>6780</v>
      </c>
      <c r="G2049" s="0" t="n">
        <f aca="false">VLOOKUP(E2049,'MSA-Lookup'!$AA$1:$AB$25,2)</f>
        <v>7320</v>
      </c>
      <c r="H2049" s="0" t="n">
        <f aca="false">IF(C2049&gt;1,IF(C2049&lt;99,VLOOKUP(F2049,'MSA-Lookup'!$AA$1:$AB$25,2),C2049),C2049)</f>
        <v>4472</v>
      </c>
    </row>
    <row r="2050" customFormat="false" ht="12.75" hidden="false" customHeight="false" outlineLevel="0" collapsed="false">
      <c r="A2050" s="0" t="n">
        <f aca="false">B2050*1000+C2050</f>
        <v>35072</v>
      </c>
      <c r="B2050" s="0" t="n">
        <v>35</v>
      </c>
      <c r="C2050" s="0" t="n">
        <v>72</v>
      </c>
      <c r="D2050" s="0" t="n">
        <v>0</v>
      </c>
      <c r="E2050" s="0" t="n">
        <f aca="false">VLOOKUP(B2050,'MSA-Lookup'!$H$2:$I$86,2)</f>
        <v>7320</v>
      </c>
      <c r="F2050" s="0" t="n">
        <f aca="false">IF(C2050&gt;1,IF(C2050&lt;99,VLOOKUP(C2050,'MSA-Lookup'!$H$1:$I$86,2),C2050),C2050)</f>
        <v>6780</v>
      </c>
      <c r="G2050" s="0" t="n">
        <f aca="false">VLOOKUP(E2050,'MSA-Lookup'!$AA$1:$AB$25,2)</f>
        <v>7320</v>
      </c>
      <c r="H2050" s="0" t="n">
        <f aca="false">IF(C2050&gt;1,IF(C2050&lt;99,VLOOKUP(F2050,'MSA-Lookup'!$AA$1:$AB$25,2),C2050),C2050)</f>
        <v>4472</v>
      </c>
    </row>
    <row r="2051" customFormat="false" ht="12.75" hidden="false" customHeight="false" outlineLevel="0" collapsed="false">
      <c r="A2051" s="0" t="n">
        <f aca="false">B2051*1000+C2051</f>
        <v>35073</v>
      </c>
      <c r="B2051" s="0" t="n">
        <v>35</v>
      </c>
      <c r="C2051" s="0" t="n">
        <v>73</v>
      </c>
      <c r="D2051" s="0" t="n">
        <v>0</v>
      </c>
      <c r="E2051" s="0" t="n">
        <f aca="false">VLOOKUP(B2051,'MSA-Lookup'!$H$2:$I$86,2)</f>
        <v>7320</v>
      </c>
      <c r="F2051" s="0" t="n">
        <f aca="false">IF(C2051&gt;1,IF(C2051&lt;99,VLOOKUP(C2051,'MSA-Lookup'!$H$1:$I$86,2),C2051),C2051)</f>
        <v>8720</v>
      </c>
      <c r="G2051" s="0" t="n">
        <f aca="false">VLOOKUP(E2051,'MSA-Lookup'!$AA$1:$AB$25,2)</f>
        <v>7320</v>
      </c>
      <c r="H2051" s="0" t="n">
        <f aca="false">IF(C2051&gt;1,IF(C2051&lt;99,VLOOKUP(F2051,'MSA-Lookup'!$AA$1:$AB$25,2),C2051),C2051)</f>
        <v>7362</v>
      </c>
    </row>
    <row r="2052" customFormat="false" ht="12.75" hidden="false" customHeight="false" outlineLevel="0" collapsed="false">
      <c r="A2052" s="0" t="n">
        <f aca="false">B2052*1000+C2052</f>
        <v>35075</v>
      </c>
      <c r="B2052" s="0" t="n">
        <v>35</v>
      </c>
      <c r="C2052" s="0" t="n">
        <v>75</v>
      </c>
      <c r="D2052" s="0" t="n">
        <v>0</v>
      </c>
      <c r="E2052" s="0" t="n">
        <f aca="false">VLOOKUP(B2052,'MSA-Lookup'!$H$2:$I$86,2)</f>
        <v>7320</v>
      </c>
      <c r="F2052" s="0" t="n">
        <f aca="false">IF(C2052&gt;1,IF(C2052&lt;99,VLOOKUP(C2052,'MSA-Lookup'!$H$1:$I$86,2),C2052),C2052)</f>
        <v>8780</v>
      </c>
      <c r="G2052" s="0" t="n">
        <f aca="false">VLOOKUP(E2052,'MSA-Lookup'!$AA$1:$AB$25,2)</f>
        <v>7320</v>
      </c>
      <c r="H2052" s="0" t="n">
        <f aca="false">IF(C2052&gt;1,IF(C2052&lt;99,VLOOKUP(F2052,'MSA-Lookup'!$AA$1:$AB$25,2),C2052),C2052)</f>
        <v>8780</v>
      </c>
    </row>
    <row r="2053" customFormat="false" ht="12.75" hidden="false" customHeight="false" outlineLevel="0" collapsed="false">
      <c r="A2053" s="0" t="n">
        <f aca="false">B2053*1000+C2053</f>
        <v>35076</v>
      </c>
      <c r="B2053" s="0" t="n">
        <v>35</v>
      </c>
      <c r="C2053" s="0" t="n">
        <v>76</v>
      </c>
      <c r="D2053" s="0" t="n">
        <v>0</v>
      </c>
      <c r="E2053" s="0" t="n">
        <f aca="false">VLOOKUP(B2053,'MSA-Lookup'!$H$2:$I$86,2)</f>
        <v>7320</v>
      </c>
      <c r="F2053" s="0" t="n">
        <f aca="false">IF(C2053&gt;1,IF(C2053&lt;99,VLOOKUP(C2053,'MSA-Lookup'!$H$1:$I$86,2),C2053),C2053)</f>
        <v>7485</v>
      </c>
      <c r="G2053" s="0" t="n">
        <f aca="false">VLOOKUP(E2053,'MSA-Lookup'!$AA$1:$AB$25,2)</f>
        <v>7320</v>
      </c>
      <c r="H2053" s="0" t="n">
        <f aca="false">IF(C2053&gt;1,IF(C2053&lt;99,VLOOKUP(F2053,'MSA-Lookup'!$AA$1:$AB$25,2),C2053),C2053)</f>
        <v>7362</v>
      </c>
    </row>
    <row r="2054" customFormat="false" ht="12.75" hidden="false" customHeight="false" outlineLevel="0" collapsed="false">
      <c r="A2054" s="0" t="n">
        <f aca="false">B2054*1000+C2054</f>
        <v>35077</v>
      </c>
      <c r="B2054" s="0" t="n">
        <v>35</v>
      </c>
      <c r="C2054" s="0" t="n">
        <v>77</v>
      </c>
      <c r="D2054" s="0" t="n">
        <v>0</v>
      </c>
      <c r="E2054" s="0" t="n">
        <f aca="false">VLOOKUP(B2054,'MSA-Lookup'!$H$2:$I$86,2)</f>
        <v>7320</v>
      </c>
      <c r="F2054" s="0" t="n">
        <f aca="false">IF(C2054&gt;1,IF(C2054&lt;99,VLOOKUP(C2054,'MSA-Lookup'!$H$1:$I$86,2),C2054),C2054)</f>
        <v>9999</v>
      </c>
      <c r="G2054" s="0" t="n">
        <f aca="false">VLOOKUP(E2054,'MSA-Lookup'!$AA$1:$AB$25,2)</f>
        <v>7320</v>
      </c>
      <c r="H2054" s="0" t="n">
        <f aca="false">IF(C2054&gt;1,IF(C2054&lt;99,VLOOKUP(F2054,'MSA-Lookup'!$AA$1:$AB$25,2),C2054),C2054)</f>
        <v>9999</v>
      </c>
    </row>
    <row r="2055" customFormat="false" ht="12.75" hidden="false" customHeight="false" outlineLevel="0" collapsed="false">
      <c r="A2055" s="0" t="n">
        <f aca="false">B2055*1000+C2055</f>
        <v>35079</v>
      </c>
      <c r="B2055" s="0" t="n">
        <v>35</v>
      </c>
      <c r="C2055" s="0" t="n">
        <v>79</v>
      </c>
      <c r="D2055" s="0" t="n">
        <v>0</v>
      </c>
      <c r="E2055" s="0" t="n">
        <f aca="false">VLOOKUP(B2055,'MSA-Lookup'!$H$2:$I$86,2)</f>
        <v>7320</v>
      </c>
      <c r="F2055" s="0" t="n">
        <f aca="false">IF(C2055&gt;1,IF(C2055&lt;99,VLOOKUP(C2055,'MSA-Lookup'!$H$1:$I$86,2),C2055),C2055)</f>
        <v>680</v>
      </c>
      <c r="G2055" s="0" t="n">
        <f aca="false">VLOOKUP(E2055,'MSA-Lookup'!$AA$1:$AB$25,2)</f>
        <v>7320</v>
      </c>
      <c r="H2055" s="0" t="n">
        <f aca="false">IF(C2055&gt;1,IF(C2055&lt;99,VLOOKUP(F2055,'MSA-Lookup'!$AA$1:$AB$25,2),C2055),C2055)</f>
        <v>680</v>
      </c>
    </row>
    <row r="2056" customFormat="false" ht="12.75" hidden="false" customHeight="false" outlineLevel="0" collapsed="false">
      <c r="A2056" s="0" t="n">
        <f aca="false">B2056*1000+C2056</f>
        <v>35080</v>
      </c>
      <c r="B2056" s="0" t="n">
        <v>35</v>
      </c>
      <c r="C2056" s="0" t="n">
        <v>80</v>
      </c>
      <c r="D2056" s="0" t="n">
        <v>0</v>
      </c>
      <c r="E2056" s="0" t="n">
        <f aca="false">VLOOKUP(B2056,'MSA-Lookup'!$H$2:$I$86,2)</f>
        <v>7320</v>
      </c>
      <c r="F2056" s="0" t="n">
        <f aca="false">IF(C2056&gt;1,IF(C2056&lt;99,VLOOKUP(C2056,'MSA-Lookup'!$H$1:$I$86,2),C2056),C2056)</f>
        <v>9999</v>
      </c>
      <c r="G2056" s="0" t="n">
        <f aca="false">VLOOKUP(E2056,'MSA-Lookup'!$AA$1:$AB$25,2)</f>
        <v>7320</v>
      </c>
      <c r="H2056" s="0" t="n">
        <f aca="false">IF(C2056&gt;1,IF(C2056&lt;99,VLOOKUP(F2056,'MSA-Lookup'!$AA$1:$AB$25,2),C2056),C2056)</f>
        <v>9999</v>
      </c>
    </row>
    <row r="2057" customFormat="false" ht="12.75" hidden="false" customHeight="false" outlineLevel="0" collapsed="false">
      <c r="A2057" s="0" t="n">
        <f aca="false">B2057*1000+C2057</f>
        <v>35082</v>
      </c>
      <c r="B2057" s="0" t="n">
        <v>35</v>
      </c>
      <c r="C2057" s="0" t="n">
        <v>82</v>
      </c>
      <c r="D2057" s="0" t="n">
        <v>0</v>
      </c>
      <c r="E2057" s="0" t="n">
        <f aca="false">VLOOKUP(B2057,'MSA-Lookup'!$H$2:$I$86,2)</f>
        <v>7320</v>
      </c>
      <c r="F2057" s="0" t="n">
        <f aca="false">IF(C2057&gt;1,IF(C2057&lt;99,VLOOKUP(C2057,'MSA-Lookup'!$H$1:$I$86,2),C2057),C2057)</f>
        <v>6780</v>
      </c>
      <c r="G2057" s="0" t="n">
        <f aca="false">VLOOKUP(E2057,'MSA-Lookup'!$AA$1:$AB$25,2)</f>
        <v>7320</v>
      </c>
      <c r="H2057" s="0" t="n">
        <f aca="false">IF(C2057&gt;1,IF(C2057&lt;99,VLOOKUP(F2057,'MSA-Lookup'!$AA$1:$AB$25,2),C2057),C2057)</f>
        <v>4472</v>
      </c>
    </row>
    <row r="2058" customFormat="false" ht="12.75" hidden="false" customHeight="false" outlineLevel="0" collapsed="false">
      <c r="A2058" s="0" t="n">
        <f aca="false">B2058*1000+C2058</f>
        <v>35083</v>
      </c>
      <c r="B2058" s="0" t="n">
        <v>35</v>
      </c>
      <c r="C2058" s="0" t="n">
        <v>83</v>
      </c>
      <c r="D2058" s="0" t="n">
        <v>0</v>
      </c>
      <c r="E2058" s="0" t="n">
        <f aca="false">VLOOKUP(B2058,'MSA-Lookup'!$H$2:$I$86,2)</f>
        <v>7320</v>
      </c>
      <c r="F2058" s="0" t="n">
        <f aca="false">IF(C2058&gt;1,IF(C2058&lt;99,VLOOKUP(C2058,'MSA-Lookup'!$H$1:$I$86,2),C2058),C2058)</f>
        <v>6000</v>
      </c>
      <c r="G2058" s="0" t="n">
        <f aca="false">VLOOKUP(E2058,'MSA-Lookup'!$AA$1:$AB$25,2)</f>
        <v>7320</v>
      </c>
      <c r="H2058" s="0" t="n">
        <f aca="false">IF(C2058&gt;1,IF(C2058&lt;99,VLOOKUP(F2058,'MSA-Lookup'!$AA$1:$AB$25,2),C2058),C2058)</f>
        <v>4472</v>
      </c>
    </row>
    <row r="2059" customFormat="false" ht="12.75" hidden="false" customHeight="false" outlineLevel="0" collapsed="false">
      <c r="A2059" s="0" t="n">
        <f aca="false">B2059*1000+C2059</f>
        <v>35084</v>
      </c>
      <c r="B2059" s="0" t="n">
        <v>35</v>
      </c>
      <c r="C2059" s="0" t="n">
        <v>84</v>
      </c>
      <c r="D2059" s="0" t="n">
        <v>0</v>
      </c>
      <c r="E2059" s="0" t="n">
        <f aca="false">VLOOKUP(B2059,'MSA-Lookup'!$H$2:$I$86,2)</f>
        <v>7320</v>
      </c>
      <c r="F2059" s="0" t="n">
        <f aca="false">IF(C2059&gt;1,IF(C2059&lt;99,VLOOKUP(C2059,'MSA-Lookup'!$H$1:$I$86,2),C2059),C2059)</f>
        <v>360</v>
      </c>
      <c r="G2059" s="0" t="n">
        <f aca="false">VLOOKUP(E2059,'MSA-Lookup'!$AA$1:$AB$25,2)</f>
        <v>7320</v>
      </c>
      <c r="H2059" s="0" t="n">
        <f aca="false">IF(C2059&gt;1,IF(C2059&lt;99,VLOOKUP(F2059,'MSA-Lookup'!$AA$1:$AB$25,2),C2059),C2059)</f>
        <v>4472</v>
      </c>
    </row>
    <row r="2060" customFormat="false" ht="12.75" hidden="false" customHeight="false" outlineLevel="0" collapsed="false">
      <c r="A2060" s="0" t="n">
        <f aca="false">B2060*1000+C2060</f>
        <v>35085</v>
      </c>
      <c r="B2060" s="0" t="n">
        <v>35</v>
      </c>
      <c r="C2060" s="0" t="n">
        <v>85</v>
      </c>
      <c r="D2060" s="0" t="n">
        <v>0</v>
      </c>
      <c r="E2060" s="0" t="n">
        <f aca="false">VLOOKUP(B2060,'MSA-Lookup'!$H$2:$I$86,2)</f>
        <v>7320</v>
      </c>
      <c r="F2060" s="0" t="n">
        <f aca="false">IF(C2060&gt;1,IF(C2060&lt;99,VLOOKUP(C2060,'MSA-Lookup'!$H$1:$I$86,2),C2060),C2060)</f>
        <v>8120</v>
      </c>
      <c r="G2060" s="0" t="n">
        <f aca="false">VLOOKUP(E2060,'MSA-Lookup'!$AA$1:$AB$25,2)</f>
        <v>7320</v>
      </c>
      <c r="H2060" s="0" t="n">
        <f aca="false">IF(C2060&gt;1,IF(C2060&lt;99,VLOOKUP(F2060,'MSA-Lookup'!$AA$1:$AB$25,2),C2060),C2060)</f>
        <v>8120</v>
      </c>
    </row>
    <row r="2061" customFormat="false" ht="12.75" hidden="false" customHeight="false" outlineLevel="0" collapsed="false">
      <c r="A2061" s="0" t="n">
        <f aca="false">B2061*1000+C2061</f>
        <v>35858</v>
      </c>
      <c r="B2061" s="0" t="n">
        <v>35</v>
      </c>
      <c r="C2061" s="0" t="n">
        <v>858</v>
      </c>
      <c r="D2061" s="0" t="n">
        <v>0</v>
      </c>
      <c r="E2061" s="0" t="n">
        <f aca="false">VLOOKUP(B2061,'MSA-Lookup'!$H$2:$I$86,2)</f>
        <v>7320</v>
      </c>
      <c r="F2061" s="0" t="n">
        <f aca="false">IF(C2061&gt;1,IF(C2061&lt;99,VLOOKUP(C2061,'MSA-Lookup'!$H$1:$I$86,2),C2061),C2061)</f>
        <v>858</v>
      </c>
      <c r="G2061" s="0" t="n">
        <f aca="false">VLOOKUP(E2061,'MSA-Lookup'!$AA$1:$AB$25,2)</f>
        <v>7320</v>
      </c>
      <c r="H2061" s="0" t="n">
        <f aca="false">IF(C2061&gt;1,IF(C2061&lt;99,VLOOKUP(F2061,'MSA-Lookup'!$AA$1:$AB$25,2),C2061),C2061)</f>
        <v>858</v>
      </c>
    </row>
    <row r="2062" customFormat="false" ht="12.75" hidden="false" customHeight="false" outlineLevel="0" collapsed="false">
      <c r="A2062" s="0" t="n">
        <f aca="false">B2062*1000+C2062</f>
        <v>35983</v>
      </c>
      <c r="B2062" s="0" t="n">
        <v>35</v>
      </c>
      <c r="C2062" s="0" t="n">
        <v>983</v>
      </c>
      <c r="D2062" s="0" t="n">
        <v>0</v>
      </c>
      <c r="E2062" s="0" t="n">
        <f aca="false">VLOOKUP(B2062,'MSA-Lookup'!$H$2:$I$86,2)</f>
        <v>7320</v>
      </c>
      <c r="F2062" s="0" t="n">
        <f aca="false">IF(C2062&gt;1,IF(C2062&lt;99,VLOOKUP(C2062,'MSA-Lookup'!$H$1:$I$86,2),C2062),C2062)</f>
        <v>983</v>
      </c>
      <c r="G2062" s="0" t="n">
        <f aca="false">VLOOKUP(E2062,'MSA-Lookup'!$AA$1:$AB$25,2)</f>
        <v>7320</v>
      </c>
      <c r="H2062" s="0" t="n">
        <f aca="false">IF(C2062&gt;1,IF(C2062&lt;99,VLOOKUP(F2062,'MSA-Lookup'!$AA$1:$AB$25,2),C2062),C2062)</f>
        <v>983</v>
      </c>
    </row>
    <row r="2063" customFormat="false" ht="12.75" hidden="false" customHeight="false" outlineLevel="0" collapsed="false">
      <c r="A2063" s="0" t="n">
        <f aca="false">B2063*1000+C2063</f>
        <v>35999</v>
      </c>
      <c r="B2063" s="0" t="n">
        <v>35</v>
      </c>
      <c r="C2063" s="0" t="n">
        <v>999</v>
      </c>
      <c r="D2063" s="0" t="n">
        <v>0</v>
      </c>
      <c r="E2063" s="0" t="n">
        <f aca="false">VLOOKUP(B2063,'MSA-Lookup'!$H$2:$I$86,2)</f>
        <v>7320</v>
      </c>
      <c r="F2063" s="0" t="n">
        <f aca="false">IF(C2063&gt;1,IF(C2063&lt;99,VLOOKUP(C2063,'MSA-Lookup'!$H$1:$I$86,2),C2063),C2063)</f>
        <v>999</v>
      </c>
      <c r="G2063" s="0" t="n">
        <f aca="false">VLOOKUP(E2063,'MSA-Lookup'!$AA$1:$AB$25,2)</f>
        <v>7320</v>
      </c>
      <c r="H2063" s="0" t="n">
        <f aca="false">IF(C2063&gt;1,IF(C2063&lt;99,VLOOKUP(F2063,'MSA-Lookup'!$AA$1:$AB$25,2),C2063),C2063)</f>
        <v>999</v>
      </c>
    </row>
    <row r="2064" customFormat="false" ht="12.75" hidden="false" customHeight="false" outlineLevel="0" collapsed="false">
      <c r="A2064" s="0" t="n">
        <f aca="false">B2064*1000+C2064</f>
        <v>36000</v>
      </c>
      <c r="B2064" s="0" t="n">
        <v>36</v>
      </c>
      <c r="C2064" s="0" t="n">
        <v>0</v>
      </c>
      <c r="D2064" s="0" t="n">
        <v>71240</v>
      </c>
      <c r="E2064" s="0" t="n">
        <f aca="false">VLOOKUP(B2064,'MSA-Lookup'!$H$2:$I$86,2)</f>
        <v>7320</v>
      </c>
      <c r="F2064" s="0" t="n">
        <f aca="false">IF(C2064&gt;1,IF(C2064&lt;99,VLOOKUP(C2064,'MSA-Lookup'!$H$1:$I$86,2),C2064),C2064)</f>
        <v>0</v>
      </c>
      <c r="G2064" s="0" t="n">
        <f aca="false">VLOOKUP(E2064,'MSA-Lookup'!$AA$1:$AB$25,2)</f>
        <v>7320</v>
      </c>
      <c r="H2064" s="0" t="n">
        <f aca="false">IF(C2064&gt;1,IF(C2064&lt;99,VLOOKUP(F2064,'MSA-Lookup'!$AA$1:$AB$25,2),C2064),C2064)</f>
        <v>0</v>
      </c>
    </row>
    <row r="2065" customFormat="false" ht="12.75" hidden="false" customHeight="false" outlineLevel="0" collapsed="false">
      <c r="A2065" s="0" t="n">
        <f aca="false">B2065*1000+C2065</f>
        <v>36001</v>
      </c>
      <c r="B2065" s="0" t="n">
        <v>36</v>
      </c>
      <c r="C2065" s="0" t="n">
        <v>1</v>
      </c>
      <c r="D2065" s="0" t="n">
        <v>0</v>
      </c>
      <c r="E2065" s="0" t="n">
        <f aca="false">VLOOKUP(B2065,'MSA-Lookup'!$H$2:$I$86,2)</f>
        <v>7320</v>
      </c>
      <c r="F2065" s="0" t="n">
        <f aca="false">IF(C2065&gt;1,IF(C2065&lt;99,VLOOKUP(C2065,'MSA-Lookup'!$H$1:$I$86,2),C2065),C2065)</f>
        <v>1</v>
      </c>
      <c r="G2065" s="0" t="n">
        <f aca="false">VLOOKUP(E2065,'MSA-Lookup'!$AA$1:$AB$25,2)</f>
        <v>7320</v>
      </c>
      <c r="H2065" s="0" t="n">
        <f aca="false">IF(C2065&gt;1,IF(C2065&lt;99,VLOOKUP(F2065,'MSA-Lookup'!$AA$1:$AB$25,2),C2065),C2065)</f>
        <v>1</v>
      </c>
    </row>
    <row r="2066" customFormat="false" ht="12.75" hidden="false" customHeight="false" outlineLevel="0" collapsed="false">
      <c r="A2066" s="0" t="n">
        <f aca="false">B2066*1000+C2066</f>
        <v>36002</v>
      </c>
      <c r="B2066" s="0" t="n">
        <v>36</v>
      </c>
      <c r="C2066" s="0" t="n">
        <v>2</v>
      </c>
      <c r="D2066" s="0" t="n">
        <v>0</v>
      </c>
      <c r="E2066" s="0" t="n">
        <f aca="false">VLOOKUP(B2066,'MSA-Lookup'!$H$2:$I$86,2)</f>
        <v>7320</v>
      </c>
      <c r="F2066" s="0" t="n">
        <f aca="false">IF(C2066&gt;1,IF(C2066&lt;99,VLOOKUP(C2066,'MSA-Lookup'!$H$1:$I$86,2),C2066),C2066)</f>
        <v>9999</v>
      </c>
      <c r="G2066" s="0" t="n">
        <f aca="false">VLOOKUP(E2066,'MSA-Lookup'!$AA$1:$AB$25,2)</f>
        <v>7320</v>
      </c>
      <c r="H2066" s="0" t="n">
        <f aca="false">IF(C2066&gt;1,IF(C2066&lt;99,VLOOKUP(F2066,'MSA-Lookup'!$AA$1:$AB$25,2),C2066),C2066)</f>
        <v>9999</v>
      </c>
    </row>
    <row r="2067" customFormat="false" ht="12.75" hidden="false" customHeight="false" outlineLevel="0" collapsed="false">
      <c r="A2067" s="0" t="n">
        <f aca="false">B2067*1000+C2067</f>
        <v>36003</v>
      </c>
      <c r="B2067" s="0" t="n">
        <v>36</v>
      </c>
      <c r="C2067" s="0" t="n">
        <v>3</v>
      </c>
      <c r="D2067" s="0" t="n">
        <v>0</v>
      </c>
      <c r="E2067" s="0" t="n">
        <f aca="false">VLOOKUP(B2067,'MSA-Lookup'!$H$2:$I$86,2)</f>
        <v>7320</v>
      </c>
      <c r="F2067" s="0" t="n">
        <f aca="false">IF(C2067&gt;1,IF(C2067&lt;99,VLOOKUP(C2067,'MSA-Lookup'!$H$1:$I$86,2),C2067),C2067)</f>
        <v>6690</v>
      </c>
      <c r="G2067" s="0" t="n">
        <f aca="false">VLOOKUP(E2067,'MSA-Lookup'!$AA$1:$AB$25,2)</f>
        <v>7320</v>
      </c>
      <c r="H2067" s="0" t="n">
        <f aca="false">IF(C2067&gt;1,IF(C2067&lt;99,VLOOKUP(F2067,'MSA-Lookup'!$AA$1:$AB$25,2),C2067),C2067)</f>
        <v>6690</v>
      </c>
    </row>
    <row r="2068" customFormat="false" ht="12.75" hidden="false" customHeight="false" outlineLevel="0" collapsed="false">
      <c r="A2068" s="0" t="n">
        <f aca="false">B2068*1000+C2068</f>
        <v>36004</v>
      </c>
      <c r="B2068" s="0" t="n">
        <v>36</v>
      </c>
      <c r="C2068" s="0" t="n">
        <v>4</v>
      </c>
      <c r="D2068" s="0" t="n">
        <v>0</v>
      </c>
      <c r="E2068" s="0" t="n">
        <f aca="false">VLOOKUP(B2068,'MSA-Lookup'!$H$2:$I$86,2)</f>
        <v>7320</v>
      </c>
      <c r="F2068" s="0" t="n">
        <f aca="false">IF(C2068&gt;1,IF(C2068&lt;99,VLOOKUP(C2068,'MSA-Lookup'!$H$1:$I$86,2),C2068),C2068)</f>
        <v>9999</v>
      </c>
      <c r="G2068" s="0" t="n">
        <f aca="false">VLOOKUP(E2068,'MSA-Lookup'!$AA$1:$AB$25,2)</f>
        <v>7320</v>
      </c>
      <c r="H2068" s="0" t="n">
        <f aca="false">IF(C2068&gt;1,IF(C2068&lt;99,VLOOKUP(F2068,'MSA-Lookup'!$AA$1:$AB$25,2),C2068),C2068)</f>
        <v>9999</v>
      </c>
    </row>
    <row r="2069" customFormat="false" ht="12.75" hidden="false" customHeight="false" outlineLevel="0" collapsed="false">
      <c r="A2069" s="0" t="n">
        <f aca="false">B2069*1000+C2069</f>
        <v>36005</v>
      </c>
      <c r="B2069" s="0" t="n">
        <v>36</v>
      </c>
      <c r="C2069" s="0" t="n">
        <v>5</v>
      </c>
      <c r="D2069" s="0" t="n">
        <v>0</v>
      </c>
      <c r="E2069" s="0" t="n">
        <f aca="false">VLOOKUP(B2069,'MSA-Lookup'!$H$2:$I$86,2)</f>
        <v>7320</v>
      </c>
      <c r="F2069" s="0" t="n">
        <f aca="false">IF(C2069&gt;1,IF(C2069&lt;99,VLOOKUP(C2069,'MSA-Lookup'!$H$1:$I$86,2),C2069),C2069)</f>
        <v>9999</v>
      </c>
      <c r="G2069" s="0" t="n">
        <f aca="false">VLOOKUP(E2069,'MSA-Lookup'!$AA$1:$AB$25,2)</f>
        <v>7320</v>
      </c>
      <c r="H2069" s="0" t="n">
        <f aca="false">IF(C2069&gt;1,IF(C2069&lt;99,VLOOKUP(F2069,'MSA-Lookup'!$AA$1:$AB$25,2),C2069),C2069)</f>
        <v>9999</v>
      </c>
    </row>
    <row r="2070" customFormat="false" ht="12.75" hidden="false" customHeight="false" outlineLevel="0" collapsed="false">
      <c r="A2070" s="0" t="n">
        <f aca="false">B2070*1000+C2070</f>
        <v>36006</v>
      </c>
      <c r="B2070" s="0" t="n">
        <v>36</v>
      </c>
      <c r="C2070" s="0" t="n">
        <v>6</v>
      </c>
      <c r="D2070" s="0" t="n">
        <v>0</v>
      </c>
      <c r="E2070" s="0" t="n">
        <f aca="false">VLOOKUP(B2070,'MSA-Lookup'!$H$2:$I$86,2)</f>
        <v>7320</v>
      </c>
      <c r="F2070" s="0" t="n">
        <f aca="false">IF(C2070&gt;1,IF(C2070&lt;99,VLOOKUP(C2070,'MSA-Lookup'!$H$1:$I$86,2),C2070),C2070)</f>
        <v>1620</v>
      </c>
      <c r="G2070" s="0" t="n">
        <f aca="false">VLOOKUP(E2070,'MSA-Lookup'!$AA$1:$AB$25,2)</f>
        <v>7320</v>
      </c>
      <c r="H2070" s="0" t="n">
        <f aca="false">IF(C2070&gt;1,IF(C2070&lt;99,VLOOKUP(F2070,'MSA-Lookup'!$AA$1:$AB$25,2),C2070),C2070)</f>
        <v>1620</v>
      </c>
    </row>
    <row r="2071" customFormat="false" ht="12.75" hidden="false" customHeight="false" outlineLevel="0" collapsed="false">
      <c r="A2071" s="0" t="n">
        <f aca="false">B2071*1000+C2071</f>
        <v>36007</v>
      </c>
      <c r="B2071" s="0" t="n">
        <v>36</v>
      </c>
      <c r="C2071" s="0" t="n">
        <v>7</v>
      </c>
      <c r="D2071" s="0" t="n">
        <v>0</v>
      </c>
      <c r="E2071" s="0" t="n">
        <f aca="false">VLOOKUP(B2071,'MSA-Lookup'!$H$2:$I$86,2)</f>
        <v>7320</v>
      </c>
      <c r="F2071" s="0" t="n">
        <f aca="false">IF(C2071&gt;1,IF(C2071&lt;99,VLOOKUP(C2071,'MSA-Lookup'!$H$1:$I$86,2),C2071),C2071)</f>
        <v>9999</v>
      </c>
      <c r="G2071" s="0" t="n">
        <f aca="false">VLOOKUP(E2071,'MSA-Lookup'!$AA$1:$AB$25,2)</f>
        <v>7320</v>
      </c>
      <c r="H2071" s="0" t="n">
        <f aca="false">IF(C2071&gt;1,IF(C2071&lt;99,VLOOKUP(F2071,'MSA-Lookup'!$AA$1:$AB$25,2),C2071),C2071)</f>
        <v>9999</v>
      </c>
    </row>
    <row r="2072" customFormat="false" ht="12.75" hidden="false" customHeight="false" outlineLevel="0" collapsed="false">
      <c r="A2072" s="0" t="n">
        <f aca="false">B2072*1000+C2072</f>
        <v>36008</v>
      </c>
      <c r="B2072" s="0" t="n">
        <v>36</v>
      </c>
      <c r="C2072" s="0" t="n">
        <v>8</v>
      </c>
      <c r="D2072" s="0" t="n">
        <v>0</v>
      </c>
      <c r="E2072" s="0" t="n">
        <f aca="false">VLOOKUP(B2072,'MSA-Lookup'!$H$2:$I$86,2)</f>
        <v>7320</v>
      </c>
      <c r="F2072" s="0" t="n">
        <f aca="false">IF(C2072&gt;1,IF(C2072&lt;99,VLOOKUP(C2072,'MSA-Lookup'!$H$1:$I$86,2),C2072),C2072)</f>
        <v>9340</v>
      </c>
      <c r="G2072" s="0" t="n">
        <f aca="false">VLOOKUP(E2072,'MSA-Lookup'!$AA$1:$AB$25,2)</f>
        <v>7320</v>
      </c>
      <c r="H2072" s="0" t="n">
        <f aca="false">IF(C2072&gt;1,IF(C2072&lt;99,VLOOKUP(F2072,'MSA-Lookup'!$AA$1:$AB$25,2),C2072),C2072)</f>
        <v>9340</v>
      </c>
    </row>
    <row r="2073" customFormat="false" ht="12.75" hidden="false" customHeight="false" outlineLevel="0" collapsed="false">
      <c r="A2073" s="0" t="n">
        <f aca="false">B2073*1000+C2073</f>
        <v>36009</v>
      </c>
      <c r="B2073" s="0" t="n">
        <v>36</v>
      </c>
      <c r="C2073" s="0" t="n">
        <v>9</v>
      </c>
      <c r="D2073" s="0" t="n">
        <v>0</v>
      </c>
      <c r="E2073" s="0" t="n">
        <f aca="false">VLOOKUP(B2073,'MSA-Lookup'!$H$2:$I$86,2)</f>
        <v>7320</v>
      </c>
      <c r="F2073" s="0" t="n">
        <f aca="false">IF(C2073&gt;1,IF(C2073&lt;99,VLOOKUP(C2073,'MSA-Lookup'!$H$1:$I$86,2),C2073),C2073)</f>
        <v>8720</v>
      </c>
      <c r="G2073" s="0" t="n">
        <f aca="false">VLOOKUP(E2073,'MSA-Lookup'!$AA$1:$AB$25,2)</f>
        <v>7320</v>
      </c>
      <c r="H2073" s="0" t="n">
        <f aca="false">IF(C2073&gt;1,IF(C2073&lt;99,VLOOKUP(F2073,'MSA-Lookup'!$AA$1:$AB$25,2),C2073),C2073)</f>
        <v>7362</v>
      </c>
    </row>
    <row r="2074" customFormat="false" ht="12.75" hidden="false" customHeight="false" outlineLevel="0" collapsed="false">
      <c r="A2074" s="0" t="n">
        <f aca="false">B2074*1000+C2074</f>
        <v>36010</v>
      </c>
      <c r="B2074" s="0" t="n">
        <v>36</v>
      </c>
      <c r="C2074" s="0" t="n">
        <v>10</v>
      </c>
      <c r="D2074" s="0" t="n">
        <v>0</v>
      </c>
      <c r="E2074" s="0" t="n">
        <f aca="false">VLOOKUP(B2074,'MSA-Lookup'!$H$2:$I$86,2)</f>
        <v>7320</v>
      </c>
      <c r="F2074" s="0" t="n">
        <f aca="false">IF(C2074&gt;1,IF(C2074&lt;99,VLOOKUP(C2074,'MSA-Lookup'!$H$1:$I$86,2),C2074),C2074)</f>
        <v>6920</v>
      </c>
      <c r="G2074" s="0" t="n">
        <f aca="false">VLOOKUP(E2074,'MSA-Lookup'!$AA$1:$AB$25,2)</f>
        <v>7320</v>
      </c>
      <c r="H2074" s="0" t="n">
        <f aca="false">IF(C2074&gt;1,IF(C2074&lt;99,VLOOKUP(F2074,'MSA-Lookup'!$AA$1:$AB$25,2),C2074),C2074)</f>
        <v>6920</v>
      </c>
    </row>
    <row r="2075" customFormat="false" ht="12.75" hidden="false" customHeight="false" outlineLevel="0" collapsed="false">
      <c r="A2075" s="0" t="n">
        <f aca="false">B2075*1000+C2075</f>
        <v>36011</v>
      </c>
      <c r="B2075" s="0" t="n">
        <v>36</v>
      </c>
      <c r="C2075" s="0" t="n">
        <v>11</v>
      </c>
      <c r="D2075" s="0" t="n">
        <v>0</v>
      </c>
      <c r="E2075" s="0" t="n">
        <f aca="false">VLOOKUP(B2075,'MSA-Lookup'!$H$2:$I$86,2)</f>
        <v>7320</v>
      </c>
      <c r="F2075" s="0" t="n">
        <f aca="false">IF(C2075&gt;1,IF(C2075&lt;99,VLOOKUP(C2075,'MSA-Lookup'!$H$1:$I$86,2),C2075),C2075)</f>
        <v>6920</v>
      </c>
      <c r="G2075" s="0" t="n">
        <f aca="false">VLOOKUP(E2075,'MSA-Lookup'!$AA$1:$AB$25,2)</f>
        <v>7320</v>
      </c>
      <c r="H2075" s="0" t="n">
        <f aca="false">IF(C2075&gt;1,IF(C2075&lt;99,VLOOKUP(F2075,'MSA-Lookup'!$AA$1:$AB$25,2),C2075),C2075)</f>
        <v>6920</v>
      </c>
    </row>
    <row r="2076" customFormat="false" ht="12.75" hidden="false" customHeight="false" outlineLevel="0" collapsed="false">
      <c r="A2076" s="0" t="n">
        <f aca="false">B2076*1000+C2076</f>
        <v>36012</v>
      </c>
      <c r="B2076" s="0" t="n">
        <v>36</v>
      </c>
      <c r="C2076" s="0" t="n">
        <v>12</v>
      </c>
      <c r="D2076" s="0" t="n">
        <v>0</v>
      </c>
      <c r="E2076" s="0" t="n">
        <f aca="false">VLOOKUP(B2076,'MSA-Lookup'!$H$2:$I$86,2)</f>
        <v>7320</v>
      </c>
      <c r="F2076" s="0" t="n">
        <f aca="false">IF(C2076&gt;1,IF(C2076&lt;99,VLOOKUP(C2076,'MSA-Lookup'!$H$1:$I$86,2),C2076),C2076)</f>
        <v>6920</v>
      </c>
      <c r="G2076" s="0" t="n">
        <f aca="false">VLOOKUP(E2076,'MSA-Lookup'!$AA$1:$AB$25,2)</f>
        <v>7320</v>
      </c>
      <c r="H2076" s="0" t="n">
        <f aca="false">IF(C2076&gt;1,IF(C2076&lt;99,VLOOKUP(F2076,'MSA-Lookup'!$AA$1:$AB$25,2),C2076),C2076)</f>
        <v>6920</v>
      </c>
    </row>
    <row r="2077" customFormat="false" ht="12.75" hidden="false" customHeight="false" outlineLevel="0" collapsed="false">
      <c r="A2077" s="0" t="n">
        <f aca="false">B2077*1000+C2077</f>
        <v>36013</v>
      </c>
      <c r="B2077" s="0" t="n">
        <v>36</v>
      </c>
      <c r="C2077" s="0" t="n">
        <v>13</v>
      </c>
      <c r="D2077" s="0" t="n">
        <v>0</v>
      </c>
      <c r="E2077" s="0" t="n">
        <f aca="false">VLOOKUP(B2077,'MSA-Lookup'!$H$2:$I$86,2)</f>
        <v>7320</v>
      </c>
      <c r="F2077" s="0" t="n">
        <f aca="false">IF(C2077&gt;1,IF(C2077&lt;99,VLOOKUP(C2077,'MSA-Lookup'!$H$1:$I$86,2),C2077),C2077)</f>
        <v>7500</v>
      </c>
      <c r="G2077" s="0" t="n">
        <f aca="false">VLOOKUP(E2077,'MSA-Lookup'!$AA$1:$AB$25,2)</f>
        <v>7320</v>
      </c>
      <c r="H2077" s="0" t="n">
        <f aca="false">IF(C2077&gt;1,IF(C2077&lt;99,VLOOKUP(F2077,'MSA-Lookup'!$AA$1:$AB$25,2),C2077),C2077)</f>
        <v>7362</v>
      </c>
    </row>
    <row r="2078" customFormat="false" ht="12.75" hidden="false" customHeight="false" outlineLevel="0" collapsed="false">
      <c r="A2078" s="0" t="n">
        <f aca="false">B2078*1000+C2078</f>
        <v>36014</v>
      </c>
      <c r="B2078" s="0" t="n">
        <v>36</v>
      </c>
      <c r="C2078" s="0" t="n">
        <v>14</v>
      </c>
      <c r="D2078" s="0" t="n">
        <v>0</v>
      </c>
      <c r="E2078" s="0" t="n">
        <f aca="false">VLOOKUP(B2078,'MSA-Lookup'!$H$2:$I$86,2)</f>
        <v>7320</v>
      </c>
      <c r="F2078" s="0" t="n">
        <f aca="false">IF(C2078&gt;1,IF(C2078&lt;99,VLOOKUP(C2078,'MSA-Lookup'!$H$1:$I$86,2),C2078),C2078)</f>
        <v>7500</v>
      </c>
      <c r="G2078" s="0" t="n">
        <f aca="false">VLOOKUP(E2078,'MSA-Lookup'!$AA$1:$AB$25,2)</f>
        <v>7320</v>
      </c>
      <c r="H2078" s="0" t="n">
        <f aca="false">IF(C2078&gt;1,IF(C2078&lt;99,VLOOKUP(F2078,'MSA-Lookup'!$AA$1:$AB$25,2),C2078),C2078)</f>
        <v>7362</v>
      </c>
    </row>
    <row r="2079" customFormat="false" ht="12.75" hidden="false" customHeight="false" outlineLevel="0" collapsed="false">
      <c r="A2079" s="0" t="n">
        <f aca="false">B2079*1000+C2079</f>
        <v>36015</v>
      </c>
      <c r="B2079" s="0" t="n">
        <v>36</v>
      </c>
      <c r="C2079" s="0" t="n">
        <v>15</v>
      </c>
      <c r="D2079" s="0" t="n">
        <v>0</v>
      </c>
      <c r="E2079" s="0" t="n">
        <f aca="false">VLOOKUP(B2079,'MSA-Lookup'!$H$2:$I$86,2)</f>
        <v>7320</v>
      </c>
      <c r="F2079" s="0" t="n">
        <f aca="false">IF(C2079&gt;1,IF(C2079&lt;99,VLOOKUP(C2079,'MSA-Lookup'!$H$1:$I$86,2),C2079),C2079)</f>
        <v>7360</v>
      </c>
      <c r="G2079" s="0" t="n">
        <f aca="false">VLOOKUP(E2079,'MSA-Lookup'!$AA$1:$AB$25,2)</f>
        <v>7320</v>
      </c>
      <c r="H2079" s="0" t="n">
        <f aca="false">IF(C2079&gt;1,IF(C2079&lt;99,VLOOKUP(F2079,'MSA-Lookup'!$AA$1:$AB$25,2),C2079),C2079)</f>
        <v>7362</v>
      </c>
    </row>
    <row r="2080" customFormat="false" ht="12.75" hidden="false" customHeight="false" outlineLevel="0" collapsed="false">
      <c r="A2080" s="0" t="n">
        <f aca="false">B2080*1000+C2080</f>
        <v>36016</v>
      </c>
      <c r="B2080" s="0" t="n">
        <v>36</v>
      </c>
      <c r="C2080" s="0" t="n">
        <v>16</v>
      </c>
      <c r="D2080" s="0" t="n">
        <v>0</v>
      </c>
      <c r="E2080" s="0" t="n">
        <f aca="false">VLOOKUP(B2080,'MSA-Lookup'!$H$2:$I$86,2)</f>
        <v>7320</v>
      </c>
      <c r="F2080" s="0" t="n">
        <f aca="false">IF(C2080&gt;1,IF(C2080&lt;99,VLOOKUP(C2080,'MSA-Lookup'!$H$1:$I$86,2),C2080),C2080)</f>
        <v>8720</v>
      </c>
      <c r="G2080" s="0" t="n">
        <f aca="false">VLOOKUP(E2080,'MSA-Lookup'!$AA$1:$AB$25,2)</f>
        <v>7320</v>
      </c>
      <c r="H2080" s="0" t="n">
        <f aca="false">IF(C2080&gt;1,IF(C2080&lt;99,VLOOKUP(F2080,'MSA-Lookup'!$AA$1:$AB$25,2),C2080),C2080)</f>
        <v>7362</v>
      </c>
    </row>
    <row r="2081" customFormat="false" ht="12.75" hidden="false" customHeight="false" outlineLevel="0" collapsed="false">
      <c r="A2081" s="0" t="n">
        <f aca="false">B2081*1000+C2081</f>
        <v>36017</v>
      </c>
      <c r="B2081" s="0" t="n">
        <v>36</v>
      </c>
      <c r="C2081" s="0" t="n">
        <v>17</v>
      </c>
      <c r="D2081" s="0" t="n">
        <v>0</v>
      </c>
      <c r="E2081" s="0" t="n">
        <f aca="false">VLOOKUP(B2081,'MSA-Lookup'!$H$2:$I$86,2)</f>
        <v>7320</v>
      </c>
      <c r="F2081" s="0" t="n">
        <f aca="false">IF(C2081&gt;1,IF(C2081&lt;99,VLOOKUP(C2081,'MSA-Lookup'!$H$1:$I$86,2),C2081),C2081)</f>
        <v>5775</v>
      </c>
      <c r="G2081" s="0" t="n">
        <f aca="false">VLOOKUP(E2081,'MSA-Lookup'!$AA$1:$AB$25,2)</f>
        <v>7320</v>
      </c>
      <c r="H2081" s="0" t="n">
        <f aca="false">IF(C2081&gt;1,IF(C2081&lt;99,VLOOKUP(F2081,'MSA-Lookup'!$AA$1:$AB$25,2),C2081),C2081)</f>
        <v>7362</v>
      </c>
    </row>
    <row r="2082" customFormat="false" ht="12.75" hidden="false" customHeight="false" outlineLevel="0" collapsed="false">
      <c r="A2082" s="0" t="n">
        <f aca="false">B2082*1000+C2082</f>
        <v>36018</v>
      </c>
      <c r="B2082" s="0" t="n">
        <v>36</v>
      </c>
      <c r="C2082" s="0" t="n">
        <v>18</v>
      </c>
      <c r="D2082" s="0" t="n">
        <v>0</v>
      </c>
      <c r="E2082" s="0" t="n">
        <f aca="false">VLOOKUP(B2082,'MSA-Lookup'!$H$2:$I$86,2)</f>
        <v>7320</v>
      </c>
      <c r="F2082" s="0" t="n">
        <f aca="false">IF(C2082&gt;1,IF(C2082&lt;99,VLOOKUP(C2082,'MSA-Lookup'!$H$1:$I$86,2),C2082),C2082)</f>
        <v>5775</v>
      </c>
      <c r="G2082" s="0" t="n">
        <f aca="false">VLOOKUP(E2082,'MSA-Lookup'!$AA$1:$AB$25,2)</f>
        <v>7320</v>
      </c>
      <c r="H2082" s="0" t="n">
        <f aca="false">IF(C2082&gt;1,IF(C2082&lt;99,VLOOKUP(F2082,'MSA-Lookup'!$AA$1:$AB$25,2),C2082),C2082)</f>
        <v>7362</v>
      </c>
    </row>
    <row r="2083" customFormat="false" ht="12.75" hidden="false" customHeight="false" outlineLevel="0" collapsed="false">
      <c r="A2083" s="0" t="n">
        <f aca="false">B2083*1000+C2083</f>
        <v>36019</v>
      </c>
      <c r="B2083" s="0" t="n">
        <v>36</v>
      </c>
      <c r="C2083" s="0" t="n">
        <v>19</v>
      </c>
      <c r="D2083" s="0" t="n">
        <v>0</v>
      </c>
      <c r="E2083" s="0" t="n">
        <f aca="false">VLOOKUP(B2083,'MSA-Lookup'!$H$2:$I$86,2)</f>
        <v>7320</v>
      </c>
      <c r="F2083" s="0" t="n">
        <f aca="false">IF(C2083&gt;1,IF(C2083&lt;99,VLOOKUP(C2083,'MSA-Lookup'!$H$1:$I$86,2),C2083),C2083)</f>
        <v>7360</v>
      </c>
      <c r="G2083" s="0" t="n">
        <f aca="false">VLOOKUP(E2083,'MSA-Lookup'!$AA$1:$AB$25,2)</f>
        <v>7320</v>
      </c>
      <c r="H2083" s="0" t="n">
        <f aca="false">IF(C2083&gt;1,IF(C2083&lt;99,VLOOKUP(F2083,'MSA-Lookup'!$AA$1:$AB$25,2),C2083),C2083)</f>
        <v>7362</v>
      </c>
    </row>
    <row r="2084" customFormat="false" ht="12.75" hidden="false" customHeight="false" outlineLevel="0" collapsed="false">
      <c r="A2084" s="0" t="n">
        <f aca="false">B2084*1000+C2084</f>
        <v>36020</v>
      </c>
      <c r="B2084" s="0" t="n">
        <v>36</v>
      </c>
      <c r="C2084" s="0" t="n">
        <v>20</v>
      </c>
      <c r="D2084" s="0" t="n">
        <v>0</v>
      </c>
      <c r="E2084" s="0" t="n">
        <f aca="false">VLOOKUP(B2084,'MSA-Lookup'!$H$2:$I$86,2)</f>
        <v>7320</v>
      </c>
      <c r="F2084" s="0" t="n">
        <f aca="false">IF(C2084&gt;1,IF(C2084&lt;99,VLOOKUP(C2084,'MSA-Lookup'!$H$1:$I$86,2),C2084),C2084)</f>
        <v>5775</v>
      </c>
      <c r="G2084" s="0" t="n">
        <f aca="false">VLOOKUP(E2084,'MSA-Lookup'!$AA$1:$AB$25,2)</f>
        <v>7320</v>
      </c>
      <c r="H2084" s="0" t="n">
        <f aca="false">IF(C2084&gt;1,IF(C2084&lt;99,VLOOKUP(F2084,'MSA-Lookup'!$AA$1:$AB$25,2),C2084),C2084)</f>
        <v>7362</v>
      </c>
    </row>
    <row r="2085" customFormat="false" ht="12.75" hidden="false" customHeight="false" outlineLevel="0" collapsed="false">
      <c r="A2085" s="0" t="n">
        <f aca="false">B2085*1000+C2085</f>
        <v>36021</v>
      </c>
      <c r="B2085" s="0" t="n">
        <v>36</v>
      </c>
      <c r="C2085" s="0" t="n">
        <v>21</v>
      </c>
      <c r="D2085" s="0" t="n">
        <v>0</v>
      </c>
      <c r="E2085" s="0" t="n">
        <f aca="false">VLOOKUP(B2085,'MSA-Lookup'!$H$2:$I$86,2)</f>
        <v>7320</v>
      </c>
      <c r="F2085" s="0" t="n">
        <f aca="false">IF(C2085&gt;1,IF(C2085&lt;99,VLOOKUP(C2085,'MSA-Lookup'!$H$1:$I$86,2),C2085),C2085)</f>
        <v>5775</v>
      </c>
      <c r="G2085" s="0" t="n">
        <f aca="false">VLOOKUP(E2085,'MSA-Lookup'!$AA$1:$AB$25,2)</f>
        <v>7320</v>
      </c>
      <c r="H2085" s="0" t="n">
        <f aca="false">IF(C2085&gt;1,IF(C2085&lt;99,VLOOKUP(F2085,'MSA-Lookup'!$AA$1:$AB$25,2),C2085),C2085)</f>
        <v>7362</v>
      </c>
    </row>
    <row r="2086" customFormat="false" ht="12.75" hidden="false" customHeight="false" outlineLevel="0" collapsed="false">
      <c r="A2086" s="0" t="n">
        <f aca="false">B2086*1000+C2086</f>
        <v>36022</v>
      </c>
      <c r="B2086" s="0" t="n">
        <v>36</v>
      </c>
      <c r="C2086" s="0" t="n">
        <v>22</v>
      </c>
      <c r="D2086" s="0" t="n">
        <v>0</v>
      </c>
      <c r="E2086" s="0" t="n">
        <f aca="false">VLOOKUP(B2086,'MSA-Lookup'!$H$2:$I$86,2)</f>
        <v>7320</v>
      </c>
      <c r="F2086" s="0" t="n">
        <f aca="false">IF(C2086&gt;1,IF(C2086&lt;99,VLOOKUP(C2086,'MSA-Lookup'!$H$1:$I$86,2),C2086),C2086)</f>
        <v>7360</v>
      </c>
      <c r="G2086" s="0" t="n">
        <f aca="false">VLOOKUP(E2086,'MSA-Lookup'!$AA$1:$AB$25,2)</f>
        <v>7320</v>
      </c>
      <c r="H2086" s="0" t="n">
        <f aca="false">IF(C2086&gt;1,IF(C2086&lt;99,VLOOKUP(F2086,'MSA-Lookup'!$AA$1:$AB$25,2),C2086),C2086)</f>
        <v>7362</v>
      </c>
    </row>
    <row r="2087" customFormat="false" ht="12.75" hidden="false" customHeight="false" outlineLevel="0" collapsed="false">
      <c r="A2087" s="0" t="n">
        <f aca="false">B2087*1000+C2087</f>
        <v>36023</v>
      </c>
      <c r="B2087" s="0" t="n">
        <v>36</v>
      </c>
      <c r="C2087" s="0" t="n">
        <v>23</v>
      </c>
      <c r="D2087" s="0" t="n">
        <v>0</v>
      </c>
      <c r="E2087" s="0" t="n">
        <f aca="false">VLOOKUP(B2087,'MSA-Lookup'!$H$2:$I$86,2)</f>
        <v>7320</v>
      </c>
      <c r="F2087" s="0" t="n">
        <f aca="false">IF(C2087&gt;1,IF(C2087&lt;99,VLOOKUP(C2087,'MSA-Lookup'!$H$1:$I$86,2),C2087),C2087)</f>
        <v>8120</v>
      </c>
      <c r="G2087" s="0" t="n">
        <f aca="false">VLOOKUP(E2087,'MSA-Lookup'!$AA$1:$AB$25,2)</f>
        <v>7320</v>
      </c>
      <c r="H2087" s="0" t="n">
        <f aca="false">IF(C2087&gt;1,IF(C2087&lt;99,VLOOKUP(F2087,'MSA-Lookup'!$AA$1:$AB$25,2),C2087),C2087)</f>
        <v>8120</v>
      </c>
    </row>
    <row r="2088" customFormat="false" ht="12.75" hidden="false" customHeight="false" outlineLevel="0" collapsed="false">
      <c r="A2088" s="0" t="n">
        <f aca="false">B2088*1000+C2088</f>
        <v>36024</v>
      </c>
      <c r="B2088" s="0" t="n">
        <v>36</v>
      </c>
      <c r="C2088" s="0" t="n">
        <v>24</v>
      </c>
      <c r="D2088" s="0" t="n">
        <v>0</v>
      </c>
      <c r="E2088" s="0" t="n">
        <f aca="false">VLOOKUP(B2088,'MSA-Lookup'!$H$2:$I$86,2)</f>
        <v>7320</v>
      </c>
      <c r="F2088" s="0" t="n">
        <f aca="false">IF(C2088&gt;1,IF(C2088&lt;99,VLOOKUP(C2088,'MSA-Lookup'!$H$1:$I$86,2),C2088),C2088)</f>
        <v>5170</v>
      </c>
      <c r="G2088" s="0" t="n">
        <f aca="false">VLOOKUP(E2088,'MSA-Lookup'!$AA$1:$AB$25,2)</f>
        <v>7320</v>
      </c>
      <c r="H2088" s="0" t="n">
        <f aca="false">IF(C2088&gt;1,IF(C2088&lt;99,VLOOKUP(F2088,'MSA-Lookup'!$AA$1:$AB$25,2),C2088),C2088)</f>
        <v>5170</v>
      </c>
    </row>
    <row r="2089" customFormat="false" ht="12.75" hidden="false" customHeight="false" outlineLevel="0" collapsed="false">
      <c r="A2089" s="0" t="n">
        <f aca="false">B2089*1000+C2089</f>
        <v>36025</v>
      </c>
      <c r="B2089" s="0" t="n">
        <v>36</v>
      </c>
      <c r="C2089" s="0" t="n">
        <v>25</v>
      </c>
      <c r="D2089" s="0" t="n">
        <v>0</v>
      </c>
      <c r="E2089" s="0" t="n">
        <f aca="false">VLOOKUP(B2089,'MSA-Lookup'!$H$2:$I$86,2)</f>
        <v>7320</v>
      </c>
      <c r="F2089" s="0" t="n">
        <f aca="false">IF(C2089&gt;1,IF(C2089&lt;99,VLOOKUP(C2089,'MSA-Lookup'!$H$1:$I$86,2),C2089),C2089)</f>
        <v>5170</v>
      </c>
      <c r="G2089" s="0" t="n">
        <f aca="false">VLOOKUP(E2089,'MSA-Lookup'!$AA$1:$AB$25,2)</f>
        <v>7320</v>
      </c>
      <c r="H2089" s="0" t="n">
        <f aca="false">IF(C2089&gt;1,IF(C2089&lt;99,VLOOKUP(F2089,'MSA-Lookup'!$AA$1:$AB$25,2),C2089),C2089)</f>
        <v>5170</v>
      </c>
    </row>
    <row r="2090" customFormat="false" ht="12.75" hidden="false" customHeight="false" outlineLevel="0" collapsed="false">
      <c r="A2090" s="0" t="n">
        <f aca="false">B2090*1000+C2090</f>
        <v>36026</v>
      </c>
      <c r="B2090" s="0" t="n">
        <v>36</v>
      </c>
      <c r="C2090" s="0" t="n">
        <v>26</v>
      </c>
      <c r="D2090" s="0" t="n">
        <v>130</v>
      </c>
      <c r="E2090" s="0" t="n">
        <f aca="false">VLOOKUP(B2090,'MSA-Lookup'!$H$2:$I$86,2)</f>
        <v>7320</v>
      </c>
      <c r="F2090" s="0" t="n">
        <f aca="false">IF(C2090&gt;1,IF(C2090&lt;99,VLOOKUP(C2090,'MSA-Lookup'!$H$1:$I$86,2),C2090),C2090)</f>
        <v>9999</v>
      </c>
      <c r="G2090" s="0" t="n">
        <f aca="false">VLOOKUP(E2090,'MSA-Lookup'!$AA$1:$AB$25,2)</f>
        <v>7320</v>
      </c>
      <c r="H2090" s="0" t="n">
        <f aca="false">IF(C2090&gt;1,IF(C2090&lt;99,VLOOKUP(F2090,'MSA-Lookup'!$AA$1:$AB$25,2),C2090),C2090)</f>
        <v>9999</v>
      </c>
    </row>
    <row r="2091" customFormat="false" ht="12.75" hidden="false" customHeight="false" outlineLevel="0" collapsed="false">
      <c r="A2091" s="0" t="n">
        <f aca="false">B2091*1000+C2091</f>
        <v>36027</v>
      </c>
      <c r="B2091" s="0" t="n">
        <v>36</v>
      </c>
      <c r="C2091" s="0" t="n">
        <v>27</v>
      </c>
      <c r="D2091" s="0" t="n">
        <v>0</v>
      </c>
      <c r="E2091" s="0" t="n">
        <f aca="false">VLOOKUP(B2091,'MSA-Lookup'!$H$2:$I$86,2)</f>
        <v>7320</v>
      </c>
      <c r="F2091" s="0" t="n">
        <f aca="false">IF(C2091&gt;1,IF(C2091&lt;99,VLOOKUP(C2091,'MSA-Lookup'!$H$1:$I$86,2),C2091),C2091)</f>
        <v>9999</v>
      </c>
      <c r="G2091" s="0" t="n">
        <f aca="false">VLOOKUP(E2091,'MSA-Lookup'!$AA$1:$AB$25,2)</f>
        <v>7320</v>
      </c>
      <c r="H2091" s="0" t="n">
        <f aca="false">IF(C2091&gt;1,IF(C2091&lt;99,VLOOKUP(F2091,'MSA-Lookup'!$AA$1:$AB$25,2),C2091),C2091)</f>
        <v>9999</v>
      </c>
    </row>
    <row r="2092" customFormat="false" ht="12.75" hidden="false" customHeight="false" outlineLevel="0" collapsed="false">
      <c r="A2092" s="0" t="n">
        <f aca="false">B2092*1000+C2092</f>
        <v>36028</v>
      </c>
      <c r="B2092" s="0" t="n">
        <v>36</v>
      </c>
      <c r="C2092" s="0" t="n">
        <v>28</v>
      </c>
      <c r="D2092" s="0" t="n">
        <v>0</v>
      </c>
      <c r="E2092" s="0" t="n">
        <f aca="false">VLOOKUP(B2092,'MSA-Lookup'!$H$2:$I$86,2)</f>
        <v>7320</v>
      </c>
      <c r="F2092" s="0" t="n">
        <f aca="false">IF(C2092&gt;1,IF(C2092&lt;99,VLOOKUP(C2092,'MSA-Lookup'!$H$1:$I$86,2),C2092),C2092)</f>
        <v>6920</v>
      </c>
      <c r="G2092" s="0" t="n">
        <f aca="false">VLOOKUP(E2092,'MSA-Lookup'!$AA$1:$AB$25,2)</f>
        <v>7320</v>
      </c>
      <c r="H2092" s="0" t="n">
        <f aca="false">IF(C2092&gt;1,IF(C2092&lt;99,VLOOKUP(F2092,'MSA-Lookup'!$AA$1:$AB$25,2),C2092),C2092)</f>
        <v>6920</v>
      </c>
    </row>
    <row r="2093" customFormat="false" ht="12.75" hidden="false" customHeight="false" outlineLevel="0" collapsed="false">
      <c r="A2093" s="0" t="n">
        <f aca="false">B2093*1000+C2093</f>
        <v>36029</v>
      </c>
      <c r="B2093" s="0" t="n">
        <v>36</v>
      </c>
      <c r="C2093" s="0" t="n">
        <v>29</v>
      </c>
      <c r="D2093" s="0" t="n">
        <v>0</v>
      </c>
      <c r="E2093" s="0" t="n">
        <f aca="false">VLOOKUP(B2093,'MSA-Lookup'!$H$2:$I$86,2)</f>
        <v>7320</v>
      </c>
      <c r="F2093" s="0" t="n">
        <f aca="false">IF(C2093&gt;1,IF(C2093&lt;99,VLOOKUP(C2093,'MSA-Lookup'!$H$1:$I$86,2),C2093),C2093)</f>
        <v>6920</v>
      </c>
      <c r="G2093" s="0" t="n">
        <f aca="false">VLOOKUP(E2093,'MSA-Lookup'!$AA$1:$AB$25,2)</f>
        <v>7320</v>
      </c>
      <c r="H2093" s="0" t="n">
        <f aca="false">IF(C2093&gt;1,IF(C2093&lt;99,VLOOKUP(F2093,'MSA-Lookup'!$AA$1:$AB$25,2),C2093),C2093)</f>
        <v>6920</v>
      </c>
    </row>
    <row r="2094" customFormat="false" ht="12.75" hidden="false" customHeight="false" outlineLevel="0" collapsed="false">
      <c r="A2094" s="0" t="n">
        <f aca="false">B2094*1000+C2094</f>
        <v>36030</v>
      </c>
      <c r="B2094" s="0" t="n">
        <v>36</v>
      </c>
      <c r="C2094" s="0" t="n">
        <v>30</v>
      </c>
      <c r="D2094" s="0" t="n">
        <v>117</v>
      </c>
      <c r="E2094" s="0" t="n">
        <f aca="false">VLOOKUP(B2094,'MSA-Lookup'!$H$2:$I$86,2)</f>
        <v>7320</v>
      </c>
      <c r="F2094" s="0" t="n">
        <f aca="false">IF(C2094&gt;1,IF(C2094&lt;99,VLOOKUP(C2094,'MSA-Lookup'!$H$1:$I$86,2),C2094),C2094)</f>
        <v>4940</v>
      </c>
      <c r="G2094" s="0" t="n">
        <f aca="false">VLOOKUP(E2094,'MSA-Lookup'!$AA$1:$AB$25,2)</f>
        <v>7320</v>
      </c>
      <c r="H2094" s="0" t="n">
        <f aca="false">IF(C2094&gt;1,IF(C2094&lt;99,VLOOKUP(F2094,'MSA-Lookup'!$AA$1:$AB$25,2),C2094),C2094)</f>
        <v>4940</v>
      </c>
    </row>
    <row r="2095" customFormat="false" ht="12.75" hidden="false" customHeight="false" outlineLevel="0" collapsed="false">
      <c r="A2095" s="0" t="n">
        <f aca="false">B2095*1000+C2095</f>
        <v>36031</v>
      </c>
      <c r="B2095" s="0" t="n">
        <v>36</v>
      </c>
      <c r="C2095" s="0" t="n">
        <v>31</v>
      </c>
      <c r="D2095" s="0" t="n">
        <v>0</v>
      </c>
      <c r="E2095" s="0" t="n">
        <f aca="false">VLOOKUP(B2095,'MSA-Lookup'!$H$2:$I$86,2)</f>
        <v>7320</v>
      </c>
      <c r="F2095" s="0" t="n">
        <f aca="false">IF(C2095&gt;1,IF(C2095&lt;99,VLOOKUP(C2095,'MSA-Lookup'!$H$1:$I$86,2),C2095),C2095)</f>
        <v>9999</v>
      </c>
      <c r="G2095" s="0" t="n">
        <f aca="false">VLOOKUP(E2095,'MSA-Lookup'!$AA$1:$AB$25,2)</f>
        <v>7320</v>
      </c>
      <c r="H2095" s="0" t="n">
        <f aca="false">IF(C2095&gt;1,IF(C2095&lt;99,VLOOKUP(F2095,'MSA-Lookup'!$AA$1:$AB$25,2),C2095),C2095)</f>
        <v>9999</v>
      </c>
    </row>
    <row r="2096" customFormat="false" ht="12.75" hidden="false" customHeight="false" outlineLevel="0" collapsed="false">
      <c r="A2096" s="0" t="n">
        <f aca="false">B2096*1000+C2096</f>
        <v>36032</v>
      </c>
      <c r="B2096" s="0" t="n">
        <v>36</v>
      </c>
      <c r="C2096" s="0" t="n">
        <v>32</v>
      </c>
      <c r="D2096" s="0" t="n">
        <v>0</v>
      </c>
      <c r="E2096" s="0" t="n">
        <f aca="false">VLOOKUP(B2096,'MSA-Lookup'!$H$2:$I$86,2)</f>
        <v>7320</v>
      </c>
      <c r="F2096" s="0" t="n">
        <f aca="false">IF(C2096&gt;1,IF(C2096&lt;99,VLOOKUP(C2096,'MSA-Lookup'!$H$1:$I$86,2),C2096),C2096)</f>
        <v>7480</v>
      </c>
      <c r="G2096" s="0" t="n">
        <f aca="false">VLOOKUP(E2096,'MSA-Lookup'!$AA$1:$AB$25,2)</f>
        <v>7320</v>
      </c>
      <c r="H2096" s="0" t="n">
        <f aca="false">IF(C2096&gt;1,IF(C2096&lt;99,VLOOKUP(F2096,'MSA-Lookup'!$AA$1:$AB$25,2),C2096),C2096)</f>
        <v>7480</v>
      </c>
    </row>
    <row r="2097" customFormat="false" ht="12.75" hidden="false" customHeight="false" outlineLevel="0" collapsed="false">
      <c r="A2097" s="0" t="n">
        <f aca="false">B2097*1000+C2097</f>
        <v>36033</v>
      </c>
      <c r="B2097" s="0" t="n">
        <v>36</v>
      </c>
      <c r="C2097" s="0" t="n">
        <v>33</v>
      </c>
      <c r="D2097" s="0" t="n">
        <v>29861</v>
      </c>
      <c r="E2097" s="0" t="n">
        <f aca="false">VLOOKUP(B2097,'MSA-Lookup'!$H$2:$I$86,2)</f>
        <v>7320</v>
      </c>
      <c r="F2097" s="0" t="n">
        <f aca="false">IF(C2097&gt;1,IF(C2097&lt;99,VLOOKUP(C2097,'MSA-Lookup'!$H$1:$I$86,2),C2097),C2097)</f>
        <v>7320</v>
      </c>
      <c r="G2097" s="0" t="n">
        <f aca="false">VLOOKUP(E2097,'MSA-Lookup'!$AA$1:$AB$25,2)</f>
        <v>7320</v>
      </c>
      <c r="H2097" s="0" t="n">
        <f aca="false">IF(C2097&gt;1,IF(C2097&lt;99,VLOOKUP(F2097,'MSA-Lookup'!$AA$1:$AB$25,2),C2097),C2097)</f>
        <v>7320</v>
      </c>
    </row>
    <row r="2098" customFormat="false" ht="12.75" hidden="false" customHeight="false" outlineLevel="0" collapsed="false">
      <c r="A2098" s="0" t="n">
        <f aca="false">B2098*1000+C2098</f>
        <v>36034</v>
      </c>
      <c r="B2098" s="0" t="n">
        <v>36</v>
      </c>
      <c r="C2098" s="0" t="n">
        <v>34</v>
      </c>
      <c r="D2098" s="0" t="n">
        <v>0</v>
      </c>
      <c r="E2098" s="0" t="n">
        <f aca="false">VLOOKUP(B2098,'MSA-Lookup'!$H$2:$I$86,2)</f>
        <v>7320</v>
      </c>
      <c r="F2098" s="0" t="n">
        <f aca="false">IF(C2098&gt;1,IF(C2098&lt;99,VLOOKUP(C2098,'MSA-Lookup'!$H$1:$I$86,2),C2098),C2098)</f>
        <v>7320</v>
      </c>
      <c r="G2098" s="0" t="n">
        <f aca="false">VLOOKUP(E2098,'MSA-Lookup'!$AA$1:$AB$25,2)</f>
        <v>7320</v>
      </c>
      <c r="H2098" s="0" t="n">
        <f aca="false">IF(C2098&gt;1,IF(C2098&lt;99,VLOOKUP(F2098,'MSA-Lookup'!$AA$1:$AB$25,2),C2098),C2098)</f>
        <v>7320</v>
      </c>
    </row>
    <row r="2099" customFormat="false" ht="12.75" hidden="false" customHeight="false" outlineLevel="0" collapsed="false">
      <c r="A2099" s="0" t="n">
        <f aca="false">B2099*1000+C2099</f>
        <v>36035</v>
      </c>
      <c r="B2099" s="0" t="n">
        <v>36</v>
      </c>
      <c r="C2099" s="0" t="n">
        <v>35</v>
      </c>
      <c r="D2099" s="0" t="n">
        <v>234</v>
      </c>
      <c r="E2099" s="0" t="n">
        <f aca="false">VLOOKUP(B2099,'MSA-Lookup'!$H$2:$I$86,2)</f>
        <v>7320</v>
      </c>
      <c r="F2099" s="0" t="n">
        <f aca="false">IF(C2099&gt;1,IF(C2099&lt;99,VLOOKUP(C2099,'MSA-Lookup'!$H$1:$I$86,2),C2099),C2099)</f>
        <v>7320</v>
      </c>
      <c r="G2099" s="0" t="n">
        <f aca="false">VLOOKUP(E2099,'MSA-Lookup'!$AA$1:$AB$25,2)</f>
        <v>7320</v>
      </c>
      <c r="H2099" s="0" t="n">
        <f aca="false">IF(C2099&gt;1,IF(C2099&lt;99,VLOOKUP(F2099,'MSA-Lookup'!$AA$1:$AB$25,2),C2099),C2099)</f>
        <v>7320</v>
      </c>
    </row>
    <row r="2100" customFormat="false" ht="12.75" hidden="false" customHeight="false" outlineLevel="0" collapsed="false">
      <c r="A2100" s="0" t="n">
        <f aca="false">B2100*1000+C2100</f>
        <v>36036</v>
      </c>
      <c r="B2100" s="0" t="n">
        <v>36</v>
      </c>
      <c r="C2100" s="0" t="n">
        <v>36</v>
      </c>
      <c r="D2100" s="0" t="n">
        <v>20917</v>
      </c>
      <c r="E2100" s="0" t="n">
        <f aca="false">VLOOKUP(B2100,'MSA-Lookup'!$H$2:$I$86,2)</f>
        <v>7320</v>
      </c>
      <c r="F2100" s="0" t="n">
        <f aca="false">IF(C2100&gt;1,IF(C2100&lt;99,VLOOKUP(C2100,'MSA-Lookup'!$H$1:$I$86,2),C2100),C2100)</f>
        <v>7320</v>
      </c>
      <c r="G2100" s="0" t="n">
        <f aca="false">VLOOKUP(E2100,'MSA-Lookup'!$AA$1:$AB$25,2)</f>
        <v>7320</v>
      </c>
      <c r="H2100" s="0" t="n">
        <f aca="false">IF(C2100&gt;1,IF(C2100&lt;99,VLOOKUP(F2100,'MSA-Lookup'!$AA$1:$AB$25,2),C2100),C2100)</f>
        <v>7320</v>
      </c>
    </row>
    <row r="2101" customFormat="false" ht="12.75" hidden="false" customHeight="false" outlineLevel="0" collapsed="false">
      <c r="A2101" s="0" t="n">
        <f aca="false">B2101*1000+C2101</f>
        <v>36037</v>
      </c>
      <c r="B2101" s="0" t="n">
        <v>36</v>
      </c>
      <c r="C2101" s="0" t="n">
        <v>37</v>
      </c>
      <c r="D2101" s="0" t="n">
        <v>12974</v>
      </c>
      <c r="E2101" s="0" t="n">
        <f aca="false">VLOOKUP(B2101,'MSA-Lookup'!$H$2:$I$86,2)</f>
        <v>7320</v>
      </c>
      <c r="F2101" s="0" t="n">
        <f aca="false">IF(C2101&gt;1,IF(C2101&lt;99,VLOOKUP(C2101,'MSA-Lookup'!$H$1:$I$86,2),C2101),C2101)</f>
        <v>7320</v>
      </c>
      <c r="G2101" s="0" t="n">
        <f aca="false">VLOOKUP(E2101,'MSA-Lookup'!$AA$1:$AB$25,2)</f>
        <v>7320</v>
      </c>
      <c r="H2101" s="0" t="n">
        <f aca="false">IF(C2101&gt;1,IF(C2101&lt;99,VLOOKUP(F2101,'MSA-Lookup'!$AA$1:$AB$25,2),C2101),C2101)</f>
        <v>7320</v>
      </c>
    </row>
    <row r="2102" customFormat="false" ht="12.75" hidden="false" customHeight="false" outlineLevel="0" collapsed="false">
      <c r="A2102" s="0" t="n">
        <f aca="false">B2102*1000+C2102</f>
        <v>36038</v>
      </c>
      <c r="B2102" s="0" t="n">
        <v>36</v>
      </c>
      <c r="C2102" s="0" t="n">
        <v>38</v>
      </c>
      <c r="D2102" s="0" t="n">
        <v>104</v>
      </c>
      <c r="E2102" s="0" t="n">
        <f aca="false">VLOOKUP(B2102,'MSA-Lookup'!$H$2:$I$86,2)</f>
        <v>7320</v>
      </c>
      <c r="F2102" s="0" t="n">
        <f aca="false">IF(C2102&gt;1,IF(C2102&lt;99,VLOOKUP(C2102,'MSA-Lookup'!$H$1:$I$86,2),C2102),C2102)</f>
        <v>7120</v>
      </c>
      <c r="G2102" s="0" t="n">
        <f aca="false">VLOOKUP(E2102,'MSA-Lookup'!$AA$1:$AB$25,2)</f>
        <v>7320</v>
      </c>
      <c r="H2102" s="0" t="n">
        <f aca="false">IF(C2102&gt;1,IF(C2102&lt;99,VLOOKUP(F2102,'MSA-Lookup'!$AA$1:$AB$25,2),C2102),C2102)</f>
        <v>7120</v>
      </c>
    </row>
    <row r="2103" customFormat="false" ht="12.75" hidden="false" customHeight="false" outlineLevel="0" collapsed="false">
      <c r="A2103" s="0" t="n">
        <f aca="false">B2103*1000+C2103</f>
        <v>36039</v>
      </c>
      <c r="B2103" s="0" t="n">
        <v>36</v>
      </c>
      <c r="C2103" s="0" t="n">
        <v>39</v>
      </c>
      <c r="D2103" s="0" t="n">
        <v>0</v>
      </c>
      <c r="E2103" s="0" t="n">
        <f aca="false">VLOOKUP(B2103,'MSA-Lookup'!$H$2:$I$86,2)</f>
        <v>7320</v>
      </c>
      <c r="F2103" s="0" t="n">
        <f aca="false">IF(C2103&gt;1,IF(C2103&lt;99,VLOOKUP(C2103,'MSA-Lookup'!$H$1:$I$86,2),C2103),C2103)</f>
        <v>7120</v>
      </c>
      <c r="G2103" s="0" t="n">
        <f aca="false">VLOOKUP(E2103,'MSA-Lookup'!$AA$1:$AB$25,2)</f>
        <v>7320</v>
      </c>
      <c r="H2103" s="0" t="n">
        <f aca="false">IF(C2103&gt;1,IF(C2103&lt;99,VLOOKUP(F2103,'MSA-Lookup'!$AA$1:$AB$25,2),C2103),C2103)</f>
        <v>7120</v>
      </c>
    </row>
    <row r="2104" customFormat="false" ht="12.75" hidden="false" customHeight="false" outlineLevel="0" collapsed="false">
      <c r="A2104" s="0" t="n">
        <f aca="false">B2104*1000+C2104</f>
        <v>36040</v>
      </c>
      <c r="B2104" s="0" t="n">
        <v>36</v>
      </c>
      <c r="C2104" s="0" t="n">
        <v>40</v>
      </c>
      <c r="D2104" s="0" t="n">
        <v>0</v>
      </c>
      <c r="E2104" s="0" t="n">
        <f aca="false">VLOOKUP(B2104,'MSA-Lookup'!$H$2:$I$86,2)</f>
        <v>7320</v>
      </c>
      <c r="F2104" s="0" t="n">
        <f aca="false">IF(C2104&gt;1,IF(C2104&lt;99,VLOOKUP(C2104,'MSA-Lookup'!$H$1:$I$86,2),C2104),C2104)</f>
        <v>2840</v>
      </c>
      <c r="G2104" s="0" t="n">
        <f aca="false">VLOOKUP(E2104,'MSA-Lookup'!$AA$1:$AB$25,2)</f>
        <v>7320</v>
      </c>
      <c r="H2104" s="0" t="n">
        <f aca="false">IF(C2104&gt;1,IF(C2104&lt;99,VLOOKUP(F2104,'MSA-Lookup'!$AA$1:$AB$25,2),C2104),C2104)</f>
        <v>2840</v>
      </c>
    </row>
    <row r="2105" customFormat="false" ht="12.75" hidden="false" customHeight="false" outlineLevel="0" collapsed="false">
      <c r="A2105" s="0" t="n">
        <f aca="false">B2105*1000+C2105</f>
        <v>36041</v>
      </c>
      <c r="B2105" s="0" t="n">
        <v>36</v>
      </c>
      <c r="C2105" s="0" t="n">
        <v>41</v>
      </c>
      <c r="D2105" s="0" t="n">
        <v>0</v>
      </c>
      <c r="E2105" s="0" t="n">
        <f aca="false">VLOOKUP(B2105,'MSA-Lookup'!$H$2:$I$86,2)</f>
        <v>7320</v>
      </c>
      <c r="F2105" s="0" t="n">
        <f aca="false">IF(C2105&gt;1,IF(C2105&lt;99,VLOOKUP(C2105,'MSA-Lookup'!$H$1:$I$86,2),C2105),C2105)</f>
        <v>2840</v>
      </c>
      <c r="G2105" s="0" t="n">
        <f aca="false">VLOOKUP(E2105,'MSA-Lookup'!$AA$1:$AB$25,2)</f>
        <v>7320</v>
      </c>
      <c r="H2105" s="0" t="n">
        <f aca="false">IF(C2105&gt;1,IF(C2105&lt;99,VLOOKUP(F2105,'MSA-Lookup'!$AA$1:$AB$25,2),C2105),C2105)</f>
        <v>2840</v>
      </c>
    </row>
    <row r="2106" customFormat="false" ht="12.75" hidden="false" customHeight="false" outlineLevel="0" collapsed="false">
      <c r="A2106" s="0" t="n">
        <f aca="false">B2106*1000+C2106</f>
        <v>36042</v>
      </c>
      <c r="B2106" s="0" t="n">
        <v>36</v>
      </c>
      <c r="C2106" s="0" t="n">
        <v>42</v>
      </c>
      <c r="D2106" s="0" t="n">
        <v>104</v>
      </c>
      <c r="E2106" s="0" t="n">
        <f aca="false">VLOOKUP(B2106,'MSA-Lookup'!$H$2:$I$86,2)</f>
        <v>7320</v>
      </c>
      <c r="F2106" s="0" t="n">
        <f aca="false">IF(C2106&gt;1,IF(C2106&lt;99,VLOOKUP(C2106,'MSA-Lookup'!$H$1:$I$86,2),C2106),C2106)</f>
        <v>360</v>
      </c>
      <c r="G2106" s="0" t="n">
        <f aca="false">VLOOKUP(E2106,'MSA-Lookup'!$AA$1:$AB$25,2)</f>
        <v>7320</v>
      </c>
      <c r="H2106" s="0" t="n">
        <f aca="false">IF(C2106&gt;1,IF(C2106&lt;99,VLOOKUP(F2106,'MSA-Lookup'!$AA$1:$AB$25,2),C2106),C2106)</f>
        <v>4472</v>
      </c>
    </row>
    <row r="2107" customFormat="false" ht="12.75" hidden="false" customHeight="false" outlineLevel="0" collapsed="false">
      <c r="A2107" s="0" t="n">
        <f aca="false">B2107*1000+C2107</f>
        <v>36043</v>
      </c>
      <c r="B2107" s="0" t="n">
        <v>36</v>
      </c>
      <c r="C2107" s="0" t="n">
        <v>43</v>
      </c>
      <c r="D2107" s="0" t="n">
        <v>0</v>
      </c>
      <c r="E2107" s="0" t="n">
        <f aca="false">VLOOKUP(B2107,'MSA-Lookup'!$H$2:$I$86,2)</f>
        <v>7320</v>
      </c>
      <c r="F2107" s="0" t="n">
        <f aca="false">IF(C2107&gt;1,IF(C2107&lt;99,VLOOKUP(C2107,'MSA-Lookup'!$H$1:$I$86,2),C2107),C2107)</f>
        <v>360</v>
      </c>
      <c r="G2107" s="0" t="n">
        <f aca="false">VLOOKUP(E2107,'MSA-Lookup'!$AA$1:$AB$25,2)</f>
        <v>7320</v>
      </c>
      <c r="H2107" s="0" t="n">
        <f aca="false">IF(C2107&gt;1,IF(C2107&lt;99,VLOOKUP(F2107,'MSA-Lookup'!$AA$1:$AB$25,2),C2107),C2107)</f>
        <v>4472</v>
      </c>
    </row>
    <row r="2108" customFormat="false" ht="12.75" hidden="false" customHeight="false" outlineLevel="0" collapsed="false">
      <c r="A2108" s="0" t="n">
        <f aca="false">B2108*1000+C2108</f>
        <v>36044</v>
      </c>
      <c r="B2108" s="0" t="n">
        <v>36</v>
      </c>
      <c r="C2108" s="0" t="n">
        <v>44</v>
      </c>
      <c r="D2108" s="0" t="n">
        <v>0</v>
      </c>
      <c r="E2108" s="0" t="n">
        <f aca="false">VLOOKUP(B2108,'MSA-Lookup'!$H$2:$I$86,2)</f>
        <v>7320</v>
      </c>
      <c r="F2108" s="0" t="n">
        <f aca="false">IF(C2108&gt;1,IF(C2108&lt;99,VLOOKUP(C2108,'MSA-Lookup'!$H$1:$I$86,2),C2108),C2108)</f>
        <v>360</v>
      </c>
      <c r="G2108" s="0" t="n">
        <f aca="false">VLOOKUP(E2108,'MSA-Lookup'!$AA$1:$AB$25,2)</f>
        <v>7320</v>
      </c>
      <c r="H2108" s="0" t="n">
        <f aca="false">IF(C2108&gt;1,IF(C2108&lt;99,VLOOKUP(F2108,'MSA-Lookup'!$AA$1:$AB$25,2),C2108),C2108)</f>
        <v>4472</v>
      </c>
    </row>
    <row r="2109" customFormat="false" ht="12.75" hidden="false" customHeight="false" outlineLevel="0" collapsed="false">
      <c r="A2109" s="0" t="n">
        <f aca="false">B2109*1000+C2109</f>
        <v>36045</v>
      </c>
      <c r="B2109" s="0" t="n">
        <v>36</v>
      </c>
      <c r="C2109" s="0" t="n">
        <v>45</v>
      </c>
      <c r="D2109" s="0" t="n">
        <v>0</v>
      </c>
      <c r="E2109" s="0" t="n">
        <f aca="false">VLOOKUP(B2109,'MSA-Lookup'!$H$2:$I$86,2)</f>
        <v>7320</v>
      </c>
      <c r="F2109" s="0" t="n">
        <f aca="false">IF(C2109&gt;1,IF(C2109&lt;99,VLOOKUP(C2109,'MSA-Lookup'!$H$1:$I$86,2),C2109),C2109)</f>
        <v>360</v>
      </c>
      <c r="G2109" s="0" t="n">
        <f aca="false">VLOOKUP(E2109,'MSA-Lookup'!$AA$1:$AB$25,2)</f>
        <v>7320</v>
      </c>
      <c r="H2109" s="0" t="n">
        <f aca="false">IF(C2109&gt;1,IF(C2109&lt;99,VLOOKUP(F2109,'MSA-Lookup'!$AA$1:$AB$25,2),C2109),C2109)</f>
        <v>4472</v>
      </c>
    </row>
    <row r="2110" customFormat="false" ht="12.75" hidden="false" customHeight="false" outlineLevel="0" collapsed="false">
      <c r="A2110" s="0" t="n">
        <f aca="false">B2110*1000+C2110</f>
        <v>36046</v>
      </c>
      <c r="B2110" s="0" t="n">
        <v>36</v>
      </c>
      <c r="C2110" s="0" t="n">
        <v>46</v>
      </c>
      <c r="D2110" s="0" t="n">
        <v>0</v>
      </c>
      <c r="E2110" s="0" t="n">
        <f aca="false">VLOOKUP(B2110,'MSA-Lookup'!$H$2:$I$86,2)</f>
        <v>7320</v>
      </c>
      <c r="F2110" s="0" t="n">
        <f aca="false">IF(C2110&gt;1,IF(C2110&lt;99,VLOOKUP(C2110,'MSA-Lookup'!$H$1:$I$86,2),C2110),C2110)</f>
        <v>360</v>
      </c>
      <c r="G2110" s="0" t="n">
        <f aca="false">VLOOKUP(E2110,'MSA-Lookup'!$AA$1:$AB$25,2)</f>
        <v>7320</v>
      </c>
      <c r="H2110" s="0" t="n">
        <f aca="false">IF(C2110&gt;1,IF(C2110&lt;99,VLOOKUP(F2110,'MSA-Lookup'!$AA$1:$AB$25,2),C2110),C2110)</f>
        <v>4472</v>
      </c>
    </row>
    <row r="2111" customFormat="false" ht="12.75" hidden="false" customHeight="false" outlineLevel="0" collapsed="false">
      <c r="A2111" s="0" t="n">
        <f aca="false">B2111*1000+C2111</f>
        <v>36047</v>
      </c>
      <c r="B2111" s="0" t="n">
        <v>36</v>
      </c>
      <c r="C2111" s="0" t="n">
        <v>47</v>
      </c>
      <c r="D2111" s="0" t="n">
        <v>0</v>
      </c>
      <c r="E2111" s="0" t="n">
        <f aca="false">VLOOKUP(B2111,'MSA-Lookup'!$H$2:$I$86,2)</f>
        <v>7320</v>
      </c>
      <c r="F2111" s="0" t="n">
        <f aca="false">IF(C2111&gt;1,IF(C2111&lt;99,VLOOKUP(C2111,'MSA-Lookup'!$H$1:$I$86,2),C2111),C2111)</f>
        <v>360</v>
      </c>
      <c r="G2111" s="0" t="n">
        <f aca="false">VLOOKUP(E2111,'MSA-Lookup'!$AA$1:$AB$25,2)</f>
        <v>7320</v>
      </c>
      <c r="H2111" s="0" t="n">
        <f aca="false">IF(C2111&gt;1,IF(C2111&lt;99,VLOOKUP(F2111,'MSA-Lookup'!$AA$1:$AB$25,2),C2111),C2111)</f>
        <v>4472</v>
      </c>
    </row>
    <row r="2112" customFormat="false" ht="12.75" hidden="false" customHeight="false" outlineLevel="0" collapsed="false">
      <c r="A2112" s="0" t="n">
        <f aca="false">B2112*1000+C2112</f>
        <v>36048</v>
      </c>
      <c r="B2112" s="0" t="n">
        <v>36</v>
      </c>
      <c r="C2112" s="0" t="n">
        <v>48</v>
      </c>
      <c r="D2112" s="0" t="n">
        <v>0</v>
      </c>
      <c r="E2112" s="0" t="n">
        <f aca="false">VLOOKUP(B2112,'MSA-Lookup'!$H$2:$I$86,2)</f>
        <v>7320</v>
      </c>
      <c r="F2112" s="0" t="n">
        <f aca="false">IF(C2112&gt;1,IF(C2112&lt;99,VLOOKUP(C2112,'MSA-Lookup'!$H$1:$I$86,2),C2112),C2112)</f>
        <v>360</v>
      </c>
      <c r="G2112" s="0" t="n">
        <f aca="false">VLOOKUP(E2112,'MSA-Lookup'!$AA$1:$AB$25,2)</f>
        <v>7320</v>
      </c>
      <c r="H2112" s="0" t="n">
        <f aca="false">IF(C2112&gt;1,IF(C2112&lt;99,VLOOKUP(F2112,'MSA-Lookup'!$AA$1:$AB$25,2),C2112),C2112)</f>
        <v>4472</v>
      </c>
    </row>
    <row r="2113" customFormat="false" ht="12.75" hidden="false" customHeight="false" outlineLevel="0" collapsed="false">
      <c r="A2113" s="0" t="n">
        <f aca="false">B2113*1000+C2113</f>
        <v>36049</v>
      </c>
      <c r="B2113" s="0" t="n">
        <v>36</v>
      </c>
      <c r="C2113" s="0" t="n">
        <v>49</v>
      </c>
      <c r="D2113" s="0" t="n">
        <v>0</v>
      </c>
      <c r="E2113" s="0" t="n">
        <f aca="false">VLOOKUP(B2113,'MSA-Lookup'!$H$2:$I$86,2)</f>
        <v>7320</v>
      </c>
      <c r="F2113" s="0" t="n">
        <f aca="false">IF(C2113&gt;1,IF(C2113&lt;99,VLOOKUP(C2113,'MSA-Lookup'!$H$1:$I$86,2),C2113),C2113)</f>
        <v>7400</v>
      </c>
      <c r="G2113" s="0" t="n">
        <f aca="false">VLOOKUP(E2113,'MSA-Lookup'!$AA$1:$AB$25,2)</f>
        <v>7320</v>
      </c>
      <c r="H2113" s="0" t="n">
        <f aca="false">IF(C2113&gt;1,IF(C2113&lt;99,VLOOKUP(F2113,'MSA-Lookup'!$AA$1:$AB$25,2),C2113),C2113)</f>
        <v>7362</v>
      </c>
    </row>
    <row r="2114" customFormat="false" ht="12.75" hidden="false" customHeight="false" outlineLevel="0" collapsed="false">
      <c r="A2114" s="0" t="n">
        <f aca="false">B2114*1000+C2114</f>
        <v>36050</v>
      </c>
      <c r="B2114" s="0" t="n">
        <v>36</v>
      </c>
      <c r="C2114" s="0" t="n">
        <v>50</v>
      </c>
      <c r="D2114" s="0" t="n">
        <v>0</v>
      </c>
      <c r="E2114" s="0" t="n">
        <f aca="false">VLOOKUP(B2114,'MSA-Lookup'!$H$2:$I$86,2)</f>
        <v>7320</v>
      </c>
      <c r="F2114" s="0" t="n">
        <f aca="false">IF(C2114&gt;1,IF(C2114&lt;99,VLOOKUP(C2114,'MSA-Lookup'!$H$1:$I$86,2),C2114),C2114)</f>
        <v>7400</v>
      </c>
      <c r="G2114" s="0" t="n">
        <f aca="false">VLOOKUP(E2114,'MSA-Lookup'!$AA$1:$AB$25,2)</f>
        <v>7320</v>
      </c>
      <c r="H2114" s="0" t="n">
        <f aca="false">IF(C2114&gt;1,IF(C2114&lt;99,VLOOKUP(F2114,'MSA-Lookup'!$AA$1:$AB$25,2),C2114),C2114)</f>
        <v>7362</v>
      </c>
    </row>
    <row r="2115" customFormat="false" ht="12.75" hidden="false" customHeight="false" outlineLevel="0" collapsed="false">
      <c r="A2115" s="0" t="n">
        <f aca="false">B2115*1000+C2115</f>
        <v>36051</v>
      </c>
      <c r="B2115" s="0" t="n">
        <v>36</v>
      </c>
      <c r="C2115" s="0" t="n">
        <v>51</v>
      </c>
      <c r="D2115" s="0" t="n">
        <v>0</v>
      </c>
      <c r="E2115" s="0" t="n">
        <f aca="false">VLOOKUP(B2115,'MSA-Lookup'!$H$2:$I$86,2)</f>
        <v>7320</v>
      </c>
      <c r="F2115" s="0" t="n">
        <f aca="false">IF(C2115&gt;1,IF(C2115&lt;99,VLOOKUP(C2115,'MSA-Lookup'!$H$1:$I$86,2),C2115),C2115)</f>
        <v>7400</v>
      </c>
      <c r="G2115" s="0" t="n">
        <f aca="false">VLOOKUP(E2115,'MSA-Lookup'!$AA$1:$AB$25,2)</f>
        <v>7320</v>
      </c>
      <c r="H2115" s="0" t="n">
        <f aca="false">IF(C2115&gt;1,IF(C2115&lt;99,VLOOKUP(F2115,'MSA-Lookup'!$AA$1:$AB$25,2),C2115),C2115)</f>
        <v>7362</v>
      </c>
    </row>
    <row r="2116" customFormat="false" ht="12.75" hidden="false" customHeight="false" outlineLevel="0" collapsed="false">
      <c r="A2116" s="0" t="n">
        <f aca="false">B2116*1000+C2116</f>
        <v>36052</v>
      </c>
      <c r="B2116" s="0" t="n">
        <v>36</v>
      </c>
      <c r="C2116" s="0" t="n">
        <v>52</v>
      </c>
      <c r="D2116" s="0" t="n">
        <v>0</v>
      </c>
      <c r="E2116" s="0" t="n">
        <f aca="false">VLOOKUP(B2116,'MSA-Lookup'!$H$2:$I$86,2)</f>
        <v>7320</v>
      </c>
      <c r="F2116" s="0" t="n">
        <f aca="false">IF(C2116&gt;1,IF(C2116&lt;99,VLOOKUP(C2116,'MSA-Lookup'!$H$1:$I$86,2),C2116),C2116)</f>
        <v>4480</v>
      </c>
      <c r="G2116" s="0" t="n">
        <f aca="false">VLOOKUP(E2116,'MSA-Lookup'!$AA$1:$AB$25,2)</f>
        <v>7320</v>
      </c>
      <c r="H2116" s="0" t="n">
        <f aca="false">IF(C2116&gt;1,IF(C2116&lt;99,VLOOKUP(F2116,'MSA-Lookup'!$AA$1:$AB$25,2),C2116),C2116)</f>
        <v>4472</v>
      </c>
    </row>
    <row r="2117" customFormat="false" ht="12.75" hidden="false" customHeight="false" outlineLevel="0" collapsed="false">
      <c r="A2117" s="0" t="n">
        <f aca="false">B2117*1000+C2117</f>
        <v>36053</v>
      </c>
      <c r="B2117" s="0" t="n">
        <v>36</v>
      </c>
      <c r="C2117" s="0" t="n">
        <v>53</v>
      </c>
      <c r="D2117" s="0" t="n">
        <v>0</v>
      </c>
      <c r="E2117" s="0" t="n">
        <f aca="false">VLOOKUP(B2117,'MSA-Lookup'!$H$2:$I$86,2)</f>
        <v>7320</v>
      </c>
      <c r="F2117" s="0" t="n">
        <f aca="false">IF(C2117&gt;1,IF(C2117&lt;99,VLOOKUP(C2117,'MSA-Lookup'!$H$1:$I$86,2),C2117),C2117)</f>
        <v>4480</v>
      </c>
      <c r="G2117" s="0" t="n">
        <f aca="false">VLOOKUP(E2117,'MSA-Lookup'!$AA$1:$AB$25,2)</f>
        <v>7320</v>
      </c>
      <c r="H2117" s="0" t="n">
        <f aca="false">IF(C2117&gt;1,IF(C2117&lt;99,VLOOKUP(F2117,'MSA-Lookup'!$AA$1:$AB$25,2),C2117),C2117)</f>
        <v>4472</v>
      </c>
    </row>
    <row r="2118" customFormat="false" ht="12.75" hidden="false" customHeight="false" outlineLevel="0" collapsed="false">
      <c r="A2118" s="0" t="n">
        <f aca="false">B2118*1000+C2118</f>
        <v>36054</v>
      </c>
      <c r="B2118" s="0" t="n">
        <v>36</v>
      </c>
      <c r="C2118" s="0" t="n">
        <v>54</v>
      </c>
      <c r="D2118" s="0" t="n">
        <v>0</v>
      </c>
      <c r="E2118" s="0" t="n">
        <f aca="false">VLOOKUP(B2118,'MSA-Lookup'!$H$2:$I$86,2)</f>
        <v>7320</v>
      </c>
      <c r="F2118" s="0" t="n">
        <f aca="false">IF(C2118&gt;1,IF(C2118&lt;99,VLOOKUP(C2118,'MSA-Lookup'!$H$1:$I$86,2),C2118),C2118)</f>
        <v>4480</v>
      </c>
      <c r="G2118" s="0" t="n">
        <f aca="false">VLOOKUP(E2118,'MSA-Lookup'!$AA$1:$AB$25,2)</f>
        <v>7320</v>
      </c>
      <c r="H2118" s="0" t="n">
        <f aca="false">IF(C2118&gt;1,IF(C2118&lt;99,VLOOKUP(F2118,'MSA-Lookup'!$AA$1:$AB$25,2),C2118),C2118)</f>
        <v>4472</v>
      </c>
    </row>
    <row r="2119" customFormat="false" ht="12.75" hidden="false" customHeight="false" outlineLevel="0" collapsed="false">
      <c r="A2119" s="0" t="n">
        <f aca="false">B2119*1000+C2119</f>
        <v>36055</v>
      </c>
      <c r="B2119" s="0" t="n">
        <v>36</v>
      </c>
      <c r="C2119" s="0" t="n">
        <v>55</v>
      </c>
      <c r="D2119" s="0" t="n">
        <v>0</v>
      </c>
      <c r="E2119" s="0" t="n">
        <f aca="false">VLOOKUP(B2119,'MSA-Lookup'!$H$2:$I$86,2)</f>
        <v>7320</v>
      </c>
      <c r="F2119" s="0" t="n">
        <f aca="false">IF(C2119&gt;1,IF(C2119&lt;99,VLOOKUP(C2119,'MSA-Lookup'!$H$1:$I$86,2),C2119),C2119)</f>
        <v>4480</v>
      </c>
      <c r="G2119" s="0" t="n">
        <f aca="false">VLOOKUP(E2119,'MSA-Lookup'!$AA$1:$AB$25,2)</f>
        <v>7320</v>
      </c>
      <c r="H2119" s="0" t="n">
        <f aca="false">IF(C2119&gt;1,IF(C2119&lt;99,VLOOKUP(F2119,'MSA-Lookup'!$AA$1:$AB$25,2),C2119),C2119)</f>
        <v>4472</v>
      </c>
    </row>
    <row r="2120" customFormat="false" ht="12.75" hidden="false" customHeight="false" outlineLevel="0" collapsed="false">
      <c r="A2120" s="0" t="n">
        <f aca="false">B2120*1000+C2120</f>
        <v>36056</v>
      </c>
      <c r="B2120" s="0" t="n">
        <v>36</v>
      </c>
      <c r="C2120" s="0" t="n">
        <v>56</v>
      </c>
      <c r="D2120" s="0" t="n">
        <v>0</v>
      </c>
      <c r="E2120" s="0" t="n">
        <f aca="false">VLOOKUP(B2120,'MSA-Lookup'!$H$2:$I$86,2)</f>
        <v>7320</v>
      </c>
      <c r="F2120" s="0" t="n">
        <f aca="false">IF(C2120&gt;1,IF(C2120&lt;99,VLOOKUP(C2120,'MSA-Lookup'!$H$1:$I$86,2),C2120),C2120)</f>
        <v>4480</v>
      </c>
      <c r="G2120" s="0" t="n">
        <f aca="false">VLOOKUP(E2120,'MSA-Lookup'!$AA$1:$AB$25,2)</f>
        <v>7320</v>
      </c>
      <c r="H2120" s="0" t="n">
        <f aca="false">IF(C2120&gt;1,IF(C2120&lt;99,VLOOKUP(F2120,'MSA-Lookup'!$AA$1:$AB$25,2),C2120),C2120)</f>
        <v>4472</v>
      </c>
    </row>
    <row r="2121" customFormat="false" ht="12.75" hidden="false" customHeight="false" outlineLevel="0" collapsed="false">
      <c r="A2121" s="0" t="n">
        <f aca="false">B2121*1000+C2121</f>
        <v>36057</v>
      </c>
      <c r="B2121" s="0" t="n">
        <v>36</v>
      </c>
      <c r="C2121" s="0" t="n">
        <v>57</v>
      </c>
      <c r="D2121" s="0" t="n">
        <v>0</v>
      </c>
      <c r="E2121" s="0" t="n">
        <f aca="false">VLOOKUP(B2121,'MSA-Lookup'!$H$2:$I$86,2)</f>
        <v>7320</v>
      </c>
      <c r="F2121" s="0" t="n">
        <f aca="false">IF(C2121&gt;1,IF(C2121&lt;99,VLOOKUP(C2121,'MSA-Lookup'!$H$1:$I$86,2),C2121),C2121)</f>
        <v>4480</v>
      </c>
      <c r="G2121" s="0" t="n">
        <f aca="false">VLOOKUP(E2121,'MSA-Lookup'!$AA$1:$AB$25,2)</f>
        <v>7320</v>
      </c>
      <c r="H2121" s="0" t="n">
        <f aca="false">IF(C2121&gt;1,IF(C2121&lt;99,VLOOKUP(F2121,'MSA-Lookup'!$AA$1:$AB$25,2),C2121),C2121)</f>
        <v>4472</v>
      </c>
    </row>
    <row r="2122" customFormat="false" ht="12.75" hidden="false" customHeight="false" outlineLevel="0" collapsed="false">
      <c r="A2122" s="0" t="n">
        <f aca="false">B2122*1000+C2122</f>
        <v>36059</v>
      </c>
      <c r="B2122" s="0" t="n">
        <v>36</v>
      </c>
      <c r="C2122" s="0" t="n">
        <v>59</v>
      </c>
      <c r="D2122" s="0" t="n">
        <v>0</v>
      </c>
      <c r="E2122" s="0" t="n">
        <f aca="false">VLOOKUP(B2122,'MSA-Lookup'!$H$2:$I$86,2)</f>
        <v>7320</v>
      </c>
      <c r="F2122" s="0" t="n">
        <f aca="false">IF(C2122&gt;1,IF(C2122&lt;99,VLOOKUP(C2122,'MSA-Lookup'!$H$1:$I$86,2),C2122),C2122)</f>
        <v>4480</v>
      </c>
      <c r="G2122" s="0" t="n">
        <f aca="false">VLOOKUP(E2122,'MSA-Lookup'!$AA$1:$AB$25,2)</f>
        <v>7320</v>
      </c>
      <c r="H2122" s="0" t="n">
        <f aca="false">IF(C2122&gt;1,IF(C2122&lt;99,VLOOKUP(F2122,'MSA-Lookup'!$AA$1:$AB$25,2),C2122),C2122)</f>
        <v>4472</v>
      </c>
    </row>
    <row r="2123" customFormat="false" ht="12.75" hidden="false" customHeight="false" outlineLevel="0" collapsed="false">
      <c r="A2123" s="0" t="n">
        <f aca="false">B2123*1000+C2123</f>
        <v>36060</v>
      </c>
      <c r="B2123" s="0" t="n">
        <v>36</v>
      </c>
      <c r="C2123" s="0" t="n">
        <v>60</v>
      </c>
      <c r="D2123" s="0" t="n">
        <v>0</v>
      </c>
      <c r="E2123" s="0" t="n">
        <f aca="false">VLOOKUP(B2123,'MSA-Lookup'!$H$2:$I$86,2)</f>
        <v>7320</v>
      </c>
      <c r="F2123" s="0" t="n">
        <f aca="false">IF(C2123&gt;1,IF(C2123&lt;99,VLOOKUP(C2123,'MSA-Lookup'!$H$1:$I$86,2),C2123),C2123)</f>
        <v>4480</v>
      </c>
      <c r="G2123" s="0" t="n">
        <f aca="false">VLOOKUP(E2123,'MSA-Lookup'!$AA$1:$AB$25,2)</f>
        <v>7320</v>
      </c>
      <c r="H2123" s="0" t="n">
        <f aca="false">IF(C2123&gt;1,IF(C2123&lt;99,VLOOKUP(F2123,'MSA-Lookup'!$AA$1:$AB$25,2),C2123),C2123)</f>
        <v>4472</v>
      </c>
    </row>
    <row r="2124" customFormat="false" ht="12.75" hidden="false" customHeight="false" outlineLevel="0" collapsed="false">
      <c r="A2124" s="0" t="n">
        <f aca="false">B2124*1000+C2124</f>
        <v>36062</v>
      </c>
      <c r="B2124" s="0" t="n">
        <v>36</v>
      </c>
      <c r="C2124" s="0" t="n">
        <v>62</v>
      </c>
      <c r="D2124" s="0" t="n">
        <v>39</v>
      </c>
      <c r="E2124" s="0" t="n">
        <f aca="false">VLOOKUP(B2124,'MSA-Lookup'!$H$2:$I$86,2)</f>
        <v>7320</v>
      </c>
      <c r="F2124" s="0" t="n">
        <f aca="false">IF(C2124&gt;1,IF(C2124&lt;99,VLOOKUP(C2124,'MSA-Lookup'!$H$1:$I$86,2),C2124),C2124)</f>
        <v>4480</v>
      </c>
      <c r="G2124" s="0" t="n">
        <f aca="false">VLOOKUP(E2124,'MSA-Lookup'!$AA$1:$AB$25,2)</f>
        <v>7320</v>
      </c>
      <c r="H2124" s="0" t="n">
        <f aca="false">IF(C2124&gt;1,IF(C2124&lt;99,VLOOKUP(F2124,'MSA-Lookup'!$AA$1:$AB$25,2),C2124),C2124)</f>
        <v>4472</v>
      </c>
    </row>
    <row r="2125" customFormat="false" ht="12.75" hidden="false" customHeight="false" outlineLevel="0" collapsed="false">
      <c r="A2125" s="0" t="n">
        <f aca="false">B2125*1000+C2125</f>
        <v>36063</v>
      </c>
      <c r="B2125" s="0" t="n">
        <v>36</v>
      </c>
      <c r="C2125" s="0" t="n">
        <v>63</v>
      </c>
      <c r="D2125" s="0" t="n">
        <v>0</v>
      </c>
      <c r="E2125" s="0" t="n">
        <f aca="false">VLOOKUP(B2125,'MSA-Lookup'!$H$2:$I$86,2)</f>
        <v>7320</v>
      </c>
      <c r="F2125" s="0" t="n">
        <f aca="false">IF(C2125&gt;1,IF(C2125&lt;99,VLOOKUP(C2125,'MSA-Lookup'!$H$1:$I$86,2),C2125),C2125)</f>
        <v>4480</v>
      </c>
      <c r="G2125" s="0" t="n">
        <f aca="false">VLOOKUP(E2125,'MSA-Lookup'!$AA$1:$AB$25,2)</f>
        <v>7320</v>
      </c>
      <c r="H2125" s="0" t="n">
        <f aca="false">IF(C2125&gt;1,IF(C2125&lt;99,VLOOKUP(F2125,'MSA-Lookup'!$AA$1:$AB$25,2),C2125),C2125)</f>
        <v>4472</v>
      </c>
    </row>
    <row r="2126" customFormat="false" ht="12.75" hidden="false" customHeight="false" outlineLevel="0" collapsed="false">
      <c r="A2126" s="0" t="n">
        <f aca="false">B2126*1000+C2126</f>
        <v>36064</v>
      </c>
      <c r="B2126" s="0" t="n">
        <v>36</v>
      </c>
      <c r="C2126" s="0" t="n">
        <v>64</v>
      </c>
      <c r="D2126" s="0" t="n">
        <v>169</v>
      </c>
      <c r="E2126" s="0" t="n">
        <f aca="false">VLOOKUP(B2126,'MSA-Lookup'!$H$2:$I$86,2)</f>
        <v>7320</v>
      </c>
      <c r="F2126" s="0" t="n">
        <f aca="false">IF(C2126&gt;1,IF(C2126&lt;99,VLOOKUP(C2126,'MSA-Lookup'!$H$1:$I$86,2),C2126),C2126)</f>
        <v>4480</v>
      </c>
      <c r="G2126" s="0" t="n">
        <f aca="false">VLOOKUP(E2126,'MSA-Lookup'!$AA$1:$AB$25,2)</f>
        <v>7320</v>
      </c>
      <c r="H2126" s="0" t="n">
        <f aca="false">IF(C2126&gt;1,IF(C2126&lt;99,VLOOKUP(F2126,'MSA-Lookup'!$AA$1:$AB$25,2),C2126),C2126)</f>
        <v>4472</v>
      </c>
    </row>
    <row r="2127" customFormat="false" ht="12.75" hidden="false" customHeight="false" outlineLevel="0" collapsed="false">
      <c r="A2127" s="0" t="n">
        <f aca="false">B2127*1000+C2127</f>
        <v>36065</v>
      </c>
      <c r="B2127" s="0" t="n">
        <v>36</v>
      </c>
      <c r="C2127" s="0" t="n">
        <v>65</v>
      </c>
      <c r="D2127" s="0" t="n">
        <v>0</v>
      </c>
      <c r="E2127" s="0" t="n">
        <f aca="false">VLOOKUP(B2127,'MSA-Lookup'!$H$2:$I$86,2)</f>
        <v>7320</v>
      </c>
      <c r="F2127" s="0" t="n">
        <f aca="false">IF(C2127&gt;1,IF(C2127&lt;99,VLOOKUP(C2127,'MSA-Lookup'!$H$1:$I$86,2),C2127),C2127)</f>
        <v>4480</v>
      </c>
      <c r="G2127" s="0" t="n">
        <f aca="false">VLOOKUP(E2127,'MSA-Lookup'!$AA$1:$AB$25,2)</f>
        <v>7320</v>
      </c>
      <c r="H2127" s="0" t="n">
        <f aca="false">IF(C2127&gt;1,IF(C2127&lt;99,VLOOKUP(F2127,'MSA-Lookup'!$AA$1:$AB$25,2),C2127),C2127)</f>
        <v>4472</v>
      </c>
    </row>
    <row r="2128" customFormat="false" ht="12.75" hidden="false" customHeight="false" outlineLevel="0" collapsed="false">
      <c r="A2128" s="0" t="n">
        <f aca="false">B2128*1000+C2128</f>
        <v>36066</v>
      </c>
      <c r="B2128" s="0" t="n">
        <v>36</v>
      </c>
      <c r="C2128" s="0" t="n">
        <v>66</v>
      </c>
      <c r="D2128" s="0" t="n">
        <v>0</v>
      </c>
      <c r="E2128" s="0" t="n">
        <f aca="false">VLOOKUP(B2128,'MSA-Lookup'!$H$2:$I$86,2)</f>
        <v>7320</v>
      </c>
      <c r="F2128" s="0" t="n">
        <f aca="false">IF(C2128&gt;1,IF(C2128&lt;99,VLOOKUP(C2128,'MSA-Lookup'!$H$1:$I$86,2),C2128),C2128)</f>
        <v>4480</v>
      </c>
      <c r="G2128" s="0" t="n">
        <f aca="false">VLOOKUP(E2128,'MSA-Lookup'!$AA$1:$AB$25,2)</f>
        <v>7320</v>
      </c>
      <c r="H2128" s="0" t="n">
        <f aca="false">IF(C2128&gt;1,IF(C2128&lt;99,VLOOKUP(F2128,'MSA-Lookup'!$AA$1:$AB$25,2),C2128),C2128)</f>
        <v>4472</v>
      </c>
    </row>
    <row r="2129" customFormat="false" ht="12.75" hidden="false" customHeight="false" outlineLevel="0" collapsed="false">
      <c r="A2129" s="0" t="n">
        <f aca="false">B2129*1000+C2129</f>
        <v>36067</v>
      </c>
      <c r="B2129" s="0" t="n">
        <v>36</v>
      </c>
      <c r="C2129" s="0" t="n">
        <v>67</v>
      </c>
      <c r="D2129" s="0" t="n">
        <v>0</v>
      </c>
      <c r="E2129" s="0" t="n">
        <f aca="false">VLOOKUP(B2129,'MSA-Lookup'!$H$2:$I$86,2)</f>
        <v>7320</v>
      </c>
      <c r="F2129" s="0" t="n">
        <f aca="false">IF(C2129&gt;1,IF(C2129&lt;99,VLOOKUP(C2129,'MSA-Lookup'!$H$1:$I$86,2),C2129),C2129)</f>
        <v>6000</v>
      </c>
      <c r="G2129" s="0" t="n">
        <f aca="false">VLOOKUP(E2129,'MSA-Lookup'!$AA$1:$AB$25,2)</f>
        <v>7320</v>
      </c>
      <c r="H2129" s="0" t="n">
        <f aca="false">IF(C2129&gt;1,IF(C2129&lt;99,VLOOKUP(F2129,'MSA-Lookup'!$AA$1:$AB$25,2),C2129),C2129)</f>
        <v>4472</v>
      </c>
    </row>
    <row r="2130" customFormat="false" ht="12.75" hidden="false" customHeight="false" outlineLevel="0" collapsed="false">
      <c r="A2130" s="0" t="n">
        <f aca="false">B2130*1000+C2130</f>
        <v>36069</v>
      </c>
      <c r="B2130" s="0" t="n">
        <v>36</v>
      </c>
      <c r="C2130" s="0" t="n">
        <v>69</v>
      </c>
      <c r="D2130" s="0" t="n">
        <v>0</v>
      </c>
      <c r="E2130" s="0" t="n">
        <f aca="false">VLOOKUP(B2130,'MSA-Lookup'!$H$2:$I$86,2)</f>
        <v>7320</v>
      </c>
      <c r="F2130" s="0" t="n">
        <f aca="false">IF(C2130&gt;1,IF(C2130&lt;99,VLOOKUP(C2130,'MSA-Lookup'!$H$1:$I$86,2),C2130),C2130)</f>
        <v>6780</v>
      </c>
      <c r="G2130" s="0" t="n">
        <f aca="false">VLOOKUP(E2130,'MSA-Lookup'!$AA$1:$AB$25,2)</f>
        <v>7320</v>
      </c>
      <c r="H2130" s="0" t="n">
        <f aca="false">IF(C2130&gt;1,IF(C2130&lt;99,VLOOKUP(F2130,'MSA-Lookup'!$AA$1:$AB$25,2),C2130),C2130)</f>
        <v>4472</v>
      </c>
    </row>
    <row r="2131" customFormat="false" ht="12.75" hidden="false" customHeight="false" outlineLevel="0" collapsed="false">
      <c r="A2131" s="0" t="n">
        <f aca="false">B2131*1000+C2131</f>
        <v>36071</v>
      </c>
      <c r="B2131" s="0" t="n">
        <v>36</v>
      </c>
      <c r="C2131" s="0" t="n">
        <v>71</v>
      </c>
      <c r="D2131" s="0" t="n">
        <v>0</v>
      </c>
      <c r="E2131" s="0" t="n">
        <f aca="false">VLOOKUP(B2131,'MSA-Lookup'!$H$2:$I$86,2)</f>
        <v>7320</v>
      </c>
      <c r="F2131" s="0" t="n">
        <f aca="false">IF(C2131&gt;1,IF(C2131&lt;99,VLOOKUP(C2131,'MSA-Lookup'!$H$1:$I$86,2),C2131),C2131)</f>
        <v>6780</v>
      </c>
      <c r="G2131" s="0" t="n">
        <f aca="false">VLOOKUP(E2131,'MSA-Lookup'!$AA$1:$AB$25,2)</f>
        <v>7320</v>
      </c>
      <c r="H2131" s="0" t="n">
        <f aca="false">IF(C2131&gt;1,IF(C2131&lt;99,VLOOKUP(F2131,'MSA-Lookup'!$AA$1:$AB$25,2),C2131),C2131)</f>
        <v>4472</v>
      </c>
    </row>
    <row r="2132" customFormat="false" ht="12.75" hidden="false" customHeight="false" outlineLevel="0" collapsed="false">
      <c r="A2132" s="0" t="n">
        <f aca="false">B2132*1000+C2132</f>
        <v>36072</v>
      </c>
      <c r="B2132" s="0" t="n">
        <v>36</v>
      </c>
      <c r="C2132" s="0" t="n">
        <v>72</v>
      </c>
      <c r="D2132" s="0" t="n">
        <v>0</v>
      </c>
      <c r="E2132" s="0" t="n">
        <f aca="false">VLOOKUP(B2132,'MSA-Lookup'!$H$2:$I$86,2)</f>
        <v>7320</v>
      </c>
      <c r="F2132" s="0" t="n">
        <f aca="false">IF(C2132&gt;1,IF(C2132&lt;99,VLOOKUP(C2132,'MSA-Lookup'!$H$1:$I$86,2),C2132),C2132)</f>
        <v>6780</v>
      </c>
      <c r="G2132" s="0" t="n">
        <f aca="false">VLOOKUP(E2132,'MSA-Lookup'!$AA$1:$AB$25,2)</f>
        <v>7320</v>
      </c>
      <c r="H2132" s="0" t="n">
        <f aca="false">IF(C2132&gt;1,IF(C2132&lt;99,VLOOKUP(F2132,'MSA-Lookup'!$AA$1:$AB$25,2),C2132),C2132)</f>
        <v>4472</v>
      </c>
    </row>
    <row r="2133" customFormat="false" ht="12.75" hidden="false" customHeight="false" outlineLevel="0" collapsed="false">
      <c r="A2133" s="0" t="n">
        <f aca="false">B2133*1000+C2133</f>
        <v>36073</v>
      </c>
      <c r="B2133" s="0" t="n">
        <v>36</v>
      </c>
      <c r="C2133" s="0" t="n">
        <v>73</v>
      </c>
      <c r="D2133" s="0" t="n">
        <v>0</v>
      </c>
      <c r="E2133" s="0" t="n">
        <f aca="false">VLOOKUP(B2133,'MSA-Lookup'!$H$2:$I$86,2)</f>
        <v>7320</v>
      </c>
      <c r="F2133" s="0" t="n">
        <f aca="false">IF(C2133&gt;1,IF(C2133&lt;99,VLOOKUP(C2133,'MSA-Lookup'!$H$1:$I$86,2),C2133),C2133)</f>
        <v>8720</v>
      </c>
      <c r="G2133" s="0" t="n">
        <f aca="false">VLOOKUP(E2133,'MSA-Lookup'!$AA$1:$AB$25,2)</f>
        <v>7320</v>
      </c>
      <c r="H2133" s="0" t="n">
        <f aca="false">IF(C2133&gt;1,IF(C2133&lt;99,VLOOKUP(F2133,'MSA-Lookup'!$AA$1:$AB$25,2),C2133),C2133)</f>
        <v>7362</v>
      </c>
    </row>
    <row r="2134" customFormat="false" ht="12.75" hidden="false" customHeight="false" outlineLevel="0" collapsed="false">
      <c r="A2134" s="0" t="n">
        <f aca="false">B2134*1000+C2134</f>
        <v>36075</v>
      </c>
      <c r="B2134" s="0" t="n">
        <v>36</v>
      </c>
      <c r="C2134" s="0" t="n">
        <v>75</v>
      </c>
      <c r="D2134" s="0" t="n">
        <v>0</v>
      </c>
      <c r="E2134" s="0" t="n">
        <f aca="false">VLOOKUP(B2134,'MSA-Lookup'!$H$2:$I$86,2)</f>
        <v>7320</v>
      </c>
      <c r="F2134" s="0" t="n">
        <f aca="false">IF(C2134&gt;1,IF(C2134&lt;99,VLOOKUP(C2134,'MSA-Lookup'!$H$1:$I$86,2),C2134),C2134)</f>
        <v>8780</v>
      </c>
      <c r="G2134" s="0" t="n">
        <f aca="false">VLOOKUP(E2134,'MSA-Lookup'!$AA$1:$AB$25,2)</f>
        <v>7320</v>
      </c>
      <c r="H2134" s="0" t="n">
        <f aca="false">IF(C2134&gt;1,IF(C2134&lt;99,VLOOKUP(F2134,'MSA-Lookup'!$AA$1:$AB$25,2),C2134),C2134)</f>
        <v>8780</v>
      </c>
    </row>
    <row r="2135" customFormat="false" ht="12.75" hidden="false" customHeight="false" outlineLevel="0" collapsed="false">
      <c r="A2135" s="0" t="n">
        <f aca="false">B2135*1000+C2135</f>
        <v>36076</v>
      </c>
      <c r="B2135" s="0" t="n">
        <v>36</v>
      </c>
      <c r="C2135" s="0" t="n">
        <v>76</v>
      </c>
      <c r="D2135" s="0" t="n">
        <v>0</v>
      </c>
      <c r="E2135" s="0" t="n">
        <f aca="false">VLOOKUP(B2135,'MSA-Lookup'!$H$2:$I$86,2)</f>
        <v>7320</v>
      </c>
      <c r="F2135" s="0" t="n">
        <f aca="false">IF(C2135&gt;1,IF(C2135&lt;99,VLOOKUP(C2135,'MSA-Lookup'!$H$1:$I$86,2),C2135),C2135)</f>
        <v>7485</v>
      </c>
      <c r="G2135" s="0" t="n">
        <f aca="false">VLOOKUP(E2135,'MSA-Lookup'!$AA$1:$AB$25,2)</f>
        <v>7320</v>
      </c>
      <c r="H2135" s="0" t="n">
        <f aca="false">IF(C2135&gt;1,IF(C2135&lt;99,VLOOKUP(F2135,'MSA-Lookup'!$AA$1:$AB$25,2),C2135),C2135)</f>
        <v>7362</v>
      </c>
    </row>
    <row r="2136" customFormat="false" ht="12.75" hidden="false" customHeight="false" outlineLevel="0" collapsed="false">
      <c r="A2136" s="0" t="n">
        <f aca="false">B2136*1000+C2136</f>
        <v>36077</v>
      </c>
      <c r="B2136" s="0" t="n">
        <v>36</v>
      </c>
      <c r="C2136" s="0" t="n">
        <v>77</v>
      </c>
      <c r="D2136" s="0" t="n">
        <v>0</v>
      </c>
      <c r="E2136" s="0" t="n">
        <f aca="false">VLOOKUP(B2136,'MSA-Lookup'!$H$2:$I$86,2)</f>
        <v>7320</v>
      </c>
      <c r="F2136" s="0" t="n">
        <f aca="false">IF(C2136&gt;1,IF(C2136&lt;99,VLOOKUP(C2136,'MSA-Lookup'!$H$1:$I$86,2),C2136),C2136)</f>
        <v>9999</v>
      </c>
      <c r="G2136" s="0" t="n">
        <f aca="false">VLOOKUP(E2136,'MSA-Lookup'!$AA$1:$AB$25,2)</f>
        <v>7320</v>
      </c>
      <c r="H2136" s="0" t="n">
        <f aca="false">IF(C2136&gt;1,IF(C2136&lt;99,VLOOKUP(F2136,'MSA-Lookup'!$AA$1:$AB$25,2),C2136),C2136)</f>
        <v>9999</v>
      </c>
    </row>
    <row r="2137" customFormat="false" ht="12.75" hidden="false" customHeight="false" outlineLevel="0" collapsed="false">
      <c r="A2137" s="0" t="n">
        <f aca="false">B2137*1000+C2137</f>
        <v>36079</v>
      </c>
      <c r="B2137" s="0" t="n">
        <v>36</v>
      </c>
      <c r="C2137" s="0" t="n">
        <v>79</v>
      </c>
      <c r="D2137" s="0" t="n">
        <v>0</v>
      </c>
      <c r="E2137" s="0" t="n">
        <f aca="false">VLOOKUP(B2137,'MSA-Lookup'!$H$2:$I$86,2)</f>
        <v>7320</v>
      </c>
      <c r="F2137" s="0" t="n">
        <f aca="false">IF(C2137&gt;1,IF(C2137&lt;99,VLOOKUP(C2137,'MSA-Lookup'!$H$1:$I$86,2),C2137),C2137)</f>
        <v>680</v>
      </c>
      <c r="G2137" s="0" t="n">
        <f aca="false">VLOOKUP(E2137,'MSA-Lookup'!$AA$1:$AB$25,2)</f>
        <v>7320</v>
      </c>
      <c r="H2137" s="0" t="n">
        <f aca="false">IF(C2137&gt;1,IF(C2137&lt;99,VLOOKUP(F2137,'MSA-Lookup'!$AA$1:$AB$25,2),C2137),C2137)</f>
        <v>680</v>
      </c>
    </row>
    <row r="2138" customFormat="false" ht="12.75" hidden="false" customHeight="false" outlineLevel="0" collapsed="false">
      <c r="A2138" s="0" t="n">
        <f aca="false">B2138*1000+C2138</f>
        <v>36080</v>
      </c>
      <c r="B2138" s="0" t="n">
        <v>36</v>
      </c>
      <c r="C2138" s="0" t="n">
        <v>80</v>
      </c>
      <c r="D2138" s="0" t="n">
        <v>0</v>
      </c>
      <c r="E2138" s="0" t="n">
        <f aca="false">VLOOKUP(B2138,'MSA-Lookup'!$H$2:$I$86,2)</f>
        <v>7320</v>
      </c>
      <c r="F2138" s="0" t="n">
        <f aca="false">IF(C2138&gt;1,IF(C2138&lt;99,VLOOKUP(C2138,'MSA-Lookup'!$H$1:$I$86,2),C2138),C2138)</f>
        <v>9999</v>
      </c>
      <c r="G2138" s="0" t="n">
        <f aca="false">VLOOKUP(E2138,'MSA-Lookup'!$AA$1:$AB$25,2)</f>
        <v>7320</v>
      </c>
      <c r="H2138" s="0" t="n">
        <f aca="false">IF(C2138&gt;1,IF(C2138&lt;99,VLOOKUP(F2138,'MSA-Lookup'!$AA$1:$AB$25,2),C2138),C2138)</f>
        <v>9999</v>
      </c>
    </row>
    <row r="2139" customFormat="false" ht="12.75" hidden="false" customHeight="false" outlineLevel="0" collapsed="false">
      <c r="A2139" s="0" t="n">
        <f aca="false">B2139*1000+C2139</f>
        <v>36082</v>
      </c>
      <c r="B2139" s="0" t="n">
        <v>36</v>
      </c>
      <c r="C2139" s="0" t="n">
        <v>82</v>
      </c>
      <c r="D2139" s="0" t="n">
        <v>0</v>
      </c>
      <c r="E2139" s="0" t="n">
        <f aca="false">VLOOKUP(B2139,'MSA-Lookup'!$H$2:$I$86,2)</f>
        <v>7320</v>
      </c>
      <c r="F2139" s="0" t="n">
        <f aca="false">IF(C2139&gt;1,IF(C2139&lt;99,VLOOKUP(C2139,'MSA-Lookup'!$H$1:$I$86,2),C2139),C2139)</f>
        <v>6780</v>
      </c>
      <c r="G2139" s="0" t="n">
        <f aca="false">VLOOKUP(E2139,'MSA-Lookup'!$AA$1:$AB$25,2)</f>
        <v>7320</v>
      </c>
      <c r="H2139" s="0" t="n">
        <f aca="false">IF(C2139&gt;1,IF(C2139&lt;99,VLOOKUP(F2139,'MSA-Lookup'!$AA$1:$AB$25,2),C2139),C2139)</f>
        <v>4472</v>
      </c>
    </row>
    <row r="2140" customFormat="false" ht="12.75" hidden="false" customHeight="false" outlineLevel="0" collapsed="false">
      <c r="A2140" s="0" t="n">
        <f aca="false">B2140*1000+C2140</f>
        <v>36083</v>
      </c>
      <c r="B2140" s="0" t="n">
        <v>36</v>
      </c>
      <c r="C2140" s="0" t="n">
        <v>83</v>
      </c>
      <c r="D2140" s="0" t="n">
        <v>0</v>
      </c>
      <c r="E2140" s="0" t="n">
        <f aca="false">VLOOKUP(B2140,'MSA-Lookup'!$H$2:$I$86,2)</f>
        <v>7320</v>
      </c>
      <c r="F2140" s="0" t="n">
        <f aca="false">IF(C2140&gt;1,IF(C2140&lt;99,VLOOKUP(C2140,'MSA-Lookup'!$H$1:$I$86,2),C2140),C2140)</f>
        <v>6000</v>
      </c>
      <c r="G2140" s="0" t="n">
        <f aca="false">VLOOKUP(E2140,'MSA-Lookup'!$AA$1:$AB$25,2)</f>
        <v>7320</v>
      </c>
      <c r="H2140" s="0" t="n">
        <f aca="false">IF(C2140&gt;1,IF(C2140&lt;99,VLOOKUP(F2140,'MSA-Lookup'!$AA$1:$AB$25,2),C2140),C2140)</f>
        <v>4472</v>
      </c>
    </row>
    <row r="2141" customFormat="false" ht="12.75" hidden="false" customHeight="false" outlineLevel="0" collapsed="false">
      <c r="A2141" s="0" t="n">
        <f aca="false">B2141*1000+C2141</f>
        <v>36084</v>
      </c>
      <c r="B2141" s="0" t="n">
        <v>36</v>
      </c>
      <c r="C2141" s="0" t="n">
        <v>84</v>
      </c>
      <c r="D2141" s="0" t="n">
        <v>0</v>
      </c>
      <c r="E2141" s="0" t="n">
        <f aca="false">VLOOKUP(B2141,'MSA-Lookup'!$H$2:$I$86,2)</f>
        <v>7320</v>
      </c>
      <c r="F2141" s="0" t="n">
        <f aca="false">IF(C2141&gt;1,IF(C2141&lt;99,VLOOKUP(C2141,'MSA-Lookup'!$H$1:$I$86,2),C2141),C2141)</f>
        <v>360</v>
      </c>
      <c r="G2141" s="0" t="n">
        <f aca="false">VLOOKUP(E2141,'MSA-Lookup'!$AA$1:$AB$25,2)</f>
        <v>7320</v>
      </c>
      <c r="H2141" s="0" t="n">
        <f aca="false">IF(C2141&gt;1,IF(C2141&lt;99,VLOOKUP(F2141,'MSA-Lookup'!$AA$1:$AB$25,2),C2141),C2141)</f>
        <v>4472</v>
      </c>
    </row>
    <row r="2142" customFormat="false" ht="12.75" hidden="false" customHeight="false" outlineLevel="0" collapsed="false">
      <c r="A2142" s="0" t="n">
        <f aca="false">B2142*1000+C2142</f>
        <v>36085</v>
      </c>
      <c r="B2142" s="0" t="n">
        <v>36</v>
      </c>
      <c r="C2142" s="0" t="n">
        <v>85</v>
      </c>
      <c r="D2142" s="0" t="n">
        <v>0</v>
      </c>
      <c r="E2142" s="0" t="n">
        <f aca="false">VLOOKUP(B2142,'MSA-Lookup'!$H$2:$I$86,2)</f>
        <v>7320</v>
      </c>
      <c r="F2142" s="0" t="n">
        <f aca="false">IF(C2142&gt;1,IF(C2142&lt;99,VLOOKUP(C2142,'MSA-Lookup'!$H$1:$I$86,2),C2142),C2142)</f>
        <v>8120</v>
      </c>
      <c r="G2142" s="0" t="n">
        <f aca="false">VLOOKUP(E2142,'MSA-Lookup'!$AA$1:$AB$25,2)</f>
        <v>7320</v>
      </c>
      <c r="H2142" s="0" t="n">
        <f aca="false">IF(C2142&gt;1,IF(C2142&lt;99,VLOOKUP(F2142,'MSA-Lookup'!$AA$1:$AB$25,2),C2142),C2142)</f>
        <v>8120</v>
      </c>
    </row>
    <row r="2143" customFormat="false" ht="12.75" hidden="false" customHeight="false" outlineLevel="0" collapsed="false">
      <c r="A2143" s="0" t="n">
        <f aca="false">B2143*1000+C2143</f>
        <v>36858</v>
      </c>
      <c r="B2143" s="0" t="n">
        <v>36</v>
      </c>
      <c r="C2143" s="0" t="n">
        <v>858</v>
      </c>
      <c r="D2143" s="0" t="n">
        <v>0</v>
      </c>
      <c r="E2143" s="0" t="n">
        <f aca="false">VLOOKUP(B2143,'MSA-Lookup'!$H$2:$I$86,2)</f>
        <v>7320</v>
      </c>
      <c r="F2143" s="0" t="n">
        <f aca="false">IF(C2143&gt;1,IF(C2143&lt;99,VLOOKUP(C2143,'MSA-Lookup'!$H$1:$I$86,2),C2143),C2143)</f>
        <v>858</v>
      </c>
      <c r="G2143" s="0" t="n">
        <f aca="false">VLOOKUP(E2143,'MSA-Lookup'!$AA$1:$AB$25,2)</f>
        <v>7320</v>
      </c>
      <c r="H2143" s="0" t="n">
        <f aca="false">IF(C2143&gt;1,IF(C2143&lt;99,VLOOKUP(F2143,'MSA-Lookup'!$AA$1:$AB$25,2),C2143),C2143)</f>
        <v>858</v>
      </c>
    </row>
    <row r="2144" customFormat="false" ht="12.75" hidden="false" customHeight="false" outlineLevel="0" collapsed="false">
      <c r="A2144" s="0" t="n">
        <f aca="false">B2144*1000+C2144</f>
        <v>36983</v>
      </c>
      <c r="B2144" s="0" t="n">
        <v>36</v>
      </c>
      <c r="C2144" s="0" t="n">
        <v>983</v>
      </c>
      <c r="D2144" s="0" t="n">
        <v>0</v>
      </c>
      <c r="E2144" s="0" t="n">
        <f aca="false">VLOOKUP(B2144,'MSA-Lookup'!$H$2:$I$86,2)</f>
        <v>7320</v>
      </c>
      <c r="F2144" s="0" t="n">
        <f aca="false">IF(C2144&gt;1,IF(C2144&lt;99,VLOOKUP(C2144,'MSA-Lookup'!$H$1:$I$86,2),C2144),C2144)</f>
        <v>983</v>
      </c>
      <c r="G2144" s="0" t="n">
        <f aca="false">VLOOKUP(E2144,'MSA-Lookup'!$AA$1:$AB$25,2)</f>
        <v>7320</v>
      </c>
      <c r="H2144" s="0" t="n">
        <f aca="false">IF(C2144&gt;1,IF(C2144&lt;99,VLOOKUP(F2144,'MSA-Lookup'!$AA$1:$AB$25,2),C2144),C2144)</f>
        <v>983</v>
      </c>
    </row>
    <row r="2145" customFormat="false" ht="12.75" hidden="false" customHeight="false" outlineLevel="0" collapsed="false">
      <c r="A2145" s="0" t="n">
        <f aca="false">B2145*1000+C2145</f>
        <v>36999</v>
      </c>
      <c r="B2145" s="0" t="n">
        <v>36</v>
      </c>
      <c r="C2145" s="0" t="n">
        <v>999</v>
      </c>
      <c r="D2145" s="0" t="n">
        <v>728</v>
      </c>
      <c r="E2145" s="0" t="n">
        <f aca="false">VLOOKUP(B2145,'MSA-Lookup'!$H$2:$I$86,2)</f>
        <v>7320</v>
      </c>
      <c r="F2145" s="0" t="n">
        <f aca="false">IF(C2145&gt;1,IF(C2145&lt;99,VLOOKUP(C2145,'MSA-Lookup'!$H$1:$I$86,2),C2145),C2145)</f>
        <v>999</v>
      </c>
      <c r="G2145" s="0" t="n">
        <f aca="false">VLOOKUP(E2145,'MSA-Lookup'!$AA$1:$AB$25,2)</f>
        <v>7320</v>
      </c>
      <c r="H2145" s="0" t="n">
        <f aca="false">IF(C2145&gt;1,IF(C2145&lt;99,VLOOKUP(F2145,'MSA-Lookup'!$AA$1:$AB$25,2),C2145),C2145)</f>
        <v>999</v>
      </c>
    </row>
    <row r="2146" customFormat="false" ht="12.75" hidden="false" customHeight="false" outlineLevel="0" collapsed="false">
      <c r="A2146" s="0" t="n">
        <f aca="false">B2146*1000+C2146</f>
        <v>37000</v>
      </c>
      <c r="B2146" s="0" t="n">
        <v>37</v>
      </c>
      <c r="C2146" s="0" t="n">
        <v>0</v>
      </c>
      <c r="D2146" s="0" t="n">
        <v>520962</v>
      </c>
      <c r="E2146" s="0" t="n">
        <f aca="false">VLOOKUP(B2146,'MSA-Lookup'!$H$2:$I$86,2)</f>
        <v>7320</v>
      </c>
      <c r="F2146" s="0" t="n">
        <f aca="false">IF(C2146&gt;1,IF(C2146&lt;99,VLOOKUP(C2146,'MSA-Lookup'!$H$1:$I$86,2),C2146),C2146)</f>
        <v>0</v>
      </c>
      <c r="G2146" s="0" t="n">
        <f aca="false">VLOOKUP(E2146,'MSA-Lookup'!$AA$1:$AB$25,2)</f>
        <v>7320</v>
      </c>
      <c r="H2146" s="0" t="n">
        <f aca="false">IF(C2146&gt;1,IF(C2146&lt;99,VLOOKUP(F2146,'MSA-Lookup'!$AA$1:$AB$25,2),C2146),C2146)</f>
        <v>0</v>
      </c>
    </row>
    <row r="2147" customFormat="false" ht="12.75" hidden="false" customHeight="false" outlineLevel="0" collapsed="false">
      <c r="A2147" s="0" t="n">
        <f aca="false">B2147*1000+C2147</f>
        <v>37001</v>
      </c>
      <c r="B2147" s="0" t="n">
        <v>37</v>
      </c>
      <c r="C2147" s="0" t="n">
        <v>1</v>
      </c>
      <c r="D2147" s="0" t="n">
        <v>403</v>
      </c>
      <c r="E2147" s="0" t="n">
        <f aca="false">VLOOKUP(B2147,'MSA-Lookup'!$H$2:$I$86,2)</f>
        <v>7320</v>
      </c>
      <c r="F2147" s="0" t="n">
        <f aca="false">IF(C2147&gt;1,IF(C2147&lt;99,VLOOKUP(C2147,'MSA-Lookup'!$H$1:$I$86,2),C2147),C2147)</f>
        <v>1</v>
      </c>
      <c r="G2147" s="0" t="n">
        <f aca="false">VLOOKUP(E2147,'MSA-Lookup'!$AA$1:$AB$25,2)</f>
        <v>7320</v>
      </c>
      <c r="H2147" s="0" t="n">
        <f aca="false">IF(C2147&gt;1,IF(C2147&lt;99,VLOOKUP(F2147,'MSA-Lookup'!$AA$1:$AB$25,2),C2147),C2147)</f>
        <v>1</v>
      </c>
    </row>
    <row r="2148" customFormat="false" ht="12.75" hidden="false" customHeight="false" outlineLevel="0" collapsed="false">
      <c r="A2148" s="0" t="n">
        <f aca="false">B2148*1000+C2148</f>
        <v>37002</v>
      </c>
      <c r="B2148" s="0" t="n">
        <v>37</v>
      </c>
      <c r="C2148" s="0" t="n">
        <v>2</v>
      </c>
      <c r="D2148" s="0" t="n">
        <v>169</v>
      </c>
      <c r="E2148" s="0" t="n">
        <f aca="false">VLOOKUP(B2148,'MSA-Lookup'!$H$2:$I$86,2)</f>
        <v>7320</v>
      </c>
      <c r="F2148" s="0" t="n">
        <f aca="false">IF(C2148&gt;1,IF(C2148&lt;99,VLOOKUP(C2148,'MSA-Lookup'!$H$1:$I$86,2),C2148),C2148)</f>
        <v>9999</v>
      </c>
      <c r="G2148" s="0" t="n">
        <f aca="false">VLOOKUP(E2148,'MSA-Lookup'!$AA$1:$AB$25,2)</f>
        <v>7320</v>
      </c>
      <c r="H2148" s="0" t="n">
        <f aca="false">IF(C2148&gt;1,IF(C2148&lt;99,VLOOKUP(F2148,'MSA-Lookup'!$AA$1:$AB$25,2),C2148),C2148)</f>
        <v>9999</v>
      </c>
    </row>
    <row r="2149" customFormat="false" ht="12.75" hidden="false" customHeight="false" outlineLevel="0" collapsed="false">
      <c r="A2149" s="0" t="n">
        <f aca="false">B2149*1000+C2149</f>
        <v>37003</v>
      </c>
      <c r="B2149" s="0" t="n">
        <v>37</v>
      </c>
      <c r="C2149" s="0" t="n">
        <v>3</v>
      </c>
      <c r="D2149" s="0" t="n">
        <v>130</v>
      </c>
      <c r="E2149" s="0" t="n">
        <f aca="false">VLOOKUP(B2149,'MSA-Lookup'!$H$2:$I$86,2)</f>
        <v>7320</v>
      </c>
      <c r="F2149" s="0" t="n">
        <f aca="false">IF(C2149&gt;1,IF(C2149&lt;99,VLOOKUP(C2149,'MSA-Lookup'!$H$1:$I$86,2),C2149),C2149)</f>
        <v>6690</v>
      </c>
      <c r="G2149" s="0" t="n">
        <f aca="false">VLOOKUP(E2149,'MSA-Lookup'!$AA$1:$AB$25,2)</f>
        <v>7320</v>
      </c>
      <c r="H2149" s="0" t="n">
        <f aca="false">IF(C2149&gt;1,IF(C2149&lt;99,VLOOKUP(F2149,'MSA-Lookup'!$AA$1:$AB$25,2),C2149),C2149)</f>
        <v>6690</v>
      </c>
    </row>
    <row r="2150" customFormat="false" ht="12.75" hidden="false" customHeight="false" outlineLevel="0" collapsed="false">
      <c r="A2150" s="0" t="n">
        <f aca="false">B2150*1000+C2150</f>
        <v>37004</v>
      </c>
      <c r="B2150" s="0" t="n">
        <v>37</v>
      </c>
      <c r="C2150" s="0" t="n">
        <v>4</v>
      </c>
      <c r="D2150" s="0" t="n">
        <v>260</v>
      </c>
      <c r="E2150" s="0" t="n">
        <f aca="false">VLOOKUP(B2150,'MSA-Lookup'!$H$2:$I$86,2)</f>
        <v>7320</v>
      </c>
      <c r="F2150" s="0" t="n">
        <f aca="false">IF(C2150&gt;1,IF(C2150&lt;99,VLOOKUP(C2150,'MSA-Lookup'!$H$1:$I$86,2),C2150),C2150)</f>
        <v>9999</v>
      </c>
      <c r="G2150" s="0" t="n">
        <f aca="false">VLOOKUP(E2150,'MSA-Lookup'!$AA$1:$AB$25,2)</f>
        <v>7320</v>
      </c>
      <c r="H2150" s="0" t="n">
        <f aca="false">IF(C2150&gt;1,IF(C2150&lt;99,VLOOKUP(F2150,'MSA-Lookup'!$AA$1:$AB$25,2),C2150),C2150)</f>
        <v>9999</v>
      </c>
    </row>
    <row r="2151" customFormat="false" ht="12.75" hidden="false" customHeight="false" outlineLevel="0" collapsed="false">
      <c r="A2151" s="0" t="n">
        <f aca="false">B2151*1000+C2151</f>
        <v>37005</v>
      </c>
      <c r="B2151" s="0" t="n">
        <v>37</v>
      </c>
      <c r="C2151" s="0" t="n">
        <v>5</v>
      </c>
      <c r="D2151" s="0" t="n">
        <v>78</v>
      </c>
      <c r="E2151" s="0" t="n">
        <f aca="false">VLOOKUP(B2151,'MSA-Lookup'!$H$2:$I$86,2)</f>
        <v>7320</v>
      </c>
      <c r="F2151" s="0" t="n">
        <f aca="false">IF(C2151&gt;1,IF(C2151&lt;99,VLOOKUP(C2151,'MSA-Lookup'!$H$1:$I$86,2),C2151),C2151)</f>
        <v>9999</v>
      </c>
      <c r="G2151" s="0" t="n">
        <f aca="false">VLOOKUP(E2151,'MSA-Lookup'!$AA$1:$AB$25,2)</f>
        <v>7320</v>
      </c>
      <c r="H2151" s="0" t="n">
        <f aca="false">IF(C2151&gt;1,IF(C2151&lt;99,VLOOKUP(F2151,'MSA-Lookup'!$AA$1:$AB$25,2),C2151),C2151)</f>
        <v>9999</v>
      </c>
    </row>
    <row r="2152" customFormat="false" ht="12.75" hidden="false" customHeight="false" outlineLevel="0" collapsed="false">
      <c r="A2152" s="0" t="n">
        <f aca="false">B2152*1000+C2152</f>
        <v>37006</v>
      </c>
      <c r="B2152" s="0" t="n">
        <v>37</v>
      </c>
      <c r="C2152" s="0" t="n">
        <v>6</v>
      </c>
      <c r="D2152" s="0" t="n">
        <v>0</v>
      </c>
      <c r="E2152" s="0" t="n">
        <f aca="false">VLOOKUP(B2152,'MSA-Lookup'!$H$2:$I$86,2)</f>
        <v>7320</v>
      </c>
      <c r="F2152" s="0" t="n">
        <f aca="false">IF(C2152&gt;1,IF(C2152&lt;99,VLOOKUP(C2152,'MSA-Lookup'!$H$1:$I$86,2),C2152),C2152)</f>
        <v>1620</v>
      </c>
      <c r="G2152" s="0" t="n">
        <f aca="false">VLOOKUP(E2152,'MSA-Lookup'!$AA$1:$AB$25,2)</f>
        <v>7320</v>
      </c>
      <c r="H2152" s="0" t="n">
        <f aca="false">IF(C2152&gt;1,IF(C2152&lt;99,VLOOKUP(F2152,'MSA-Lookup'!$AA$1:$AB$25,2),C2152),C2152)</f>
        <v>1620</v>
      </c>
    </row>
    <row r="2153" customFormat="false" ht="12.75" hidden="false" customHeight="false" outlineLevel="0" collapsed="false">
      <c r="A2153" s="0" t="n">
        <f aca="false">B2153*1000+C2153</f>
        <v>37007</v>
      </c>
      <c r="B2153" s="0" t="n">
        <v>37</v>
      </c>
      <c r="C2153" s="0" t="n">
        <v>7</v>
      </c>
      <c r="D2153" s="0" t="n">
        <v>143</v>
      </c>
      <c r="E2153" s="0" t="n">
        <f aca="false">VLOOKUP(B2153,'MSA-Lookup'!$H$2:$I$86,2)</f>
        <v>7320</v>
      </c>
      <c r="F2153" s="0" t="n">
        <f aca="false">IF(C2153&gt;1,IF(C2153&lt;99,VLOOKUP(C2153,'MSA-Lookup'!$H$1:$I$86,2),C2153),C2153)</f>
        <v>9999</v>
      </c>
      <c r="G2153" s="0" t="n">
        <f aca="false">VLOOKUP(E2153,'MSA-Lookup'!$AA$1:$AB$25,2)</f>
        <v>7320</v>
      </c>
      <c r="H2153" s="0" t="n">
        <f aca="false">IF(C2153&gt;1,IF(C2153&lt;99,VLOOKUP(F2153,'MSA-Lookup'!$AA$1:$AB$25,2),C2153),C2153)</f>
        <v>9999</v>
      </c>
    </row>
    <row r="2154" customFormat="false" ht="12.75" hidden="false" customHeight="false" outlineLevel="0" collapsed="false">
      <c r="A2154" s="0" t="n">
        <f aca="false">B2154*1000+C2154</f>
        <v>37008</v>
      </c>
      <c r="B2154" s="0" t="n">
        <v>37</v>
      </c>
      <c r="C2154" s="0" t="n">
        <v>8</v>
      </c>
      <c r="D2154" s="0" t="n">
        <v>156</v>
      </c>
      <c r="E2154" s="0" t="n">
        <f aca="false">VLOOKUP(B2154,'MSA-Lookup'!$H$2:$I$86,2)</f>
        <v>7320</v>
      </c>
      <c r="F2154" s="0" t="n">
        <f aca="false">IF(C2154&gt;1,IF(C2154&lt;99,VLOOKUP(C2154,'MSA-Lookup'!$H$1:$I$86,2),C2154),C2154)</f>
        <v>9340</v>
      </c>
      <c r="G2154" s="0" t="n">
        <f aca="false">VLOOKUP(E2154,'MSA-Lookup'!$AA$1:$AB$25,2)</f>
        <v>7320</v>
      </c>
      <c r="H2154" s="0" t="n">
        <f aca="false">IF(C2154&gt;1,IF(C2154&lt;99,VLOOKUP(F2154,'MSA-Lookup'!$AA$1:$AB$25,2),C2154),C2154)</f>
        <v>9340</v>
      </c>
    </row>
    <row r="2155" customFormat="false" ht="12.75" hidden="false" customHeight="false" outlineLevel="0" collapsed="false">
      <c r="A2155" s="0" t="n">
        <f aca="false">B2155*1000+C2155</f>
        <v>37009</v>
      </c>
      <c r="B2155" s="0" t="n">
        <v>37</v>
      </c>
      <c r="C2155" s="0" t="n">
        <v>9</v>
      </c>
      <c r="D2155" s="0" t="n">
        <v>0</v>
      </c>
      <c r="E2155" s="0" t="n">
        <f aca="false">VLOOKUP(B2155,'MSA-Lookup'!$H$2:$I$86,2)</f>
        <v>7320</v>
      </c>
      <c r="F2155" s="0" t="n">
        <f aca="false">IF(C2155&gt;1,IF(C2155&lt;99,VLOOKUP(C2155,'MSA-Lookup'!$H$1:$I$86,2),C2155),C2155)</f>
        <v>8720</v>
      </c>
      <c r="G2155" s="0" t="n">
        <f aca="false">VLOOKUP(E2155,'MSA-Lookup'!$AA$1:$AB$25,2)</f>
        <v>7320</v>
      </c>
      <c r="H2155" s="0" t="n">
        <f aca="false">IF(C2155&gt;1,IF(C2155&lt;99,VLOOKUP(F2155,'MSA-Lookup'!$AA$1:$AB$25,2),C2155),C2155)</f>
        <v>7362</v>
      </c>
    </row>
    <row r="2156" customFormat="false" ht="12.75" hidden="false" customHeight="false" outlineLevel="0" collapsed="false">
      <c r="A2156" s="0" t="n">
        <f aca="false">B2156*1000+C2156</f>
        <v>37010</v>
      </c>
      <c r="B2156" s="0" t="n">
        <v>37</v>
      </c>
      <c r="C2156" s="0" t="n">
        <v>10</v>
      </c>
      <c r="D2156" s="0" t="n">
        <v>0</v>
      </c>
      <c r="E2156" s="0" t="n">
        <f aca="false">VLOOKUP(B2156,'MSA-Lookup'!$H$2:$I$86,2)</f>
        <v>7320</v>
      </c>
      <c r="F2156" s="0" t="n">
        <f aca="false">IF(C2156&gt;1,IF(C2156&lt;99,VLOOKUP(C2156,'MSA-Lookup'!$H$1:$I$86,2),C2156),C2156)</f>
        <v>6920</v>
      </c>
      <c r="G2156" s="0" t="n">
        <f aca="false">VLOOKUP(E2156,'MSA-Lookup'!$AA$1:$AB$25,2)</f>
        <v>7320</v>
      </c>
      <c r="H2156" s="0" t="n">
        <f aca="false">IF(C2156&gt;1,IF(C2156&lt;99,VLOOKUP(F2156,'MSA-Lookup'!$AA$1:$AB$25,2),C2156),C2156)</f>
        <v>6920</v>
      </c>
    </row>
    <row r="2157" customFormat="false" ht="12.75" hidden="false" customHeight="false" outlineLevel="0" collapsed="false">
      <c r="A2157" s="0" t="n">
        <f aca="false">B2157*1000+C2157</f>
        <v>37011</v>
      </c>
      <c r="B2157" s="0" t="n">
        <v>37</v>
      </c>
      <c r="C2157" s="0" t="n">
        <v>11</v>
      </c>
      <c r="D2157" s="0" t="n">
        <v>65</v>
      </c>
      <c r="E2157" s="0" t="n">
        <f aca="false">VLOOKUP(B2157,'MSA-Lookup'!$H$2:$I$86,2)</f>
        <v>7320</v>
      </c>
      <c r="F2157" s="0" t="n">
        <f aca="false">IF(C2157&gt;1,IF(C2157&lt;99,VLOOKUP(C2157,'MSA-Lookup'!$H$1:$I$86,2),C2157),C2157)</f>
        <v>6920</v>
      </c>
      <c r="G2157" s="0" t="n">
        <f aca="false">VLOOKUP(E2157,'MSA-Lookup'!$AA$1:$AB$25,2)</f>
        <v>7320</v>
      </c>
      <c r="H2157" s="0" t="n">
        <f aca="false">IF(C2157&gt;1,IF(C2157&lt;99,VLOOKUP(F2157,'MSA-Lookup'!$AA$1:$AB$25,2),C2157),C2157)</f>
        <v>6920</v>
      </c>
    </row>
    <row r="2158" customFormat="false" ht="12.75" hidden="false" customHeight="false" outlineLevel="0" collapsed="false">
      <c r="A2158" s="0" t="n">
        <f aca="false">B2158*1000+C2158</f>
        <v>37012</v>
      </c>
      <c r="B2158" s="0" t="n">
        <v>37</v>
      </c>
      <c r="C2158" s="0" t="n">
        <v>12</v>
      </c>
      <c r="D2158" s="0" t="n">
        <v>0</v>
      </c>
      <c r="E2158" s="0" t="n">
        <f aca="false">VLOOKUP(B2158,'MSA-Lookup'!$H$2:$I$86,2)</f>
        <v>7320</v>
      </c>
      <c r="F2158" s="0" t="n">
        <f aca="false">IF(C2158&gt;1,IF(C2158&lt;99,VLOOKUP(C2158,'MSA-Lookup'!$H$1:$I$86,2),C2158),C2158)</f>
        <v>6920</v>
      </c>
      <c r="G2158" s="0" t="n">
        <f aca="false">VLOOKUP(E2158,'MSA-Lookup'!$AA$1:$AB$25,2)</f>
        <v>7320</v>
      </c>
      <c r="H2158" s="0" t="n">
        <f aca="false">IF(C2158&gt;1,IF(C2158&lt;99,VLOOKUP(F2158,'MSA-Lookup'!$AA$1:$AB$25,2),C2158),C2158)</f>
        <v>6920</v>
      </c>
    </row>
    <row r="2159" customFormat="false" ht="12.75" hidden="false" customHeight="false" outlineLevel="0" collapsed="false">
      <c r="A2159" s="0" t="n">
        <f aca="false">B2159*1000+C2159</f>
        <v>37013</v>
      </c>
      <c r="B2159" s="0" t="n">
        <v>37</v>
      </c>
      <c r="C2159" s="0" t="n">
        <v>13</v>
      </c>
      <c r="D2159" s="0" t="n">
        <v>0</v>
      </c>
      <c r="E2159" s="0" t="n">
        <f aca="false">VLOOKUP(B2159,'MSA-Lookup'!$H$2:$I$86,2)</f>
        <v>7320</v>
      </c>
      <c r="F2159" s="0" t="n">
        <f aca="false">IF(C2159&gt;1,IF(C2159&lt;99,VLOOKUP(C2159,'MSA-Lookup'!$H$1:$I$86,2),C2159),C2159)</f>
        <v>7500</v>
      </c>
      <c r="G2159" s="0" t="n">
        <f aca="false">VLOOKUP(E2159,'MSA-Lookup'!$AA$1:$AB$25,2)</f>
        <v>7320</v>
      </c>
      <c r="H2159" s="0" t="n">
        <f aca="false">IF(C2159&gt;1,IF(C2159&lt;99,VLOOKUP(F2159,'MSA-Lookup'!$AA$1:$AB$25,2),C2159),C2159)</f>
        <v>7362</v>
      </c>
    </row>
    <row r="2160" customFormat="false" ht="12.75" hidden="false" customHeight="false" outlineLevel="0" collapsed="false">
      <c r="A2160" s="0" t="n">
        <f aca="false">B2160*1000+C2160</f>
        <v>37014</v>
      </c>
      <c r="B2160" s="0" t="n">
        <v>37</v>
      </c>
      <c r="C2160" s="0" t="n">
        <v>14</v>
      </c>
      <c r="D2160" s="0" t="n">
        <v>0</v>
      </c>
      <c r="E2160" s="0" t="n">
        <f aca="false">VLOOKUP(B2160,'MSA-Lookup'!$H$2:$I$86,2)</f>
        <v>7320</v>
      </c>
      <c r="F2160" s="0" t="n">
        <f aca="false">IF(C2160&gt;1,IF(C2160&lt;99,VLOOKUP(C2160,'MSA-Lookup'!$H$1:$I$86,2),C2160),C2160)</f>
        <v>7500</v>
      </c>
      <c r="G2160" s="0" t="n">
        <f aca="false">VLOOKUP(E2160,'MSA-Lookup'!$AA$1:$AB$25,2)</f>
        <v>7320</v>
      </c>
      <c r="H2160" s="0" t="n">
        <f aca="false">IF(C2160&gt;1,IF(C2160&lt;99,VLOOKUP(F2160,'MSA-Lookup'!$AA$1:$AB$25,2),C2160),C2160)</f>
        <v>7362</v>
      </c>
    </row>
    <row r="2161" customFormat="false" ht="12.75" hidden="false" customHeight="false" outlineLevel="0" collapsed="false">
      <c r="A2161" s="0" t="n">
        <f aca="false">B2161*1000+C2161</f>
        <v>37015</v>
      </c>
      <c r="B2161" s="0" t="n">
        <v>37</v>
      </c>
      <c r="C2161" s="0" t="n">
        <v>15</v>
      </c>
      <c r="D2161" s="0" t="n">
        <v>143</v>
      </c>
      <c r="E2161" s="0" t="n">
        <f aca="false">VLOOKUP(B2161,'MSA-Lookup'!$H$2:$I$86,2)</f>
        <v>7320</v>
      </c>
      <c r="F2161" s="0" t="n">
        <f aca="false">IF(C2161&gt;1,IF(C2161&lt;99,VLOOKUP(C2161,'MSA-Lookup'!$H$1:$I$86,2),C2161),C2161)</f>
        <v>7360</v>
      </c>
      <c r="G2161" s="0" t="n">
        <f aca="false">VLOOKUP(E2161,'MSA-Lookup'!$AA$1:$AB$25,2)</f>
        <v>7320</v>
      </c>
      <c r="H2161" s="0" t="n">
        <f aca="false">IF(C2161&gt;1,IF(C2161&lt;99,VLOOKUP(F2161,'MSA-Lookup'!$AA$1:$AB$25,2),C2161),C2161)</f>
        <v>7362</v>
      </c>
    </row>
    <row r="2162" customFormat="false" ht="12.75" hidden="false" customHeight="false" outlineLevel="0" collapsed="false">
      <c r="A2162" s="0" t="n">
        <f aca="false">B2162*1000+C2162</f>
        <v>37016</v>
      </c>
      <c r="B2162" s="0" t="n">
        <v>37</v>
      </c>
      <c r="C2162" s="0" t="n">
        <v>16</v>
      </c>
      <c r="D2162" s="0" t="n">
        <v>0</v>
      </c>
      <c r="E2162" s="0" t="n">
        <f aca="false">VLOOKUP(B2162,'MSA-Lookup'!$H$2:$I$86,2)</f>
        <v>7320</v>
      </c>
      <c r="F2162" s="0" t="n">
        <f aca="false">IF(C2162&gt;1,IF(C2162&lt;99,VLOOKUP(C2162,'MSA-Lookup'!$H$1:$I$86,2),C2162),C2162)</f>
        <v>8720</v>
      </c>
      <c r="G2162" s="0" t="n">
        <f aca="false">VLOOKUP(E2162,'MSA-Lookup'!$AA$1:$AB$25,2)</f>
        <v>7320</v>
      </c>
      <c r="H2162" s="0" t="n">
        <f aca="false">IF(C2162&gt;1,IF(C2162&lt;99,VLOOKUP(F2162,'MSA-Lookup'!$AA$1:$AB$25,2),C2162),C2162)</f>
        <v>7362</v>
      </c>
    </row>
    <row r="2163" customFormat="false" ht="12.75" hidden="false" customHeight="false" outlineLevel="0" collapsed="false">
      <c r="A2163" s="0" t="n">
        <f aca="false">B2163*1000+C2163</f>
        <v>37017</v>
      </c>
      <c r="B2163" s="0" t="n">
        <v>37</v>
      </c>
      <c r="C2163" s="0" t="n">
        <v>17</v>
      </c>
      <c r="D2163" s="0" t="n">
        <v>91</v>
      </c>
      <c r="E2163" s="0" t="n">
        <f aca="false">VLOOKUP(B2163,'MSA-Lookup'!$H$2:$I$86,2)</f>
        <v>7320</v>
      </c>
      <c r="F2163" s="0" t="n">
        <f aca="false">IF(C2163&gt;1,IF(C2163&lt;99,VLOOKUP(C2163,'MSA-Lookup'!$H$1:$I$86,2),C2163),C2163)</f>
        <v>5775</v>
      </c>
      <c r="G2163" s="0" t="n">
        <f aca="false">VLOOKUP(E2163,'MSA-Lookup'!$AA$1:$AB$25,2)</f>
        <v>7320</v>
      </c>
      <c r="H2163" s="0" t="n">
        <f aca="false">IF(C2163&gt;1,IF(C2163&lt;99,VLOOKUP(F2163,'MSA-Lookup'!$AA$1:$AB$25,2),C2163),C2163)</f>
        <v>7362</v>
      </c>
    </row>
    <row r="2164" customFormat="false" ht="12.75" hidden="false" customHeight="false" outlineLevel="0" collapsed="false">
      <c r="A2164" s="0" t="n">
        <f aca="false">B2164*1000+C2164</f>
        <v>37018</v>
      </c>
      <c r="B2164" s="0" t="n">
        <v>37</v>
      </c>
      <c r="C2164" s="0" t="n">
        <v>18</v>
      </c>
      <c r="D2164" s="0" t="n">
        <v>91</v>
      </c>
      <c r="E2164" s="0" t="n">
        <f aca="false">VLOOKUP(B2164,'MSA-Lookup'!$H$2:$I$86,2)</f>
        <v>7320</v>
      </c>
      <c r="F2164" s="0" t="n">
        <f aca="false">IF(C2164&gt;1,IF(C2164&lt;99,VLOOKUP(C2164,'MSA-Lookup'!$H$1:$I$86,2),C2164),C2164)</f>
        <v>5775</v>
      </c>
      <c r="G2164" s="0" t="n">
        <f aca="false">VLOOKUP(E2164,'MSA-Lookup'!$AA$1:$AB$25,2)</f>
        <v>7320</v>
      </c>
      <c r="H2164" s="0" t="n">
        <f aca="false">IF(C2164&gt;1,IF(C2164&lt;99,VLOOKUP(F2164,'MSA-Lookup'!$AA$1:$AB$25,2),C2164),C2164)</f>
        <v>7362</v>
      </c>
    </row>
    <row r="2165" customFormat="false" ht="12.75" hidden="false" customHeight="false" outlineLevel="0" collapsed="false">
      <c r="A2165" s="0" t="n">
        <f aca="false">B2165*1000+C2165</f>
        <v>37019</v>
      </c>
      <c r="B2165" s="0" t="n">
        <v>37</v>
      </c>
      <c r="C2165" s="0" t="n">
        <v>19</v>
      </c>
      <c r="D2165" s="0" t="n">
        <v>403</v>
      </c>
      <c r="E2165" s="0" t="n">
        <f aca="false">VLOOKUP(B2165,'MSA-Lookup'!$H$2:$I$86,2)</f>
        <v>7320</v>
      </c>
      <c r="F2165" s="0" t="n">
        <f aca="false">IF(C2165&gt;1,IF(C2165&lt;99,VLOOKUP(C2165,'MSA-Lookup'!$H$1:$I$86,2),C2165),C2165)</f>
        <v>7360</v>
      </c>
      <c r="G2165" s="0" t="n">
        <f aca="false">VLOOKUP(E2165,'MSA-Lookup'!$AA$1:$AB$25,2)</f>
        <v>7320</v>
      </c>
      <c r="H2165" s="0" t="n">
        <f aca="false">IF(C2165&gt;1,IF(C2165&lt;99,VLOOKUP(F2165,'MSA-Lookup'!$AA$1:$AB$25,2),C2165),C2165)</f>
        <v>7362</v>
      </c>
    </row>
    <row r="2166" customFormat="false" ht="12.75" hidden="false" customHeight="false" outlineLevel="0" collapsed="false">
      <c r="A2166" s="0" t="n">
        <f aca="false">B2166*1000+C2166</f>
        <v>37020</v>
      </c>
      <c r="B2166" s="0" t="n">
        <v>37</v>
      </c>
      <c r="C2166" s="0" t="n">
        <v>20</v>
      </c>
      <c r="D2166" s="0" t="n">
        <v>0</v>
      </c>
      <c r="E2166" s="0" t="n">
        <f aca="false">VLOOKUP(B2166,'MSA-Lookup'!$H$2:$I$86,2)</f>
        <v>7320</v>
      </c>
      <c r="F2166" s="0" t="n">
        <f aca="false">IF(C2166&gt;1,IF(C2166&lt;99,VLOOKUP(C2166,'MSA-Lookup'!$H$1:$I$86,2),C2166),C2166)</f>
        <v>5775</v>
      </c>
      <c r="G2166" s="0" t="n">
        <f aca="false">VLOOKUP(E2166,'MSA-Lookup'!$AA$1:$AB$25,2)</f>
        <v>7320</v>
      </c>
      <c r="H2166" s="0" t="n">
        <f aca="false">IF(C2166&gt;1,IF(C2166&lt;99,VLOOKUP(F2166,'MSA-Lookup'!$AA$1:$AB$25,2),C2166),C2166)</f>
        <v>7362</v>
      </c>
    </row>
    <row r="2167" customFormat="false" ht="12.75" hidden="false" customHeight="false" outlineLevel="0" collapsed="false">
      <c r="A2167" s="0" t="n">
        <f aca="false">B2167*1000+C2167</f>
        <v>37021</v>
      </c>
      <c r="B2167" s="0" t="n">
        <v>37</v>
      </c>
      <c r="C2167" s="0" t="n">
        <v>21</v>
      </c>
      <c r="D2167" s="0" t="n">
        <v>377</v>
      </c>
      <c r="E2167" s="0" t="n">
        <f aca="false">VLOOKUP(B2167,'MSA-Lookup'!$H$2:$I$86,2)</f>
        <v>7320</v>
      </c>
      <c r="F2167" s="0" t="n">
        <f aca="false">IF(C2167&gt;1,IF(C2167&lt;99,VLOOKUP(C2167,'MSA-Lookup'!$H$1:$I$86,2),C2167),C2167)</f>
        <v>5775</v>
      </c>
      <c r="G2167" s="0" t="n">
        <f aca="false">VLOOKUP(E2167,'MSA-Lookup'!$AA$1:$AB$25,2)</f>
        <v>7320</v>
      </c>
      <c r="H2167" s="0" t="n">
        <f aca="false">IF(C2167&gt;1,IF(C2167&lt;99,VLOOKUP(F2167,'MSA-Lookup'!$AA$1:$AB$25,2),C2167),C2167)</f>
        <v>7362</v>
      </c>
    </row>
    <row r="2168" customFormat="false" ht="12.75" hidden="false" customHeight="false" outlineLevel="0" collapsed="false">
      <c r="A2168" s="0" t="n">
        <f aca="false">B2168*1000+C2168</f>
        <v>37022</v>
      </c>
      <c r="B2168" s="0" t="n">
        <v>37</v>
      </c>
      <c r="C2168" s="0" t="n">
        <v>22</v>
      </c>
      <c r="D2168" s="0" t="n">
        <v>390</v>
      </c>
      <c r="E2168" s="0" t="n">
        <f aca="false">VLOOKUP(B2168,'MSA-Lookup'!$H$2:$I$86,2)</f>
        <v>7320</v>
      </c>
      <c r="F2168" s="0" t="n">
        <f aca="false">IF(C2168&gt;1,IF(C2168&lt;99,VLOOKUP(C2168,'MSA-Lookup'!$H$1:$I$86,2),C2168),C2168)</f>
        <v>7360</v>
      </c>
      <c r="G2168" s="0" t="n">
        <f aca="false">VLOOKUP(E2168,'MSA-Lookup'!$AA$1:$AB$25,2)</f>
        <v>7320</v>
      </c>
      <c r="H2168" s="0" t="n">
        <f aca="false">IF(C2168&gt;1,IF(C2168&lt;99,VLOOKUP(F2168,'MSA-Lookup'!$AA$1:$AB$25,2),C2168),C2168)</f>
        <v>7362</v>
      </c>
    </row>
    <row r="2169" customFormat="false" ht="12.75" hidden="false" customHeight="false" outlineLevel="0" collapsed="false">
      <c r="A2169" s="0" t="n">
        <f aca="false">B2169*1000+C2169</f>
        <v>37023</v>
      </c>
      <c r="B2169" s="0" t="n">
        <v>37</v>
      </c>
      <c r="C2169" s="0" t="n">
        <v>23</v>
      </c>
      <c r="D2169" s="0" t="n">
        <v>0</v>
      </c>
      <c r="E2169" s="0" t="n">
        <f aca="false">VLOOKUP(B2169,'MSA-Lookup'!$H$2:$I$86,2)</f>
        <v>7320</v>
      </c>
      <c r="F2169" s="0" t="n">
        <f aca="false">IF(C2169&gt;1,IF(C2169&lt;99,VLOOKUP(C2169,'MSA-Lookup'!$H$1:$I$86,2),C2169),C2169)</f>
        <v>8120</v>
      </c>
      <c r="G2169" s="0" t="n">
        <f aca="false">VLOOKUP(E2169,'MSA-Lookup'!$AA$1:$AB$25,2)</f>
        <v>7320</v>
      </c>
      <c r="H2169" s="0" t="n">
        <f aca="false">IF(C2169&gt;1,IF(C2169&lt;99,VLOOKUP(F2169,'MSA-Lookup'!$AA$1:$AB$25,2),C2169),C2169)</f>
        <v>8120</v>
      </c>
    </row>
    <row r="2170" customFormat="false" ht="12.75" hidden="false" customHeight="false" outlineLevel="0" collapsed="false">
      <c r="A2170" s="0" t="n">
        <f aca="false">B2170*1000+C2170</f>
        <v>37024</v>
      </c>
      <c r="B2170" s="0" t="n">
        <v>37</v>
      </c>
      <c r="C2170" s="0" t="n">
        <v>24</v>
      </c>
      <c r="D2170" s="0" t="n">
        <v>0</v>
      </c>
      <c r="E2170" s="0" t="n">
        <f aca="false">VLOOKUP(B2170,'MSA-Lookup'!$H$2:$I$86,2)</f>
        <v>7320</v>
      </c>
      <c r="F2170" s="0" t="n">
        <f aca="false">IF(C2170&gt;1,IF(C2170&lt;99,VLOOKUP(C2170,'MSA-Lookup'!$H$1:$I$86,2),C2170),C2170)</f>
        <v>5170</v>
      </c>
      <c r="G2170" s="0" t="n">
        <f aca="false">VLOOKUP(E2170,'MSA-Lookup'!$AA$1:$AB$25,2)</f>
        <v>7320</v>
      </c>
      <c r="H2170" s="0" t="n">
        <f aca="false">IF(C2170&gt;1,IF(C2170&lt;99,VLOOKUP(F2170,'MSA-Lookup'!$AA$1:$AB$25,2),C2170),C2170)</f>
        <v>5170</v>
      </c>
    </row>
    <row r="2171" customFormat="false" ht="12.75" hidden="false" customHeight="false" outlineLevel="0" collapsed="false">
      <c r="A2171" s="0" t="n">
        <f aca="false">B2171*1000+C2171</f>
        <v>37025</v>
      </c>
      <c r="B2171" s="0" t="n">
        <v>37</v>
      </c>
      <c r="C2171" s="0" t="n">
        <v>25</v>
      </c>
      <c r="D2171" s="0" t="n">
        <v>91</v>
      </c>
      <c r="E2171" s="0" t="n">
        <f aca="false">VLOOKUP(B2171,'MSA-Lookup'!$H$2:$I$86,2)</f>
        <v>7320</v>
      </c>
      <c r="F2171" s="0" t="n">
        <f aca="false">IF(C2171&gt;1,IF(C2171&lt;99,VLOOKUP(C2171,'MSA-Lookup'!$H$1:$I$86,2),C2171),C2171)</f>
        <v>5170</v>
      </c>
      <c r="G2171" s="0" t="n">
        <f aca="false">VLOOKUP(E2171,'MSA-Lookup'!$AA$1:$AB$25,2)</f>
        <v>7320</v>
      </c>
      <c r="H2171" s="0" t="n">
        <f aca="false">IF(C2171&gt;1,IF(C2171&lt;99,VLOOKUP(F2171,'MSA-Lookup'!$AA$1:$AB$25,2),C2171),C2171)</f>
        <v>5170</v>
      </c>
    </row>
    <row r="2172" customFormat="false" ht="12.75" hidden="false" customHeight="false" outlineLevel="0" collapsed="false">
      <c r="A2172" s="0" t="n">
        <f aca="false">B2172*1000+C2172</f>
        <v>37026</v>
      </c>
      <c r="B2172" s="0" t="n">
        <v>37</v>
      </c>
      <c r="C2172" s="0" t="n">
        <v>26</v>
      </c>
      <c r="D2172" s="0" t="n">
        <v>0</v>
      </c>
      <c r="E2172" s="0" t="n">
        <f aca="false">VLOOKUP(B2172,'MSA-Lookup'!$H$2:$I$86,2)</f>
        <v>7320</v>
      </c>
      <c r="F2172" s="0" t="n">
        <f aca="false">IF(C2172&gt;1,IF(C2172&lt;99,VLOOKUP(C2172,'MSA-Lookup'!$H$1:$I$86,2),C2172),C2172)</f>
        <v>9999</v>
      </c>
      <c r="G2172" s="0" t="n">
        <f aca="false">VLOOKUP(E2172,'MSA-Lookup'!$AA$1:$AB$25,2)</f>
        <v>7320</v>
      </c>
      <c r="H2172" s="0" t="n">
        <f aca="false">IF(C2172&gt;1,IF(C2172&lt;99,VLOOKUP(F2172,'MSA-Lookup'!$AA$1:$AB$25,2),C2172),C2172)</f>
        <v>9999</v>
      </c>
    </row>
    <row r="2173" customFormat="false" ht="12.75" hidden="false" customHeight="false" outlineLevel="0" collapsed="false">
      <c r="A2173" s="0" t="n">
        <f aca="false">B2173*1000+C2173</f>
        <v>37027</v>
      </c>
      <c r="B2173" s="0" t="n">
        <v>37</v>
      </c>
      <c r="C2173" s="0" t="n">
        <v>27</v>
      </c>
      <c r="D2173" s="0" t="n">
        <v>0</v>
      </c>
      <c r="E2173" s="0" t="n">
        <f aca="false">VLOOKUP(B2173,'MSA-Lookup'!$H$2:$I$86,2)</f>
        <v>7320</v>
      </c>
      <c r="F2173" s="0" t="n">
        <f aca="false">IF(C2173&gt;1,IF(C2173&lt;99,VLOOKUP(C2173,'MSA-Lookup'!$H$1:$I$86,2),C2173),C2173)</f>
        <v>9999</v>
      </c>
      <c r="G2173" s="0" t="n">
        <f aca="false">VLOOKUP(E2173,'MSA-Lookup'!$AA$1:$AB$25,2)</f>
        <v>7320</v>
      </c>
      <c r="H2173" s="0" t="n">
        <f aca="false">IF(C2173&gt;1,IF(C2173&lt;99,VLOOKUP(F2173,'MSA-Lookup'!$AA$1:$AB$25,2),C2173),C2173)</f>
        <v>9999</v>
      </c>
    </row>
    <row r="2174" customFormat="false" ht="12.75" hidden="false" customHeight="false" outlineLevel="0" collapsed="false">
      <c r="A2174" s="0" t="n">
        <f aca="false">B2174*1000+C2174</f>
        <v>37028</v>
      </c>
      <c r="B2174" s="0" t="n">
        <v>37</v>
      </c>
      <c r="C2174" s="0" t="n">
        <v>28</v>
      </c>
      <c r="D2174" s="0" t="n">
        <v>130</v>
      </c>
      <c r="E2174" s="0" t="n">
        <f aca="false">VLOOKUP(B2174,'MSA-Lookup'!$H$2:$I$86,2)</f>
        <v>7320</v>
      </c>
      <c r="F2174" s="0" t="n">
        <f aca="false">IF(C2174&gt;1,IF(C2174&lt;99,VLOOKUP(C2174,'MSA-Lookup'!$H$1:$I$86,2),C2174),C2174)</f>
        <v>6920</v>
      </c>
      <c r="G2174" s="0" t="n">
        <f aca="false">VLOOKUP(E2174,'MSA-Lookup'!$AA$1:$AB$25,2)</f>
        <v>7320</v>
      </c>
      <c r="H2174" s="0" t="n">
        <f aca="false">IF(C2174&gt;1,IF(C2174&lt;99,VLOOKUP(F2174,'MSA-Lookup'!$AA$1:$AB$25,2),C2174),C2174)</f>
        <v>6920</v>
      </c>
    </row>
    <row r="2175" customFormat="false" ht="12.75" hidden="false" customHeight="false" outlineLevel="0" collapsed="false">
      <c r="A2175" s="0" t="n">
        <f aca="false">B2175*1000+C2175</f>
        <v>37029</v>
      </c>
      <c r="B2175" s="0" t="n">
        <v>37</v>
      </c>
      <c r="C2175" s="0" t="n">
        <v>29</v>
      </c>
      <c r="D2175" s="0" t="n">
        <v>0</v>
      </c>
      <c r="E2175" s="0" t="n">
        <f aca="false">VLOOKUP(B2175,'MSA-Lookup'!$H$2:$I$86,2)</f>
        <v>7320</v>
      </c>
      <c r="F2175" s="0" t="n">
        <f aca="false">IF(C2175&gt;1,IF(C2175&lt;99,VLOOKUP(C2175,'MSA-Lookup'!$H$1:$I$86,2),C2175),C2175)</f>
        <v>6920</v>
      </c>
      <c r="G2175" s="0" t="n">
        <f aca="false">VLOOKUP(E2175,'MSA-Lookup'!$AA$1:$AB$25,2)</f>
        <v>7320</v>
      </c>
      <c r="H2175" s="0" t="n">
        <f aca="false">IF(C2175&gt;1,IF(C2175&lt;99,VLOOKUP(F2175,'MSA-Lookup'!$AA$1:$AB$25,2),C2175),C2175)</f>
        <v>6920</v>
      </c>
    </row>
    <row r="2176" customFormat="false" ht="12.75" hidden="false" customHeight="false" outlineLevel="0" collapsed="false">
      <c r="A2176" s="0" t="n">
        <f aca="false">B2176*1000+C2176</f>
        <v>37030</v>
      </c>
      <c r="B2176" s="0" t="n">
        <v>37</v>
      </c>
      <c r="C2176" s="0" t="n">
        <v>30</v>
      </c>
      <c r="D2176" s="0" t="n">
        <v>0</v>
      </c>
      <c r="E2176" s="0" t="n">
        <f aca="false">VLOOKUP(B2176,'MSA-Lookup'!$H$2:$I$86,2)</f>
        <v>7320</v>
      </c>
      <c r="F2176" s="0" t="n">
        <f aca="false">IF(C2176&gt;1,IF(C2176&lt;99,VLOOKUP(C2176,'MSA-Lookup'!$H$1:$I$86,2),C2176),C2176)</f>
        <v>4940</v>
      </c>
      <c r="G2176" s="0" t="n">
        <f aca="false">VLOOKUP(E2176,'MSA-Lookup'!$AA$1:$AB$25,2)</f>
        <v>7320</v>
      </c>
      <c r="H2176" s="0" t="n">
        <f aca="false">IF(C2176&gt;1,IF(C2176&lt;99,VLOOKUP(F2176,'MSA-Lookup'!$AA$1:$AB$25,2),C2176),C2176)</f>
        <v>4940</v>
      </c>
    </row>
    <row r="2177" customFormat="false" ht="12.75" hidden="false" customHeight="false" outlineLevel="0" collapsed="false">
      <c r="A2177" s="0" t="n">
        <f aca="false">B2177*1000+C2177</f>
        <v>37031</v>
      </c>
      <c r="B2177" s="0" t="n">
        <v>37</v>
      </c>
      <c r="C2177" s="0" t="n">
        <v>31</v>
      </c>
      <c r="D2177" s="0" t="n">
        <v>65</v>
      </c>
      <c r="E2177" s="0" t="n">
        <f aca="false">VLOOKUP(B2177,'MSA-Lookup'!$H$2:$I$86,2)</f>
        <v>7320</v>
      </c>
      <c r="F2177" s="0" t="n">
        <f aca="false">IF(C2177&gt;1,IF(C2177&lt;99,VLOOKUP(C2177,'MSA-Lookup'!$H$1:$I$86,2),C2177),C2177)</f>
        <v>9999</v>
      </c>
      <c r="G2177" s="0" t="n">
        <f aca="false">VLOOKUP(E2177,'MSA-Lookup'!$AA$1:$AB$25,2)</f>
        <v>7320</v>
      </c>
      <c r="H2177" s="0" t="n">
        <f aca="false">IF(C2177&gt;1,IF(C2177&lt;99,VLOOKUP(F2177,'MSA-Lookup'!$AA$1:$AB$25,2),C2177),C2177)</f>
        <v>9999</v>
      </c>
    </row>
    <row r="2178" customFormat="false" ht="12.75" hidden="false" customHeight="false" outlineLevel="0" collapsed="false">
      <c r="A2178" s="0" t="n">
        <f aca="false">B2178*1000+C2178</f>
        <v>37032</v>
      </c>
      <c r="B2178" s="0" t="n">
        <v>37</v>
      </c>
      <c r="C2178" s="0" t="n">
        <v>32</v>
      </c>
      <c r="D2178" s="0" t="n">
        <v>91</v>
      </c>
      <c r="E2178" s="0" t="n">
        <f aca="false">VLOOKUP(B2178,'MSA-Lookup'!$H$2:$I$86,2)</f>
        <v>7320</v>
      </c>
      <c r="F2178" s="0" t="n">
        <f aca="false">IF(C2178&gt;1,IF(C2178&lt;99,VLOOKUP(C2178,'MSA-Lookup'!$H$1:$I$86,2),C2178),C2178)</f>
        <v>7480</v>
      </c>
      <c r="G2178" s="0" t="n">
        <f aca="false">VLOOKUP(E2178,'MSA-Lookup'!$AA$1:$AB$25,2)</f>
        <v>7320</v>
      </c>
      <c r="H2178" s="0" t="n">
        <f aca="false">IF(C2178&gt;1,IF(C2178&lt;99,VLOOKUP(F2178,'MSA-Lookup'!$AA$1:$AB$25,2),C2178),C2178)</f>
        <v>7480</v>
      </c>
    </row>
    <row r="2179" customFormat="false" ht="12.75" hidden="false" customHeight="false" outlineLevel="0" collapsed="false">
      <c r="A2179" s="0" t="n">
        <f aca="false">B2179*1000+C2179</f>
        <v>37033</v>
      </c>
      <c r="B2179" s="0" t="n">
        <v>37</v>
      </c>
      <c r="C2179" s="0" t="n">
        <v>33</v>
      </c>
      <c r="D2179" s="0" t="n">
        <v>174200</v>
      </c>
      <c r="E2179" s="0" t="n">
        <f aca="false">VLOOKUP(B2179,'MSA-Lookup'!$H$2:$I$86,2)</f>
        <v>7320</v>
      </c>
      <c r="F2179" s="0" t="n">
        <f aca="false">IF(C2179&gt;1,IF(C2179&lt;99,VLOOKUP(C2179,'MSA-Lookup'!$H$1:$I$86,2),C2179),C2179)</f>
        <v>7320</v>
      </c>
      <c r="G2179" s="0" t="n">
        <f aca="false">VLOOKUP(E2179,'MSA-Lookup'!$AA$1:$AB$25,2)</f>
        <v>7320</v>
      </c>
      <c r="H2179" s="0" t="n">
        <f aca="false">IF(C2179&gt;1,IF(C2179&lt;99,VLOOKUP(F2179,'MSA-Lookup'!$AA$1:$AB$25,2),C2179),C2179)</f>
        <v>7320</v>
      </c>
    </row>
    <row r="2180" customFormat="false" ht="12.75" hidden="false" customHeight="false" outlineLevel="0" collapsed="false">
      <c r="A2180" s="0" t="n">
        <f aca="false">B2180*1000+C2180</f>
        <v>37034</v>
      </c>
      <c r="B2180" s="0" t="n">
        <v>37</v>
      </c>
      <c r="C2180" s="0" t="n">
        <v>34</v>
      </c>
      <c r="D2180" s="0" t="n">
        <v>11167</v>
      </c>
      <c r="E2180" s="0" t="n">
        <f aca="false">VLOOKUP(B2180,'MSA-Lookup'!$H$2:$I$86,2)</f>
        <v>7320</v>
      </c>
      <c r="F2180" s="0" t="n">
        <f aca="false">IF(C2180&gt;1,IF(C2180&lt;99,VLOOKUP(C2180,'MSA-Lookup'!$H$1:$I$86,2),C2180),C2180)</f>
        <v>7320</v>
      </c>
      <c r="G2180" s="0" t="n">
        <f aca="false">VLOOKUP(E2180,'MSA-Lookup'!$AA$1:$AB$25,2)</f>
        <v>7320</v>
      </c>
      <c r="H2180" s="0" t="n">
        <f aca="false">IF(C2180&gt;1,IF(C2180&lt;99,VLOOKUP(F2180,'MSA-Lookup'!$AA$1:$AB$25,2),C2180),C2180)</f>
        <v>7320</v>
      </c>
    </row>
    <row r="2181" customFormat="false" ht="12.75" hidden="false" customHeight="false" outlineLevel="0" collapsed="false">
      <c r="A2181" s="0" t="n">
        <f aca="false">B2181*1000+C2181</f>
        <v>37035</v>
      </c>
      <c r="B2181" s="0" t="n">
        <v>37</v>
      </c>
      <c r="C2181" s="0" t="n">
        <v>35</v>
      </c>
      <c r="D2181" s="0" t="n">
        <v>14482</v>
      </c>
      <c r="E2181" s="0" t="n">
        <f aca="false">VLOOKUP(B2181,'MSA-Lookup'!$H$2:$I$86,2)</f>
        <v>7320</v>
      </c>
      <c r="F2181" s="0" t="n">
        <f aca="false">IF(C2181&gt;1,IF(C2181&lt;99,VLOOKUP(C2181,'MSA-Lookup'!$H$1:$I$86,2),C2181),C2181)</f>
        <v>7320</v>
      </c>
      <c r="G2181" s="0" t="n">
        <f aca="false">VLOOKUP(E2181,'MSA-Lookup'!$AA$1:$AB$25,2)</f>
        <v>7320</v>
      </c>
      <c r="H2181" s="0" t="n">
        <f aca="false">IF(C2181&gt;1,IF(C2181&lt;99,VLOOKUP(F2181,'MSA-Lookup'!$AA$1:$AB$25,2),C2181),C2181)</f>
        <v>7320</v>
      </c>
    </row>
    <row r="2182" customFormat="false" ht="12.75" hidden="false" customHeight="false" outlineLevel="0" collapsed="false">
      <c r="A2182" s="0" t="n">
        <f aca="false">B2182*1000+C2182</f>
        <v>37036</v>
      </c>
      <c r="B2182" s="0" t="n">
        <v>37</v>
      </c>
      <c r="C2182" s="0" t="n">
        <v>36</v>
      </c>
      <c r="D2182" s="0" t="n">
        <v>11076</v>
      </c>
      <c r="E2182" s="0" t="n">
        <f aca="false">VLOOKUP(B2182,'MSA-Lookup'!$H$2:$I$86,2)</f>
        <v>7320</v>
      </c>
      <c r="F2182" s="0" t="n">
        <f aca="false">IF(C2182&gt;1,IF(C2182&lt;99,VLOOKUP(C2182,'MSA-Lookup'!$H$1:$I$86,2),C2182),C2182)</f>
        <v>7320</v>
      </c>
      <c r="G2182" s="0" t="n">
        <f aca="false">VLOOKUP(E2182,'MSA-Lookup'!$AA$1:$AB$25,2)</f>
        <v>7320</v>
      </c>
      <c r="H2182" s="0" t="n">
        <f aca="false">IF(C2182&gt;1,IF(C2182&lt;99,VLOOKUP(F2182,'MSA-Lookup'!$AA$1:$AB$25,2),C2182),C2182)</f>
        <v>7320</v>
      </c>
    </row>
    <row r="2183" customFormat="false" ht="12.75" hidden="false" customHeight="false" outlineLevel="0" collapsed="false">
      <c r="A2183" s="0" t="n">
        <f aca="false">B2183*1000+C2183</f>
        <v>37037</v>
      </c>
      <c r="B2183" s="0" t="n">
        <v>37</v>
      </c>
      <c r="C2183" s="0" t="n">
        <v>37</v>
      </c>
      <c r="D2183" s="0" t="n">
        <v>264576</v>
      </c>
      <c r="E2183" s="0" t="n">
        <f aca="false">VLOOKUP(B2183,'MSA-Lookup'!$H$2:$I$86,2)</f>
        <v>7320</v>
      </c>
      <c r="F2183" s="0" t="n">
        <f aca="false">IF(C2183&gt;1,IF(C2183&lt;99,VLOOKUP(C2183,'MSA-Lookup'!$H$1:$I$86,2),C2183),C2183)</f>
        <v>7320</v>
      </c>
      <c r="G2183" s="0" t="n">
        <f aca="false">VLOOKUP(E2183,'MSA-Lookup'!$AA$1:$AB$25,2)</f>
        <v>7320</v>
      </c>
      <c r="H2183" s="0" t="n">
        <f aca="false">IF(C2183&gt;1,IF(C2183&lt;99,VLOOKUP(F2183,'MSA-Lookup'!$AA$1:$AB$25,2),C2183),C2183)</f>
        <v>7320</v>
      </c>
    </row>
    <row r="2184" customFormat="false" ht="12.75" hidden="false" customHeight="false" outlineLevel="0" collapsed="false">
      <c r="A2184" s="0" t="n">
        <f aca="false">B2184*1000+C2184</f>
        <v>37038</v>
      </c>
      <c r="B2184" s="0" t="n">
        <v>37</v>
      </c>
      <c r="C2184" s="0" t="n">
        <v>38</v>
      </c>
      <c r="D2184" s="0" t="n">
        <v>0</v>
      </c>
      <c r="E2184" s="0" t="n">
        <f aca="false">VLOOKUP(B2184,'MSA-Lookup'!$H$2:$I$86,2)</f>
        <v>7320</v>
      </c>
      <c r="F2184" s="0" t="n">
        <f aca="false">IF(C2184&gt;1,IF(C2184&lt;99,VLOOKUP(C2184,'MSA-Lookup'!$H$1:$I$86,2),C2184),C2184)</f>
        <v>7120</v>
      </c>
      <c r="G2184" s="0" t="n">
        <f aca="false">VLOOKUP(E2184,'MSA-Lookup'!$AA$1:$AB$25,2)</f>
        <v>7320</v>
      </c>
      <c r="H2184" s="0" t="n">
        <f aca="false">IF(C2184&gt;1,IF(C2184&lt;99,VLOOKUP(F2184,'MSA-Lookup'!$AA$1:$AB$25,2),C2184),C2184)</f>
        <v>7120</v>
      </c>
    </row>
    <row r="2185" customFormat="false" ht="12.75" hidden="false" customHeight="false" outlineLevel="0" collapsed="false">
      <c r="A2185" s="0" t="n">
        <f aca="false">B2185*1000+C2185</f>
        <v>37039</v>
      </c>
      <c r="B2185" s="0" t="n">
        <v>37</v>
      </c>
      <c r="C2185" s="0" t="n">
        <v>39</v>
      </c>
      <c r="D2185" s="0" t="n">
        <v>0</v>
      </c>
      <c r="E2185" s="0" t="n">
        <f aca="false">VLOOKUP(B2185,'MSA-Lookup'!$H$2:$I$86,2)</f>
        <v>7320</v>
      </c>
      <c r="F2185" s="0" t="n">
        <f aca="false">IF(C2185&gt;1,IF(C2185&lt;99,VLOOKUP(C2185,'MSA-Lookup'!$H$1:$I$86,2),C2185),C2185)</f>
        <v>7120</v>
      </c>
      <c r="G2185" s="0" t="n">
        <f aca="false">VLOOKUP(E2185,'MSA-Lookup'!$AA$1:$AB$25,2)</f>
        <v>7320</v>
      </c>
      <c r="H2185" s="0" t="n">
        <f aca="false">IF(C2185&gt;1,IF(C2185&lt;99,VLOOKUP(F2185,'MSA-Lookup'!$AA$1:$AB$25,2),C2185),C2185)</f>
        <v>7120</v>
      </c>
    </row>
    <row r="2186" customFormat="false" ht="12.75" hidden="false" customHeight="false" outlineLevel="0" collapsed="false">
      <c r="A2186" s="0" t="n">
        <f aca="false">B2186*1000+C2186</f>
        <v>37040</v>
      </c>
      <c r="B2186" s="0" t="n">
        <v>37</v>
      </c>
      <c r="C2186" s="0" t="n">
        <v>40</v>
      </c>
      <c r="D2186" s="0" t="n">
        <v>0</v>
      </c>
      <c r="E2186" s="0" t="n">
        <f aca="false">VLOOKUP(B2186,'MSA-Lookup'!$H$2:$I$86,2)</f>
        <v>7320</v>
      </c>
      <c r="F2186" s="0" t="n">
        <f aca="false">IF(C2186&gt;1,IF(C2186&lt;99,VLOOKUP(C2186,'MSA-Lookup'!$H$1:$I$86,2),C2186),C2186)</f>
        <v>2840</v>
      </c>
      <c r="G2186" s="0" t="n">
        <f aca="false">VLOOKUP(E2186,'MSA-Lookup'!$AA$1:$AB$25,2)</f>
        <v>7320</v>
      </c>
      <c r="H2186" s="0" t="n">
        <f aca="false">IF(C2186&gt;1,IF(C2186&lt;99,VLOOKUP(F2186,'MSA-Lookup'!$AA$1:$AB$25,2),C2186),C2186)</f>
        <v>2840</v>
      </c>
    </row>
    <row r="2187" customFormat="false" ht="12.75" hidden="false" customHeight="false" outlineLevel="0" collapsed="false">
      <c r="A2187" s="0" t="n">
        <f aca="false">B2187*1000+C2187</f>
        <v>37041</v>
      </c>
      <c r="B2187" s="0" t="n">
        <v>37</v>
      </c>
      <c r="C2187" s="0" t="n">
        <v>41</v>
      </c>
      <c r="D2187" s="0" t="n">
        <v>0</v>
      </c>
      <c r="E2187" s="0" t="n">
        <f aca="false">VLOOKUP(B2187,'MSA-Lookup'!$H$2:$I$86,2)</f>
        <v>7320</v>
      </c>
      <c r="F2187" s="0" t="n">
        <f aca="false">IF(C2187&gt;1,IF(C2187&lt;99,VLOOKUP(C2187,'MSA-Lookup'!$H$1:$I$86,2),C2187),C2187)</f>
        <v>2840</v>
      </c>
      <c r="G2187" s="0" t="n">
        <f aca="false">VLOOKUP(E2187,'MSA-Lookup'!$AA$1:$AB$25,2)</f>
        <v>7320</v>
      </c>
      <c r="H2187" s="0" t="n">
        <f aca="false">IF(C2187&gt;1,IF(C2187&lt;99,VLOOKUP(F2187,'MSA-Lookup'!$AA$1:$AB$25,2),C2187),C2187)</f>
        <v>2840</v>
      </c>
    </row>
    <row r="2188" customFormat="false" ht="12.75" hidden="false" customHeight="false" outlineLevel="0" collapsed="false">
      <c r="A2188" s="0" t="n">
        <f aca="false">B2188*1000+C2188</f>
        <v>37042</v>
      </c>
      <c r="B2188" s="0" t="n">
        <v>37</v>
      </c>
      <c r="C2188" s="0" t="n">
        <v>42</v>
      </c>
      <c r="D2188" s="0" t="n">
        <v>624</v>
      </c>
      <c r="E2188" s="0" t="n">
        <f aca="false">VLOOKUP(B2188,'MSA-Lookup'!$H$2:$I$86,2)</f>
        <v>7320</v>
      </c>
      <c r="F2188" s="0" t="n">
        <f aca="false">IF(C2188&gt;1,IF(C2188&lt;99,VLOOKUP(C2188,'MSA-Lookup'!$H$1:$I$86,2),C2188),C2188)</f>
        <v>360</v>
      </c>
      <c r="G2188" s="0" t="n">
        <f aca="false">VLOOKUP(E2188,'MSA-Lookup'!$AA$1:$AB$25,2)</f>
        <v>7320</v>
      </c>
      <c r="H2188" s="0" t="n">
        <f aca="false">IF(C2188&gt;1,IF(C2188&lt;99,VLOOKUP(F2188,'MSA-Lookup'!$AA$1:$AB$25,2),C2188),C2188)</f>
        <v>4472</v>
      </c>
    </row>
    <row r="2189" customFormat="false" ht="12.75" hidden="false" customHeight="false" outlineLevel="0" collapsed="false">
      <c r="A2189" s="0" t="n">
        <f aca="false">B2189*1000+C2189</f>
        <v>37043</v>
      </c>
      <c r="B2189" s="0" t="n">
        <v>37</v>
      </c>
      <c r="C2189" s="0" t="n">
        <v>43</v>
      </c>
      <c r="D2189" s="0" t="n">
        <v>1391</v>
      </c>
      <c r="E2189" s="0" t="n">
        <f aca="false">VLOOKUP(B2189,'MSA-Lookup'!$H$2:$I$86,2)</f>
        <v>7320</v>
      </c>
      <c r="F2189" s="0" t="n">
        <f aca="false">IF(C2189&gt;1,IF(C2189&lt;99,VLOOKUP(C2189,'MSA-Lookup'!$H$1:$I$86,2),C2189),C2189)</f>
        <v>360</v>
      </c>
      <c r="G2189" s="0" t="n">
        <f aca="false">VLOOKUP(E2189,'MSA-Lookup'!$AA$1:$AB$25,2)</f>
        <v>7320</v>
      </c>
      <c r="H2189" s="0" t="n">
        <f aca="false">IF(C2189&gt;1,IF(C2189&lt;99,VLOOKUP(F2189,'MSA-Lookup'!$AA$1:$AB$25,2),C2189),C2189)</f>
        <v>4472</v>
      </c>
    </row>
    <row r="2190" customFormat="false" ht="12.75" hidden="false" customHeight="false" outlineLevel="0" collapsed="false">
      <c r="A2190" s="0" t="n">
        <f aca="false">B2190*1000+C2190</f>
        <v>37044</v>
      </c>
      <c r="B2190" s="0" t="n">
        <v>37</v>
      </c>
      <c r="C2190" s="0" t="n">
        <v>44</v>
      </c>
      <c r="D2190" s="0" t="n">
        <v>637</v>
      </c>
      <c r="E2190" s="0" t="n">
        <f aca="false">VLOOKUP(B2190,'MSA-Lookup'!$H$2:$I$86,2)</f>
        <v>7320</v>
      </c>
      <c r="F2190" s="0" t="n">
        <f aca="false">IF(C2190&gt;1,IF(C2190&lt;99,VLOOKUP(C2190,'MSA-Lookup'!$H$1:$I$86,2),C2190),C2190)</f>
        <v>360</v>
      </c>
      <c r="G2190" s="0" t="n">
        <f aca="false">VLOOKUP(E2190,'MSA-Lookup'!$AA$1:$AB$25,2)</f>
        <v>7320</v>
      </c>
      <c r="H2190" s="0" t="n">
        <f aca="false">IF(C2190&gt;1,IF(C2190&lt;99,VLOOKUP(F2190,'MSA-Lookup'!$AA$1:$AB$25,2),C2190),C2190)</f>
        <v>4472</v>
      </c>
    </row>
    <row r="2191" customFormat="false" ht="12.75" hidden="false" customHeight="false" outlineLevel="0" collapsed="false">
      <c r="A2191" s="0" t="n">
        <f aca="false">B2191*1000+C2191</f>
        <v>37045</v>
      </c>
      <c r="B2191" s="0" t="n">
        <v>37</v>
      </c>
      <c r="C2191" s="0" t="n">
        <v>45</v>
      </c>
      <c r="D2191" s="0" t="n">
        <v>832</v>
      </c>
      <c r="E2191" s="0" t="n">
        <f aca="false">VLOOKUP(B2191,'MSA-Lookup'!$H$2:$I$86,2)</f>
        <v>7320</v>
      </c>
      <c r="F2191" s="0" t="n">
        <f aca="false">IF(C2191&gt;1,IF(C2191&lt;99,VLOOKUP(C2191,'MSA-Lookup'!$H$1:$I$86,2),C2191),C2191)</f>
        <v>360</v>
      </c>
      <c r="G2191" s="0" t="n">
        <f aca="false">VLOOKUP(E2191,'MSA-Lookup'!$AA$1:$AB$25,2)</f>
        <v>7320</v>
      </c>
      <c r="H2191" s="0" t="n">
        <f aca="false">IF(C2191&gt;1,IF(C2191&lt;99,VLOOKUP(F2191,'MSA-Lookup'!$AA$1:$AB$25,2),C2191),C2191)</f>
        <v>4472</v>
      </c>
    </row>
    <row r="2192" customFormat="false" ht="12.75" hidden="false" customHeight="false" outlineLevel="0" collapsed="false">
      <c r="A2192" s="0" t="n">
        <f aca="false">B2192*1000+C2192</f>
        <v>37046</v>
      </c>
      <c r="B2192" s="0" t="n">
        <v>37</v>
      </c>
      <c r="C2192" s="0" t="n">
        <v>46</v>
      </c>
      <c r="D2192" s="0" t="n">
        <v>0</v>
      </c>
      <c r="E2192" s="0" t="n">
        <f aca="false">VLOOKUP(B2192,'MSA-Lookup'!$H$2:$I$86,2)</f>
        <v>7320</v>
      </c>
      <c r="F2192" s="0" t="n">
        <f aca="false">IF(C2192&gt;1,IF(C2192&lt;99,VLOOKUP(C2192,'MSA-Lookup'!$H$1:$I$86,2),C2192),C2192)</f>
        <v>360</v>
      </c>
      <c r="G2192" s="0" t="n">
        <f aca="false">VLOOKUP(E2192,'MSA-Lookup'!$AA$1:$AB$25,2)</f>
        <v>7320</v>
      </c>
      <c r="H2192" s="0" t="n">
        <f aca="false">IF(C2192&gt;1,IF(C2192&lt;99,VLOOKUP(F2192,'MSA-Lookup'!$AA$1:$AB$25,2),C2192),C2192)</f>
        <v>4472</v>
      </c>
    </row>
    <row r="2193" customFormat="false" ht="12.75" hidden="false" customHeight="false" outlineLevel="0" collapsed="false">
      <c r="A2193" s="0" t="n">
        <f aca="false">B2193*1000+C2193</f>
        <v>37047</v>
      </c>
      <c r="B2193" s="0" t="n">
        <v>37</v>
      </c>
      <c r="C2193" s="0" t="n">
        <v>47</v>
      </c>
      <c r="D2193" s="0" t="n">
        <v>0</v>
      </c>
      <c r="E2193" s="0" t="n">
        <f aca="false">VLOOKUP(B2193,'MSA-Lookup'!$H$2:$I$86,2)</f>
        <v>7320</v>
      </c>
      <c r="F2193" s="0" t="n">
        <f aca="false">IF(C2193&gt;1,IF(C2193&lt;99,VLOOKUP(C2193,'MSA-Lookup'!$H$1:$I$86,2),C2193),C2193)</f>
        <v>360</v>
      </c>
      <c r="G2193" s="0" t="n">
        <f aca="false">VLOOKUP(E2193,'MSA-Lookup'!$AA$1:$AB$25,2)</f>
        <v>7320</v>
      </c>
      <c r="H2193" s="0" t="n">
        <f aca="false">IF(C2193&gt;1,IF(C2193&lt;99,VLOOKUP(F2193,'MSA-Lookup'!$AA$1:$AB$25,2),C2193),C2193)</f>
        <v>4472</v>
      </c>
    </row>
    <row r="2194" customFormat="false" ht="12.75" hidden="false" customHeight="false" outlineLevel="0" collapsed="false">
      <c r="A2194" s="0" t="n">
        <f aca="false">B2194*1000+C2194</f>
        <v>37048</v>
      </c>
      <c r="B2194" s="0" t="n">
        <v>37</v>
      </c>
      <c r="C2194" s="0" t="n">
        <v>48</v>
      </c>
      <c r="D2194" s="0" t="n">
        <v>2548</v>
      </c>
      <c r="E2194" s="0" t="n">
        <f aca="false">VLOOKUP(B2194,'MSA-Lookup'!$H$2:$I$86,2)</f>
        <v>7320</v>
      </c>
      <c r="F2194" s="0" t="n">
        <f aca="false">IF(C2194&gt;1,IF(C2194&lt;99,VLOOKUP(C2194,'MSA-Lookup'!$H$1:$I$86,2),C2194),C2194)</f>
        <v>360</v>
      </c>
      <c r="G2194" s="0" t="n">
        <f aca="false">VLOOKUP(E2194,'MSA-Lookup'!$AA$1:$AB$25,2)</f>
        <v>7320</v>
      </c>
      <c r="H2194" s="0" t="n">
        <f aca="false">IF(C2194&gt;1,IF(C2194&lt;99,VLOOKUP(F2194,'MSA-Lookup'!$AA$1:$AB$25,2),C2194),C2194)</f>
        <v>4472</v>
      </c>
    </row>
    <row r="2195" customFormat="false" ht="12.75" hidden="false" customHeight="false" outlineLevel="0" collapsed="false">
      <c r="A2195" s="0" t="n">
        <f aca="false">B2195*1000+C2195</f>
        <v>37049</v>
      </c>
      <c r="B2195" s="0" t="n">
        <v>37</v>
      </c>
      <c r="C2195" s="0" t="n">
        <v>49</v>
      </c>
      <c r="D2195" s="0" t="n">
        <v>0</v>
      </c>
      <c r="E2195" s="0" t="n">
        <f aca="false">VLOOKUP(B2195,'MSA-Lookup'!$H$2:$I$86,2)</f>
        <v>7320</v>
      </c>
      <c r="F2195" s="0" t="n">
        <f aca="false">IF(C2195&gt;1,IF(C2195&lt;99,VLOOKUP(C2195,'MSA-Lookup'!$H$1:$I$86,2),C2195),C2195)</f>
        <v>7400</v>
      </c>
      <c r="G2195" s="0" t="n">
        <f aca="false">VLOOKUP(E2195,'MSA-Lookup'!$AA$1:$AB$25,2)</f>
        <v>7320</v>
      </c>
      <c r="H2195" s="0" t="n">
        <f aca="false">IF(C2195&gt;1,IF(C2195&lt;99,VLOOKUP(F2195,'MSA-Lookup'!$AA$1:$AB$25,2),C2195),C2195)</f>
        <v>7362</v>
      </c>
    </row>
    <row r="2196" customFormat="false" ht="12.75" hidden="false" customHeight="false" outlineLevel="0" collapsed="false">
      <c r="A2196" s="0" t="n">
        <f aca="false">B2196*1000+C2196</f>
        <v>37050</v>
      </c>
      <c r="B2196" s="0" t="n">
        <v>37</v>
      </c>
      <c r="C2196" s="0" t="n">
        <v>50</v>
      </c>
      <c r="D2196" s="0" t="n">
        <v>0</v>
      </c>
      <c r="E2196" s="0" t="n">
        <f aca="false">VLOOKUP(B2196,'MSA-Lookup'!$H$2:$I$86,2)</f>
        <v>7320</v>
      </c>
      <c r="F2196" s="0" t="n">
        <f aca="false">IF(C2196&gt;1,IF(C2196&lt;99,VLOOKUP(C2196,'MSA-Lookup'!$H$1:$I$86,2),C2196),C2196)</f>
        <v>7400</v>
      </c>
      <c r="G2196" s="0" t="n">
        <f aca="false">VLOOKUP(E2196,'MSA-Lookup'!$AA$1:$AB$25,2)</f>
        <v>7320</v>
      </c>
      <c r="H2196" s="0" t="n">
        <f aca="false">IF(C2196&gt;1,IF(C2196&lt;99,VLOOKUP(F2196,'MSA-Lookup'!$AA$1:$AB$25,2),C2196),C2196)</f>
        <v>7362</v>
      </c>
    </row>
    <row r="2197" customFormat="false" ht="12.75" hidden="false" customHeight="false" outlineLevel="0" collapsed="false">
      <c r="A2197" s="0" t="n">
        <f aca="false">B2197*1000+C2197</f>
        <v>37051</v>
      </c>
      <c r="B2197" s="0" t="n">
        <v>37</v>
      </c>
      <c r="C2197" s="0" t="n">
        <v>51</v>
      </c>
      <c r="D2197" s="0" t="n">
        <v>0</v>
      </c>
      <c r="E2197" s="0" t="n">
        <f aca="false">VLOOKUP(B2197,'MSA-Lookup'!$H$2:$I$86,2)</f>
        <v>7320</v>
      </c>
      <c r="F2197" s="0" t="n">
        <f aca="false">IF(C2197&gt;1,IF(C2197&lt;99,VLOOKUP(C2197,'MSA-Lookup'!$H$1:$I$86,2),C2197),C2197)</f>
        <v>7400</v>
      </c>
      <c r="G2197" s="0" t="n">
        <f aca="false">VLOOKUP(E2197,'MSA-Lookup'!$AA$1:$AB$25,2)</f>
        <v>7320</v>
      </c>
      <c r="H2197" s="0" t="n">
        <f aca="false">IF(C2197&gt;1,IF(C2197&lt;99,VLOOKUP(F2197,'MSA-Lookup'!$AA$1:$AB$25,2),C2197),C2197)</f>
        <v>7362</v>
      </c>
    </row>
    <row r="2198" customFormat="false" ht="12.75" hidden="false" customHeight="false" outlineLevel="0" collapsed="false">
      <c r="A2198" s="0" t="n">
        <f aca="false">B2198*1000+C2198</f>
        <v>37052</v>
      </c>
      <c r="B2198" s="0" t="n">
        <v>37</v>
      </c>
      <c r="C2198" s="0" t="n">
        <v>52</v>
      </c>
      <c r="D2198" s="0" t="n">
        <v>143</v>
      </c>
      <c r="E2198" s="0" t="n">
        <f aca="false">VLOOKUP(B2198,'MSA-Lookup'!$H$2:$I$86,2)</f>
        <v>7320</v>
      </c>
      <c r="F2198" s="0" t="n">
        <f aca="false">IF(C2198&gt;1,IF(C2198&lt;99,VLOOKUP(C2198,'MSA-Lookup'!$H$1:$I$86,2),C2198),C2198)</f>
        <v>4480</v>
      </c>
      <c r="G2198" s="0" t="n">
        <f aca="false">VLOOKUP(E2198,'MSA-Lookup'!$AA$1:$AB$25,2)</f>
        <v>7320</v>
      </c>
      <c r="H2198" s="0" t="n">
        <f aca="false">IF(C2198&gt;1,IF(C2198&lt;99,VLOOKUP(F2198,'MSA-Lookup'!$AA$1:$AB$25,2),C2198),C2198)</f>
        <v>4472</v>
      </c>
    </row>
    <row r="2199" customFormat="false" ht="12.75" hidden="false" customHeight="false" outlineLevel="0" collapsed="false">
      <c r="A2199" s="0" t="n">
        <f aca="false">B2199*1000+C2199</f>
        <v>37053</v>
      </c>
      <c r="B2199" s="0" t="n">
        <v>37</v>
      </c>
      <c r="C2199" s="0" t="n">
        <v>53</v>
      </c>
      <c r="D2199" s="0" t="n">
        <v>0</v>
      </c>
      <c r="E2199" s="0" t="n">
        <f aca="false">VLOOKUP(B2199,'MSA-Lookup'!$H$2:$I$86,2)</f>
        <v>7320</v>
      </c>
      <c r="F2199" s="0" t="n">
        <f aca="false">IF(C2199&gt;1,IF(C2199&lt;99,VLOOKUP(C2199,'MSA-Lookup'!$H$1:$I$86,2),C2199),C2199)</f>
        <v>4480</v>
      </c>
      <c r="G2199" s="0" t="n">
        <f aca="false">VLOOKUP(E2199,'MSA-Lookup'!$AA$1:$AB$25,2)</f>
        <v>7320</v>
      </c>
      <c r="H2199" s="0" t="n">
        <f aca="false">IF(C2199&gt;1,IF(C2199&lt;99,VLOOKUP(F2199,'MSA-Lookup'!$AA$1:$AB$25,2),C2199),C2199)</f>
        <v>4472</v>
      </c>
    </row>
    <row r="2200" customFormat="false" ht="12.75" hidden="false" customHeight="false" outlineLevel="0" collapsed="false">
      <c r="A2200" s="0" t="n">
        <f aca="false">B2200*1000+C2200</f>
        <v>37054</v>
      </c>
      <c r="B2200" s="0" t="n">
        <v>37</v>
      </c>
      <c r="C2200" s="0" t="n">
        <v>54</v>
      </c>
      <c r="D2200" s="0" t="n">
        <v>0</v>
      </c>
      <c r="E2200" s="0" t="n">
        <f aca="false">VLOOKUP(B2200,'MSA-Lookup'!$H$2:$I$86,2)</f>
        <v>7320</v>
      </c>
      <c r="F2200" s="0" t="n">
        <f aca="false">IF(C2200&gt;1,IF(C2200&lt;99,VLOOKUP(C2200,'MSA-Lookup'!$H$1:$I$86,2),C2200),C2200)</f>
        <v>4480</v>
      </c>
      <c r="G2200" s="0" t="n">
        <f aca="false">VLOOKUP(E2200,'MSA-Lookup'!$AA$1:$AB$25,2)</f>
        <v>7320</v>
      </c>
      <c r="H2200" s="0" t="n">
        <f aca="false">IF(C2200&gt;1,IF(C2200&lt;99,VLOOKUP(F2200,'MSA-Lookup'!$AA$1:$AB$25,2),C2200),C2200)</f>
        <v>4472</v>
      </c>
    </row>
    <row r="2201" customFormat="false" ht="12.75" hidden="false" customHeight="false" outlineLevel="0" collapsed="false">
      <c r="A2201" s="0" t="n">
        <f aca="false">B2201*1000+C2201</f>
        <v>37055</v>
      </c>
      <c r="B2201" s="0" t="n">
        <v>37</v>
      </c>
      <c r="C2201" s="0" t="n">
        <v>55</v>
      </c>
      <c r="D2201" s="0" t="n">
        <v>104</v>
      </c>
      <c r="E2201" s="0" t="n">
        <f aca="false">VLOOKUP(B2201,'MSA-Lookup'!$H$2:$I$86,2)</f>
        <v>7320</v>
      </c>
      <c r="F2201" s="0" t="n">
        <f aca="false">IF(C2201&gt;1,IF(C2201&lt;99,VLOOKUP(C2201,'MSA-Lookup'!$H$1:$I$86,2),C2201),C2201)</f>
        <v>4480</v>
      </c>
      <c r="G2201" s="0" t="n">
        <f aca="false">VLOOKUP(E2201,'MSA-Lookup'!$AA$1:$AB$25,2)</f>
        <v>7320</v>
      </c>
      <c r="H2201" s="0" t="n">
        <f aca="false">IF(C2201&gt;1,IF(C2201&lt;99,VLOOKUP(F2201,'MSA-Lookup'!$AA$1:$AB$25,2),C2201),C2201)</f>
        <v>4472</v>
      </c>
    </row>
    <row r="2202" customFormat="false" ht="12.75" hidden="false" customHeight="false" outlineLevel="0" collapsed="false">
      <c r="A2202" s="0" t="n">
        <f aca="false">B2202*1000+C2202</f>
        <v>37056</v>
      </c>
      <c r="B2202" s="0" t="n">
        <v>37</v>
      </c>
      <c r="C2202" s="0" t="n">
        <v>56</v>
      </c>
      <c r="D2202" s="0" t="n">
        <v>0</v>
      </c>
      <c r="E2202" s="0" t="n">
        <f aca="false">VLOOKUP(B2202,'MSA-Lookup'!$H$2:$I$86,2)</f>
        <v>7320</v>
      </c>
      <c r="F2202" s="0" t="n">
        <f aca="false">IF(C2202&gt;1,IF(C2202&lt;99,VLOOKUP(C2202,'MSA-Lookup'!$H$1:$I$86,2),C2202),C2202)</f>
        <v>4480</v>
      </c>
      <c r="G2202" s="0" t="n">
        <f aca="false">VLOOKUP(E2202,'MSA-Lookup'!$AA$1:$AB$25,2)</f>
        <v>7320</v>
      </c>
      <c r="H2202" s="0" t="n">
        <f aca="false">IF(C2202&gt;1,IF(C2202&lt;99,VLOOKUP(F2202,'MSA-Lookup'!$AA$1:$AB$25,2),C2202),C2202)</f>
        <v>4472</v>
      </c>
    </row>
    <row r="2203" customFormat="false" ht="12.75" hidden="false" customHeight="false" outlineLevel="0" collapsed="false">
      <c r="A2203" s="0" t="n">
        <f aca="false">B2203*1000+C2203</f>
        <v>37057</v>
      </c>
      <c r="B2203" s="0" t="n">
        <v>37</v>
      </c>
      <c r="C2203" s="0" t="n">
        <v>57</v>
      </c>
      <c r="D2203" s="0" t="n">
        <v>117</v>
      </c>
      <c r="E2203" s="0" t="n">
        <f aca="false">VLOOKUP(B2203,'MSA-Lookup'!$H$2:$I$86,2)</f>
        <v>7320</v>
      </c>
      <c r="F2203" s="0" t="n">
        <f aca="false">IF(C2203&gt;1,IF(C2203&lt;99,VLOOKUP(C2203,'MSA-Lookup'!$H$1:$I$86,2),C2203),C2203)</f>
        <v>4480</v>
      </c>
      <c r="G2203" s="0" t="n">
        <f aca="false">VLOOKUP(E2203,'MSA-Lookup'!$AA$1:$AB$25,2)</f>
        <v>7320</v>
      </c>
      <c r="H2203" s="0" t="n">
        <f aca="false">IF(C2203&gt;1,IF(C2203&lt;99,VLOOKUP(F2203,'MSA-Lookup'!$AA$1:$AB$25,2),C2203),C2203)</f>
        <v>4472</v>
      </c>
    </row>
    <row r="2204" customFormat="false" ht="12.75" hidden="false" customHeight="false" outlineLevel="0" collapsed="false">
      <c r="A2204" s="0" t="n">
        <f aca="false">B2204*1000+C2204</f>
        <v>37059</v>
      </c>
      <c r="B2204" s="0" t="n">
        <v>37</v>
      </c>
      <c r="C2204" s="0" t="n">
        <v>59</v>
      </c>
      <c r="D2204" s="0" t="n">
        <v>0</v>
      </c>
      <c r="E2204" s="0" t="n">
        <f aca="false">VLOOKUP(B2204,'MSA-Lookup'!$H$2:$I$86,2)</f>
        <v>7320</v>
      </c>
      <c r="F2204" s="0" t="n">
        <f aca="false">IF(C2204&gt;1,IF(C2204&lt;99,VLOOKUP(C2204,'MSA-Lookup'!$H$1:$I$86,2),C2204),C2204)</f>
        <v>4480</v>
      </c>
      <c r="G2204" s="0" t="n">
        <f aca="false">VLOOKUP(E2204,'MSA-Lookup'!$AA$1:$AB$25,2)</f>
        <v>7320</v>
      </c>
      <c r="H2204" s="0" t="n">
        <f aca="false">IF(C2204&gt;1,IF(C2204&lt;99,VLOOKUP(F2204,'MSA-Lookup'!$AA$1:$AB$25,2),C2204),C2204)</f>
        <v>4472</v>
      </c>
    </row>
    <row r="2205" customFormat="false" ht="12.75" hidden="false" customHeight="false" outlineLevel="0" collapsed="false">
      <c r="A2205" s="0" t="n">
        <f aca="false">B2205*1000+C2205</f>
        <v>37060</v>
      </c>
      <c r="B2205" s="0" t="n">
        <v>37</v>
      </c>
      <c r="C2205" s="0" t="n">
        <v>60</v>
      </c>
      <c r="D2205" s="0" t="n">
        <v>0</v>
      </c>
      <c r="E2205" s="0" t="n">
        <f aca="false">VLOOKUP(B2205,'MSA-Lookup'!$H$2:$I$86,2)</f>
        <v>7320</v>
      </c>
      <c r="F2205" s="0" t="n">
        <f aca="false">IF(C2205&gt;1,IF(C2205&lt;99,VLOOKUP(C2205,'MSA-Lookup'!$H$1:$I$86,2),C2205),C2205)</f>
        <v>4480</v>
      </c>
      <c r="G2205" s="0" t="n">
        <f aca="false">VLOOKUP(E2205,'MSA-Lookup'!$AA$1:$AB$25,2)</f>
        <v>7320</v>
      </c>
      <c r="H2205" s="0" t="n">
        <f aca="false">IF(C2205&gt;1,IF(C2205&lt;99,VLOOKUP(F2205,'MSA-Lookup'!$AA$1:$AB$25,2),C2205),C2205)</f>
        <v>4472</v>
      </c>
    </row>
    <row r="2206" customFormat="false" ht="12.75" hidden="false" customHeight="false" outlineLevel="0" collapsed="false">
      <c r="A2206" s="0" t="n">
        <f aca="false">B2206*1000+C2206</f>
        <v>37062</v>
      </c>
      <c r="B2206" s="0" t="n">
        <v>37</v>
      </c>
      <c r="C2206" s="0" t="n">
        <v>62</v>
      </c>
      <c r="D2206" s="0" t="n">
        <v>0</v>
      </c>
      <c r="E2206" s="0" t="n">
        <f aca="false">VLOOKUP(B2206,'MSA-Lookup'!$H$2:$I$86,2)</f>
        <v>7320</v>
      </c>
      <c r="F2206" s="0" t="n">
        <f aca="false">IF(C2206&gt;1,IF(C2206&lt;99,VLOOKUP(C2206,'MSA-Lookup'!$H$1:$I$86,2),C2206),C2206)</f>
        <v>4480</v>
      </c>
      <c r="G2206" s="0" t="n">
        <f aca="false">VLOOKUP(E2206,'MSA-Lookup'!$AA$1:$AB$25,2)</f>
        <v>7320</v>
      </c>
      <c r="H2206" s="0" t="n">
        <f aca="false">IF(C2206&gt;1,IF(C2206&lt;99,VLOOKUP(F2206,'MSA-Lookup'!$AA$1:$AB$25,2),C2206),C2206)</f>
        <v>4472</v>
      </c>
    </row>
    <row r="2207" customFormat="false" ht="12.75" hidden="false" customHeight="false" outlineLevel="0" collapsed="false">
      <c r="A2207" s="0" t="n">
        <f aca="false">B2207*1000+C2207</f>
        <v>37063</v>
      </c>
      <c r="B2207" s="0" t="n">
        <v>37</v>
      </c>
      <c r="C2207" s="0" t="n">
        <v>63</v>
      </c>
      <c r="D2207" s="0" t="n">
        <v>208</v>
      </c>
      <c r="E2207" s="0" t="n">
        <f aca="false">VLOOKUP(B2207,'MSA-Lookup'!$H$2:$I$86,2)</f>
        <v>7320</v>
      </c>
      <c r="F2207" s="0" t="n">
        <f aca="false">IF(C2207&gt;1,IF(C2207&lt;99,VLOOKUP(C2207,'MSA-Lookup'!$H$1:$I$86,2),C2207),C2207)</f>
        <v>4480</v>
      </c>
      <c r="G2207" s="0" t="n">
        <f aca="false">VLOOKUP(E2207,'MSA-Lookup'!$AA$1:$AB$25,2)</f>
        <v>7320</v>
      </c>
      <c r="H2207" s="0" t="n">
        <f aca="false">IF(C2207&gt;1,IF(C2207&lt;99,VLOOKUP(F2207,'MSA-Lookup'!$AA$1:$AB$25,2),C2207),C2207)</f>
        <v>4472</v>
      </c>
    </row>
    <row r="2208" customFormat="false" ht="12.75" hidden="false" customHeight="false" outlineLevel="0" collapsed="false">
      <c r="A2208" s="0" t="n">
        <f aca="false">B2208*1000+C2208</f>
        <v>37064</v>
      </c>
      <c r="B2208" s="0" t="n">
        <v>37</v>
      </c>
      <c r="C2208" s="0" t="n">
        <v>64</v>
      </c>
      <c r="D2208" s="0" t="n">
        <v>2054</v>
      </c>
      <c r="E2208" s="0" t="n">
        <f aca="false">VLOOKUP(B2208,'MSA-Lookup'!$H$2:$I$86,2)</f>
        <v>7320</v>
      </c>
      <c r="F2208" s="0" t="n">
        <f aca="false">IF(C2208&gt;1,IF(C2208&lt;99,VLOOKUP(C2208,'MSA-Lookup'!$H$1:$I$86,2),C2208),C2208)</f>
        <v>4480</v>
      </c>
      <c r="G2208" s="0" t="n">
        <f aca="false">VLOOKUP(E2208,'MSA-Lookup'!$AA$1:$AB$25,2)</f>
        <v>7320</v>
      </c>
      <c r="H2208" s="0" t="n">
        <f aca="false">IF(C2208&gt;1,IF(C2208&lt;99,VLOOKUP(F2208,'MSA-Lookup'!$AA$1:$AB$25,2),C2208),C2208)</f>
        <v>4472</v>
      </c>
    </row>
    <row r="2209" customFormat="false" ht="12.75" hidden="false" customHeight="false" outlineLevel="0" collapsed="false">
      <c r="A2209" s="0" t="n">
        <f aca="false">B2209*1000+C2209</f>
        <v>37065</v>
      </c>
      <c r="B2209" s="0" t="n">
        <v>37</v>
      </c>
      <c r="C2209" s="0" t="n">
        <v>65</v>
      </c>
      <c r="D2209" s="0" t="n">
        <v>1274</v>
      </c>
      <c r="E2209" s="0" t="n">
        <f aca="false">VLOOKUP(B2209,'MSA-Lookup'!$H$2:$I$86,2)</f>
        <v>7320</v>
      </c>
      <c r="F2209" s="0" t="n">
        <f aca="false">IF(C2209&gt;1,IF(C2209&lt;99,VLOOKUP(C2209,'MSA-Lookup'!$H$1:$I$86,2),C2209),C2209)</f>
        <v>4480</v>
      </c>
      <c r="G2209" s="0" t="n">
        <f aca="false">VLOOKUP(E2209,'MSA-Lookup'!$AA$1:$AB$25,2)</f>
        <v>7320</v>
      </c>
      <c r="H2209" s="0" t="n">
        <f aca="false">IF(C2209&gt;1,IF(C2209&lt;99,VLOOKUP(F2209,'MSA-Lookup'!$AA$1:$AB$25,2),C2209),C2209)</f>
        <v>4472</v>
      </c>
    </row>
    <row r="2210" customFormat="false" ht="12.75" hidden="false" customHeight="false" outlineLevel="0" collapsed="false">
      <c r="A2210" s="0" t="n">
        <f aca="false">B2210*1000+C2210</f>
        <v>37066</v>
      </c>
      <c r="B2210" s="0" t="n">
        <v>37</v>
      </c>
      <c r="C2210" s="0" t="n">
        <v>66</v>
      </c>
      <c r="D2210" s="0" t="n">
        <v>221</v>
      </c>
      <c r="E2210" s="0" t="n">
        <f aca="false">VLOOKUP(B2210,'MSA-Lookup'!$H$2:$I$86,2)</f>
        <v>7320</v>
      </c>
      <c r="F2210" s="0" t="n">
        <f aca="false">IF(C2210&gt;1,IF(C2210&lt;99,VLOOKUP(C2210,'MSA-Lookup'!$H$1:$I$86,2),C2210),C2210)</f>
        <v>4480</v>
      </c>
      <c r="G2210" s="0" t="n">
        <f aca="false">VLOOKUP(E2210,'MSA-Lookup'!$AA$1:$AB$25,2)</f>
        <v>7320</v>
      </c>
      <c r="H2210" s="0" t="n">
        <f aca="false">IF(C2210&gt;1,IF(C2210&lt;99,VLOOKUP(F2210,'MSA-Lookup'!$AA$1:$AB$25,2),C2210),C2210)</f>
        <v>4472</v>
      </c>
    </row>
    <row r="2211" customFormat="false" ht="12.75" hidden="false" customHeight="false" outlineLevel="0" collapsed="false">
      <c r="A2211" s="0" t="n">
        <f aca="false">B2211*1000+C2211</f>
        <v>37067</v>
      </c>
      <c r="B2211" s="0" t="n">
        <v>37</v>
      </c>
      <c r="C2211" s="0" t="n">
        <v>67</v>
      </c>
      <c r="D2211" s="0" t="n">
        <v>143</v>
      </c>
      <c r="E2211" s="0" t="n">
        <f aca="false">VLOOKUP(B2211,'MSA-Lookup'!$H$2:$I$86,2)</f>
        <v>7320</v>
      </c>
      <c r="F2211" s="0" t="n">
        <f aca="false">IF(C2211&gt;1,IF(C2211&lt;99,VLOOKUP(C2211,'MSA-Lookup'!$H$1:$I$86,2),C2211),C2211)</f>
        <v>6000</v>
      </c>
      <c r="G2211" s="0" t="n">
        <f aca="false">VLOOKUP(E2211,'MSA-Lookup'!$AA$1:$AB$25,2)</f>
        <v>7320</v>
      </c>
      <c r="H2211" s="0" t="n">
        <f aca="false">IF(C2211&gt;1,IF(C2211&lt;99,VLOOKUP(F2211,'MSA-Lookup'!$AA$1:$AB$25,2),C2211),C2211)</f>
        <v>4472</v>
      </c>
    </row>
    <row r="2212" customFormat="false" ht="12.75" hidden="false" customHeight="false" outlineLevel="0" collapsed="false">
      <c r="A2212" s="0" t="n">
        <f aca="false">B2212*1000+C2212</f>
        <v>37069</v>
      </c>
      <c r="B2212" s="0" t="n">
        <v>37</v>
      </c>
      <c r="C2212" s="0" t="n">
        <v>69</v>
      </c>
      <c r="D2212" s="0" t="n">
        <v>3380</v>
      </c>
      <c r="E2212" s="0" t="n">
        <f aca="false">VLOOKUP(B2212,'MSA-Lookup'!$H$2:$I$86,2)</f>
        <v>7320</v>
      </c>
      <c r="F2212" s="0" t="n">
        <f aca="false">IF(C2212&gt;1,IF(C2212&lt;99,VLOOKUP(C2212,'MSA-Lookup'!$H$1:$I$86,2),C2212),C2212)</f>
        <v>6780</v>
      </c>
      <c r="G2212" s="0" t="n">
        <f aca="false">VLOOKUP(E2212,'MSA-Lookup'!$AA$1:$AB$25,2)</f>
        <v>7320</v>
      </c>
      <c r="H2212" s="0" t="n">
        <f aca="false">IF(C2212&gt;1,IF(C2212&lt;99,VLOOKUP(F2212,'MSA-Lookup'!$AA$1:$AB$25,2),C2212),C2212)</f>
        <v>4472</v>
      </c>
    </row>
    <row r="2213" customFormat="false" ht="12.75" hidden="false" customHeight="false" outlineLevel="0" collapsed="false">
      <c r="A2213" s="0" t="n">
        <f aca="false">B2213*1000+C2213</f>
        <v>37071</v>
      </c>
      <c r="B2213" s="0" t="n">
        <v>37</v>
      </c>
      <c r="C2213" s="0" t="n">
        <v>71</v>
      </c>
      <c r="D2213" s="0" t="n">
        <v>0</v>
      </c>
      <c r="E2213" s="0" t="n">
        <f aca="false">VLOOKUP(B2213,'MSA-Lookup'!$H$2:$I$86,2)</f>
        <v>7320</v>
      </c>
      <c r="F2213" s="0" t="n">
        <f aca="false">IF(C2213&gt;1,IF(C2213&lt;99,VLOOKUP(C2213,'MSA-Lookup'!$H$1:$I$86,2),C2213),C2213)</f>
        <v>6780</v>
      </c>
      <c r="G2213" s="0" t="n">
        <f aca="false">VLOOKUP(E2213,'MSA-Lookup'!$AA$1:$AB$25,2)</f>
        <v>7320</v>
      </c>
      <c r="H2213" s="0" t="n">
        <f aca="false">IF(C2213&gt;1,IF(C2213&lt;99,VLOOKUP(F2213,'MSA-Lookup'!$AA$1:$AB$25,2),C2213),C2213)</f>
        <v>4472</v>
      </c>
    </row>
    <row r="2214" customFormat="false" ht="12.75" hidden="false" customHeight="false" outlineLevel="0" collapsed="false">
      <c r="A2214" s="0" t="n">
        <f aca="false">B2214*1000+C2214</f>
        <v>37072</v>
      </c>
      <c r="B2214" s="0" t="n">
        <v>37</v>
      </c>
      <c r="C2214" s="0" t="n">
        <v>72</v>
      </c>
      <c r="D2214" s="0" t="n">
        <v>1066</v>
      </c>
      <c r="E2214" s="0" t="n">
        <f aca="false">VLOOKUP(B2214,'MSA-Lookup'!$H$2:$I$86,2)</f>
        <v>7320</v>
      </c>
      <c r="F2214" s="0" t="n">
        <f aca="false">IF(C2214&gt;1,IF(C2214&lt;99,VLOOKUP(C2214,'MSA-Lookup'!$H$1:$I$86,2),C2214),C2214)</f>
        <v>6780</v>
      </c>
      <c r="G2214" s="0" t="n">
        <f aca="false">VLOOKUP(E2214,'MSA-Lookup'!$AA$1:$AB$25,2)</f>
        <v>7320</v>
      </c>
      <c r="H2214" s="0" t="n">
        <f aca="false">IF(C2214&gt;1,IF(C2214&lt;99,VLOOKUP(F2214,'MSA-Lookup'!$AA$1:$AB$25,2),C2214),C2214)</f>
        <v>4472</v>
      </c>
    </row>
    <row r="2215" customFormat="false" ht="12.75" hidden="false" customHeight="false" outlineLevel="0" collapsed="false">
      <c r="A2215" s="0" t="n">
        <f aca="false">B2215*1000+C2215</f>
        <v>37073</v>
      </c>
      <c r="B2215" s="0" t="n">
        <v>37</v>
      </c>
      <c r="C2215" s="0" t="n">
        <v>73</v>
      </c>
      <c r="D2215" s="0" t="n">
        <v>0</v>
      </c>
      <c r="E2215" s="0" t="n">
        <f aca="false">VLOOKUP(B2215,'MSA-Lookup'!$H$2:$I$86,2)</f>
        <v>7320</v>
      </c>
      <c r="F2215" s="0" t="n">
        <f aca="false">IF(C2215&gt;1,IF(C2215&lt;99,VLOOKUP(C2215,'MSA-Lookup'!$H$1:$I$86,2),C2215),C2215)</f>
        <v>8720</v>
      </c>
      <c r="G2215" s="0" t="n">
        <f aca="false">VLOOKUP(E2215,'MSA-Lookup'!$AA$1:$AB$25,2)</f>
        <v>7320</v>
      </c>
      <c r="H2215" s="0" t="n">
        <f aca="false">IF(C2215&gt;1,IF(C2215&lt;99,VLOOKUP(F2215,'MSA-Lookup'!$AA$1:$AB$25,2),C2215),C2215)</f>
        <v>7362</v>
      </c>
    </row>
    <row r="2216" customFormat="false" ht="12.75" hidden="false" customHeight="false" outlineLevel="0" collapsed="false">
      <c r="A2216" s="0" t="n">
        <f aca="false">B2216*1000+C2216</f>
        <v>37075</v>
      </c>
      <c r="B2216" s="0" t="n">
        <v>37</v>
      </c>
      <c r="C2216" s="0" t="n">
        <v>75</v>
      </c>
      <c r="D2216" s="0" t="n">
        <v>39</v>
      </c>
      <c r="E2216" s="0" t="n">
        <f aca="false">VLOOKUP(B2216,'MSA-Lookup'!$H$2:$I$86,2)</f>
        <v>7320</v>
      </c>
      <c r="F2216" s="0" t="n">
        <f aca="false">IF(C2216&gt;1,IF(C2216&lt;99,VLOOKUP(C2216,'MSA-Lookup'!$H$1:$I$86,2),C2216),C2216)</f>
        <v>8780</v>
      </c>
      <c r="G2216" s="0" t="n">
        <f aca="false">VLOOKUP(E2216,'MSA-Lookup'!$AA$1:$AB$25,2)</f>
        <v>7320</v>
      </c>
      <c r="H2216" s="0" t="n">
        <f aca="false">IF(C2216&gt;1,IF(C2216&lt;99,VLOOKUP(F2216,'MSA-Lookup'!$AA$1:$AB$25,2),C2216),C2216)</f>
        <v>8780</v>
      </c>
    </row>
    <row r="2217" customFormat="false" ht="12.75" hidden="false" customHeight="false" outlineLevel="0" collapsed="false">
      <c r="A2217" s="0" t="n">
        <f aca="false">B2217*1000+C2217</f>
        <v>37076</v>
      </c>
      <c r="B2217" s="0" t="n">
        <v>37</v>
      </c>
      <c r="C2217" s="0" t="n">
        <v>76</v>
      </c>
      <c r="D2217" s="0" t="n">
        <v>0</v>
      </c>
      <c r="E2217" s="0" t="n">
        <f aca="false">VLOOKUP(B2217,'MSA-Lookup'!$H$2:$I$86,2)</f>
        <v>7320</v>
      </c>
      <c r="F2217" s="0" t="n">
        <f aca="false">IF(C2217&gt;1,IF(C2217&lt;99,VLOOKUP(C2217,'MSA-Lookup'!$H$1:$I$86,2),C2217),C2217)</f>
        <v>7485</v>
      </c>
      <c r="G2217" s="0" t="n">
        <f aca="false">VLOOKUP(E2217,'MSA-Lookup'!$AA$1:$AB$25,2)</f>
        <v>7320</v>
      </c>
      <c r="H2217" s="0" t="n">
        <f aca="false">IF(C2217&gt;1,IF(C2217&lt;99,VLOOKUP(F2217,'MSA-Lookup'!$AA$1:$AB$25,2),C2217),C2217)</f>
        <v>7362</v>
      </c>
    </row>
    <row r="2218" customFormat="false" ht="12.75" hidden="false" customHeight="false" outlineLevel="0" collapsed="false">
      <c r="A2218" s="0" t="n">
        <f aca="false">B2218*1000+C2218</f>
        <v>37077</v>
      </c>
      <c r="B2218" s="0" t="n">
        <v>37</v>
      </c>
      <c r="C2218" s="0" t="n">
        <v>77</v>
      </c>
      <c r="D2218" s="0" t="n">
        <v>182</v>
      </c>
      <c r="E2218" s="0" t="n">
        <f aca="false">VLOOKUP(B2218,'MSA-Lookup'!$H$2:$I$86,2)</f>
        <v>7320</v>
      </c>
      <c r="F2218" s="0" t="n">
        <f aca="false">IF(C2218&gt;1,IF(C2218&lt;99,VLOOKUP(C2218,'MSA-Lookup'!$H$1:$I$86,2),C2218),C2218)</f>
        <v>9999</v>
      </c>
      <c r="G2218" s="0" t="n">
        <f aca="false">VLOOKUP(E2218,'MSA-Lookup'!$AA$1:$AB$25,2)</f>
        <v>7320</v>
      </c>
      <c r="H2218" s="0" t="n">
        <f aca="false">IF(C2218&gt;1,IF(C2218&lt;99,VLOOKUP(F2218,'MSA-Lookup'!$AA$1:$AB$25,2),C2218),C2218)</f>
        <v>9999</v>
      </c>
    </row>
    <row r="2219" customFormat="false" ht="12.75" hidden="false" customHeight="false" outlineLevel="0" collapsed="false">
      <c r="A2219" s="0" t="n">
        <f aca="false">B2219*1000+C2219</f>
        <v>37079</v>
      </c>
      <c r="B2219" s="0" t="n">
        <v>37</v>
      </c>
      <c r="C2219" s="0" t="n">
        <v>79</v>
      </c>
      <c r="D2219" s="0" t="n">
        <v>0</v>
      </c>
      <c r="E2219" s="0" t="n">
        <f aca="false">VLOOKUP(B2219,'MSA-Lookup'!$H$2:$I$86,2)</f>
        <v>7320</v>
      </c>
      <c r="F2219" s="0" t="n">
        <f aca="false">IF(C2219&gt;1,IF(C2219&lt;99,VLOOKUP(C2219,'MSA-Lookup'!$H$1:$I$86,2),C2219),C2219)</f>
        <v>680</v>
      </c>
      <c r="G2219" s="0" t="n">
        <f aca="false">VLOOKUP(E2219,'MSA-Lookup'!$AA$1:$AB$25,2)</f>
        <v>7320</v>
      </c>
      <c r="H2219" s="0" t="n">
        <f aca="false">IF(C2219&gt;1,IF(C2219&lt;99,VLOOKUP(F2219,'MSA-Lookup'!$AA$1:$AB$25,2),C2219),C2219)</f>
        <v>680</v>
      </c>
    </row>
    <row r="2220" customFormat="false" ht="12.75" hidden="false" customHeight="false" outlineLevel="0" collapsed="false">
      <c r="A2220" s="0" t="n">
        <f aca="false">B2220*1000+C2220</f>
        <v>37080</v>
      </c>
      <c r="B2220" s="0" t="n">
        <v>37</v>
      </c>
      <c r="C2220" s="0" t="n">
        <v>80</v>
      </c>
      <c r="D2220" s="0" t="n">
        <v>0</v>
      </c>
      <c r="E2220" s="0" t="n">
        <f aca="false">VLOOKUP(B2220,'MSA-Lookup'!$H$2:$I$86,2)</f>
        <v>7320</v>
      </c>
      <c r="F2220" s="0" t="n">
        <f aca="false">IF(C2220&gt;1,IF(C2220&lt;99,VLOOKUP(C2220,'MSA-Lookup'!$H$1:$I$86,2),C2220),C2220)</f>
        <v>9999</v>
      </c>
      <c r="G2220" s="0" t="n">
        <f aca="false">VLOOKUP(E2220,'MSA-Lookup'!$AA$1:$AB$25,2)</f>
        <v>7320</v>
      </c>
      <c r="H2220" s="0" t="n">
        <f aca="false">IF(C2220&gt;1,IF(C2220&lt;99,VLOOKUP(F2220,'MSA-Lookup'!$AA$1:$AB$25,2),C2220),C2220)</f>
        <v>9999</v>
      </c>
    </row>
    <row r="2221" customFormat="false" ht="12.75" hidden="false" customHeight="false" outlineLevel="0" collapsed="false">
      <c r="A2221" s="0" t="n">
        <f aca="false">B2221*1000+C2221</f>
        <v>37081</v>
      </c>
      <c r="B2221" s="0" t="n">
        <v>37</v>
      </c>
      <c r="C2221" s="0" t="n">
        <v>81</v>
      </c>
      <c r="D2221" s="0" t="n">
        <v>117</v>
      </c>
      <c r="E2221" s="0" t="n">
        <f aca="false">VLOOKUP(B2221,'MSA-Lookup'!$H$2:$I$86,2)</f>
        <v>7320</v>
      </c>
      <c r="F2221" s="0" t="n">
        <f aca="false">IF(C2221&gt;1,IF(C2221&lt;99,VLOOKUP(C2221,'MSA-Lookup'!$H$1:$I$86,2),C2221),C2221)</f>
        <v>6780</v>
      </c>
      <c r="G2221" s="0" t="n">
        <f aca="false">VLOOKUP(E2221,'MSA-Lookup'!$AA$1:$AB$25,2)</f>
        <v>7320</v>
      </c>
      <c r="H2221" s="0" t="n">
        <f aca="false">IF(C2221&gt;1,IF(C2221&lt;99,VLOOKUP(F2221,'MSA-Lookup'!$AA$1:$AB$25,2),C2221),C2221)</f>
        <v>4472</v>
      </c>
    </row>
    <row r="2222" customFormat="false" ht="12.75" hidden="false" customHeight="false" outlineLevel="0" collapsed="false">
      <c r="A2222" s="0" t="n">
        <f aca="false">B2222*1000+C2222</f>
        <v>37082</v>
      </c>
      <c r="B2222" s="0" t="n">
        <v>37</v>
      </c>
      <c r="C2222" s="0" t="n">
        <v>82</v>
      </c>
      <c r="D2222" s="0" t="n">
        <v>0</v>
      </c>
      <c r="E2222" s="0" t="n">
        <f aca="false">VLOOKUP(B2222,'MSA-Lookup'!$H$2:$I$86,2)</f>
        <v>7320</v>
      </c>
      <c r="F2222" s="0" t="n">
        <f aca="false">IF(C2222&gt;1,IF(C2222&lt;99,VLOOKUP(C2222,'MSA-Lookup'!$H$1:$I$86,2),C2222),C2222)</f>
        <v>6780</v>
      </c>
      <c r="G2222" s="0" t="n">
        <f aca="false">VLOOKUP(E2222,'MSA-Lookup'!$AA$1:$AB$25,2)</f>
        <v>7320</v>
      </c>
      <c r="H2222" s="0" t="n">
        <f aca="false">IF(C2222&gt;1,IF(C2222&lt;99,VLOOKUP(F2222,'MSA-Lookup'!$AA$1:$AB$25,2),C2222),C2222)</f>
        <v>4472</v>
      </c>
    </row>
    <row r="2223" customFormat="false" ht="12.75" hidden="false" customHeight="false" outlineLevel="0" collapsed="false">
      <c r="A2223" s="0" t="n">
        <f aca="false">B2223*1000+C2223</f>
        <v>37083</v>
      </c>
      <c r="B2223" s="0" t="n">
        <v>37</v>
      </c>
      <c r="C2223" s="0" t="n">
        <v>83</v>
      </c>
      <c r="D2223" s="0" t="n">
        <v>0</v>
      </c>
      <c r="E2223" s="0" t="n">
        <f aca="false">VLOOKUP(B2223,'MSA-Lookup'!$H$2:$I$86,2)</f>
        <v>7320</v>
      </c>
      <c r="F2223" s="0" t="n">
        <f aca="false">IF(C2223&gt;1,IF(C2223&lt;99,VLOOKUP(C2223,'MSA-Lookup'!$H$1:$I$86,2),C2223),C2223)</f>
        <v>6000</v>
      </c>
      <c r="G2223" s="0" t="n">
        <f aca="false">VLOOKUP(E2223,'MSA-Lookup'!$AA$1:$AB$25,2)</f>
        <v>7320</v>
      </c>
      <c r="H2223" s="0" t="n">
        <f aca="false">IF(C2223&gt;1,IF(C2223&lt;99,VLOOKUP(F2223,'MSA-Lookup'!$AA$1:$AB$25,2),C2223),C2223)</f>
        <v>4472</v>
      </c>
    </row>
    <row r="2224" customFormat="false" ht="12.75" hidden="false" customHeight="false" outlineLevel="0" collapsed="false">
      <c r="A2224" s="0" t="n">
        <f aca="false">B2224*1000+C2224</f>
        <v>37084</v>
      </c>
      <c r="B2224" s="0" t="n">
        <v>37</v>
      </c>
      <c r="C2224" s="0" t="n">
        <v>84</v>
      </c>
      <c r="D2224" s="0" t="n">
        <v>611</v>
      </c>
      <c r="E2224" s="0" t="n">
        <f aca="false">VLOOKUP(B2224,'MSA-Lookup'!$H$2:$I$86,2)</f>
        <v>7320</v>
      </c>
      <c r="F2224" s="0" t="n">
        <f aca="false">IF(C2224&gt;1,IF(C2224&lt;99,VLOOKUP(C2224,'MSA-Lookup'!$H$1:$I$86,2),C2224),C2224)</f>
        <v>360</v>
      </c>
      <c r="G2224" s="0" t="n">
        <f aca="false">VLOOKUP(E2224,'MSA-Lookup'!$AA$1:$AB$25,2)</f>
        <v>7320</v>
      </c>
      <c r="H2224" s="0" t="n">
        <f aca="false">IF(C2224&gt;1,IF(C2224&lt;99,VLOOKUP(F2224,'MSA-Lookup'!$AA$1:$AB$25,2),C2224),C2224)</f>
        <v>4472</v>
      </c>
    </row>
    <row r="2225" customFormat="false" ht="12.75" hidden="false" customHeight="false" outlineLevel="0" collapsed="false">
      <c r="A2225" s="0" t="n">
        <f aca="false">B2225*1000+C2225</f>
        <v>37085</v>
      </c>
      <c r="B2225" s="0" t="n">
        <v>37</v>
      </c>
      <c r="C2225" s="0" t="n">
        <v>85</v>
      </c>
      <c r="D2225" s="0" t="n">
        <v>0</v>
      </c>
      <c r="E2225" s="0" t="n">
        <f aca="false">VLOOKUP(B2225,'MSA-Lookup'!$H$2:$I$86,2)</f>
        <v>7320</v>
      </c>
      <c r="F2225" s="0" t="n">
        <f aca="false">IF(C2225&gt;1,IF(C2225&lt;99,VLOOKUP(C2225,'MSA-Lookup'!$H$1:$I$86,2),C2225),C2225)</f>
        <v>8120</v>
      </c>
      <c r="G2225" s="0" t="n">
        <f aca="false">VLOOKUP(E2225,'MSA-Lookup'!$AA$1:$AB$25,2)</f>
        <v>7320</v>
      </c>
      <c r="H2225" s="0" t="n">
        <f aca="false">IF(C2225&gt;1,IF(C2225&lt;99,VLOOKUP(F2225,'MSA-Lookup'!$AA$1:$AB$25,2),C2225),C2225)</f>
        <v>8120</v>
      </c>
    </row>
    <row r="2226" customFormat="false" ht="12.75" hidden="false" customHeight="false" outlineLevel="0" collapsed="false">
      <c r="A2226" s="0" t="n">
        <f aca="false">B2226*1000+C2226</f>
        <v>37858</v>
      </c>
      <c r="B2226" s="0" t="n">
        <v>37</v>
      </c>
      <c r="C2226" s="0" t="n">
        <v>858</v>
      </c>
      <c r="D2226" s="0" t="n">
        <v>0</v>
      </c>
      <c r="E2226" s="0" t="n">
        <f aca="false">VLOOKUP(B2226,'MSA-Lookup'!$H$2:$I$86,2)</f>
        <v>7320</v>
      </c>
      <c r="F2226" s="0" t="n">
        <f aca="false">IF(C2226&gt;1,IF(C2226&lt;99,VLOOKUP(C2226,'MSA-Lookup'!$H$1:$I$86,2),C2226),C2226)</f>
        <v>858</v>
      </c>
      <c r="G2226" s="0" t="n">
        <f aca="false">VLOOKUP(E2226,'MSA-Lookup'!$AA$1:$AB$25,2)</f>
        <v>7320</v>
      </c>
      <c r="H2226" s="0" t="n">
        <f aca="false">IF(C2226&gt;1,IF(C2226&lt;99,VLOOKUP(F2226,'MSA-Lookup'!$AA$1:$AB$25,2),C2226),C2226)</f>
        <v>858</v>
      </c>
    </row>
    <row r="2227" customFormat="false" ht="12.75" hidden="false" customHeight="false" outlineLevel="0" collapsed="false">
      <c r="A2227" s="0" t="n">
        <f aca="false">B2227*1000+C2227</f>
        <v>37983</v>
      </c>
      <c r="B2227" s="0" t="n">
        <v>37</v>
      </c>
      <c r="C2227" s="0" t="n">
        <v>983</v>
      </c>
      <c r="D2227" s="0" t="n">
        <v>0</v>
      </c>
      <c r="E2227" s="0" t="n">
        <f aca="false">VLOOKUP(B2227,'MSA-Lookup'!$H$2:$I$86,2)</f>
        <v>7320</v>
      </c>
      <c r="F2227" s="0" t="n">
        <f aca="false">IF(C2227&gt;1,IF(C2227&lt;99,VLOOKUP(C2227,'MSA-Lookup'!$H$1:$I$86,2),C2227),C2227)</f>
        <v>983</v>
      </c>
      <c r="G2227" s="0" t="n">
        <f aca="false">VLOOKUP(E2227,'MSA-Lookup'!$AA$1:$AB$25,2)</f>
        <v>7320</v>
      </c>
      <c r="H2227" s="0" t="n">
        <f aca="false">IF(C2227&gt;1,IF(C2227&lt;99,VLOOKUP(F2227,'MSA-Lookup'!$AA$1:$AB$25,2),C2227),C2227)</f>
        <v>983</v>
      </c>
    </row>
    <row r="2228" customFormat="false" ht="12.75" hidden="false" customHeight="false" outlineLevel="0" collapsed="false">
      <c r="A2228" s="0" t="n">
        <f aca="false">B2228*1000+C2228</f>
        <v>37999</v>
      </c>
      <c r="B2228" s="0" t="n">
        <v>37</v>
      </c>
      <c r="C2228" s="0" t="n">
        <v>999</v>
      </c>
      <c r="D2228" s="0" t="n">
        <v>1092</v>
      </c>
      <c r="E2228" s="0" t="n">
        <f aca="false">VLOOKUP(B2228,'MSA-Lookup'!$H$2:$I$86,2)</f>
        <v>7320</v>
      </c>
      <c r="F2228" s="0" t="n">
        <f aca="false">IF(C2228&gt;1,IF(C2228&lt;99,VLOOKUP(C2228,'MSA-Lookup'!$H$1:$I$86,2),C2228),C2228)</f>
        <v>999</v>
      </c>
      <c r="G2228" s="0" t="n">
        <f aca="false">VLOOKUP(E2228,'MSA-Lookup'!$AA$1:$AB$25,2)</f>
        <v>7320</v>
      </c>
      <c r="H2228" s="0" t="n">
        <f aca="false">IF(C2228&gt;1,IF(C2228&lt;99,VLOOKUP(F2228,'MSA-Lookup'!$AA$1:$AB$25,2),C2228),C2228)</f>
        <v>999</v>
      </c>
    </row>
    <row r="2229" customFormat="false" ht="12.75" hidden="false" customHeight="false" outlineLevel="0" collapsed="false">
      <c r="A2229" s="0" t="n">
        <f aca="false">B2229*1000+C2229</f>
        <v>38000</v>
      </c>
      <c r="B2229" s="0" t="n">
        <v>38</v>
      </c>
      <c r="C2229" s="0" t="n">
        <v>0</v>
      </c>
      <c r="D2229" s="0" t="n">
        <v>62361</v>
      </c>
      <c r="E2229" s="0" t="n">
        <f aca="false">VLOOKUP(B2229,'MSA-Lookup'!$H$2:$I$86,2)</f>
        <v>7120</v>
      </c>
      <c r="F2229" s="0" t="n">
        <f aca="false">IF(C2229&gt;1,IF(C2229&lt;99,VLOOKUP(C2229,'MSA-Lookup'!$H$1:$I$86,2),C2229),C2229)</f>
        <v>0</v>
      </c>
      <c r="G2229" s="0" t="n">
        <f aca="false">VLOOKUP(E2229,'MSA-Lookup'!$AA$1:$AB$25,2)</f>
        <v>7120</v>
      </c>
      <c r="H2229" s="0" t="n">
        <f aca="false">IF(C2229&gt;1,IF(C2229&lt;99,VLOOKUP(F2229,'MSA-Lookup'!$AA$1:$AB$25,2),C2229),C2229)</f>
        <v>0</v>
      </c>
    </row>
    <row r="2230" customFormat="false" ht="12.75" hidden="false" customHeight="false" outlineLevel="0" collapsed="false">
      <c r="A2230" s="0" t="n">
        <f aca="false">B2230*1000+C2230</f>
        <v>38001</v>
      </c>
      <c r="B2230" s="0" t="n">
        <v>38</v>
      </c>
      <c r="C2230" s="0" t="n">
        <v>1</v>
      </c>
      <c r="D2230" s="0" t="n">
        <v>91</v>
      </c>
      <c r="E2230" s="0" t="n">
        <f aca="false">VLOOKUP(B2230,'MSA-Lookup'!$H$2:$I$86,2)</f>
        <v>7120</v>
      </c>
      <c r="F2230" s="0" t="n">
        <f aca="false">IF(C2230&gt;1,IF(C2230&lt;99,VLOOKUP(C2230,'MSA-Lookup'!$H$1:$I$86,2),C2230),C2230)</f>
        <v>1</v>
      </c>
      <c r="G2230" s="0" t="n">
        <f aca="false">VLOOKUP(E2230,'MSA-Lookup'!$AA$1:$AB$25,2)</f>
        <v>7120</v>
      </c>
      <c r="H2230" s="0" t="n">
        <f aca="false">IF(C2230&gt;1,IF(C2230&lt;99,VLOOKUP(F2230,'MSA-Lookup'!$AA$1:$AB$25,2),C2230),C2230)</f>
        <v>1</v>
      </c>
    </row>
    <row r="2231" customFormat="false" ht="12.75" hidden="false" customHeight="false" outlineLevel="0" collapsed="false">
      <c r="A2231" s="0" t="n">
        <f aca="false">B2231*1000+C2231</f>
        <v>38002</v>
      </c>
      <c r="B2231" s="0" t="n">
        <v>38</v>
      </c>
      <c r="C2231" s="0" t="n">
        <v>2</v>
      </c>
      <c r="D2231" s="0" t="n">
        <v>0</v>
      </c>
      <c r="E2231" s="0" t="n">
        <f aca="false">VLOOKUP(B2231,'MSA-Lookup'!$H$2:$I$86,2)</f>
        <v>7120</v>
      </c>
      <c r="F2231" s="0" t="n">
        <f aca="false">IF(C2231&gt;1,IF(C2231&lt;99,VLOOKUP(C2231,'MSA-Lookup'!$H$1:$I$86,2),C2231),C2231)</f>
        <v>9999</v>
      </c>
      <c r="G2231" s="0" t="n">
        <f aca="false">VLOOKUP(E2231,'MSA-Lookup'!$AA$1:$AB$25,2)</f>
        <v>7120</v>
      </c>
      <c r="H2231" s="0" t="n">
        <f aca="false">IF(C2231&gt;1,IF(C2231&lt;99,VLOOKUP(F2231,'MSA-Lookup'!$AA$1:$AB$25,2),C2231),C2231)</f>
        <v>9999</v>
      </c>
    </row>
    <row r="2232" customFormat="false" ht="12.75" hidden="false" customHeight="false" outlineLevel="0" collapsed="false">
      <c r="A2232" s="0" t="n">
        <f aca="false">B2232*1000+C2232</f>
        <v>38003</v>
      </c>
      <c r="B2232" s="0" t="n">
        <v>38</v>
      </c>
      <c r="C2232" s="0" t="n">
        <v>3</v>
      </c>
      <c r="D2232" s="0" t="n">
        <v>0</v>
      </c>
      <c r="E2232" s="0" t="n">
        <f aca="false">VLOOKUP(B2232,'MSA-Lookup'!$H$2:$I$86,2)</f>
        <v>7120</v>
      </c>
      <c r="F2232" s="0" t="n">
        <f aca="false">IF(C2232&gt;1,IF(C2232&lt;99,VLOOKUP(C2232,'MSA-Lookup'!$H$1:$I$86,2),C2232),C2232)</f>
        <v>6690</v>
      </c>
      <c r="G2232" s="0" t="n">
        <f aca="false">VLOOKUP(E2232,'MSA-Lookup'!$AA$1:$AB$25,2)</f>
        <v>7120</v>
      </c>
      <c r="H2232" s="0" t="n">
        <f aca="false">IF(C2232&gt;1,IF(C2232&lt;99,VLOOKUP(F2232,'MSA-Lookup'!$AA$1:$AB$25,2),C2232),C2232)</f>
        <v>6690</v>
      </c>
    </row>
    <row r="2233" customFormat="false" ht="12.75" hidden="false" customHeight="false" outlineLevel="0" collapsed="false">
      <c r="A2233" s="0" t="n">
        <f aca="false">B2233*1000+C2233</f>
        <v>38004</v>
      </c>
      <c r="B2233" s="0" t="n">
        <v>38</v>
      </c>
      <c r="C2233" s="0" t="n">
        <v>4</v>
      </c>
      <c r="D2233" s="0" t="n">
        <v>78</v>
      </c>
      <c r="E2233" s="0" t="n">
        <f aca="false">VLOOKUP(B2233,'MSA-Lookup'!$H$2:$I$86,2)</f>
        <v>7120</v>
      </c>
      <c r="F2233" s="0" t="n">
        <f aca="false">IF(C2233&gt;1,IF(C2233&lt;99,VLOOKUP(C2233,'MSA-Lookup'!$H$1:$I$86,2),C2233),C2233)</f>
        <v>9999</v>
      </c>
      <c r="G2233" s="0" t="n">
        <f aca="false">VLOOKUP(E2233,'MSA-Lookup'!$AA$1:$AB$25,2)</f>
        <v>7120</v>
      </c>
      <c r="H2233" s="0" t="n">
        <f aca="false">IF(C2233&gt;1,IF(C2233&lt;99,VLOOKUP(F2233,'MSA-Lookup'!$AA$1:$AB$25,2),C2233),C2233)</f>
        <v>9999</v>
      </c>
    </row>
    <row r="2234" customFormat="false" ht="12.75" hidden="false" customHeight="false" outlineLevel="0" collapsed="false">
      <c r="A2234" s="0" t="n">
        <f aca="false">B2234*1000+C2234</f>
        <v>38005</v>
      </c>
      <c r="B2234" s="0" t="n">
        <v>38</v>
      </c>
      <c r="C2234" s="0" t="n">
        <v>5</v>
      </c>
      <c r="D2234" s="0" t="n">
        <v>0</v>
      </c>
      <c r="E2234" s="0" t="n">
        <f aca="false">VLOOKUP(B2234,'MSA-Lookup'!$H$2:$I$86,2)</f>
        <v>7120</v>
      </c>
      <c r="F2234" s="0" t="n">
        <f aca="false">IF(C2234&gt;1,IF(C2234&lt;99,VLOOKUP(C2234,'MSA-Lookup'!$H$1:$I$86,2),C2234),C2234)</f>
        <v>9999</v>
      </c>
      <c r="G2234" s="0" t="n">
        <f aca="false">VLOOKUP(E2234,'MSA-Lookup'!$AA$1:$AB$25,2)</f>
        <v>7120</v>
      </c>
      <c r="H2234" s="0" t="n">
        <f aca="false">IF(C2234&gt;1,IF(C2234&lt;99,VLOOKUP(F2234,'MSA-Lookup'!$AA$1:$AB$25,2),C2234),C2234)</f>
        <v>9999</v>
      </c>
    </row>
    <row r="2235" customFormat="false" ht="12.75" hidden="false" customHeight="false" outlineLevel="0" collapsed="false">
      <c r="A2235" s="0" t="n">
        <f aca="false">B2235*1000+C2235</f>
        <v>38006</v>
      </c>
      <c r="B2235" s="0" t="n">
        <v>38</v>
      </c>
      <c r="C2235" s="0" t="n">
        <v>6</v>
      </c>
      <c r="D2235" s="0" t="n">
        <v>0</v>
      </c>
      <c r="E2235" s="0" t="n">
        <f aca="false">VLOOKUP(B2235,'MSA-Lookup'!$H$2:$I$86,2)</f>
        <v>7120</v>
      </c>
      <c r="F2235" s="0" t="n">
        <f aca="false">IF(C2235&gt;1,IF(C2235&lt;99,VLOOKUP(C2235,'MSA-Lookup'!$H$1:$I$86,2),C2235),C2235)</f>
        <v>1620</v>
      </c>
      <c r="G2235" s="0" t="n">
        <f aca="false">VLOOKUP(E2235,'MSA-Lookup'!$AA$1:$AB$25,2)</f>
        <v>7120</v>
      </c>
      <c r="H2235" s="0" t="n">
        <f aca="false">IF(C2235&gt;1,IF(C2235&lt;99,VLOOKUP(F2235,'MSA-Lookup'!$AA$1:$AB$25,2),C2235),C2235)</f>
        <v>1620</v>
      </c>
    </row>
    <row r="2236" customFormat="false" ht="12.75" hidden="false" customHeight="false" outlineLevel="0" collapsed="false">
      <c r="A2236" s="0" t="n">
        <f aca="false">B2236*1000+C2236</f>
        <v>38007</v>
      </c>
      <c r="B2236" s="0" t="n">
        <v>38</v>
      </c>
      <c r="C2236" s="0" t="n">
        <v>7</v>
      </c>
      <c r="D2236" s="0" t="n">
        <v>0</v>
      </c>
      <c r="E2236" s="0" t="n">
        <f aca="false">VLOOKUP(B2236,'MSA-Lookup'!$H$2:$I$86,2)</f>
        <v>7120</v>
      </c>
      <c r="F2236" s="0" t="n">
        <f aca="false">IF(C2236&gt;1,IF(C2236&lt;99,VLOOKUP(C2236,'MSA-Lookup'!$H$1:$I$86,2),C2236),C2236)</f>
        <v>9999</v>
      </c>
      <c r="G2236" s="0" t="n">
        <f aca="false">VLOOKUP(E2236,'MSA-Lookup'!$AA$1:$AB$25,2)</f>
        <v>7120</v>
      </c>
      <c r="H2236" s="0" t="n">
        <f aca="false">IF(C2236&gt;1,IF(C2236&lt;99,VLOOKUP(F2236,'MSA-Lookup'!$AA$1:$AB$25,2),C2236),C2236)</f>
        <v>9999</v>
      </c>
    </row>
    <row r="2237" customFormat="false" ht="12.75" hidden="false" customHeight="false" outlineLevel="0" collapsed="false">
      <c r="A2237" s="0" t="n">
        <f aca="false">B2237*1000+C2237</f>
        <v>38008</v>
      </c>
      <c r="B2237" s="0" t="n">
        <v>38</v>
      </c>
      <c r="C2237" s="0" t="n">
        <v>8</v>
      </c>
      <c r="D2237" s="0" t="n">
        <v>0</v>
      </c>
      <c r="E2237" s="0" t="n">
        <f aca="false">VLOOKUP(B2237,'MSA-Lookup'!$H$2:$I$86,2)</f>
        <v>7120</v>
      </c>
      <c r="F2237" s="0" t="n">
        <f aca="false">IF(C2237&gt;1,IF(C2237&lt;99,VLOOKUP(C2237,'MSA-Lookup'!$H$1:$I$86,2),C2237),C2237)</f>
        <v>9340</v>
      </c>
      <c r="G2237" s="0" t="n">
        <f aca="false">VLOOKUP(E2237,'MSA-Lookup'!$AA$1:$AB$25,2)</f>
        <v>7120</v>
      </c>
      <c r="H2237" s="0" t="n">
        <f aca="false">IF(C2237&gt;1,IF(C2237&lt;99,VLOOKUP(F2237,'MSA-Lookup'!$AA$1:$AB$25,2),C2237),C2237)</f>
        <v>9340</v>
      </c>
    </row>
    <row r="2238" customFormat="false" ht="12.75" hidden="false" customHeight="false" outlineLevel="0" collapsed="false">
      <c r="A2238" s="0" t="n">
        <f aca="false">B2238*1000+C2238</f>
        <v>38009</v>
      </c>
      <c r="B2238" s="0" t="n">
        <v>38</v>
      </c>
      <c r="C2238" s="0" t="n">
        <v>9</v>
      </c>
      <c r="D2238" s="0" t="n">
        <v>0</v>
      </c>
      <c r="E2238" s="0" t="n">
        <f aca="false">VLOOKUP(B2238,'MSA-Lookup'!$H$2:$I$86,2)</f>
        <v>7120</v>
      </c>
      <c r="F2238" s="0" t="n">
        <f aca="false">IF(C2238&gt;1,IF(C2238&lt;99,VLOOKUP(C2238,'MSA-Lookup'!$H$1:$I$86,2),C2238),C2238)</f>
        <v>8720</v>
      </c>
      <c r="G2238" s="0" t="n">
        <f aca="false">VLOOKUP(E2238,'MSA-Lookup'!$AA$1:$AB$25,2)</f>
        <v>7120</v>
      </c>
      <c r="H2238" s="0" t="n">
        <f aca="false">IF(C2238&gt;1,IF(C2238&lt;99,VLOOKUP(F2238,'MSA-Lookup'!$AA$1:$AB$25,2),C2238),C2238)</f>
        <v>7362</v>
      </c>
    </row>
    <row r="2239" customFormat="false" ht="12.75" hidden="false" customHeight="false" outlineLevel="0" collapsed="false">
      <c r="A2239" s="0" t="n">
        <f aca="false">B2239*1000+C2239</f>
        <v>38010</v>
      </c>
      <c r="B2239" s="0" t="n">
        <v>38</v>
      </c>
      <c r="C2239" s="0" t="n">
        <v>10</v>
      </c>
      <c r="D2239" s="0" t="n">
        <v>0</v>
      </c>
      <c r="E2239" s="0" t="n">
        <f aca="false">VLOOKUP(B2239,'MSA-Lookup'!$H$2:$I$86,2)</f>
        <v>7120</v>
      </c>
      <c r="F2239" s="0" t="n">
        <f aca="false">IF(C2239&gt;1,IF(C2239&lt;99,VLOOKUP(C2239,'MSA-Lookup'!$H$1:$I$86,2),C2239),C2239)</f>
        <v>6920</v>
      </c>
      <c r="G2239" s="0" t="n">
        <f aca="false">VLOOKUP(E2239,'MSA-Lookup'!$AA$1:$AB$25,2)</f>
        <v>7120</v>
      </c>
      <c r="H2239" s="0" t="n">
        <f aca="false">IF(C2239&gt;1,IF(C2239&lt;99,VLOOKUP(F2239,'MSA-Lookup'!$AA$1:$AB$25,2),C2239),C2239)</f>
        <v>6920</v>
      </c>
    </row>
    <row r="2240" customFormat="false" ht="12.75" hidden="false" customHeight="false" outlineLevel="0" collapsed="false">
      <c r="A2240" s="0" t="n">
        <f aca="false">B2240*1000+C2240</f>
        <v>38011</v>
      </c>
      <c r="B2240" s="0" t="n">
        <v>38</v>
      </c>
      <c r="C2240" s="0" t="n">
        <v>11</v>
      </c>
      <c r="D2240" s="0" t="n">
        <v>0</v>
      </c>
      <c r="E2240" s="0" t="n">
        <f aca="false">VLOOKUP(B2240,'MSA-Lookup'!$H$2:$I$86,2)</f>
        <v>7120</v>
      </c>
      <c r="F2240" s="0" t="n">
        <f aca="false">IF(C2240&gt;1,IF(C2240&lt;99,VLOOKUP(C2240,'MSA-Lookup'!$H$1:$I$86,2),C2240),C2240)</f>
        <v>6920</v>
      </c>
      <c r="G2240" s="0" t="n">
        <f aca="false">VLOOKUP(E2240,'MSA-Lookup'!$AA$1:$AB$25,2)</f>
        <v>7120</v>
      </c>
      <c r="H2240" s="0" t="n">
        <f aca="false">IF(C2240&gt;1,IF(C2240&lt;99,VLOOKUP(F2240,'MSA-Lookup'!$AA$1:$AB$25,2),C2240),C2240)</f>
        <v>6920</v>
      </c>
    </row>
    <row r="2241" customFormat="false" ht="12.75" hidden="false" customHeight="false" outlineLevel="0" collapsed="false">
      <c r="A2241" s="0" t="n">
        <f aca="false">B2241*1000+C2241</f>
        <v>38012</v>
      </c>
      <c r="B2241" s="0" t="n">
        <v>38</v>
      </c>
      <c r="C2241" s="0" t="n">
        <v>12</v>
      </c>
      <c r="D2241" s="0" t="n">
        <v>0</v>
      </c>
      <c r="E2241" s="0" t="n">
        <f aca="false">VLOOKUP(B2241,'MSA-Lookup'!$H$2:$I$86,2)</f>
        <v>7120</v>
      </c>
      <c r="F2241" s="0" t="n">
        <f aca="false">IF(C2241&gt;1,IF(C2241&lt;99,VLOOKUP(C2241,'MSA-Lookup'!$H$1:$I$86,2),C2241),C2241)</f>
        <v>6920</v>
      </c>
      <c r="G2241" s="0" t="n">
        <f aca="false">VLOOKUP(E2241,'MSA-Lookup'!$AA$1:$AB$25,2)</f>
        <v>7120</v>
      </c>
      <c r="H2241" s="0" t="n">
        <f aca="false">IF(C2241&gt;1,IF(C2241&lt;99,VLOOKUP(F2241,'MSA-Lookup'!$AA$1:$AB$25,2),C2241),C2241)</f>
        <v>6920</v>
      </c>
    </row>
    <row r="2242" customFormat="false" ht="12.75" hidden="false" customHeight="false" outlineLevel="0" collapsed="false">
      <c r="A2242" s="0" t="n">
        <f aca="false">B2242*1000+C2242</f>
        <v>38013</v>
      </c>
      <c r="B2242" s="0" t="n">
        <v>38</v>
      </c>
      <c r="C2242" s="0" t="n">
        <v>13</v>
      </c>
      <c r="D2242" s="0" t="n">
        <v>0</v>
      </c>
      <c r="E2242" s="0" t="n">
        <f aca="false">VLOOKUP(B2242,'MSA-Lookup'!$H$2:$I$86,2)</f>
        <v>7120</v>
      </c>
      <c r="F2242" s="0" t="n">
        <f aca="false">IF(C2242&gt;1,IF(C2242&lt;99,VLOOKUP(C2242,'MSA-Lookup'!$H$1:$I$86,2),C2242),C2242)</f>
        <v>7500</v>
      </c>
      <c r="G2242" s="0" t="n">
        <f aca="false">VLOOKUP(E2242,'MSA-Lookup'!$AA$1:$AB$25,2)</f>
        <v>7120</v>
      </c>
      <c r="H2242" s="0" t="n">
        <f aca="false">IF(C2242&gt;1,IF(C2242&lt;99,VLOOKUP(F2242,'MSA-Lookup'!$AA$1:$AB$25,2),C2242),C2242)</f>
        <v>7362</v>
      </c>
    </row>
    <row r="2243" customFormat="false" ht="12.75" hidden="false" customHeight="false" outlineLevel="0" collapsed="false">
      <c r="A2243" s="0" t="n">
        <f aca="false">B2243*1000+C2243</f>
        <v>38014</v>
      </c>
      <c r="B2243" s="0" t="n">
        <v>38</v>
      </c>
      <c r="C2243" s="0" t="n">
        <v>14</v>
      </c>
      <c r="D2243" s="0" t="n">
        <v>0</v>
      </c>
      <c r="E2243" s="0" t="n">
        <f aca="false">VLOOKUP(B2243,'MSA-Lookup'!$H$2:$I$86,2)</f>
        <v>7120</v>
      </c>
      <c r="F2243" s="0" t="n">
        <f aca="false">IF(C2243&gt;1,IF(C2243&lt;99,VLOOKUP(C2243,'MSA-Lookup'!$H$1:$I$86,2),C2243),C2243)</f>
        <v>7500</v>
      </c>
      <c r="G2243" s="0" t="n">
        <f aca="false">VLOOKUP(E2243,'MSA-Lookup'!$AA$1:$AB$25,2)</f>
        <v>7120</v>
      </c>
      <c r="H2243" s="0" t="n">
        <f aca="false">IF(C2243&gt;1,IF(C2243&lt;99,VLOOKUP(F2243,'MSA-Lookup'!$AA$1:$AB$25,2),C2243),C2243)</f>
        <v>7362</v>
      </c>
    </row>
    <row r="2244" customFormat="false" ht="12.75" hidden="false" customHeight="false" outlineLevel="0" collapsed="false">
      <c r="A2244" s="0" t="n">
        <f aca="false">B2244*1000+C2244</f>
        <v>38015</v>
      </c>
      <c r="B2244" s="0" t="n">
        <v>38</v>
      </c>
      <c r="C2244" s="0" t="n">
        <v>15</v>
      </c>
      <c r="D2244" s="0" t="n">
        <v>0</v>
      </c>
      <c r="E2244" s="0" t="n">
        <f aca="false">VLOOKUP(B2244,'MSA-Lookup'!$H$2:$I$86,2)</f>
        <v>7120</v>
      </c>
      <c r="F2244" s="0" t="n">
        <f aca="false">IF(C2244&gt;1,IF(C2244&lt;99,VLOOKUP(C2244,'MSA-Lookup'!$H$1:$I$86,2),C2244),C2244)</f>
        <v>7360</v>
      </c>
      <c r="G2244" s="0" t="n">
        <f aca="false">VLOOKUP(E2244,'MSA-Lookup'!$AA$1:$AB$25,2)</f>
        <v>7120</v>
      </c>
      <c r="H2244" s="0" t="n">
        <f aca="false">IF(C2244&gt;1,IF(C2244&lt;99,VLOOKUP(F2244,'MSA-Lookup'!$AA$1:$AB$25,2),C2244),C2244)</f>
        <v>7362</v>
      </c>
    </row>
    <row r="2245" customFormat="false" ht="12.75" hidden="false" customHeight="false" outlineLevel="0" collapsed="false">
      <c r="A2245" s="0" t="n">
        <f aca="false">B2245*1000+C2245</f>
        <v>38016</v>
      </c>
      <c r="B2245" s="0" t="n">
        <v>38</v>
      </c>
      <c r="C2245" s="0" t="n">
        <v>16</v>
      </c>
      <c r="D2245" s="0" t="n">
        <v>0</v>
      </c>
      <c r="E2245" s="0" t="n">
        <f aca="false">VLOOKUP(B2245,'MSA-Lookup'!$H$2:$I$86,2)</f>
        <v>7120</v>
      </c>
      <c r="F2245" s="0" t="n">
        <f aca="false">IF(C2245&gt;1,IF(C2245&lt;99,VLOOKUP(C2245,'MSA-Lookup'!$H$1:$I$86,2),C2245),C2245)</f>
        <v>8720</v>
      </c>
      <c r="G2245" s="0" t="n">
        <f aca="false">VLOOKUP(E2245,'MSA-Lookup'!$AA$1:$AB$25,2)</f>
        <v>7120</v>
      </c>
      <c r="H2245" s="0" t="n">
        <f aca="false">IF(C2245&gt;1,IF(C2245&lt;99,VLOOKUP(F2245,'MSA-Lookup'!$AA$1:$AB$25,2),C2245),C2245)</f>
        <v>7362</v>
      </c>
    </row>
    <row r="2246" customFormat="false" ht="12.75" hidden="false" customHeight="false" outlineLevel="0" collapsed="false">
      <c r="A2246" s="0" t="n">
        <f aca="false">B2246*1000+C2246</f>
        <v>38017</v>
      </c>
      <c r="B2246" s="0" t="n">
        <v>38</v>
      </c>
      <c r="C2246" s="0" t="n">
        <v>17</v>
      </c>
      <c r="D2246" s="0" t="n">
        <v>0</v>
      </c>
      <c r="E2246" s="0" t="n">
        <f aca="false">VLOOKUP(B2246,'MSA-Lookup'!$H$2:$I$86,2)</f>
        <v>7120</v>
      </c>
      <c r="F2246" s="0" t="n">
        <f aca="false">IF(C2246&gt;1,IF(C2246&lt;99,VLOOKUP(C2246,'MSA-Lookup'!$H$1:$I$86,2),C2246),C2246)</f>
        <v>5775</v>
      </c>
      <c r="G2246" s="0" t="n">
        <f aca="false">VLOOKUP(E2246,'MSA-Lookup'!$AA$1:$AB$25,2)</f>
        <v>7120</v>
      </c>
      <c r="H2246" s="0" t="n">
        <f aca="false">IF(C2246&gt;1,IF(C2246&lt;99,VLOOKUP(F2246,'MSA-Lookup'!$AA$1:$AB$25,2),C2246),C2246)</f>
        <v>7362</v>
      </c>
    </row>
    <row r="2247" customFormat="false" ht="12.75" hidden="false" customHeight="false" outlineLevel="0" collapsed="false">
      <c r="A2247" s="0" t="n">
        <f aca="false">B2247*1000+C2247</f>
        <v>38018</v>
      </c>
      <c r="B2247" s="0" t="n">
        <v>38</v>
      </c>
      <c r="C2247" s="0" t="n">
        <v>18</v>
      </c>
      <c r="D2247" s="0" t="n">
        <v>0</v>
      </c>
      <c r="E2247" s="0" t="n">
        <f aca="false">VLOOKUP(B2247,'MSA-Lookup'!$H$2:$I$86,2)</f>
        <v>7120</v>
      </c>
      <c r="F2247" s="0" t="n">
        <f aca="false">IF(C2247&gt;1,IF(C2247&lt;99,VLOOKUP(C2247,'MSA-Lookup'!$H$1:$I$86,2),C2247),C2247)</f>
        <v>5775</v>
      </c>
      <c r="G2247" s="0" t="n">
        <f aca="false">VLOOKUP(E2247,'MSA-Lookup'!$AA$1:$AB$25,2)</f>
        <v>7120</v>
      </c>
      <c r="H2247" s="0" t="n">
        <f aca="false">IF(C2247&gt;1,IF(C2247&lt;99,VLOOKUP(F2247,'MSA-Lookup'!$AA$1:$AB$25,2),C2247),C2247)</f>
        <v>7362</v>
      </c>
    </row>
    <row r="2248" customFormat="false" ht="12.75" hidden="false" customHeight="false" outlineLevel="0" collapsed="false">
      <c r="A2248" s="0" t="n">
        <f aca="false">B2248*1000+C2248</f>
        <v>38019</v>
      </c>
      <c r="B2248" s="0" t="n">
        <v>38</v>
      </c>
      <c r="C2248" s="0" t="n">
        <v>19</v>
      </c>
      <c r="D2248" s="0" t="n">
        <v>0</v>
      </c>
      <c r="E2248" s="0" t="n">
        <f aca="false">VLOOKUP(B2248,'MSA-Lookup'!$H$2:$I$86,2)</f>
        <v>7120</v>
      </c>
      <c r="F2248" s="0" t="n">
        <f aca="false">IF(C2248&gt;1,IF(C2248&lt;99,VLOOKUP(C2248,'MSA-Lookup'!$H$1:$I$86,2),C2248),C2248)</f>
        <v>7360</v>
      </c>
      <c r="G2248" s="0" t="n">
        <f aca="false">VLOOKUP(E2248,'MSA-Lookup'!$AA$1:$AB$25,2)</f>
        <v>7120</v>
      </c>
      <c r="H2248" s="0" t="n">
        <f aca="false">IF(C2248&gt;1,IF(C2248&lt;99,VLOOKUP(F2248,'MSA-Lookup'!$AA$1:$AB$25,2),C2248),C2248)</f>
        <v>7362</v>
      </c>
    </row>
    <row r="2249" customFormat="false" ht="12.75" hidden="false" customHeight="false" outlineLevel="0" collapsed="false">
      <c r="A2249" s="0" t="n">
        <f aca="false">B2249*1000+C2249</f>
        <v>38020</v>
      </c>
      <c r="B2249" s="0" t="n">
        <v>38</v>
      </c>
      <c r="C2249" s="0" t="n">
        <v>20</v>
      </c>
      <c r="D2249" s="0" t="n">
        <v>0</v>
      </c>
      <c r="E2249" s="0" t="n">
        <f aca="false">VLOOKUP(B2249,'MSA-Lookup'!$H$2:$I$86,2)</f>
        <v>7120</v>
      </c>
      <c r="F2249" s="0" t="n">
        <f aca="false">IF(C2249&gt;1,IF(C2249&lt;99,VLOOKUP(C2249,'MSA-Lookup'!$H$1:$I$86,2),C2249),C2249)</f>
        <v>5775</v>
      </c>
      <c r="G2249" s="0" t="n">
        <f aca="false">VLOOKUP(E2249,'MSA-Lookup'!$AA$1:$AB$25,2)</f>
        <v>7120</v>
      </c>
      <c r="H2249" s="0" t="n">
        <f aca="false">IF(C2249&gt;1,IF(C2249&lt;99,VLOOKUP(F2249,'MSA-Lookup'!$AA$1:$AB$25,2),C2249),C2249)</f>
        <v>7362</v>
      </c>
    </row>
    <row r="2250" customFormat="false" ht="12.75" hidden="false" customHeight="false" outlineLevel="0" collapsed="false">
      <c r="A2250" s="0" t="n">
        <f aca="false">B2250*1000+C2250</f>
        <v>38021</v>
      </c>
      <c r="B2250" s="0" t="n">
        <v>38</v>
      </c>
      <c r="C2250" s="0" t="n">
        <v>21</v>
      </c>
      <c r="D2250" s="0" t="n">
        <v>0</v>
      </c>
      <c r="E2250" s="0" t="n">
        <f aca="false">VLOOKUP(B2250,'MSA-Lookup'!$H$2:$I$86,2)</f>
        <v>7120</v>
      </c>
      <c r="F2250" s="0" t="n">
        <f aca="false">IF(C2250&gt;1,IF(C2250&lt;99,VLOOKUP(C2250,'MSA-Lookup'!$H$1:$I$86,2),C2250),C2250)</f>
        <v>5775</v>
      </c>
      <c r="G2250" s="0" t="n">
        <f aca="false">VLOOKUP(E2250,'MSA-Lookup'!$AA$1:$AB$25,2)</f>
        <v>7120</v>
      </c>
      <c r="H2250" s="0" t="n">
        <f aca="false">IF(C2250&gt;1,IF(C2250&lt;99,VLOOKUP(F2250,'MSA-Lookup'!$AA$1:$AB$25,2),C2250),C2250)</f>
        <v>7362</v>
      </c>
    </row>
    <row r="2251" customFormat="false" ht="12.75" hidden="false" customHeight="false" outlineLevel="0" collapsed="false">
      <c r="A2251" s="0" t="n">
        <f aca="false">B2251*1000+C2251</f>
        <v>38022</v>
      </c>
      <c r="B2251" s="0" t="n">
        <v>38</v>
      </c>
      <c r="C2251" s="0" t="n">
        <v>22</v>
      </c>
      <c r="D2251" s="0" t="n">
        <v>0</v>
      </c>
      <c r="E2251" s="0" t="n">
        <f aca="false">VLOOKUP(B2251,'MSA-Lookup'!$H$2:$I$86,2)</f>
        <v>7120</v>
      </c>
      <c r="F2251" s="0" t="n">
        <f aca="false">IF(C2251&gt;1,IF(C2251&lt;99,VLOOKUP(C2251,'MSA-Lookup'!$H$1:$I$86,2),C2251),C2251)</f>
        <v>7360</v>
      </c>
      <c r="G2251" s="0" t="n">
        <f aca="false">VLOOKUP(E2251,'MSA-Lookup'!$AA$1:$AB$25,2)</f>
        <v>7120</v>
      </c>
      <c r="H2251" s="0" t="n">
        <f aca="false">IF(C2251&gt;1,IF(C2251&lt;99,VLOOKUP(F2251,'MSA-Lookup'!$AA$1:$AB$25,2),C2251),C2251)</f>
        <v>7362</v>
      </c>
    </row>
    <row r="2252" customFormat="false" ht="12.75" hidden="false" customHeight="false" outlineLevel="0" collapsed="false">
      <c r="A2252" s="0" t="n">
        <f aca="false">B2252*1000+C2252</f>
        <v>38023</v>
      </c>
      <c r="B2252" s="0" t="n">
        <v>38</v>
      </c>
      <c r="C2252" s="0" t="n">
        <v>23</v>
      </c>
      <c r="D2252" s="0" t="n">
        <v>0</v>
      </c>
      <c r="E2252" s="0" t="n">
        <f aca="false">VLOOKUP(B2252,'MSA-Lookup'!$H$2:$I$86,2)</f>
        <v>7120</v>
      </c>
      <c r="F2252" s="0" t="n">
        <f aca="false">IF(C2252&gt;1,IF(C2252&lt;99,VLOOKUP(C2252,'MSA-Lookup'!$H$1:$I$86,2),C2252),C2252)</f>
        <v>8120</v>
      </c>
      <c r="G2252" s="0" t="n">
        <f aca="false">VLOOKUP(E2252,'MSA-Lookup'!$AA$1:$AB$25,2)</f>
        <v>7120</v>
      </c>
      <c r="H2252" s="0" t="n">
        <f aca="false">IF(C2252&gt;1,IF(C2252&lt;99,VLOOKUP(F2252,'MSA-Lookup'!$AA$1:$AB$25,2),C2252),C2252)</f>
        <v>8120</v>
      </c>
    </row>
    <row r="2253" customFormat="false" ht="12.75" hidden="false" customHeight="false" outlineLevel="0" collapsed="false">
      <c r="A2253" s="0" t="n">
        <f aca="false">B2253*1000+C2253</f>
        <v>38024</v>
      </c>
      <c r="B2253" s="0" t="n">
        <v>38</v>
      </c>
      <c r="C2253" s="0" t="n">
        <v>24</v>
      </c>
      <c r="D2253" s="0" t="n">
        <v>0</v>
      </c>
      <c r="E2253" s="0" t="n">
        <f aca="false">VLOOKUP(B2253,'MSA-Lookup'!$H$2:$I$86,2)</f>
        <v>7120</v>
      </c>
      <c r="F2253" s="0" t="n">
        <f aca="false">IF(C2253&gt;1,IF(C2253&lt;99,VLOOKUP(C2253,'MSA-Lookup'!$H$1:$I$86,2),C2253),C2253)</f>
        <v>5170</v>
      </c>
      <c r="G2253" s="0" t="n">
        <f aca="false">VLOOKUP(E2253,'MSA-Lookup'!$AA$1:$AB$25,2)</f>
        <v>7120</v>
      </c>
      <c r="H2253" s="0" t="n">
        <f aca="false">IF(C2253&gt;1,IF(C2253&lt;99,VLOOKUP(F2253,'MSA-Lookup'!$AA$1:$AB$25,2),C2253),C2253)</f>
        <v>5170</v>
      </c>
    </row>
    <row r="2254" customFormat="false" ht="12.75" hidden="false" customHeight="false" outlineLevel="0" collapsed="false">
      <c r="A2254" s="0" t="n">
        <f aca="false">B2254*1000+C2254</f>
        <v>38025</v>
      </c>
      <c r="B2254" s="0" t="n">
        <v>38</v>
      </c>
      <c r="C2254" s="0" t="n">
        <v>25</v>
      </c>
      <c r="D2254" s="0" t="n">
        <v>0</v>
      </c>
      <c r="E2254" s="0" t="n">
        <f aca="false">VLOOKUP(B2254,'MSA-Lookup'!$H$2:$I$86,2)</f>
        <v>7120</v>
      </c>
      <c r="F2254" s="0" t="n">
        <f aca="false">IF(C2254&gt;1,IF(C2254&lt;99,VLOOKUP(C2254,'MSA-Lookup'!$H$1:$I$86,2),C2254),C2254)</f>
        <v>5170</v>
      </c>
      <c r="G2254" s="0" t="n">
        <f aca="false">VLOOKUP(E2254,'MSA-Lookup'!$AA$1:$AB$25,2)</f>
        <v>7120</v>
      </c>
      <c r="H2254" s="0" t="n">
        <f aca="false">IF(C2254&gt;1,IF(C2254&lt;99,VLOOKUP(F2254,'MSA-Lookup'!$AA$1:$AB$25,2),C2254),C2254)</f>
        <v>5170</v>
      </c>
    </row>
    <row r="2255" customFormat="false" ht="12.75" hidden="false" customHeight="false" outlineLevel="0" collapsed="false">
      <c r="A2255" s="0" t="n">
        <f aca="false">B2255*1000+C2255</f>
        <v>38026</v>
      </c>
      <c r="B2255" s="0" t="n">
        <v>38</v>
      </c>
      <c r="C2255" s="0" t="n">
        <v>26</v>
      </c>
      <c r="D2255" s="0" t="n">
        <v>0</v>
      </c>
      <c r="E2255" s="0" t="n">
        <f aca="false">VLOOKUP(B2255,'MSA-Lookup'!$H$2:$I$86,2)</f>
        <v>7120</v>
      </c>
      <c r="F2255" s="0" t="n">
        <f aca="false">IF(C2255&gt;1,IF(C2255&lt;99,VLOOKUP(C2255,'MSA-Lookup'!$H$1:$I$86,2),C2255),C2255)</f>
        <v>9999</v>
      </c>
      <c r="G2255" s="0" t="n">
        <f aca="false">VLOOKUP(E2255,'MSA-Lookup'!$AA$1:$AB$25,2)</f>
        <v>7120</v>
      </c>
      <c r="H2255" s="0" t="n">
        <f aca="false">IF(C2255&gt;1,IF(C2255&lt;99,VLOOKUP(F2255,'MSA-Lookup'!$AA$1:$AB$25,2),C2255),C2255)</f>
        <v>9999</v>
      </c>
    </row>
    <row r="2256" customFormat="false" ht="12.75" hidden="false" customHeight="false" outlineLevel="0" collapsed="false">
      <c r="A2256" s="0" t="n">
        <f aca="false">B2256*1000+C2256</f>
        <v>38027</v>
      </c>
      <c r="B2256" s="0" t="n">
        <v>38</v>
      </c>
      <c r="C2256" s="0" t="n">
        <v>27</v>
      </c>
      <c r="D2256" s="0" t="n">
        <v>143</v>
      </c>
      <c r="E2256" s="0" t="n">
        <f aca="false">VLOOKUP(B2256,'MSA-Lookup'!$H$2:$I$86,2)</f>
        <v>7120</v>
      </c>
      <c r="F2256" s="0" t="n">
        <f aca="false">IF(C2256&gt;1,IF(C2256&lt;99,VLOOKUP(C2256,'MSA-Lookup'!$H$1:$I$86,2),C2256),C2256)</f>
        <v>9999</v>
      </c>
      <c r="G2256" s="0" t="n">
        <f aca="false">VLOOKUP(E2256,'MSA-Lookup'!$AA$1:$AB$25,2)</f>
        <v>7120</v>
      </c>
      <c r="H2256" s="0" t="n">
        <f aca="false">IF(C2256&gt;1,IF(C2256&lt;99,VLOOKUP(F2256,'MSA-Lookup'!$AA$1:$AB$25,2),C2256),C2256)</f>
        <v>9999</v>
      </c>
    </row>
    <row r="2257" customFormat="false" ht="12.75" hidden="false" customHeight="false" outlineLevel="0" collapsed="false">
      <c r="A2257" s="0" t="n">
        <f aca="false">B2257*1000+C2257</f>
        <v>38028</v>
      </c>
      <c r="B2257" s="0" t="n">
        <v>38</v>
      </c>
      <c r="C2257" s="0" t="n">
        <v>28</v>
      </c>
      <c r="D2257" s="0" t="n">
        <v>0</v>
      </c>
      <c r="E2257" s="0" t="n">
        <f aca="false">VLOOKUP(B2257,'MSA-Lookup'!$H$2:$I$86,2)</f>
        <v>7120</v>
      </c>
      <c r="F2257" s="0" t="n">
        <f aca="false">IF(C2257&gt;1,IF(C2257&lt;99,VLOOKUP(C2257,'MSA-Lookup'!$H$1:$I$86,2),C2257),C2257)</f>
        <v>6920</v>
      </c>
      <c r="G2257" s="0" t="n">
        <f aca="false">VLOOKUP(E2257,'MSA-Lookup'!$AA$1:$AB$25,2)</f>
        <v>7120</v>
      </c>
      <c r="H2257" s="0" t="n">
        <f aca="false">IF(C2257&gt;1,IF(C2257&lt;99,VLOOKUP(F2257,'MSA-Lookup'!$AA$1:$AB$25,2),C2257),C2257)</f>
        <v>6920</v>
      </c>
    </row>
    <row r="2258" customFormat="false" ht="12.75" hidden="false" customHeight="false" outlineLevel="0" collapsed="false">
      <c r="A2258" s="0" t="n">
        <f aca="false">B2258*1000+C2258</f>
        <v>38029</v>
      </c>
      <c r="B2258" s="0" t="n">
        <v>38</v>
      </c>
      <c r="C2258" s="0" t="n">
        <v>29</v>
      </c>
      <c r="D2258" s="0" t="n">
        <v>0</v>
      </c>
      <c r="E2258" s="0" t="n">
        <f aca="false">VLOOKUP(B2258,'MSA-Lookup'!$H$2:$I$86,2)</f>
        <v>7120</v>
      </c>
      <c r="F2258" s="0" t="n">
        <f aca="false">IF(C2258&gt;1,IF(C2258&lt;99,VLOOKUP(C2258,'MSA-Lookup'!$H$1:$I$86,2),C2258),C2258)</f>
        <v>6920</v>
      </c>
      <c r="G2258" s="0" t="n">
        <f aca="false">VLOOKUP(E2258,'MSA-Lookup'!$AA$1:$AB$25,2)</f>
        <v>7120</v>
      </c>
      <c r="H2258" s="0" t="n">
        <f aca="false">IF(C2258&gt;1,IF(C2258&lt;99,VLOOKUP(F2258,'MSA-Lookup'!$AA$1:$AB$25,2),C2258),C2258)</f>
        <v>6920</v>
      </c>
    </row>
    <row r="2259" customFormat="false" ht="12.75" hidden="false" customHeight="false" outlineLevel="0" collapsed="false">
      <c r="A2259" s="0" t="n">
        <f aca="false">B2259*1000+C2259</f>
        <v>38030</v>
      </c>
      <c r="B2259" s="0" t="n">
        <v>38</v>
      </c>
      <c r="C2259" s="0" t="n">
        <v>30</v>
      </c>
      <c r="D2259" s="0" t="n">
        <v>0</v>
      </c>
      <c r="E2259" s="0" t="n">
        <f aca="false">VLOOKUP(B2259,'MSA-Lookup'!$H$2:$I$86,2)</f>
        <v>7120</v>
      </c>
      <c r="F2259" s="0" t="n">
        <f aca="false">IF(C2259&gt;1,IF(C2259&lt;99,VLOOKUP(C2259,'MSA-Lookup'!$H$1:$I$86,2),C2259),C2259)</f>
        <v>4940</v>
      </c>
      <c r="G2259" s="0" t="n">
        <f aca="false">VLOOKUP(E2259,'MSA-Lookup'!$AA$1:$AB$25,2)</f>
        <v>7120</v>
      </c>
      <c r="H2259" s="0" t="n">
        <f aca="false">IF(C2259&gt;1,IF(C2259&lt;99,VLOOKUP(F2259,'MSA-Lookup'!$AA$1:$AB$25,2),C2259),C2259)</f>
        <v>4940</v>
      </c>
    </row>
    <row r="2260" customFormat="false" ht="12.75" hidden="false" customHeight="false" outlineLevel="0" collapsed="false">
      <c r="A2260" s="0" t="n">
        <f aca="false">B2260*1000+C2260</f>
        <v>38031</v>
      </c>
      <c r="B2260" s="0" t="n">
        <v>38</v>
      </c>
      <c r="C2260" s="0" t="n">
        <v>31</v>
      </c>
      <c r="D2260" s="0" t="n">
        <v>0</v>
      </c>
      <c r="E2260" s="0" t="n">
        <f aca="false">VLOOKUP(B2260,'MSA-Lookup'!$H$2:$I$86,2)</f>
        <v>7120</v>
      </c>
      <c r="F2260" s="0" t="n">
        <f aca="false">IF(C2260&gt;1,IF(C2260&lt;99,VLOOKUP(C2260,'MSA-Lookup'!$H$1:$I$86,2),C2260),C2260)</f>
        <v>9999</v>
      </c>
      <c r="G2260" s="0" t="n">
        <f aca="false">VLOOKUP(E2260,'MSA-Lookup'!$AA$1:$AB$25,2)</f>
        <v>7120</v>
      </c>
      <c r="H2260" s="0" t="n">
        <f aca="false">IF(C2260&gt;1,IF(C2260&lt;99,VLOOKUP(F2260,'MSA-Lookup'!$AA$1:$AB$25,2),C2260),C2260)</f>
        <v>9999</v>
      </c>
    </row>
    <row r="2261" customFormat="false" ht="12.75" hidden="false" customHeight="false" outlineLevel="0" collapsed="false">
      <c r="A2261" s="0" t="n">
        <f aca="false">B2261*1000+C2261</f>
        <v>38032</v>
      </c>
      <c r="B2261" s="0" t="n">
        <v>38</v>
      </c>
      <c r="C2261" s="0" t="n">
        <v>32</v>
      </c>
      <c r="D2261" s="0" t="n">
        <v>65</v>
      </c>
      <c r="E2261" s="0" t="n">
        <f aca="false">VLOOKUP(B2261,'MSA-Lookup'!$H$2:$I$86,2)</f>
        <v>7120</v>
      </c>
      <c r="F2261" s="0" t="n">
        <f aca="false">IF(C2261&gt;1,IF(C2261&lt;99,VLOOKUP(C2261,'MSA-Lookup'!$H$1:$I$86,2),C2261),C2261)</f>
        <v>7480</v>
      </c>
      <c r="G2261" s="0" t="n">
        <f aca="false">VLOOKUP(E2261,'MSA-Lookup'!$AA$1:$AB$25,2)</f>
        <v>7120</v>
      </c>
      <c r="H2261" s="0" t="n">
        <f aca="false">IF(C2261&gt;1,IF(C2261&lt;99,VLOOKUP(F2261,'MSA-Lookup'!$AA$1:$AB$25,2),C2261),C2261)</f>
        <v>7480</v>
      </c>
    </row>
    <row r="2262" customFormat="false" ht="12.75" hidden="false" customHeight="false" outlineLevel="0" collapsed="false">
      <c r="A2262" s="0" t="n">
        <f aca="false">B2262*1000+C2262</f>
        <v>38033</v>
      </c>
      <c r="B2262" s="0" t="n">
        <v>38</v>
      </c>
      <c r="C2262" s="0" t="n">
        <v>33</v>
      </c>
      <c r="D2262" s="0" t="n">
        <v>0</v>
      </c>
      <c r="E2262" s="0" t="n">
        <f aca="false">VLOOKUP(B2262,'MSA-Lookup'!$H$2:$I$86,2)</f>
        <v>7120</v>
      </c>
      <c r="F2262" s="0" t="n">
        <f aca="false">IF(C2262&gt;1,IF(C2262&lt;99,VLOOKUP(C2262,'MSA-Lookup'!$H$1:$I$86,2),C2262),C2262)</f>
        <v>7320</v>
      </c>
      <c r="G2262" s="0" t="n">
        <f aca="false">VLOOKUP(E2262,'MSA-Lookup'!$AA$1:$AB$25,2)</f>
        <v>7120</v>
      </c>
      <c r="H2262" s="0" t="n">
        <f aca="false">IF(C2262&gt;1,IF(C2262&lt;99,VLOOKUP(F2262,'MSA-Lookup'!$AA$1:$AB$25,2),C2262),C2262)</f>
        <v>7320</v>
      </c>
    </row>
    <row r="2263" customFormat="false" ht="12.75" hidden="false" customHeight="false" outlineLevel="0" collapsed="false">
      <c r="A2263" s="0" t="n">
        <f aca="false">B2263*1000+C2263</f>
        <v>38034</v>
      </c>
      <c r="B2263" s="0" t="n">
        <v>38</v>
      </c>
      <c r="C2263" s="0" t="n">
        <v>34</v>
      </c>
      <c r="D2263" s="0" t="n">
        <v>0</v>
      </c>
      <c r="E2263" s="0" t="n">
        <f aca="false">VLOOKUP(B2263,'MSA-Lookup'!$H$2:$I$86,2)</f>
        <v>7120</v>
      </c>
      <c r="F2263" s="0" t="n">
        <f aca="false">IF(C2263&gt;1,IF(C2263&lt;99,VLOOKUP(C2263,'MSA-Lookup'!$H$1:$I$86,2),C2263),C2263)</f>
        <v>7320</v>
      </c>
      <c r="G2263" s="0" t="n">
        <f aca="false">VLOOKUP(E2263,'MSA-Lookup'!$AA$1:$AB$25,2)</f>
        <v>7120</v>
      </c>
      <c r="H2263" s="0" t="n">
        <f aca="false">IF(C2263&gt;1,IF(C2263&lt;99,VLOOKUP(F2263,'MSA-Lookup'!$AA$1:$AB$25,2),C2263),C2263)</f>
        <v>7320</v>
      </c>
    </row>
    <row r="2264" customFormat="false" ht="12.75" hidden="false" customHeight="false" outlineLevel="0" collapsed="false">
      <c r="A2264" s="0" t="n">
        <f aca="false">B2264*1000+C2264</f>
        <v>38035</v>
      </c>
      <c r="B2264" s="0" t="n">
        <v>38</v>
      </c>
      <c r="C2264" s="0" t="n">
        <v>35</v>
      </c>
      <c r="D2264" s="0" t="n">
        <v>0</v>
      </c>
      <c r="E2264" s="0" t="n">
        <f aca="false">VLOOKUP(B2264,'MSA-Lookup'!$H$2:$I$86,2)</f>
        <v>7120</v>
      </c>
      <c r="F2264" s="0" t="n">
        <f aca="false">IF(C2264&gt;1,IF(C2264&lt;99,VLOOKUP(C2264,'MSA-Lookup'!$H$1:$I$86,2),C2264),C2264)</f>
        <v>7320</v>
      </c>
      <c r="G2264" s="0" t="n">
        <f aca="false">VLOOKUP(E2264,'MSA-Lookup'!$AA$1:$AB$25,2)</f>
        <v>7120</v>
      </c>
      <c r="H2264" s="0" t="n">
        <f aca="false">IF(C2264&gt;1,IF(C2264&lt;99,VLOOKUP(F2264,'MSA-Lookup'!$AA$1:$AB$25,2),C2264),C2264)</f>
        <v>7320</v>
      </c>
    </row>
    <row r="2265" customFormat="false" ht="12.75" hidden="false" customHeight="false" outlineLevel="0" collapsed="false">
      <c r="A2265" s="0" t="n">
        <f aca="false">B2265*1000+C2265</f>
        <v>38036</v>
      </c>
      <c r="B2265" s="0" t="n">
        <v>38</v>
      </c>
      <c r="C2265" s="0" t="n">
        <v>36</v>
      </c>
      <c r="D2265" s="0" t="n">
        <v>0</v>
      </c>
      <c r="E2265" s="0" t="n">
        <f aca="false">VLOOKUP(B2265,'MSA-Lookup'!$H$2:$I$86,2)</f>
        <v>7120</v>
      </c>
      <c r="F2265" s="0" t="n">
        <f aca="false">IF(C2265&gt;1,IF(C2265&lt;99,VLOOKUP(C2265,'MSA-Lookup'!$H$1:$I$86,2),C2265),C2265)</f>
        <v>7320</v>
      </c>
      <c r="G2265" s="0" t="n">
        <f aca="false">VLOOKUP(E2265,'MSA-Lookup'!$AA$1:$AB$25,2)</f>
        <v>7120</v>
      </c>
      <c r="H2265" s="0" t="n">
        <f aca="false">IF(C2265&gt;1,IF(C2265&lt;99,VLOOKUP(F2265,'MSA-Lookup'!$AA$1:$AB$25,2),C2265),C2265)</f>
        <v>7320</v>
      </c>
    </row>
    <row r="2266" customFormat="false" ht="12.75" hidden="false" customHeight="false" outlineLevel="0" collapsed="false">
      <c r="A2266" s="0" t="n">
        <f aca="false">B2266*1000+C2266</f>
        <v>38037</v>
      </c>
      <c r="B2266" s="0" t="n">
        <v>38</v>
      </c>
      <c r="C2266" s="0" t="n">
        <v>37</v>
      </c>
      <c r="D2266" s="0" t="n">
        <v>0</v>
      </c>
      <c r="E2266" s="0" t="n">
        <f aca="false">VLOOKUP(B2266,'MSA-Lookup'!$H$2:$I$86,2)</f>
        <v>7120</v>
      </c>
      <c r="F2266" s="0" t="n">
        <f aca="false">IF(C2266&gt;1,IF(C2266&lt;99,VLOOKUP(C2266,'MSA-Lookup'!$H$1:$I$86,2),C2266),C2266)</f>
        <v>7320</v>
      </c>
      <c r="G2266" s="0" t="n">
        <f aca="false">VLOOKUP(E2266,'MSA-Lookup'!$AA$1:$AB$25,2)</f>
        <v>7120</v>
      </c>
      <c r="H2266" s="0" t="n">
        <f aca="false">IF(C2266&gt;1,IF(C2266&lt;99,VLOOKUP(F2266,'MSA-Lookup'!$AA$1:$AB$25,2),C2266),C2266)</f>
        <v>7320</v>
      </c>
    </row>
    <row r="2267" customFormat="false" ht="12.75" hidden="false" customHeight="false" outlineLevel="0" collapsed="false">
      <c r="A2267" s="0" t="n">
        <f aca="false">B2267*1000+C2267</f>
        <v>38038</v>
      </c>
      <c r="B2267" s="0" t="n">
        <v>38</v>
      </c>
      <c r="C2267" s="0" t="n">
        <v>38</v>
      </c>
      <c r="D2267" s="0" t="n">
        <v>30706</v>
      </c>
      <c r="E2267" s="0" t="n">
        <f aca="false">VLOOKUP(B2267,'MSA-Lookup'!$H$2:$I$86,2)</f>
        <v>7120</v>
      </c>
      <c r="F2267" s="0" t="n">
        <f aca="false">IF(C2267&gt;1,IF(C2267&lt;99,VLOOKUP(C2267,'MSA-Lookup'!$H$1:$I$86,2),C2267),C2267)</f>
        <v>7120</v>
      </c>
      <c r="G2267" s="0" t="n">
        <f aca="false">VLOOKUP(E2267,'MSA-Lookup'!$AA$1:$AB$25,2)</f>
        <v>7120</v>
      </c>
      <c r="H2267" s="0" t="n">
        <f aca="false">IF(C2267&gt;1,IF(C2267&lt;99,VLOOKUP(F2267,'MSA-Lookup'!$AA$1:$AB$25,2),C2267),C2267)</f>
        <v>7120</v>
      </c>
    </row>
    <row r="2268" customFormat="false" ht="12.75" hidden="false" customHeight="false" outlineLevel="0" collapsed="false">
      <c r="A2268" s="0" t="n">
        <f aca="false">B2268*1000+C2268</f>
        <v>38039</v>
      </c>
      <c r="B2268" s="0" t="n">
        <v>38</v>
      </c>
      <c r="C2268" s="0" t="n">
        <v>39</v>
      </c>
      <c r="D2268" s="0" t="n">
        <v>12662</v>
      </c>
      <c r="E2268" s="0" t="n">
        <f aca="false">VLOOKUP(B2268,'MSA-Lookup'!$H$2:$I$86,2)</f>
        <v>7120</v>
      </c>
      <c r="F2268" s="0" t="n">
        <f aca="false">IF(C2268&gt;1,IF(C2268&lt;99,VLOOKUP(C2268,'MSA-Lookup'!$H$1:$I$86,2),C2268),C2268)</f>
        <v>7120</v>
      </c>
      <c r="G2268" s="0" t="n">
        <f aca="false">VLOOKUP(E2268,'MSA-Lookup'!$AA$1:$AB$25,2)</f>
        <v>7120</v>
      </c>
      <c r="H2268" s="0" t="n">
        <f aca="false">IF(C2268&gt;1,IF(C2268&lt;99,VLOOKUP(F2268,'MSA-Lookup'!$AA$1:$AB$25,2),C2268),C2268)</f>
        <v>7120</v>
      </c>
    </row>
    <row r="2269" customFormat="false" ht="12.75" hidden="false" customHeight="false" outlineLevel="0" collapsed="false">
      <c r="A2269" s="0" t="n">
        <f aca="false">B2269*1000+C2269</f>
        <v>38040</v>
      </c>
      <c r="B2269" s="0" t="n">
        <v>38</v>
      </c>
      <c r="C2269" s="0" t="n">
        <v>40</v>
      </c>
      <c r="D2269" s="0" t="n">
        <v>0</v>
      </c>
      <c r="E2269" s="0" t="n">
        <f aca="false">VLOOKUP(B2269,'MSA-Lookup'!$H$2:$I$86,2)</f>
        <v>7120</v>
      </c>
      <c r="F2269" s="0" t="n">
        <f aca="false">IF(C2269&gt;1,IF(C2269&lt;99,VLOOKUP(C2269,'MSA-Lookup'!$H$1:$I$86,2),C2269),C2269)</f>
        <v>2840</v>
      </c>
      <c r="G2269" s="0" t="n">
        <f aca="false">VLOOKUP(E2269,'MSA-Lookup'!$AA$1:$AB$25,2)</f>
        <v>7120</v>
      </c>
      <c r="H2269" s="0" t="n">
        <f aca="false">IF(C2269&gt;1,IF(C2269&lt;99,VLOOKUP(F2269,'MSA-Lookup'!$AA$1:$AB$25,2),C2269),C2269)</f>
        <v>2840</v>
      </c>
    </row>
    <row r="2270" customFormat="false" ht="12.75" hidden="false" customHeight="false" outlineLevel="0" collapsed="false">
      <c r="A2270" s="0" t="n">
        <f aca="false">B2270*1000+C2270</f>
        <v>38041</v>
      </c>
      <c r="B2270" s="0" t="n">
        <v>38</v>
      </c>
      <c r="C2270" s="0" t="n">
        <v>41</v>
      </c>
      <c r="D2270" s="0" t="n">
        <v>91</v>
      </c>
      <c r="E2270" s="0" t="n">
        <f aca="false">VLOOKUP(B2270,'MSA-Lookup'!$H$2:$I$86,2)</f>
        <v>7120</v>
      </c>
      <c r="F2270" s="0" t="n">
        <f aca="false">IF(C2270&gt;1,IF(C2270&lt;99,VLOOKUP(C2270,'MSA-Lookup'!$H$1:$I$86,2),C2270),C2270)</f>
        <v>2840</v>
      </c>
      <c r="G2270" s="0" t="n">
        <f aca="false">VLOOKUP(E2270,'MSA-Lookup'!$AA$1:$AB$25,2)</f>
        <v>7120</v>
      </c>
      <c r="H2270" s="0" t="n">
        <f aca="false">IF(C2270&gt;1,IF(C2270&lt;99,VLOOKUP(F2270,'MSA-Lookup'!$AA$1:$AB$25,2),C2270),C2270)</f>
        <v>2840</v>
      </c>
    </row>
    <row r="2271" customFormat="false" ht="12.75" hidden="false" customHeight="false" outlineLevel="0" collapsed="false">
      <c r="A2271" s="0" t="n">
        <f aca="false">B2271*1000+C2271</f>
        <v>38042</v>
      </c>
      <c r="B2271" s="0" t="n">
        <v>38</v>
      </c>
      <c r="C2271" s="0" t="n">
        <v>42</v>
      </c>
      <c r="D2271" s="0" t="n">
        <v>0</v>
      </c>
      <c r="E2271" s="0" t="n">
        <f aca="false">VLOOKUP(B2271,'MSA-Lookup'!$H$2:$I$86,2)</f>
        <v>7120</v>
      </c>
      <c r="F2271" s="0" t="n">
        <f aca="false">IF(C2271&gt;1,IF(C2271&lt;99,VLOOKUP(C2271,'MSA-Lookup'!$H$1:$I$86,2),C2271),C2271)</f>
        <v>360</v>
      </c>
      <c r="G2271" s="0" t="n">
        <f aca="false">VLOOKUP(E2271,'MSA-Lookup'!$AA$1:$AB$25,2)</f>
        <v>7120</v>
      </c>
      <c r="H2271" s="0" t="n">
        <f aca="false">IF(C2271&gt;1,IF(C2271&lt;99,VLOOKUP(F2271,'MSA-Lookup'!$AA$1:$AB$25,2),C2271),C2271)</f>
        <v>4472</v>
      </c>
    </row>
    <row r="2272" customFormat="false" ht="12.75" hidden="false" customHeight="false" outlineLevel="0" collapsed="false">
      <c r="A2272" s="0" t="n">
        <f aca="false">B2272*1000+C2272</f>
        <v>38043</v>
      </c>
      <c r="B2272" s="0" t="n">
        <v>38</v>
      </c>
      <c r="C2272" s="0" t="n">
        <v>43</v>
      </c>
      <c r="D2272" s="0" t="n">
        <v>0</v>
      </c>
      <c r="E2272" s="0" t="n">
        <f aca="false">VLOOKUP(B2272,'MSA-Lookup'!$H$2:$I$86,2)</f>
        <v>7120</v>
      </c>
      <c r="F2272" s="0" t="n">
        <f aca="false">IF(C2272&gt;1,IF(C2272&lt;99,VLOOKUP(C2272,'MSA-Lookup'!$H$1:$I$86,2),C2272),C2272)</f>
        <v>360</v>
      </c>
      <c r="G2272" s="0" t="n">
        <f aca="false">VLOOKUP(E2272,'MSA-Lookup'!$AA$1:$AB$25,2)</f>
        <v>7120</v>
      </c>
      <c r="H2272" s="0" t="n">
        <f aca="false">IF(C2272&gt;1,IF(C2272&lt;99,VLOOKUP(F2272,'MSA-Lookup'!$AA$1:$AB$25,2),C2272),C2272)</f>
        <v>4472</v>
      </c>
    </row>
    <row r="2273" customFormat="false" ht="12.75" hidden="false" customHeight="false" outlineLevel="0" collapsed="false">
      <c r="A2273" s="0" t="n">
        <f aca="false">B2273*1000+C2273</f>
        <v>38044</v>
      </c>
      <c r="B2273" s="0" t="n">
        <v>38</v>
      </c>
      <c r="C2273" s="0" t="n">
        <v>44</v>
      </c>
      <c r="D2273" s="0" t="n">
        <v>0</v>
      </c>
      <c r="E2273" s="0" t="n">
        <f aca="false">VLOOKUP(B2273,'MSA-Lookup'!$H$2:$I$86,2)</f>
        <v>7120</v>
      </c>
      <c r="F2273" s="0" t="n">
        <f aca="false">IF(C2273&gt;1,IF(C2273&lt;99,VLOOKUP(C2273,'MSA-Lookup'!$H$1:$I$86,2),C2273),C2273)</f>
        <v>360</v>
      </c>
      <c r="G2273" s="0" t="n">
        <f aca="false">VLOOKUP(E2273,'MSA-Lookup'!$AA$1:$AB$25,2)</f>
        <v>7120</v>
      </c>
      <c r="H2273" s="0" t="n">
        <f aca="false">IF(C2273&gt;1,IF(C2273&lt;99,VLOOKUP(F2273,'MSA-Lookup'!$AA$1:$AB$25,2),C2273),C2273)</f>
        <v>4472</v>
      </c>
    </row>
    <row r="2274" customFormat="false" ht="12.75" hidden="false" customHeight="false" outlineLevel="0" collapsed="false">
      <c r="A2274" s="0" t="n">
        <f aca="false">B2274*1000+C2274</f>
        <v>38045</v>
      </c>
      <c r="B2274" s="0" t="n">
        <v>38</v>
      </c>
      <c r="C2274" s="0" t="n">
        <v>45</v>
      </c>
      <c r="D2274" s="0" t="n">
        <v>0</v>
      </c>
      <c r="E2274" s="0" t="n">
        <f aca="false">VLOOKUP(B2274,'MSA-Lookup'!$H$2:$I$86,2)</f>
        <v>7120</v>
      </c>
      <c r="F2274" s="0" t="n">
        <f aca="false">IF(C2274&gt;1,IF(C2274&lt;99,VLOOKUP(C2274,'MSA-Lookup'!$H$1:$I$86,2),C2274),C2274)</f>
        <v>360</v>
      </c>
      <c r="G2274" s="0" t="n">
        <f aca="false">VLOOKUP(E2274,'MSA-Lookup'!$AA$1:$AB$25,2)</f>
        <v>7120</v>
      </c>
      <c r="H2274" s="0" t="n">
        <f aca="false">IF(C2274&gt;1,IF(C2274&lt;99,VLOOKUP(F2274,'MSA-Lookup'!$AA$1:$AB$25,2),C2274),C2274)</f>
        <v>4472</v>
      </c>
    </row>
    <row r="2275" customFormat="false" ht="12.75" hidden="false" customHeight="false" outlineLevel="0" collapsed="false">
      <c r="A2275" s="0" t="n">
        <f aca="false">B2275*1000+C2275</f>
        <v>38046</v>
      </c>
      <c r="B2275" s="0" t="n">
        <v>38</v>
      </c>
      <c r="C2275" s="0" t="n">
        <v>46</v>
      </c>
      <c r="D2275" s="0" t="n">
        <v>0</v>
      </c>
      <c r="E2275" s="0" t="n">
        <f aca="false">VLOOKUP(B2275,'MSA-Lookup'!$H$2:$I$86,2)</f>
        <v>7120</v>
      </c>
      <c r="F2275" s="0" t="n">
        <f aca="false">IF(C2275&gt;1,IF(C2275&lt;99,VLOOKUP(C2275,'MSA-Lookup'!$H$1:$I$86,2),C2275),C2275)</f>
        <v>360</v>
      </c>
      <c r="G2275" s="0" t="n">
        <f aca="false">VLOOKUP(E2275,'MSA-Lookup'!$AA$1:$AB$25,2)</f>
        <v>7120</v>
      </c>
      <c r="H2275" s="0" t="n">
        <f aca="false">IF(C2275&gt;1,IF(C2275&lt;99,VLOOKUP(F2275,'MSA-Lookup'!$AA$1:$AB$25,2),C2275),C2275)</f>
        <v>4472</v>
      </c>
    </row>
    <row r="2276" customFormat="false" ht="12.75" hidden="false" customHeight="false" outlineLevel="0" collapsed="false">
      <c r="A2276" s="0" t="n">
        <f aca="false">B2276*1000+C2276</f>
        <v>38047</v>
      </c>
      <c r="B2276" s="0" t="n">
        <v>38</v>
      </c>
      <c r="C2276" s="0" t="n">
        <v>47</v>
      </c>
      <c r="D2276" s="0" t="n">
        <v>0</v>
      </c>
      <c r="E2276" s="0" t="n">
        <f aca="false">VLOOKUP(B2276,'MSA-Lookup'!$H$2:$I$86,2)</f>
        <v>7120</v>
      </c>
      <c r="F2276" s="0" t="n">
        <f aca="false">IF(C2276&gt;1,IF(C2276&lt;99,VLOOKUP(C2276,'MSA-Lookup'!$H$1:$I$86,2),C2276),C2276)</f>
        <v>360</v>
      </c>
      <c r="G2276" s="0" t="n">
        <f aca="false">VLOOKUP(E2276,'MSA-Lookup'!$AA$1:$AB$25,2)</f>
        <v>7120</v>
      </c>
      <c r="H2276" s="0" t="n">
        <f aca="false">IF(C2276&gt;1,IF(C2276&lt;99,VLOOKUP(F2276,'MSA-Lookup'!$AA$1:$AB$25,2),C2276),C2276)</f>
        <v>4472</v>
      </c>
    </row>
    <row r="2277" customFormat="false" ht="12.75" hidden="false" customHeight="false" outlineLevel="0" collapsed="false">
      <c r="A2277" s="0" t="n">
        <f aca="false">B2277*1000+C2277</f>
        <v>38048</v>
      </c>
      <c r="B2277" s="0" t="n">
        <v>38</v>
      </c>
      <c r="C2277" s="0" t="n">
        <v>48</v>
      </c>
      <c r="D2277" s="0" t="n">
        <v>0</v>
      </c>
      <c r="E2277" s="0" t="n">
        <f aca="false">VLOOKUP(B2277,'MSA-Lookup'!$H$2:$I$86,2)</f>
        <v>7120</v>
      </c>
      <c r="F2277" s="0" t="n">
        <f aca="false">IF(C2277&gt;1,IF(C2277&lt;99,VLOOKUP(C2277,'MSA-Lookup'!$H$1:$I$86,2),C2277),C2277)</f>
        <v>360</v>
      </c>
      <c r="G2277" s="0" t="n">
        <f aca="false">VLOOKUP(E2277,'MSA-Lookup'!$AA$1:$AB$25,2)</f>
        <v>7120</v>
      </c>
      <c r="H2277" s="0" t="n">
        <f aca="false">IF(C2277&gt;1,IF(C2277&lt;99,VLOOKUP(F2277,'MSA-Lookup'!$AA$1:$AB$25,2),C2277),C2277)</f>
        <v>4472</v>
      </c>
    </row>
    <row r="2278" customFormat="false" ht="12.75" hidden="false" customHeight="false" outlineLevel="0" collapsed="false">
      <c r="A2278" s="0" t="n">
        <f aca="false">B2278*1000+C2278</f>
        <v>38049</v>
      </c>
      <c r="B2278" s="0" t="n">
        <v>38</v>
      </c>
      <c r="C2278" s="0" t="n">
        <v>49</v>
      </c>
      <c r="D2278" s="0" t="n">
        <v>507</v>
      </c>
      <c r="E2278" s="0" t="n">
        <f aca="false">VLOOKUP(B2278,'MSA-Lookup'!$H$2:$I$86,2)</f>
        <v>7120</v>
      </c>
      <c r="F2278" s="0" t="n">
        <f aca="false">IF(C2278&gt;1,IF(C2278&lt;99,VLOOKUP(C2278,'MSA-Lookup'!$H$1:$I$86,2),C2278),C2278)</f>
        <v>7400</v>
      </c>
      <c r="G2278" s="0" t="n">
        <f aca="false">VLOOKUP(E2278,'MSA-Lookup'!$AA$1:$AB$25,2)</f>
        <v>7120</v>
      </c>
      <c r="H2278" s="0" t="n">
        <f aca="false">IF(C2278&gt;1,IF(C2278&lt;99,VLOOKUP(F2278,'MSA-Lookup'!$AA$1:$AB$25,2),C2278),C2278)</f>
        <v>7362</v>
      </c>
    </row>
    <row r="2279" customFormat="false" ht="12.75" hidden="false" customHeight="false" outlineLevel="0" collapsed="false">
      <c r="A2279" s="0" t="n">
        <f aca="false">B2279*1000+C2279</f>
        <v>38050</v>
      </c>
      <c r="B2279" s="0" t="n">
        <v>38</v>
      </c>
      <c r="C2279" s="0" t="n">
        <v>50</v>
      </c>
      <c r="D2279" s="0" t="n">
        <v>0</v>
      </c>
      <c r="E2279" s="0" t="n">
        <f aca="false">VLOOKUP(B2279,'MSA-Lookup'!$H$2:$I$86,2)</f>
        <v>7120</v>
      </c>
      <c r="F2279" s="0" t="n">
        <f aca="false">IF(C2279&gt;1,IF(C2279&lt;99,VLOOKUP(C2279,'MSA-Lookup'!$H$1:$I$86,2),C2279),C2279)</f>
        <v>7400</v>
      </c>
      <c r="G2279" s="0" t="n">
        <f aca="false">VLOOKUP(E2279,'MSA-Lookup'!$AA$1:$AB$25,2)</f>
        <v>7120</v>
      </c>
      <c r="H2279" s="0" t="n">
        <f aca="false">IF(C2279&gt;1,IF(C2279&lt;99,VLOOKUP(F2279,'MSA-Lookup'!$AA$1:$AB$25,2),C2279),C2279)</f>
        <v>7362</v>
      </c>
    </row>
    <row r="2280" customFormat="false" ht="12.75" hidden="false" customHeight="false" outlineLevel="0" collapsed="false">
      <c r="A2280" s="0" t="n">
        <f aca="false">B2280*1000+C2280</f>
        <v>38051</v>
      </c>
      <c r="B2280" s="0" t="n">
        <v>38</v>
      </c>
      <c r="C2280" s="0" t="n">
        <v>51</v>
      </c>
      <c r="D2280" s="0" t="n">
        <v>260</v>
      </c>
      <c r="E2280" s="0" t="n">
        <f aca="false">VLOOKUP(B2280,'MSA-Lookup'!$H$2:$I$86,2)</f>
        <v>7120</v>
      </c>
      <c r="F2280" s="0" t="n">
        <f aca="false">IF(C2280&gt;1,IF(C2280&lt;99,VLOOKUP(C2280,'MSA-Lookup'!$H$1:$I$86,2),C2280),C2280)</f>
        <v>7400</v>
      </c>
      <c r="G2280" s="0" t="n">
        <f aca="false">VLOOKUP(E2280,'MSA-Lookup'!$AA$1:$AB$25,2)</f>
        <v>7120</v>
      </c>
      <c r="H2280" s="0" t="n">
        <f aca="false">IF(C2280&gt;1,IF(C2280&lt;99,VLOOKUP(F2280,'MSA-Lookup'!$AA$1:$AB$25,2),C2280),C2280)</f>
        <v>7362</v>
      </c>
    </row>
    <row r="2281" customFormat="false" ht="12.75" hidden="false" customHeight="false" outlineLevel="0" collapsed="false">
      <c r="A2281" s="0" t="n">
        <f aca="false">B2281*1000+C2281</f>
        <v>38052</v>
      </c>
      <c r="B2281" s="0" t="n">
        <v>38</v>
      </c>
      <c r="C2281" s="0" t="n">
        <v>52</v>
      </c>
      <c r="D2281" s="0" t="n">
        <v>0</v>
      </c>
      <c r="E2281" s="0" t="n">
        <f aca="false">VLOOKUP(B2281,'MSA-Lookup'!$H$2:$I$86,2)</f>
        <v>7120</v>
      </c>
      <c r="F2281" s="0" t="n">
        <f aca="false">IF(C2281&gt;1,IF(C2281&lt;99,VLOOKUP(C2281,'MSA-Lookup'!$H$1:$I$86,2),C2281),C2281)</f>
        <v>4480</v>
      </c>
      <c r="G2281" s="0" t="n">
        <f aca="false">VLOOKUP(E2281,'MSA-Lookup'!$AA$1:$AB$25,2)</f>
        <v>7120</v>
      </c>
      <c r="H2281" s="0" t="n">
        <f aca="false">IF(C2281&gt;1,IF(C2281&lt;99,VLOOKUP(F2281,'MSA-Lookup'!$AA$1:$AB$25,2),C2281),C2281)</f>
        <v>4472</v>
      </c>
    </row>
    <row r="2282" customFormat="false" ht="12.75" hidden="false" customHeight="false" outlineLevel="0" collapsed="false">
      <c r="A2282" s="0" t="n">
        <f aca="false">B2282*1000+C2282</f>
        <v>38053</v>
      </c>
      <c r="B2282" s="0" t="n">
        <v>38</v>
      </c>
      <c r="C2282" s="0" t="n">
        <v>53</v>
      </c>
      <c r="D2282" s="0" t="n">
        <v>0</v>
      </c>
      <c r="E2282" s="0" t="n">
        <f aca="false">VLOOKUP(B2282,'MSA-Lookup'!$H$2:$I$86,2)</f>
        <v>7120</v>
      </c>
      <c r="F2282" s="0" t="n">
        <f aca="false">IF(C2282&gt;1,IF(C2282&lt;99,VLOOKUP(C2282,'MSA-Lookup'!$H$1:$I$86,2),C2282),C2282)</f>
        <v>4480</v>
      </c>
      <c r="G2282" s="0" t="n">
        <f aca="false">VLOOKUP(E2282,'MSA-Lookup'!$AA$1:$AB$25,2)</f>
        <v>7120</v>
      </c>
      <c r="H2282" s="0" t="n">
        <f aca="false">IF(C2282&gt;1,IF(C2282&lt;99,VLOOKUP(F2282,'MSA-Lookup'!$AA$1:$AB$25,2),C2282),C2282)</f>
        <v>4472</v>
      </c>
    </row>
    <row r="2283" customFormat="false" ht="12.75" hidden="false" customHeight="false" outlineLevel="0" collapsed="false">
      <c r="A2283" s="0" t="n">
        <f aca="false">B2283*1000+C2283</f>
        <v>38054</v>
      </c>
      <c r="B2283" s="0" t="n">
        <v>38</v>
      </c>
      <c r="C2283" s="0" t="n">
        <v>54</v>
      </c>
      <c r="D2283" s="0" t="n">
        <v>0</v>
      </c>
      <c r="E2283" s="0" t="n">
        <f aca="false">VLOOKUP(B2283,'MSA-Lookup'!$H$2:$I$86,2)</f>
        <v>7120</v>
      </c>
      <c r="F2283" s="0" t="n">
        <f aca="false">IF(C2283&gt;1,IF(C2283&lt;99,VLOOKUP(C2283,'MSA-Lookup'!$H$1:$I$86,2),C2283),C2283)</f>
        <v>4480</v>
      </c>
      <c r="G2283" s="0" t="n">
        <f aca="false">VLOOKUP(E2283,'MSA-Lookup'!$AA$1:$AB$25,2)</f>
        <v>7120</v>
      </c>
      <c r="H2283" s="0" t="n">
        <f aca="false">IF(C2283&gt;1,IF(C2283&lt;99,VLOOKUP(F2283,'MSA-Lookup'!$AA$1:$AB$25,2),C2283),C2283)</f>
        <v>4472</v>
      </c>
    </row>
    <row r="2284" customFormat="false" ht="12.75" hidden="false" customHeight="false" outlineLevel="0" collapsed="false">
      <c r="A2284" s="0" t="n">
        <f aca="false">B2284*1000+C2284</f>
        <v>38055</v>
      </c>
      <c r="B2284" s="0" t="n">
        <v>38</v>
      </c>
      <c r="C2284" s="0" t="n">
        <v>55</v>
      </c>
      <c r="D2284" s="0" t="n">
        <v>0</v>
      </c>
      <c r="E2284" s="0" t="n">
        <f aca="false">VLOOKUP(B2284,'MSA-Lookup'!$H$2:$I$86,2)</f>
        <v>7120</v>
      </c>
      <c r="F2284" s="0" t="n">
        <f aca="false">IF(C2284&gt;1,IF(C2284&lt;99,VLOOKUP(C2284,'MSA-Lookup'!$H$1:$I$86,2),C2284),C2284)</f>
        <v>4480</v>
      </c>
      <c r="G2284" s="0" t="n">
        <f aca="false">VLOOKUP(E2284,'MSA-Lookup'!$AA$1:$AB$25,2)</f>
        <v>7120</v>
      </c>
      <c r="H2284" s="0" t="n">
        <f aca="false">IF(C2284&gt;1,IF(C2284&lt;99,VLOOKUP(F2284,'MSA-Lookup'!$AA$1:$AB$25,2),C2284),C2284)</f>
        <v>4472</v>
      </c>
    </row>
    <row r="2285" customFormat="false" ht="12.75" hidden="false" customHeight="false" outlineLevel="0" collapsed="false">
      <c r="A2285" s="0" t="n">
        <f aca="false">B2285*1000+C2285</f>
        <v>38056</v>
      </c>
      <c r="B2285" s="0" t="n">
        <v>38</v>
      </c>
      <c r="C2285" s="0" t="n">
        <v>56</v>
      </c>
      <c r="D2285" s="0" t="n">
        <v>0</v>
      </c>
      <c r="E2285" s="0" t="n">
        <f aca="false">VLOOKUP(B2285,'MSA-Lookup'!$H$2:$I$86,2)</f>
        <v>7120</v>
      </c>
      <c r="F2285" s="0" t="n">
        <f aca="false">IF(C2285&gt;1,IF(C2285&lt;99,VLOOKUP(C2285,'MSA-Lookup'!$H$1:$I$86,2),C2285),C2285)</f>
        <v>4480</v>
      </c>
      <c r="G2285" s="0" t="n">
        <f aca="false">VLOOKUP(E2285,'MSA-Lookup'!$AA$1:$AB$25,2)</f>
        <v>7120</v>
      </c>
      <c r="H2285" s="0" t="n">
        <f aca="false">IF(C2285&gt;1,IF(C2285&lt;99,VLOOKUP(F2285,'MSA-Lookup'!$AA$1:$AB$25,2),C2285),C2285)</f>
        <v>4472</v>
      </c>
    </row>
    <row r="2286" customFormat="false" ht="12.75" hidden="false" customHeight="false" outlineLevel="0" collapsed="false">
      <c r="A2286" s="0" t="n">
        <f aca="false">B2286*1000+C2286</f>
        <v>38057</v>
      </c>
      <c r="B2286" s="0" t="n">
        <v>38</v>
      </c>
      <c r="C2286" s="0" t="n">
        <v>57</v>
      </c>
      <c r="D2286" s="0" t="n">
        <v>0</v>
      </c>
      <c r="E2286" s="0" t="n">
        <f aca="false">VLOOKUP(B2286,'MSA-Lookup'!$H$2:$I$86,2)</f>
        <v>7120</v>
      </c>
      <c r="F2286" s="0" t="n">
        <f aca="false">IF(C2286&gt;1,IF(C2286&lt;99,VLOOKUP(C2286,'MSA-Lookup'!$H$1:$I$86,2),C2286),C2286)</f>
        <v>4480</v>
      </c>
      <c r="G2286" s="0" t="n">
        <f aca="false">VLOOKUP(E2286,'MSA-Lookup'!$AA$1:$AB$25,2)</f>
        <v>7120</v>
      </c>
      <c r="H2286" s="0" t="n">
        <f aca="false">IF(C2286&gt;1,IF(C2286&lt;99,VLOOKUP(F2286,'MSA-Lookup'!$AA$1:$AB$25,2),C2286),C2286)</f>
        <v>4472</v>
      </c>
    </row>
    <row r="2287" customFormat="false" ht="12.75" hidden="false" customHeight="false" outlineLevel="0" collapsed="false">
      <c r="A2287" s="0" t="n">
        <f aca="false">B2287*1000+C2287</f>
        <v>38059</v>
      </c>
      <c r="B2287" s="0" t="n">
        <v>38</v>
      </c>
      <c r="C2287" s="0" t="n">
        <v>59</v>
      </c>
      <c r="D2287" s="0" t="n">
        <v>0</v>
      </c>
      <c r="E2287" s="0" t="n">
        <f aca="false">VLOOKUP(B2287,'MSA-Lookup'!$H$2:$I$86,2)</f>
        <v>7120</v>
      </c>
      <c r="F2287" s="0" t="n">
        <f aca="false">IF(C2287&gt;1,IF(C2287&lt;99,VLOOKUP(C2287,'MSA-Lookup'!$H$1:$I$86,2),C2287),C2287)</f>
        <v>4480</v>
      </c>
      <c r="G2287" s="0" t="n">
        <f aca="false">VLOOKUP(E2287,'MSA-Lookup'!$AA$1:$AB$25,2)</f>
        <v>7120</v>
      </c>
      <c r="H2287" s="0" t="n">
        <f aca="false">IF(C2287&gt;1,IF(C2287&lt;99,VLOOKUP(F2287,'MSA-Lookup'!$AA$1:$AB$25,2),C2287),C2287)</f>
        <v>4472</v>
      </c>
    </row>
    <row r="2288" customFormat="false" ht="12.75" hidden="false" customHeight="false" outlineLevel="0" collapsed="false">
      <c r="A2288" s="0" t="n">
        <f aca="false">B2288*1000+C2288</f>
        <v>38060</v>
      </c>
      <c r="B2288" s="0" t="n">
        <v>38</v>
      </c>
      <c r="C2288" s="0" t="n">
        <v>60</v>
      </c>
      <c r="D2288" s="0" t="n">
        <v>0</v>
      </c>
      <c r="E2288" s="0" t="n">
        <f aca="false">VLOOKUP(B2288,'MSA-Lookup'!$H$2:$I$86,2)</f>
        <v>7120</v>
      </c>
      <c r="F2288" s="0" t="n">
        <f aca="false">IF(C2288&gt;1,IF(C2288&lt;99,VLOOKUP(C2288,'MSA-Lookup'!$H$1:$I$86,2),C2288),C2288)</f>
        <v>4480</v>
      </c>
      <c r="G2288" s="0" t="n">
        <f aca="false">VLOOKUP(E2288,'MSA-Lookup'!$AA$1:$AB$25,2)</f>
        <v>7120</v>
      </c>
      <c r="H2288" s="0" t="n">
        <f aca="false">IF(C2288&gt;1,IF(C2288&lt;99,VLOOKUP(F2288,'MSA-Lookup'!$AA$1:$AB$25,2),C2288),C2288)</f>
        <v>4472</v>
      </c>
    </row>
    <row r="2289" customFormat="false" ht="12.75" hidden="false" customHeight="false" outlineLevel="0" collapsed="false">
      <c r="A2289" s="0" t="n">
        <f aca="false">B2289*1000+C2289</f>
        <v>38062</v>
      </c>
      <c r="B2289" s="0" t="n">
        <v>38</v>
      </c>
      <c r="C2289" s="0" t="n">
        <v>62</v>
      </c>
      <c r="D2289" s="0" t="n">
        <v>0</v>
      </c>
      <c r="E2289" s="0" t="n">
        <f aca="false">VLOOKUP(B2289,'MSA-Lookup'!$H$2:$I$86,2)</f>
        <v>7120</v>
      </c>
      <c r="F2289" s="0" t="n">
        <f aca="false">IF(C2289&gt;1,IF(C2289&lt;99,VLOOKUP(C2289,'MSA-Lookup'!$H$1:$I$86,2),C2289),C2289)</f>
        <v>4480</v>
      </c>
      <c r="G2289" s="0" t="n">
        <f aca="false">VLOOKUP(E2289,'MSA-Lookup'!$AA$1:$AB$25,2)</f>
        <v>7120</v>
      </c>
      <c r="H2289" s="0" t="n">
        <f aca="false">IF(C2289&gt;1,IF(C2289&lt;99,VLOOKUP(F2289,'MSA-Lookup'!$AA$1:$AB$25,2),C2289),C2289)</f>
        <v>4472</v>
      </c>
    </row>
    <row r="2290" customFormat="false" ht="12.75" hidden="false" customHeight="false" outlineLevel="0" collapsed="false">
      <c r="A2290" s="0" t="n">
        <f aca="false">B2290*1000+C2290</f>
        <v>38063</v>
      </c>
      <c r="B2290" s="0" t="n">
        <v>38</v>
      </c>
      <c r="C2290" s="0" t="n">
        <v>63</v>
      </c>
      <c r="D2290" s="0" t="n">
        <v>0</v>
      </c>
      <c r="E2290" s="0" t="n">
        <f aca="false">VLOOKUP(B2290,'MSA-Lookup'!$H$2:$I$86,2)</f>
        <v>7120</v>
      </c>
      <c r="F2290" s="0" t="n">
        <f aca="false">IF(C2290&gt;1,IF(C2290&lt;99,VLOOKUP(C2290,'MSA-Lookup'!$H$1:$I$86,2),C2290),C2290)</f>
        <v>4480</v>
      </c>
      <c r="G2290" s="0" t="n">
        <f aca="false">VLOOKUP(E2290,'MSA-Lookup'!$AA$1:$AB$25,2)</f>
        <v>7120</v>
      </c>
      <c r="H2290" s="0" t="n">
        <f aca="false">IF(C2290&gt;1,IF(C2290&lt;99,VLOOKUP(F2290,'MSA-Lookup'!$AA$1:$AB$25,2),C2290),C2290)</f>
        <v>4472</v>
      </c>
    </row>
    <row r="2291" customFormat="false" ht="12.75" hidden="false" customHeight="false" outlineLevel="0" collapsed="false">
      <c r="A2291" s="0" t="n">
        <f aca="false">B2291*1000+C2291</f>
        <v>38064</v>
      </c>
      <c r="B2291" s="0" t="n">
        <v>38</v>
      </c>
      <c r="C2291" s="0" t="n">
        <v>64</v>
      </c>
      <c r="D2291" s="0" t="n">
        <v>65</v>
      </c>
      <c r="E2291" s="0" t="n">
        <f aca="false">VLOOKUP(B2291,'MSA-Lookup'!$H$2:$I$86,2)</f>
        <v>7120</v>
      </c>
      <c r="F2291" s="0" t="n">
        <f aca="false">IF(C2291&gt;1,IF(C2291&lt;99,VLOOKUP(C2291,'MSA-Lookup'!$H$1:$I$86,2),C2291),C2291)</f>
        <v>4480</v>
      </c>
      <c r="G2291" s="0" t="n">
        <f aca="false">VLOOKUP(E2291,'MSA-Lookup'!$AA$1:$AB$25,2)</f>
        <v>7120</v>
      </c>
      <c r="H2291" s="0" t="n">
        <f aca="false">IF(C2291&gt;1,IF(C2291&lt;99,VLOOKUP(F2291,'MSA-Lookup'!$AA$1:$AB$25,2),C2291),C2291)</f>
        <v>4472</v>
      </c>
    </row>
    <row r="2292" customFormat="false" ht="12.75" hidden="false" customHeight="false" outlineLevel="0" collapsed="false">
      <c r="A2292" s="0" t="n">
        <f aca="false">B2292*1000+C2292</f>
        <v>38065</v>
      </c>
      <c r="B2292" s="0" t="n">
        <v>38</v>
      </c>
      <c r="C2292" s="0" t="n">
        <v>65</v>
      </c>
      <c r="D2292" s="0" t="n">
        <v>0</v>
      </c>
      <c r="E2292" s="0" t="n">
        <f aca="false">VLOOKUP(B2292,'MSA-Lookup'!$H$2:$I$86,2)</f>
        <v>7120</v>
      </c>
      <c r="F2292" s="0" t="n">
        <f aca="false">IF(C2292&gt;1,IF(C2292&lt;99,VLOOKUP(C2292,'MSA-Lookup'!$H$1:$I$86,2),C2292),C2292)</f>
        <v>4480</v>
      </c>
      <c r="G2292" s="0" t="n">
        <f aca="false">VLOOKUP(E2292,'MSA-Lookup'!$AA$1:$AB$25,2)</f>
        <v>7120</v>
      </c>
      <c r="H2292" s="0" t="n">
        <f aca="false">IF(C2292&gt;1,IF(C2292&lt;99,VLOOKUP(F2292,'MSA-Lookup'!$AA$1:$AB$25,2),C2292),C2292)</f>
        <v>4472</v>
      </c>
    </row>
    <row r="2293" customFormat="false" ht="12.75" hidden="false" customHeight="false" outlineLevel="0" collapsed="false">
      <c r="A2293" s="0" t="n">
        <f aca="false">B2293*1000+C2293</f>
        <v>38066</v>
      </c>
      <c r="B2293" s="0" t="n">
        <v>38</v>
      </c>
      <c r="C2293" s="0" t="n">
        <v>66</v>
      </c>
      <c r="D2293" s="0" t="n">
        <v>0</v>
      </c>
      <c r="E2293" s="0" t="n">
        <f aca="false">VLOOKUP(B2293,'MSA-Lookup'!$H$2:$I$86,2)</f>
        <v>7120</v>
      </c>
      <c r="F2293" s="0" t="n">
        <f aca="false">IF(C2293&gt;1,IF(C2293&lt;99,VLOOKUP(C2293,'MSA-Lookup'!$H$1:$I$86,2),C2293),C2293)</f>
        <v>4480</v>
      </c>
      <c r="G2293" s="0" t="n">
        <f aca="false">VLOOKUP(E2293,'MSA-Lookup'!$AA$1:$AB$25,2)</f>
        <v>7120</v>
      </c>
      <c r="H2293" s="0" t="n">
        <f aca="false">IF(C2293&gt;1,IF(C2293&lt;99,VLOOKUP(F2293,'MSA-Lookup'!$AA$1:$AB$25,2),C2293),C2293)</f>
        <v>4472</v>
      </c>
    </row>
    <row r="2294" customFormat="false" ht="12.75" hidden="false" customHeight="false" outlineLevel="0" collapsed="false">
      <c r="A2294" s="0" t="n">
        <f aca="false">B2294*1000+C2294</f>
        <v>38067</v>
      </c>
      <c r="B2294" s="0" t="n">
        <v>38</v>
      </c>
      <c r="C2294" s="0" t="n">
        <v>67</v>
      </c>
      <c r="D2294" s="0" t="n">
        <v>143</v>
      </c>
      <c r="E2294" s="0" t="n">
        <f aca="false">VLOOKUP(B2294,'MSA-Lookup'!$H$2:$I$86,2)</f>
        <v>7120</v>
      </c>
      <c r="F2294" s="0" t="n">
        <f aca="false">IF(C2294&gt;1,IF(C2294&lt;99,VLOOKUP(C2294,'MSA-Lookup'!$H$1:$I$86,2),C2294),C2294)</f>
        <v>6000</v>
      </c>
      <c r="G2294" s="0" t="n">
        <f aca="false">VLOOKUP(E2294,'MSA-Lookup'!$AA$1:$AB$25,2)</f>
        <v>7120</v>
      </c>
      <c r="H2294" s="0" t="n">
        <f aca="false">IF(C2294&gt;1,IF(C2294&lt;99,VLOOKUP(F2294,'MSA-Lookup'!$AA$1:$AB$25,2),C2294),C2294)</f>
        <v>4472</v>
      </c>
    </row>
    <row r="2295" customFormat="false" ht="12.75" hidden="false" customHeight="false" outlineLevel="0" collapsed="false">
      <c r="A2295" s="0" t="n">
        <f aca="false">B2295*1000+C2295</f>
        <v>38069</v>
      </c>
      <c r="B2295" s="0" t="n">
        <v>38</v>
      </c>
      <c r="C2295" s="0" t="n">
        <v>69</v>
      </c>
      <c r="D2295" s="0" t="n">
        <v>0</v>
      </c>
      <c r="E2295" s="0" t="n">
        <f aca="false">VLOOKUP(B2295,'MSA-Lookup'!$H$2:$I$86,2)</f>
        <v>7120</v>
      </c>
      <c r="F2295" s="0" t="n">
        <f aca="false">IF(C2295&gt;1,IF(C2295&lt;99,VLOOKUP(C2295,'MSA-Lookup'!$H$1:$I$86,2),C2295),C2295)</f>
        <v>6780</v>
      </c>
      <c r="G2295" s="0" t="n">
        <f aca="false">VLOOKUP(E2295,'MSA-Lookup'!$AA$1:$AB$25,2)</f>
        <v>7120</v>
      </c>
      <c r="H2295" s="0" t="n">
        <f aca="false">IF(C2295&gt;1,IF(C2295&lt;99,VLOOKUP(F2295,'MSA-Lookup'!$AA$1:$AB$25,2),C2295),C2295)</f>
        <v>4472</v>
      </c>
    </row>
    <row r="2296" customFormat="false" ht="12.75" hidden="false" customHeight="false" outlineLevel="0" collapsed="false">
      <c r="A2296" s="0" t="n">
        <f aca="false">B2296*1000+C2296</f>
        <v>38071</v>
      </c>
      <c r="B2296" s="0" t="n">
        <v>38</v>
      </c>
      <c r="C2296" s="0" t="n">
        <v>71</v>
      </c>
      <c r="D2296" s="0" t="n">
        <v>0</v>
      </c>
      <c r="E2296" s="0" t="n">
        <f aca="false">VLOOKUP(B2296,'MSA-Lookup'!$H$2:$I$86,2)</f>
        <v>7120</v>
      </c>
      <c r="F2296" s="0" t="n">
        <f aca="false">IF(C2296&gt;1,IF(C2296&lt;99,VLOOKUP(C2296,'MSA-Lookup'!$H$1:$I$86,2),C2296),C2296)</f>
        <v>6780</v>
      </c>
      <c r="G2296" s="0" t="n">
        <f aca="false">VLOOKUP(E2296,'MSA-Lookup'!$AA$1:$AB$25,2)</f>
        <v>7120</v>
      </c>
      <c r="H2296" s="0" t="n">
        <f aca="false">IF(C2296&gt;1,IF(C2296&lt;99,VLOOKUP(F2296,'MSA-Lookup'!$AA$1:$AB$25,2),C2296),C2296)</f>
        <v>4472</v>
      </c>
    </row>
    <row r="2297" customFormat="false" ht="12.75" hidden="false" customHeight="false" outlineLevel="0" collapsed="false">
      <c r="A2297" s="0" t="n">
        <f aca="false">B2297*1000+C2297</f>
        <v>38072</v>
      </c>
      <c r="B2297" s="0" t="n">
        <v>38</v>
      </c>
      <c r="C2297" s="0" t="n">
        <v>72</v>
      </c>
      <c r="D2297" s="0" t="n">
        <v>0</v>
      </c>
      <c r="E2297" s="0" t="n">
        <f aca="false">VLOOKUP(B2297,'MSA-Lookup'!$H$2:$I$86,2)</f>
        <v>7120</v>
      </c>
      <c r="F2297" s="0" t="n">
        <f aca="false">IF(C2297&gt;1,IF(C2297&lt;99,VLOOKUP(C2297,'MSA-Lookup'!$H$1:$I$86,2),C2297),C2297)</f>
        <v>6780</v>
      </c>
      <c r="G2297" s="0" t="n">
        <f aca="false">VLOOKUP(E2297,'MSA-Lookup'!$AA$1:$AB$25,2)</f>
        <v>7120</v>
      </c>
      <c r="H2297" s="0" t="n">
        <f aca="false">IF(C2297&gt;1,IF(C2297&lt;99,VLOOKUP(F2297,'MSA-Lookup'!$AA$1:$AB$25,2),C2297),C2297)</f>
        <v>4472</v>
      </c>
    </row>
    <row r="2298" customFormat="false" ht="12.75" hidden="false" customHeight="false" outlineLevel="0" collapsed="false">
      <c r="A2298" s="0" t="n">
        <f aca="false">B2298*1000+C2298</f>
        <v>38073</v>
      </c>
      <c r="B2298" s="0" t="n">
        <v>38</v>
      </c>
      <c r="C2298" s="0" t="n">
        <v>73</v>
      </c>
      <c r="D2298" s="0" t="n">
        <v>0</v>
      </c>
      <c r="E2298" s="0" t="n">
        <f aca="false">VLOOKUP(B2298,'MSA-Lookup'!$H$2:$I$86,2)</f>
        <v>7120</v>
      </c>
      <c r="F2298" s="0" t="n">
        <f aca="false">IF(C2298&gt;1,IF(C2298&lt;99,VLOOKUP(C2298,'MSA-Lookup'!$H$1:$I$86,2),C2298),C2298)</f>
        <v>8720</v>
      </c>
      <c r="G2298" s="0" t="n">
        <f aca="false">VLOOKUP(E2298,'MSA-Lookup'!$AA$1:$AB$25,2)</f>
        <v>7120</v>
      </c>
      <c r="H2298" s="0" t="n">
        <f aca="false">IF(C2298&gt;1,IF(C2298&lt;99,VLOOKUP(F2298,'MSA-Lookup'!$AA$1:$AB$25,2),C2298),C2298)</f>
        <v>7362</v>
      </c>
    </row>
    <row r="2299" customFormat="false" ht="12.75" hidden="false" customHeight="false" outlineLevel="0" collapsed="false">
      <c r="A2299" s="0" t="n">
        <f aca="false">B2299*1000+C2299</f>
        <v>38075</v>
      </c>
      <c r="B2299" s="0" t="n">
        <v>38</v>
      </c>
      <c r="C2299" s="0" t="n">
        <v>75</v>
      </c>
      <c r="D2299" s="0" t="n">
        <v>0</v>
      </c>
      <c r="E2299" s="0" t="n">
        <f aca="false">VLOOKUP(B2299,'MSA-Lookup'!$H$2:$I$86,2)</f>
        <v>7120</v>
      </c>
      <c r="F2299" s="0" t="n">
        <f aca="false">IF(C2299&gt;1,IF(C2299&lt;99,VLOOKUP(C2299,'MSA-Lookup'!$H$1:$I$86,2),C2299),C2299)</f>
        <v>8780</v>
      </c>
      <c r="G2299" s="0" t="n">
        <f aca="false">VLOOKUP(E2299,'MSA-Lookup'!$AA$1:$AB$25,2)</f>
        <v>7120</v>
      </c>
      <c r="H2299" s="0" t="n">
        <f aca="false">IF(C2299&gt;1,IF(C2299&lt;99,VLOOKUP(F2299,'MSA-Lookup'!$AA$1:$AB$25,2),C2299),C2299)</f>
        <v>8780</v>
      </c>
    </row>
    <row r="2300" customFormat="false" ht="12.75" hidden="false" customHeight="false" outlineLevel="0" collapsed="false">
      <c r="A2300" s="0" t="n">
        <f aca="false">B2300*1000+C2300</f>
        <v>38076</v>
      </c>
      <c r="B2300" s="0" t="n">
        <v>38</v>
      </c>
      <c r="C2300" s="0" t="n">
        <v>76</v>
      </c>
      <c r="D2300" s="0" t="n">
        <v>1274</v>
      </c>
      <c r="E2300" s="0" t="n">
        <f aca="false">VLOOKUP(B2300,'MSA-Lookup'!$H$2:$I$86,2)</f>
        <v>7120</v>
      </c>
      <c r="F2300" s="0" t="n">
        <f aca="false">IF(C2300&gt;1,IF(C2300&lt;99,VLOOKUP(C2300,'MSA-Lookup'!$H$1:$I$86,2),C2300),C2300)</f>
        <v>7485</v>
      </c>
      <c r="G2300" s="0" t="n">
        <f aca="false">VLOOKUP(E2300,'MSA-Lookup'!$AA$1:$AB$25,2)</f>
        <v>7120</v>
      </c>
      <c r="H2300" s="0" t="n">
        <f aca="false">IF(C2300&gt;1,IF(C2300&lt;99,VLOOKUP(F2300,'MSA-Lookup'!$AA$1:$AB$25,2),C2300),C2300)</f>
        <v>7362</v>
      </c>
    </row>
    <row r="2301" customFormat="false" ht="12.75" hidden="false" customHeight="false" outlineLevel="0" collapsed="false">
      <c r="A2301" s="0" t="n">
        <f aca="false">B2301*1000+C2301</f>
        <v>38077</v>
      </c>
      <c r="B2301" s="0" t="n">
        <v>38</v>
      </c>
      <c r="C2301" s="0" t="n">
        <v>77</v>
      </c>
      <c r="D2301" s="0" t="n">
        <v>91</v>
      </c>
      <c r="E2301" s="0" t="n">
        <f aca="false">VLOOKUP(B2301,'MSA-Lookup'!$H$2:$I$86,2)</f>
        <v>7120</v>
      </c>
      <c r="F2301" s="0" t="n">
        <f aca="false">IF(C2301&gt;1,IF(C2301&lt;99,VLOOKUP(C2301,'MSA-Lookup'!$H$1:$I$86,2),C2301),C2301)</f>
        <v>9999</v>
      </c>
      <c r="G2301" s="0" t="n">
        <f aca="false">VLOOKUP(E2301,'MSA-Lookup'!$AA$1:$AB$25,2)</f>
        <v>7120</v>
      </c>
      <c r="H2301" s="0" t="n">
        <f aca="false">IF(C2301&gt;1,IF(C2301&lt;99,VLOOKUP(F2301,'MSA-Lookup'!$AA$1:$AB$25,2),C2301),C2301)</f>
        <v>9999</v>
      </c>
    </row>
    <row r="2302" customFormat="false" ht="12.75" hidden="false" customHeight="false" outlineLevel="0" collapsed="false">
      <c r="A2302" s="0" t="n">
        <f aca="false">B2302*1000+C2302</f>
        <v>38079</v>
      </c>
      <c r="B2302" s="0" t="n">
        <v>38</v>
      </c>
      <c r="C2302" s="0" t="n">
        <v>79</v>
      </c>
      <c r="D2302" s="0" t="n">
        <v>0</v>
      </c>
      <c r="E2302" s="0" t="n">
        <f aca="false">VLOOKUP(B2302,'MSA-Lookup'!$H$2:$I$86,2)</f>
        <v>7120</v>
      </c>
      <c r="F2302" s="0" t="n">
        <f aca="false">IF(C2302&gt;1,IF(C2302&lt;99,VLOOKUP(C2302,'MSA-Lookup'!$H$1:$I$86,2),C2302),C2302)</f>
        <v>680</v>
      </c>
      <c r="G2302" s="0" t="n">
        <f aca="false">VLOOKUP(E2302,'MSA-Lookup'!$AA$1:$AB$25,2)</f>
        <v>7120</v>
      </c>
      <c r="H2302" s="0" t="n">
        <f aca="false">IF(C2302&gt;1,IF(C2302&lt;99,VLOOKUP(F2302,'MSA-Lookup'!$AA$1:$AB$25,2),C2302),C2302)</f>
        <v>680</v>
      </c>
    </row>
    <row r="2303" customFormat="false" ht="12.75" hidden="false" customHeight="false" outlineLevel="0" collapsed="false">
      <c r="A2303" s="0" t="n">
        <f aca="false">B2303*1000+C2303</f>
        <v>38080</v>
      </c>
      <c r="B2303" s="0" t="n">
        <v>38</v>
      </c>
      <c r="C2303" s="0" t="n">
        <v>80</v>
      </c>
      <c r="D2303" s="0" t="n">
        <v>0</v>
      </c>
      <c r="E2303" s="0" t="n">
        <f aca="false">VLOOKUP(B2303,'MSA-Lookup'!$H$2:$I$86,2)</f>
        <v>7120</v>
      </c>
      <c r="F2303" s="0" t="n">
        <f aca="false">IF(C2303&gt;1,IF(C2303&lt;99,VLOOKUP(C2303,'MSA-Lookup'!$H$1:$I$86,2),C2303),C2303)</f>
        <v>9999</v>
      </c>
      <c r="G2303" s="0" t="n">
        <f aca="false">VLOOKUP(E2303,'MSA-Lookup'!$AA$1:$AB$25,2)</f>
        <v>7120</v>
      </c>
      <c r="H2303" s="0" t="n">
        <f aca="false">IF(C2303&gt;1,IF(C2303&lt;99,VLOOKUP(F2303,'MSA-Lookup'!$AA$1:$AB$25,2),C2303),C2303)</f>
        <v>9999</v>
      </c>
    </row>
    <row r="2304" customFormat="false" ht="12.75" hidden="false" customHeight="false" outlineLevel="0" collapsed="false">
      <c r="A2304" s="0" t="n">
        <f aca="false">B2304*1000+C2304</f>
        <v>38081</v>
      </c>
      <c r="B2304" s="0" t="n">
        <v>38</v>
      </c>
      <c r="C2304" s="0" t="n">
        <v>81</v>
      </c>
      <c r="D2304" s="0" t="n">
        <v>0</v>
      </c>
      <c r="E2304" s="0" t="n">
        <f aca="false">VLOOKUP(B2304,'MSA-Lookup'!$H$2:$I$86,2)</f>
        <v>7120</v>
      </c>
      <c r="F2304" s="0" t="n">
        <f aca="false">IF(C2304&gt;1,IF(C2304&lt;99,VLOOKUP(C2304,'MSA-Lookup'!$H$1:$I$86,2),C2304),C2304)</f>
        <v>6780</v>
      </c>
      <c r="G2304" s="0" t="n">
        <f aca="false">VLOOKUP(E2304,'MSA-Lookup'!$AA$1:$AB$25,2)</f>
        <v>7120</v>
      </c>
      <c r="H2304" s="0" t="n">
        <f aca="false">IF(C2304&gt;1,IF(C2304&lt;99,VLOOKUP(F2304,'MSA-Lookup'!$AA$1:$AB$25,2),C2304),C2304)</f>
        <v>4472</v>
      </c>
    </row>
    <row r="2305" customFormat="false" ht="12.75" hidden="false" customHeight="false" outlineLevel="0" collapsed="false">
      <c r="A2305" s="0" t="n">
        <f aca="false">B2305*1000+C2305</f>
        <v>38082</v>
      </c>
      <c r="B2305" s="0" t="n">
        <v>38</v>
      </c>
      <c r="C2305" s="0" t="n">
        <v>82</v>
      </c>
      <c r="D2305" s="0" t="n">
        <v>0</v>
      </c>
      <c r="E2305" s="0" t="n">
        <f aca="false">VLOOKUP(B2305,'MSA-Lookup'!$H$2:$I$86,2)</f>
        <v>7120</v>
      </c>
      <c r="F2305" s="0" t="n">
        <f aca="false">IF(C2305&gt;1,IF(C2305&lt;99,VLOOKUP(C2305,'MSA-Lookup'!$H$1:$I$86,2),C2305),C2305)</f>
        <v>6780</v>
      </c>
      <c r="G2305" s="0" t="n">
        <f aca="false">VLOOKUP(E2305,'MSA-Lookup'!$AA$1:$AB$25,2)</f>
        <v>7120</v>
      </c>
      <c r="H2305" s="0" t="n">
        <f aca="false">IF(C2305&gt;1,IF(C2305&lt;99,VLOOKUP(F2305,'MSA-Lookup'!$AA$1:$AB$25,2),C2305),C2305)</f>
        <v>4472</v>
      </c>
    </row>
    <row r="2306" customFormat="false" ht="12.75" hidden="false" customHeight="false" outlineLevel="0" collapsed="false">
      <c r="A2306" s="0" t="n">
        <f aca="false">B2306*1000+C2306</f>
        <v>38083</v>
      </c>
      <c r="B2306" s="0" t="n">
        <v>38</v>
      </c>
      <c r="C2306" s="0" t="n">
        <v>83</v>
      </c>
      <c r="D2306" s="0" t="n">
        <v>0</v>
      </c>
      <c r="E2306" s="0" t="n">
        <f aca="false">VLOOKUP(B2306,'MSA-Lookup'!$H$2:$I$86,2)</f>
        <v>7120</v>
      </c>
      <c r="F2306" s="0" t="n">
        <f aca="false">IF(C2306&gt;1,IF(C2306&lt;99,VLOOKUP(C2306,'MSA-Lookup'!$H$1:$I$86,2),C2306),C2306)</f>
        <v>6000</v>
      </c>
      <c r="G2306" s="0" t="n">
        <f aca="false">VLOOKUP(E2306,'MSA-Lookup'!$AA$1:$AB$25,2)</f>
        <v>7120</v>
      </c>
      <c r="H2306" s="0" t="n">
        <f aca="false">IF(C2306&gt;1,IF(C2306&lt;99,VLOOKUP(F2306,'MSA-Lookup'!$AA$1:$AB$25,2),C2306),C2306)</f>
        <v>4472</v>
      </c>
    </row>
    <row r="2307" customFormat="false" ht="12.75" hidden="false" customHeight="false" outlineLevel="0" collapsed="false">
      <c r="A2307" s="0" t="n">
        <f aca="false">B2307*1000+C2307</f>
        <v>38084</v>
      </c>
      <c r="B2307" s="0" t="n">
        <v>38</v>
      </c>
      <c r="C2307" s="0" t="n">
        <v>84</v>
      </c>
      <c r="D2307" s="0" t="n">
        <v>0</v>
      </c>
      <c r="E2307" s="0" t="n">
        <f aca="false">VLOOKUP(B2307,'MSA-Lookup'!$H$2:$I$86,2)</f>
        <v>7120</v>
      </c>
      <c r="F2307" s="0" t="n">
        <f aca="false">IF(C2307&gt;1,IF(C2307&lt;99,VLOOKUP(C2307,'MSA-Lookup'!$H$1:$I$86,2),C2307),C2307)</f>
        <v>360</v>
      </c>
      <c r="G2307" s="0" t="n">
        <f aca="false">VLOOKUP(E2307,'MSA-Lookup'!$AA$1:$AB$25,2)</f>
        <v>7120</v>
      </c>
      <c r="H2307" s="0" t="n">
        <f aca="false">IF(C2307&gt;1,IF(C2307&lt;99,VLOOKUP(F2307,'MSA-Lookup'!$AA$1:$AB$25,2),C2307),C2307)</f>
        <v>4472</v>
      </c>
    </row>
    <row r="2308" customFormat="false" ht="12.75" hidden="false" customHeight="false" outlineLevel="0" collapsed="false">
      <c r="A2308" s="0" t="n">
        <f aca="false">B2308*1000+C2308</f>
        <v>38085</v>
      </c>
      <c r="B2308" s="0" t="n">
        <v>38</v>
      </c>
      <c r="C2308" s="0" t="n">
        <v>85</v>
      </c>
      <c r="D2308" s="0" t="n">
        <v>0</v>
      </c>
      <c r="E2308" s="0" t="n">
        <f aca="false">VLOOKUP(B2308,'MSA-Lookup'!$H$2:$I$86,2)</f>
        <v>7120</v>
      </c>
      <c r="F2308" s="0" t="n">
        <f aca="false">IF(C2308&gt;1,IF(C2308&lt;99,VLOOKUP(C2308,'MSA-Lookup'!$H$1:$I$86,2),C2308),C2308)</f>
        <v>8120</v>
      </c>
      <c r="G2308" s="0" t="n">
        <f aca="false">VLOOKUP(E2308,'MSA-Lookup'!$AA$1:$AB$25,2)</f>
        <v>7120</v>
      </c>
      <c r="H2308" s="0" t="n">
        <f aca="false">IF(C2308&gt;1,IF(C2308&lt;99,VLOOKUP(F2308,'MSA-Lookup'!$AA$1:$AB$25,2),C2308),C2308)</f>
        <v>8120</v>
      </c>
    </row>
    <row r="2309" customFormat="false" ht="12.75" hidden="false" customHeight="false" outlineLevel="0" collapsed="false">
      <c r="A2309" s="0" t="n">
        <f aca="false">B2309*1000+C2309</f>
        <v>38858</v>
      </c>
      <c r="B2309" s="0" t="n">
        <v>38</v>
      </c>
      <c r="C2309" s="0" t="n">
        <v>858</v>
      </c>
      <c r="D2309" s="0" t="n">
        <v>0</v>
      </c>
      <c r="E2309" s="0" t="n">
        <f aca="false">VLOOKUP(B2309,'MSA-Lookup'!$H$2:$I$86,2)</f>
        <v>7120</v>
      </c>
      <c r="F2309" s="0" t="n">
        <f aca="false">IF(C2309&gt;1,IF(C2309&lt;99,VLOOKUP(C2309,'MSA-Lookup'!$H$1:$I$86,2),C2309),C2309)</f>
        <v>858</v>
      </c>
      <c r="G2309" s="0" t="n">
        <f aca="false">VLOOKUP(E2309,'MSA-Lookup'!$AA$1:$AB$25,2)</f>
        <v>7120</v>
      </c>
      <c r="H2309" s="0" t="n">
        <f aca="false">IF(C2309&gt;1,IF(C2309&lt;99,VLOOKUP(F2309,'MSA-Lookup'!$AA$1:$AB$25,2),C2309),C2309)</f>
        <v>858</v>
      </c>
    </row>
    <row r="2310" customFormat="false" ht="12.75" hidden="false" customHeight="false" outlineLevel="0" collapsed="false">
      <c r="A2310" s="0" t="n">
        <f aca="false">B2310*1000+C2310</f>
        <v>38983</v>
      </c>
      <c r="B2310" s="0" t="n">
        <v>38</v>
      </c>
      <c r="C2310" s="0" t="n">
        <v>983</v>
      </c>
      <c r="D2310" s="0" t="n">
        <v>0</v>
      </c>
      <c r="E2310" s="0" t="n">
        <f aca="false">VLOOKUP(B2310,'MSA-Lookup'!$H$2:$I$86,2)</f>
        <v>7120</v>
      </c>
      <c r="F2310" s="0" t="n">
        <f aca="false">IF(C2310&gt;1,IF(C2310&lt;99,VLOOKUP(C2310,'MSA-Lookup'!$H$1:$I$86,2),C2310),C2310)</f>
        <v>983</v>
      </c>
      <c r="G2310" s="0" t="n">
        <f aca="false">VLOOKUP(E2310,'MSA-Lookup'!$AA$1:$AB$25,2)</f>
        <v>7120</v>
      </c>
      <c r="H2310" s="0" t="n">
        <f aca="false">IF(C2310&gt;1,IF(C2310&lt;99,VLOOKUP(F2310,'MSA-Lookup'!$AA$1:$AB$25,2),C2310),C2310)</f>
        <v>983</v>
      </c>
    </row>
    <row r="2311" customFormat="false" ht="12.75" hidden="false" customHeight="false" outlineLevel="0" collapsed="false">
      <c r="A2311" s="0" t="n">
        <f aca="false">B2311*1000+C2311</f>
        <v>38999</v>
      </c>
      <c r="B2311" s="0" t="n">
        <v>38</v>
      </c>
      <c r="C2311" s="0" t="n">
        <v>999</v>
      </c>
      <c r="D2311" s="0" t="n">
        <v>0</v>
      </c>
      <c r="E2311" s="0" t="n">
        <f aca="false">VLOOKUP(B2311,'MSA-Lookup'!$H$2:$I$86,2)</f>
        <v>7120</v>
      </c>
      <c r="F2311" s="0" t="n">
        <f aca="false">IF(C2311&gt;1,IF(C2311&lt;99,VLOOKUP(C2311,'MSA-Lookup'!$H$1:$I$86,2),C2311),C2311)</f>
        <v>999</v>
      </c>
      <c r="G2311" s="0" t="n">
        <f aca="false">VLOOKUP(E2311,'MSA-Lookup'!$AA$1:$AB$25,2)</f>
        <v>7120</v>
      </c>
      <c r="H2311" s="0" t="n">
        <f aca="false">IF(C2311&gt;1,IF(C2311&lt;99,VLOOKUP(F2311,'MSA-Lookup'!$AA$1:$AB$25,2),C2311),C2311)</f>
        <v>999</v>
      </c>
    </row>
    <row r="2312" customFormat="false" ht="12.75" hidden="false" customHeight="false" outlineLevel="0" collapsed="false">
      <c r="A2312" s="0" t="n">
        <f aca="false">B2312*1000+C2312</f>
        <v>39000</v>
      </c>
      <c r="B2312" s="0" t="n">
        <v>39</v>
      </c>
      <c r="C2312" s="0" t="n">
        <v>0</v>
      </c>
      <c r="D2312" s="0" t="n">
        <v>132912</v>
      </c>
      <c r="E2312" s="0" t="n">
        <f aca="false">VLOOKUP(B2312,'MSA-Lookup'!$H$2:$I$86,2)</f>
        <v>7120</v>
      </c>
      <c r="F2312" s="0" t="n">
        <f aca="false">IF(C2312&gt;1,IF(C2312&lt;99,VLOOKUP(C2312,'MSA-Lookup'!$H$1:$I$86,2),C2312),C2312)</f>
        <v>0</v>
      </c>
      <c r="G2312" s="0" t="n">
        <f aca="false">VLOOKUP(E2312,'MSA-Lookup'!$AA$1:$AB$25,2)</f>
        <v>7120</v>
      </c>
      <c r="H2312" s="0" t="n">
        <f aca="false">IF(C2312&gt;1,IF(C2312&lt;99,VLOOKUP(F2312,'MSA-Lookup'!$AA$1:$AB$25,2),C2312),C2312)</f>
        <v>0</v>
      </c>
    </row>
    <row r="2313" customFormat="false" ht="12.75" hidden="false" customHeight="false" outlineLevel="0" collapsed="false">
      <c r="A2313" s="0" t="n">
        <f aca="false">B2313*1000+C2313</f>
        <v>39001</v>
      </c>
      <c r="B2313" s="0" t="n">
        <v>39</v>
      </c>
      <c r="C2313" s="0" t="n">
        <v>1</v>
      </c>
      <c r="D2313" s="0" t="n">
        <v>0</v>
      </c>
      <c r="E2313" s="0" t="n">
        <f aca="false">VLOOKUP(B2313,'MSA-Lookup'!$H$2:$I$86,2)</f>
        <v>7120</v>
      </c>
      <c r="F2313" s="0" t="n">
        <f aca="false">IF(C2313&gt;1,IF(C2313&lt;99,VLOOKUP(C2313,'MSA-Lookup'!$H$1:$I$86,2),C2313),C2313)</f>
        <v>1</v>
      </c>
      <c r="G2313" s="0" t="n">
        <f aca="false">VLOOKUP(E2313,'MSA-Lookup'!$AA$1:$AB$25,2)</f>
        <v>7120</v>
      </c>
      <c r="H2313" s="0" t="n">
        <f aca="false">IF(C2313&gt;1,IF(C2313&lt;99,VLOOKUP(F2313,'MSA-Lookup'!$AA$1:$AB$25,2),C2313),C2313)</f>
        <v>1</v>
      </c>
    </row>
    <row r="2314" customFormat="false" ht="12.75" hidden="false" customHeight="false" outlineLevel="0" collapsed="false">
      <c r="A2314" s="0" t="n">
        <f aca="false">B2314*1000+C2314</f>
        <v>39002</v>
      </c>
      <c r="B2314" s="0" t="n">
        <v>39</v>
      </c>
      <c r="C2314" s="0" t="n">
        <v>2</v>
      </c>
      <c r="D2314" s="0" t="n">
        <v>0</v>
      </c>
      <c r="E2314" s="0" t="n">
        <f aca="false">VLOOKUP(B2314,'MSA-Lookup'!$H$2:$I$86,2)</f>
        <v>7120</v>
      </c>
      <c r="F2314" s="0" t="n">
        <f aca="false">IF(C2314&gt;1,IF(C2314&lt;99,VLOOKUP(C2314,'MSA-Lookup'!$H$1:$I$86,2),C2314),C2314)</f>
        <v>9999</v>
      </c>
      <c r="G2314" s="0" t="n">
        <f aca="false">VLOOKUP(E2314,'MSA-Lookup'!$AA$1:$AB$25,2)</f>
        <v>7120</v>
      </c>
      <c r="H2314" s="0" t="n">
        <f aca="false">IF(C2314&gt;1,IF(C2314&lt;99,VLOOKUP(F2314,'MSA-Lookup'!$AA$1:$AB$25,2),C2314),C2314)</f>
        <v>9999</v>
      </c>
    </row>
    <row r="2315" customFormat="false" ht="12.75" hidden="false" customHeight="false" outlineLevel="0" collapsed="false">
      <c r="A2315" s="0" t="n">
        <f aca="false">B2315*1000+C2315</f>
        <v>39003</v>
      </c>
      <c r="B2315" s="0" t="n">
        <v>39</v>
      </c>
      <c r="C2315" s="0" t="n">
        <v>3</v>
      </c>
      <c r="D2315" s="0" t="n">
        <v>130</v>
      </c>
      <c r="E2315" s="0" t="n">
        <f aca="false">VLOOKUP(B2315,'MSA-Lookup'!$H$2:$I$86,2)</f>
        <v>7120</v>
      </c>
      <c r="F2315" s="0" t="n">
        <f aca="false">IF(C2315&gt;1,IF(C2315&lt;99,VLOOKUP(C2315,'MSA-Lookup'!$H$1:$I$86,2),C2315),C2315)</f>
        <v>6690</v>
      </c>
      <c r="G2315" s="0" t="n">
        <f aca="false">VLOOKUP(E2315,'MSA-Lookup'!$AA$1:$AB$25,2)</f>
        <v>7120</v>
      </c>
      <c r="H2315" s="0" t="n">
        <f aca="false">IF(C2315&gt;1,IF(C2315&lt;99,VLOOKUP(F2315,'MSA-Lookup'!$AA$1:$AB$25,2),C2315),C2315)</f>
        <v>6690</v>
      </c>
    </row>
    <row r="2316" customFormat="false" ht="12.75" hidden="false" customHeight="false" outlineLevel="0" collapsed="false">
      <c r="A2316" s="0" t="n">
        <f aca="false">B2316*1000+C2316</f>
        <v>39004</v>
      </c>
      <c r="B2316" s="0" t="n">
        <v>39</v>
      </c>
      <c r="C2316" s="0" t="n">
        <v>4</v>
      </c>
      <c r="D2316" s="0" t="n">
        <v>0</v>
      </c>
      <c r="E2316" s="0" t="n">
        <f aca="false">VLOOKUP(B2316,'MSA-Lookup'!$H$2:$I$86,2)</f>
        <v>7120</v>
      </c>
      <c r="F2316" s="0" t="n">
        <f aca="false">IF(C2316&gt;1,IF(C2316&lt;99,VLOOKUP(C2316,'MSA-Lookup'!$H$1:$I$86,2),C2316),C2316)</f>
        <v>9999</v>
      </c>
      <c r="G2316" s="0" t="n">
        <f aca="false">VLOOKUP(E2316,'MSA-Lookup'!$AA$1:$AB$25,2)</f>
        <v>7120</v>
      </c>
      <c r="H2316" s="0" t="n">
        <f aca="false">IF(C2316&gt;1,IF(C2316&lt;99,VLOOKUP(F2316,'MSA-Lookup'!$AA$1:$AB$25,2),C2316),C2316)</f>
        <v>9999</v>
      </c>
    </row>
    <row r="2317" customFormat="false" ht="12.75" hidden="false" customHeight="false" outlineLevel="0" collapsed="false">
      <c r="A2317" s="0" t="n">
        <f aca="false">B2317*1000+C2317</f>
        <v>39005</v>
      </c>
      <c r="B2317" s="0" t="n">
        <v>39</v>
      </c>
      <c r="C2317" s="0" t="n">
        <v>5</v>
      </c>
      <c r="D2317" s="0" t="n">
        <v>0</v>
      </c>
      <c r="E2317" s="0" t="n">
        <f aca="false">VLOOKUP(B2317,'MSA-Lookup'!$H$2:$I$86,2)</f>
        <v>7120</v>
      </c>
      <c r="F2317" s="0" t="n">
        <f aca="false">IF(C2317&gt;1,IF(C2317&lt;99,VLOOKUP(C2317,'MSA-Lookup'!$H$1:$I$86,2),C2317),C2317)</f>
        <v>9999</v>
      </c>
      <c r="G2317" s="0" t="n">
        <f aca="false">VLOOKUP(E2317,'MSA-Lookup'!$AA$1:$AB$25,2)</f>
        <v>7120</v>
      </c>
      <c r="H2317" s="0" t="n">
        <f aca="false">IF(C2317&gt;1,IF(C2317&lt;99,VLOOKUP(F2317,'MSA-Lookup'!$AA$1:$AB$25,2),C2317),C2317)</f>
        <v>9999</v>
      </c>
    </row>
    <row r="2318" customFormat="false" ht="12.75" hidden="false" customHeight="false" outlineLevel="0" collapsed="false">
      <c r="A2318" s="0" t="n">
        <f aca="false">B2318*1000+C2318</f>
        <v>39006</v>
      </c>
      <c r="B2318" s="0" t="n">
        <v>39</v>
      </c>
      <c r="C2318" s="0" t="n">
        <v>6</v>
      </c>
      <c r="D2318" s="0" t="n">
        <v>0</v>
      </c>
      <c r="E2318" s="0" t="n">
        <f aca="false">VLOOKUP(B2318,'MSA-Lookup'!$H$2:$I$86,2)</f>
        <v>7120</v>
      </c>
      <c r="F2318" s="0" t="n">
        <f aca="false">IF(C2318&gt;1,IF(C2318&lt;99,VLOOKUP(C2318,'MSA-Lookup'!$H$1:$I$86,2),C2318),C2318)</f>
        <v>1620</v>
      </c>
      <c r="G2318" s="0" t="n">
        <f aca="false">VLOOKUP(E2318,'MSA-Lookup'!$AA$1:$AB$25,2)</f>
        <v>7120</v>
      </c>
      <c r="H2318" s="0" t="n">
        <f aca="false">IF(C2318&gt;1,IF(C2318&lt;99,VLOOKUP(F2318,'MSA-Lookup'!$AA$1:$AB$25,2),C2318),C2318)</f>
        <v>1620</v>
      </c>
    </row>
    <row r="2319" customFormat="false" ht="12.75" hidden="false" customHeight="false" outlineLevel="0" collapsed="false">
      <c r="A2319" s="0" t="n">
        <f aca="false">B2319*1000+C2319</f>
        <v>39007</v>
      </c>
      <c r="B2319" s="0" t="n">
        <v>39</v>
      </c>
      <c r="C2319" s="0" t="n">
        <v>7</v>
      </c>
      <c r="D2319" s="0" t="n">
        <v>0</v>
      </c>
      <c r="E2319" s="0" t="n">
        <f aca="false">VLOOKUP(B2319,'MSA-Lookup'!$H$2:$I$86,2)</f>
        <v>7120</v>
      </c>
      <c r="F2319" s="0" t="n">
        <f aca="false">IF(C2319&gt;1,IF(C2319&lt;99,VLOOKUP(C2319,'MSA-Lookup'!$H$1:$I$86,2),C2319),C2319)</f>
        <v>9999</v>
      </c>
      <c r="G2319" s="0" t="n">
        <f aca="false">VLOOKUP(E2319,'MSA-Lookup'!$AA$1:$AB$25,2)</f>
        <v>7120</v>
      </c>
      <c r="H2319" s="0" t="n">
        <f aca="false">IF(C2319&gt;1,IF(C2319&lt;99,VLOOKUP(F2319,'MSA-Lookup'!$AA$1:$AB$25,2),C2319),C2319)</f>
        <v>9999</v>
      </c>
    </row>
    <row r="2320" customFormat="false" ht="12.75" hidden="false" customHeight="false" outlineLevel="0" collapsed="false">
      <c r="A2320" s="0" t="n">
        <f aca="false">B2320*1000+C2320</f>
        <v>39008</v>
      </c>
      <c r="B2320" s="0" t="n">
        <v>39</v>
      </c>
      <c r="C2320" s="0" t="n">
        <v>8</v>
      </c>
      <c r="D2320" s="0" t="n">
        <v>130</v>
      </c>
      <c r="E2320" s="0" t="n">
        <f aca="false">VLOOKUP(B2320,'MSA-Lookup'!$H$2:$I$86,2)</f>
        <v>7120</v>
      </c>
      <c r="F2320" s="0" t="n">
        <f aca="false">IF(C2320&gt;1,IF(C2320&lt;99,VLOOKUP(C2320,'MSA-Lookup'!$H$1:$I$86,2),C2320),C2320)</f>
        <v>9340</v>
      </c>
      <c r="G2320" s="0" t="n">
        <f aca="false">VLOOKUP(E2320,'MSA-Lookup'!$AA$1:$AB$25,2)</f>
        <v>7120</v>
      </c>
      <c r="H2320" s="0" t="n">
        <f aca="false">IF(C2320&gt;1,IF(C2320&lt;99,VLOOKUP(F2320,'MSA-Lookup'!$AA$1:$AB$25,2),C2320),C2320)</f>
        <v>9340</v>
      </c>
    </row>
    <row r="2321" customFormat="false" ht="12.75" hidden="false" customHeight="false" outlineLevel="0" collapsed="false">
      <c r="A2321" s="0" t="n">
        <f aca="false">B2321*1000+C2321</f>
        <v>39009</v>
      </c>
      <c r="B2321" s="0" t="n">
        <v>39</v>
      </c>
      <c r="C2321" s="0" t="n">
        <v>9</v>
      </c>
      <c r="D2321" s="0" t="n">
        <v>0</v>
      </c>
      <c r="E2321" s="0" t="n">
        <f aca="false">VLOOKUP(B2321,'MSA-Lookup'!$H$2:$I$86,2)</f>
        <v>7120</v>
      </c>
      <c r="F2321" s="0" t="n">
        <f aca="false">IF(C2321&gt;1,IF(C2321&lt;99,VLOOKUP(C2321,'MSA-Lookup'!$H$1:$I$86,2),C2321),C2321)</f>
        <v>8720</v>
      </c>
      <c r="G2321" s="0" t="n">
        <f aca="false">VLOOKUP(E2321,'MSA-Lookup'!$AA$1:$AB$25,2)</f>
        <v>7120</v>
      </c>
      <c r="H2321" s="0" t="n">
        <f aca="false">IF(C2321&gt;1,IF(C2321&lt;99,VLOOKUP(F2321,'MSA-Lookup'!$AA$1:$AB$25,2),C2321),C2321)</f>
        <v>7362</v>
      </c>
    </row>
    <row r="2322" customFormat="false" ht="12.75" hidden="false" customHeight="false" outlineLevel="0" collapsed="false">
      <c r="A2322" s="0" t="n">
        <f aca="false">B2322*1000+C2322</f>
        <v>39010</v>
      </c>
      <c r="B2322" s="0" t="n">
        <v>39</v>
      </c>
      <c r="C2322" s="0" t="n">
        <v>10</v>
      </c>
      <c r="D2322" s="0" t="n">
        <v>0</v>
      </c>
      <c r="E2322" s="0" t="n">
        <f aca="false">VLOOKUP(B2322,'MSA-Lookup'!$H$2:$I$86,2)</f>
        <v>7120</v>
      </c>
      <c r="F2322" s="0" t="n">
        <f aca="false">IF(C2322&gt;1,IF(C2322&lt;99,VLOOKUP(C2322,'MSA-Lookup'!$H$1:$I$86,2),C2322),C2322)</f>
        <v>6920</v>
      </c>
      <c r="G2322" s="0" t="n">
        <f aca="false">VLOOKUP(E2322,'MSA-Lookup'!$AA$1:$AB$25,2)</f>
        <v>7120</v>
      </c>
      <c r="H2322" s="0" t="n">
        <f aca="false">IF(C2322&gt;1,IF(C2322&lt;99,VLOOKUP(F2322,'MSA-Lookup'!$AA$1:$AB$25,2),C2322),C2322)</f>
        <v>6920</v>
      </c>
    </row>
    <row r="2323" customFormat="false" ht="12.75" hidden="false" customHeight="false" outlineLevel="0" collapsed="false">
      <c r="A2323" s="0" t="n">
        <f aca="false">B2323*1000+C2323</f>
        <v>39011</v>
      </c>
      <c r="B2323" s="0" t="n">
        <v>39</v>
      </c>
      <c r="C2323" s="0" t="n">
        <v>11</v>
      </c>
      <c r="D2323" s="0" t="n">
        <v>0</v>
      </c>
      <c r="E2323" s="0" t="n">
        <f aca="false">VLOOKUP(B2323,'MSA-Lookup'!$H$2:$I$86,2)</f>
        <v>7120</v>
      </c>
      <c r="F2323" s="0" t="n">
        <f aca="false">IF(C2323&gt;1,IF(C2323&lt;99,VLOOKUP(C2323,'MSA-Lookup'!$H$1:$I$86,2),C2323),C2323)</f>
        <v>6920</v>
      </c>
      <c r="G2323" s="0" t="n">
        <f aca="false">VLOOKUP(E2323,'MSA-Lookup'!$AA$1:$AB$25,2)</f>
        <v>7120</v>
      </c>
      <c r="H2323" s="0" t="n">
        <f aca="false">IF(C2323&gt;1,IF(C2323&lt;99,VLOOKUP(F2323,'MSA-Lookup'!$AA$1:$AB$25,2),C2323),C2323)</f>
        <v>6920</v>
      </c>
    </row>
    <row r="2324" customFormat="false" ht="12.75" hidden="false" customHeight="false" outlineLevel="0" collapsed="false">
      <c r="A2324" s="0" t="n">
        <f aca="false">B2324*1000+C2324</f>
        <v>39012</v>
      </c>
      <c r="B2324" s="0" t="n">
        <v>39</v>
      </c>
      <c r="C2324" s="0" t="n">
        <v>12</v>
      </c>
      <c r="D2324" s="0" t="n">
        <v>0</v>
      </c>
      <c r="E2324" s="0" t="n">
        <f aca="false">VLOOKUP(B2324,'MSA-Lookup'!$H$2:$I$86,2)</f>
        <v>7120</v>
      </c>
      <c r="F2324" s="0" t="n">
        <f aca="false">IF(C2324&gt;1,IF(C2324&lt;99,VLOOKUP(C2324,'MSA-Lookup'!$H$1:$I$86,2),C2324),C2324)</f>
        <v>6920</v>
      </c>
      <c r="G2324" s="0" t="n">
        <f aca="false">VLOOKUP(E2324,'MSA-Lookup'!$AA$1:$AB$25,2)</f>
        <v>7120</v>
      </c>
      <c r="H2324" s="0" t="n">
        <f aca="false">IF(C2324&gt;1,IF(C2324&lt;99,VLOOKUP(F2324,'MSA-Lookup'!$AA$1:$AB$25,2),C2324),C2324)</f>
        <v>6920</v>
      </c>
    </row>
    <row r="2325" customFormat="false" ht="12.75" hidden="false" customHeight="false" outlineLevel="0" collapsed="false">
      <c r="A2325" s="0" t="n">
        <f aca="false">B2325*1000+C2325</f>
        <v>39013</v>
      </c>
      <c r="B2325" s="0" t="n">
        <v>39</v>
      </c>
      <c r="C2325" s="0" t="n">
        <v>13</v>
      </c>
      <c r="D2325" s="0" t="n">
        <v>0</v>
      </c>
      <c r="E2325" s="0" t="n">
        <f aca="false">VLOOKUP(B2325,'MSA-Lookup'!$H$2:$I$86,2)</f>
        <v>7120</v>
      </c>
      <c r="F2325" s="0" t="n">
        <f aca="false">IF(C2325&gt;1,IF(C2325&lt;99,VLOOKUP(C2325,'MSA-Lookup'!$H$1:$I$86,2),C2325),C2325)</f>
        <v>7500</v>
      </c>
      <c r="G2325" s="0" t="n">
        <f aca="false">VLOOKUP(E2325,'MSA-Lookup'!$AA$1:$AB$25,2)</f>
        <v>7120</v>
      </c>
      <c r="H2325" s="0" t="n">
        <f aca="false">IF(C2325&gt;1,IF(C2325&lt;99,VLOOKUP(F2325,'MSA-Lookup'!$AA$1:$AB$25,2),C2325),C2325)</f>
        <v>7362</v>
      </c>
    </row>
    <row r="2326" customFormat="false" ht="12.75" hidden="false" customHeight="false" outlineLevel="0" collapsed="false">
      <c r="A2326" s="0" t="n">
        <f aca="false">B2326*1000+C2326</f>
        <v>39014</v>
      </c>
      <c r="B2326" s="0" t="n">
        <v>39</v>
      </c>
      <c r="C2326" s="0" t="n">
        <v>14</v>
      </c>
      <c r="D2326" s="0" t="n">
        <v>0</v>
      </c>
      <c r="E2326" s="0" t="n">
        <f aca="false">VLOOKUP(B2326,'MSA-Lookup'!$H$2:$I$86,2)</f>
        <v>7120</v>
      </c>
      <c r="F2326" s="0" t="n">
        <f aca="false">IF(C2326&gt;1,IF(C2326&lt;99,VLOOKUP(C2326,'MSA-Lookup'!$H$1:$I$86,2),C2326),C2326)</f>
        <v>7500</v>
      </c>
      <c r="G2326" s="0" t="n">
        <f aca="false">VLOOKUP(E2326,'MSA-Lookup'!$AA$1:$AB$25,2)</f>
        <v>7120</v>
      </c>
      <c r="H2326" s="0" t="n">
        <f aca="false">IF(C2326&gt;1,IF(C2326&lt;99,VLOOKUP(F2326,'MSA-Lookup'!$AA$1:$AB$25,2),C2326),C2326)</f>
        <v>7362</v>
      </c>
    </row>
    <row r="2327" customFormat="false" ht="12.75" hidden="false" customHeight="false" outlineLevel="0" collapsed="false">
      <c r="A2327" s="0" t="n">
        <f aca="false">B2327*1000+C2327</f>
        <v>39015</v>
      </c>
      <c r="B2327" s="0" t="n">
        <v>39</v>
      </c>
      <c r="C2327" s="0" t="n">
        <v>15</v>
      </c>
      <c r="D2327" s="0" t="n">
        <v>0</v>
      </c>
      <c r="E2327" s="0" t="n">
        <f aca="false">VLOOKUP(B2327,'MSA-Lookup'!$H$2:$I$86,2)</f>
        <v>7120</v>
      </c>
      <c r="F2327" s="0" t="n">
        <f aca="false">IF(C2327&gt;1,IF(C2327&lt;99,VLOOKUP(C2327,'MSA-Lookup'!$H$1:$I$86,2),C2327),C2327)</f>
        <v>7360</v>
      </c>
      <c r="G2327" s="0" t="n">
        <f aca="false">VLOOKUP(E2327,'MSA-Lookup'!$AA$1:$AB$25,2)</f>
        <v>7120</v>
      </c>
      <c r="H2327" s="0" t="n">
        <f aca="false">IF(C2327&gt;1,IF(C2327&lt;99,VLOOKUP(F2327,'MSA-Lookup'!$AA$1:$AB$25,2),C2327),C2327)</f>
        <v>7362</v>
      </c>
    </row>
    <row r="2328" customFormat="false" ht="12.75" hidden="false" customHeight="false" outlineLevel="0" collapsed="false">
      <c r="A2328" s="0" t="n">
        <f aca="false">B2328*1000+C2328</f>
        <v>39016</v>
      </c>
      <c r="B2328" s="0" t="n">
        <v>39</v>
      </c>
      <c r="C2328" s="0" t="n">
        <v>16</v>
      </c>
      <c r="D2328" s="0" t="n">
        <v>0</v>
      </c>
      <c r="E2328" s="0" t="n">
        <f aca="false">VLOOKUP(B2328,'MSA-Lookup'!$H$2:$I$86,2)</f>
        <v>7120</v>
      </c>
      <c r="F2328" s="0" t="n">
        <f aca="false">IF(C2328&gt;1,IF(C2328&lt;99,VLOOKUP(C2328,'MSA-Lookup'!$H$1:$I$86,2),C2328),C2328)</f>
        <v>8720</v>
      </c>
      <c r="G2328" s="0" t="n">
        <f aca="false">VLOOKUP(E2328,'MSA-Lookup'!$AA$1:$AB$25,2)</f>
        <v>7120</v>
      </c>
      <c r="H2328" s="0" t="n">
        <f aca="false">IF(C2328&gt;1,IF(C2328&lt;99,VLOOKUP(F2328,'MSA-Lookup'!$AA$1:$AB$25,2),C2328),C2328)</f>
        <v>7362</v>
      </c>
    </row>
    <row r="2329" customFormat="false" ht="12.75" hidden="false" customHeight="false" outlineLevel="0" collapsed="false">
      <c r="A2329" s="0" t="n">
        <f aca="false">B2329*1000+C2329</f>
        <v>39017</v>
      </c>
      <c r="B2329" s="0" t="n">
        <v>39</v>
      </c>
      <c r="C2329" s="0" t="n">
        <v>17</v>
      </c>
      <c r="D2329" s="0" t="n">
        <v>130</v>
      </c>
      <c r="E2329" s="0" t="n">
        <f aca="false">VLOOKUP(B2329,'MSA-Lookup'!$H$2:$I$86,2)</f>
        <v>7120</v>
      </c>
      <c r="F2329" s="0" t="n">
        <f aca="false">IF(C2329&gt;1,IF(C2329&lt;99,VLOOKUP(C2329,'MSA-Lookup'!$H$1:$I$86,2),C2329),C2329)</f>
        <v>5775</v>
      </c>
      <c r="G2329" s="0" t="n">
        <f aca="false">VLOOKUP(E2329,'MSA-Lookup'!$AA$1:$AB$25,2)</f>
        <v>7120</v>
      </c>
      <c r="H2329" s="0" t="n">
        <f aca="false">IF(C2329&gt;1,IF(C2329&lt;99,VLOOKUP(F2329,'MSA-Lookup'!$AA$1:$AB$25,2),C2329),C2329)</f>
        <v>7362</v>
      </c>
    </row>
    <row r="2330" customFormat="false" ht="12.75" hidden="false" customHeight="false" outlineLevel="0" collapsed="false">
      <c r="A2330" s="0" t="n">
        <f aca="false">B2330*1000+C2330</f>
        <v>39018</v>
      </c>
      <c r="B2330" s="0" t="n">
        <v>39</v>
      </c>
      <c r="C2330" s="0" t="n">
        <v>18</v>
      </c>
      <c r="D2330" s="0" t="n">
        <v>0</v>
      </c>
      <c r="E2330" s="0" t="n">
        <f aca="false">VLOOKUP(B2330,'MSA-Lookup'!$H$2:$I$86,2)</f>
        <v>7120</v>
      </c>
      <c r="F2330" s="0" t="n">
        <f aca="false">IF(C2330&gt;1,IF(C2330&lt;99,VLOOKUP(C2330,'MSA-Lookup'!$H$1:$I$86,2),C2330),C2330)</f>
        <v>5775</v>
      </c>
      <c r="G2330" s="0" t="n">
        <f aca="false">VLOOKUP(E2330,'MSA-Lookup'!$AA$1:$AB$25,2)</f>
        <v>7120</v>
      </c>
      <c r="H2330" s="0" t="n">
        <f aca="false">IF(C2330&gt;1,IF(C2330&lt;99,VLOOKUP(F2330,'MSA-Lookup'!$AA$1:$AB$25,2),C2330),C2330)</f>
        <v>7362</v>
      </c>
    </row>
    <row r="2331" customFormat="false" ht="12.75" hidden="false" customHeight="false" outlineLevel="0" collapsed="false">
      <c r="A2331" s="0" t="n">
        <f aca="false">B2331*1000+C2331</f>
        <v>39019</v>
      </c>
      <c r="B2331" s="0" t="n">
        <v>39</v>
      </c>
      <c r="C2331" s="0" t="n">
        <v>19</v>
      </c>
      <c r="D2331" s="0" t="n">
        <v>0</v>
      </c>
      <c r="E2331" s="0" t="n">
        <f aca="false">VLOOKUP(B2331,'MSA-Lookup'!$H$2:$I$86,2)</f>
        <v>7120</v>
      </c>
      <c r="F2331" s="0" t="n">
        <f aca="false">IF(C2331&gt;1,IF(C2331&lt;99,VLOOKUP(C2331,'MSA-Lookup'!$H$1:$I$86,2),C2331),C2331)</f>
        <v>7360</v>
      </c>
      <c r="G2331" s="0" t="n">
        <f aca="false">VLOOKUP(E2331,'MSA-Lookup'!$AA$1:$AB$25,2)</f>
        <v>7120</v>
      </c>
      <c r="H2331" s="0" t="n">
        <f aca="false">IF(C2331&gt;1,IF(C2331&lt;99,VLOOKUP(F2331,'MSA-Lookup'!$AA$1:$AB$25,2),C2331),C2331)</f>
        <v>7362</v>
      </c>
    </row>
    <row r="2332" customFormat="false" ht="12.75" hidden="false" customHeight="false" outlineLevel="0" collapsed="false">
      <c r="A2332" s="0" t="n">
        <f aca="false">B2332*1000+C2332</f>
        <v>39020</v>
      </c>
      <c r="B2332" s="0" t="n">
        <v>39</v>
      </c>
      <c r="C2332" s="0" t="n">
        <v>20</v>
      </c>
      <c r="D2332" s="0" t="n">
        <v>0</v>
      </c>
      <c r="E2332" s="0" t="n">
        <f aca="false">VLOOKUP(B2332,'MSA-Lookup'!$H$2:$I$86,2)</f>
        <v>7120</v>
      </c>
      <c r="F2332" s="0" t="n">
        <f aca="false">IF(C2332&gt;1,IF(C2332&lt;99,VLOOKUP(C2332,'MSA-Lookup'!$H$1:$I$86,2),C2332),C2332)</f>
        <v>5775</v>
      </c>
      <c r="G2332" s="0" t="n">
        <f aca="false">VLOOKUP(E2332,'MSA-Lookup'!$AA$1:$AB$25,2)</f>
        <v>7120</v>
      </c>
      <c r="H2332" s="0" t="n">
        <f aca="false">IF(C2332&gt;1,IF(C2332&lt;99,VLOOKUP(F2332,'MSA-Lookup'!$AA$1:$AB$25,2),C2332),C2332)</f>
        <v>7362</v>
      </c>
    </row>
    <row r="2333" customFormat="false" ht="12.75" hidden="false" customHeight="false" outlineLevel="0" collapsed="false">
      <c r="A2333" s="0" t="n">
        <f aca="false">B2333*1000+C2333</f>
        <v>39021</v>
      </c>
      <c r="B2333" s="0" t="n">
        <v>39</v>
      </c>
      <c r="C2333" s="0" t="n">
        <v>21</v>
      </c>
      <c r="D2333" s="0" t="n">
        <v>208</v>
      </c>
      <c r="E2333" s="0" t="n">
        <f aca="false">VLOOKUP(B2333,'MSA-Lookup'!$H$2:$I$86,2)</f>
        <v>7120</v>
      </c>
      <c r="F2333" s="0" t="n">
        <f aca="false">IF(C2333&gt;1,IF(C2333&lt;99,VLOOKUP(C2333,'MSA-Lookup'!$H$1:$I$86,2),C2333),C2333)</f>
        <v>5775</v>
      </c>
      <c r="G2333" s="0" t="n">
        <f aca="false">VLOOKUP(E2333,'MSA-Lookup'!$AA$1:$AB$25,2)</f>
        <v>7120</v>
      </c>
      <c r="H2333" s="0" t="n">
        <f aca="false">IF(C2333&gt;1,IF(C2333&lt;99,VLOOKUP(F2333,'MSA-Lookup'!$AA$1:$AB$25,2),C2333),C2333)</f>
        <v>7362</v>
      </c>
    </row>
    <row r="2334" customFormat="false" ht="12.75" hidden="false" customHeight="false" outlineLevel="0" collapsed="false">
      <c r="A2334" s="0" t="n">
        <f aca="false">B2334*1000+C2334</f>
        <v>39022</v>
      </c>
      <c r="B2334" s="0" t="n">
        <v>39</v>
      </c>
      <c r="C2334" s="0" t="n">
        <v>22</v>
      </c>
      <c r="D2334" s="0" t="n">
        <v>247</v>
      </c>
      <c r="E2334" s="0" t="n">
        <f aca="false">VLOOKUP(B2334,'MSA-Lookup'!$H$2:$I$86,2)</f>
        <v>7120</v>
      </c>
      <c r="F2334" s="0" t="n">
        <f aca="false">IF(C2334&gt;1,IF(C2334&lt;99,VLOOKUP(C2334,'MSA-Lookup'!$H$1:$I$86,2),C2334),C2334)</f>
        <v>7360</v>
      </c>
      <c r="G2334" s="0" t="n">
        <f aca="false">VLOOKUP(E2334,'MSA-Lookup'!$AA$1:$AB$25,2)</f>
        <v>7120</v>
      </c>
      <c r="H2334" s="0" t="n">
        <f aca="false">IF(C2334&gt;1,IF(C2334&lt;99,VLOOKUP(F2334,'MSA-Lookup'!$AA$1:$AB$25,2),C2334),C2334)</f>
        <v>7362</v>
      </c>
    </row>
    <row r="2335" customFormat="false" ht="12.75" hidden="false" customHeight="false" outlineLevel="0" collapsed="false">
      <c r="A2335" s="0" t="n">
        <f aca="false">B2335*1000+C2335</f>
        <v>39023</v>
      </c>
      <c r="B2335" s="0" t="n">
        <v>39</v>
      </c>
      <c r="C2335" s="0" t="n">
        <v>23</v>
      </c>
      <c r="D2335" s="0" t="n">
        <v>0</v>
      </c>
      <c r="E2335" s="0" t="n">
        <f aca="false">VLOOKUP(B2335,'MSA-Lookup'!$H$2:$I$86,2)</f>
        <v>7120</v>
      </c>
      <c r="F2335" s="0" t="n">
        <f aca="false">IF(C2335&gt;1,IF(C2335&lt;99,VLOOKUP(C2335,'MSA-Lookup'!$H$1:$I$86,2),C2335),C2335)</f>
        <v>8120</v>
      </c>
      <c r="G2335" s="0" t="n">
        <f aca="false">VLOOKUP(E2335,'MSA-Lookup'!$AA$1:$AB$25,2)</f>
        <v>7120</v>
      </c>
      <c r="H2335" s="0" t="n">
        <f aca="false">IF(C2335&gt;1,IF(C2335&lt;99,VLOOKUP(F2335,'MSA-Lookup'!$AA$1:$AB$25,2),C2335),C2335)</f>
        <v>8120</v>
      </c>
    </row>
    <row r="2336" customFormat="false" ht="12.75" hidden="false" customHeight="false" outlineLevel="0" collapsed="false">
      <c r="A2336" s="0" t="n">
        <f aca="false">B2336*1000+C2336</f>
        <v>39024</v>
      </c>
      <c r="B2336" s="0" t="n">
        <v>39</v>
      </c>
      <c r="C2336" s="0" t="n">
        <v>24</v>
      </c>
      <c r="D2336" s="0" t="n">
        <v>0</v>
      </c>
      <c r="E2336" s="0" t="n">
        <f aca="false">VLOOKUP(B2336,'MSA-Lookup'!$H$2:$I$86,2)</f>
        <v>7120</v>
      </c>
      <c r="F2336" s="0" t="n">
        <f aca="false">IF(C2336&gt;1,IF(C2336&lt;99,VLOOKUP(C2336,'MSA-Lookup'!$H$1:$I$86,2),C2336),C2336)</f>
        <v>5170</v>
      </c>
      <c r="G2336" s="0" t="n">
        <f aca="false">VLOOKUP(E2336,'MSA-Lookup'!$AA$1:$AB$25,2)</f>
        <v>7120</v>
      </c>
      <c r="H2336" s="0" t="n">
        <f aca="false">IF(C2336&gt;1,IF(C2336&lt;99,VLOOKUP(F2336,'MSA-Lookup'!$AA$1:$AB$25,2),C2336),C2336)</f>
        <v>5170</v>
      </c>
    </row>
    <row r="2337" customFormat="false" ht="12.75" hidden="false" customHeight="false" outlineLevel="0" collapsed="false">
      <c r="A2337" s="0" t="n">
        <f aca="false">B2337*1000+C2337</f>
        <v>39025</v>
      </c>
      <c r="B2337" s="0" t="n">
        <v>39</v>
      </c>
      <c r="C2337" s="0" t="n">
        <v>25</v>
      </c>
      <c r="D2337" s="0" t="n">
        <v>0</v>
      </c>
      <c r="E2337" s="0" t="n">
        <f aca="false">VLOOKUP(B2337,'MSA-Lookup'!$H$2:$I$86,2)</f>
        <v>7120</v>
      </c>
      <c r="F2337" s="0" t="n">
        <f aca="false">IF(C2337&gt;1,IF(C2337&lt;99,VLOOKUP(C2337,'MSA-Lookup'!$H$1:$I$86,2),C2337),C2337)</f>
        <v>5170</v>
      </c>
      <c r="G2337" s="0" t="n">
        <f aca="false">VLOOKUP(E2337,'MSA-Lookup'!$AA$1:$AB$25,2)</f>
        <v>7120</v>
      </c>
      <c r="H2337" s="0" t="n">
        <f aca="false">IF(C2337&gt;1,IF(C2337&lt;99,VLOOKUP(F2337,'MSA-Lookup'!$AA$1:$AB$25,2),C2337),C2337)</f>
        <v>5170</v>
      </c>
    </row>
    <row r="2338" customFormat="false" ht="12.75" hidden="false" customHeight="false" outlineLevel="0" collapsed="false">
      <c r="A2338" s="0" t="n">
        <f aca="false">B2338*1000+C2338</f>
        <v>39026</v>
      </c>
      <c r="B2338" s="0" t="n">
        <v>39</v>
      </c>
      <c r="C2338" s="0" t="n">
        <v>26</v>
      </c>
      <c r="D2338" s="0" t="n">
        <v>0</v>
      </c>
      <c r="E2338" s="0" t="n">
        <f aca="false">VLOOKUP(B2338,'MSA-Lookup'!$H$2:$I$86,2)</f>
        <v>7120</v>
      </c>
      <c r="F2338" s="0" t="n">
        <f aca="false">IF(C2338&gt;1,IF(C2338&lt;99,VLOOKUP(C2338,'MSA-Lookup'!$H$1:$I$86,2),C2338),C2338)</f>
        <v>9999</v>
      </c>
      <c r="G2338" s="0" t="n">
        <f aca="false">VLOOKUP(E2338,'MSA-Lookup'!$AA$1:$AB$25,2)</f>
        <v>7120</v>
      </c>
      <c r="H2338" s="0" t="n">
        <f aca="false">IF(C2338&gt;1,IF(C2338&lt;99,VLOOKUP(F2338,'MSA-Lookup'!$AA$1:$AB$25,2),C2338),C2338)</f>
        <v>9999</v>
      </c>
    </row>
    <row r="2339" customFormat="false" ht="12.75" hidden="false" customHeight="false" outlineLevel="0" collapsed="false">
      <c r="A2339" s="0" t="n">
        <f aca="false">B2339*1000+C2339</f>
        <v>39027</v>
      </c>
      <c r="B2339" s="0" t="n">
        <v>39</v>
      </c>
      <c r="C2339" s="0" t="n">
        <v>27</v>
      </c>
      <c r="D2339" s="0" t="n">
        <v>247</v>
      </c>
      <c r="E2339" s="0" t="n">
        <f aca="false">VLOOKUP(B2339,'MSA-Lookup'!$H$2:$I$86,2)</f>
        <v>7120</v>
      </c>
      <c r="F2339" s="0" t="n">
        <f aca="false">IF(C2339&gt;1,IF(C2339&lt;99,VLOOKUP(C2339,'MSA-Lookup'!$H$1:$I$86,2),C2339),C2339)</f>
        <v>9999</v>
      </c>
      <c r="G2339" s="0" t="n">
        <f aca="false">VLOOKUP(E2339,'MSA-Lookup'!$AA$1:$AB$25,2)</f>
        <v>7120</v>
      </c>
      <c r="H2339" s="0" t="n">
        <f aca="false">IF(C2339&gt;1,IF(C2339&lt;99,VLOOKUP(F2339,'MSA-Lookup'!$AA$1:$AB$25,2),C2339),C2339)</f>
        <v>9999</v>
      </c>
    </row>
    <row r="2340" customFormat="false" ht="12.75" hidden="false" customHeight="false" outlineLevel="0" collapsed="false">
      <c r="A2340" s="0" t="n">
        <f aca="false">B2340*1000+C2340</f>
        <v>39028</v>
      </c>
      <c r="B2340" s="0" t="n">
        <v>39</v>
      </c>
      <c r="C2340" s="0" t="n">
        <v>28</v>
      </c>
      <c r="D2340" s="0" t="n">
        <v>0</v>
      </c>
      <c r="E2340" s="0" t="n">
        <f aca="false">VLOOKUP(B2340,'MSA-Lookup'!$H$2:$I$86,2)</f>
        <v>7120</v>
      </c>
      <c r="F2340" s="0" t="n">
        <f aca="false">IF(C2340&gt;1,IF(C2340&lt;99,VLOOKUP(C2340,'MSA-Lookup'!$H$1:$I$86,2),C2340),C2340)</f>
        <v>6920</v>
      </c>
      <c r="G2340" s="0" t="n">
        <f aca="false">VLOOKUP(E2340,'MSA-Lookup'!$AA$1:$AB$25,2)</f>
        <v>7120</v>
      </c>
      <c r="H2340" s="0" t="n">
        <f aca="false">IF(C2340&gt;1,IF(C2340&lt;99,VLOOKUP(F2340,'MSA-Lookup'!$AA$1:$AB$25,2),C2340),C2340)</f>
        <v>6920</v>
      </c>
    </row>
    <row r="2341" customFormat="false" ht="12.75" hidden="false" customHeight="false" outlineLevel="0" collapsed="false">
      <c r="A2341" s="0" t="n">
        <f aca="false">B2341*1000+C2341</f>
        <v>39029</v>
      </c>
      <c r="B2341" s="0" t="n">
        <v>39</v>
      </c>
      <c r="C2341" s="0" t="n">
        <v>29</v>
      </c>
      <c r="D2341" s="0" t="n">
        <v>0</v>
      </c>
      <c r="E2341" s="0" t="n">
        <f aca="false">VLOOKUP(B2341,'MSA-Lookup'!$H$2:$I$86,2)</f>
        <v>7120</v>
      </c>
      <c r="F2341" s="0" t="n">
        <f aca="false">IF(C2341&gt;1,IF(C2341&lt;99,VLOOKUP(C2341,'MSA-Lookup'!$H$1:$I$86,2),C2341),C2341)</f>
        <v>6920</v>
      </c>
      <c r="G2341" s="0" t="n">
        <f aca="false">VLOOKUP(E2341,'MSA-Lookup'!$AA$1:$AB$25,2)</f>
        <v>7120</v>
      </c>
      <c r="H2341" s="0" t="n">
        <f aca="false">IF(C2341&gt;1,IF(C2341&lt;99,VLOOKUP(F2341,'MSA-Lookup'!$AA$1:$AB$25,2),C2341),C2341)</f>
        <v>6920</v>
      </c>
    </row>
    <row r="2342" customFormat="false" ht="12.75" hidden="false" customHeight="false" outlineLevel="0" collapsed="false">
      <c r="A2342" s="0" t="n">
        <f aca="false">B2342*1000+C2342</f>
        <v>39030</v>
      </c>
      <c r="B2342" s="0" t="n">
        <v>39</v>
      </c>
      <c r="C2342" s="0" t="n">
        <v>30</v>
      </c>
      <c r="D2342" s="0" t="n">
        <v>0</v>
      </c>
      <c r="E2342" s="0" t="n">
        <f aca="false">VLOOKUP(B2342,'MSA-Lookup'!$H$2:$I$86,2)</f>
        <v>7120</v>
      </c>
      <c r="F2342" s="0" t="n">
        <f aca="false">IF(C2342&gt;1,IF(C2342&lt;99,VLOOKUP(C2342,'MSA-Lookup'!$H$1:$I$86,2),C2342),C2342)</f>
        <v>4940</v>
      </c>
      <c r="G2342" s="0" t="n">
        <f aca="false">VLOOKUP(E2342,'MSA-Lookup'!$AA$1:$AB$25,2)</f>
        <v>7120</v>
      </c>
      <c r="H2342" s="0" t="n">
        <f aca="false">IF(C2342&gt;1,IF(C2342&lt;99,VLOOKUP(F2342,'MSA-Lookup'!$AA$1:$AB$25,2),C2342),C2342)</f>
        <v>4940</v>
      </c>
    </row>
    <row r="2343" customFormat="false" ht="12.75" hidden="false" customHeight="false" outlineLevel="0" collapsed="false">
      <c r="A2343" s="0" t="n">
        <f aca="false">B2343*1000+C2343</f>
        <v>39031</v>
      </c>
      <c r="B2343" s="0" t="n">
        <v>39</v>
      </c>
      <c r="C2343" s="0" t="n">
        <v>31</v>
      </c>
      <c r="D2343" s="0" t="n">
        <v>0</v>
      </c>
      <c r="E2343" s="0" t="n">
        <f aca="false">VLOOKUP(B2343,'MSA-Lookup'!$H$2:$I$86,2)</f>
        <v>7120</v>
      </c>
      <c r="F2343" s="0" t="n">
        <f aca="false">IF(C2343&gt;1,IF(C2343&lt;99,VLOOKUP(C2343,'MSA-Lookup'!$H$1:$I$86,2),C2343),C2343)</f>
        <v>9999</v>
      </c>
      <c r="G2343" s="0" t="n">
        <f aca="false">VLOOKUP(E2343,'MSA-Lookup'!$AA$1:$AB$25,2)</f>
        <v>7120</v>
      </c>
      <c r="H2343" s="0" t="n">
        <f aca="false">IF(C2343&gt;1,IF(C2343&lt;99,VLOOKUP(F2343,'MSA-Lookup'!$AA$1:$AB$25,2),C2343),C2343)</f>
        <v>9999</v>
      </c>
    </row>
    <row r="2344" customFormat="false" ht="12.75" hidden="false" customHeight="false" outlineLevel="0" collapsed="false">
      <c r="A2344" s="0" t="n">
        <f aca="false">B2344*1000+C2344</f>
        <v>39032</v>
      </c>
      <c r="B2344" s="0" t="n">
        <v>39</v>
      </c>
      <c r="C2344" s="0" t="n">
        <v>32</v>
      </c>
      <c r="D2344" s="0" t="n">
        <v>0</v>
      </c>
      <c r="E2344" s="0" t="n">
        <f aca="false">VLOOKUP(B2344,'MSA-Lookup'!$H$2:$I$86,2)</f>
        <v>7120</v>
      </c>
      <c r="F2344" s="0" t="n">
        <f aca="false">IF(C2344&gt;1,IF(C2344&lt;99,VLOOKUP(C2344,'MSA-Lookup'!$H$1:$I$86,2),C2344),C2344)</f>
        <v>7480</v>
      </c>
      <c r="G2344" s="0" t="n">
        <f aca="false">VLOOKUP(E2344,'MSA-Lookup'!$AA$1:$AB$25,2)</f>
        <v>7120</v>
      </c>
      <c r="H2344" s="0" t="n">
        <f aca="false">IF(C2344&gt;1,IF(C2344&lt;99,VLOOKUP(F2344,'MSA-Lookup'!$AA$1:$AB$25,2),C2344),C2344)</f>
        <v>7480</v>
      </c>
    </row>
    <row r="2345" customFormat="false" ht="12.75" hidden="false" customHeight="false" outlineLevel="0" collapsed="false">
      <c r="A2345" s="0" t="n">
        <f aca="false">B2345*1000+C2345</f>
        <v>39033</v>
      </c>
      <c r="B2345" s="0" t="n">
        <v>39</v>
      </c>
      <c r="C2345" s="0" t="n">
        <v>33</v>
      </c>
      <c r="D2345" s="0" t="n">
        <v>0</v>
      </c>
      <c r="E2345" s="0" t="n">
        <f aca="false">VLOOKUP(B2345,'MSA-Lookup'!$H$2:$I$86,2)</f>
        <v>7120</v>
      </c>
      <c r="F2345" s="0" t="n">
        <f aca="false">IF(C2345&gt;1,IF(C2345&lt;99,VLOOKUP(C2345,'MSA-Lookup'!$H$1:$I$86,2),C2345),C2345)</f>
        <v>7320</v>
      </c>
      <c r="G2345" s="0" t="n">
        <f aca="false">VLOOKUP(E2345,'MSA-Lookup'!$AA$1:$AB$25,2)</f>
        <v>7120</v>
      </c>
      <c r="H2345" s="0" t="n">
        <f aca="false">IF(C2345&gt;1,IF(C2345&lt;99,VLOOKUP(F2345,'MSA-Lookup'!$AA$1:$AB$25,2),C2345),C2345)</f>
        <v>7320</v>
      </c>
    </row>
    <row r="2346" customFormat="false" ht="12.75" hidden="false" customHeight="false" outlineLevel="0" collapsed="false">
      <c r="A2346" s="0" t="n">
        <f aca="false">B2346*1000+C2346</f>
        <v>39034</v>
      </c>
      <c r="B2346" s="0" t="n">
        <v>39</v>
      </c>
      <c r="C2346" s="0" t="n">
        <v>34</v>
      </c>
      <c r="D2346" s="0" t="n">
        <v>0</v>
      </c>
      <c r="E2346" s="0" t="n">
        <f aca="false">VLOOKUP(B2346,'MSA-Lookup'!$H$2:$I$86,2)</f>
        <v>7120</v>
      </c>
      <c r="F2346" s="0" t="n">
        <f aca="false">IF(C2346&gt;1,IF(C2346&lt;99,VLOOKUP(C2346,'MSA-Lookup'!$H$1:$I$86,2),C2346),C2346)</f>
        <v>7320</v>
      </c>
      <c r="G2346" s="0" t="n">
        <f aca="false">VLOOKUP(E2346,'MSA-Lookup'!$AA$1:$AB$25,2)</f>
        <v>7120</v>
      </c>
      <c r="H2346" s="0" t="n">
        <f aca="false">IF(C2346&gt;1,IF(C2346&lt;99,VLOOKUP(F2346,'MSA-Lookup'!$AA$1:$AB$25,2),C2346),C2346)</f>
        <v>7320</v>
      </c>
    </row>
    <row r="2347" customFormat="false" ht="12.75" hidden="false" customHeight="false" outlineLevel="0" collapsed="false">
      <c r="A2347" s="0" t="n">
        <f aca="false">B2347*1000+C2347</f>
        <v>39035</v>
      </c>
      <c r="B2347" s="0" t="n">
        <v>39</v>
      </c>
      <c r="C2347" s="0" t="n">
        <v>35</v>
      </c>
      <c r="D2347" s="0" t="n">
        <v>0</v>
      </c>
      <c r="E2347" s="0" t="n">
        <f aca="false">VLOOKUP(B2347,'MSA-Lookup'!$H$2:$I$86,2)</f>
        <v>7120</v>
      </c>
      <c r="F2347" s="0" t="n">
        <f aca="false">IF(C2347&gt;1,IF(C2347&lt;99,VLOOKUP(C2347,'MSA-Lookup'!$H$1:$I$86,2),C2347),C2347)</f>
        <v>7320</v>
      </c>
      <c r="G2347" s="0" t="n">
        <f aca="false">VLOOKUP(E2347,'MSA-Lookup'!$AA$1:$AB$25,2)</f>
        <v>7120</v>
      </c>
      <c r="H2347" s="0" t="n">
        <f aca="false">IF(C2347&gt;1,IF(C2347&lt;99,VLOOKUP(F2347,'MSA-Lookup'!$AA$1:$AB$25,2),C2347),C2347)</f>
        <v>7320</v>
      </c>
    </row>
    <row r="2348" customFormat="false" ht="12.75" hidden="false" customHeight="false" outlineLevel="0" collapsed="false">
      <c r="A2348" s="0" t="n">
        <f aca="false">B2348*1000+C2348</f>
        <v>39036</v>
      </c>
      <c r="B2348" s="0" t="n">
        <v>39</v>
      </c>
      <c r="C2348" s="0" t="n">
        <v>36</v>
      </c>
      <c r="D2348" s="0" t="n">
        <v>0</v>
      </c>
      <c r="E2348" s="0" t="n">
        <f aca="false">VLOOKUP(B2348,'MSA-Lookup'!$H$2:$I$86,2)</f>
        <v>7120</v>
      </c>
      <c r="F2348" s="0" t="n">
        <f aca="false">IF(C2348&gt;1,IF(C2348&lt;99,VLOOKUP(C2348,'MSA-Lookup'!$H$1:$I$86,2),C2348),C2348)</f>
        <v>7320</v>
      </c>
      <c r="G2348" s="0" t="n">
        <f aca="false">VLOOKUP(E2348,'MSA-Lookup'!$AA$1:$AB$25,2)</f>
        <v>7120</v>
      </c>
      <c r="H2348" s="0" t="n">
        <f aca="false">IF(C2348&gt;1,IF(C2348&lt;99,VLOOKUP(F2348,'MSA-Lookup'!$AA$1:$AB$25,2),C2348),C2348)</f>
        <v>7320</v>
      </c>
    </row>
    <row r="2349" customFormat="false" ht="12.75" hidden="false" customHeight="false" outlineLevel="0" collapsed="false">
      <c r="A2349" s="0" t="n">
        <f aca="false">B2349*1000+C2349</f>
        <v>39037</v>
      </c>
      <c r="B2349" s="0" t="n">
        <v>39</v>
      </c>
      <c r="C2349" s="0" t="n">
        <v>37</v>
      </c>
      <c r="D2349" s="0" t="n">
        <v>0</v>
      </c>
      <c r="E2349" s="0" t="n">
        <f aca="false">VLOOKUP(B2349,'MSA-Lookup'!$H$2:$I$86,2)</f>
        <v>7120</v>
      </c>
      <c r="F2349" s="0" t="n">
        <f aca="false">IF(C2349&gt;1,IF(C2349&lt;99,VLOOKUP(C2349,'MSA-Lookup'!$H$1:$I$86,2),C2349),C2349)</f>
        <v>7320</v>
      </c>
      <c r="G2349" s="0" t="n">
        <f aca="false">VLOOKUP(E2349,'MSA-Lookup'!$AA$1:$AB$25,2)</f>
        <v>7120</v>
      </c>
      <c r="H2349" s="0" t="n">
        <f aca="false">IF(C2349&gt;1,IF(C2349&lt;99,VLOOKUP(F2349,'MSA-Lookup'!$AA$1:$AB$25,2),C2349),C2349)</f>
        <v>7320</v>
      </c>
    </row>
    <row r="2350" customFormat="false" ht="12.75" hidden="false" customHeight="false" outlineLevel="0" collapsed="false">
      <c r="A2350" s="0" t="n">
        <f aca="false">B2350*1000+C2350</f>
        <v>39038</v>
      </c>
      <c r="B2350" s="0" t="n">
        <v>39</v>
      </c>
      <c r="C2350" s="0" t="n">
        <v>38</v>
      </c>
      <c r="D2350" s="0" t="n">
        <v>14235</v>
      </c>
      <c r="E2350" s="0" t="n">
        <f aca="false">VLOOKUP(B2350,'MSA-Lookup'!$H$2:$I$86,2)</f>
        <v>7120</v>
      </c>
      <c r="F2350" s="0" t="n">
        <f aca="false">IF(C2350&gt;1,IF(C2350&lt;99,VLOOKUP(C2350,'MSA-Lookup'!$H$1:$I$86,2),C2350),C2350)</f>
        <v>7120</v>
      </c>
      <c r="G2350" s="0" t="n">
        <f aca="false">VLOOKUP(E2350,'MSA-Lookup'!$AA$1:$AB$25,2)</f>
        <v>7120</v>
      </c>
      <c r="H2350" s="0" t="n">
        <f aca="false">IF(C2350&gt;1,IF(C2350&lt;99,VLOOKUP(F2350,'MSA-Lookup'!$AA$1:$AB$25,2),C2350),C2350)</f>
        <v>7120</v>
      </c>
    </row>
    <row r="2351" customFormat="false" ht="12.75" hidden="false" customHeight="false" outlineLevel="0" collapsed="false">
      <c r="A2351" s="0" t="n">
        <f aca="false">B2351*1000+C2351</f>
        <v>39039</v>
      </c>
      <c r="B2351" s="0" t="n">
        <v>39</v>
      </c>
      <c r="C2351" s="0" t="n">
        <v>39</v>
      </c>
      <c r="D2351" s="0" t="n">
        <v>95147</v>
      </c>
      <c r="E2351" s="0" t="n">
        <f aca="false">VLOOKUP(B2351,'MSA-Lookup'!$H$2:$I$86,2)</f>
        <v>7120</v>
      </c>
      <c r="F2351" s="0" t="n">
        <f aca="false">IF(C2351&gt;1,IF(C2351&lt;99,VLOOKUP(C2351,'MSA-Lookup'!$H$1:$I$86,2),C2351),C2351)</f>
        <v>7120</v>
      </c>
      <c r="G2351" s="0" t="n">
        <f aca="false">VLOOKUP(E2351,'MSA-Lookup'!$AA$1:$AB$25,2)</f>
        <v>7120</v>
      </c>
      <c r="H2351" s="0" t="n">
        <f aca="false">IF(C2351&gt;1,IF(C2351&lt;99,VLOOKUP(F2351,'MSA-Lookup'!$AA$1:$AB$25,2),C2351),C2351)</f>
        <v>7120</v>
      </c>
    </row>
    <row r="2352" customFormat="false" ht="12.75" hidden="false" customHeight="false" outlineLevel="0" collapsed="false">
      <c r="A2352" s="0" t="n">
        <f aca="false">B2352*1000+C2352</f>
        <v>39040</v>
      </c>
      <c r="B2352" s="0" t="n">
        <v>39</v>
      </c>
      <c r="C2352" s="0" t="n">
        <v>40</v>
      </c>
      <c r="D2352" s="0" t="n">
        <v>0</v>
      </c>
      <c r="E2352" s="0" t="n">
        <f aca="false">VLOOKUP(B2352,'MSA-Lookup'!$H$2:$I$86,2)</f>
        <v>7120</v>
      </c>
      <c r="F2352" s="0" t="n">
        <f aca="false">IF(C2352&gt;1,IF(C2352&lt;99,VLOOKUP(C2352,'MSA-Lookup'!$H$1:$I$86,2),C2352),C2352)</f>
        <v>2840</v>
      </c>
      <c r="G2352" s="0" t="n">
        <f aca="false">VLOOKUP(E2352,'MSA-Lookup'!$AA$1:$AB$25,2)</f>
        <v>7120</v>
      </c>
      <c r="H2352" s="0" t="n">
        <f aca="false">IF(C2352&gt;1,IF(C2352&lt;99,VLOOKUP(F2352,'MSA-Lookup'!$AA$1:$AB$25,2),C2352),C2352)</f>
        <v>2840</v>
      </c>
    </row>
    <row r="2353" customFormat="false" ht="12.75" hidden="false" customHeight="false" outlineLevel="0" collapsed="false">
      <c r="A2353" s="0" t="n">
        <f aca="false">B2353*1000+C2353</f>
        <v>39041</v>
      </c>
      <c r="B2353" s="0" t="n">
        <v>39</v>
      </c>
      <c r="C2353" s="0" t="n">
        <v>41</v>
      </c>
      <c r="D2353" s="0" t="n">
        <v>0</v>
      </c>
      <c r="E2353" s="0" t="n">
        <f aca="false">VLOOKUP(B2353,'MSA-Lookup'!$H$2:$I$86,2)</f>
        <v>7120</v>
      </c>
      <c r="F2353" s="0" t="n">
        <f aca="false">IF(C2353&gt;1,IF(C2353&lt;99,VLOOKUP(C2353,'MSA-Lookup'!$H$1:$I$86,2),C2353),C2353)</f>
        <v>2840</v>
      </c>
      <c r="G2353" s="0" t="n">
        <f aca="false">VLOOKUP(E2353,'MSA-Lookup'!$AA$1:$AB$25,2)</f>
        <v>7120</v>
      </c>
      <c r="H2353" s="0" t="n">
        <f aca="false">IF(C2353&gt;1,IF(C2353&lt;99,VLOOKUP(F2353,'MSA-Lookup'!$AA$1:$AB$25,2),C2353),C2353)</f>
        <v>2840</v>
      </c>
    </row>
    <row r="2354" customFormat="false" ht="12.75" hidden="false" customHeight="false" outlineLevel="0" collapsed="false">
      <c r="A2354" s="0" t="n">
        <f aca="false">B2354*1000+C2354</f>
        <v>39042</v>
      </c>
      <c r="B2354" s="0" t="n">
        <v>39</v>
      </c>
      <c r="C2354" s="0" t="n">
        <v>42</v>
      </c>
      <c r="D2354" s="0" t="n">
        <v>0</v>
      </c>
      <c r="E2354" s="0" t="n">
        <f aca="false">VLOOKUP(B2354,'MSA-Lookup'!$H$2:$I$86,2)</f>
        <v>7120</v>
      </c>
      <c r="F2354" s="0" t="n">
        <f aca="false">IF(C2354&gt;1,IF(C2354&lt;99,VLOOKUP(C2354,'MSA-Lookup'!$H$1:$I$86,2),C2354),C2354)</f>
        <v>360</v>
      </c>
      <c r="G2354" s="0" t="n">
        <f aca="false">VLOOKUP(E2354,'MSA-Lookup'!$AA$1:$AB$25,2)</f>
        <v>7120</v>
      </c>
      <c r="H2354" s="0" t="n">
        <f aca="false">IF(C2354&gt;1,IF(C2354&lt;99,VLOOKUP(F2354,'MSA-Lookup'!$AA$1:$AB$25,2),C2354),C2354)</f>
        <v>4472</v>
      </c>
    </row>
    <row r="2355" customFormat="false" ht="12.75" hidden="false" customHeight="false" outlineLevel="0" collapsed="false">
      <c r="A2355" s="0" t="n">
        <f aca="false">B2355*1000+C2355</f>
        <v>39043</v>
      </c>
      <c r="B2355" s="0" t="n">
        <v>39</v>
      </c>
      <c r="C2355" s="0" t="n">
        <v>43</v>
      </c>
      <c r="D2355" s="0" t="n">
        <v>0</v>
      </c>
      <c r="E2355" s="0" t="n">
        <f aca="false">VLOOKUP(B2355,'MSA-Lookup'!$H$2:$I$86,2)</f>
        <v>7120</v>
      </c>
      <c r="F2355" s="0" t="n">
        <f aca="false">IF(C2355&gt;1,IF(C2355&lt;99,VLOOKUP(C2355,'MSA-Lookup'!$H$1:$I$86,2),C2355),C2355)</f>
        <v>360</v>
      </c>
      <c r="G2355" s="0" t="n">
        <f aca="false">VLOOKUP(E2355,'MSA-Lookup'!$AA$1:$AB$25,2)</f>
        <v>7120</v>
      </c>
      <c r="H2355" s="0" t="n">
        <f aca="false">IF(C2355&gt;1,IF(C2355&lt;99,VLOOKUP(F2355,'MSA-Lookup'!$AA$1:$AB$25,2),C2355),C2355)</f>
        <v>4472</v>
      </c>
    </row>
    <row r="2356" customFormat="false" ht="12.75" hidden="false" customHeight="false" outlineLevel="0" collapsed="false">
      <c r="A2356" s="0" t="n">
        <f aca="false">B2356*1000+C2356</f>
        <v>39044</v>
      </c>
      <c r="B2356" s="0" t="n">
        <v>39</v>
      </c>
      <c r="C2356" s="0" t="n">
        <v>44</v>
      </c>
      <c r="D2356" s="0" t="n">
        <v>0</v>
      </c>
      <c r="E2356" s="0" t="n">
        <f aca="false">VLOOKUP(B2356,'MSA-Lookup'!$H$2:$I$86,2)</f>
        <v>7120</v>
      </c>
      <c r="F2356" s="0" t="n">
        <f aca="false">IF(C2356&gt;1,IF(C2356&lt;99,VLOOKUP(C2356,'MSA-Lookup'!$H$1:$I$86,2),C2356),C2356)</f>
        <v>360</v>
      </c>
      <c r="G2356" s="0" t="n">
        <f aca="false">VLOOKUP(E2356,'MSA-Lookup'!$AA$1:$AB$25,2)</f>
        <v>7120</v>
      </c>
      <c r="H2356" s="0" t="n">
        <f aca="false">IF(C2356&gt;1,IF(C2356&lt;99,VLOOKUP(F2356,'MSA-Lookup'!$AA$1:$AB$25,2),C2356),C2356)</f>
        <v>4472</v>
      </c>
    </row>
    <row r="2357" customFormat="false" ht="12.75" hidden="false" customHeight="false" outlineLevel="0" collapsed="false">
      <c r="A2357" s="0" t="n">
        <f aca="false">B2357*1000+C2357</f>
        <v>39045</v>
      </c>
      <c r="B2357" s="0" t="n">
        <v>39</v>
      </c>
      <c r="C2357" s="0" t="n">
        <v>45</v>
      </c>
      <c r="D2357" s="0" t="n">
        <v>0</v>
      </c>
      <c r="E2357" s="0" t="n">
        <f aca="false">VLOOKUP(B2357,'MSA-Lookup'!$H$2:$I$86,2)</f>
        <v>7120</v>
      </c>
      <c r="F2357" s="0" t="n">
        <f aca="false">IF(C2357&gt;1,IF(C2357&lt;99,VLOOKUP(C2357,'MSA-Lookup'!$H$1:$I$86,2),C2357),C2357)</f>
        <v>360</v>
      </c>
      <c r="G2357" s="0" t="n">
        <f aca="false">VLOOKUP(E2357,'MSA-Lookup'!$AA$1:$AB$25,2)</f>
        <v>7120</v>
      </c>
      <c r="H2357" s="0" t="n">
        <f aca="false">IF(C2357&gt;1,IF(C2357&lt;99,VLOOKUP(F2357,'MSA-Lookup'!$AA$1:$AB$25,2),C2357),C2357)</f>
        <v>4472</v>
      </c>
    </row>
    <row r="2358" customFormat="false" ht="12.75" hidden="false" customHeight="false" outlineLevel="0" collapsed="false">
      <c r="A2358" s="0" t="n">
        <f aca="false">B2358*1000+C2358</f>
        <v>39046</v>
      </c>
      <c r="B2358" s="0" t="n">
        <v>39</v>
      </c>
      <c r="C2358" s="0" t="n">
        <v>46</v>
      </c>
      <c r="D2358" s="0" t="n">
        <v>0</v>
      </c>
      <c r="E2358" s="0" t="n">
        <f aca="false">VLOOKUP(B2358,'MSA-Lookup'!$H$2:$I$86,2)</f>
        <v>7120</v>
      </c>
      <c r="F2358" s="0" t="n">
        <f aca="false">IF(C2358&gt;1,IF(C2358&lt;99,VLOOKUP(C2358,'MSA-Lookup'!$H$1:$I$86,2),C2358),C2358)</f>
        <v>360</v>
      </c>
      <c r="G2358" s="0" t="n">
        <f aca="false">VLOOKUP(E2358,'MSA-Lookup'!$AA$1:$AB$25,2)</f>
        <v>7120</v>
      </c>
      <c r="H2358" s="0" t="n">
        <f aca="false">IF(C2358&gt;1,IF(C2358&lt;99,VLOOKUP(F2358,'MSA-Lookup'!$AA$1:$AB$25,2),C2358),C2358)</f>
        <v>4472</v>
      </c>
    </row>
    <row r="2359" customFormat="false" ht="12.75" hidden="false" customHeight="false" outlineLevel="0" collapsed="false">
      <c r="A2359" s="0" t="n">
        <f aca="false">B2359*1000+C2359</f>
        <v>39047</v>
      </c>
      <c r="B2359" s="0" t="n">
        <v>39</v>
      </c>
      <c r="C2359" s="0" t="n">
        <v>47</v>
      </c>
      <c r="D2359" s="0" t="n">
        <v>0</v>
      </c>
      <c r="E2359" s="0" t="n">
        <f aca="false">VLOOKUP(B2359,'MSA-Lookup'!$H$2:$I$86,2)</f>
        <v>7120</v>
      </c>
      <c r="F2359" s="0" t="n">
        <f aca="false">IF(C2359&gt;1,IF(C2359&lt;99,VLOOKUP(C2359,'MSA-Lookup'!$H$1:$I$86,2),C2359),C2359)</f>
        <v>360</v>
      </c>
      <c r="G2359" s="0" t="n">
        <f aca="false">VLOOKUP(E2359,'MSA-Lookup'!$AA$1:$AB$25,2)</f>
        <v>7120</v>
      </c>
      <c r="H2359" s="0" t="n">
        <f aca="false">IF(C2359&gt;1,IF(C2359&lt;99,VLOOKUP(F2359,'MSA-Lookup'!$AA$1:$AB$25,2),C2359),C2359)</f>
        <v>4472</v>
      </c>
    </row>
    <row r="2360" customFormat="false" ht="12.75" hidden="false" customHeight="false" outlineLevel="0" collapsed="false">
      <c r="A2360" s="0" t="n">
        <f aca="false">B2360*1000+C2360</f>
        <v>39048</v>
      </c>
      <c r="B2360" s="0" t="n">
        <v>39</v>
      </c>
      <c r="C2360" s="0" t="n">
        <v>48</v>
      </c>
      <c r="D2360" s="0" t="n">
        <v>0</v>
      </c>
      <c r="E2360" s="0" t="n">
        <f aca="false">VLOOKUP(B2360,'MSA-Lookup'!$H$2:$I$86,2)</f>
        <v>7120</v>
      </c>
      <c r="F2360" s="0" t="n">
        <f aca="false">IF(C2360&gt;1,IF(C2360&lt;99,VLOOKUP(C2360,'MSA-Lookup'!$H$1:$I$86,2),C2360),C2360)</f>
        <v>360</v>
      </c>
      <c r="G2360" s="0" t="n">
        <f aca="false">VLOOKUP(E2360,'MSA-Lookup'!$AA$1:$AB$25,2)</f>
        <v>7120</v>
      </c>
      <c r="H2360" s="0" t="n">
        <f aca="false">IF(C2360&gt;1,IF(C2360&lt;99,VLOOKUP(F2360,'MSA-Lookup'!$AA$1:$AB$25,2),C2360),C2360)</f>
        <v>4472</v>
      </c>
    </row>
    <row r="2361" customFormat="false" ht="12.75" hidden="false" customHeight="false" outlineLevel="0" collapsed="false">
      <c r="A2361" s="0" t="n">
        <f aca="false">B2361*1000+C2361</f>
        <v>39049</v>
      </c>
      <c r="B2361" s="0" t="n">
        <v>39</v>
      </c>
      <c r="C2361" s="0" t="n">
        <v>49</v>
      </c>
      <c r="D2361" s="0" t="n">
        <v>598</v>
      </c>
      <c r="E2361" s="0" t="n">
        <f aca="false">VLOOKUP(B2361,'MSA-Lookup'!$H$2:$I$86,2)</f>
        <v>7120</v>
      </c>
      <c r="F2361" s="0" t="n">
        <f aca="false">IF(C2361&gt;1,IF(C2361&lt;99,VLOOKUP(C2361,'MSA-Lookup'!$H$1:$I$86,2),C2361),C2361)</f>
        <v>7400</v>
      </c>
      <c r="G2361" s="0" t="n">
        <f aca="false">VLOOKUP(E2361,'MSA-Lookup'!$AA$1:$AB$25,2)</f>
        <v>7120</v>
      </c>
      <c r="H2361" s="0" t="n">
        <f aca="false">IF(C2361&gt;1,IF(C2361&lt;99,VLOOKUP(F2361,'MSA-Lookup'!$AA$1:$AB$25,2),C2361),C2361)</f>
        <v>7362</v>
      </c>
    </row>
    <row r="2362" customFormat="false" ht="12.75" hidden="false" customHeight="false" outlineLevel="0" collapsed="false">
      <c r="A2362" s="0" t="n">
        <f aca="false">B2362*1000+C2362</f>
        <v>39050</v>
      </c>
      <c r="B2362" s="0" t="n">
        <v>39</v>
      </c>
      <c r="C2362" s="0" t="n">
        <v>50</v>
      </c>
      <c r="D2362" s="0" t="n">
        <v>0</v>
      </c>
      <c r="E2362" s="0" t="n">
        <f aca="false">VLOOKUP(B2362,'MSA-Lookup'!$H$2:$I$86,2)</f>
        <v>7120</v>
      </c>
      <c r="F2362" s="0" t="n">
        <f aca="false">IF(C2362&gt;1,IF(C2362&lt;99,VLOOKUP(C2362,'MSA-Lookup'!$H$1:$I$86,2),C2362),C2362)</f>
        <v>7400</v>
      </c>
      <c r="G2362" s="0" t="n">
        <f aca="false">VLOOKUP(E2362,'MSA-Lookup'!$AA$1:$AB$25,2)</f>
        <v>7120</v>
      </c>
      <c r="H2362" s="0" t="n">
        <f aca="false">IF(C2362&gt;1,IF(C2362&lt;99,VLOOKUP(F2362,'MSA-Lookup'!$AA$1:$AB$25,2),C2362),C2362)</f>
        <v>7362</v>
      </c>
    </row>
    <row r="2363" customFormat="false" ht="12.75" hidden="false" customHeight="false" outlineLevel="0" collapsed="false">
      <c r="A2363" s="0" t="n">
        <f aca="false">B2363*1000+C2363</f>
        <v>39051</v>
      </c>
      <c r="B2363" s="0" t="n">
        <v>39</v>
      </c>
      <c r="C2363" s="0" t="n">
        <v>51</v>
      </c>
      <c r="D2363" s="0" t="n">
        <v>910</v>
      </c>
      <c r="E2363" s="0" t="n">
        <f aca="false">VLOOKUP(B2363,'MSA-Lookup'!$H$2:$I$86,2)</f>
        <v>7120</v>
      </c>
      <c r="F2363" s="0" t="n">
        <f aca="false">IF(C2363&gt;1,IF(C2363&lt;99,VLOOKUP(C2363,'MSA-Lookup'!$H$1:$I$86,2),C2363),C2363)</f>
        <v>7400</v>
      </c>
      <c r="G2363" s="0" t="n">
        <f aca="false">VLOOKUP(E2363,'MSA-Lookup'!$AA$1:$AB$25,2)</f>
        <v>7120</v>
      </c>
      <c r="H2363" s="0" t="n">
        <f aca="false">IF(C2363&gt;1,IF(C2363&lt;99,VLOOKUP(F2363,'MSA-Lookup'!$AA$1:$AB$25,2),C2363),C2363)</f>
        <v>7362</v>
      </c>
    </row>
    <row r="2364" customFormat="false" ht="12.75" hidden="false" customHeight="false" outlineLevel="0" collapsed="false">
      <c r="A2364" s="0" t="n">
        <f aca="false">B2364*1000+C2364</f>
        <v>39052</v>
      </c>
      <c r="B2364" s="0" t="n">
        <v>39</v>
      </c>
      <c r="C2364" s="0" t="n">
        <v>52</v>
      </c>
      <c r="D2364" s="0" t="n">
        <v>0</v>
      </c>
      <c r="E2364" s="0" t="n">
        <f aca="false">VLOOKUP(B2364,'MSA-Lookup'!$H$2:$I$86,2)</f>
        <v>7120</v>
      </c>
      <c r="F2364" s="0" t="n">
        <f aca="false">IF(C2364&gt;1,IF(C2364&lt;99,VLOOKUP(C2364,'MSA-Lookup'!$H$1:$I$86,2),C2364),C2364)</f>
        <v>4480</v>
      </c>
      <c r="G2364" s="0" t="n">
        <f aca="false">VLOOKUP(E2364,'MSA-Lookup'!$AA$1:$AB$25,2)</f>
        <v>7120</v>
      </c>
      <c r="H2364" s="0" t="n">
        <f aca="false">IF(C2364&gt;1,IF(C2364&lt;99,VLOOKUP(F2364,'MSA-Lookup'!$AA$1:$AB$25,2),C2364),C2364)</f>
        <v>4472</v>
      </c>
    </row>
    <row r="2365" customFormat="false" ht="12.75" hidden="false" customHeight="false" outlineLevel="0" collapsed="false">
      <c r="A2365" s="0" t="n">
        <f aca="false">B2365*1000+C2365</f>
        <v>39053</v>
      </c>
      <c r="B2365" s="0" t="n">
        <v>39</v>
      </c>
      <c r="C2365" s="0" t="n">
        <v>53</v>
      </c>
      <c r="D2365" s="0" t="n">
        <v>0</v>
      </c>
      <c r="E2365" s="0" t="n">
        <f aca="false">VLOOKUP(B2365,'MSA-Lookup'!$H$2:$I$86,2)</f>
        <v>7120</v>
      </c>
      <c r="F2365" s="0" t="n">
        <f aca="false">IF(C2365&gt;1,IF(C2365&lt;99,VLOOKUP(C2365,'MSA-Lookup'!$H$1:$I$86,2),C2365),C2365)</f>
        <v>4480</v>
      </c>
      <c r="G2365" s="0" t="n">
        <f aca="false">VLOOKUP(E2365,'MSA-Lookup'!$AA$1:$AB$25,2)</f>
        <v>7120</v>
      </c>
      <c r="H2365" s="0" t="n">
        <f aca="false">IF(C2365&gt;1,IF(C2365&lt;99,VLOOKUP(F2365,'MSA-Lookup'!$AA$1:$AB$25,2),C2365),C2365)</f>
        <v>4472</v>
      </c>
    </row>
    <row r="2366" customFormat="false" ht="12.75" hidden="false" customHeight="false" outlineLevel="0" collapsed="false">
      <c r="A2366" s="0" t="n">
        <f aca="false">B2366*1000+C2366</f>
        <v>39054</v>
      </c>
      <c r="B2366" s="0" t="n">
        <v>39</v>
      </c>
      <c r="C2366" s="0" t="n">
        <v>54</v>
      </c>
      <c r="D2366" s="0" t="n">
        <v>0</v>
      </c>
      <c r="E2366" s="0" t="n">
        <f aca="false">VLOOKUP(B2366,'MSA-Lookup'!$H$2:$I$86,2)</f>
        <v>7120</v>
      </c>
      <c r="F2366" s="0" t="n">
        <f aca="false">IF(C2366&gt;1,IF(C2366&lt;99,VLOOKUP(C2366,'MSA-Lookup'!$H$1:$I$86,2),C2366),C2366)</f>
        <v>4480</v>
      </c>
      <c r="G2366" s="0" t="n">
        <f aca="false">VLOOKUP(E2366,'MSA-Lookup'!$AA$1:$AB$25,2)</f>
        <v>7120</v>
      </c>
      <c r="H2366" s="0" t="n">
        <f aca="false">IF(C2366&gt;1,IF(C2366&lt;99,VLOOKUP(F2366,'MSA-Lookup'!$AA$1:$AB$25,2),C2366),C2366)</f>
        <v>4472</v>
      </c>
    </row>
    <row r="2367" customFormat="false" ht="12.75" hidden="false" customHeight="false" outlineLevel="0" collapsed="false">
      <c r="A2367" s="0" t="n">
        <f aca="false">B2367*1000+C2367</f>
        <v>39055</v>
      </c>
      <c r="B2367" s="0" t="n">
        <v>39</v>
      </c>
      <c r="C2367" s="0" t="n">
        <v>55</v>
      </c>
      <c r="D2367" s="0" t="n">
        <v>0</v>
      </c>
      <c r="E2367" s="0" t="n">
        <f aca="false">VLOOKUP(B2367,'MSA-Lookup'!$H$2:$I$86,2)</f>
        <v>7120</v>
      </c>
      <c r="F2367" s="0" t="n">
        <f aca="false">IF(C2367&gt;1,IF(C2367&lt;99,VLOOKUP(C2367,'MSA-Lookup'!$H$1:$I$86,2),C2367),C2367)</f>
        <v>4480</v>
      </c>
      <c r="G2367" s="0" t="n">
        <f aca="false">VLOOKUP(E2367,'MSA-Lookup'!$AA$1:$AB$25,2)</f>
        <v>7120</v>
      </c>
      <c r="H2367" s="0" t="n">
        <f aca="false">IF(C2367&gt;1,IF(C2367&lt;99,VLOOKUP(F2367,'MSA-Lookup'!$AA$1:$AB$25,2),C2367),C2367)</f>
        <v>4472</v>
      </c>
    </row>
    <row r="2368" customFormat="false" ht="12.75" hidden="false" customHeight="false" outlineLevel="0" collapsed="false">
      <c r="A2368" s="0" t="n">
        <f aca="false">B2368*1000+C2368</f>
        <v>39056</v>
      </c>
      <c r="B2368" s="0" t="n">
        <v>39</v>
      </c>
      <c r="C2368" s="0" t="n">
        <v>56</v>
      </c>
      <c r="D2368" s="0" t="n">
        <v>0</v>
      </c>
      <c r="E2368" s="0" t="n">
        <f aca="false">VLOOKUP(B2368,'MSA-Lookup'!$H$2:$I$86,2)</f>
        <v>7120</v>
      </c>
      <c r="F2368" s="0" t="n">
        <f aca="false">IF(C2368&gt;1,IF(C2368&lt;99,VLOOKUP(C2368,'MSA-Lookup'!$H$1:$I$86,2),C2368),C2368)</f>
        <v>4480</v>
      </c>
      <c r="G2368" s="0" t="n">
        <f aca="false">VLOOKUP(E2368,'MSA-Lookup'!$AA$1:$AB$25,2)</f>
        <v>7120</v>
      </c>
      <c r="H2368" s="0" t="n">
        <f aca="false">IF(C2368&gt;1,IF(C2368&lt;99,VLOOKUP(F2368,'MSA-Lookup'!$AA$1:$AB$25,2),C2368),C2368)</f>
        <v>4472</v>
      </c>
    </row>
    <row r="2369" customFormat="false" ht="12.75" hidden="false" customHeight="false" outlineLevel="0" collapsed="false">
      <c r="A2369" s="0" t="n">
        <f aca="false">B2369*1000+C2369</f>
        <v>39057</v>
      </c>
      <c r="B2369" s="0" t="n">
        <v>39</v>
      </c>
      <c r="C2369" s="0" t="n">
        <v>57</v>
      </c>
      <c r="D2369" s="0" t="n">
        <v>0</v>
      </c>
      <c r="E2369" s="0" t="n">
        <f aca="false">VLOOKUP(B2369,'MSA-Lookup'!$H$2:$I$86,2)</f>
        <v>7120</v>
      </c>
      <c r="F2369" s="0" t="n">
        <f aca="false">IF(C2369&gt;1,IF(C2369&lt;99,VLOOKUP(C2369,'MSA-Lookup'!$H$1:$I$86,2),C2369),C2369)</f>
        <v>4480</v>
      </c>
      <c r="G2369" s="0" t="n">
        <f aca="false">VLOOKUP(E2369,'MSA-Lookup'!$AA$1:$AB$25,2)</f>
        <v>7120</v>
      </c>
      <c r="H2369" s="0" t="n">
        <f aca="false">IF(C2369&gt;1,IF(C2369&lt;99,VLOOKUP(F2369,'MSA-Lookup'!$AA$1:$AB$25,2),C2369),C2369)</f>
        <v>4472</v>
      </c>
    </row>
    <row r="2370" customFormat="false" ht="12.75" hidden="false" customHeight="false" outlineLevel="0" collapsed="false">
      <c r="A2370" s="0" t="n">
        <f aca="false">B2370*1000+C2370</f>
        <v>39059</v>
      </c>
      <c r="B2370" s="0" t="n">
        <v>39</v>
      </c>
      <c r="C2370" s="0" t="n">
        <v>59</v>
      </c>
      <c r="D2370" s="0" t="n">
        <v>78</v>
      </c>
      <c r="E2370" s="0" t="n">
        <f aca="false">VLOOKUP(B2370,'MSA-Lookup'!$H$2:$I$86,2)</f>
        <v>7120</v>
      </c>
      <c r="F2370" s="0" t="n">
        <f aca="false">IF(C2370&gt;1,IF(C2370&lt;99,VLOOKUP(C2370,'MSA-Lookup'!$H$1:$I$86,2),C2370),C2370)</f>
        <v>4480</v>
      </c>
      <c r="G2370" s="0" t="n">
        <f aca="false">VLOOKUP(E2370,'MSA-Lookup'!$AA$1:$AB$25,2)</f>
        <v>7120</v>
      </c>
      <c r="H2370" s="0" t="n">
        <f aca="false">IF(C2370&gt;1,IF(C2370&lt;99,VLOOKUP(F2370,'MSA-Lookup'!$AA$1:$AB$25,2),C2370),C2370)</f>
        <v>4472</v>
      </c>
    </row>
    <row r="2371" customFormat="false" ht="12.75" hidden="false" customHeight="false" outlineLevel="0" collapsed="false">
      <c r="A2371" s="0" t="n">
        <f aca="false">B2371*1000+C2371</f>
        <v>39060</v>
      </c>
      <c r="B2371" s="0" t="n">
        <v>39</v>
      </c>
      <c r="C2371" s="0" t="n">
        <v>60</v>
      </c>
      <c r="D2371" s="0" t="n">
        <v>0</v>
      </c>
      <c r="E2371" s="0" t="n">
        <f aca="false">VLOOKUP(B2371,'MSA-Lookup'!$H$2:$I$86,2)</f>
        <v>7120</v>
      </c>
      <c r="F2371" s="0" t="n">
        <f aca="false">IF(C2371&gt;1,IF(C2371&lt;99,VLOOKUP(C2371,'MSA-Lookup'!$H$1:$I$86,2),C2371),C2371)</f>
        <v>4480</v>
      </c>
      <c r="G2371" s="0" t="n">
        <f aca="false">VLOOKUP(E2371,'MSA-Lookup'!$AA$1:$AB$25,2)</f>
        <v>7120</v>
      </c>
      <c r="H2371" s="0" t="n">
        <f aca="false">IF(C2371&gt;1,IF(C2371&lt;99,VLOOKUP(F2371,'MSA-Lookup'!$AA$1:$AB$25,2),C2371),C2371)</f>
        <v>4472</v>
      </c>
    </row>
    <row r="2372" customFormat="false" ht="12.75" hidden="false" customHeight="false" outlineLevel="0" collapsed="false">
      <c r="A2372" s="0" t="n">
        <f aca="false">B2372*1000+C2372</f>
        <v>39062</v>
      </c>
      <c r="B2372" s="0" t="n">
        <v>39</v>
      </c>
      <c r="C2372" s="0" t="n">
        <v>62</v>
      </c>
      <c r="D2372" s="0" t="n">
        <v>0</v>
      </c>
      <c r="E2372" s="0" t="n">
        <f aca="false">VLOOKUP(B2372,'MSA-Lookup'!$H$2:$I$86,2)</f>
        <v>7120</v>
      </c>
      <c r="F2372" s="0" t="n">
        <f aca="false">IF(C2372&gt;1,IF(C2372&lt;99,VLOOKUP(C2372,'MSA-Lookup'!$H$1:$I$86,2),C2372),C2372)</f>
        <v>4480</v>
      </c>
      <c r="G2372" s="0" t="n">
        <f aca="false">VLOOKUP(E2372,'MSA-Lookup'!$AA$1:$AB$25,2)</f>
        <v>7120</v>
      </c>
      <c r="H2372" s="0" t="n">
        <f aca="false">IF(C2372&gt;1,IF(C2372&lt;99,VLOOKUP(F2372,'MSA-Lookup'!$AA$1:$AB$25,2),C2372),C2372)</f>
        <v>4472</v>
      </c>
    </row>
    <row r="2373" customFormat="false" ht="12.75" hidden="false" customHeight="false" outlineLevel="0" collapsed="false">
      <c r="A2373" s="0" t="n">
        <f aca="false">B2373*1000+C2373</f>
        <v>39063</v>
      </c>
      <c r="B2373" s="0" t="n">
        <v>39</v>
      </c>
      <c r="C2373" s="0" t="n">
        <v>63</v>
      </c>
      <c r="D2373" s="0" t="n">
        <v>0</v>
      </c>
      <c r="E2373" s="0" t="n">
        <f aca="false">VLOOKUP(B2373,'MSA-Lookup'!$H$2:$I$86,2)</f>
        <v>7120</v>
      </c>
      <c r="F2373" s="0" t="n">
        <f aca="false">IF(C2373&gt;1,IF(C2373&lt;99,VLOOKUP(C2373,'MSA-Lookup'!$H$1:$I$86,2),C2373),C2373)</f>
        <v>4480</v>
      </c>
      <c r="G2373" s="0" t="n">
        <f aca="false">VLOOKUP(E2373,'MSA-Lookup'!$AA$1:$AB$25,2)</f>
        <v>7120</v>
      </c>
      <c r="H2373" s="0" t="n">
        <f aca="false">IF(C2373&gt;1,IF(C2373&lt;99,VLOOKUP(F2373,'MSA-Lookup'!$AA$1:$AB$25,2),C2373),C2373)</f>
        <v>4472</v>
      </c>
    </row>
    <row r="2374" customFormat="false" ht="12.75" hidden="false" customHeight="false" outlineLevel="0" collapsed="false">
      <c r="A2374" s="0" t="n">
        <f aca="false">B2374*1000+C2374</f>
        <v>39064</v>
      </c>
      <c r="B2374" s="0" t="n">
        <v>39</v>
      </c>
      <c r="C2374" s="0" t="n">
        <v>64</v>
      </c>
      <c r="D2374" s="0" t="n">
        <v>117</v>
      </c>
      <c r="E2374" s="0" t="n">
        <f aca="false">VLOOKUP(B2374,'MSA-Lookup'!$H$2:$I$86,2)</f>
        <v>7120</v>
      </c>
      <c r="F2374" s="0" t="n">
        <f aca="false">IF(C2374&gt;1,IF(C2374&lt;99,VLOOKUP(C2374,'MSA-Lookup'!$H$1:$I$86,2),C2374),C2374)</f>
        <v>4480</v>
      </c>
      <c r="G2374" s="0" t="n">
        <f aca="false">VLOOKUP(E2374,'MSA-Lookup'!$AA$1:$AB$25,2)</f>
        <v>7120</v>
      </c>
      <c r="H2374" s="0" t="n">
        <f aca="false">IF(C2374&gt;1,IF(C2374&lt;99,VLOOKUP(F2374,'MSA-Lookup'!$AA$1:$AB$25,2),C2374),C2374)</f>
        <v>4472</v>
      </c>
    </row>
    <row r="2375" customFormat="false" ht="12.75" hidden="false" customHeight="false" outlineLevel="0" collapsed="false">
      <c r="A2375" s="0" t="n">
        <f aca="false">B2375*1000+C2375</f>
        <v>39065</v>
      </c>
      <c r="B2375" s="0" t="n">
        <v>39</v>
      </c>
      <c r="C2375" s="0" t="n">
        <v>65</v>
      </c>
      <c r="D2375" s="0" t="n">
        <v>0</v>
      </c>
      <c r="E2375" s="0" t="n">
        <f aca="false">VLOOKUP(B2375,'MSA-Lookup'!$H$2:$I$86,2)</f>
        <v>7120</v>
      </c>
      <c r="F2375" s="0" t="n">
        <f aca="false">IF(C2375&gt;1,IF(C2375&lt;99,VLOOKUP(C2375,'MSA-Lookup'!$H$1:$I$86,2),C2375),C2375)</f>
        <v>4480</v>
      </c>
      <c r="G2375" s="0" t="n">
        <f aca="false">VLOOKUP(E2375,'MSA-Lookup'!$AA$1:$AB$25,2)</f>
        <v>7120</v>
      </c>
      <c r="H2375" s="0" t="n">
        <f aca="false">IF(C2375&gt;1,IF(C2375&lt;99,VLOOKUP(F2375,'MSA-Lookup'!$AA$1:$AB$25,2),C2375),C2375)</f>
        <v>4472</v>
      </c>
    </row>
    <row r="2376" customFormat="false" ht="12.75" hidden="false" customHeight="false" outlineLevel="0" collapsed="false">
      <c r="A2376" s="0" t="n">
        <f aca="false">B2376*1000+C2376</f>
        <v>39066</v>
      </c>
      <c r="B2376" s="0" t="n">
        <v>39</v>
      </c>
      <c r="C2376" s="0" t="n">
        <v>66</v>
      </c>
      <c r="D2376" s="0" t="n">
        <v>0</v>
      </c>
      <c r="E2376" s="0" t="n">
        <f aca="false">VLOOKUP(B2376,'MSA-Lookup'!$H$2:$I$86,2)</f>
        <v>7120</v>
      </c>
      <c r="F2376" s="0" t="n">
        <f aca="false">IF(C2376&gt;1,IF(C2376&lt;99,VLOOKUP(C2376,'MSA-Lookup'!$H$1:$I$86,2),C2376),C2376)</f>
        <v>4480</v>
      </c>
      <c r="G2376" s="0" t="n">
        <f aca="false">VLOOKUP(E2376,'MSA-Lookup'!$AA$1:$AB$25,2)</f>
        <v>7120</v>
      </c>
      <c r="H2376" s="0" t="n">
        <f aca="false">IF(C2376&gt;1,IF(C2376&lt;99,VLOOKUP(F2376,'MSA-Lookup'!$AA$1:$AB$25,2),C2376),C2376)</f>
        <v>4472</v>
      </c>
    </row>
    <row r="2377" customFormat="false" ht="12.75" hidden="false" customHeight="false" outlineLevel="0" collapsed="false">
      <c r="A2377" s="0" t="n">
        <f aca="false">B2377*1000+C2377</f>
        <v>39067</v>
      </c>
      <c r="B2377" s="0" t="n">
        <v>39</v>
      </c>
      <c r="C2377" s="0" t="n">
        <v>67</v>
      </c>
      <c r="D2377" s="0" t="n">
        <v>0</v>
      </c>
      <c r="E2377" s="0" t="n">
        <f aca="false">VLOOKUP(B2377,'MSA-Lookup'!$H$2:$I$86,2)</f>
        <v>7120</v>
      </c>
      <c r="F2377" s="0" t="n">
        <f aca="false">IF(C2377&gt;1,IF(C2377&lt;99,VLOOKUP(C2377,'MSA-Lookup'!$H$1:$I$86,2),C2377),C2377)</f>
        <v>6000</v>
      </c>
      <c r="G2377" s="0" t="n">
        <f aca="false">VLOOKUP(E2377,'MSA-Lookup'!$AA$1:$AB$25,2)</f>
        <v>7120</v>
      </c>
      <c r="H2377" s="0" t="n">
        <f aca="false">IF(C2377&gt;1,IF(C2377&lt;99,VLOOKUP(F2377,'MSA-Lookup'!$AA$1:$AB$25,2),C2377),C2377)</f>
        <v>4472</v>
      </c>
    </row>
    <row r="2378" customFormat="false" ht="12.75" hidden="false" customHeight="false" outlineLevel="0" collapsed="false">
      <c r="A2378" s="0" t="n">
        <f aca="false">B2378*1000+C2378</f>
        <v>39069</v>
      </c>
      <c r="B2378" s="0" t="n">
        <v>39</v>
      </c>
      <c r="C2378" s="0" t="n">
        <v>69</v>
      </c>
      <c r="D2378" s="0" t="n">
        <v>0</v>
      </c>
      <c r="E2378" s="0" t="n">
        <f aca="false">VLOOKUP(B2378,'MSA-Lookup'!$H$2:$I$86,2)</f>
        <v>7120</v>
      </c>
      <c r="F2378" s="0" t="n">
        <f aca="false">IF(C2378&gt;1,IF(C2378&lt;99,VLOOKUP(C2378,'MSA-Lookup'!$H$1:$I$86,2),C2378),C2378)</f>
        <v>6780</v>
      </c>
      <c r="G2378" s="0" t="n">
        <f aca="false">VLOOKUP(E2378,'MSA-Lookup'!$AA$1:$AB$25,2)</f>
        <v>7120</v>
      </c>
      <c r="H2378" s="0" t="n">
        <f aca="false">IF(C2378&gt;1,IF(C2378&lt;99,VLOOKUP(F2378,'MSA-Lookup'!$AA$1:$AB$25,2),C2378),C2378)</f>
        <v>4472</v>
      </c>
    </row>
    <row r="2379" customFormat="false" ht="12.75" hidden="false" customHeight="false" outlineLevel="0" collapsed="false">
      <c r="A2379" s="0" t="n">
        <f aca="false">B2379*1000+C2379</f>
        <v>39071</v>
      </c>
      <c r="B2379" s="0" t="n">
        <v>39</v>
      </c>
      <c r="C2379" s="0" t="n">
        <v>71</v>
      </c>
      <c r="D2379" s="0" t="n">
        <v>0</v>
      </c>
      <c r="E2379" s="0" t="n">
        <f aca="false">VLOOKUP(B2379,'MSA-Lookup'!$H$2:$I$86,2)</f>
        <v>7120</v>
      </c>
      <c r="F2379" s="0" t="n">
        <f aca="false">IF(C2379&gt;1,IF(C2379&lt;99,VLOOKUP(C2379,'MSA-Lookup'!$H$1:$I$86,2),C2379),C2379)</f>
        <v>6780</v>
      </c>
      <c r="G2379" s="0" t="n">
        <f aca="false">VLOOKUP(E2379,'MSA-Lookup'!$AA$1:$AB$25,2)</f>
        <v>7120</v>
      </c>
      <c r="H2379" s="0" t="n">
        <f aca="false">IF(C2379&gt;1,IF(C2379&lt;99,VLOOKUP(F2379,'MSA-Lookup'!$AA$1:$AB$25,2),C2379),C2379)</f>
        <v>4472</v>
      </c>
    </row>
    <row r="2380" customFormat="false" ht="12.75" hidden="false" customHeight="false" outlineLevel="0" collapsed="false">
      <c r="A2380" s="0" t="n">
        <f aca="false">B2380*1000+C2380</f>
        <v>39072</v>
      </c>
      <c r="B2380" s="0" t="n">
        <v>39</v>
      </c>
      <c r="C2380" s="0" t="n">
        <v>72</v>
      </c>
      <c r="D2380" s="0" t="n">
        <v>143</v>
      </c>
      <c r="E2380" s="0" t="n">
        <f aca="false">VLOOKUP(B2380,'MSA-Lookup'!$H$2:$I$86,2)</f>
        <v>7120</v>
      </c>
      <c r="F2380" s="0" t="n">
        <f aca="false">IF(C2380&gt;1,IF(C2380&lt;99,VLOOKUP(C2380,'MSA-Lookup'!$H$1:$I$86,2),C2380),C2380)</f>
        <v>6780</v>
      </c>
      <c r="G2380" s="0" t="n">
        <f aca="false">VLOOKUP(E2380,'MSA-Lookup'!$AA$1:$AB$25,2)</f>
        <v>7120</v>
      </c>
      <c r="H2380" s="0" t="n">
        <f aca="false">IF(C2380&gt;1,IF(C2380&lt;99,VLOOKUP(F2380,'MSA-Lookup'!$AA$1:$AB$25,2),C2380),C2380)</f>
        <v>4472</v>
      </c>
    </row>
    <row r="2381" customFormat="false" ht="12.75" hidden="false" customHeight="false" outlineLevel="0" collapsed="false">
      <c r="A2381" s="0" t="n">
        <f aca="false">B2381*1000+C2381</f>
        <v>39073</v>
      </c>
      <c r="B2381" s="0" t="n">
        <v>39</v>
      </c>
      <c r="C2381" s="0" t="n">
        <v>73</v>
      </c>
      <c r="D2381" s="0" t="n">
        <v>0</v>
      </c>
      <c r="E2381" s="0" t="n">
        <f aca="false">VLOOKUP(B2381,'MSA-Lookup'!$H$2:$I$86,2)</f>
        <v>7120</v>
      </c>
      <c r="F2381" s="0" t="n">
        <f aca="false">IF(C2381&gt;1,IF(C2381&lt;99,VLOOKUP(C2381,'MSA-Lookup'!$H$1:$I$86,2),C2381),C2381)</f>
        <v>8720</v>
      </c>
      <c r="G2381" s="0" t="n">
        <f aca="false">VLOOKUP(E2381,'MSA-Lookup'!$AA$1:$AB$25,2)</f>
        <v>7120</v>
      </c>
      <c r="H2381" s="0" t="n">
        <f aca="false">IF(C2381&gt;1,IF(C2381&lt;99,VLOOKUP(F2381,'MSA-Lookup'!$AA$1:$AB$25,2),C2381),C2381)</f>
        <v>7362</v>
      </c>
    </row>
    <row r="2382" customFormat="false" ht="12.75" hidden="false" customHeight="false" outlineLevel="0" collapsed="false">
      <c r="A2382" s="0" t="n">
        <f aca="false">B2382*1000+C2382</f>
        <v>39075</v>
      </c>
      <c r="B2382" s="0" t="n">
        <v>39</v>
      </c>
      <c r="C2382" s="0" t="n">
        <v>75</v>
      </c>
      <c r="D2382" s="0" t="n">
        <v>0</v>
      </c>
      <c r="E2382" s="0" t="n">
        <f aca="false">VLOOKUP(B2382,'MSA-Lookup'!$H$2:$I$86,2)</f>
        <v>7120</v>
      </c>
      <c r="F2382" s="0" t="n">
        <f aca="false">IF(C2382&gt;1,IF(C2382&lt;99,VLOOKUP(C2382,'MSA-Lookup'!$H$1:$I$86,2),C2382),C2382)</f>
        <v>8780</v>
      </c>
      <c r="G2382" s="0" t="n">
        <f aca="false">VLOOKUP(E2382,'MSA-Lookup'!$AA$1:$AB$25,2)</f>
        <v>7120</v>
      </c>
      <c r="H2382" s="0" t="n">
        <f aca="false">IF(C2382&gt;1,IF(C2382&lt;99,VLOOKUP(F2382,'MSA-Lookup'!$AA$1:$AB$25,2),C2382),C2382)</f>
        <v>8780</v>
      </c>
    </row>
    <row r="2383" customFormat="false" ht="12.75" hidden="false" customHeight="false" outlineLevel="0" collapsed="false">
      <c r="A2383" s="0" t="n">
        <f aca="false">B2383*1000+C2383</f>
        <v>39076</v>
      </c>
      <c r="B2383" s="0" t="n">
        <v>39</v>
      </c>
      <c r="C2383" s="0" t="n">
        <v>76</v>
      </c>
      <c r="D2383" s="0" t="n">
        <v>5369</v>
      </c>
      <c r="E2383" s="0" t="n">
        <f aca="false">VLOOKUP(B2383,'MSA-Lookup'!$H$2:$I$86,2)</f>
        <v>7120</v>
      </c>
      <c r="F2383" s="0" t="n">
        <f aca="false">IF(C2383&gt;1,IF(C2383&lt;99,VLOOKUP(C2383,'MSA-Lookup'!$H$1:$I$86,2),C2383),C2383)</f>
        <v>7485</v>
      </c>
      <c r="G2383" s="0" t="n">
        <f aca="false">VLOOKUP(E2383,'MSA-Lookup'!$AA$1:$AB$25,2)</f>
        <v>7120</v>
      </c>
      <c r="H2383" s="0" t="n">
        <f aca="false">IF(C2383&gt;1,IF(C2383&lt;99,VLOOKUP(F2383,'MSA-Lookup'!$AA$1:$AB$25,2),C2383),C2383)</f>
        <v>7362</v>
      </c>
    </row>
    <row r="2384" customFormat="false" ht="12.75" hidden="false" customHeight="false" outlineLevel="0" collapsed="false">
      <c r="A2384" s="0" t="n">
        <f aca="false">B2384*1000+C2384</f>
        <v>39077</v>
      </c>
      <c r="B2384" s="0" t="n">
        <v>39</v>
      </c>
      <c r="C2384" s="0" t="n">
        <v>77</v>
      </c>
      <c r="D2384" s="0" t="n">
        <v>0</v>
      </c>
      <c r="E2384" s="0" t="n">
        <f aca="false">VLOOKUP(B2384,'MSA-Lookup'!$H$2:$I$86,2)</f>
        <v>7120</v>
      </c>
      <c r="F2384" s="0" t="n">
        <f aca="false">IF(C2384&gt;1,IF(C2384&lt;99,VLOOKUP(C2384,'MSA-Lookup'!$H$1:$I$86,2),C2384),C2384)</f>
        <v>9999</v>
      </c>
      <c r="G2384" s="0" t="n">
        <f aca="false">VLOOKUP(E2384,'MSA-Lookup'!$AA$1:$AB$25,2)</f>
        <v>7120</v>
      </c>
      <c r="H2384" s="0" t="n">
        <f aca="false">IF(C2384&gt;1,IF(C2384&lt;99,VLOOKUP(F2384,'MSA-Lookup'!$AA$1:$AB$25,2),C2384),C2384)</f>
        <v>9999</v>
      </c>
    </row>
    <row r="2385" customFormat="false" ht="12.75" hidden="false" customHeight="false" outlineLevel="0" collapsed="false">
      <c r="A2385" s="0" t="n">
        <f aca="false">B2385*1000+C2385</f>
        <v>39079</v>
      </c>
      <c r="B2385" s="0" t="n">
        <v>39</v>
      </c>
      <c r="C2385" s="0" t="n">
        <v>79</v>
      </c>
      <c r="D2385" s="0" t="n">
        <v>0</v>
      </c>
      <c r="E2385" s="0" t="n">
        <f aca="false">VLOOKUP(B2385,'MSA-Lookup'!$H$2:$I$86,2)</f>
        <v>7120</v>
      </c>
      <c r="F2385" s="0" t="n">
        <f aca="false">IF(C2385&gt;1,IF(C2385&lt;99,VLOOKUP(C2385,'MSA-Lookup'!$H$1:$I$86,2),C2385),C2385)</f>
        <v>680</v>
      </c>
      <c r="G2385" s="0" t="n">
        <f aca="false">VLOOKUP(E2385,'MSA-Lookup'!$AA$1:$AB$25,2)</f>
        <v>7120</v>
      </c>
      <c r="H2385" s="0" t="n">
        <f aca="false">IF(C2385&gt;1,IF(C2385&lt;99,VLOOKUP(F2385,'MSA-Lookup'!$AA$1:$AB$25,2),C2385),C2385)</f>
        <v>680</v>
      </c>
    </row>
    <row r="2386" customFormat="false" ht="12.75" hidden="false" customHeight="false" outlineLevel="0" collapsed="false">
      <c r="A2386" s="0" t="n">
        <f aca="false">B2386*1000+C2386</f>
        <v>39080</v>
      </c>
      <c r="B2386" s="0" t="n">
        <v>39</v>
      </c>
      <c r="C2386" s="0" t="n">
        <v>80</v>
      </c>
      <c r="D2386" s="0" t="n">
        <v>494</v>
      </c>
      <c r="E2386" s="0" t="n">
        <f aca="false">VLOOKUP(B2386,'MSA-Lookup'!$H$2:$I$86,2)</f>
        <v>7120</v>
      </c>
      <c r="F2386" s="0" t="n">
        <f aca="false">IF(C2386&gt;1,IF(C2386&lt;99,VLOOKUP(C2386,'MSA-Lookup'!$H$1:$I$86,2),C2386),C2386)</f>
        <v>9999</v>
      </c>
      <c r="G2386" s="0" t="n">
        <f aca="false">VLOOKUP(E2386,'MSA-Lookup'!$AA$1:$AB$25,2)</f>
        <v>7120</v>
      </c>
      <c r="H2386" s="0" t="n">
        <f aca="false">IF(C2386&gt;1,IF(C2386&lt;99,VLOOKUP(F2386,'MSA-Lookup'!$AA$1:$AB$25,2),C2386),C2386)</f>
        <v>9999</v>
      </c>
    </row>
    <row r="2387" customFormat="false" ht="12.75" hidden="false" customHeight="false" outlineLevel="0" collapsed="false">
      <c r="A2387" s="0" t="n">
        <f aca="false">B2387*1000+C2387</f>
        <v>39081</v>
      </c>
      <c r="B2387" s="0" t="n">
        <v>39</v>
      </c>
      <c r="C2387" s="0" t="n">
        <v>81</v>
      </c>
      <c r="D2387" s="0" t="n">
        <v>0</v>
      </c>
      <c r="E2387" s="0" t="n">
        <f aca="false">VLOOKUP(B2387,'MSA-Lookup'!$H$2:$I$86,2)</f>
        <v>7120</v>
      </c>
      <c r="F2387" s="0" t="n">
        <f aca="false">IF(C2387&gt;1,IF(C2387&lt;99,VLOOKUP(C2387,'MSA-Lookup'!$H$1:$I$86,2),C2387),C2387)</f>
        <v>6780</v>
      </c>
      <c r="G2387" s="0" t="n">
        <f aca="false">VLOOKUP(E2387,'MSA-Lookup'!$AA$1:$AB$25,2)</f>
        <v>7120</v>
      </c>
      <c r="H2387" s="0" t="n">
        <f aca="false">IF(C2387&gt;1,IF(C2387&lt;99,VLOOKUP(F2387,'MSA-Lookup'!$AA$1:$AB$25,2),C2387),C2387)</f>
        <v>4472</v>
      </c>
    </row>
    <row r="2388" customFormat="false" ht="12.75" hidden="false" customHeight="false" outlineLevel="0" collapsed="false">
      <c r="A2388" s="0" t="n">
        <f aca="false">B2388*1000+C2388</f>
        <v>39082</v>
      </c>
      <c r="B2388" s="0" t="n">
        <v>39</v>
      </c>
      <c r="C2388" s="0" t="n">
        <v>82</v>
      </c>
      <c r="D2388" s="0" t="n">
        <v>0</v>
      </c>
      <c r="E2388" s="0" t="n">
        <f aca="false">VLOOKUP(B2388,'MSA-Lookup'!$H$2:$I$86,2)</f>
        <v>7120</v>
      </c>
      <c r="F2388" s="0" t="n">
        <f aca="false">IF(C2388&gt;1,IF(C2388&lt;99,VLOOKUP(C2388,'MSA-Lookup'!$H$1:$I$86,2),C2388),C2388)</f>
        <v>6780</v>
      </c>
      <c r="G2388" s="0" t="n">
        <f aca="false">VLOOKUP(E2388,'MSA-Lookup'!$AA$1:$AB$25,2)</f>
        <v>7120</v>
      </c>
      <c r="H2388" s="0" t="n">
        <f aca="false">IF(C2388&gt;1,IF(C2388&lt;99,VLOOKUP(F2388,'MSA-Lookup'!$AA$1:$AB$25,2),C2388),C2388)</f>
        <v>4472</v>
      </c>
    </row>
    <row r="2389" customFormat="false" ht="12.75" hidden="false" customHeight="false" outlineLevel="0" collapsed="false">
      <c r="A2389" s="0" t="n">
        <f aca="false">B2389*1000+C2389</f>
        <v>39083</v>
      </c>
      <c r="B2389" s="0" t="n">
        <v>39</v>
      </c>
      <c r="C2389" s="0" t="n">
        <v>83</v>
      </c>
      <c r="D2389" s="0" t="n">
        <v>0</v>
      </c>
      <c r="E2389" s="0" t="n">
        <f aca="false">VLOOKUP(B2389,'MSA-Lookup'!$H$2:$I$86,2)</f>
        <v>7120</v>
      </c>
      <c r="F2389" s="0" t="n">
        <f aca="false">IF(C2389&gt;1,IF(C2389&lt;99,VLOOKUP(C2389,'MSA-Lookup'!$H$1:$I$86,2),C2389),C2389)</f>
        <v>6000</v>
      </c>
      <c r="G2389" s="0" t="n">
        <f aca="false">VLOOKUP(E2389,'MSA-Lookup'!$AA$1:$AB$25,2)</f>
        <v>7120</v>
      </c>
      <c r="H2389" s="0" t="n">
        <f aca="false">IF(C2389&gt;1,IF(C2389&lt;99,VLOOKUP(F2389,'MSA-Lookup'!$AA$1:$AB$25,2),C2389),C2389)</f>
        <v>4472</v>
      </c>
    </row>
    <row r="2390" customFormat="false" ht="12.75" hidden="false" customHeight="false" outlineLevel="0" collapsed="false">
      <c r="A2390" s="0" t="n">
        <f aca="false">B2390*1000+C2390</f>
        <v>39084</v>
      </c>
      <c r="B2390" s="0" t="n">
        <v>39</v>
      </c>
      <c r="C2390" s="0" t="n">
        <v>84</v>
      </c>
      <c r="D2390" s="0" t="n">
        <v>0</v>
      </c>
      <c r="E2390" s="0" t="n">
        <f aca="false">VLOOKUP(B2390,'MSA-Lookup'!$H$2:$I$86,2)</f>
        <v>7120</v>
      </c>
      <c r="F2390" s="0" t="n">
        <f aca="false">IF(C2390&gt;1,IF(C2390&lt;99,VLOOKUP(C2390,'MSA-Lookup'!$H$1:$I$86,2),C2390),C2390)</f>
        <v>360</v>
      </c>
      <c r="G2390" s="0" t="n">
        <f aca="false">VLOOKUP(E2390,'MSA-Lookup'!$AA$1:$AB$25,2)</f>
        <v>7120</v>
      </c>
      <c r="H2390" s="0" t="n">
        <f aca="false">IF(C2390&gt;1,IF(C2390&lt;99,VLOOKUP(F2390,'MSA-Lookup'!$AA$1:$AB$25,2),C2390),C2390)</f>
        <v>4472</v>
      </c>
    </row>
    <row r="2391" customFormat="false" ht="12.75" hidden="false" customHeight="false" outlineLevel="0" collapsed="false">
      <c r="A2391" s="0" t="n">
        <f aca="false">B2391*1000+C2391</f>
        <v>39085</v>
      </c>
      <c r="B2391" s="0" t="n">
        <v>39</v>
      </c>
      <c r="C2391" s="0" t="n">
        <v>85</v>
      </c>
      <c r="D2391" s="0" t="n">
        <v>0</v>
      </c>
      <c r="E2391" s="0" t="n">
        <f aca="false">VLOOKUP(B2391,'MSA-Lookup'!$H$2:$I$86,2)</f>
        <v>7120</v>
      </c>
      <c r="F2391" s="0" t="n">
        <f aca="false">IF(C2391&gt;1,IF(C2391&lt;99,VLOOKUP(C2391,'MSA-Lookup'!$H$1:$I$86,2),C2391),C2391)</f>
        <v>8120</v>
      </c>
      <c r="G2391" s="0" t="n">
        <f aca="false">VLOOKUP(E2391,'MSA-Lookup'!$AA$1:$AB$25,2)</f>
        <v>7120</v>
      </c>
      <c r="H2391" s="0" t="n">
        <f aca="false">IF(C2391&gt;1,IF(C2391&lt;99,VLOOKUP(F2391,'MSA-Lookup'!$AA$1:$AB$25,2),C2391),C2391)</f>
        <v>8120</v>
      </c>
    </row>
    <row r="2392" customFormat="false" ht="12.75" hidden="false" customHeight="false" outlineLevel="0" collapsed="false">
      <c r="A2392" s="0" t="n">
        <f aca="false">B2392*1000+C2392</f>
        <v>39858</v>
      </c>
      <c r="B2392" s="0" t="n">
        <v>39</v>
      </c>
      <c r="C2392" s="0" t="n">
        <v>858</v>
      </c>
      <c r="D2392" s="0" t="n">
        <v>0</v>
      </c>
      <c r="E2392" s="0" t="n">
        <f aca="false">VLOOKUP(B2392,'MSA-Lookup'!$H$2:$I$86,2)</f>
        <v>7120</v>
      </c>
      <c r="F2392" s="0" t="n">
        <f aca="false">IF(C2392&gt;1,IF(C2392&lt;99,VLOOKUP(C2392,'MSA-Lookup'!$H$1:$I$86,2),C2392),C2392)</f>
        <v>858</v>
      </c>
      <c r="G2392" s="0" t="n">
        <f aca="false">VLOOKUP(E2392,'MSA-Lookup'!$AA$1:$AB$25,2)</f>
        <v>7120</v>
      </c>
      <c r="H2392" s="0" t="n">
        <f aca="false">IF(C2392&gt;1,IF(C2392&lt;99,VLOOKUP(F2392,'MSA-Lookup'!$AA$1:$AB$25,2),C2392),C2392)</f>
        <v>858</v>
      </c>
    </row>
    <row r="2393" customFormat="false" ht="12.75" hidden="false" customHeight="false" outlineLevel="0" collapsed="false">
      <c r="A2393" s="0" t="n">
        <f aca="false">B2393*1000+C2393</f>
        <v>39983</v>
      </c>
      <c r="B2393" s="0" t="n">
        <v>39</v>
      </c>
      <c r="C2393" s="0" t="n">
        <v>983</v>
      </c>
      <c r="D2393" s="0" t="n">
        <v>0</v>
      </c>
      <c r="E2393" s="0" t="n">
        <f aca="false">VLOOKUP(B2393,'MSA-Lookup'!$H$2:$I$86,2)</f>
        <v>7120</v>
      </c>
      <c r="F2393" s="0" t="n">
        <f aca="false">IF(C2393&gt;1,IF(C2393&lt;99,VLOOKUP(C2393,'MSA-Lookup'!$H$1:$I$86,2),C2393),C2393)</f>
        <v>983</v>
      </c>
      <c r="G2393" s="0" t="n">
        <f aca="false">VLOOKUP(E2393,'MSA-Lookup'!$AA$1:$AB$25,2)</f>
        <v>7120</v>
      </c>
      <c r="H2393" s="0" t="n">
        <f aca="false">IF(C2393&gt;1,IF(C2393&lt;99,VLOOKUP(F2393,'MSA-Lookup'!$AA$1:$AB$25,2),C2393),C2393)</f>
        <v>983</v>
      </c>
    </row>
    <row r="2394" customFormat="false" ht="12.75" hidden="false" customHeight="false" outlineLevel="0" collapsed="false">
      <c r="A2394" s="0" t="n">
        <f aca="false">B2394*1000+C2394</f>
        <v>39999</v>
      </c>
      <c r="B2394" s="0" t="n">
        <v>39</v>
      </c>
      <c r="C2394" s="0" t="n">
        <v>999</v>
      </c>
      <c r="D2394" s="0" t="n">
        <v>195</v>
      </c>
      <c r="E2394" s="0" t="n">
        <f aca="false">VLOOKUP(B2394,'MSA-Lookup'!$H$2:$I$86,2)</f>
        <v>7120</v>
      </c>
      <c r="F2394" s="0" t="n">
        <f aca="false">IF(C2394&gt;1,IF(C2394&lt;99,VLOOKUP(C2394,'MSA-Lookup'!$H$1:$I$86,2),C2394),C2394)</f>
        <v>999</v>
      </c>
      <c r="G2394" s="0" t="n">
        <f aca="false">VLOOKUP(E2394,'MSA-Lookup'!$AA$1:$AB$25,2)</f>
        <v>7120</v>
      </c>
      <c r="H2394" s="0" t="n">
        <f aca="false">IF(C2394&gt;1,IF(C2394&lt;99,VLOOKUP(F2394,'MSA-Lookup'!$AA$1:$AB$25,2),C2394),C2394)</f>
        <v>999</v>
      </c>
    </row>
    <row r="2395" customFormat="false" ht="12.75" hidden="false" customHeight="false" outlineLevel="0" collapsed="false">
      <c r="A2395" s="0" t="n">
        <f aca="false">B2395*1000+C2395</f>
        <v>40000</v>
      </c>
      <c r="B2395" s="0" t="n">
        <v>40</v>
      </c>
      <c r="C2395" s="0" t="n">
        <v>0</v>
      </c>
      <c r="D2395" s="0" t="n">
        <v>215475</v>
      </c>
      <c r="E2395" s="0" t="n">
        <f aca="false">VLOOKUP(B2395,'MSA-Lookup'!$H$2:$I$86,2)</f>
        <v>2840</v>
      </c>
      <c r="F2395" s="0" t="n">
        <f aca="false">IF(C2395&gt;1,IF(C2395&lt;99,VLOOKUP(C2395,'MSA-Lookup'!$H$1:$I$86,2),C2395),C2395)</f>
        <v>0</v>
      </c>
      <c r="G2395" s="0" t="n">
        <f aca="false">VLOOKUP(E2395,'MSA-Lookup'!$AA$1:$AB$25,2)</f>
        <v>2840</v>
      </c>
      <c r="H2395" s="0" t="n">
        <f aca="false">IF(C2395&gt;1,IF(C2395&lt;99,VLOOKUP(F2395,'MSA-Lookup'!$AA$1:$AB$25,2),C2395),C2395)</f>
        <v>0</v>
      </c>
    </row>
    <row r="2396" customFormat="false" ht="12.75" hidden="false" customHeight="false" outlineLevel="0" collapsed="false">
      <c r="A2396" s="0" t="n">
        <f aca="false">B2396*1000+C2396</f>
        <v>40001</v>
      </c>
      <c r="B2396" s="0" t="n">
        <v>40</v>
      </c>
      <c r="C2396" s="0" t="n">
        <v>1</v>
      </c>
      <c r="D2396" s="0" t="n">
        <v>0</v>
      </c>
      <c r="E2396" s="0" t="n">
        <f aca="false">VLOOKUP(B2396,'MSA-Lookup'!$H$2:$I$86,2)</f>
        <v>2840</v>
      </c>
      <c r="F2396" s="0" t="n">
        <f aca="false">IF(C2396&gt;1,IF(C2396&lt;99,VLOOKUP(C2396,'MSA-Lookup'!$H$1:$I$86,2),C2396),C2396)</f>
        <v>1</v>
      </c>
      <c r="G2396" s="0" t="n">
        <f aca="false">VLOOKUP(E2396,'MSA-Lookup'!$AA$1:$AB$25,2)</f>
        <v>2840</v>
      </c>
      <c r="H2396" s="0" t="n">
        <f aca="false">IF(C2396&gt;1,IF(C2396&lt;99,VLOOKUP(F2396,'MSA-Lookup'!$AA$1:$AB$25,2),C2396),C2396)</f>
        <v>1</v>
      </c>
    </row>
    <row r="2397" customFormat="false" ht="12.75" hidden="false" customHeight="false" outlineLevel="0" collapsed="false">
      <c r="A2397" s="0" t="n">
        <f aca="false">B2397*1000+C2397</f>
        <v>40002</v>
      </c>
      <c r="B2397" s="0" t="n">
        <v>40</v>
      </c>
      <c r="C2397" s="0" t="n">
        <v>2</v>
      </c>
      <c r="D2397" s="0" t="n">
        <v>117</v>
      </c>
      <c r="E2397" s="0" t="n">
        <f aca="false">VLOOKUP(B2397,'MSA-Lookup'!$H$2:$I$86,2)</f>
        <v>2840</v>
      </c>
      <c r="F2397" s="0" t="n">
        <f aca="false">IF(C2397&gt;1,IF(C2397&lt;99,VLOOKUP(C2397,'MSA-Lookup'!$H$1:$I$86,2),C2397),C2397)</f>
        <v>9999</v>
      </c>
      <c r="G2397" s="0" t="n">
        <f aca="false">VLOOKUP(E2397,'MSA-Lookup'!$AA$1:$AB$25,2)</f>
        <v>2840</v>
      </c>
      <c r="H2397" s="0" t="n">
        <f aca="false">IF(C2397&gt;1,IF(C2397&lt;99,VLOOKUP(F2397,'MSA-Lookup'!$AA$1:$AB$25,2),C2397),C2397)</f>
        <v>9999</v>
      </c>
    </row>
    <row r="2398" customFormat="false" ht="12.75" hidden="false" customHeight="false" outlineLevel="0" collapsed="false">
      <c r="A2398" s="0" t="n">
        <f aca="false">B2398*1000+C2398</f>
        <v>40003</v>
      </c>
      <c r="B2398" s="0" t="n">
        <v>40</v>
      </c>
      <c r="C2398" s="0" t="n">
        <v>3</v>
      </c>
      <c r="D2398" s="0" t="n">
        <v>0</v>
      </c>
      <c r="E2398" s="0" t="n">
        <f aca="false">VLOOKUP(B2398,'MSA-Lookup'!$H$2:$I$86,2)</f>
        <v>2840</v>
      </c>
      <c r="F2398" s="0" t="n">
        <f aca="false">IF(C2398&gt;1,IF(C2398&lt;99,VLOOKUP(C2398,'MSA-Lookup'!$H$1:$I$86,2),C2398),C2398)</f>
        <v>6690</v>
      </c>
      <c r="G2398" s="0" t="n">
        <f aca="false">VLOOKUP(E2398,'MSA-Lookup'!$AA$1:$AB$25,2)</f>
        <v>2840</v>
      </c>
      <c r="H2398" s="0" t="n">
        <f aca="false">IF(C2398&gt;1,IF(C2398&lt;99,VLOOKUP(F2398,'MSA-Lookup'!$AA$1:$AB$25,2),C2398),C2398)</f>
        <v>6690</v>
      </c>
    </row>
    <row r="2399" customFormat="false" ht="12.75" hidden="false" customHeight="false" outlineLevel="0" collapsed="false">
      <c r="A2399" s="0" t="n">
        <f aca="false">B2399*1000+C2399</f>
        <v>40004</v>
      </c>
      <c r="B2399" s="0" t="n">
        <v>40</v>
      </c>
      <c r="C2399" s="0" t="n">
        <v>4</v>
      </c>
      <c r="D2399" s="0" t="n">
        <v>247</v>
      </c>
      <c r="E2399" s="0" t="n">
        <f aca="false">VLOOKUP(B2399,'MSA-Lookup'!$H$2:$I$86,2)</f>
        <v>2840</v>
      </c>
      <c r="F2399" s="0" t="n">
        <f aca="false">IF(C2399&gt;1,IF(C2399&lt;99,VLOOKUP(C2399,'MSA-Lookup'!$H$1:$I$86,2),C2399),C2399)</f>
        <v>9999</v>
      </c>
      <c r="G2399" s="0" t="n">
        <f aca="false">VLOOKUP(E2399,'MSA-Lookup'!$AA$1:$AB$25,2)</f>
        <v>2840</v>
      </c>
      <c r="H2399" s="0" t="n">
        <f aca="false">IF(C2399&gt;1,IF(C2399&lt;99,VLOOKUP(F2399,'MSA-Lookup'!$AA$1:$AB$25,2),C2399),C2399)</f>
        <v>9999</v>
      </c>
    </row>
    <row r="2400" customFormat="false" ht="12.75" hidden="false" customHeight="false" outlineLevel="0" collapsed="false">
      <c r="A2400" s="0" t="n">
        <f aca="false">B2400*1000+C2400</f>
        <v>40005</v>
      </c>
      <c r="B2400" s="0" t="n">
        <v>40</v>
      </c>
      <c r="C2400" s="0" t="n">
        <v>5</v>
      </c>
      <c r="D2400" s="0" t="n">
        <v>143</v>
      </c>
      <c r="E2400" s="0" t="n">
        <f aca="false">VLOOKUP(B2400,'MSA-Lookup'!$H$2:$I$86,2)</f>
        <v>2840</v>
      </c>
      <c r="F2400" s="0" t="n">
        <f aca="false">IF(C2400&gt;1,IF(C2400&lt;99,VLOOKUP(C2400,'MSA-Lookup'!$H$1:$I$86,2),C2400),C2400)</f>
        <v>9999</v>
      </c>
      <c r="G2400" s="0" t="n">
        <f aca="false">VLOOKUP(E2400,'MSA-Lookup'!$AA$1:$AB$25,2)</f>
        <v>2840</v>
      </c>
      <c r="H2400" s="0" t="n">
        <f aca="false">IF(C2400&gt;1,IF(C2400&lt;99,VLOOKUP(F2400,'MSA-Lookup'!$AA$1:$AB$25,2),C2400),C2400)</f>
        <v>9999</v>
      </c>
    </row>
    <row r="2401" customFormat="false" ht="12.75" hidden="false" customHeight="false" outlineLevel="0" collapsed="false">
      <c r="A2401" s="0" t="n">
        <f aca="false">B2401*1000+C2401</f>
        <v>40006</v>
      </c>
      <c r="B2401" s="0" t="n">
        <v>40</v>
      </c>
      <c r="C2401" s="0" t="n">
        <v>6</v>
      </c>
      <c r="D2401" s="0" t="n">
        <v>0</v>
      </c>
      <c r="E2401" s="0" t="n">
        <f aca="false">VLOOKUP(B2401,'MSA-Lookup'!$H$2:$I$86,2)</f>
        <v>2840</v>
      </c>
      <c r="F2401" s="0" t="n">
        <f aca="false">IF(C2401&gt;1,IF(C2401&lt;99,VLOOKUP(C2401,'MSA-Lookup'!$H$1:$I$86,2),C2401),C2401)</f>
        <v>1620</v>
      </c>
      <c r="G2401" s="0" t="n">
        <f aca="false">VLOOKUP(E2401,'MSA-Lookup'!$AA$1:$AB$25,2)</f>
        <v>2840</v>
      </c>
      <c r="H2401" s="0" t="n">
        <f aca="false">IF(C2401&gt;1,IF(C2401&lt;99,VLOOKUP(F2401,'MSA-Lookup'!$AA$1:$AB$25,2),C2401),C2401)</f>
        <v>1620</v>
      </c>
    </row>
    <row r="2402" customFormat="false" ht="12.75" hidden="false" customHeight="false" outlineLevel="0" collapsed="false">
      <c r="A2402" s="0" t="n">
        <f aca="false">B2402*1000+C2402</f>
        <v>40007</v>
      </c>
      <c r="B2402" s="0" t="n">
        <v>40</v>
      </c>
      <c r="C2402" s="0" t="n">
        <v>7</v>
      </c>
      <c r="D2402" s="0" t="n">
        <v>0</v>
      </c>
      <c r="E2402" s="0" t="n">
        <f aca="false">VLOOKUP(B2402,'MSA-Lookup'!$H$2:$I$86,2)</f>
        <v>2840</v>
      </c>
      <c r="F2402" s="0" t="n">
        <f aca="false">IF(C2402&gt;1,IF(C2402&lt;99,VLOOKUP(C2402,'MSA-Lookup'!$H$1:$I$86,2),C2402),C2402)</f>
        <v>9999</v>
      </c>
      <c r="G2402" s="0" t="n">
        <f aca="false">VLOOKUP(E2402,'MSA-Lookup'!$AA$1:$AB$25,2)</f>
        <v>2840</v>
      </c>
      <c r="H2402" s="0" t="n">
        <f aca="false">IF(C2402&gt;1,IF(C2402&lt;99,VLOOKUP(F2402,'MSA-Lookup'!$AA$1:$AB$25,2),C2402),C2402)</f>
        <v>9999</v>
      </c>
    </row>
    <row r="2403" customFormat="false" ht="12.75" hidden="false" customHeight="false" outlineLevel="0" collapsed="false">
      <c r="A2403" s="0" t="n">
        <f aca="false">B2403*1000+C2403</f>
        <v>40008</v>
      </c>
      <c r="B2403" s="0" t="n">
        <v>40</v>
      </c>
      <c r="C2403" s="0" t="n">
        <v>8</v>
      </c>
      <c r="D2403" s="0" t="n">
        <v>0</v>
      </c>
      <c r="E2403" s="0" t="n">
        <f aca="false">VLOOKUP(B2403,'MSA-Lookup'!$H$2:$I$86,2)</f>
        <v>2840</v>
      </c>
      <c r="F2403" s="0" t="n">
        <f aca="false">IF(C2403&gt;1,IF(C2403&lt;99,VLOOKUP(C2403,'MSA-Lookup'!$H$1:$I$86,2),C2403),C2403)</f>
        <v>9340</v>
      </c>
      <c r="G2403" s="0" t="n">
        <f aca="false">VLOOKUP(E2403,'MSA-Lookup'!$AA$1:$AB$25,2)</f>
        <v>2840</v>
      </c>
      <c r="H2403" s="0" t="n">
        <f aca="false">IF(C2403&gt;1,IF(C2403&lt;99,VLOOKUP(F2403,'MSA-Lookup'!$AA$1:$AB$25,2),C2403),C2403)</f>
        <v>9340</v>
      </c>
    </row>
    <row r="2404" customFormat="false" ht="12.75" hidden="false" customHeight="false" outlineLevel="0" collapsed="false">
      <c r="A2404" s="0" t="n">
        <f aca="false">B2404*1000+C2404</f>
        <v>40009</v>
      </c>
      <c r="B2404" s="0" t="n">
        <v>40</v>
      </c>
      <c r="C2404" s="0" t="n">
        <v>9</v>
      </c>
      <c r="D2404" s="0" t="n">
        <v>0</v>
      </c>
      <c r="E2404" s="0" t="n">
        <f aca="false">VLOOKUP(B2404,'MSA-Lookup'!$H$2:$I$86,2)</f>
        <v>2840</v>
      </c>
      <c r="F2404" s="0" t="n">
        <f aca="false">IF(C2404&gt;1,IF(C2404&lt;99,VLOOKUP(C2404,'MSA-Lookup'!$H$1:$I$86,2),C2404),C2404)</f>
        <v>8720</v>
      </c>
      <c r="G2404" s="0" t="n">
        <f aca="false">VLOOKUP(E2404,'MSA-Lookup'!$AA$1:$AB$25,2)</f>
        <v>2840</v>
      </c>
      <c r="H2404" s="0" t="n">
        <f aca="false">IF(C2404&gt;1,IF(C2404&lt;99,VLOOKUP(F2404,'MSA-Lookup'!$AA$1:$AB$25,2),C2404),C2404)</f>
        <v>7362</v>
      </c>
    </row>
    <row r="2405" customFormat="false" ht="12.75" hidden="false" customHeight="false" outlineLevel="0" collapsed="false">
      <c r="A2405" s="0" t="n">
        <f aca="false">B2405*1000+C2405</f>
        <v>40010</v>
      </c>
      <c r="B2405" s="0" t="n">
        <v>40</v>
      </c>
      <c r="C2405" s="0" t="n">
        <v>10</v>
      </c>
      <c r="D2405" s="0" t="n">
        <v>0</v>
      </c>
      <c r="E2405" s="0" t="n">
        <f aca="false">VLOOKUP(B2405,'MSA-Lookup'!$H$2:$I$86,2)</f>
        <v>2840</v>
      </c>
      <c r="F2405" s="0" t="n">
        <f aca="false">IF(C2405&gt;1,IF(C2405&lt;99,VLOOKUP(C2405,'MSA-Lookup'!$H$1:$I$86,2),C2405),C2405)</f>
        <v>6920</v>
      </c>
      <c r="G2405" s="0" t="n">
        <f aca="false">VLOOKUP(E2405,'MSA-Lookup'!$AA$1:$AB$25,2)</f>
        <v>2840</v>
      </c>
      <c r="H2405" s="0" t="n">
        <f aca="false">IF(C2405&gt;1,IF(C2405&lt;99,VLOOKUP(F2405,'MSA-Lookup'!$AA$1:$AB$25,2),C2405),C2405)</f>
        <v>6920</v>
      </c>
    </row>
    <row r="2406" customFormat="false" ht="12.75" hidden="false" customHeight="false" outlineLevel="0" collapsed="false">
      <c r="A2406" s="0" t="n">
        <f aca="false">B2406*1000+C2406</f>
        <v>40011</v>
      </c>
      <c r="B2406" s="0" t="n">
        <v>40</v>
      </c>
      <c r="C2406" s="0" t="n">
        <v>11</v>
      </c>
      <c r="D2406" s="0" t="n">
        <v>104</v>
      </c>
      <c r="E2406" s="0" t="n">
        <f aca="false">VLOOKUP(B2406,'MSA-Lookup'!$H$2:$I$86,2)</f>
        <v>2840</v>
      </c>
      <c r="F2406" s="0" t="n">
        <f aca="false">IF(C2406&gt;1,IF(C2406&lt;99,VLOOKUP(C2406,'MSA-Lookup'!$H$1:$I$86,2),C2406),C2406)</f>
        <v>6920</v>
      </c>
      <c r="G2406" s="0" t="n">
        <f aca="false">VLOOKUP(E2406,'MSA-Lookup'!$AA$1:$AB$25,2)</f>
        <v>2840</v>
      </c>
      <c r="H2406" s="0" t="n">
        <f aca="false">IF(C2406&gt;1,IF(C2406&lt;99,VLOOKUP(F2406,'MSA-Lookup'!$AA$1:$AB$25,2),C2406),C2406)</f>
        <v>6920</v>
      </c>
    </row>
    <row r="2407" customFormat="false" ht="12.75" hidden="false" customHeight="false" outlineLevel="0" collapsed="false">
      <c r="A2407" s="0" t="n">
        <f aca="false">B2407*1000+C2407</f>
        <v>40012</v>
      </c>
      <c r="B2407" s="0" t="n">
        <v>40</v>
      </c>
      <c r="C2407" s="0" t="n">
        <v>12</v>
      </c>
      <c r="D2407" s="0" t="n">
        <v>0</v>
      </c>
      <c r="E2407" s="0" t="n">
        <f aca="false">VLOOKUP(B2407,'MSA-Lookup'!$H$2:$I$86,2)</f>
        <v>2840</v>
      </c>
      <c r="F2407" s="0" t="n">
        <f aca="false">IF(C2407&gt;1,IF(C2407&lt;99,VLOOKUP(C2407,'MSA-Lookup'!$H$1:$I$86,2),C2407),C2407)</f>
        <v>6920</v>
      </c>
      <c r="G2407" s="0" t="n">
        <f aca="false">VLOOKUP(E2407,'MSA-Lookup'!$AA$1:$AB$25,2)</f>
        <v>2840</v>
      </c>
      <c r="H2407" s="0" t="n">
        <f aca="false">IF(C2407&gt;1,IF(C2407&lt;99,VLOOKUP(F2407,'MSA-Lookup'!$AA$1:$AB$25,2),C2407),C2407)</f>
        <v>6920</v>
      </c>
    </row>
    <row r="2408" customFormat="false" ht="12.75" hidden="false" customHeight="false" outlineLevel="0" collapsed="false">
      <c r="A2408" s="0" t="n">
        <f aca="false">B2408*1000+C2408</f>
        <v>40013</v>
      </c>
      <c r="B2408" s="0" t="n">
        <v>40</v>
      </c>
      <c r="C2408" s="0" t="n">
        <v>13</v>
      </c>
      <c r="D2408" s="0" t="n">
        <v>0</v>
      </c>
      <c r="E2408" s="0" t="n">
        <f aca="false">VLOOKUP(B2408,'MSA-Lookup'!$H$2:$I$86,2)</f>
        <v>2840</v>
      </c>
      <c r="F2408" s="0" t="n">
        <f aca="false">IF(C2408&gt;1,IF(C2408&lt;99,VLOOKUP(C2408,'MSA-Lookup'!$H$1:$I$86,2),C2408),C2408)</f>
        <v>7500</v>
      </c>
      <c r="G2408" s="0" t="n">
        <f aca="false">VLOOKUP(E2408,'MSA-Lookup'!$AA$1:$AB$25,2)</f>
        <v>2840</v>
      </c>
      <c r="H2408" s="0" t="n">
        <f aca="false">IF(C2408&gt;1,IF(C2408&lt;99,VLOOKUP(F2408,'MSA-Lookup'!$AA$1:$AB$25,2),C2408),C2408)</f>
        <v>7362</v>
      </c>
    </row>
    <row r="2409" customFormat="false" ht="12.75" hidden="false" customHeight="false" outlineLevel="0" collapsed="false">
      <c r="A2409" s="0" t="n">
        <f aca="false">B2409*1000+C2409</f>
        <v>40014</v>
      </c>
      <c r="B2409" s="0" t="n">
        <v>40</v>
      </c>
      <c r="C2409" s="0" t="n">
        <v>14</v>
      </c>
      <c r="D2409" s="0" t="n">
        <v>0</v>
      </c>
      <c r="E2409" s="0" t="n">
        <f aca="false">VLOOKUP(B2409,'MSA-Lookup'!$H$2:$I$86,2)</f>
        <v>2840</v>
      </c>
      <c r="F2409" s="0" t="n">
        <f aca="false">IF(C2409&gt;1,IF(C2409&lt;99,VLOOKUP(C2409,'MSA-Lookup'!$H$1:$I$86,2),C2409),C2409)</f>
        <v>7500</v>
      </c>
      <c r="G2409" s="0" t="n">
        <f aca="false">VLOOKUP(E2409,'MSA-Lookup'!$AA$1:$AB$25,2)</f>
        <v>2840</v>
      </c>
      <c r="H2409" s="0" t="n">
        <f aca="false">IF(C2409&gt;1,IF(C2409&lt;99,VLOOKUP(F2409,'MSA-Lookup'!$AA$1:$AB$25,2),C2409),C2409)</f>
        <v>7362</v>
      </c>
    </row>
    <row r="2410" customFormat="false" ht="12.75" hidden="false" customHeight="false" outlineLevel="0" collapsed="false">
      <c r="A2410" s="0" t="n">
        <f aca="false">B2410*1000+C2410</f>
        <v>40015</v>
      </c>
      <c r="B2410" s="0" t="n">
        <v>40</v>
      </c>
      <c r="C2410" s="0" t="n">
        <v>15</v>
      </c>
      <c r="D2410" s="0" t="n">
        <v>0</v>
      </c>
      <c r="E2410" s="0" t="n">
        <f aca="false">VLOOKUP(B2410,'MSA-Lookup'!$H$2:$I$86,2)</f>
        <v>2840</v>
      </c>
      <c r="F2410" s="0" t="n">
        <f aca="false">IF(C2410&gt;1,IF(C2410&lt;99,VLOOKUP(C2410,'MSA-Lookup'!$H$1:$I$86,2),C2410),C2410)</f>
        <v>7360</v>
      </c>
      <c r="G2410" s="0" t="n">
        <f aca="false">VLOOKUP(E2410,'MSA-Lookup'!$AA$1:$AB$25,2)</f>
        <v>2840</v>
      </c>
      <c r="H2410" s="0" t="n">
        <f aca="false">IF(C2410&gt;1,IF(C2410&lt;99,VLOOKUP(F2410,'MSA-Lookup'!$AA$1:$AB$25,2),C2410),C2410)</f>
        <v>7362</v>
      </c>
    </row>
    <row r="2411" customFormat="false" ht="12.75" hidden="false" customHeight="false" outlineLevel="0" collapsed="false">
      <c r="A2411" s="0" t="n">
        <f aca="false">B2411*1000+C2411</f>
        <v>40016</v>
      </c>
      <c r="B2411" s="0" t="n">
        <v>40</v>
      </c>
      <c r="C2411" s="0" t="n">
        <v>16</v>
      </c>
      <c r="D2411" s="0" t="n">
        <v>0</v>
      </c>
      <c r="E2411" s="0" t="n">
        <f aca="false">VLOOKUP(B2411,'MSA-Lookup'!$H$2:$I$86,2)</f>
        <v>2840</v>
      </c>
      <c r="F2411" s="0" t="n">
        <f aca="false">IF(C2411&gt;1,IF(C2411&lt;99,VLOOKUP(C2411,'MSA-Lookup'!$H$1:$I$86,2),C2411),C2411)</f>
        <v>8720</v>
      </c>
      <c r="G2411" s="0" t="n">
        <f aca="false">VLOOKUP(E2411,'MSA-Lookup'!$AA$1:$AB$25,2)</f>
        <v>2840</v>
      </c>
      <c r="H2411" s="0" t="n">
        <f aca="false">IF(C2411&gt;1,IF(C2411&lt;99,VLOOKUP(F2411,'MSA-Lookup'!$AA$1:$AB$25,2),C2411),C2411)</f>
        <v>7362</v>
      </c>
    </row>
    <row r="2412" customFormat="false" ht="12.75" hidden="false" customHeight="false" outlineLevel="0" collapsed="false">
      <c r="A2412" s="0" t="n">
        <f aca="false">B2412*1000+C2412</f>
        <v>40017</v>
      </c>
      <c r="B2412" s="0" t="n">
        <v>40</v>
      </c>
      <c r="C2412" s="0" t="n">
        <v>17</v>
      </c>
      <c r="D2412" s="0" t="n">
        <v>0</v>
      </c>
      <c r="E2412" s="0" t="n">
        <f aca="false">VLOOKUP(B2412,'MSA-Lookup'!$H$2:$I$86,2)</f>
        <v>2840</v>
      </c>
      <c r="F2412" s="0" t="n">
        <f aca="false">IF(C2412&gt;1,IF(C2412&lt;99,VLOOKUP(C2412,'MSA-Lookup'!$H$1:$I$86,2),C2412),C2412)</f>
        <v>5775</v>
      </c>
      <c r="G2412" s="0" t="n">
        <f aca="false">VLOOKUP(E2412,'MSA-Lookup'!$AA$1:$AB$25,2)</f>
        <v>2840</v>
      </c>
      <c r="H2412" s="0" t="n">
        <f aca="false">IF(C2412&gt;1,IF(C2412&lt;99,VLOOKUP(F2412,'MSA-Lookup'!$AA$1:$AB$25,2),C2412),C2412)</f>
        <v>7362</v>
      </c>
    </row>
    <row r="2413" customFormat="false" ht="12.75" hidden="false" customHeight="false" outlineLevel="0" collapsed="false">
      <c r="A2413" s="0" t="n">
        <f aca="false">B2413*1000+C2413</f>
        <v>40018</v>
      </c>
      <c r="B2413" s="0" t="n">
        <v>40</v>
      </c>
      <c r="C2413" s="0" t="n">
        <v>18</v>
      </c>
      <c r="D2413" s="0" t="n">
        <v>169</v>
      </c>
      <c r="E2413" s="0" t="n">
        <f aca="false">VLOOKUP(B2413,'MSA-Lookup'!$H$2:$I$86,2)</f>
        <v>2840</v>
      </c>
      <c r="F2413" s="0" t="n">
        <f aca="false">IF(C2413&gt;1,IF(C2413&lt;99,VLOOKUP(C2413,'MSA-Lookup'!$H$1:$I$86,2),C2413),C2413)</f>
        <v>5775</v>
      </c>
      <c r="G2413" s="0" t="n">
        <f aca="false">VLOOKUP(E2413,'MSA-Lookup'!$AA$1:$AB$25,2)</f>
        <v>2840</v>
      </c>
      <c r="H2413" s="0" t="n">
        <f aca="false">IF(C2413&gt;1,IF(C2413&lt;99,VLOOKUP(F2413,'MSA-Lookup'!$AA$1:$AB$25,2),C2413),C2413)</f>
        <v>7362</v>
      </c>
    </row>
    <row r="2414" customFormat="false" ht="12.75" hidden="false" customHeight="false" outlineLevel="0" collapsed="false">
      <c r="A2414" s="0" t="n">
        <f aca="false">B2414*1000+C2414</f>
        <v>40019</v>
      </c>
      <c r="B2414" s="0" t="n">
        <v>40</v>
      </c>
      <c r="C2414" s="0" t="n">
        <v>19</v>
      </c>
      <c r="D2414" s="0" t="n">
        <v>182</v>
      </c>
      <c r="E2414" s="0" t="n">
        <f aca="false">VLOOKUP(B2414,'MSA-Lookup'!$H$2:$I$86,2)</f>
        <v>2840</v>
      </c>
      <c r="F2414" s="0" t="n">
        <f aca="false">IF(C2414&gt;1,IF(C2414&lt;99,VLOOKUP(C2414,'MSA-Lookup'!$H$1:$I$86,2),C2414),C2414)</f>
        <v>7360</v>
      </c>
      <c r="G2414" s="0" t="n">
        <f aca="false">VLOOKUP(E2414,'MSA-Lookup'!$AA$1:$AB$25,2)</f>
        <v>2840</v>
      </c>
      <c r="H2414" s="0" t="n">
        <f aca="false">IF(C2414&gt;1,IF(C2414&lt;99,VLOOKUP(F2414,'MSA-Lookup'!$AA$1:$AB$25,2),C2414),C2414)</f>
        <v>7362</v>
      </c>
    </row>
    <row r="2415" customFormat="false" ht="12.75" hidden="false" customHeight="false" outlineLevel="0" collapsed="false">
      <c r="A2415" s="0" t="n">
        <f aca="false">B2415*1000+C2415</f>
        <v>40020</v>
      </c>
      <c r="B2415" s="0" t="n">
        <v>40</v>
      </c>
      <c r="C2415" s="0" t="n">
        <v>20</v>
      </c>
      <c r="D2415" s="0" t="n">
        <v>0</v>
      </c>
      <c r="E2415" s="0" t="n">
        <f aca="false">VLOOKUP(B2415,'MSA-Lookup'!$H$2:$I$86,2)</f>
        <v>2840</v>
      </c>
      <c r="F2415" s="0" t="n">
        <f aca="false">IF(C2415&gt;1,IF(C2415&lt;99,VLOOKUP(C2415,'MSA-Lookup'!$H$1:$I$86,2),C2415),C2415)</f>
        <v>5775</v>
      </c>
      <c r="G2415" s="0" t="n">
        <f aca="false">VLOOKUP(E2415,'MSA-Lookup'!$AA$1:$AB$25,2)</f>
        <v>2840</v>
      </c>
      <c r="H2415" s="0" t="n">
        <f aca="false">IF(C2415&gt;1,IF(C2415&lt;99,VLOOKUP(F2415,'MSA-Lookup'!$AA$1:$AB$25,2),C2415),C2415)</f>
        <v>7362</v>
      </c>
    </row>
    <row r="2416" customFormat="false" ht="12.75" hidden="false" customHeight="false" outlineLevel="0" collapsed="false">
      <c r="A2416" s="0" t="n">
        <f aca="false">B2416*1000+C2416</f>
        <v>40021</v>
      </c>
      <c r="B2416" s="0" t="n">
        <v>40</v>
      </c>
      <c r="C2416" s="0" t="n">
        <v>21</v>
      </c>
      <c r="D2416" s="0" t="n">
        <v>208</v>
      </c>
      <c r="E2416" s="0" t="n">
        <f aca="false">VLOOKUP(B2416,'MSA-Lookup'!$H$2:$I$86,2)</f>
        <v>2840</v>
      </c>
      <c r="F2416" s="0" t="n">
        <f aca="false">IF(C2416&gt;1,IF(C2416&lt;99,VLOOKUP(C2416,'MSA-Lookup'!$H$1:$I$86,2),C2416),C2416)</f>
        <v>5775</v>
      </c>
      <c r="G2416" s="0" t="n">
        <f aca="false">VLOOKUP(E2416,'MSA-Lookup'!$AA$1:$AB$25,2)</f>
        <v>2840</v>
      </c>
      <c r="H2416" s="0" t="n">
        <f aca="false">IF(C2416&gt;1,IF(C2416&lt;99,VLOOKUP(F2416,'MSA-Lookup'!$AA$1:$AB$25,2),C2416),C2416)</f>
        <v>7362</v>
      </c>
    </row>
    <row r="2417" customFormat="false" ht="12.75" hidden="false" customHeight="false" outlineLevel="0" collapsed="false">
      <c r="A2417" s="0" t="n">
        <f aca="false">B2417*1000+C2417</f>
        <v>40022</v>
      </c>
      <c r="B2417" s="0" t="n">
        <v>40</v>
      </c>
      <c r="C2417" s="0" t="n">
        <v>22</v>
      </c>
      <c r="D2417" s="0" t="n">
        <v>299</v>
      </c>
      <c r="E2417" s="0" t="n">
        <f aca="false">VLOOKUP(B2417,'MSA-Lookup'!$H$2:$I$86,2)</f>
        <v>2840</v>
      </c>
      <c r="F2417" s="0" t="n">
        <f aca="false">IF(C2417&gt;1,IF(C2417&lt;99,VLOOKUP(C2417,'MSA-Lookup'!$H$1:$I$86,2),C2417),C2417)</f>
        <v>7360</v>
      </c>
      <c r="G2417" s="0" t="n">
        <f aca="false">VLOOKUP(E2417,'MSA-Lookup'!$AA$1:$AB$25,2)</f>
        <v>2840</v>
      </c>
      <c r="H2417" s="0" t="n">
        <f aca="false">IF(C2417&gt;1,IF(C2417&lt;99,VLOOKUP(F2417,'MSA-Lookup'!$AA$1:$AB$25,2),C2417),C2417)</f>
        <v>7362</v>
      </c>
    </row>
    <row r="2418" customFormat="false" ht="12.75" hidden="false" customHeight="false" outlineLevel="0" collapsed="false">
      <c r="A2418" s="0" t="n">
        <f aca="false">B2418*1000+C2418</f>
        <v>40023</v>
      </c>
      <c r="B2418" s="0" t="n">
        <v>40</v>
      </c>
      <c r="C2418" s="0" t="n">
        <v>23</v>
      </c>
      <c r="D2418" s="0" t="n">
        <v>0</v>
      </c>
      <c r="E2418" s="0" t="n">
        <f aca="false">VLOOKUP(B2418,'MSA-Lookup'!$H$2:$I$86,2)</f>
        <v>2840</v>
      </c>
      <c r="F2418" s="0" t="n">
        <f aca="false">IF(C2418&gt;1,IF(C2418&lt;99,VLOOKUP(C2418,'MSA-Lookup'!$H$1:$I$86,2),C2418),C2418)</f>
        <v>8120</v>
      </c>
      <c r="G2418" s="0" t="n">
        <f aca="false">VLOOKUP(E2418,'MSA-Lookup'!$AA$1:$AB$25,2)</f>
        <v>2840</v>
      </c>
      <c r="H2418" s="0" t="n">
        <f aca="false">IF(C2418&gt;1,IF(C2418&lt;99,VLOOKUP(F2418,'MSA-Lookup'!$AA$1:$AB$25,2),C2418),C2418)</f>
        <v>8120</v>
      </c>
    </row>
    <row r="2419" customFormat="false" ht="12.75" hidden="false" customHeight="false" outlineLevel="0" collapsed="false">
      <c r="A2419" s="0" t="n">
        <f aca="false">B2419*1000+C2419</f>
        <v>40024</v>
      </c>
      <c r="B2419" s="0" t="n">
        <v>40</v>
      </c>
      <c r="C2419" s="0" t="n">
        <v>24</v>
      </c>
      <c r="D2419" s="0" t="n">
        <v>104</v>
      </c>
      <c r="E2419" s="0" t="n">
        <f aca="false">VLOOKUP(B2419,'MSA-Lookup'!$H$2:$I$86,2)</f>
        <v>2840</v>
      </c>
      <c r="F2419" s="0" t="n">
        <f aca="false">IF(C2419&gt;1,IF(C2419&lt;99,VLOOKUP(C2419,'MSA-Lookup'!$H$1:$I$86,2),C2419),C2419)</f>
        <v>5170</v>
      </c>
      <c r="G2419" s="0" t="n">
        <f aca="false">VLOOKUP(E2419,'MSA-Lookup'!$AA$1:$AB$25,2)</f>
        <v>2840</v>
      </c>
      <c r="H2419" s="0" t="n">
        <f aca="false">IF(C2419&gt;1,IF(C2419&lt;99,VLOOKUP(F2419,'MSA-Lookup'!$AA$1:$AB$25,2),C2419),C2419)</f>
        <v>5170</v>
      </c>
    </row>
    <row r="2420" customFormat="false" ht="12.75" hidden="false" customHeight="false" outlineLevel="0" collapsed="false">
      <c r="A2420" s="0" t="n">
        <f aca="false">B2420*1000+C2420</f>
        <v>40025</v>
      </c>
      <c r="B2420" s="0" t="n">
        <v>40</v>
      </c>
      <c r="C2420" s="0" t="n">
        <v>25</v>
      </c>
      <c r="D2420" s="0" t="n">
        <v>0</v>
      </c>
      <c r="E2420" s="0" t="n">
        <f aca="false">VLOOKUP(B2420,'MSA-Lookup'!$H$2:$I$86,2)</f>
        <v>2840</v>
      </c>
      <c r="F2420" s="0" t="n">
        <f aca="false">IF(C2420&gt;1,IF(C2420&lt;99,VLOOKUP(C2420,'MSA-Lookup'!$H$1:$I$86,2),C2420),C2420)</f>
        <v>5170</v>
      </c>
      <c r="G2420" s="0" t="n">
        <f aca="false">VLOOKUP(E2420,'MSA-Lookup'!$AA$1:$AB$25,2)</f>
        <v>2840</v>
      </c>
      <c r="H2420" s="0" t="n">
        <f aca="false">IF(C2420&gt;1,IF(C2420&lt;99,VLOOKUP(F2420,'MSA-Lookup'!$AA$1:$AB$25,2),C2420),C2420)</f>
        <v>5170</v>
      </c>
    </row>
    <row r="2421" customFormat="false" ht="12.75" hidden="false" customHeight="false" outlineLevel="0" collapsed="false">
      <c r="A2421" s="0" t="n">
        <f aca="false">B2421*1000+C2421</f>
        <v>40026</v>
      </c>
      <c r="B2421" s="0" t="n">
        <v>40</v>
      </c>
      <c r="C2421" s="0" t="n">
        <v>26</v>
      </c>
      <c r="D2421" s="0" t="n">
        <v>0</v>
      </c>
      <c r="E2421" s="0" t="n">
        <f aca="false">VLOOKUP(B2421,'MSA-Lookup'!$H$2:$I$86,2)</f>
        <v>2840</v>
      </c>
      <c r="F2421" s="0" t="n">
        <f aca="false">IF(C2421&gt;1,IF(C2421&lt;99,VLOOKUP(C2421,'MSA-Lookup'!$H$1:$I$86,2),C2421),C2421)</f>
        <v>9999</v>
      </c>
      <c r="G2421" s="0" t="n">
        <f aca="false">VLOOKUP(E2421,'MSA-Lookup'!$AA$1:$AB$25,2)</f>
        <v>2840</v>
      </c>
      <c r="H2421" s="0" t="n">
        <f aca="false">IF(C2421&gt;1,IF(C2421&lt;99,VLOOKUP(F2421,'MSA-Lookup'!$AA$1:$AB$25,2),C2421),C2421)</f>
        <v>9999</v>
      </c>
    </row>
    <row r="2422" customFormat="false" ht="12.75" hidden="false" customHeight="false" outlineLevel="0" collapsed="false">
      <c r="A2422" s="0" t="n">
        <f aca="false">B2422*1000+C2422</f>
        <v>40027</v>
      </c>
      <c r="B2422" s="0" t="n">
        <v>40</v>
      </c>
      <c r="C2422" s="0" t="n">
        <v>27</v>
      </c>
      <c r="D2422" s="0" t="n">
        <v>3536</v>
      </c>
      <c r="E2422" s="0" t="n">
        <f aca="false">VLOOKUP(B2422,'MSA-Lookup'!$H$2:$I$86,2)</f>
        <v>2840</v>
      </c>
      <c r="F2422" s="0" t="n">
        <f aca="false">IF(C2422&gt;1,IF(C2422&lt;99,VLOOKUP(C2422,'MSA-Lookup'!$H$1:$I$86,2),C2422),C2422)</f>
        <v>9999</v>
      </c>
      <c r="G2422" s="0" t="n">
        <f aca="false">VLOOKUP(E2422,'MSA-Lookup'!$AA$1:$AB$25,2)</f>
        <v>2840</v>
      </c>
      <c r="H2422" s="0" t="n">
        <f aca="false">IF(C2422&gt;1,IF(C2422&lt;99,VLOOKUP(F2422,'MSA-Lookup'!$AA$1:$AB$25,2),C2422),C2422)</f>
        <v>9999</v>
      </c>
    </row>
    <row r="2423" customFormat="false" ht="12.75" hidden="false" customHeight="false" outlineLevel="0" collapsed="false">
      <c r="A2423" s="0" t="n">
        <f aca="false">B2423*1000+C2423</f>
        <v>40028</v>
      </c>
      <c r="B2423" s="0" t="n">
        <v>40</v>
      </c>
      <c r="C2423" s="0" t="n">
        <v>28</v>
      </c>
      <c r="D2423" s="0" t="n">
        <v>143</v>
      </c>
      <c r="E2423" s="0" t="n">
        <f aca="false">VLOOKUP(B2423,'MSA-Lookup'!$H$2:$I$86,2)</f>
        <v>2840</v>
      </c>
      <c r="F2423" s="0" t="n">
        <f aca="false">IF(C2423&gt;1,IF(C2423&lt;99,VLOOKUP(C2423,'MSA-Lookup'!$H$1:$I$86,2),C2423),C2423)</f>
        <v>6920</v>
      </c>
      <c r="G2423" s="0" t="n">
        <f aca="false">VLOOKUP(E2423,'MSA-Lookup'!$AA$1:$AB$25,2)</f>
        <v>2840</v>
      </c>
      <c r="H2423" s="0" t="n">
        <f aca="false">IF(C2423&gt;1,IF(C2423&lt;99,VLOOKUP(F2423,'MSA-Lookup'!$AA$1:$AB$25,2),C2423),C2423)</f>
        <v>6920</v>
      </c>
    </row>
    <row r="2424" customFormat="false" ht="12.75" hidden="false" customHeight="false" outlineLevel="0" collapsed="false">
      <c r="A2424" s="0" t="n">
        <f aca="false">B2424*1000+C2424</f>
        <v>40029</v>
      </c>
      <c r="B2424" s="0" t="n">
        <v>40</v>
      </c>
      <c r="C2424" s="0" t="n">
        <v>29</v>
      </c>
      <c r="D2424" s="0" t="n">
        <v>0</v>
      </c>
      <c r="E2424" s="0" t="n">
        <f aca="false">VLOOKUP(B2424,'MSA-Lookup'!$H$2:$I$86,2)</f>
        <v>2840</v>
      </c>
      <c r="F2424" s="0" t="n">
        <f aca="false">IF(C2424&gt;1,IF(C2424&lt;99,VLOOKUP(C2424,'MSA-Lookup'!$H$1:$I$86,2),C2424),C2424)</f>
        <v>6920</v>
      </c>
      <c r="G2424" s="0" t="n">
        <f aca="false">VLOOKUP(E2424,'MSA-Lookup'!$AA$1:$AB$25,2)</f>
        <v>2840</v>
      </c>
      <c r="H2424" s="0" t="n">
        <f aca="false">IF(C2424&gt;1,IF(C2424&lt;99,VLOOKUP(F2424,'MSA-Lookup'!$AA$1:$AB$25,2),C2424),C2424)</f>
        <v>6920</v>
      </c>
    </row>
    <row r="2425" customFormat="false" ht="12.75" hidden="false" customHeight="false" outlineLevel="0" collapsed="false">
      <c r="A2425" s="0" t="n">
        <f aca="false">B2425*1000+C2425</f>
        <v>40030</v>
      </c>
      <c r="B2425" s="0" t="n">
        <v>40</v>
      </c>
      <c r="C2425" s="0" t="n">
        <v>30</v>
      </c>
      <c r="D2425" s="0" t="n">
        <v>468</v>
      </c>
      <c r="E2425" s="0" t="n">
        <f aca="false">VLOOKUP(B2425,'MSA-Lookup'!$H$2:$I$86,2)</f>
        <v>2840</v>
      </c>
      <c r="F2425" s="0" t="n">
        <f aca="false">IF(C2425&gt;1,IF(C2425&lt;99,VLOOKUP(C2425,'MSA-Lookup'!$H$1:$I$86,2),C2425),C2425)</f>
        <v>4940</v>
      </c>
      <c r="G2425" s="0" t="n">
        <f aca="false">VLOOKUP(E2425,'MSA-Lookup'!$AA$1:$AB$25,2)</f>
        <v>2840</v>
      </c>
      <c r="H2425" s="0" t="n">
        <f aca="false">IF(C2425&gt;1,IF(C2425&lt;99,VLOOKUP(F2425,'MSA-Lookup'!$AA$1:$AB$25,2),C2425),C2425)</f>
        <v>4940</v>
      </c>
    </row>
    <row r="2426" customFormat="false" ht="12.75" hidden="false" customHeight="false" outlineLevel="0" collapsed="false">
      <c r="A2426" s="0" t="n">
        <f aca="false">B2426*1000+C2426</f>
        <v>40031</v>
      </c>
      <c r="B2426" s="0" t="n">
        <v>40</v>
      </c>
      <c r="C2426" s="0" t="n">
        <v>31</v>
      </c>
      <c r="D2426" s="0" t="n">
        <v>1040</v>
      </c>
      <c r="E2426" s="0" t="n">
        <f aca="false">VLOOKUP(B2426,'MSA-Lookup'!$H$2:$I$86,2)</f>
        <v>2840</v>
      </c>
      <c r="F2426" s="0" t="n">
        <f aca="false">IF(C2426&gt;1,IF(C2426&lt;99,VLOOKUP(C2426,'MSA-Lookup'!$H$1:$I$86,2),C2426),C2426)</f>
        <v>9999</v>
      </c>
      <c r="G2426" s="0" t="n">
        <f aca="false">VLOOKUP(E2426,'MSA-Lookup'!$AA$1:$AB$25,2)</f>
        <v>2840</v>
      </c>
      <c r="H2426" s="0" t="n">
        <f aca="false">IF(C2426&gt;1,IF(C2426&lt;99,VLOOKUP(F2426,'MSA-Lookup'!$AA$1:$AB$25,2),C2426),C2426)</f>
        <v>9999</v>
      </c>
    </row>
    <row r="2427" customFormat="false" ht="12.75" hidden="false" customHeight="false" outlineLevel="0" collapsed="false">
      <c r="A2427" s="0" t="n">
        <f aca="false">B2427*1000+C2427</f>
        <v>40032</v>
      </c>
      <c r="B2427" s="0" t="n">
        <v>40</v>
      </c>
      <c r="C2427" s="0" t="n">
        <v>32</v>
      </c>
      <c r="D2427" s="0" t="n">
        <v>91</v>
      </c>
      <c r="E2427" s="0" t="n">
        <f aca="false">VLOOKUP(B2427,'MSA-Lookup'!$H$2:$I$86,2)</f>
        <v>2840</v>
      </c>
      <c r="F2427" s="0" t="n">
        <f aca="false">IF(C2427&gt;1,IF(C2427&lt;99,VLOOKUP(C2427,'MSA-Lookup'!$H$1:$I$86,2),C2427),C2427)</f>
        <v>7480</v>
      </c>
      <c r="G2427" s="0" t="n">
        <f aca="false">VLOOKUP(E2427,'MSA-Lookup'!$AA$1:$AB$25,2)</f>
        <v>2840</v>
      </c>
      <c r="H2427" s="0" t="n">
        <f aca="false">IF(C2427&gt;1,IF(C2427&lt;99,VLOOKUP(F2427,'MSA-Lookup'!$AA$1:$AB$25,2),C2427),C2427)</f>
        <v>7480</v>
      </c>
    </row>
    <row r="2428" customFormat="false" ht="12.75" hidden="false" customHeight="false" outlineLevel="0" collapsed="false">
      <c r="A2428" s="0" t="n">
        <f aca="false">B2428*1000+C2428</f>
        <v>40033</v>
      </c>
      <c r="B2428" s="0" t="n">
        <v>40</v>
      </c>
      <c r="C2428" s="0" t="n">
        <v>33</v>
      </c>
      <c r="D2428" s="0" t="n">
        <v>104</v>
      </c>
      <c r="E2428" s="0" t="n">
        <f aca="false">VLOOKUP(B2428,'MSA-Lookup'!$H$2:$I$86,2)</f>
        <v>2840</v>
      </c>
      <c r="F2428" s="0" t="n">
        <f aca="false">IF(C2428&gt;1,IF(C2428&lt;99,VLOOKUP(C2428,'MSA-Lookup'!$H$1:$I$86,2),C2428),C2428)</f>
        <v>7320</v>
      </c>
      <c r="G2428" s="0" t="n">
        <f aca="false">VLOOKUP(E2428,'MSA-Lookup'!$AA$1:$AB$25,2)</f>
        <v>2840</v>
      </c>
      <c r="H2428" s="0" t="n">
        <f aca="false">IF(C2428&gt;1,IF(C2428&lt;99,VLOOKUP(F2428,'MSA-Lookup'!$AA$1:$AB$25,2),C2428),C2428)</f>
        <v>7320</v>
      </c>
    </row>
    <row r="2429" customFormat="false" ht="12.75" hidden="false" customHeight="false" outlineLevel="0" collapsed="false">
      <c r="A2429" s="0" t="n">
        <f aca="false">B2429*1000+C2429</f>
        <v>40034</v>
      </c>
      <c r="B2429" s="0" t="n">
        <v>40</v>
      </c>
      <c r="C2429" s="0" t="n">
        <v>34</v>
      </c>
      <c r="D2429" s="0" t="n">
        <v>0</v>
      </c>
      <c r="E2429" s="0" t="n">
        <f aca="false">VLOOKUP(B2429,'MSA-Lookup'!$H$2:$I$86,2)</f>
        <v>2840</v>
      </c>
      <c r="F2429" s="0" t="n">
        <f aca="false">IF(C2429&gt;1,IF(C2429&lt;99,VLOOKUP(C2429,'MSA-Lookup'!$H$1:$I$86,2),C2429),C2429)</f>
        <v>7320</v>
      </c>
      <c r="G2429" s="0" t="n">
        <f aca="false">VLOOKUP(E2429,'MSA-Lookup'!$AA$1:$AB$25,2)</f>
        <v>2840</v>
      </c>
      <c r="H2429" s="0" t="n">
        <f aca="false">IF(C2429&gt;1,IF(C2429&lt;99,VLOOKUP(F2429,'MSA-Lookup'!$AA$1:$AB$25,2),C2429),C2429)</f>
        <v>7320</v>
      </c>
    </row>
    <row r="2430" customFormat="false" ht="12.75" hidden="false" customHeight="false" outlineLevel="0" collapsed="false">
      <c r="A2430" s="0" t="n">
        <f aca="false">B2430*1000+C2430</f>
        <v>40035</v>
      </c>
      <c r="B2430" s="0" t="n">
        <v>40</v>
      </c>
      <c r="C2430" s="0" t="n">
        <v>35</v>
      </c>
      <c r="D2430" s="0" t="n">
        <v>0</v>
      </c>
      <c r="E2430" s="0" t="n">
        <f aca="false">VLOOKUP(B2430,'MSA-Lookup'!$H$2:$I$86,2)</f>
        <v>2840</v>
      </c>
      <c r="F2430" s="0" t="n">
        <f aca="false">IF(C2430&gt;1,IF(C2430&lt;99,VLOOKUP(C2430,'MSA-Lookup'!$H$1:$I$86,2),C2430),C2430)</f>
        <v>7320</v>
      </c>
      <c r="G2430" s="0" t="n">
        <f aca="false">VLOOKUP(E2430,'MSA-Lookup'!$AA$1:$AB$25,2)</f>
        <v>2840</v>
      </c>
      <c r="H2430" s="0" t="n">
        <f aca="false">IF(C2430&gt;1,IF(C2430&lt;99,VLOOKUP(F2430,'MSA-Lookup'!$AA$1:$AB$25,2),C2430),C2430)</f>
        <v>7320</v>
      </c>
    </row>
    <row r="2431" customFormat="false" ht="12.75" hidden="false" customHeight="false" outlineLevel="0" collapsed="false">
      <c r="A2431" s="0" t="n">
        <f aca="false">B2431*1000+C2431</f>
        <v>40036</v>
      </c>
      <c r="B2431" s="0" t="n">
        <v>40</v>
      </c>
      <c r="C2431" s="0" t="n">
        <v>36</v>
      </c>
      <c r="D2431" s="0" t="n">
        <v>0</v>
      </c>
      <c r="E2431" s="0" t="n">
        <f aca="false">VLOOKUP(B2431,'MSA-Lookup'!$H$2:$I$86,2)</f>
        <v>2840</v>
      </c>
      <c r="F2431" s="0" t="n">
        <f aca="false">IF(C2431&gt;1,IF(C2431&lt;99,VLOOKUP(C2431,'MSA-Lookup'!$H$1:$I$86,2),C2431),C2431)</f>
        <v>7320</v>
      </c>
      <c r="G2431" s="0" t="n">
        <f aca="false">VLOOKUP(E2431,'MSA-Lookup'!$AA$1:$AB$25,2)</f>
        <v>2840</v>
      </c>
      <c r="H2431" s="0" t="n">
        <f aca="false">IF(C2431&gt;1,IF(C2431&lt;99,VLOOKUP(F2431,'MSA-Lookup'!$AA$1:$AB$25,2),C2431),C2431)</f>
        <v>7320</v>
      </c>
    </row>
    <row r="2432" customFormat="false" ht="12.75" hidden="false" customHeight="false" outlineLevel="0" collapsed="false">
      <c r="A2432" s="0" t="n">
        <f aca="false">B2432*1000+C2432</f>
        <v>40037</v>
      </c>
      <c r="B2432" s="0" t="n">
        <v>40</v>
      </c>
      <c r="C2432" s="0" t="n">
        <v>37</v>
      </c>
      <c r="D2432" s="0" t="n">
        <v>0</v>
      </c>
      <c r="E2432" s="0" t="n">
        <f aca="false">VLOOKUP(B2432,'MSA-Lookup'!$H$2:$I$86,2)</f>
        <v>2840</v>
      </c>
      <c r="F2432" s="0" t="n">
        <f aca="false">IF(C2432&gt;1,IF(C2432&lt;99,VLOOKUP(C2432,'MSA-Lookup'!$H$1:$I$86,2),C2432),C2432)</f>
        <v>7320</v>
      </c>
      <c r="G2432" s="0" t="n">
        <f aca="false">VLOOKUP(E2432,'MSA-Lookup'!$AA$1:$AB$25,2)</f>
        <v>2840</v>
      </c>
      <c r="H2432" s="0" t="n">
        <f aca="false">IF(C2432&gt;1,IF(C2432&lt;99,VLOOKUP(F2432,'MSA-Lookup'!$AA$1:$AB$25,2),C2432),C2432)</f>
        <v>7320</v>
      </c>
    </row>
    <row r="2433" customFormat="false" ht="12.75" hidden="false" customHeight="false" outlineLevel="0" collapsed="false">
      <c r="A2433" s="0" t="n">
        <f aca="false">B2433*1000+C2433</f>
        <v>40038</v>
      </c>
      <c r="B2433" s="0" t="n">
        <v>40</v>
      </c>
      <c r="C2433" s="0" t="n">
        <v>38</v>
      </c>
      <c r="D2433" s="0" t="n">
        <v>0</v>
      </c>
      <c r="E2433" s="0" t="n">
        <f aca="false">VLOOKUP(B2433,'MSA-Lookup'!$H$2:$I$86,2)</f>
        <v>2840</v>
      </c>
      <c r="F2433" s="0" t="n">
        <f aca="false">IF(C2433&gt;1,IF(C2433&lt;99,VLOOKUP(C2433,'MSA-Lookup'!$H$1:$I$86,2),C2433),C2433)</f>
        <v>7120</v>
      </c>
      <c r="G2433" s="0" t="n">
        <f aca="false">VLOOKUP(E2433,'MSA-Lookup'!$AA$1:$AB$25,2)</f>
        <v>2840</v>
      </c>
      <c r="H2433" s="0" t="n">
        <f aca="false">IF(C2433&gt;1,IF(C2433&lt;99,VLOOKUP(F2433,'MSA-Lookup'!$AA$1:$AB$25,2),C2433),C2433)</f>
        <v>7120</v>
      </c>
    </row>
    <row r="2434" customFormat="false" ht="12.75" hidden="false" customHeight="false" outlineLevel="0" collapsed="false">
      <c r="A2434" s="0" t="n">
        <f aca="false">B2434*1000+C2434</f>
        <v>40039</v>
      </c>
      <c r="B2434" s="0" t="n">
        <v>40</v>
      </c>
      <c r="C2434" s="0" t="n">
        <v>39</v>
      </c>
      <c r="D2434" s="0" t="n">
        <v>325</v>
      </c>
      <c r="E2434" s="0" t="n">
        <f aca="false">VLOOKUP(B2434,'MSA-Lookup'!$H$2:$I$86,2)</f>
        <v>2840</v>
      </c>
      <c r="F2434" s="0" t="n">
        <f aca="false">IF(C2434&gt;1,IF(C2434&lt;99,VLOOKUP(C2434,'MSA-Lookup'!$H$1:$I$86,2),C2434),C2434)</f>
        <v>7120</v>
      </c>
      <c r="G2434" s="0" t="n">
        <f aca="false">VLOOKUP(E2434,'MSA-Lookup'!$AA$1:$AB$25,2)</f>
        <v>2840</v>
      </c>
      <c r="H2434" s="0" t="n">
        <f aca="false">IF(C2434&gt;1,IF(C2434&lt;99,VLOOKUP(F2434,'MSA-Lookup'!$AA$1:$AB$25,2),C2434),C2434)</f>
        <v>7120</v>
      </c>
    </row>
    <row r="2435" customFormat="false" ht="12.75" hidden="false" customHeight="false" outlineLevel="0" collapsed="false">
      <c r="A2435" s="0" t="n">
        <f aca="false">B2435*1000+C2435</f>
        <v>40040</v>
      </c>
      <c r="B2435" s="0" t="n">
        <v>40</v>
      </c>
      <c r="C2435" s="0" t="n">
        <v>40</v>
      </c>
      <c r="D2435" s="0" t="n">
        <v>112021</v>
      </c>
      <c r="E2435" s="0" t="n">
        <f aca="false">VLOOKUP(B2435,'MSA-Lookup'!$H$2:$I$86,2)</f>
        <v>2840</v>
      </c>
      <c r="F2435" s="0" t="n">
        <f aca="false">IF(C2435&gt;1,IF(C2435&lt;99,VLOOKUP(C2435,'MSA-Lookup'!$H$1:$I$86,2),C2435),C2435)</f>
        <v>2840</v>
      </c>
      <c r="G2435" s="0" t="n">
        <f aca="false">VLOOKUP(E2435,'MSA-Lookup'!$AA$1:$AB$25,2)</f>
        <v>2840</v>
      </c>
      <c r="H2435" s="0" t="n">
        <f aca="false">IF(C2435&gt;1,IF(C2435&lt;99,VLOOKUP(F2435,'MSA-Lookup'!$AA$1:$AB$25,2),C2435),C2435)</f>
        <v>2840</v>
      </c>
    </row>
    <row r="2436" customFormat="false" ht="12.75" hidden="false" customHeight="false" outlineLevel="0" collapsed="false">
      <c r="A2436" s="0" t="n">
        <f aca="false">B2436*1000+C2436</f>
        <v>40041</v>
      </c>
      <c r="B2436" s="0" t="n">
        <v>40</v>
      </c>
      <c r="C2436" s="0" t="n">
        <v>41</v>
      </c>
      <c r="D2436" s="0" t="n">
        <v>16367</v>
      </c>
      <c r="E2436" s="0" t="n">
        <f aca="false">VLOOKUP(B2436,'MSA-Lookup'!$H$2:$I$86,2)</f>
        <v>2840</v>
      </c>
      <c r="F2436" s="0" t="n">
        <f aca="false">IF(C2436&gt;1,IF(C2436&lt;99,VLOOKUP(C2436,'MSA-Lookup'!$H$1:$I$86,2),C2436),C2436)</f>
        <v>2840</v>
      </c>
      <c r="G2436" s="0" t="n">
        <f aca="false">VLOOKUP(E2436,'MSA-Lookup'!$AA$1:$AB$25,2)</f>
        <v>2840</v>
      </c>
      <c r="H2436" s="0" t="n">
        <f aca="false">IF(C2436&gt;1,IF(C2436&lt;99,VLOOKUP(F2436,'MSA-Lookup'!$AA$1:$AB$25,2),C2436),C2436)</f>
        <v>2840</v>
      </c>
    </row>
    <row r="2437" customFormat="false" ht="12.75" hidden="false" customHeight="false" outlineLevel="0" collapsed="false">
      <c r="A2437" s="0" t="n">
        <f aca="false">B2437*1000+C2437</f>
        <v>40042</v>
      </c>
      <c r="B2437" s="0" t="n">
        <v>40</v>
      </c>
      <c r="C2437" s="0" t="n">
        <v>42</v>
      </c>
      <c r="D2437" s="0" t="n">
        <v>117</v>
      </c>
      <c r="E2437" s="0" t="n">
        <f aca="false">VLOOKUP(B2437,'MSA-Lookup'!$H$2:$I$86,2)</f>
        <v>2840</v>
      </c>
      <c r="F2437" s="0" t="n">
        <f aca="false">IF(C2437&gt;1,IF(C2437&lt;99,VLOOKUP(C2437,'MSA-Lookup'!$H$1:$I$86,2),C2437),C2437)</f>
        <v>360</v>
      </c>
      <c r="G2437" s="0" t="n">
        <f aca="false">VLOOKUP(E2437,'MSA-Lookup'!$AA$1:$AB$25,2)</f>
        <v>2840</v>
      </c>
      <c r="H2437" s="0" t="n">
        <f aca="false">IF(C2437&gt;1,IF(C2437&lt;99,VLOOKUP(F2437,'MSA-Lookup'!$AA$1:$AB$25,2),C2437),C2437)</f>
        <v>4472</v>
      </c>
    </row>
    <row r="2438" customFormat="false" ht="12.75" hidden="false" customHeight="false" outlineLevel="0" collapsed="false">
      <c r="A2438" s="0" t="n">
        <f aca="false">B2438*1000+C2438</f>
        <v>40043</v>
      </c>
      <c r="B2438" s="0" t="n">
        <v>40</v>
      </c>
      <c r="C2438" s="0" t="n">
        <v>43</v>
      </c>
      <c r="D2438" s="0" t="n">
        <v>0</v>
      </c>
      <c r="E2438" s="0" t="n">
        <f aca="false">VLOOKUP(B2438,'MSA-Lookup'!$H$2:$I$86,2)</f>
        <v>2840</v>
      </c>
      <c r="F2438" s="0" t="n">
        <f aca="false">IF(C2438&gt;1,IF(C2438&lt;99,VLOOKUP(C2438,'MSA-Lookup'!$H$1:$I$86,2),C2438),C2438)</f>
        <v>360</v>
      </c>
      <c r="G2438" s="0" t="n">
        <f aca="false">VLOOKUP(E2438,'MSA-Lookup'!$AA$1:$AB$25,2)</f>
        <v>2840</v>
      </c>
      <c r="H2438" s="0" t="n">
        <f aca="false">IF(C2438&gt;1,IF(C2438&lt;99,VLOOKUP(F2438,'MSA-Lookup'!$AA$1:$AB$25,2),C2438),C2438)</f>
        <v>4472</v>
      </c>
    </row>
    <row r="2439" customFormat="false" ht="12.75" hidden="false" customHeight="false" outlineLevel="0" collapsed="false">
      <c r="A2439" s="0" t="n">
        <f aca="false">B2439*1000+C2439</f>
        <v>40044</v>
      </c>
      <c r="B2439" s="0" t="n">
        <v>40</v>
      </c>
      <c r="C2439" s="0" t="n">
        <v>44</v>
      </c>
      <c r="D2439" s="0" t="n">
        <v>0</v>
      </c>
      <c r="E2439" s="0" t="n">
        <f aca="false">VLOOKUP(B2439,'MSA-Lookup'!$H$2:$I$86,2)</f>
        <v>2840</v>
      </c>
      <c r="F2439" s="0" t="n">
        <f aca="false">IF(C2439&gt;1,IF(C2439&lt;99,VLOOKUP(C2439,'MSA-Lookup'!$H$1:$I$86,2),C2439),C2439)</f>
        <v>360</v>
      </c>
      <c r="G2439" s="0" t="n">
        <f aca="false">VLOOKUP(E2439,'MSA-Lookup'!$AA$1:$AB$25,2)</f>
        <v>2840</v>
      </c>
      <c r="H2439" s="0" t="n">
        <f aca="false">IF(C2439&gt;1,IF(C2439&lt;99,VLOOKUP(F2439,'MSA-Lookup'!$AA$1:$AB$25,2),C2439),C2439)</f>
        <v>4472</v>
      </c>
    </row>
    <row r="2440" customFormat="false" ht="12.75" hidden="false" customHeight="false" outlineLevel="0" collapsed="false">
      <c r="A2440" s="0" t="n">
        <f aca="false">B2440*1000+C2440</f>
        <v>40045</v>
      </c>
      <c r="B2440" s="0" t="n">
        <v>40</v>
      </c>
      <c r="C2440" s="0" t="n">
        <v>45</v>
      </c>
      <c r="D2440" s="0" t="n">
        <v>0</v>
      </c>
      <c r="E2440" s="0" t="n">
        <f aca="false">VLOOKUP(B2440,'MSA-Lookup'!$H$2:$I$86,2)</f>
        <v>2840</v>
      </c>
      <c r="F2440" s="0" t="n">
        <f aca="false">IF(C2440&gt;1,IF(C2440&lt;99,VLOOKUP(C2440,'MSA-Lookup'!$H$1:$I$86,2),C2440),C2440)</f>
        <v>360</v>
      </c>
      <c r="G2440" s="0" t="n">
        <f aca="false">VLOOKUP(E2440,'MSA-Lookup'!$AA$1:$AB$25,2)</f>
        <v>2840</v>
      </c>
      <c r="H2440" s="0" t="n">
        <f aca="false">IF(C2440&gt;1,IF(C2440&lt;99,VLOOKUP(F2440,'MSA-Lookup'!$AA$1:$AB$25,2),C2440),C2440)</f>
        <v>4472</v>
      </c>
    </row>
    <row r="2441" customFormat="false" ht="12.75" hidden="false" customHeight="false" outlineLevel="0" collapsed="false">
      <c r="A2441" s="0" t="n">
        <f aca="false">B2441*1000+C2441</f>
        <v>40046</v>
      </c>
      <c r="B2441" s="0" t="n">
        <v>40</v>
      </c>
      <c r="C2441" s="0" t="n">
        <v>46</v>
      </c>
      <c r="D2441" s="0" t="n">
        <v>0</v>
      </c>
      <c r="E2441" s="0" t="n">
        <f aca="false">VLOOKUP(B2441,'MSA-Lookup'!$H$2:$I$86,2)</f>
        <v>2840</v>
      </c>
      <c r="F2441" s="0" t="n">
        <f aca="false">IF(C2441&gt;1,IF(C2441&lt;99,VLOOKUP(C2441,'MSA-Lookup'!$H$1:$I$86,2),C2441),C2441)</f>
        <v>360</v>
      </c>
      <c r="G2441" s="0" t="n">
        <f aca="false">VLOOKUP(E2441,'MSA-Lookup'!$AA$1:$AB$25,2)</f>
        <v>2840</v>
      </c>
      <c r="H2441" s="0" t="n">
        <f aca="false">IF(C2441&gt;1,IF(C2441&lt;99,VLOOKUP(F2441,'MSA-Lookup'!$AA$1:$AB$25,2),C2441),C2441)</f>
        <v>4472</v>
      </c>
    </row>
    <row r="2442" customFormat="false" ht="12.75" hidden="false" customHeight="false" outlineLevel="0" collapsed="false">
      <c r="A2442" s="0" t="n">
        <f aca="false">B2442*1000+C2442</f>
        <v>40047</v>
      </c>
      <c r="B2442" s="0" t="n">
        <v>40</v>
      </c>
      <c r="C2442" s="0" t="n">
        <v>47</v>
      </c>
      <c r="D2442" s="0" t="n">
        <v>0</v>
      </c>
      <c r="E2442" s="0" t="n">
        <f aca="false">VLOOKUP(B2442,'MSA-Lookup'!$H$2:$I$86,2)</f>
        <v>2840</v>
      </c>
      <c r="F2442" s="0" t="n">
        <f aca="false">IF(C2442&gt;1,IF(C2442&lt;99,VLOOKUP(C2442,'MSA-Lookup'!$H$1:$I$86,2),C2442),C2442)</f>
        <v>360</v>
      </c>
      <c r="G2442" s="0" t="n">
        <f aca="false">VLOOKUP(E2442,'MSA-Lookup'!$AA$1:$AB$25,2)</f>
        <v>2840</v>
      </c>
      <c r="H2442" s="0" t="n">
        <f aca="false">IF(C2442&gt;1,IF(C2442&lt;99,VLOOKUP(F2442,'MSA-Lookup'!$AA$1:$AB$25,2),C2442),C2442)</f>
        <v>4472</v>
      </c>
    </row>
    <row r="2443" customFormat="false" ht="12.75" hidden="false" customHeight="false" outlineLevel="0" collapsed="false">
      <c r="A2443" s="0" t="n">
        <f aca="false">B2443*1000+C2443</f>
        <v>40048</v>
      </c>
      <c r="B2443" s="0" t="n">
        <v>40</v>
      </c>
      <c r="C2443" s="0" t="n">
        <v>48</v>
      </c>
      <c r="D2443" s="0" t="n">
        <v>0</v>
      </c>
      <c r="E2443" s="0" t="n">
        <f aca="false">VLOOKUP(B2443,'MSA-Lookup'!$H$2:$I$86,2)</f>
        <v>2840</v>
      </c>
      <c r="F2443" s="0" t="n">
        <f aca="false">IF(C2443&gt;1,IF(C2443&lt;99,VLOOKUP(C2443,'MSA-Lookup'!$H$1:$I$86,2),C2443),C2443)</f>
        <v>360</v>
      </c>
      <c r="G2443" s="0" t="n">
        <f aca="false">VLOOKUP(E2443,'MSA-Lookup'!$AA$1:$AB$25,2)</f>
        <v>2840</v>
      </c>
      <c r="H2443" s="0" t="n">
        <f aca="false">IF(C2443&gt;1,IF(C2443&lt;99,VLOOKUP(F2443,'MSA-Lookup'!$AA$1:$AB$25,2),C2443),C2443)</f>
        <v>4472</v>
      </c>
    </row>
    <row r="2444" customFormat="false" ht="12.75" hidden="false" customHeight="false" outlineLevel="0" collapsed="false">
      <c r="A2444" s="0" t="n">
        <f aca="false">B2444*1000+C2444</f>
        <v>40049</v>
      </c>
      <c r="B2444" s="0" t="n">
        <v>40</v>
      </c>
      <c r="C2444" s="0" t="n">
        <v>49</v>
      </c>
      <c r="D2444" s="0" t="n">
        <v>91</v>
      </c>
      <c r="E2444" s="0" t="n">
        <f aca="false">VLOOKUP(B2444,'MSA-Lookup'!$H$2:$I$86,2)</f>
        <v>2840</v>
      </c>
      <c r="F2444" s="0" t="n">
        <f aca="false">IF(C2444&gt;1,IF(C2444&lt;99,VLOOKUP(C2444,'MSA-Lookup'!$H$1:$I$86,2),C2444),C2444)</f>
        <v>7400</v>
      </c>
      <c r="G2444" s="0" t="n">
        <f aca="false">VLOOKUP(E2444,'MSA-Lookup'!$AA$1:$AB$25,2)</f>
        <v>2840</v>
      </c>
      <c r="H2444" s="0" t="n">
        <f aca="false">IF(C2444&gt;1,IF(C2444&lt;99,VLOOKUP(F2444,'MSA-Lookup'!$AA$1:$AB$25,2),C2444),C2444)</f>
        <v>7362</v>
      </c>
    </row>
    <row r="2445" customFormat="false" ht="12.75" hidden="false" customHeight="false" outlineLevel="0" collapsed="false">
      <c r="A2445" s="0" t="n">
        <f aca="false">B2445*1000+C2445</f>
        <v>40050</v>
      </c>
      <c r="B2445" s="0" t="n">
        <v>40</v>
      </c>
      <c r="C2445" s="0" t="n">
        <v>50</v>
      </c>
      <c r="D2445" s="0" t="n">
        <v>0</v>
      </c>
      <c r="E2445" s="0" t="n">
        <f aca="false">VLOOKUP(B2445,'MSA-Lookup'!$H$2:$I$86,2)</f>
        <v>2840</v>
      </c>
      <c r="F2445" s="0" t="n">
        <f aca="false">IF(C2445&gt;1,IF(C2445&lt;99,VLOOKUP(C2445,'MSA-Lookup'!$H$1:$I$86,2),C2445),C2445)</f>
        <v>7400</v>
      </c>
      <c r="G2445" s="0" t="n">
        <f aca="false">VLOOKUP(E2445,'MSA-Lookup'!$AA$1:$AB$25,2)</f>
        <v>2840</v>
      </c>
      <c r="H2445" s="0" t="n">
        <f aca="false">IF(C2445&gt;1,IF(C2445&lt;99,VLOOKUP(F2445,'MSA-Lookup'!$AA$1:$AB$25,2),C2445),C2445)</f>
        <v>7362</v>
      </c>
    </row>
    <row r="2446" customFormat="false" ht="12.75" hidden="false" customHeight="false" outlineLevel="0" collapsed="false">
      <c r="A2446" s="0" t="n">
        <f aca="false">B2446*1000+C2446</f>
        <v>40051</v>
      </c>
      <c r="B2446" s="0" t="n">
        <v>40</v>
      </c>
      <c r="C2446" s="0" t="n">
        <v>51</v>
      </c>
      <c r="D2446" s="0" t="n">
        <v>0</v>
      </c>
      <c r="E2446" s="0" t="n">
        <f aca="false">VLOOKUP(B2446,'MSA-Lookup'!$H$2:$I$86,2)</f>
        <v>2840</v>
      </c>
      <c r="F2446" s="0" t="n">
        <f aca="false">IF(C2446&gt;1,IF(C2446&lt;99,VLOOKUP(C2446,'MSA-Lookup'!$H$1:$I$86,2),C2446),C2446)</f>
        <v>7400</v>
      </c>
      <c r="G2446" s="0" t="n">
        <f aca="false">VLOOKUP(E2446,'MSA-Lookup'!$AA$1:$AB$25,2)</f>
        <v>2840</v>
      </c>
      <c r="H2446" s="0" t="n">
        <f aca="false">IF(C2446&gt;1,IF(C2446&lt;99,VLOOKUP(F2446,'MSA-Lookup'!$AA$1:$AB$25,2),C2446),C2446)</f>
        <v>7362</v>
      </c>
    </row>
    <row r="2447" customFormat="false" ht="12.75" hidden="false" customHeight="false" outlineLevel="0" collapsed="false">
      <c r="A2447" s="0" t="n">
        <f aca="false">B2447*1000+C2447</f>
        <v>40052</v>
      </c>
      <c r="B2447" s="0" t="n">
        <v>40</v>
      </c>
      <c r="C2447" s="0" t="n">
        <v>52</v>
      </c>
      <c r="D2447" s="0" t="n">
        <v>104</v>
      </c>
      <c r="E2447" s="0" t="n">
        <f aca="false">VLOOKUP(B2447,'MSA-Lookup'!$H$2:$I$86,2)</f>
        <v>2840</v>
      </c>
      <c r="F2447" s="0" t="n">
        <f aca="false">IF(C2447&gt;1,IF(C2447&lt;99,VLOOKUP(C2447,'MSA-Lookup'!$H$1:$I$86,2),C2447),C2447)</f>
        <v>4480</v>
      </c>
      <c r="G2447" s="0" t="n">
        <f aca="false">VLOOKUP(E2447,'MSA-Lookup'!$AA$1:$AB$25,2)</f>
        <v>2840</v>
      </c>
      <c r="H2447" s="0" t="n">
        <f aca="false">IF(C2447&gt;1,IF(C2447&lt;99,VLOOKUP(F2447,'MSA-Lookup'!$AA$1:$AB$25,2),C2447),C2447)</f>
        <v>4472</v>
      </c>
    </row>
    <row r="2448" customFormat="false" ht="12.75" hidden="false" customHeight="false" outlineLevel="0" collapsed="false">
      <c r="A2448" s="0" t="n">
        <f aca="false">B2448*1000+C2448</f>
        <v>40053</v>
      </c>
      <c r="B2448" s="0" t="n">
        <v>40</v>
      </c>
      <c r="C2448" s="0" t="n">
        <v>53</v>
      </c>
      <c r="D2448" s="0" t="n">
        <v>0</v>
      </c>
      <c r="E2448" s="0" t="n">
        <f aca="false">VLOOKUP(B2448,'MSA-Lookup'!$H$2:$I$86,2)</f>
        <v>2840</v>
      </c>
      <c r="F2448" s="0" t="n">
        <f aca="false">IF(C2448&gt;1,IF(C2448&lt;99,VLOOKUP(C2448,'MSA-Lookup'!$H$1:$I$86,2),C2448),C2448)</f>
        <v>4480</v>
      </c>
      <c r="G2448" s="0" t="n">
        <f aca="false">VLOOKUP(E2448,'MSA-Lookup'!$AA$1:$AB$25,2)</f>
        <v>2840</v>
      </c>
      <c r="H2448" s="0" t="n">
        <f aca="false">IF(C2448&gt;1,IF(C2448&lt;99,VLOOKUP(F2448,'MSA-Lookup'!$AA$1:$AB$25,2),C2448),C2448)</f>
        <v>4472</v>
      </c>
    </row>
    <row r="2449" customFormat="false" ht="12.75" hidden="false" customHeight="false" outlineLevel="0" collapsed="false">
      <c r="A2449" s="0" t="n">
        <f aca="false">B2449*1000+C2449</f>
        <v>40054</v>
      </c>
      <c r="B2449" s="0" t="n">
        <v>40</v>
      </c>
      <c r="C2449" s="0" t="n">
        <v>54</v>
      </c>
      <c r="D2449" s="0" t="n">
        <v>0</v>
      </c>
      <c r="E2449" s="0" t="n">
        <f aca="false">VLOOKUP(B2449,'MSA-Lookup'!$H$2:$I$86,2)</f>
        <v>2840</v>
      </c>
      <c r="F2449" s="0" t="n">
        <f aca="false">IF(C2449&gt;1,IF(C2449&lt;99,VLOOKUP(C2449,'MSA-Lookup'!$H$1:$I$86,2),C2449),C2449)</f>
        <v>4480</v>
      </c>
      <c r="G2449" s="0" t="n">
        <f aca="false">VLOOKUP(E2449,'MSA-Lookup'!$AA$1:$AB$25,2)</f>
        <v>2840</v>
      </c>
      <c r="H2449" s="0" t="n">
        <f aca="false">IF(C2449&gt;1,IF(C2449&lt;99,VLOOKUP(F2449,'MSA-Lookup'!$AA$1:$AB$25,2),C2449),C2449)</f>
        <v>4472</v>
      </c>
    </row>
    <row r="2450" customFormat="false" ht="12.75" hidden="false" customHeight="false" outlineLevel="0" collapsed="false">
      <c r="A2450" s="0" t="n">
        <f aca="false">B2450*1000+C2450</f>
        <v>40055</v>
      </c>
      <c r="B2450" s="0" t="n">
        <v>40</v>
      </c>
      <c r="C2450" s="0" t="n">
        <v>55</v>
      </c>
      <c r="D2450" s="0" t="n">
        <v>0</v>
      </c>
      <c r="E2450" s="0" t="n">
        <f aca="false">VLOOKUP(B2450,'MSA-Lookup'!$H$2:$I$86,2)</f>
        <v>2840</v>
      </c>
      <c r="F2450" s="0" t="n">
        <f aca="false">IF(C2450&gt;1,IF(C2450&lt;99,VLOOKUP(C2450,'MSA-Lookup'!$H$1:$I$86,2),C2450),C2450)</f>
        <v>4480</v>
      </c>
      <c r="G2450" s="0" t="n">
        <f aca="false">VLOOKUP(E2450,'MSA-Lookup'!$AA$1:$AB$25,2)</f>
        <v>2840</v>
      </c>
      <c r="H2450" s="0" t="n">
        <f aca="false">IF(C2450&gt;1,IF(C2450&lt;99,VLOOKUP(F2450,'MSA-Lookup'!$AA$1:$AB$25,2),C2450),C2450)</f>
        <v>4472</v>
      </c>
    </row>
    <row r="2451" customFormat="false" ht="12.75" hidden="false" customHeight="false" outlineLevel="0" collapsed="false">
      <c r="A2451" s="0" t="n">
        <f aca="false">B2451*1000+C2451</f>
        <v>40056</v>
      </c>
      <c r="B2451" s="0" t="n">
        <v>40</v>
      </c>
      <c r="C2451" s="0" t="n">
        <v>56</v>
      </c>
      <c r="D2451" s="0" t="n">
        <v>0</v>
      </c>
      <c r="E2451" s="0" t="n">
        <f aca="false">VLOOKUP(B2451,'MSA-Lookup'!$H$2:$I$86,2)</f>
        <v>2840</v>
      </c>
      <c r="F2451" s="0" t="n">
        <f aca="false">IF(C2451&gt;1,IF(C2451&lt;99,VLOOKUP(C2451,'MSA-Lookup'!$H$1:$I$86,2),C2451),C2451)</f>
        <v>4480</v>
      </c>
      <c r="G2451" s="0" t="n">
        <f aca="false">VLOOKUP(E2451,'MSA-Lookup'!$AA$1:$AB$25,2)</f>
        <v>2840</v>
      </c>
      <c r="H2451" s="0" t="n">
        <f aca="false">IF(C2451&gt;1,IF(C2451&lt;99,VLOOKUP(F2451,'MSA-Lookup'!$AA$1:$AB$25,2),C2451),C2451)</f>
        <v>4472</v>
      </c>
    </row>
    <row r="2452" customFormat="false" ht="12.75" hidden="false" customHeight="false" outlineLevel="0" collapsed="false">
      <c r="A2452" s="0" t="n">
        <f aca="false">B2452*1000+C2452</f>
        <v>40057</v>
      </c>
      <c r="B2452" s="0" t="n">
        <v>40</v>
      </c>
      <c r="C2452" s="0" t="n">
        <v>57</v>
      </c>
      <c r="D2452" s="0" t="n">
        <v>0</v>
      </c>
      <c r="E2452" s="0" t="n">
        <f aca="false">VLOOKUP(B2452,'MSA-Lookup'!$H$2:$I$86,2)</f>
        <v>2840</v>
      </c>
      <c r="F2452" s="0" t="n">
        <f aca="false">IF(C2452&gt;1,IF(C2452&lt;99,VLOOKUP(C2452,'MSA-Lookup'!$H$1:$I$86,2),C2452),C2452)</f>
        <v>4480</v>
      </c>
      <c r="G2452" s="0" t="n">
        <f aca="false">VLOOKUP(E2452,'MSA-Lookup'!$AA$1:$AB$25,2)</f>
        <v>2840</v>
      </c>
      <c r="H2452" s="0" t="n">
        <f aca="false">IF(C2452&gt;1,IF(C2452&lt;99,VLOOKUP(F2452,'MSA-Lookup'!$AA$1:$AB$25,2),C2452),C2452)</f>
        <v>4472</v>
      </c>
    </row>
    <row r="2453" customFormat="false" ht="12.75" hidden="false" customHeight="false" outlineLevel="0" collapsed="false">
      <c r="A2453" s="0" t="n">
        <f aca="false">B2453*1000+C2453</f>
        <v>40059</v>
      </c>
      <c r="B2453" s="0" t="n">
        <v>40</v>
      </c>
      <c r="C2453" s="0" t="n">
        <v>59</v>
      </c>
      <c r="D2453" s="0" t="n">
        <v>0</v>
      </c>
      <c r="E2453" s="0" t="n">
        <f aca="false">VLOOKUP(B2453,'MSA-Lookup'!$H$2:$I$86,2)</f>
        <v>2840</v>
      </c>
      <c r="F2453" s="0" t="n">
        <f aca="false">IF(C2453&gt;1,IF(C2453&lt;99,VLOOKUP(C2453,'MSA-Lookup'!$H$1:$I$86,2),C2453),C2453)</f>
        <v>4480</v>
      </c>
      <c r="G2453" s="0" t="n">
        <f aca="false">VLOOKUP(E2453,'MSA-Lookup'!$AA$1:$AB$25,2)</f>
        <v>2840</v>
      </c>
      <c r="H2453" s="0" t="n">
        <f aca="false">IF(C2453&gt;1,IF(C2453&lt;99,VLOOKUP(F2453,'MSA-Lookup'!$AA$1:$AB$25,2),C2453),C2453)</f>
        <v>4472</v>
      </c>
    </row>
    <row r="2454" customFormat="false" ht="12.75" hidden="false" customHeight="false" outlineLevel="0" collapsed="false">
      <c r="A2454" s="0" t="n">
        <f aca="false">B2454*1000+C2454</f>
        <v>40060</v>
      </c>
      <c r="B2454" s="0" t="n">
        <v>40</v>
      </c>
      <c r="C2454" s="0" t="n">
        <v>60</v>
      </c>
      <c r="D2454" s="0" t="n">
        <v>0</v>
      </c>
      <c r="E2454" s="0" t="n">
        <f aca="false">VLOOKUP(B2454,'MSA-Lookup'!$H$2:$I$86,2)</f>
        <v>2840</v>
      </c>
      <c r="F2454" s="0" t="n">
        <f aca="false">IF(C2454&gt;1,IF(C2454&lt;99,VLOOKUP(C2454,'MSA-Lookup'!$H$1:$I$86,2),C2454),C2454)</f>
        <v>4480</v>
      </c>
      <c r="G2454" s="0" t="n">
        <f aca="false">VLOOKUP(E2454,'MSA-Lookup'!$AA$1:$AB$25,2)</f>
        <v>2840</v>
      </c>
      <c r="H2454" s="0" t="n">
        <f aca="false">IF(C2454&gt;1,IF(C2454&lt;99,VLOOKUP(F2454,'MSA-Lookup'!$AA$1:$AB$25,2),C2454),C2454)</f>
        <v>4472</v>
      </c>
    </row>
    <row r="2455" customFormat="false" ht="12.75" hidden="false" customHeight="false" outlineLevel="0" collapsed="false">
      <c r="A2455" s="0" t="n">
        <f aca="false">B2455*1000+C2455</f>
        <v>40062</v>
      </c>
      <c r="B2455" s="0" t="n">
        <v>40</v>
      </c>
      <c r="C2455" s="0" t="n">
        <v>62</v>
      </c>
      <c r="D2455" s="0" t="n">
        <v>0</v>
      </c>
      <c r="E2455" s="0" t="n">
        <f aca="false">VLOOKUP(B2455,'MSA-Lookup'!$H$2:$I$86,2)</f>
        <v>2840</v>
      </c>
      <c r="F2455" s="0" t="n">
        <f aca="false">IF(C2455&gt;1,IF(C2455&lt;99,VLOOKUP(C2455,'MSA-Lookup'!$H$1:$I$86,2),C2455),C2455)</f>
        <v>4480</v>
      </c>
      <c r="G2455" s="0" t="n">
        <f aca="false">VLOOKUP(E2455,'MSA-Lookup'!$AA$1:$AB$25,2)</f>
        <v>2840</v>
      </c>
      <c r="H2455" s="0" t="n">
        <f aca="false">IF(C2455&gt;1,IF(C2455&lt;99,VLOOKUP(F2455,'MSA-Lookup'!$AA$1:$AB$25,2),C2455),C2455)</f>
        <v>4472</v>
      </c>
    </row>
    <row r="2456" customFormat="false" ht="12.75" hidden="false" customHeight="false" outlineLevel="0" collapsed="false">
      <c r="A2456" s="0" t="n">
        <f aca="false">B2456*1000+C2456</f>
        <v>40063</v>
      </c>
      <c r="B2456" s="0" t="n">
        <v>40</v>
      </c>
      <c r="C2456" s="0" t="n">
        <v>63</v>
      </c>
      <c r="D2456" s="0" t="n">
        <v>0</v>
      </c>
      <c r="E2456" s="0" t="n">
        <f aca="false">VLOOKUP(B2456,'MSA-Lookup'!$H$2:$I$86,2)</f>
        <v>2840</v>
      </c>
      <c r="F2456" s="0" t="n">
        <f aca="false">IF(C2456&gt;1,IF(C2456&lt;99,VLOOKUP(C2456,'MSA-Lookup'!$H$1:$I$86,2),C2456),C2456)</f>
        <v>4480</v>
      </c>
      <c r="G2456" s="0" t="n">
        <f aca="false">VLOOKUP(E2456,'MSA-Lookup'!$AA$1:$AB$25,2)</f>
        <v>2840</v>
      </c>
      <c r="H2456" s="0" t="n">
        <f aca="false">IF(C2456&gt;1,IF(C2456&lt;99,VLOOKUP(F2456,'MSA-Lookup'!$AA$1:$AB$25,2),C2456),C2456)</f>
        <v>4472</v>
      </c>
    </row>
    <row r="2457" customFormat="false" ht="12.75" hidden="false" customHeight="false" outlineLevel="0" collapsed="false">
      <c r="A2457" s="0" t="n">
        <f aca="false">B2457*1000+C2457</f>
        <v>40064</v>
      </c>
      <c r="B2457" s="0" t="n">
        <v>40</v>
      </c>
      <c r="C2457" s="0" t="n">
        <v>64</v>
      </c>
      <c r="D2457" s="0" t="n">
        <v>0</v>
      </c>
      <c r="E2457" s="0" t="n">
        <f aca="false">VLOOKUP(B2457,'MSA-Lookup'!$H$2:$I$86,2)</f>
        <v>2840</v>
      </c>
      <c r="F2457" s="0" t="n">
        <f aca="false">IF(C2457&gt;1,IF(C2457&lt;99,VLOOKUP(C2457,'MSA-Lookup'!$H$1:$I$86,2),C2457),C2457)</f>
        <v>4480</v>
      </c>
      <c r="G2457" s="0" t="n">
        <f aca="false">VLOOKUP(E2457,'MSA-Lookup'!$AA$1:$AB$25,2)</f>
        <v>2840</v>
      </c>
      <c r="H2457" s="0" t="n">
        <f aca="false">IF(C2457&gt;1,IF(C2457&lt;99,VLOOKUP(F2457,'MSA-Lookup'!$AA$1:$AB$25,2),C2457),C2457)</f>
        <v>4472</v>
      </c>
    </row>
    <row r="2458" customFormat="false" ht="12.75" hidden="false" customHeight="false" outlineLevel="0" collapsed="false">
      <c r="A2458" s="0" t="n">
        <f aca="false">B2458*1000+C2458</f>
        <v>40065</v>
      </c>
      <c r="B2458" s="0" t="n">
        <v>40</v>
      </c>
      <c r="C2458" s="0" t="n">
        <v>65</v>
      </c>
      <c r="D2458" s="0" t="n">
        <v>156</v>
      </c>
      <c r="E2458" s="0" t="n">
        <f aca="false">VLOOKUP(B2458,'MSA-Lookup'!$H$2:$I$86,2)</f>
        <v>2840</v>
      </c>
      <c r="F2458" s="0" t="n">
        <f aca="false">IF(C2458&gt;1,IF(C2458&lt;99,VLOOKUP(C2458,'MSA-Lookup'!$H$1:$I$86,2),C2458),C2458)</f>
        <v>4480</v>
      </c>
      <c r="G2458" s="0" t="n">
        <f aca="false">VLOOKUP(E2458,'MSA-Lookup'!$AA$1:$AB$25,2)</f>
        <v>2840</v>
      </c>
      <c r="H2458" s="0" t="n">
        <f aca="false">IF(C2458&gt;1,IF(C2458&lt;99,VLOOKUP(F2458,'MSA-Lookup'!$AA$1:$AB$25,2),C2458),C2458)</f>
        <v>4472</v>
      </c>
    </row>
    <row r="2459" customFormat="false" ht="12.75" hidden="false" customHeight="false" outlineLevel="0" collapsed="false">
      <c r="A2459" s="0" t="n">
        <f aca="false">B2459*1000+C2459</f>
        <v>40066</v>
      </c>
      <c r="B2459" s="0" t="n">
        <v>40</v>
      </c>
      <c r="C2459" s="0" t="n">
        <v>66</v>
      </c>
      <c r="D2459" s="0" t="n">
        <v>0</v>
      </c>
      <c r="E2459" s="0" t="n">
        <f aca="false">VLOOKUP(B2459,'MSA-Lookup'!$H$2:$I$86,2)</f>
        <v>2840</v>
      </c>
      <c r="F2459" s="0" t="n">
        <f aca="false">IF(C2459&gt;1,IF(C2459&lt;99,VLOOKUP(C2459,'MSA-Lookup'!$H$1:$I$86,2),C2459),C2459)</f>
        <v>4480</v>
      </c>
      <c r="G2459" s="0" t="n">
        <f aca="false">VLOOKUP(E2459,'MSA-Lookup'!$AA$1:$AB$25,2)</f>
        <v>2840</v>
      </c>
      <c r="H2459" s="0" t="n">
        <f aca="false">IF(C2459&gt;1,IF(C2459&lt;99,VLOOKUP(F2459,'MSA-Lookup'!$AA$1:$AB$25,2),C2459),C2459)</f>
        <v>4472</v>
      </c>
    </row>
    <row r="2460" customFormat="false" ht="12.75" hidden="false" customHeight="false" outlineLevel="0" collapsed="false">
      <c r="A2460" s="0" t="n">
        <f aca="false">B2460*1000+C2460</f>
        <v>40067</v>
      </c>
      <c r="B2460" s="0" t="n">
        <v>40</v>
      </c>
      <c r="C2460" s="0" t="n">
        <v>67</v>
      </c>
      <c r="D2460" s="0" t="n">
        <v>377</v>
      </c>
      <c r="E2460" s="0" t="n">
        <f aca="false">VLOOKUP(B2460,'MSA-Lookup'!$H$2:$I$86,2)</f>
        <v>2840</v>
      </c>
      <c r="F2460" s="0" t="n">
        <f aca="false">IF(C2460&gt;1,IF(C2460&lt;99,VLOOKUP(C2460,'MSA-Lookup'!$H$1:$I$86,2),C2460),C2460)</f>
        <v>6000</v>
      </c>
      <c r="G2460" s="0" t="n">
        <f aca="false">VLOOKUP(E2460,'MSA-Lookup'!$AA$1:$AB$25,2)</f>
        <v>2840</v>
      </c>
      <c r="H2460" s="0" t="n">
        <f aca="false">IF(C2460&gt;1,IF(C2460&lt;99,VLOOKUP(F2460,'MSA-Lookup'!$AA$1:$AB$25,2),C2460),C2460)</f>
        <v>4472</v>
      </c>
    </row>
    <row r="2461" customFormat="false" ht="12.75" hidden="false" customHeight="false" outlineLevel="0" collapsed="false">
      <c r="A2461" s="0" t="n">
        <f aca="false">B2461*1000+C2461</f>
        <v>40069</v>
      </c>
      <c r="B2461" s="0" t="n">
        <v>40</v>
      </c>
      <c r="C2461" s="0" t="n">
        <v>69</v>
      </c>
      <c r="D2461" s="0" t="n">
        <v>0</v>
      </c>
      <c r="E2461" s="0" t="n">
        <f aca="false">VLOOKUP(B2461,'MSA-Lookup'!$H$2:$I$86,2)</f>
        <v>2840</v>
      </c>
      <c r="F2461" s="0" t="n">
        <f aca="false">IF(C2461&gt;1,IF(C2461&lt;99,VLOOKUP(C2461,'MSA-Lookup'!$H$1:$I$86,2),C2461),C2461)</f>
        <v>6780</v>
      </c>
      <c r="G2461" s="0" t="n">
        <f aca="false">VLOOKUP(E2461,'MSA-Lookup'!$AA$1:$AB$25,2)</f>
        <v>2840</v>
      </c>
      <c r="H2461" s="0" t="n">
        <f aca="false">IF(C2461&gt;1,IF(C2461&lt;99,VLOOKUP(F2461,'MSA-Lookup'!$AA$1:$AB$25,2),C2461),C2461)</f>
        <v>4472</v>
      </c>
    </row>
    <row r="2462" customFormat="false" ht="12.75" hidden="false" customHeight="false" outlineLevel="0" collapsed="false">
      <c r="A2462" s="0" t="n">
        <f aca="false">B2462*1000+C2462</f>
        <v>40071</v>
      </c>
      <c r="B2462" s="0" t="n">
        <v>40</v>
      </c>
      <c r="C2462" s="0" t="n">
        <v>71</v>
      </c>
      <c r="D2462" s="0" t="n">
        <v>0</v>
      </c>
      <c r="E2462" s="0" t="n">
        <f aca="false">VLOOKUP(B2462,'MSA-Lookup'!$H$2:$I$86,2)</f>
        <v>2840</v>
      </c>
      <c r="F2462" s="0" t="n">
        <f aca="false">IF(C2462&gt;1,IF(C2462&lt;99,VLOOKUP(C2462,'MSA-Lookup'!$H$1:$I$86,2),C2462),C2462)</f>
        <v>6780</v>
      </c>
      <c r="G2462" s="0" t="n">
        <f aca="false">VLOOKUP(E2462,'MSA-Lookup'!$AA$1:$AB$25,2)</f>
        <v>2840</v>
      </c>
      <c r="H2462" s="0" t="n">
        <f aca="false">IF(C2462&gt;1,IF(C2462&lt;99,VLOOKUP(F2462,'MSA-Lookup'!$AA$1:$AB$25,2),C2462),C2462)</f>
        <v>4472</v>
      </c>
    </row>
    <row r="2463" customFormat="false" ht="12.75" hidden="false" customHeight="false" outlineLevel="0" collapsed="false">
      <c r="A2463" s="0" t="n">
        <f aca="false">B2463*1000+C2463</f>
        <v>40072</v>
      </c>
      <c r="B2463" s="0" t="n">
        <v>40</v>
      </c>
      <c r="C2463" s="0" t="n">
        <v>72</v>
      </c>
      <c r="D2463" s="0" t="n">
        <v>0</v>
      </c>
      <c r="E2463" s="0" t="n">
        <f aca="false">VLOOKUP(B2463,'MSA-Lookup'!$H$2:$I$86,2)</f>
        <v>2840</v>
      </c>
      <c r="F2463" s="0" t="n">
        <f aca="false">IF(C2463&gt;1,IF(C2463&lt;99,VLOOKUP(C2463,'MSA-Lookup'!$H$1:$I$86,2),C2463),C2463)</f>
        <v>6780</v>
      </c>
      <c r="G2463" s="0" t="n">
        <f aca="false">VLOOKUP(E2463,'MSA-Lookup'!$AA$1:$AB$25,2)</f>
        <v>2840</v>
      </c>
      <c r="H2463" s="0" t="n">
        <f aca="false">IF(C2463&gt;1,IF(C2463&lt;99,VLOOKUP(F2463,'MSA-Lookup'!$AA$1:$AB$25,2),C2463),C2463)</f>
        <v>4472</v>
      </c>
    </row>
    <row r="2464" customFormat="false" ht="12.75" hidden="false" customHeight="false" outlineLevel="0" collapsed="false">
      <c r="A2464" s="0" t="n">
        <f aca="false">B2464*1000+C2464</f>
        <v>40073</v>
      </c>
      <c r="B2464" s="0" t="n">
        <v>40</v>
      </c>
      <c r="C2464" s="0" t="n">
        <v>73</v>
      </c>
      <c r="D2464" s="0" t="n">
        <v>0</v>
      </c>
      <c r="E2464" s="0" t="n">
        <f aca="false">VLOOKUP(B2464,'MSA-Lookup'!$H$2:$I$86,2)</f>
        <v>2840</v>
      </c>
      <c r="F2464" s="0" t="n">
        <f aca="false">IF(C2464&gt;1,IF(C2464&lt;99,VLOOKUP(C2464,'MSA-Lookup'!$H$1:$I$86,2),C2464),C2464)</f>
        <v>8720</v>
      </c>
      <c r="G2464" s="0" t="n">
        <f aca="false">VLOOKUP(E2464,'MSA-Lookup'!$AA$1:$AB$25,2)</f>
        <v>2840</v>
      </c>
      <c r="H2464" s="0" t="n">
        <f aca="false">IF(C2464&gt;1,IF(C2464&lt;99,VLOOKUP(F2464,'MSA-Lookup'!$AA$1:$AB$25,2),C2464),C2464)</f>
        <v>7362</v>
      </c>
    </row>
    <row r="2465" customFormat="false" ht="12.75" hidden="false" customHeight="false" outlineLevel="0" collapsed="false">
      <c r="A2465" s="0" t="n">
        <f aca="false">B2465*1000+C2465</f>
        <v>40075</v>
      </c>
      <c r="B2465" s="0" t="n">
        <v>40</v>
      </c>
      <c r="C2465" s="0" t="n">
        <v>75</v>
      </c>
      <c r="D2465" s="0" t="n">
        <v>520</v>
      </c>
      <c r="E2465" s="0" t="n">
        <f aca="false">VLOOKUP(B2465,'MSA-Lookup'!$H$2:$I$86,2)</f>
        <v>2840</v>
      </c>
      <c r="F2465" s="0" t="n">
        <f aca="false">IF(C2465&gt;1,IF(C2465&lt;99,VLOOKUP(C2465,'MSA-Lookup'!$H$1:$I$86,2),C2465),C2465)</f>
        <v>8780</v>
      </c>
      <c r="G2465" s="0" t="n">
        <f aca="false">VLOOKUP(E2465,'MSA-Lookup'!$AA$1:$AB$25,2)</f>
        <v>2840</v>
      </c>
      <c r="H2465" s="0" t="n">
        <f aca="false">IF(C2465&gt;1,IF(C2465&lt;99,VLOOKUP(F2465,'MSA-Lookup'!$AA$1:$AB$25,2),C2465),C2465)</f>
        <v>8780</v>
      </c>
    </row>
    <row r="2466" customFormat="false" ht="12.75" hidden="false" customHeight="false" outlineLevel="0" collapsed="false">
      <c r="A2466" s="0" t="n">
        <f aca="false">B2466*1000+C2466</f>
        <v>40076</v>
      </c>
      <c r="B2466" s="0" t="n">
        <v>40</v>
      </c>
      <c r="C2466" s="0" t="n">
        <v>76</v>
      </c>
      <c r="D2466" s="0" t="n">
        <v>78</v>
      </c>
      <c r="E2466" s="0" t="n">
        <f aca="false">VLOOKUP(B2466,'MSA-Lookup'!$H$2:$I$86,2)</f>
        <v>2840</v>
      </c>
      <c r="F2466" s="0" t="n">
        <f aca="false">IF(C2466&gt;1,IF(C2466&lt;99,VLOOKUP(C2466,'MSA-Lookup'!$H$1:$I$86,2),C2466),C2466)</f>
        <v>7485</v>
      </c>
      <c r="G2466" s="0" t="n">
        <f aca="false">VLOOKUP(E2466,'MSA-Lookup'!$AA$1:$AB$25,2)</f>
        <v>2840</v>
      </c>
      <c r="H2466" s="0" t="n">
        <f aca="false">IF(C2466&gt;1,IF(C2466&lt;99,VLOOKUP(F2466,'MSA-Lookup'!$AA$1:$AB$25,2),C2466),C2466)</f>
        <v>7362</v>
      </c>
    </row>
    <row r="2467" customFormat="false" ht="12.75" hidden="false" customHeight="false" outlineLevel="0" collapsed="false">
      <c r="A2467" s="0" t="n">
        <f aca="false">B2467*1000+C2467</f>
        <v>40077</v>
      </c>
      <c r="B2467" s="0" t="n">
        <v>40</v>
      </c>
      <c r="C2467" s="0" t="n">
        <v>77</v>
      </c>
      <c r="D2467" s="0" t="n">
        <v>0</v>
      </c>
      <c r="E2467" s="0" t="n">
        <f aca="false">VLOOKUP(B2467,'MSA-Lookup'!$H$2:$I$86,2)</f>
        <v>2840</v>
      </c>
      <c r="F2467" s="0" t="n">
        <f aca="false">IF(C2467&gt;1,IF(C2467&lt;99,VLOOKUP(C2467,'MSA-Lookup'!$H$1:$I$86,2),C2467),C2467)</f>
        <v>9999</v>
      </c>
      <c r="G2467" s="0" t="n">
        <f aca="false">VLOOKUP(E2467,'MSA-Lookup'!$AA$1:$AB$25,2)</f>
        <v>2840</v>
      </c>
      <c r="H2467" s="0" t="n">
        <f aca="false">IF(C2467&gt;1,IF(C2467&lt;99,VLOOKUP(F2467,'MSA-Lookup'!$AA$1:$AB$25,2),C2467),C2467)</f>
        <v>9999</v>
      </c>
    </row>
    <row r="2468" customFormat="false" ht="12.75" hidden="false" customHeight="false" outlineLevel="0" collapsed="false">
      <c r="A2468" s="0" t="n">
        <f aca="false">B2468*1000+C2468</f>
        <v>40079</v>
      </c>
      <c r="B2468" s="0" t="n">
        <v>40</v>
      </c>
      <c r="C2468" s="0" t="n">
        <v>79</v>
      </c>
      <c r="D2468" s="0" t="n">
        <v>0</v>
      </c>
      <c r="E2468" s="0" t="n">
        <f aca="false">VLOOKUP(B2468,'MSA-Lookup'!$H$2:$I$86,2)</f>
        <v>2840</v>
      </c>
      <c r="F2468" s="0" t="n">
        <f aca="false">IF(C2468&gt;1,IF(C2468&lt;99,VLOOKUP(C2468,'MSA-Lookup'!$H$1:$I$86,2),C2468),C2468)</f>
        <v>680</v>
      </c>
      <c r="G2468" s="0" t="n">
        <f aca="false">VLOOKUP(E2468,'MSA-Lookup'!$AA$1:$AB$25,2)</f>
        <v>2840</v>
      </c>
      <c r="H2468" s="0" t="n">
        <f aca="false">IF(C2468&gt;1,IF(C2468&lt;99,VLOOKUP(F2468,'MSA-Lookup'!$AA$1:$AB$25,2),C2468),C2468)</f>
        <v>680</v>
      </c>
    </row>
    <row r="2469" customFormat="false" ht="12.75" hidden="false" customHeight="false" outlineLevel="0" collapsed="false">
      <c r="A2469" s="0" t="n">
        <f aca="false">B2469*1000+C2469</f>
        <v>40080</v>
      </c>
      <c r="B2469" s="0" t="n">
        <v>40</v>
      </c>
      <c r="C2469" s="0" t="n">
        <v>80</v>
      </c>
      <c r="D2469" s="0" t="n">
        <v>0</v>
      </c>
      <c r="E2469" s="0" t="n">
        <f aca="false">VLOOKUP(B2469,'MSA-Lookup'!$H$2:$I$86,2)</f>
        <v>2840</v>
      </c>
      <c r="F2469" s="0" t="n">
        <f aca="false">IF(C2469&gt;1,IF(C2469&lt;99,VLOOKUP(C2469,'MSA-Lookup'!$H$1:$I$86,2),C2469),C2469)</f>
        <v>9999</v>
      </c>
      <c r="G2469" s="0" t="n">
        <f aca="false">VLOOKUP(E2469,'MSA-Lookup'!$AA$1:$AB$25,2)</f>
        <v>2840</v>
      </c>
      <c r="H2469" s="0" t="n">
        <f aca="false">IF(C2469&gt;1,IF(C2469&lt;99,VLOOKUP(F2469,'MSA-Lookup'!$AA$1:$AB$25,2),C2469),C2469)</f>
        <v>9999</v>
      </c>
    </row>
    <row r="2470" customFormat="false" ht="12.75" hidden="false" customHeight="false" outlineLevel="0" collapsed="false">
      <c r="A2470" s="0" t="n">
        <f aca="false">B2470*1000+C2470</f>
        <v>40081</v>
      </c>
      <c r="B2470" s="0" t="n">
        <v>40</v>
      </c>
      <c r="C2470" s="0" t="n">
        <v>81</v>
      </c>
      <c r="D2470" s="0" t="n">
        <v>0</v>
      </c>
      <c r="E2470" s="0" t="n">
        <f aca="false">VLOOKUP(B2470,'MSA-Lookup'!$H$2:$I$86,2)</f>
        <v>2840</v>
      </c>
      <c r="F2470" s="0" t="n">
        <f aca="false">IF(C2470&gt;1,IF(C2470&lt;99,VLOOKUP(C2470,'MSA-Lookup'!$H$1:$I$86,2),C2470),C2470)</f>
        <v>6780</v>
      </c>
      <c r="G2470" s="0" t="n">
        <f aca="false">VLOOKUP(E2470,'MSA-Lookup'!$AA$1:$AB$25,2)</f>
        <v>2840</v>
      </c>
      <c r="H2470" s="0" t="n">
        <f aca="false">IF(C2470&gt;1,IF(C2470&lt;99,VLOOKUP(F2470,'MSA-Lookup'!$AA$1:$AB$25,2),C2470),C2470)</f>
        <v>4472</v>
      </c>
    </row>
    <row r="2471" customFormat="false" ht="12.75" hidden="false" customHeight="false" outlineLevel="0" collapsed="false">
      <c r="A2471" s="0" t="n">
        <f aca="false">B2471*1000+C2471</f>
        <v>40082</v>
      </c>
      <c r="B2471" s="0" t="n">
        <v>40</v>
      </c>
      <c r="C2471" s="0" t="n">
        <v>82</v>
      </c>
      <c r="D2471" s="0" t="n">
        <v>0</v>
      </c>
      <c r="E2471" s="0" t="n">
        <f aca="false">VLOOKUP(B2471,'MSA-Lookup'!$H$2:$I$86,2)</f>
        <v>2840</v>
      </c>
      <c r="F2471" s="0" t="n">
        <f aca="false">IF(C2471&gt;1,IF(C2471&lt;99,VLOOKUP(C2471,'MSA-Lookup'!$H$1:$I$86,2),C2471),C2471)</f>
        <v>6780</v>
      </c>
      <c r="G2471" s="0" t="n">
        <f aca="false">VLOOKUP(E2471,'MSA-Lookup'!$AA$1:$AB$25,2)</f>
        <v>2840</v>
      </c>
      <c r="H2471" s="0" t="n">
        <f aca="false">IF(C2471&gt;1,IF(C2471&lt;99,VLOOKUP(F2471,'MSA-Lookup'!$AA$1:$AB$25,2),C2471),C2471)</f>
        <v>4472</v>
      </c>
    </row>
    <row r="2472" customFormat="false" ht="12.75" hidden="false" customHeight="false" outlineLevel="0" collapsed="false">
      <c r="A2472" s="0" t="n">
        <f aca="false">B2472*1000+C2472</f>
        <v>40083</v>
      </c>
      <c r="B2472" s="0" t="n">
        <v>40</v>
      </c>
      <c r="C2472" s="0" t="n">
        <v>83</v>
      </c>
      <c r="D2472" s="0" t="n">
        <v>0</v>
      </c>
      <c r="E2472" s="0" t="n">
        <f aca="false">VLOOKUP(B2472,'MSA-Lookup'!$H$2:$I$86,2)</f>
        <v>2840</v>
      </c>
      <c r="F2472" s="0" t="n">
        <f aca="false">IF(C2472&gt;1,IF(C2472&lt;99,VLOOKUP(C2472,'MSA-Lookup'!$H$1:$I$86,2),C2472),C2472)</f>
        <v>6000</v>
      </c>
      <c r="G2472" s="0" t="n">
        <f aca="false">VLOOKUP(E2472,'MSA-Lookup'!$AA$1:$AB$25,2)</f>
        <v>2840</v>
      </c>
      <c r="H2472" s="0" t="n">
        <f aca="false">IF(C2472&gt;1,IF(C2472&lt;99,VLOOKUP(F2472,'MSA-Lookup'!$AA$1:$AB$25,2),C2472),C2472)</f>
        <v>4472</v>
      </c>
    </row>
    <row r="2473" customFormat="false" ht="12.75" hidden="false" customHeight="false" outlineLevel="0" collapsed="false">
      <c r="A2473" s="0" t="n">
        <f aca="false">B2473*1000+C2473</f>
        <v>40084</v>
      </c>
      <c r="B2473" s="0" t="n">
        <v>40</v>
      </c>
      <c r="C2473" s="0" t="n">
        <v>84</v>
      </c>
      <c r="D2473" s="0" t="n">
        <v>0</v>
      </c>
      <c r="E2473" s="0" t="n">
        <f aca="false">VLOOKUP(B2473,'MSA-Lookup'!$H$2:$I$86,2)</f>
        <v>2840</v>
      </c>
      <c r="F2473" s="0" t="n">
        <f aca="false">IF(C2473&gt;1,IF(C2473&lt;99,VLOOKUP(C2473,'MSA-Lookup'!$H$1:$I$86,2),C2473),C2473)</f>
        <v>360</v>
      </c>
      <c r="G2473" s="0" t="n">
        <f aca="false">VLOOKUP(E2473,'MSA-Lookup'!$AA$1:$AB$25,2)</f>
        <v>2840</v>
      </c>
      <c r="H2473" s="0" t="n">
        <f aca="false">IF(C2473&gt;1,IF(C2473&lt;99,VLOOKUP(F2473,'MSA-Lookup'!$AA$1:$AB$25,2),C2473),C2473)</f>
        <v>4472</v>
      </c>
    </row>
    <row r="2474" customFormat="false" ht="12.75" hidden="false" customHeight="false" outlineLevel="0" collapsed="false">
      <c r="A2474" s="0" t="n">
        <f aca="false">B2474*1000+C2474</f>
        <v>40085</v>
      </c>
      <c r="B2474" s="0" t="n">
        <v>40</v>
      </c>
      <c r="C2474" s="0" t="n">
        <v>85</v>
      </c>
      <c r="D2474" s="0" t="n">
        <v>0</v>
      </c>
      <c r="E2474" s="0" t="n">
        <f aca="false">VLOOKUP(B2474,'MSA-Lookup'!$H$2:$I$86,2)</f>
        <v>2840</v>
      </c>
      <c r="F2474" s="0" t="n">
        <f aca="false">IF(C2474&gt;1,IF(C2474&lt;99,VLOOKUP(C2474,'MSA-Lookup'!$H$1:$I$86,2),C2474),C2474)</f>
        <v>8120</v>
      </c>
      <c r="G2474" s="0" t="n">
        <f aca="false">VLOOKUP(E2474,'MSA-Lookup'!$AA$1:$AB$25,2)</f>
        <v>2840</v>
      </c>
      <c r="H2474" s="0" t="n">
        <f aca="false">IF(C2474&gt;1,IF(C2474&lt;99,VLOOKUP(F2474,'MSA-Lookup'!$AA$1:$AB$25,2),C2474),C2474)</f>
        <v>8120</v>
      </c>
    </row>
    <row r="2475" customFormat="false" ht="12.75" hidden="false" customHeight="false" outlineLevel="0" collapsed="false">
      <c r="A2475" s="0" t="n">
        <f aca="false">B2475*1000+C2475</f>
        <v>40858</v>
      </c>
      <c r="B2475" s="0" t="n">
        <v>40</v>
      </c>
      <c r="C2475" s="0" t="n">
        <v>858</v>
      </c>
      <c r="D2475" s="0" t="n">
        <v>0</v>
      </c>
      <c r="E2475" s="0" t="n">
        <f aca="false">VLOOKUP(B2475,'MSA-Lookup'!$H$2:$I$86,2)</f>
        <v>2840</v>
      </c>
      <c r="F2475" s="0" t="n">
        <f aca="false">IF(C2475&gt;1,IF(C2475&lt;99,VLOOKUP(C2475,'MSA-Lookup'!$H$1:$I$86,2),C2475),C2475)</f>
        <v>858</v>
      </c>
      <c r="G2475" s="0" t="n">
        <f aca="false">VLOOKUP(E2475,'MSA-Lookup'!$AA$1:$AB$25,2)</f>
        <v>2840</v>
      </c>
      <c r="H2475" s="0" t="n">
        <f aca="false">IF(C2475&gt;1,IF(C2475&lt;99,VLOOKUP(F2475,'MSA-Lookup'!$AA$1:$AB$25,2),C2475),C2475)</f>
        <v>858</v>
      </c>
    </row>
    <row r="2476" customFormat="false" ht="12.75" hidden="false" customHeight="false" outlineLevel="0" collapsed="false">
      <c r="A2476" s="0" t="n">
        <f aca="false">B2476*1000+C2476</f>
        <v>40983</v>
      </c>
      <c r="B2476" s="0" t="n">
        <v>40</v>
      </c>
      <c r="C2476" s="0" t="n">
        <v>983</v>
      </c>
      <c r="D2476" s="0" t="n">
        <v>0</v>
      </c>
      <c r="E2476" s="0" t="n">
        <f aca="false">VLOOKUP(B2476,'MSA-Lookup'!$H$2:$I$86,2)</f>
        <v>2840</v>
      </c>
      <c r="F2476" s="0" t="n">
        <f aca="false">IF(C2476&gt;1,IF(C2476&lt;99,VLOOKUP(C2476,'MSA-Lookup'!$H$1:$I$86,2),C2476),C2476)</f>
        <v>983</v>
      </c>
      <c r="G2476" s="0" t="n">
        <f aca="false">VLOOKUP(E2476,'MSA-Lookup'!$AA$1:$AB$25,2)</f>
        <v>2840</v>
      </c>
      <c r="H2476" s="0" t="n">
        <f aca="false">IF(C2476&gt;1,IF(C2476&lt;99,VLOOKUP(F2476,'MSA-Lookup'!$AA$1:$AB$25,2),C2476),C2476)</f>
        <v>983</v>
      </c>
    </row>
    <row r="2477" customFormat="false" ht="12.75" hidden="false" customHeight="false" outlineLevel="0" collapsed="false">
      <c r="A2477" s="0" t="n">
        <f aca="false">B2477*1000+C2477</f>
        <v>40999</v>
      </c>
      <c r="B2477" s="0" t="n">
        <v>40</v>
      </c>
      <c r="C2477" s="0" t="n">
        <v>999</v>
      </c>
      <c r="D2477" s="0" t="n">
        <v>0</v>
      </c>
      <c r="E2477" s="0" t="n">
        <f aca="false">VLOOKUP(B2477,'MSA-Lookup'!$H$2:$I$86,2)</f>
        <v>2840</v>
      </c>
      <c r="F2477" s="0" t="n">
        <f aca="false">IF(C2477&gt;1,IF(C2477&lt;99,VLOOKUP(C2477,'MSA-Lookup'!$H$1:$I$86,2),C2477),C2477)</f>
        <v>999</v>
      </c>
      <c r="G2477" s="0" t="n">
        <f aca="false">VLOOKUP(E2477,'MSA-Lookup'!$AA$1:$AB$25,2)</f>
        <v>2840</v>
      </c>
      <c r="H2477" s="0" t="n">
        <f aca="false">IF(C2477&gt;1,IF(C2477&lt;99,VLOOKUP(F2477,'MSA-Lookup'!$AA$1:$AB$25,2),C2477),C2477)</f>
        <v>999</v>
      </c>
    </row>
    <row r="2478" customFormat="false" ht="12.75" hidden="false" customHeight="false" outlineLevel="0" collapsed="false">
      <c r="A2478" s="0" t="n">
        <f aca="false">B2478*1000+C2478</f>
        <v>41000</v>
      </c>
      <c r="B2478" s="0" t="n">
        <v>41</v>
      </c>
      <c r="C2478" s="0" t="n">
        <v>0</v>
      </c>
      <c r="D2478" s="0" t="n">
        <v>190333</v>
      </c>
      <c r="E2478" s="0" t="n">
        <f aca="false">VLOOKUP(B2478,'MSA-Lookup'!$H$2:$I$86,2)</f>
        <v>2840</v>
      </c>
      <c r="F2478" s="0" t="n">
        <f aca="false">IF(C2478&gt;1,IF(C2478&lt;99,VLOOKUP(C2478,'MSA-Lookup'!$H$1:$I$86,2),C2478),C2478)</f>
        <v>0</v>
      </c>
      <c r="G2478" s="0" t="n">
        <f aca="false">VLOOKUP(E2478,'MSA-Lookup'!$AA$1:$AB$25,2)</f>
        <v>2840</v>
      </c>
      <c r="H2478" s="0" t="n">
        <f aca="false">IF(C2478&gt;1,IF(C2478&lt;99,VLOOKUP(F2478,'MSA-Lookup'!$AA$1:$AB$25,2),C2478),C2478)</f>
        <v>0</v>
      </c>
    </row>
    <row r="2479" customFormat="false" ht="12.75" hidden="false" customHeight="false" outlineLevel="0" collapsed="false">
      <c r="A2479" s="0" t="n">
        <f aca="false">B2479*1000+C2479</f>
        <v>41001</v>
      </c>
      <c r="B2479" s="0" t="n">
        <v>41</v>
      </c>
      <c r="C2479" s="0" t="n">
        <v>1</v>
      </c>
      <c r="D2479" s="0" t="n">
        <v>0</v>
      </c>
      <c r="E2479" s="0" t="n">
        <f aca="false">VLOOKUP(B2479,'MSA-Lookup'!$H$2:$I$86,2)</f>
        <v>2840</v>
      </c>
      <c r="F2479" s="0" t="n">
        <f aca="false">IF(C2479&gt;1,IF(C2479&lt;99,VLOOKUP(C2479,'MSA-Lookup'!$H$1:$I$86,2),C2479),C2479)</f>
        <v>1</v>
      </c>
      <c r="G2479" s="0" t="n">
        <f aca="false">VLOOKUP(E2479,'MSA-Lookup'!$AA$1:$AB$25,2)</f>
        <v>2840</v>
      </c>
      <c r="H2479" s="0" t="n">
        <f aca="false">IF(C2479&gt;1,IF(C2479&lt;99,VLOOKUP(F2479,'MSA-Lookup'!$AA$1:$AB$25,2),C2479),C2479)</f>
        <v>1</v>
      </c>
    </row>
    <row r="2480" customFormat="false" ht="12.75" hidden="false" customHeight="false" outlineLevel="0" collapsed="false">
      <c r="A2480" s="0" t="n">
        <f aca="false">B2480*1000+C2480</f>
        <v>41002</v>
      </c>
      <c r="B2480" s="0" t="n">
        <v>41</v>
      </c>
      <c r="C2480" s="0" t="n">
        <v>2</v>
      </c>
      <c r="D2480" s="0" t="n">
        <v>0</v>
      </c>
      <c r="E2480" s="0" t="n">
        <f aca="false">VLOOKUP(B2480,'MSA-Lookup'!$H$2:$I$86,2)</f>
        <v>2840</v>
      </c>
      <c r="F2480" s="0" t="n">
        <f aca="false">IF(C2480&gt;1,IF(C2480&lt;99,VLOOKUP(C2480,'MSA-Lookup'!$H$1:$I$86,2),C2480),C2480)</f>
        <v>9999</v>
      </c>
      <c r="G2480" s="0" t="n">
        <f aca="false">VLOOKUP(E2480,'MSA-Lookup'!$AA$1:$AB$25,2)</f>
        <v>2840</v>
      </c>
      <c r="H2480" s="0" t="n">
        <f aca="false">IF(C2480&gt;1,IF(C2480&lt;99,VLOOKUP(F2480,'MSA-Lookup'!$AA$1:$AB$25,2),C2480),C2480)</f>
        <v>9999</v>
      </c>
    </row>
    <row r="2481" customFormat="false" ht="12.75" hidden="false" customHeight="false" outlineLevel="0" collapsed="false">
      <c r="A2481" s="0" t="n">
        <f aca="false">B2481*1000+C2481</f>
        <v>41003</v>
      </c>
      <c r="B2481" s="0" t="n">
        <v>41</v>
      </c>
      <c r="C2481" s="0" t="n">
        <v>3</v>
      </c>
      <c r="D2481" s="0" t="n">
        <v>0</v>
      </c>
      <c r="E2481" s="0" t="n">
        <f aca="false">VLOOKUP(B2481,'MSA-Lookup'!$H$2:$I$86,2)</f>
        <v>2840</v>
      </c>
      <c r="F2481" s="0" t="n">
        <f aca="false">IF(C2481&gt;1,IF(C2481&lt;99,VLOOKUP(C2481,'MSA-Lookup'!$H$1:$I$86,2),C2481),C2481)</f>
        <v>6690</v>
      </c>
      <c r="G2481" s="0" t="n">
        <f aca="false">VLOOKUP(E2481,'MSA-Lookup'!$AA$1:$AB$25,2)</f>
        <v>2840</v>
      </c>
      <c r="H2481" s="0" t="n">
        <f aca="false">IF(C2481&gt;1,IF(C2481&lt;99,VLOOKUP(F2481,'MSA-Lookup'!$AA$1:$AB$25,2),C2481),C2481)</f>
        <v>6690</v>
      </c>
    </row>
    <row r="2482" customFormat="false" ht="12.75" hidden="false" customHeight="false" outlineLevel="0" collapsed="false">
      <c r="A2482" s="0" t="n">
        <f aca="false">B2482*1000+C2482</f>
        <v>41004</v>
      </c>
      <c r="B2482" s="0" t="n">
        <v>41</v>
      </c>
      <c r="C2482" s="0" t="n">
        <v>4</v>
      </c>
      <c r="D2482" s="0" t="n">
        <v>104</v>
      </c>
      <c r="E2482" s="0" t="n">
        <f aca="false">VLOOKUP(B2482,'MSA-Lookup'!$H$2:$I$86,2)</f>
        <v>2840</v>
      </c>
      <c r="F2482" s="0" t="n">
        <f aca="false">IF(C2482&gt;1,IF(C2482&lt;99,VLOOKUP(C2482,'MSA-Lookup'!$H$1:$I$86,2),C2482),C2482)</f>
        <v>9999</v>
      </c>
      <c r="G2482" s="0" t="n">
        <f aca="false">VLOOKUP(E2482,'MSA-Lookup'!$AA$1:$AB$25,2)</f>
        <v>2840</v>
      </c>
      <c r="H2482" s="0" t="n">
        <f aca="false">IF(C2482&gt;1,IF(C2482&lt;99,VLOOKUP(F2482,'MSA-Lookup'!$AA$1:$AB$25,2),C2482),C2482)</f>
        <v>9999</v>
      </c>
    </row>
    <row r="2483" customFormat="false" ht="12.75" hidden="false" customHeight="false" outlineLevel="0" collapsed="false">
      <c r="A2483" s="0" t="n">
        <f aca="false">B2483*1000+C2483</f>
        <v>41005</v>
      </c>
      <c r="B2483" s="0" t="n">
        <v>41</v>
      </c>
      <c r="C2483" s="0" t="n">
        <v>5</v>
      </c>
      <c r="D2483" s="0" t="n">
        <v>52</v>
      </c>
      <c r="E2483" s="0" t="n">
        <f aca="false">VLOOKUP(B2483,'MSA-Lookup'!$H$2:$I$86,2)</f>
        <v>2840</v>
      </c>
      <c r="F2483" s="0" t="n">
        <f aca="false">IF(C2483&gt;1,IF(C2483&lt;99,VLOOKUP(C2483,'MSA-Lookup'!$H$1:$I$86,2),C2483),C2483)</f>
        <v>9999</v>
      </c>
      <c r="G2483" s="0" t="n">
        <f aca="false">VLOOKUP(E2483,'MSA-Lookup'!$AA$1:$AB$25,2)</f>
        <v>2840</v>
      </c>
      <c r="H2483" s="0" t="n">
        <f aca="false">IF(C2483&gt;1,IF(C2483&lt;99,VLOOKUP(F2483,'MSA-Lookup'!$AA$1:$AB$25,2),C2483),C2483)</f>
        <v>9999</v>
      </c>
    </row>
    <row r="2484" customFormat="false" ht="12.75" hidden="false" customHeight="false" outlineLevel="0" collapsed="false">
      <c r="A2484" s="0" t="n">
        <f aca="false">B2484*1000+C2484</f>
        <v>41006</v>
      </c>
      <c r="B2484" s="0" t="n">
        <v>41</v>
      </c>
      <c r="C2484" s="0" t="n">
        <v>6</v>
      </c>
      <c r="D2484" s="0" t="n">
        <v>182</v>
      </c>
      <c r="E2484" s="0" t="n">
        <f aca="false">VLOOKUP(B2484,'MSA-Lookup'!$H$2:$I$86,2)</f>
        <v>2840</v>
      </c>
      <c r="F2484" s="0" t="n">
        <f aca="false">IF(C2484&gt;1,IF(C2484&lt;99,VLOOKUP(C2484,'MSA-Lookup'!$H$1:$I$86,2),C2484),C2484)</f>
        <v>1620</v>
      </c>
      <c r="G2484" s="0" t="n">
        <f aca="false">VLOOKUP(E2484,'MSA-Lookup'!$AA$1:$AB$25,2)</f>
        <v>2840</v>
      </c>
      <c r="H2484" s="0" t="n">
        <f aca="false">IF(C2484&gt;1,IF(C2484&lt;99,VLOOKUP(F2484,'MSA-Lookup'!$AA$1:$AB$25,2),C2484),C2484)</f>
        <v>1620</v>
      </c>
    </row>
    <row r="2485" customFormat="false" ht="12.75" hidden="false" customHeight="false" outlineLevel="0" collapsed="false">
      <c r="A2485" s="0" t="n">
        <f aca="false">B2485*1000+C2485</f>
        <v>41007</v>
      </c>
      <c r="B2485" s="0" t="n">
        <v>41</v>
      </c>
      <c r="C2485" s="0" t="n">
        <v>7</v>
      </c>
      <c r="D2485" s="0" t="n">
        <v>0</v>
      </c>
      <c r="E2485" s="0" t="n">
        <f aca="false">VLOOKUP(B2485,'MSA-Lookup'!$H$2:$I$86,2)</f>
        <v>2840</v>
      </c>
      <c r="F2485" s="0" t="n">
        <f aca="false">IF(C2485&gt;1,IF(C2485&lt;99,VLOOKUP(C2485,'MSA-Lookup'!$H$1:$I$86,2),C2485),C2485)</f>
        <v>9999</v>
      </c>
      <c r="G2485" s="0" t="n">
        <f aca="false">VLOOKUP(E2485,'MSA-Lookup'!$AA$1:$AB$25,2)</f>
        <v>2840</v>
      </c>
      <c r="H2485" s="0" t="n">
        <f aca="false">IF(C2485&gt;1,IF(C2485&lt;99,VLOOKUP(F2485,'MSA-Lookup'!$AA$1:$AB$25,2),C2485),C2485)</f>
        <v>9999</v>
      </c>
    </row>
    <row r="2486" customFormat="false" ht="12.75" hidden="false" customHeight="false" outlineLevel="0" collapsed="false">
      <c r="A2486" s="0" t="n">
        <f aca="false">B2486*1000+C2486</f>
        <v>41008</v>
      </c>
      <c r="B2486" s="0" t="n">
        <v>41</v>
      </c>
      <c r="C2486" s="0" t="n">
        <v>8</v>
      </c>
      <c r="D2486" s="0" t="n">
        <v>91</v>
      </c>
      <c r="E2486" s="0" t="n">
        <f aca="false">VLOOKUP(B2486,'MSA-Lookup'!$H$2:$I$86,2)</f>
        <v>2840</v>
      </c>
      <c r="F2486" s="0" t="n">
        <f aca="false">IF(C2486&gt;1,IF(C2486&lt;99,VLOOKUP(C2486,'MSA-Lookup'!$H$1:$I$86,2),C2486),C2486)</f>
        <v>9340</v>
      </c>
      <c r="G2486" s="0" t="n">
        <f aca="false">VLOOKUP(E2486,'MSA-Lookup'!$AA$1:$AB$25,2)</f>
        <v>2840</v>
      </c>
      <c r="H2486" s="0" t="n">
        <f aca="false">IF(C2486&gt;1,IF(C2486&lt;99,VLOOKUP(F2486,'MSA-Lookup'!$AA$1:$AB$25,2),C2486),C2486)</f>
        <v>9340</v>
      </c>
    </row>
    <row r="2487" customFormat="false" ht="12.75" hidden="false" customHeight="false" outlineLevel="0" collapsed="false">
      <c r="A2487" s="0" t="n">
        <f aca="false">B2487*1000+C2487</f>
        <v>41009</v>
      </c>
      <c r="B2487" s="0" t="n">
        <v>41</v>
      </c>
      <c r="C2487" s="0" t="n">
        <v>9</v>
      </c>
      <c r="D2487" s="0" t="n">
        <v>0</v>
      </c>
      <c r="E2487" s="0" t="n">
        <f aca="false">VLOOKUP(B2487,'MSA-Lookup'!$H$2:$I$86,2)</f>
        <v>2840</v>
      </c>
      <c r="F2487" s="0" t="n">
        <f aca="false">IF(C2487&gt;1,IF(C2487&lt;99,VLOOKUP(C2487,'MSA-Lookup'!$H$1:$I$86,2),C2487),C2487)</f>
        <v>8720</v>
      </c>
      <c r="G2487" s="0" t="n">
        <f aca="false">VLOOKUP(E2487,'MSA-Lookup'!$AA$1:$AB$25,2)</f>
        <v>2840</v>
      </c>
      <c r="H2487" s="0" t="n">
        <f aca="false">IF(C2487&gt;1,IF(C2487&lt;99,VLOOKUP(F2487,'MSA-Lookup'!$AA$1:$AB$25,2),C2487),C2487)</f>
        <v>7362</v>
      </c>
    </row>
    <row r="2488" customFormat="false" ht="12.75" hidden="false" customHeight="false" outlineLevel="0" collapsed="false">
      <c r="A2488" s="0" t="n">
        <f aca="false">B2488*1000+C2488</f>
        <v>41010</v>
      </c>
      <c r="B2488" s="0" t="n">
        <v>41</v>
      </c>
      <c r="C2488" s="0" t="n">
        <v>10</v>
      </c>
      <c r="D2488" s="0" t="n">
        <v>0</v>
      </c>
      <c r="E2488" s="0" t="n">
        <f aca="false">VLOOKUP(B2488,'MSA-Lookup'!$H$2:$I$86,2)</f>
        <v>2840</v>
      </c>
      <c r="F2488" s="0" t="n">
        <f aca="false">IF(C2488&gt;1,IF(C2488&lt;99,VLOOKUP(C2488,'MSA-Lookup'!$H$1:$I$86,2),C2488),C2488)</f>
        <v>6920</v>
      </c>
      <c r="G2488" s="0" t="n">
        <f aca="false">VLOOKUP(E2488,'MSA-Lookup'!$AA$1:$AB$25,2)</f>
        <v>2840</v>
      </c>
      <c r="H2488" s="0" t="n">
        <f aca="false">IF(C2488&gt;1,IF(C2488&lt;99,VLOOKUP(F2488,'MSA-Lookup'!$AA$1:$AB$25,2),C2488),C2488)</f>
        <v>6920</v>
      </c>
    </row>
    <row r="2489" customFormat="false" ht="12.75" hidden="false" customHeight="false" outlineLevel="0" collapsed="false">
      <c r="A2489" s="0" t="n">
        <f aca="false">B2489*1000+C2489</f>
        <v>41011</v>
      </c>
      <c r="B2489" s="0" t="n">
        <v>41</v>
      </c>
      <c r="C2489" s="0" t="n">
        <v>11</v>
      </c>
      <c r="D2489" s="0" t="n">
        <v>91</v>
      </c>
      <c r="E2489" s="0" t="n">
        <f aca="false">VLOOKUP(B2489,'MSA-Lookup'!$H$2:$I$86,2)</f>
        <v>2840</v>
      </c>
      <c r="F2489" s="0" t="n">
        <f aca="false">IF(C2489&gt;1,IF(C2489&lt;99,VLOOKUP(C2489,'MSA-Lookup'!$H$1:$I$86,2),C2489),C2489)</f>
        <v>6920</v>
      </c>
      <c r="G2489" s="0" t="n">
        <f aca="false">VLOOKUP(E2489,'MSA-Lookup'!$AA$1:$AB$25,2)</f>
        <v>2840</v>
      </c>
      <c r="H2489" s="0" t="n">
        <f aca="false">IF(C2489&gt;1,IF(C2489&lt;99,VLOOKUP(F2489,'MSA-Lookup'!$AA$1:$AB$25,2),C2489),C2489)</f>
        <v>6920</v>
      </c>
    </row>
    <row r="2490" customFormat="false" ht="12.75" hidden="false" customHeight="false" outlineLevel="0" collapsed="false">
      <c r="A2490" s="0" t="n">
        <f aca="false">B2490*1000+C2490</f>
        <v>41012</v>
      </c>
      <c r="B2490" s="0" t="n">
        <v>41</v>
      </c>
      <c r="C2490" s="0" t="n">
        <v>12</v>
      </c>
      <c r="D2490" s="0" t="n">
        <v>0</v>
      </c>
      <c r="E2490" s="0" t="n">
        <f aca="false">VLOOKUP(B2490,'MSA-Lookup'!$H$2:$I$86,2)</f>
        <v>2840</v>
      </c>
      <c r="F2490" s="0" t="n">
        <f aca="false">IF(C2490&gt;1,IF(C2490&lt;99,VLOOKUP(C2490,'MSA-Lookup'!$H$1:$I$86,2),C2490),C2490)</f>
        <v>6920</v>
      </c>
      <c r="G2490" s="0" t="n">
        <f aca="false">VLOOKUP(E2490,'MSA-Lookup'!$AA$1:$AB$25,2)</f>
        <v>2840</v>
      </c>
      <c r="H2490" s="0" t="n">
        <f aca="false">IF(C2490&gt;1,IF(C2490&lt;99,VLOOKUP(F2490,'MSA-Lookup'!$AA$1:$AB$25,2),C2490),C2490)</f>
        <v>6920</v>
      </c>
    </row>
    <row r="2491" customFormat="false" ht="12.75" hidden="false" customHeight="false" outlineLevel="0" collapsed="false">
      <c r="A2491" s="0" t="n">
        <f aca="false">B2491*1000+C2491</f>
        <v>41013</v>
      </c>
      <c r="B2491" s="0" t="n">
        <v>41</v>
      </c>
      <c r="C2491" s="0" t="n">
        <v>13</v>
      </c>
      <c r="D2491" s="0" t="n">
        <v>0</v>
      </c>
      <c r="E2491" s="0" t="n">
        <f aca="false">VLOOKUP(B2491,'MSA-Lookup'!$H$2:$I$86,2)</f>
        <v>2840</v>
      </c>
      <c r="F2491" s="0" t="n">
        <f aca="false">IF(C2491&gt;1,IF(C2491&lt;99,VLOOKUP(C2491,'MSA-Lookup'!$H$1:$I$86,2),C2491),C2491)</f>
        <v>7500</v>
      </c>
      <c r="G2491" s="0" t="n">
        <f aca="false">VLOOKUP(E2491,'MSA-Lookup'!$AA$1:$AB$25,2)</f>
        <v>2840</v>
      </c>
      <c r="H2491" s="0" t="n">
        <f aca="false">IF(C2491&gt;1,IF(C2491&lt;99,VLOOKUP(F2491,'MSA-Lookup'!$AA$1:$AB$25,2),C2491),C2491)</f>
        <v>7362</v>
      </c>
    </row>
    <row r="2492" customFormat="false" ht="12.75" hidden="false" customHeight="false" outlineLevel="0" collapsed="false">
      <c r="A2492" s="0" t="n">
        <f aca="false">B2492*1000+C2492</f>
        <v>41014</v>
      </c>
      <c r="B2492" s="0" t="n">
        <v>41</v>
      </c>
      <c r="C2492" s="0" t="n">
        <v>14</v>
      </c>
      <c r="D2492" s="0" t="n">
        <v>0</v>
      </c>
      <c r="E2492" s="0" t="n">
        <f aca="false">VLOOKUP(B2492,'MSA-Lookup'!$H$2:$I$86,2)</f>
        <v>2840</v>
      </c>
      <c r="F2492" s="0" t="n">
        <f aca="false">IF(C2492&gt;1,IF(C2492&lt;99,VLOOKUP(C2492,'MSA-Lookup'!$H$1:$I$86,2),C2492),C2492)</f>
        <v>7500</v>
      </c>
      <c r="G2492" s="0" t="n">
        <f aca="false">VLOOKUP(E2492,'MSA-Lookup'!$AA$1:$AB$25,2)</f>
        <v>2840</v>
      </c>
      <c r="H2492" s="0" t="n">
        <f aca="false">IF(C2492&gt;1,IF(C2492&lt;99,VLOOKUP(F2492,'MSA-Lookup'!$AA$1:$AB$25,2),C2492),C2492)</f>
        <v>7362</v>
      </c>
    </row>
    <row r="2493" customFormat="false" ht="12.75" hidden="false" customHeight="false" outlineLevel="0" collapsed="false">
      <c r="A2493" s="0" t="n">
        <f aca="false">B2493*1000+C2493</f>
        <v>41015</v>
      </c>
      <c r="B2493" s="0" t="n">
        <v>41</v>
      </c>
      <c r="C2493" s="0" t="n">
        <v>15</v>
      </c>
      <c r="D2493" s="0" t="n">
        <v>0</v>
      </c>
      <c r="E2493" s="0" t="n">
        <f aca="false">VLOOKUP(B2493,'MSA-Lookup'!$H$2:$I$86,2)</f>
        <v>2840</v>
      </c>
      <c r="F2493" s="0" t="n">
        <f aca="false">IF(C2493&gt;1,IF(C2493&lt;99,VLOOKUP(C2493,'MSA-Lookup'!$H$1:$I$86,2),C2493),C2493)</f>
        <v>7360</v>
      </c>
      <c r="G2493" s="0" t="n">
        <f aca="false">VLOOKUP(E2493,'MSA-Lookup'!$AA$1:$AB$25,2)</f>
        <v>2840</v>
      </c>
      <c r="H2493" s="0" t="n">
        <f aca="false">IF(C2493&gt;1,IF(C2493&lt;99,VLOOKUP(F2493,'MSA-Lookup'!$AA$1:$AB$25,2),C2493),C2493)</f>
        <v>7362</v>
      </c>
    </row>
    <row r="2494" customFormat="false" ht="12.75" hidden="false" customHeight="false" outlineLevel="0" collapsed="false">
      <c r="A2494" s="0" t="n">
        <f aca="false">B2494*1000+C2494</f>
        <v>41016</v>
      </c>
      <c r="B2494" s="0" t="n">
        <v>41</v>
      </c>
      <c r="C2494" s="0" t="n">
        <v>16</v>
      </c>
      <c r="D2494" s="0" t="n">
        <v>0</v>
      </c>
      <c r="E2494" s="0" t="n">
        <f aca="false">VLOOKUP(B2494,'MSA-Lookup'!$H$2:$I$86,2)</f>
        <v>2840</v>
      </c>
      <c r="F2494" s="0" t="n">
        <f aca="false">IF(C2494&gt;1,IF(C2494&lt;99,VLOOKUP(C2494,'MSA-Lookup'!$H$1:$I$86,2),C2494),C2494)</f>
        <v>8720</v>
      </c>
      <c r="G2494" s="0" t="n">
        <f aca="false">VLOOKUP(E2494,'MSA-Lookup'!$AA$1:$AB$25,2)</f>
        <v>2840</v>
      </c>
      <c r="H2494" s="0" t="n">
        <f aca="false">IF(C2494&gt;1,IF(C2494&lt;99,VLOOKUP(F2494,'MSA-Lookup'!$AA$1:$AB$25,2),C2494),C2494)</f>
        <v>7362</v>
      </c>
    </row>
    <row r="2495" customFormat="false" ht="12.75" hidden="false" customHeight="false" outlineLevel="0" collapsed="false">
      <c r="A2495" s="0" t="n">
        <f aca="false">B2495*1000+C2495</f>
        <v>41017</v>
      </c>
      <c r="B2495" s="0" t="n">
        <v>41</v>
      </c>
      <c r="C2495" s="0" t="n">
        <v>17</v>
      </c>
      <c r="D2495" s="0" t="n">
        <v>0</v>
      </c>
      <c r="E2495" s="0" t="n">
        <f aca="false">VLOOKUP(B2495,'MSA-Lookup'!$H$2:$I$86,2)</f>
        <v>2840</v>
      </c>
      <c r="F2495" s="0" t="n">
        <f aca="false">IF(C2495&gt;1,IF(C2495&lt;99,VLOOKUP(C2495,'MSA-Lookup'!$H$1:$I$86,2),C2495),C2495)</f>
        <v>5775</v>
      </c>
      <c r="G2495" s="0" t="n">
        <f aca="false">VLOOKUP(E2495,'MSA-Lookup'!$AA$1:$AB$25,2)</f>
        <v>2840</v>
      </c>
      <c r="H2495" s="0" t="n">
        <f aca="false">IF(C2495&gt;1,IF(C2495&lt;99,VLOOKUP(F2495,'MSA-Lookup'!$AA$1:$AB$25,2),C2495),C2495)</f>
        <v>7362</v>
      </c>
    </row>
    <row r="2496" customFormat="false" ht="12.75" hidden="false" customHeight="false" outlineLevel="0" collapsed="false">
      <c r="A2496" s="0" t="n">
        <f aca="false">B2496*1000+C2496</f>
        <v>41018</v>
      </c>
      <c r="B2496" s="0" t="n">
        <v>41</v>
      </c>
      <c r="C2496" s="0" t="n">
        <v>18</v>
      </c>
      <c r="D2496" s="0" t="n">
        <v>0</v>
      </c>
      <c r="E2496" s="0" t="n">
        <f aca="false">VLOOKUP(B2496,'MSA-Lookup'!$H$2:$I$86,2)</f>
        <v>2840</v>
      </c>
      <c r="F2496" s="0" t="n">
        <f aca="false">IF(C2496&gt;1,IF(C2496&lt;99,VLOOKUP(C2496,'MSA-Lookup'!$H$1:$I$86,2),C2496),C2496)</f>
        <v>5775</v>
      </c>
      <c r="G2496" s="0" t="n">
        <f aca="false">VLOOKUP(E2496,'MSA-Lookup'!$AA$1:$AB$25,2)</f>
        <v>2840</v>
      </c>
      <c r="H2496" s="0" t="n">
        <f aca="false">IF(C2496&gt;1,IF(C2496&lt;99,VLOOKUP(F2496,'MSA-Lookup'!$AA$1:$AB$25,2),C2496),C2496)</f>
        <v>7362</v>
      </c>
    </row>
    <row r="2497" customFormat="false" ht="12.75" hidden="false" customHeight="false" outlineLevel="0" collapsed="false">
      <c r="A2497" s="0" t="n">
        <f aca="false">B2497*1000+C2497</f>
        <v>41019</v>
      </c>
      <c r="B2497" s="0" t="n">
        <v>41</v>
      </c>
      <c r="C2497" s="0" t="n">
        <v>19</v>
      </c>
      <c r="D2497" s="0" t="n">
        <v>182</v>
      </c>
      <c r="E2497" s="0" t="n">
        <f aca="false">VLOOKUP(B2497,'MSA-Lookup'!$H$2:$I$86,2)</f>
        <v>2840</v>
      </c>
      <c r="F2497" s="0" t="n">
        <f aca="false">IF(C2497&gt;1,IF(C2497&lt;99,VLOOKUP(C2497,'MSA-Lookup'!$H$1:$I$86,2),C2497),C2497)</f>
        <v>7360</v>
      </c>
      <c r="G2497" s="0" t="n">
        <f aca="false">VLOOKUP(E2497,'MSA-Lookup'!$AA$1:$AB$25,2)</f>
        <v>2840</v>
      </c>
      <c r="H2497" s="0" t="n">
        <f aca="false">IF(C2497&gt;1,IF(C2497&lt;99,VLOOKUP(F2497,'MSA-Lookup'!$AA$1:$AB$25,2),C2497),C2497)</f>
        <v>7362</v>
      </c>
    </row>
    <row r="2498" customFormat="false" ht="12.75" hidden="false" customHeight="false" outlineLevel="0" collapsed="false">
      <c r="A2498" s="0" t="n">
        <f aca="false">B2498*1000+C2498</f>
        <v>41020</v>
      </c>
      <c r="B2498" s="0" t="n">
        <v>41</v>
      </c>
      <c r="C2498" s="0" t="n">
        <v>20</v>
      </c>
      <c r="D2498" s="0" t="n">
        <v>0</v>
      </c>
      <c r="E2498" s="0" t="n">
        <f aca="false">VLOOKUP(B2498,'MSA-Lookup'!$H$2:$I$86,2)</f>
        <v>2840</v>
      </c>
      <c r="F2498" s="0" t="n">
        <f aca="false">IF(C2498&gt;1,IF(C2498&lt;99,VLOOKUP(C2498,'MSA-Lookup'!$H$1:$I$86,2),C2498),C2498)</f>
        <v>5775</v>
      </c>
      <c r="G2498" s="0" t="n">
        <f aca="false">VLOOKUP(E2498,'MSA-Lookup'!$AA$1:$AB$25,2)</f>
        <v>2840</v>
      </c>
      <c r="H2498" s="0" t="n">
        <f aca="false">IF(C2498&gt;1,IF(C2498&lt;99,VLOOKUP(F2498,'MSA-Lookup'!$AA$1:$AB$25,2),C2498),C2498)</f>
        <v>7362</v>
      </c>
    </row>
    <row r="2499" customFormat="false" ht="12.75" hidden="false" customHeight="false" outlineLevel="0" collapsed="false">
      <c r="A2499" s="0" t="n">
        <f aca="false">B2499*1000+C2499</f>
        <v>41021</v>
      </c>
      <c r="B2499" s="0" t="n">
        <v>41</v>
      </c>
      <c r="C2499" s="0" t="n">
        <v>21</v>
      </c>
      <c r="D2499" s="0" t="n">
        <v>0</v>
      </c>
      <c r="E2499" s="0" t="n">
        <f aca="false">VLOOKUP(B2499,'MSA-Lookup'!$H$2:$I$86,2)</f>
        <v>2840</v>
      </c>
      <c r="F2499" s="0" t="n">
        <f aca="false">IF(C2499&gt;1,IF(C2499&lt;99,VLOOKUP(C2499,'MSA-Lookup'!$H$1:$I$86,2),C2499),C2499)</f>
        <v>5775</v>
      </c>
      <c r="G2499" s="0" t="n">
        <f aca="false">VLOOKUP(E2499,'MSA-Lookup'!$AA$1:$AB$25,2)</f>
        <v>2840</v>
      </c>
      <c r="H2499" s="0" t="n">
        <f aca="false">IF(C2499&gt;1,IF(C2499&lt;99,VLOOKUP(F2499,'MSA-Lookup'!$AA$1:$AB$25,2),C2499),C2499)</f>
        <v>7362</v>
      </c>
    </row>
    <row r="2500" customFormat="false" ht="12.75" hidden="false" customHeight="false" outlineLevel="0" collapsed="false">
      <c r="A2500" s="0" t="n">
        <f aca="false">B2500*1000+C2500</f>
        <v>41022</v>
      </c>
      <c r="B2500" s="0" t="n">
        <v>41</v>
      </c>
      <c r="C2500" s="0" t="n">
        <v>22</v>
      </c>
      <c r="D2500" s="0" t="n">
        <v>78</v>
      </c>
      <c r="E2500" s="0" t="n">
        <f aca="false">VLOOKUP(B2500,'MSA-Lookup'!$H$2:$I$86,2)</f>
        <v>2840</v>
      </c>
      <c r="F2500" s="0" t="n">
        <f aca="false">IF(C2500&gt;1,IF(C2500&lt;99,VLOOKUP(C2500,'MSA-Lookup'!$H$1:$I$86,2),C2500),C2500)</f>
        <v>7360</v>
      </c>
      <c r="G2500" s="0" t="n">
        <f aca="false">VLOOKUP(E2500,'MSA-Lookup'!$AA$1:$AB$25,2)</f>
        <v>2840</v>
      </c>
      <c r="H2500" s="0" t="n">
        <f aca="false">IF(C2500&gt;1,IF(C2500&lt;99,VLOOKUP(F2500,'MSA-Lookup'!$AA$1:$AB$25,2),C2500),C2500)</f>
        <v>7362</v>
      </c>
    </row>
    <row r="2501" customFormat="false" ht="12.75" hidden="false" customHeight="false" outlineLevel="0" collapsed="false">
      <c r="A2501" s="0" t="n">
        <f aca="false">B2501*1000+C2501</f>
        <v>41023</v>
      </c>
      <c r="B2501" s="0" t="n">
        <v>41</v>
      </c>
      <c r="C2501" s="0" t="n">
        <v>23</v>
      </c>
      <c r="D2501" s="0" t="n">
        <v>143</v>
      </c>
      <c r="E2501" s="0" t="n">
        <f aca="false">VLOOKUP(B2501,'MSA-Lookup'!$H$2:$I$86,2)</f>
        <v>2840</v>
      </c>
      <c r="F2501" s="0" t="n">
        <f aca="false">IF(C2501&gt;1,IF(C2501&lt;99,VLOOKUP(C2501,'MSA-Lookup'!$H$1:$I$86,2),C2501),C2501)</f>
        <v>8120</v>
      </c>
      <c r="G2501" s="0" t="n">
        <f aca="false">VLOOKUP(E2501,'MSA-Lookup'!$AA$1:$AB$25,2)</f>
        <v>2840</v>
      </c>
      <c r="H2501" s="0" t="n">
        <f aca="false">IF(C2501&gt;1,IF(C2501&lt;99,VLOOKUP(F2501,'MSA-Lookup'!$AA$1:$AB$25,2),C2501),C2501)</f>
        <v>8120</v>
      </c>
    </row>
    <row r="2502" customFormat="false" ht="12.75" hidden="false" customHeight="false" outlineLevel="0" collapsed="false">
      <c r="A2502" s="0" t="n">
        <f aca="false">B2502*1000+C2502</f>
        <v>41024</v>
      </c>
      <c r="B2502" s="0" t="n">
        <v>41</v>
      </c>
      <c r="C2502" s="0" t="n">
        <v>24</v>
      </c>
      <c r="D2502" s="0" t="n">
        <v>0</v>
      </c>
      <c r="E2502" s="0" t="n">
        <f aca="false">VLOOKUP(B2502,'MSA-Lookup'!$H$2:$I$86,2)</f>
        <v>2840</v>
      </c>
      <c r="F2502" s="0" t="n">
        <f aca="false">IF(C2502&gt;1,IF(C2502&lt;99,VLOOKUP(C2502,'MSA-Lookup'!$H$1:$I$86,2),C2502),C2502)</f>
        <v>5170</v>
      </c>
      <c r="G2502" s="0" t="n">
        <f aca="false">VLOOKUP(E2502,'MSA-Lookup'!$AA$1:$AB$25,2)</f>
        <v>2840</v>
      </c>
      <c r="H2502" s="0" t="n">
        <f aca="false">IF(C2502&gt;1,IF(C2502&lt;99,VLOOKUP(F2502,'MSA-Lookup'!$AA$1:$AB$25,2),C2502),C2502)</f>
        <v>5170</v>
      </c>
    </row>
    <row r="2503" customFormat="false" ht="12.75" hidden="false" customHeight="false" outlineLevel="0" collapsed="false">
      <c r="A2503" s="0" t="n">
        <f aca="false">B2503*1000+C2503</f>
        <v>41025</v>
      </c>
      <c r="B2503" s="0" t="n">
        <v>41</v>
      </c>
      <c r="C2503" s="0" t="n">
        <v>25</v>
      </c>
      <c r="D2503" s="0" t="n">
        <v>91</v>
      </c>
      <c r="E2503" s="0" t="n">
        <f aca="false">VLOOKUP(B2503,'MSA-Lookup'!$H$2:$I$86,2)</f>
        <v>2840</v>
      </c>
      <c r="F2503" s="0" t="n">
        <f aca="false">IF(C2503&gt;1,IF(C2503&lt;99,VLOOKUP(C2503,'MSA-Lookup'!$H$1:$I$86,2),C2503),C2503)</f>
        <v>5170</v>
      </c>
      <c r="G2503" s="0" t="n">
        <f aca="false">VLOOKUP(E2503,'MSA-Lookup'!$AA$1:$AB$25,2)</f>
        <v>2840</v>
      </c>
      <c r="H2503" s="0" t="n">
        <f aca="false">IF(C2503&gt;1,IF(C2503&lt;99,VLOOKUP(F2503,'MSA-Lookup'!$AA$1:$AB$25,2),C2503),C2503)</f>
        <v>5170</v>
      </c>
    </row>
    <row r="2504" customFormat="false" ht="12.75" hidden="false" customHeight="false" outlineLevel="0" collapsed="false">
      <c r="A2504" s="0" t="n">
        <f aca="false">B2504*1000+C2504</f>
        <v>41026</v>
      </c>
      <c r="B2504" s="0" t="n">
        <v>41</v>
      </c>
      <c r="C2504" s="0" t="n">
        <v>26</v>
      </c>
      <c r="D2504" s="0" t="n">
        <v>0</v>
      </c>
      <c r="E2504" s="0" t="n">
        <f aca="false">VLOOKUP(B2504,'MSA-Lookup'!$H$2:$I$86,2)</f>
        <v>2840</v>
      </c>
      <c r="F2504" s="0" t="n">
        <f aca="false">IF(C2504&gt;1,IF(C2504&lt;99,VLOOKUP(C2504,'MSA-Lookup'!$H$1:$I$86,2),C2504),C2504)</f>
        <v>9999</v>
      </c>
      <c r="G2504" s="0" t="n">
        <f aca="false">VLOOKUP(E2504,'MSA-Lookup'!$AA$1:$AB$25,2)</f>
        <v>2840</v>
      </c>
      <c r="H2504" s="0" t="n">
        <f aca="false">IF(C2504&gt;1,IF(C2504&lt;99,VLOOKUP(F2504,'MSA-Lookup'!$AA$1:$AB$25,2),C2504),C2504)</f>
        <v>9999</v>
      </c>
    </row>
    <row r="2505" customFormat="false" ht="12.75" hidden="false" customHeight="false" outlineLevel="0" collapsed="false">
      <c r="A2505" s="0" t="n">
        <f aca="false">B2505*1000+C2505</f>
        <v>41027</v>
      </c>
      <c r="B2505" s="0" t="n">
        <v>41</v>
      </c>
      <c r="C2505" s="0" t="n">
        <v>27</v>
      </c>
      <c r="D2505" s="0" t="n">
        <v>1170</v>
      </c>
      <c r="E2505" s="0" t="n">
        <f aca="false">VLOOKUP(B2505,'MSA-Lookup'!$H$2:$I$86,2)</f>
        <v>2840</v>
      </c>
      <c r="F2505" s="0" t="n">
        <f aca="false">IF(C2505&gt;1,IF(C2505&lt;99,VLOOKUP(C2505,'MSA-Lookup'!$H$1:$I$86,2),C2505),C2505)</f>
        <v>9999</v>
      </c>
      <c r="G2505" s="0" t="n">
        <f aca="false">VLOOKUP(E2505,'MSA-Lookup'!$AA$1:$AB$25,2)</f>
        <v>2840</v>
      </c>
      <c r="H2505" s="0" t="n">
        <f aca="false">IF(C2505&gt;1,IF(C2505&lt;99,VLOOKUP(F2505,'MSA-Lookup'!$AA$1:$AB$25,2),C2505),C2505)</f>
        <v>9999</v>
      </c>
    </row>
    <row r="2506" customFormat="false" ht="12.75" hidden="false" customHeight="false" outlineLevel="0" collapsed="false">
      <c r="A2506" s="0" t="n">
        <f aca="false">B2506*1000+C2506</f>
        <v>41028</v>
      </c>
      <c r="B2506" s="0" t="n">
        <v>41</v>
      </c>
      <c r="C2506" s="0" t="n">
        <v>28</v>
      </c>
      <c r="D2506" s="0" t="n">
        <v>0</v>
      </c>
      <c r="E2506" s="0" t="n">
        <f aca="false">VLOOKUP(B2506,'MSA-Lookup'!$H$2:$I$86,2)</f>
        <v>2840</v>
      </c>
      <c r="F2506" s="0" t="n">
        <f aca="false">IF(C2506&gt;1,IF(C2506&lt;99,VLOOKUP(C2506,'MSA-Lookup'!$H$1:$I$86,2),C2506),C2506)</f>
        <v>6920</v>
      </c>
      <c r="G2506" s="0" t="n">
        <f aca="false">VLOOKUP(E2506,'MSA-Lookup'!$AA$1:$AB$25,2)</f>
        <v>2840</v>
      </c>
      <c r="H2506" s="0" t="n">
        <f aca="false">IF(C2506&gt;1,IF(C2506&lt;99,VLOOKUP(F2506,'MSA-Lookup'!$AA$1:$AB$25,2),C2506),C2506)</f>
        <v>6920</v>
      </c>
    </row>
    <row r="2507" customFormat="false" ht="12.75" hidden="false" customHeight="false" outlineLevel="0" collapsed="false">
      <c r="A2507" s="0" t="n">
        <f aca="false">B2507*1000+C2507</f>
        <v>41029</v>
      </c>
      <c r="B2507" s="0" t="n">
        <v>41</v>
      </c>
      <c r="C2507" s="0" t="n">
        <v>29</v>
      </c>
      <c r="D2507" s="0" t="n">
        <v>0</v>
      </c>
      <c r="E2507" s="0" t="n">
        <f aca="false">VLOOKUP(B2507,'MSA-Lookup'!$H$2:$I$86,2)</f>
        <v>2840</v>
      </c>
      <c r="F2507" s="0" t="n">
        <f aca="false">IF(C2507&gt;1,IF(C2507&lt;99,VLOOKUP(C2507,'MSA-Lookup'!$H$1:$I$86,2),C2507),C2507)</f>
        <v>6920</v>
      </c>
      <c r="G2507" s="0" t="n">
        <f aca="false">VLOOKUP(E2507,'MSA-Lookup'!$AA$1:$AB$25,2)</f>
        <v>2840</v>
      </c>
      <c r="H2507" s="0" t="n">
        <f aca="false">IF(C2507&gt;1,IF(C2507&lt;99,VLOOKUP(F2507,'MSA-Lookup'!$AA$1:$AB$25,2),C2507),C2507)</f>
        <v>6920</v>
      </c>
    </row>
    <row r="2508" customFormat="false" ht="12.75" hidden="false" customHeight="false" outlineLevel="0" collapsed="false">
      <c r="A2508" s="0" t="n">
        <f aca="false">B2508*1000+C2508</f>
        <v>41030</v>
      </c>
      <c r="B2508" s="0" t="n">
        <v>41</v>
      </c>
      <c r="C2508" s="0" t="n">
        <v>30</v>
      </c>
      <c r="D2508" s="0" t="n">
        <v>845</v>
      </c>
      <c r="E2508" s="0" t="n">
        <f aca="false">VLOOKUP(B2508,'MSA-Lookup'!$H$2:$I$86,2)</f>
        <v>2840</v>
      </c>
      <c r="F2508" s="0" t="n">
        <f aca="false">IF(C2508&gt;1,IF(C2508&lt;99,VLOOKUP(C2508,'MSA-Lookup'!$H$1:$I$86,2),C2508),C2508)</f>
        <v>4940</v>
      </c>
      <c r="G2508" s="0" t="n">
        <f aca="false">VLOOKUP(E2508,'MSA-Lookup'!$AA$1:$AB$25,2)</f>
        <v>2840</v>
      </c>
      <c r="H2508" s="0" t="n">
        <f aca="false">IF(C2508&gt;1,IF(C2508&lt;99,VLOOKUP(F2508,'MSA-Lookup'!$AA$1:$AB$25,2),C2508),C2508)</f>
        <v>4940</v>
      </c>
    </row>
    <row r="2509" customFormat="false" ht="12.75" hidden="false" customHeight="false" outlineLevel="0" collapsed="false">
      <c r="A2509" s="0" t="n">
        <f aca="false">B2509*1000+C2509</f>
        <v>41031</v>
      </c>
      <c r="B2509" s="0" t="n">
        <v>41</v>
      </c>
      <c r="C2509" s="0" t="n">
        <v>31</v>
      </c>
      <c r="D2509" s="0" t="n">
        <v>1911</v>
      </c>
      <c r="E2509" s="0" t="n">
        <f aca="false">VLOOKUP(B2509,'MSA-Lookup'!$H$2:$I$86,2)</f>
        <v>2840</v>
      </c>
      <c r="F2509" s="0" t="n">
        <f aca="false">IF(C2509&gt;1,IF(C2509&lt;99,VLOOKUP(C2509,'MSA-Lookup'!$H$1:$I$86,2),C2509),C2509)</f>
        <v>9999</v>
      </c>
      <c r="G2509" s="0" t="n">
        <f aca="false">VLOOKUP(E2509,'MSA-Lookup'!$AA$1:$AB$25,2)</f>
        <v>2840</v>
      </c>
      <c r="H2509" s="0" t="n">
        <f aca="false">IF(C2509&gt;1,IF(C2509&lt;99,VLOOKUP(F2509,'MSA-Lookup'!$AA$1:$AB$25,2),C2509),C2509)</f>
        <v>9999</v>
      </c>
    </row>
    <row r="2510" customFormat="false" ht="12.75" hidden="false" customHeight="false" outlineLevel="0" collapsed="false">
      <c r="A2510" s="0" t="n">
        <f aca="false">B2510*1000+C2510</f>
        <v>41032</v>
      </c>
      <c r="B2510" s="0" t="n">
        <v>41</v>
      </c>
      <c r="C2510" s="0" t="n">
        <v>32</v>
      </c>
      <c r="D2510" s="0" t="n">
        <v>0</v>
      </c>
      <c r="E2510" s="0" t="n">
        <f aca="false">VLOOKUP(B2510,'MSA-Lookup'!$H$2:$I$86,2)</f>
        <v>2840</v>
      </c>
      <c r="F2510" s="0" t="n">
        <f aca="false">IF(C2510&gt;1,IF(C2510&lt;99,VLOOKUP(C2510,'MSA-Lookup'!$H$1:$I$86,2),C2510),C2510)</f>
        <v>7480</v>
      </c>
      <c r="G2510" s="0" t="n">
        <f aca="false">VLOOKUP(E2510,'MSA-Lookup'!$AA$1:$AB$25,2)</f>
        <v>2840</v>
      </c>
      <c r="H2510" s="0" t="n">
        <f aca="false">IF(C2510&gt;1,IF(C2510&lt;99,VLOOKUP(F2510,'MSA-Lookup'!$AA$1:$AB$25,2),C2510),C2510)</f>
        <v>7480</v>
      </c>
    </row>
    <row r="2511" customFormat="false" ht="12.75" hidden="false" customHeight="false" outlineLevel="0" collapsed="false">
      <c r="A2511" s="0" t="n">
        <f aca="false">B2511*1000+C2511</f>
        <v>41033</v>
      </c>
      <c r="B2511" s="0" t="n">
        <v>41</v>
      </c>
      <c r="C2511" s="0" t="n">
        <v>33</v>
      </c>
      <c r="D2511" s="0" t="n">
        <v>0</v>
      </c>
      <c r="E2511" s="0" t="n">
        <f aca="false">VLOOKUP(B2511,'MSA-Lookup'!$H$2:$I$86,2)</f>
        <v>2840</v>
      </c>
      <c r="F2511" s="0" t="n">
        <f aca="false">IF(C2511&gt;1,IF(C2511&lt;99,VLOOKUP(C2511,'MSA-Lookup'!$H$1:$I$86,2),C2511),C2511)</f>
        <v>7320</v>
      </c>
      <c r="G2511" s="0" t="n">
        <f aca="false">VLOOKUP(E2511,'MSA-Lookup'!$AA$1:$AB$25,2)</f>
        <v>2840</v>
      </c>
      <c r="H2511" s="0" t="n">
        <f aca="false">IF(C2511&gt;1,IF(C2511&lt;99,VLOOKUP(F2511,'MSA-Lookup'!$AA$1:$AB$25,2),C2511),C2511)</f>
        <v>7320</v>
      </c>
    </row>
    <row r="2512" customFormat="false" ht="12.75" hidden="false" customHeight="false" outlineLevel="0" collapsed="false">
      <c r="A2512" s="0" t="n">
        <f aca="false">B2512*1000+C2512</f>
        <v>41034</v>
      </c>
      <c r="B2512" s="0" t="n">
        <v>41</v>
      </c>
      <c r="C2512" s="0" t="n">
        <v>34</v>
      </c>
      <c r="D2512" s="0" t="n">
        <v>0</v>
      </c>
      <c r="E2512" s="0" t="n">
        <f aca="false">VLOOKUP(B2512,'MSA-Lookup'!$H$2:$I$86,2)</f>
        <v>2840</v>
      </c>
      <c r="F2512" s="0" t="n">
        <f aca="false">IF(C2512&gt;1,IF(C2512&lt;99,VLOOKUP(C2512,'MSA-Lookup'!$H$1:$I$86,2),C2512),C2512)</f>
        <v>7320</v>
      </c>
      <c r="G2512" s="0" t="n">
        <f aca="false">VLOOKUP(E2512,'MSA-Lookup'!$AA$1:$AB$25,2)</f>
        <v>2840</v>
      </c>
      <c r="H2512" s="0" t="n">
        <f aca="false">IF(C2512&gt;1,IF(C2512&lt;99,VLOOKUP(F2512,'MSA-Lookup'!$AA$1:$AB$25,2),C2512),C2512)</f>
        <v>7320</v>
      </c>
    </row>
    <row r="2513" customFormat="false" ht="12.75" hidden="false" customHeight="false" outlineLevel="0" collapsed="false">
      <c r="A2513" s="0" t="n">
        <f aca="false">B2513*1000+C2513</f>
        <v>41035</v>
      </c>
      <c r="B2513" s="0" t="n">
        <v>41</v>
      </c>
      <c r="C2513" s="0" t="n">
        <v>35</v>
      </c>
      <c r="D2513" s="0" t="n">
        <v>0</v>
      </c>
      <c r="E2513" s="0" t="n">
        <f aca="false">VLOOKUP(B2513,'MSA-Lookup'!$H$2:$I$86,2)</f>
        <v>2840</v>
      </c>
      <c r="F2513" s="0" t="n">
        <f aca="false">IF(C2513&gt;1,IF(C2513&lt;99,VLOOKUP(C2513,'MSA-Lookup'!$H$1:$I$86,2),C2513),C2513)</f>
        <v>7320</v>
      </c>
      <c r="G2513" s="0" t="n">
        <f aca="false">VLOOKUP(E2513,'MSA-Lookup'!$AA$1:$AB$25,2)</f>
        <v>2840</v>
      </c>
      <c r="H2513" s="0" t="n">
        <f aca="false">IF(C2513&gt;1,IF(C2513&lt;99,VLOOKUP(F2513,'MSA-Lookup'!$AA$1:$AB$25,2),C2513),C2513)</f>
        <v>7320</v>
      </c>
    </row>
    <row r="2514" customFormat="false" ht="12.75" hidden="false" customHeight="false" outlineLevel="0" collapsed="false">
      <c r="A2514" s="0" t="n">
        <f aca="false">B2514*1000+C2514</f>
        <v>41036</v>
      </c>
      <c r="B2514" s="0" t="n">
        <v>41</v>
      </c>
      <c r="C2514" s="0" t="n">
        <v>36</v>
      </c>
      <c r="D2514" s="0" t="n">
        <v>0</v>
      </c>
      <c r="E2514" s="0" t="n">
        <f aca="false">VLOOKUP(B2514,'MSA-Lookup'!$H$2:$I$86,2)</f>
        <v>2840</v>
      </c>
      <c r="F2514" s="0" t="n">
        <f aca="false">IF(C2514&gt;1,IF(C2514&lt;99,VLOOKUP(C2514,'MSA-Lookup'!$H$1:$I$86,2),C2514),C2514)</f>
        <v>7320</v>
      </c>
      <c r="G2514" s="0" t="n">
        <f aca="false">VLOOKUP(E2514,'MSA-Lookup'!$AA$1:$AB$25,2)</f>
        <v>2840</v>
      </c>
      <c r="H2514" s="0" t="n">
        <f aca="false">IF(C2514&gt;1,IF(C2514&lt;99,VLOOKUP(F2514,'MSA-Lookup'!$AA$1:$AB$25,2),C2514),C2514)</f>
        <v>7320</v>
      </c>
    </row>
    <row r="2515" customFormat="false" ht="12.75" hidden="false" customHeight="false" outlineLevel="0" collapsed="false">
      <c r="A2515" s="0" t="n">
        <f aca="false">B2515*1000+C2515</f>
        <v>41037</v>
      </c>
      <c r="B2515" s="0" t="n">
        <v>41</v>
      </c>
      <c r="C2515" s="0" t="n">
        <v>37</v>
      </c>
      <c r="D2515" s="0" t="n">
        <v>0</v>
      </c>
      <c r="E2515" s="0" t="n">
        <f aca="false">VLOOKUP(B2515,'MSA-Lookup'!$H$2:$I$86,2)</f>
        <v>2840</v>
      </c>
      <c r="F2515" s="0" t="n">
        <f aca="false">IF(C2515&gt;1,IF(C2515&lt;99,VLOOKUP(C2515,'MSA-Lookup'!$H$1:$I$86,2),C2515),C2515)</f>
        <v>7320</v>
      </c>
      <c r="G2515" s="0" t="n">
        <f aca="false">VLOOKUP(E2515,'MSA-Lookup'!$AA$1:$AB$25,2)</f>
        <v>2840</v>
      </c>
      <c r="H2515" s="0" t="n">
        <f aca="false">IF(C2515&gt;1,IF(C2515&lt;99,VLOOKUP(F2515,'MSA-Lookup'!$AA$1:$AB$25,2),C2515),C2515)</f>
        <v>7320</v>
      </c>
    </row>
    <row r="2516" customFormat="false" ht="12.75" hidden="false" customHeight="false" outlineLevel="0" collapsed="false">
      <c r="A2516" s="0" t="n">
        <f aca="false">B2516*1000+C2516</f>
        <v>41038</v>
      </c>
      <c r="B2516" s="0" t="n">
        <v>41</v>
      </c>
      <c r="C2516" s="0" t="n">
        <v>38</v>
      </c>
      <c r="D2516" s="0" t="n">
        <v>195</v>
      </c>
      <c r="E2516" s="0" t="n">
        <f aca="false">VLOOKUP(B2516,'MSA-Lookup'!$H$2:$I$86,2)</f>
        <v>2840</v>
      </c>
      <c r="F2516" s="0" t="n">
        <f aca="false">IF(C2516&gt;1,IF(C2516&lt;99,VLOOKUP(C2516,'MSA-Lookup'!$H$1:$I$86,2),C2516),C2516)</f>
        <v>7120</v>
      </c>
      <c r="G2516" s="0" t="n">
        <f aca="false">VLOOKUP(E2516,'MSA-Lookup'!$AA$1:$AB$25,2)</f>
        <v>2840</v>
      </c>
      <c r="H2516" s="0" t="n">
        <f aca="false">IF(C2516&gt;1,IF(C2516&lt;99,VLOOKUP(F2516,'MSA-Lookup'!$AA$1:$AB$25,2),C2516),C2516)</f>
        <v>7120</v>
      </c>
    </row>
    <row r="2517" customFormat="false" ht="12.75" hidden="false" customHeight="false" outlineLevel="0" collapsed="false">
      <c r="A2517" s="0" t="n">
        <f aca="false">B2517*1000+C2517</f>
        <v>41039</v>
      </c>
      <c r="B2517" s="0" t="n">
        <v>41</v>
      </c>
      <c r="C2517" s="0" t="n">
        <v>39</v>
      </c>
      <c r="D2517" s="0" t="n">
        <v>0</v>
      </c>
      <c r="E2517" s="0" t="n">
        <f aca="false">VLOOKUP(B2517,'MSA-Lookup'!$H$2:$I$86,2)</f>
        <v>2840</v>
      </c>
      <c r="F2517" s="0" t="n">
        <f aca="false">IF(C2517&gt;1,IF(C2517&lt;99,VLOOKUP(C2517,'MSA-Lookup'!$H$1:$I$86,2),C2517),C2517)</f>
        <v>7120</v>
      </c>
      <c r="G2517" s="0" t="n">
        <f aca="false">VLOOKUP(E2517,'MSA-Lookup'!$AA$1:$AB$25,2)</f>
        <v>2840</v>
      </c>
      <c r="H2517" s="0" t="n">
        <f aca="false">IF(C2517&gt;1,IF(C2517&lt;99,VLOOKUP(F2517,'MSA-Lookup'!$AA$1:$AB$25,2),C2517),C2517)</f>
        <v>7120</v>
      </c>
    </row>
    <row r="2518" customFormat="false" ht="12.75" hidden="false" customHeight="false" outlineLevel="0" collapsed="false">
      <c r="A2518" s="0" t="n">
        <f aca="false">B2518*1000+C2518</f>
        <v>41040</v>
      </c>
      <c r="B2518" s="0" t="n">
        <v>41</v>
      </c>
      <c r="C2518" s="0" t="n">
        <v>40</v>
      </c>
      <c r="D2518" s="0" t="n">
        <v>54756</v>
      </c>
      <c r="E2518" s="0" t="n">
        <f aca="false">VLOOKUP(B2518,'MSA-Lookup'!$H$2:$I$86,2)</f>
        <v>2840</v>
      </c>
      <c r="F2518" s="0" t="n">
        <f aca="false">IF(C2518&gt;1,IF(C2518&lt;99,VLOOKUP(C2518,'MSA-Lookup'!$H$1:$I$86,2),C2518),C2518)</f>
        <v>2840</v>
      </c>
      <c r="G2518" s="0" t="n">
        <f aca="false">VLOOKUP(E2518,'MSA-Lookup'!$AA$1:$AB$25,2)</f>
        <v>2840</v>
      </c>
      <c r="H2518" s="0" t="n">
        <f aca="false">IF(C2518&gt;1,IF(C2518&lt;99,VLOOKUP(F2518,'MSA-Lookup'!$AA$1:$AB$25,2),C2518),C2518)</f>
        <v>2840</v>
      </c>
    </row>
    <row r="2519" customFormat="false" ht="12.75" hidden="false" customHeight="false" outlineLevel="0" collapsed="false">
      <c r="A2519" s="0" t="n">
        <f aca="false">B2519*1000+C2519</f>
        <v>41041</v>
      </c>
      <c r="B2519" s="0" t="n">
        <v>41</v>
      </c>
      <c r="C2519" s="0" t="n">
        <v>41</v>
      </c>
      <c r="D2519" s="0" t="n">
        <v>67678</v>
      </c>
      <c r="E2519" s="0" t="n">
        <f aca="false">VLOOKUP(B2519,'MSA-Lookup'!$H$2:$I$86,2)</f>
        <v>2840</v>
      </c>
      <c r="F2519" s="0" t="n">
        <f aca="false">IF(C2519&gt;1,IF(C2519&lt;99,VLOOKUP(C2519,'MSA-Lookup'!$H$1:$I$86,2),C2519),C2519)</f>
        <v>2840</v>
      </c>
      <c r="G2519" s="0" t="n">
        <f aca="false">VLOOKUP(E2519,'MSA-Lookup'!$AA$1:$AB$25,2)</f>
        <v>2840</v>
      </c>
      <c r="H2519" s="0" t="n">
        <f aca="false">IF(C2519&gt;1,IF(C2519&lt;99,VLOOKUP(F2519,'MSA-Lookup'!$AA$1:$AB$25,2),C2519),C2519)</f>
        <v>2840</v>
      </c>
    </row>
    <row r="2520" customFormat="false" ht="12.75" hidden="false" customHeight="false" outlineLevel="0" collapsed="false">
      <c r="A2520" s="0" t="n">
        <f aca="false">B2520*1000+C2520</f>
        <v>41042</v>
      </c>
      <c r="B2520" s="0" t="n">
        <v>41</v>
      </c>
      <c r="C2520" s="0" t="n">
        <v>42</v>
      </c>
      <c r="D2520" s="0" t="n">
        <v>0</v>
      </c>
      <c r="E2520" s="0" t="n">
        <f aca="false">VLOOKUP(B2520,'MSA-Lookup'!$H$2:$I$86,2)</f>
        <v>2840</v>
      </c>
      <c r="F2520" s="0" t="n">
        <f aca="false">IF(C2520&gt;1,IF(C2520&lt;99,VLOOKUP(C2520,'MSA-Lookup'!$H$1:$I$86,2),C2520),C2520)</f>
        <v>360</v>
      </c>
      <c r="G2520" s="0" t="n">
        <f aca="false">VLOOKUP(E2520,'MSA-Lookup'!$AA$1:$AB$25,2)</f>
        <v>2840</v>
      </c>
      <c r="H2520" s="0" t="n">
        <f aca="false">IF(C2520&gt;1,IF(C2520&lt;99,VLOOKUP(F2520,'MSA-Lookup'!$AA$1:$AB$25,2),C2520),C2520)</f>
        <v>4472</v>
      </c>
    </row>
    <row r="2521" customFormat="false" ht="12.75" hidden="false" customHeight="false" outlineLevel="0" collapsed="false">
      <c r="A2521" s="0" t="n">
        <f aca="false">B2521*1000+C2521</f>
        <v>41043</v>
      </c>
      <c r="B2521" s="0" t="n">
        <v>41</v>
      </c>
      <c r="C2521" s="0" t="n">
        <v>43</v>
      </c>
      <c r="D2521" s="0" t="n">
        <v>0</v>
      </c>
      <c r="E2521" s="0" t="n">
        <f aca="false">VLOOKUP(B2521,'MSA-Lookup'!$H$2:$I$86,2)</f>
        <v>2840</v>
      </c>
      <c r="F2521" s="0" t="n">
        <f aca="false">IF(C2521&gt;1,IF(C2521&lt;99,VLOOKUP(C2521,'MSA-Lookup'!$H$1:$I$86,2),C2521),C2521)</f>
        <v>360</v>
      </c>
      <c r="G2521" s="0" t="n">
        <f aca="false">VLOOKUP(E2521,'MSA-Lookup'!$AA$1:$AB$25,2)</f>
        <v>2840</v>
      </c>
      <c r="H2521" s="0" t="n">
        <f aca="false">IF(C2521&gt;1,IF(C2521&lt;99,VLOOKUP(F2521,'MSA-Lookup'!$AA$1:$AB$25,2),C2521),C2521)</f>
        <v>4472</v>
      </c>
    </row>
    <row r="2522" customFormat="false" ht="12.75" hidden="false" customHeight="false" outlineLevel="0" collapsed="false">
      <c r="A2522" s="0" t="n">
        <f aca="false">B2522*1000+C2522</f>
        <v>41044</v>
      </c>
      <c r="B2522" s="0" t="n">
        <v>41</v>
      </c>
      <c r="C2522" s="0" t="n">
        <v>44</v>
      </c>
      <c r="D2522" s="0" t="n">
        <v>0</v>
      </c>
      <c r="E2522" s="0" t="n">
        <f aca="false">VLOOKUP(B2522,'MSA-Lookup'!$H$2:$I$86,2)</f>
        <v>2840</v>
      </c>
      <c r="F2522" s="0" t="n">
        <f aca="false">IF(C2522&gt;1,IF(C2522&lt;99,VLOOKUP(C2522,'MSA-Lookup'!$H$1:$I$86,2),C2522),C2522)</f>
        <v>360</v>
      </c>
      <c r="G2522" s="0" t="n">
        <f aca="false">VLOOKUP(E2522,'MSA-Lookup'!$AA$1:$AB$25,2)</f>
        <v>2840</v>
      </c>
      <c r="H2522" s="0" t="n">
        <f aca="false">IF(C2522&gt;1,IF(C2522&lt;99,VLOOKUP(F2522,'MSA-Lookup'!$AA$1:$AB$25,2),C2522),C2522)</f>
        <v>4472</v>
      </c>
    </row>
    <row r="2523" customFormat="false" ht="12.75" hidden="false" customHeight="false" outlineLevel="0" collapsed="false">
      <c r="A2523" s="0" t="n">
        <f aca="false">B2523*1000+C2523</f>
        <v>41045</v>
      </c>
      <c r="B2523" s="0" t="n">
        <v>41</v>
      </c>
      <c r="C2523" s="0" t="n">
        <v>45</v>
      </c>
      <c r="D2523" s="0" t="n">
        <v>0</v>
      </c>
      <c r="E2523" s="0" t="n">
        <f aca="false">VLOOKUP(B2523,'MSA-Lookup'!$H$2:$I$86,2)</f>
        <v>2840</v>
      </c>
      <c r="F2523" s="0" t="n">
        <f aca="false">IF(C2523&gt;1,IF(C2523&lt;99,VLOOKUP(C2523,'MSA-Lookup'!$H$1:$I$86,2),C2523),C2523)</f>
        <v>360</v>
      </c>
      <c r="G2523" s="0" t="n">
        <f aca="false">VLOOKUP(E2523,'MSA-Lookup'!$AA$1:$AB$25,2)</f>
        <v>2840</v>
      </c>
      <c r="H2523" s="0" t="n">
        <f aca="false">IF(C2523&gt;1,IF(C2523&lt;99,VLOOKUP(F2523,'MSA-Lookup'!$AA$1:$AB$25,2),C2523),C2523)</f>
        <v>4472</v>
      </c>
    </row>
    <row r="2524" customFormat="false" ht="12.75" hidden="false" customHeight="false" outlineLevel="0" collapsed="false">
      <c r="A2524" s="0" t="n">
        <f aca="false">B2524*1000+C2524</f>
        <v>41046</v>
      </c>
      <c r="B2524" s="0" t="n">
        <v>41</v>
      </c>
      <c r="C2524" s="0" t="n">
        <v>46</v>
      </c>
      <c r="D2524" s="0" t="n">
        <v>0</v>
      </c>
      <c r="E2524" s="0" t="n">
        <f aca="false">VLOOKUP(B2524,'MSA-Lookup'!$H$2:$I$86,2)</f>
        <v>2840</v>
      </c>
      <c r="F2524" s="0" t="n">
        <f aca="false">IF(C2524&gt;1,IF(C2524&lt;99,VLOOKUP(C2524,'MSA-Lookup'!$H$1:$I$86,2),C2524),C2524)</f>
        <v>360</v>
      </c>
      <c r="G2524" s="0" t="n">
        <f aca="false">VLOOKUP(E2524,'MSA-Lookup'!$AA$1:$AB$25,2)</f>
        <v>2840</v>
      </c>
      <c r="H2524" s="0" t="n">
        <f aca="false">IF(C2524&gt;1,IF(C2524&lt;99,VLOOKUP(F2524,'MSA-Lookup'!$AA$1:$AB$25,2),C2524),C2524)</f>
        <v>4472</v>
      </c>
    </row>
    <row r="2525" customFormat="false" ht="12.75" hidden="false" customHeight="false" outlineLevel="0" collapsed="false">
      <c r="A2525" s="0" t="n">
        <f aca="false">B2525*1000+C2525</f>
        <v>41047</v>
      </c>
      <c r="B2525" s="0" t="n">
        <v>41</v>
      </c>
      <c r="C2525" s="0" t="n">
        <v>47</v>
      </c>
      <c r="D2525" s="0" t="n">
        <v>0</v>
      </c>
      <c r="E2525" s="0" t="n">
        <f aca="false">VLOOKUP(B2525,'MSA-Lookup'!$H$2:$I$86,2)</f>
        <v>2840</v>
      </c>
      <c r="F2525" s="0" t="n">
        <f aca="false">IF(C2525&gt;1,IF(C2525&lt;99,VLOOKUP(C2525,'MSA-Lookup'!$H$1:$I$86,2),C2525),C2525)</f>
        <v>360</v>
      </c>
      <c r="G2525" s="0" t="n">
        <f aca="false">VLOOKUP(E2525,'MSA-Lookup'!$AA$1:$AB$25,2)</f>
        <v>2840</v>
      </c>
      <c r="H2525" s="0" t="n">
        <f aca="false">IF(C2525&gt;1,IF(C2525&lt;99,VLOOKUP(F2525,'MSA-Lookup'!$AA$1:$AB$25,2),C2525),C2525)</f>
        <v>4472</v>
      </c>
    </row>
    <row r="2526" customFormat="false" ht="12.75" hidden="false" customHeight="false" outlineLevel="0" collapsed="false">
      <c r="A2526" s="0" t="n">
        <f aca="false">B2526*1000+C2526</f>
        <v>41048</v>
      </c>
      <c r="B2526" s="0" t="n">
        <v>41</v>
      </c>
      <c r="C2526" s="0" t="n">
        <v>48</v>
      </c>
      <c r="D2526" s="0" t="n">
        <v>0</v>
      </c>
      <c r="E2526" s="0" t="n">
        <f aca="false">VLOOKUP(B2526,'MSA-Lookup'!$H$2:$I$86,2)</f>
        <v>2840</v>
      </c>
      <c r="F2526" s="0" t="n">
        <f aca="false">IF(C2526&gt;1,IF(C2526&lt;99,VLOOKUP(C2526,'MSA-Lookup'!$H$1:$I$86,2),C2526),C2526)</f>
        <v>360</v>
      </c>
      <c r="G2526" s="0" t="n">
        <f aca="false">VLOOKUP(E2526,'MSA-Lookup'!$AA$1:$AB$25,2)</f>
        <v>2840</v>
      </c>
      <c r="H2526" s="0" t="n">
        <f aca="false">IF(C2526&gt;1,IF(C2526&lt;99,VLOOKUP(F2526,'MSA-Lookup'!$AA$1:$AB$25,2),C2526),C2526)</f>
        <v>4472</v>
      </c>
    </row>
    <row r="2527" customFormat="false" ht="12.75" hidden="false" customHeight="false" outlineLevel="0" collapsed="false">
      <c r="A2527" s="0" t="n">
        <f aca="false">B2527*1000+C2527</f>
        <v>41049</v>
      </c>
      <c r="B2527" s="0" t="n">
        <v>41</v>
      </c>
      <c r="C2527" s="0" t="n">
        <v>49</v>
      </c>
      <c r="D2527" s="0" t="n">
        <v>0</v>
      </c>
      <c r="E2527" s="0" t="n">
        <f aca="false">VLOOKUP(B2527,'MSA-Lookup'!$H$2:$I$86,2)</f>
        <v>2840</v>
      </c>
      <c r="F2527" s="0" t="n">
        <f aca="false">IF(C2527&gt;1,IF(C2527&lt;99,VLOOKUP(C2527,'MSA-Lookup'!$H$1:$I$86,2),C2527),C2527)</f>
        <v>7400</v>
      </c>
      <c r="G2527" s="0" t="n">
        <f aca="false">VLOOKUP(E2527,'MSA-Lookup'!$AA$1:$AB$25,2)</f>
        <v>2840</v>
      </c>
      <c r="H2527" s="0" t="n">
        <f aca="false">IF(C2527&gt;1,IF(C2527&lt;99,VLOOKUP(F2527,'MSA-Lookup'!$AA$1:$AB$25,2),C2527),C2527)</f>
        <v>7362</v>
      </c>
    </row>
    <row r="2528" customFormat="false" ht="12.75" hidden="false" customHeight="false" outlineLevel="0" collapsed="false">
      <c r="A2528" s="0" t="n">
        <f aca="false">B2528*1000+C2528</f>
        <v>41050</v>
      </c>
      <c r="B2528" s="0" t="n">
        <v>41</v>
      </c>
      <c r="C2528" s="0" t="n">
        <v>50</v>
      </c>
      <c r="D2528" s="0" t="n">
        <v>0</v>
      </c>
      <c r="E2528" s="0" t="n">
        <f aca="false">VLOOKUP(B2528,'MSA-Lookup'!$H$2:$I$86,2)</f>
        <v>2840</v>
      </c>
      <c r="F2528" s="0" t="n">
        <f aca="false">IF(C2528&gt;1,IF(C2528&lt;99,VLOOKUP(C2528,'MSA-Lookup'!$H$1:$I$86,2),C2528),C2528)</f>
        <v>7400</v>
      </c>
      <c r="G2528" s="0" t="n">
        <f aca="false">VLOOKUP(E2528,'MSA-Lookup'!$AA$1:$AB$25,2)</f>
        <v>2840</v>
      </c>
      <c r="H2528" s="0" t="n">
        <f aca="false">IF(C2528&gt;1,IF(C2528&lt;99,VLOOKUP(F2528,'MSA-Lookup'!$AA$1:$AB$25,2),C2528),C2528)</f>
        <v>7362</v>
      </c>
    </row>
    <row r="2529" customFormat="false" ht="12.75" hidden="false" customHeight="false" outlineLevel="0" collapsed="false">
      <c r="A2529" s="0" t="n">
        <f aca="false">B2529*1000+C2529</f>
        <v>41051</v>
      </c>
      <c r="B2529" s="0" t="n">
        <v>41</v>
      </c>
      <c r="C2529" s="0" t="n">
        <v>51</v>
      </c>
      <c r="D2529" s="0" t="n">
        <v>0</v>
      </c>
      <c r="E2529" s="0" t="n">
        <f aca="false">VLOOKUP(B2529,'MSA-Lookup'!$H$2:$I$86,2)</f>
        <v>2840</v>
      </c>
      <c r="F2529" s="0" t="n">
        <f aca="false">IF(C2529&gt;1,IF(C2529&lt;99,VLOOKUP(C2529,'MSA-Lookup'!$H$1:$I$86,2),C2529),C2529)</f>
        <v>7400</v>
      </c>
      <c r="G2529" s="0" t="n">
        <f aca="false">VLOOKUP(E2529,'MSA-Lookup'!$AA$1:$AB$25,2)</f>
        <v>2840</v>
      </c>
      <c r="H2529" s="0" t="n">
        <f aca="false">IF(C2529&gt;1,IF(C2529&lt;99,VLOOKUP(F2529,'MSA-Lookup'!$AA$1:$AB$25,2),C2529),C2529)</f>
        <v>7362</v>
      </c>
    </row>
    <row r="2530" customFormat="false" ht="12.75" hidden="false" customHeight="false" outlineLevel="0" collapsed="false">
      <c r="A2530" s="0" t="n">
        <f aca="false">B2530*1000+C2530</f>
        <v>41052</v>
      </c>
      <c r="B2530" s="0" t="n">
        <v>41</v>
      </c>
      <c r="C2530" s="0" t="n">
        <v>52</v>
      </c>
      <c r="D2530" s="0" t="n">
        <v>0</v>
      </c>
      <c r="E2530" s="0" t="n">
        <f aca="false">VLOOKUP(B2530,'MSA-Lookup'!$H$2:$I$86,2)</f>
        <v>2840</v>
      </c>
      <c r="F2530" s="0" t="n">
        <f aca="false">IF(C2530&gt;1,IF(C2530&lt;99,VLOOKUP(C2530,'MSA-Lookup'!$H$1:$I$86,2),C2530),C2530)</f>
        <v>4480</v>
      </c>
      <c r="G2530" s="0" t="n">
        <f aca="false">VLOOKUP(E2530,'MSA-Lookup'!$AA$1:$AB$25,2)</f>
        <v>2840</v>
      </c>
      <c r="H2530" s="0" t="n">
        <f aca="false">IF(C2530&gt;1,IF(C2530&lt;99,VLOOKUP(F2530,'MSA-Lookup'!$AA$1:$AB$25,2),C2530),C2530)</f>
        <v>4472</v>
      </c>
    </row>
    <row r="2531" customFormat="false" ht="12.75" hidden="false" customHeight="false" outlineLevel="0" collapsed="false">
      <c r="A2531" s="0" t="n">
        <f aca="false">B2531*1000+C2531</f>
        <v>41053</v>
      </c>
      <c r="B2531" s="0" t="n">
        <v>41</v>
      </c>
      <c r="C2531" s="0" t="n">
        <v>53</v>
      </c>
      <c r="D2531" s="0" t="n">
        <v>0</v>
      </c>
      <c r="E2531" s="0" t="n">
        <f aca="false">VLOOKUP(B2531,'MSA-Lookup'!$H$2:$I$86,2)</f>
        <v>2840</v>
      </c>
      <c r="F2531" s="0" t="n">
        <f aca="false">IF(C2531&gt;1,IF(C2531&lt;99,VLOOKUP(C2531,'MSA-Lookup'!$H$1:$I$86,2),C2531),C2531)</f>
        <v>4480</v>
      </c>
      <c r="G2531" s="0" t="n">
        <f aca="false">VLOOKUP(E2531,'MSA-Lookup'!$AA$1:$AB$25,2)</f>
        <v>2840</v>
      </c>
      <c r="H2531" s="0" t="n">
        <f aca="false">IF(C2531&gt;1,IF(C2531&lt;99,VLOOKUP(F2531,'MSA-Lookup'!$AA$1:$AB$25,2),C2531),C2531)</f>
        <v>4472</v>
      </c>
    </row>
    <row r="2532" customFormat="false" ht="12.75" hidden="false" customHeight="false" outlineLevel="0" collapsed="false">
      <c r="A2532" s="0" t="n">
        <f aca="false">B2532*1000+C2532</f>
        <v>41054</v>
      </c>
      <c r="B2532" s="0" t="n">
        <v>41</v>
      </c>
      <c r="C2532" s="0" t="n">
        <v>54</v>
      </c>
      <c r="D2532" s="0" t="n">
        <v>0</v>
      </c>
      <c r="E2532" s="0" t="n">
        <f aca="false">VLOOKUP(B2532,'MSA-Lookup'!$H$2:$I$86,2)</f>
        <v>2840</v>
      </c>
      <c r="F2532" s="0" t="n">
        <f aca="false">IF(C2532&gt;1,IF(C2532&lt;99,VLOOKUP(C2532,'MSA-Lookup'!$H$1:$I$86,2),C2532),C2532)</f>
        <v>4480</v>
      </c>
      <c r="G2532" s="0" t="n">
        <f aca="false">VLOOKUP(E2532,'MSA-Lookup'!$AA$1:$AB$25,2)</f>
        <v>2840</v>
      </c>
      <c r="H2532" s="0" t="n">
        <f aca="false">IF(C2532&gt;1,IF(C2532&lt;99,VLOOKUP(F2532,'MSA-Lookup'!$AA$1:$AB$25,2),C2532),C2532)</f>
        <v>4472</v>
      </c>
    </row>
    <row r="2533" customFormat="false" ht="12.75" hidden="false" customHeight="false" outlineLevel="0" collapsed="false">
      <c r="A2533" s="0" t="n">
        <f aca="false">B2533*1000+C2533</f>
        <v>41055</v>
      </c>
      <c r="B2533" s="0" t="n">
        <v>41</v>
      </c>
      <c r="C2533" s="0" t="n">
        <v>55</v>
      </c>
      <c r="D2533" s="0" t="n">
        <v>0</v>
      </c>
      <c r="E2533" s="0" t="n">
        <f aca="false">VLOOKUP(B2533,'MSA-Lookup'!$H$2:$I$86,2)</f>
        <v>2840</v>
      </c>
      <c r="F2533" s="0" t="n">
        <f aca="false">IF(C2533&gt;1,IF(C2533&lt;99,VLOOKUP(C2533,'MSA-Lookup'!$H$1:$I$86,2),C2533),C2533)</f>
        <v>4480</v>
      </c>
      <c r="G2533" s="0" t="n">
        <f aca="false">VLOOKUP(E2533,'MSA-Lookup'!$AA$1:$AB$25,2)</f>
        <v>2840</v>
      </c>
      <c r="H2533" s="0" t="n">
        <f aca="false">IF(C2533&gt;1,IF(C2533&lt;99,VLOOKUP(F2533,'MSA-Lookup'!$AA$1:$AB$25,2),C2533),C2533)</f>
        <v>4472</v>
      </c>
    </row>
    <row r="2534" customFormat="false" ht="12.75" hidden="false" customHeight="false" outlineLevel="0" collapsed="false">
      <c r="A2534" s="0" t="n">
        <f aca="false">B2534*1000+C2534</f>
        <v>41056</v>
      </c>
      <c r="B2534" s="0" t="n">
        <v>41</v>
      </c>
      <c r="C2534" s="0" t="n">
        <v>56</v>
      </c>
      <c r="D2534" s="0" t="n">
        <v>0</v>
      </c>
      <c r="E2534" s="0" t="n">
        <f aca="false">VLOOKUP(B2534,'MSA-Lookup'!$H$2:$I$86,2)</f>
        <v>2840</v>
      </c>
      <c r="F2534" s="0" t="n">
        <f aca="false">IF(C2534&gt;1,IF(C2534&lt;99,VLOOKUP(C2534,'MSA-Lookup'!$H$1:$I$86,2),C2534),C2534)</f>
        <v>4480</v>
      </c>
      <c r="G2534" s="0" t="n">
        <f aca="false">VLOOKUP(E2534,'MSA-Lookup'!$AA$1:$AB$25,2)</f>
        <v>2840</v>
      </c>
      <c r="H2534" s="0" t="n">
        <f aca="false">IF(C2534&gt;1,IF(C2534&lt;99,VLOOKUP(F2534,'MSA-Lookup'!$AA$1:$AB$25,2),C2534),C2534)</f>
        <v>4472</v>
      </c>
    </row>
    <row r="2535" customFormat="false" ht="12.75" hidden="false" customHeight="false" outlineLevel="0" collapsed="false">
      <c r="A2535" s="0" t="n">
        <f aca="false">B2535*1000+C2535</f>
        <v>41057</v>
      </c>
      <c r="B2535" s="0" t="n">
        <v>41</v>
      </c>
      <c r="C2535" s="0" t="n">
        <v>57</v>
      </c>
      <c r="D2535" s="0" t="n">
        <v>0</v>
      </c>
      <c r="E2535" s="0" t="n">
        <f aca="false">VLOOKUP(B2535,'MSA-Lookup'!$H$2:$I$86,2)</f>
        <v>2840</v>
      </c>
      <c r="F2535" s="0" t="n">
        <f aca="false">IF(C2535&gt;1,IF(C2535&lt;99,VLOOKUP(C2535,'MSA-Lookup'!$H$1:$I$86,2),C2535),C2535)</f>
        <v>4480</v>
      </c>
      <c r="G2535" s="0" t="n">
        <f aca="false">VLOOKUP(E2535,'MSA-Lookup'!$AA$1:$AB$25,2)</f>
        <v>2840</v>
      </c>
      <c r="H2535" s="0" t="n">
        <f aca="false">IF(C2535&gt;1,IF(C2535&lt;99,VLOOKUP(F2535,'MSA-Lookup'!$AA$1:$AB$25,2),C2535),C2535)</f>
        <v>4472</v>
      </c>
    </row>
    <row r="2536" customFormat="false" ht="12.75" hidden="false" customHeight="false" outlineLevel="0" collapsed="false">
      <c r="A2536" s="0" t="n">
        <f aca="false">B2536*1000+C2536</f>
        <v>41059</v>
      </c>
      <c r="B2536" s="0" t="n">
        <v>41</v>
      </c>
      <c r="C2536" s="0" t="n">
        <v>59</v>
      </c>
      <c r="D2536" s="0" t="n">
        <v>0</v>
      </c>
      <c r="E2536" s="0" t="n">
        <f aca="false">VLOOKUP(B2536,'MSA-Lookup'!$H$2:$I$86,2)</f>
        <v>2840</v>
      </c>
      <c r="F2536" s="0" t="n">
        <f aca="false">IF(C2536&gt;1,IF(C2536&lt;99,VLOOKUP(C2536,'MSA-Lookup'!$H$1:$I$86,2),C2536),C2536)</f>
        <v>4480</v>
      </c>
      <c r="G2536" s="0" t="n">
        <f aca="false">VLOOKUP(E2536,'MSA-Lookup'!$AA$1:$AB$25,2)</f>
        <v>2840</v>
      </c>
      <c r="H2536" s="0" t="n">
        <f aca="false">IF(C2536&gt;1,IF(C2536&lt;99,VLOOKUP(F2536,'MSA-Lookup'!$AA$1:$AB$25,2),C2536),C2536)</f>
        <v>4472</v>
      </c>
    </row>
    <row r="2537" customFormat="false" ht="12.75" hidden="false" customHeight="false" outlineLevel="0" collapsed="false">
      <c r="A2537" s="0" t="n">
        <f aca="false">B2537*1000+C2537</f>
        <v>41060</v>
      </c>
      <c r="B2537" s="0" t="n">
        <v>41</v>
      </c>
      <c r="C2537" s="0" t="n">
        <v>60</v>
      </c>
      <c r="D2537" s="0" t="n">
        <v>0</v>
      </c>
      <c r="E2537" s="0" t="n">
        <f aca="false">VLOOKUP(B2537,'MSA-Lookup'!$H$2:$I$86,2)</f>
        <v>2840</v>
      </c>
      <c r="F2537" s="0" t="n">
        <f aca="false">IF(C2537&gt;1,IF(C2537&lt;99,VLOOKUP(C2537,'MSA-Lookup'!$H$1:$I$86,2),C2537),C2537)</f>
        <v>4480</v>
      </c>
      <c r="G2537" s="0" t="n">
        <f aca="false">VLOOKUP(E2537,'MSA-Lookup'!$AA$1:$AB$25,2)</f>
        <v>2840</v>
      </c>
      <c r="H2537" s="0" t="n">
        <f aca="false">IF(C2537&gt;1,IF(C2537&lt;99,VLOOKUP(F2537,'MSA-Lookup'!$AA$1:$AB$25,2),C2537),C2537)</f>
        <v>4472</v>
      </c>
    </row>
    <row r="2538" customFormat="false" ht="12.75" hidden="false" customHeight="false" outlineLevel="0" collapsed="false">
      <c r="A2538" s="0" t="n">
        <f aca="false">B2538*1000+C2538</f>
        <v>41062</v>
      </c>
      <c r="B2538" s="0" t="n">
        <v>41</v>
      </c>
      <c r="C2538" s="0" t="n">
        <v>62</v>
      </c>
      <c r="D2538" s="0" t="n">
        <v>0</v>
      </c>
      <c r="E2538" s="0" t="n">
        <f aca="false">VLOOKUP(B2538,'MSA-Lookup'!$H$2:$I$86,2)</f>
        <v>2840</v>
      </c>
      <c r="F2538" s="0" t="n">
        <f aca="false">IF(C2538&gt;1,IF(C2538&lt;99,VLOOKUP(C2538,'MSA-Lookup'!$H$1:$I$86,2),C2538),C2538)</f>
        <v>4480</v>
      </c>
      <c r="G2538" s="0" t="n">
        <f aca="false">VLOOKUP(E2538,'MSA-Lookup'!$AA$1:$AB$25,2)</f>
        <v>2840</v>
      </c>
      <c r="H2538" s="0" t="n">
        <f aca="false">IF(C2538&gt;1,IF(C2538&lt;99,VLOOKUP(F2538,'MSA-Lookup'!$AA$1:$AB$25,2),C2538),C2538)</f>
        <v>4472</v>
      </c>
    </row>
    <row r="2539" customFormat="false" ht="12.75" hidden="false" customHeight="false" outlineLevel="0" collapsed="false">
      <c r="A2539" s="0" t="n">
        <f aca="false">B2539*1000+C2539</f>
        <v>41063</v>
      </c>
      <c r="B2539" s="0" t="n">
        <v>41</v>
      </c>
      <c r="C2539" s="0" t="n">
        <v>63</v>
      </c>
      <c r="D2539" s="0" t="n">
        <v>0</v>
      </c>
      <c r="E2539" s="0" t="n">
        <f aca="false">VLOOKUP(B2539,'MSA-Lookup'!$H$2:$I$86,2)</f>
        <v>2840</v>
      </c>
      <c r="F2539" s="0" t="n">
        <f aca="false">IF(C2539&gt;1,IF(C2539&lt;99,VLOOKUP(C2539,'MSA-Lookup'!$H$1:$I$86,2),C2539),C2539)</f>
        <v>4480</v>
      </c>
      <c r="G2539" s="0" t="n">
        <f aca="false">VLOOKUP(E2539,'MSA-Lookup'!$AA$1:$AB$25,2)</f>
        <v>2840</v>
      </c>
      <c r="H2539" s="0" t="n">
        <f aca="false">IF(C2539&gt;1,IF(C2539&lt;99,VLOOKUP(F2539,'MSA-Lookup'!$AA$1:$AB$25,2),C2539),C2539)</f>
        <v>4472</v>
      </c>
    </row>
    <row r="2540" customFormat="false" ht="12.75" hidden="false" customHeight="false" outlineLevel="0" collapsed="false">
      <c r="A2540" s="0" t="n">
        <f aca="false">B2540*1000+C2540</f>
        <v>41064</v>
      </c>
      <c r="B2540" s="0" t="n">
        <v>41</v>
      </c>
      <c r="C2540" s="0" t="n">
        <v>64</v>
      </c>
      <c r="D2540" s="0" t="n">
        <v>299</v>
      </c>
      <c r="E2540" s="0" t="n">
        <f aca="false">VLOOKUP(B2540,'MSA-Lookup'!$H$2:$I$86,2)</f>
        <v>2840</v>
      </c>
      <c r="F2540" s="0" t="n">
        <f aca="false">IF(C2540&gt;1,IF(C2540&lt;99,VLOOKUP(C2540,'MSA-Lookup'!$H$1:$I$86,2),C2540),C2540)</f>
        <v>4480</v>
      </c>
      <c r="G2540" s="0" t="n">
        <f aca="false">VLOOKUP(E2540,'MSA-Lookup'!$AA$1:$AB$25,2)</f>
        <v>2840</v>
      </c>
      <c r="H2540" s="0" t="n">
        <f aca="false">IF(C2540&gt;1,IF(C2540&lt;99,VLOOKUP(F2540,'MSA-Lookup'!$AA$1:$AB$25,2),C2540),C2540)</f>
        <v>4472</v>
      </c>
    </row>
    <row r="2541" customFormat="false" ht="12.75" hidden="false" customHeight="false" outlineLevel="0" collapsed="false">
      <c r="A2541" s="0" t="n">
        <f aca="false">B2541*1000+C2541</f>
        <v>41065</v>
      </c>
      <c r="B2541" s="0" t="n">
        <v>41</v>
      </c>
      <c r="C2541" s="0" t="n">
        <v>65</v>
      </c>
      <c r="D2541" s="0" t="n">
        <v>182</v>
      </c>
      <c r="E2541" s="0" t="n">
        <f aca="false">VLOOKUP(B2541,'MSA-Lookup'!$H$2:$I$86,2)</f>
        <v>2840</v>
      </c>
      <c r="F2541" s="0" t="n">
        <f aca="false">IF(C2541&gt;1,IF(C2541&lt;99,VLOOKUP(C2541,'MSA-Lookup'!$H$1:$I$86,2),C2541),C2541)</f>
        <v>4480</v>
      </c>
      <c r="G2541" s="0" t="n">
        <f aca="false">VLOOKUP(E2541,'MSA-Lookup'!$AA$1:$AB$25,2)</f>
        <v>2840</v>
      </c>
      <c r="H2541" s="0" t="n">
        <f aca="false">IF(C2541&gt;1,IF(C2541&lt;99,VLOOKUP(F2541,'MSA-Lookup'!$AA$1:$AB$25,2),C2541),C2541)</f>
        <v>4472</v>
      </c>
    </row>
    <row r="2542" customFormat="false" ht="12.75" hidden="false" customHeight="false" outlineLevel="0" collapsed="false">
      <c r="A2542" s="0" t="n">
        <f aca="false">B2542*1000+C2542</f>
        <v>41066</v>
      </c>
      <c r="B2542" s="0" t="n">
        <v>41</v>
      </c>
      <c r="C2542" s="0" t="n">
        <v>66</v>
      </c>
      <c r="D2542" s="0" t="n">
        <v>0</v>
      </c>
      <c r="E2542" s="0" t="n">
        <f aca="false">VLOOKUP(B2542,'MSA-Lookup'!$H$2:$I$86,2)</f>
        <v>2840</v>
      </c>
      <c r="F2542" s="0" t="n">
        <f aca="false">IF(C2542&gt;1,IF(C2542&lt;99,VLOOKUP(C2542,'MSA-Lookup'!$H$1:$I$86,2),C2542),C2542)</f>
        <v>4480</v>
      </c>
      <c r="G2542" s="0" t="n">
        <f aca="false">VLOOKUP(E2542,'MSA-Lookup'!$AA$1:$AB$25,2)</f>
        <v>2840</v>
      </c>
      <c r="H2542" s="0" t="n">
        <f aca="false">IF(C2542&gt;1,IF(C2542&lt;99,VLOOKUP(F2542,'MSA-Lookup'!$AA$1:$AB$25,2),C2542),C2542)</f>
        <v>4472</v>
      </c>
    </row>
    <row r="2543" customFormat="false" ht="12.75" hidden="false" customHeight="false" outlineLevel="0" collapsed="false">
      <c r="A2543" s="0" t="n">
        <f aca="false">B2543*1000+C2543</f>
        <v>41067</v>
      </c>
      <c r="B2543" s="0" t="n">
        <v>41</v>
      </c>
      <c r="C2543" s="0" t="n">
        <v>67</v>
      </c>
      <c r="D2543" s="0" t="n">
        <v>0</v>
      </c>
      <c r="E2543" s="0" t="n">
        <f aca="false">VLOOKUP(B2543,'MSA-Lookup'!$H$2:$I$86,2)</f>
        <v>2840</v>
      </c>
      <c r="F2543" s="0" t="n">
        <f aca="false">IF(C2543&gt;1,IF(C2543&lt;99,VLOOKUP(C2543,'MSA-Lookup'!$H$1:$I$86,2),C2543),C2543)</f>
        <v>6000</v>
      </c>
      <c r="G2543" s="0" t="n">
        <f aca="false">VLOOKUP(E2543,'MSA-Lookup'!$AA$1:$AB$25,2)</f>
        <v>2840</v>
      </c>
      <c r="H2543" s="0" t="n">
        <f aca="false">IF(C2543&gt;1,IF(C2543&lt;99,VLOOKUP(F2543,'MSA-Lookup'!$AA$1:$AB$25,2),C2543),C2543)</f>
        <v>4472</v>
      </c>
    </row>
    <row r="2544" customFormat="false" ht="12.75" hidden="false" customHeight="false" outlineLevel="0" collapsed="false">
      <c r="A2544" s="0" t="n">
        <f aca="false">B2544*1000+C2544</f>
        <v>41069</v>
      </c>
      <c r="B2544" s="0" t="n">
        <v>41</v>
      </c>
      <c r="C2544" s="0" t="n">
        <v>69</v>
      </c>
      <c r="D2544" s="0" t="n">
        <v>130</v>
      </c>
      <c r="E2544" s="0" t="n">
        <f aca="false">VLOOKUP(B2544,'MSA-Lookup'!$H$2:$I$86,2)</f>
        <v>2840</v>
      </c>
      <c r="F2544" s="0" t="n">
        <f aca="false">IF(C2544&gt;1,IF(C2544&lt;99,VLOOKUP(C2544,'MSA-Lookup'!$H$1:$I$86,2),C2544),C2544)</f>
        <v>6780</v>
      </c>
      <c r="G2544" s="0" t="n">
        <f aca="false">VLOOKUP(E2544,'MSA-Lookup'!$AA$1:$AB$25,2)</f>
        <v>2840</v>
      </c>
      <c r="H2544" s="0" t="n">
        <f aca="false">IF(C2544&gt;1,IF(C2544&lt;99,VLOOKUP(F2544,'MSA-Lookup'!$AA$1:$AB$25,2),C2544),C2544)</f>
        <v>4472</v>
      </c>
    </row>
    <row r="2545" customFormat="false" ht="12.75" hidden="false" customHeight="false" outlineLevel="0" collapsed="false">
      <c r="A2545" s="0" t="n">
        <f aca="false">B2545*1000+C2545</f>
        <v>41071</v>
      </c>
      <c r="B2545" s="0" t="n">
        <v>41</v>
      </c>
      <c r="C2545" s="0" t="n">
        <v>71</v>
      </c>
      <c r="D2545" s="0" t="n">
        <v>0</v>
      </c>
      <c r="E2545" s="0" t="n">
        <f aca="false">VLOOKUP(B2545,'MSA-Lookup'!$H$2:$I$86,2)</f>
        <v>2840</v>
      </c>
      <c r="F2545" s="0" t="n">
        <f aca="false">IF(C2545&gt;1,IF(C2545&lt;99,VLOOKUP(C2545,'MSA-Lookup'!$H$1:$I$86,2),C2545),C2545)</f>
        <v>6780</v>
      </c>
      <c r="G2545" s="0" t="n">
        <f aca="false">VLOOKUP(E2545,'MSA-Lookup'!$AA$1:$AB$25,2)</f>
        <v>2840</v>
      </c>
      <c r="H2545" s="0" t="n">
        <f aca="false">IF(C2545&gt;1,IF(C2545&lt;99,VLOOKUP(F2545,'MSA-Lookup'!$AA$1:$AB$25,2),C2545),C2545)</f>
        <v>4472</v>
      </c>
    </row>
    <row r="2546" customFormat="false" ht="12.75" hidden="false" customHeight="false" outlineLevel="0" collapsed="false">
      <c r="A2546" s="0" t="n">
        <f aca="false">B2546*1000+C2546</f>
        <v>41072</v>
      </c>
      <c r="B2546" s="0" t="n">
        <v>41</v>
      </c>
      <c r="C2546" s="0" t="n">
        <v>72</v>
      </c>
      <c r="D2546" s="0" t="n">
        <v>0</v>
      </c>
      <c r="E2546" s="0" t="n">
        <f aca="false">VLOOKUP(B2546,'MSA-Lookup'!$H$2:$I$86,2)</f>
        <v>2840</v>
      </c>
      <c r="F2546" s="0" t="n">
        <f aca="false">IF(C2546&gt;1,IF(C2546&lt;99,VLOOKUP(C2546,'MSA-Lookup'!$H$1:$I$86,2),C2546),C2546)</f>
        <v>6780</v>
      </c>
      <c r="G2546" s="0" t="n">
        <f aca="false">VLOOKUP(E2546,'MSA-Lookup'!$AA$1:$AB$25,2)</f>
        <v>2840</v>
      </c>
      <c r="H2546" s="0" t="n">
        <f aca="false">IF(C2546&gt;1,IF(C2546&lt;99,VLOOKUP(F2546,'MSA-Lookup'!$AA$1:$AB$25,2),C2546),C2546)</f>
        <v>4472</v>
      </c>
    </row>
    <row r="2547" customFormat="false" ht="12.75" hidden="false" customHeight="false" outlineLevel="0" collapsed="false">
      <c r="A2547" s="0" t="n">
        <f aca="false">B2547*1000+C2547</f>
        <v>41073</v>
      </c>
      <c r="B2547" s="0" t="n">
        <v>41</v>
      </c>
      <c r="C2547" s="0" t="n">
        <v>73</v>
      </c>
      <c r="D2547" s="0" t="n">
        <v>0</v>
      </c>
      <c r="E2547" s="0" t="n">
        <f aca="false">VLOOKUP(B2547,'MSA-Lookup'!$H$2:$I$86,2)</f>
        <v>2840</v>
      </c>
      <c r="F2547" s="0" t="n">
        <f aca="false">IF(C2547&gt;1,IF(C2547&lt;99,VLOOKUP(C2547,'MSA-Lookup'!$H$1:$I$86,2),C2547),C2547)</f>
        <v>8720</v>
      </c>
      <c r="G2547" s="0" t="n">
        <f aca="false">VLOOKUP(E2547,'MSA-Lookup'!$AA$1:$AB$25,2)</f>
        <v>2840</v>
      </c>
      <c r="H2547" s="0" t="n">
        <f aca="false">IF(C2547&gt;1,IF(C2547&lt;99,VLOOKUP(F2547,'MSA-Lookup'!$AA$1:$AB$25,2),C2547),C2547)</f>
        <v>7362</v>
      </c>
    </row>
    <row r="2548" customFormat="false" ht="12.75" hidden="false" customHeight="false" outlineLevel="0" collapsed="false">
      <c r="A2548" s="0" t="n">
        <f aca="false">B2548*1000+C2548</f>
        <v>41075</v>
      </c>
      <c r="B2548" s="0" t="n">
        <v>41</v>
      </c>
      <c r="C2548" s="0" t="n">
        <v>75</v>
      </c>
      <c r="D2548" s="0" t="n">
        <v>2587</v>
      </c>
      <c r="E2548" s="0" t="n">
        <f aca="false">VLOOKUP(B2548,'MSA-Lookup'!$H$2:$I$86,2)</f>
        <v>2840</v>
      </c>
      <c r="F2548" s="0" t="n">
        <f aca="false">IF(C2548&gt;1,IF(C2548&lt;99,VLOOKUP(C2548,'MSA-Lookup'!$H$1:$I$86,2),C2548),C2548)</f>
        <v>8780</v>
      </c>
      <c r="G2548" s="0" t="n">
        <f aca="false">VLOOKUP(E2548,'MSA-Lookup'!$AA$1:$AB$25,2)</f>
        <v>2840</v>
      </c>
      <c r="H2548" s="0" t="n">
        <f aca="false">IF(C2548&gt;1,IF(C2548&lt;99,VLOOKUP(F2548,'MSA-Lookup'!$AA$1:$AB$25,2),C2548),C2548)</f>
        <v>8780</v>
      </c>
    </row>
    <row r="2549" customFormat="false" ht="12.75" hidden="false" customHeight="false" outlineLevel="0" collapsed="false">
      <c r="A2549" s="0" t="n">
        <f aca="false">B2549*1000+C2549</f>
        <v>41076</v>
      </c>
      <c r="B2549" s="0" t="n">
        <v>41</v>
      </c>
      <c r="C2549" s="0" t="n">
        <v>76</v>
      </c>
      <c r="D2549" s="0" t="n">
        <v>0</v>
      </c>
      <c r="E2549" s="0" t="n">
        <f aca="false">VLOOKUP(B2549,'MSA-Lookup'!$H$2:$I$86,2)</f>
        <v>2840</v>
      </c>
      <c r="F2549" s="0" t="n">
        <f aca="false">IF(C2549&gt;1,IF(C2549&lt;99,VLOOKUP(C2549,'MSA-Lookup'!$H$1:$I$86,2),C2549),C2549)</f>
        <v>7485</v>
      </c>
      <c r="G2549" s="0" t="n">
        <f aca="false">VLOOKUP(E2549,'MSA-Lookup'!$AA$1:$AB$25,2)</f>
        <v>2840</v>
      </c>
      <c r="H2549" s="0" t="n">
        <f aca="false">IF(C2549&gt;1,IF(C2549&lt;99,VLOOKUP(F2549,'MSA-Lookup'!$AA$1:$AB$25,2),C2549),C2549)</f>
        <v>7362</v>
      </c>
    </row>
    <row r="2550" customFormat="false" ht="12.75" hidden="false" customHeight="false" outlineLevel="0" collapsed="false">
      <c r="A2550" s="0" t="n">
        <f aca="false">B2550*1000+C2550</f>
        <v>41077</v>
      </c>
      <c r="B2550" s="0" t="n">
        <v>41</v>
      </c>
      <c r="C2550" s="0" t="n">
        <v>77</v>
      </c>
      <c r="D2550" s="0" t="n">
        <v>0</v>
      </c>
      <c r="E2550" s="0" t="n">
        <f aca="false">VLOOKUP(B2550,'MSA-Lookup'!$H$2:$I$86,2)</f>
        <v>2840</v>
      </c>
      <c r="F2550" s="0" t="n">
        <f aca="false">IF(C2550&gt;1,IF(C2550&lt;99,VLOOKUP(C2550,'MSA-Lookup'!$H$1:$I$86,2),C2550),C2550)</f>
        <v>9999</v>
      </c>
      <c r="G2550" s="0" t="n">
        <f aca="false">VLOOKUP(E2550,'MSA-Lookup'!$AA$1:$AB$25,2)</f>
        <v>2840</v>
      </c>
      <c r="H2550" s="0" t="n">
        <f aca="false">IF(C2550&gt;1,IF(C2550&lt;99,VLOOKUP(F2550,'MSA-Lookup'!$AA$1:$AB$25,2),C2550),C2550)</f>
        <v>9999</v>
      </c>
    </row>
    <row r="2551" customFormat="false" ht="12.75" hidden="false" customHeight="false" outlineLevel="0" collapsed="false">
      <c r="A2551" s="0" t="n">
        <f aca="false">B2551*1000+C2551</f>
        <v>41079</v>
      </c>
      <c r="B2551" s="0" t="n">
        <v>41</v>
      </c>
      <c r="C2551" s="0" t="n">
        <v>79</v>
      </c>
      <c r="D2551" s="0" t="n">
        <v>104</v>
      </c>
      <c r="E2551" s="0" t="n">
        <f aca="false">VLOOKUP(B2551,'MSA-Lookup'!$H$2:$I$86,2)</f>
        <v>2840</v>
      </c>
      <c r="F2551" s="0" t="n">
        <f aca="false">IF(C2551&gt;1,IF(C2551&lt;99,VLOOKUP(C2551,'MSA-Lookup'!$H$1:$I$86,2),C2551),C2551)</f>
        <v>680</v>
      </c>
      <c r="G2551" s="0" t="n">
        <f aca="false">VLOOKUP(E2551,'MSA-Lookup'!$AA$1:$AB$25,2)</f>
        <v>2840</v>
      </c>
      <c r="H2551" s="0" t="n">
        <f aca="false">IF(C2551&gt;1,IF(C2551&lt;99,VLOOKUP(F2551,'MSA-Lookup'!$AA$1:$AB$25,2),C2551),C2551)</f>
        <v>680</v>
      </c>
    </row>
    <row r="2552" customFormat="false" ht="12.75" hidden="false" customHeight="false" outlineLevel="0" collapsed="false">
      <c r="A2552" s="0" t="n">
        <f aca="false">B2552*1000+C2552</f>
        <v>41080</v>
      </c>
      <c r="B2552" s="0" t="n">
        <v>41</v>
      </c>
      <c r="C2552" s="0" t="n">
        <v>80</v>
      </c>
      <c r="D2552" s="0" t="n">
        <v>78</v>
      </c>
      <c r="E2552" s="0" t="n">
        <f aca="false">VLOOKUP(B2552,'MSA-Lookup'!$H$2:$I$86,2)</f>
        <v>2840</v>
      </c>
      <c r="F2552" s="0" t="n">
        <f aca="false">IF(C2552&gt;1,IF(C2552&lt;99,VLOOKUP(C2552,'MSA-Lookup'!$H$1:$I$86,2),C2552),C2552)</f>
        <v>9999</v>
      </c>
      <c r="G2552" s="0" t="n">
        <f aca="false">VLOOKUP(E2552,'MSA-Lookup'!$AA$1:$AB$25,2)</f>
        <v>2840</v>
      </c>
      <c r="H2552" s="0" t="n">
        <f aca="false">IF(C2552&gt;1,IF(C2552&lt;99,VLOOKUP(F2552,'MSA-Lookup'!$AA$1:$AB$25,2),C2552),C2552)</f>
        <v>9999</v>
      </c>
    </row>
    <row r="2553" customFormat="false" ht="12.75" hidden="false" customHeight="false" outlineLevel="0" collapsed="false">
      <c r="A2553" s="0" t="n">
        <f aca="false">B2553*1000+C2553</f>
        <v>41081</v>
      </c>
      <c r="B2553" s="0" t="n">
        <v>41</v>
      </c>
      <c r="C2553" s="0" t="n">
        <v>81</v>
      </c>
      <c r="D2553" s="0" t="n">
        <v>0</v>
      </c>
      <c r="E2553" s="0" t="n">
        <f aca="false">VLOOKUP(B2553,'MSA-Lookup'!$H$2:$I$86,2)</f>
        <v>2840</v>
      </c>
      <c r="F2553" s="0" t="n">
        <f aca="false">IF(C2553&gt;1,IF(C2553&lt;99,VLOOKUP(C2553,'MSA-Lookup'!$H$1:$I$86,2),C2553),C2553)</f>
        <v>6780</v>
      </c>
      <c r="G2553" s="0" t="n">
        <f aca="false">VLOOKUP(E2553,'MSA-Lookup'!$AA$1:$AB$25,2)</f>
        <v>2840</v>
      </c>
      <c r="H2553" s="0" t="n">
        <f aca="false">IF(C2553&gt;1,IF(C2553&lt;99,VLOOKUP(F2553,'MSA-Lookup'!$AA$1:$AB$25,2),C2553),C2553)</f>
        <v>4472</v>
      </c>
    </row>
    <row r="2554" customFormat="false" ht="12.75" hidden="false" customHeight="false" outlineLevel="0" collapsed="false">
      <c r="A2554" s="0" t="n">
        <f aca="false">B2554*1000+C2554</f>
        <v>41082</v>
      </c>
      <c r="B2554" s="0" t="n">
        <v>41</v>
      </c>
      <c r="C2554" s="0" t="n">
        <v>82</v>
      </c>
      <c r="D2554" s="0" t="n">
        <v>0</v>
      </c>
      <c r="E2554" s="0" t="n">
        <f aca="false">VLOOKUP(B2554,'MSA-Lookup'!$H$2:$I$86,2)</f>
        <v>2840</v>
      </c>
      <c r="F2554" s="0" t="n">
        <f aca="false">IF(C2554&gt;1,IF(C2554&lt;99,VLOOKUP(C2554,'MSA-Lookup'!$H$1:$I$86,2),C2554),C2554)</f>
        <v>6780</v>
      </c>
      <c r="G2554" s="0" t="n">
        <f aca="false">VLOOKUP(E2554,'MSA-Lookup'!$AA$1:$AB$25,2)</f>
        <v>2840</v>
      </c>
      <c r="H2554" s="0" t="n">
        <f aca="false">IF(C2554&gt;1,IF(C2554&lt;99,VLOOKUP(F2554,'MSA-Lookup'!$AA$1:$AB$25,2),C2554),C2554)</f>
        <v>4472</v>
      </c>
    </row>
    <row r="2555" customFormat="false" ht="12.75" hidden="false" customHeight="false" outlineLevel="0" collapsed="false">
      <c r="A2555" s="0" t="n">
        <f aca="false">B2555*1000+C2555</f>
        <v>41083</v>
      </c>
      <c r="B2555" s="0" t="n">
        <v>41</v>
      </c>
      <c r="C2555" s="0" t="n">
        <v>83</v>
      </c>
      <c r="D2555" s="0" t="n">
        <v>0</v>
      </c>
      <c r="E2555" s="0" t="n">
        <f aca="false">VLOOKUP(B2555,'MSA-Lookup'!$H$2:$I$86,2)</f>
        <v>2840</v>
      </c>
      <c r="F2555" s="0" t="n">
        <f aca="false">IF(C2555&gt;1,IF(C2555&lt;99,VLOOKUP(C2555,'MSA-Lookup'!$H$1:$I$86,2),C2555),C2555)</f>
        <v>6000</v>
      </c>
      <c r="G2555" s="0" t="n">
        <f aca="false">VLOOKUP(E2555,'MSA-Lookup'!$AA$1:$AB$25,2)</f>
        <v>2840</v>
      </c>
      <c r="H2555" s="0" t="n">
        <f aca="false">IF(C2555&gt;1,IF(C2555&lt;99,VLOOKUP(F2555,'MSA-Lookup'!$AA$1:$AB$25,2),C2555),C2555)</f>
        <v>4472</v>
      </c>
    </row>
    <row r="2556" customFormat="false" ht="12.75" hidden="false" customHeight="false" outlineLevel="0" collapsed="false">
      <c r="A2556" s="0" t="n">
        <f aca="false">B2556*1000+C2556</f>
        <v>41084</v>
      </c>
      <c r="B2556" s="0" t="n">
        <v>41</v>
      </c>
      <c r="C2556" s="0" t="n">
        <v>84</v>
      </c>
      <c r="D2556" s="0" t="n">
        <v>0</v>
      </c>
      <c r="E2556" s="0" t="n">
        <f aca="false">VLOOKUP(B2556,'MSA-Lookup'!$H$2:$I$86,2)</f>
        <v>2840</v>
      </c>
      <c r="F2556" s="0" t="n">
        <f aca="false">IF(C2556&gt;1,IF(C2556&lt;99,VLOOKUP(C2556,'MSA-Lookup'!$H$1:$I$86,2),C2556),C2556)</f>
        <v>360</v>
      </c>
      <c r="G2556" s="0" t="n">
        <f aca="false">VLOOKUP(E2556,'MSA-Lookup'!$AA$1:$AB$25,2)</f>
        <v>2840</v>
      </c>
      <c r="H2556" s="0" t="n">
        <f aca="false">IF(C2556&gt;1,IF(C2556&lt;99,VLOOKUP(F2556,'MSA-Lookup'!$AA$1:$AB$25,2),C2556),C2556)</f>
        <v>4472</v>
      </c>
    </row>
    <row r="2557" customFormat="false" ht="12.75" hidden="false" customHeight="false" outlineLevel="0" collapsed="false">
      <c r="A2557" s="0" t="n">
        <f aca="false">B2557*1000+C2557</f>
        <v>41085</v>
      </c>
      <c r="B2557" s="0" t="n">
        <v>41</v>
      </c>
      <c r="C2557" s="0" t="n">
        <v>85</v>
      </c>
      <c r="D2557" s="0" t="n">
        <v>0</v>
      </c>
      <c r="E2557" s="0" t="n">
        <f aca="false">VLOOKUP(B2557,'MSA-Lookup'!$H$2:$I$86,2)</f>
        <v>2840</v>
      </c>
      <c r="F2557" s="0" t="n">
        <f aca="false">IF(C2557&gt;1,IF(C2557&lt;99,VLOOKUP(C2557,'MSA-Lookup'!$H$1:$I$86,2),C2557),C2557)</f>
        <v>8120</v>
      </c>
      <c r="G2557" s="0" t="n">
        <f aca="false">VLOOKUP(E2557,'MSA-Lookup'!$AA$1:$AB$25,2)</f>
        <v>2840</v>
      </c>
      <c r="H2557" s="0" t="n">
        <f aca="false">IF(C2557&gt;1,IF(C2557&lt;99,VLOOKUP(F2557,'MSA-Lookup'!$AA$1:$AB$25,2),C2557),C2557)</f>
        <v>8120</v>
      </c>
    </row>
    <row r="2558" customFormat="false" ht="12.75" hidden="false" customHeight="false" outlineLevel="0" collapsed="false">
      <c r="A2558" s="0" t="n">
        <f aca="false">B2558*1000+C2558</f>
        <v>41858</v>
      </c>
      <c r="B2558" s="0" t="n">
        <v>41</v>
      </c>
      <c r="C2558" s="0" t="n">
        <v>858</v>
      </c>
      <c r="D2558" s="0" t="n">
        <v>0</v>
      </c>
      <c r="E2558" s="0" t="n">
        <f aca="false">VLOOKUP(B2558,'MSA-Lookup'!$H$2:$I$86,2)</f>
        <v>2840</v>
      </c>
      <c r="F2558" s="0" t="n">
        <f aca="false">IF(C2558&gt;1,IF(C2558&lt;99,VLOOKUP(C2558,'MSA-Lookup'!$H$1:$I$86,2),C2558),C2558)</f>
        <v>858</v>
      </c>
      <c r="G2558" s="0" t="n">
        <f aca="false">VLOOKUP(E2558,'MSA-Lookup'!$AA$1:$AB$25,2)</f>
        <v>2840</v>
      </c>
      <c r="H2558" s="0" t="n">
        <f aca="false">IF(C2558&gt;1,IF(C2558&lt;99,VLOOKUP(F2558,'MSA-Lookup'!$AA$1:$AB$25,2),C2558),C2558)</f>
        <v>858</v>
      </c>
    </row>
    <row r="2559" customFormat="false" ht="12.75" hidden="false" customHeight="false" outlineLevel="0" collapsed="false">
      <c r="A2559" s="0" t="n">
        <f aca="false">B2559*1000+C2559</f>
        <v>41983</v>
      </c>
      <c r="B2559" s="0" t="n">
        <v>41</v>
      </c>
      <c r="C2559" s="0" t="n">
        <v>983</v>
      </c>
      <c r="D2559" s="0" t="n">
        <v>0</v>
      </c>
      <c r="E2559" s="0" t="n">
        <f aca="false">VLOOKUP(B2559,'MSA-Lookup'!$H$2:$I$86,2)</f>
        <v>2840</v>
      </c>
      <c r="F2559" s="0" t="n">
        <f aca="false">IF(C2559&gt;1,IF(C2559&lt;99,VLOOKUP(C2559,'MSA-Lookup'!$H$1:$I$86,2),C2559),C2559)</f>
        <v>983</v>
      </c>
      <c r="G2559" s="0" t="n">
        <f aca="false">VLOOKUP(E2559,'MSA-Lookup'!$AA$1:$AB$25,2)</f>
        <v>2840</v>
      </c>
      <c r="H2559" s="0" t="n">
        <f aca="false">IF(C2559&gt;1,IF(C2559&lt;99,VLOOKUP(F2559,'MSA-Lookup'!$AA$1:$AB$25,2),C2559),C2559)</f>
        <v>983</v>
      </c>
    </row>
    <row r="2560" customFormat="false" ht="12.75" hidden="false" customHeight="false" outlineLevel="0" collapsed="false">
      <c r="A2560" s="0" t="n">
        <f aca="false">B2560*1000+C2560</f>
        <v>41999</v>
      </c>
      <c r="B2560" s="0" t="n">
        <v>41</v>
      </c>
      <c r="C2560" s="0" t="n">
        <v>999</v>
      </c>
      <c r="D2560" s="0" t="n">
        <v>0</v>
      </c>
      <c r="E2560" s="0" t="n">
        <f aca="false">VLOOKUP(B2560,'MSA-Lookup'!$H$2:$I$86,2)</f>
        <v>2840</v>
      </c>
      <c r="F2560" s="0" t="n">
        <f aca="false">IF(C2560&gt;1,IF(C2560&lt;99,VLOOKUP(C2560,'MSA-Lookup'!$H$1:$I$86,2),C2560),C2560)</f>
        <v>999</v>
      </c>
      <c r="G2560" s="0" t="n">
        <f aca="false">VLOOKUP(E2560,'MSA-Lookup'!$AA$1:$AB$25,2)</f>
        <v>2840</v>
      </c>
      <c r="H2560" s="0" t="n">
        <f aca="false">IF(C2560&gt;1,IF(C2560&lt;99,VLOOKUP(F2560,'MSA-Lookup'!$AA$1:$AB$25,2),C2560),C2560)</f>
        <v>999</v>
      </c>
    </row>
    <row r="2561" customFormat="false" ht="12.75" hidden="false" customHeight="false" outlineLevel="0" collapsed="false">
      <c r="A2561" s="0" t="n">
        <f aca="false">B2561*1000+C2561</f>
        <v>42000</v>
      </c>
      <c r="B2561" s="0" t="n">
        <v>42</v>
      </c>
      <c r="C2561" s="0" t="n">
        <v>0</v>
      </c>
      <c r="D2561" s="0" t="n">
        <v>151931</v>
      </c>
      <c r="E2561" s="0" t="n">
        <f aca="false">VLOOKUP(B2561,'MSA-Lookup'!$H$2:$I$86,2)</f>
        <v>360</v>
      </c>
      <c r="F2561" s="0" t="n">
        <f aca="false">IF(C2561&gt;1,IF(C2561&lt;99,VLOOKUP(C2561,'MSA-Lookup'!$H$1:$I$86,2),C2561),C2561)</f>
        <v>0</v>
      </c>
      <c r="G2561" s="0" t="n">
        <f aca="false">VLOOKUP(E2561,'MSA-Lookup'!$AA$1:$AB$25,2)</f>
        <v>4472</v>
      </c>
      <c r="H2561" s="0" t="n">
        <f aca="false">IF(C2561&gt;1,IF(C2561&lt;99,VLOOKUP(F2561,'MSA-Lookup'!$AA$1:$AB$25,2),C2561),C2561)</f>
        <v>0</v>
      </c>
    </row>
    <row r="2562" customFormat="false" ht="12.75" hidden="false" customHeight="false" outlineLevel="0" collapsed="false">
      <c r="A2562" s="0" t="n">
        <f aca="false">B2562*1000+C2562</f>
        <v>42001</v>
      </c>
      <c r="B2562" s="0" t="n">
        <v>42</v>
      </c>
      <c r="C2562" s="0" t="n">
        <v>1</v>
      </c>
      <c r="D2562" s="0" t="n">
        <v>0</v>
      </c>
      <c r="E2562" s="0" t="n">
        <f aca="false">VLOOKUP(B2562,'MSA-Lookup'!$H$2:$I$86,2)</f>
        <v>360</v>
      </c>
      <c r="F2562" s="0" t="n">
        <f aca="false">IF(C2562&gt;1,IF(C2562&lt;99,VLOOKUP(C2562,'MSA-Lookup'!$H$1:$I$86,2),C2562),C2562)</f>
        <v>1</v>
      </c>
      <c r="G2562" s="0" t="n">
        <f aca="false">VLOOKUP(E2562,'MSA-Lookup'!$AA$1:$AB$25,2)</f>
        <v>4472</v>
      </c>
      <c r="H2562" s="0" t="n">
        <f aca="false">IF(C2562&gt;1,IF(C2562&lt;99,VLOOKUP(F2562,'MSA-Lookup'!$AA$1:$AB$25,2),C2562),C2562)</f>
        <v>1</v>
      </c>
    </row>
    <row r="2563" customFormat="false" ht="12.75" hidden="false" customHeight="false" outlineLevel="0" collapsed="false">
      <c r="A2563" s="0" t="n">
        <f aca="false">B2563*1000+C2563</f>
        <v>42002</v>
      </c>
      <c r="B2563" s="0" t="n">
        <v>42</v>
      </c>
      <c r="C2563" s="0" t="n">
        <v>2</v>
      </c>
      <c r="D2563" s="0" t="n">
        <v>0</v>
      </c>
      <c r="E2563" s="0" t="n">
        <f aca="false">VLOOKUP(B2563,'MSA-Lookup'!$H$2:$I$86,2)</f>
        <v>360</v>
      </c>
      <c r="F2563" s="0" t="n">
        <f aca="false">IF(C2563&gt;1,IF(C2563&lt;99,VLOOKUP(C2563,'MSA-Lookup'!$H$1:$I$86,2),C2563),C2563)</f>
        <v>9999</v>
      </c>
      <c r="G2563" s="0" t="n">
        <f aca="false">VLOOKUP(E2563,'MSA-Lookup'!$AA$1:$AB$25,2)</f>
        <v>4472</v>
      </c>
      <c r="H2563" s="0" t="n">
        <f aca="false">IF(C2563&gt;1,IF(C2563&lt;99,VLOOKUP(F2563,'MSA-Lookup'!$AA$1:$AB$25,2),C2563),C2563)</f>
        <v>9999</v>
      </c>
    </row>
    <row r="2564" customFormat="false" ht="12.75" hidden="false" customHeight="false" outlineLevel="0" collapsed="false">
      <c r="A2564" s="0" t="n">
        <f aca="false">B2564*1000+C2564</f>
        <v>42003</v>
      </c>
      <c r="B2564" s="0" t="n">
        <v>42</v>
      </c>
      <c r="C2564" s="0" t="n">
        <v>3</v>
      </c>
      <c r="D2564" s="0" t="n">
        <v>0</v>
      </c>
      <c r="E2564" s="0" t="n">
        <f aca="false">VLOOKUP(B2564,'MSA-Lookup'!$H$2:$I$86,2)</f>
        <v>360</v>
      </c>
      <c r="F2564" s="0" t="n">
        <f aca="false">IF(C2564&gt;1,IF(C2564&lt;99,VLOOKUP(C2564,'MSA-Lookup'!$H$1:$I$86,2),C2564),C2564)</f>
        <v>6690</v>
      </c>
      <c r="G2564" s="0" t="n">
        <f aca="false">VLOOKUP(E2564,'MSA-Lookup'!$AA$1:$AB$25,2)</f>
        <v>4472</v>
      </c>
      <c r="H2564" s="0" t="n">
        <f aca="false">IF(C2564&gt;1,IF(C2564&lt;99,VLOOKUP(F2564,'MSA-Lookup'!$AA$1:$AB$25,2),C2564),C2564)</f>
        <v>6690</v>
      </c>
    </row>
    <row r="2565" customFormat="false" ht="12.75" hidden="false" customHeight="false" outlineLevel="0" collapsed="false">
      <c r="A2565" s="0" t="n">
        <f aca="false">B2565*1000+C2565</f>
        <v>42004</v>
      </c>
      <c r="B2565" s="0" t="n">
        <v>42</v>
      </c>
      <c r="C2565" s="0" t="n">
        <v>4</v>
      </c>
      <c r="D2565" s="0" t="n">
        <v>0</v>
      </c>
      <c r="E2565" s="0" t="n">
        <f aca="false">VLOOKUP(B2565,'MSA-Lookup'!$H$2:$I$86,2)</f>
        <v>360</v>
      </c>
      <c r="F2565" s="0" t="n">
        <f aca="false">IF(C2565&gt;1,IF(C2565&lt;99,VLOOKUP(C2565,'MSA-Lookup'!$H$1:$I$86,2),C2565),C2565)</f>
        <v>9999</v>
      </c>
      <c r="G2565" s="0" t="n">
        <f aca="false">VLOOKUP(E2565,'MSA-Lookup'!$AA$1:$AB$25,2)</f>
        <v>4472</v>
      </c>
      <c r="H2565" s="0" t="n">
        <f aca="false">IF(C2565&gt;1,IF(C2565&lt;99,VLOOKUP(F2565,'MSA-Lookup'!$AA$1:$AB$25,2),C2565),C2565)</f>
        <v>9999</v>
      </c>
    </row>
    <row r="2566" customFormat="false" ht="12.75" hidden="false" customHeight="false" outlineLevel="0" collapsed="false">
      <c r="A2566" s="0" t="n">
        <f aca="false">B2566*1000+C2566</f>
        <v>42005</v>
      </c>
      <c r="B2566" s="0" t="n">
        <v>42</v>
      </c>
      <c r="C2566" s="0" t="n">
        <v>5</v>
      </c>
      <c r="D2566" s="0" t="n">
        <v>0</v>
      </c>
      <c r="E2566" s="0" t="n">
        <f aca="false">VLOOKUP(B2566,'MSA-Lookup'!$H$2:$I$86,2)</f>
        <v>360</v>
      </c>
      <c r="F2566" s="0" t="n">
        <f aca="false">IF(C2566&gt;1,IF(C2566&lt;99,VLOOKUP(C2566,'MSA-Lookup'!$H$1:$I$86,2),C2566),C2566)</f>
        <v>9999</v>
      </c>
      <c r="G2566" s="0" t="n">
        <f aca="false">VLOOKUP(E2566,'MSA-Lookup'!$AA$1:$AB$25,2)</f>
        <v>4472</v>
      </c>
      <c r="H2566" s="0" t="n">
        <f aca="false">IF(C2566&gt;1,IF(C2566&lt;99,VLOOKUP(F2566,'MSA-Lookup'!$AA$1:$AB$25,2),C2566),C2566)</f>
        <v>9999</v>
      </c>
    </row>
    <row r="2567" customFormat="false" ht="12.75" hidden="false" customHeight="false" outlineLevel="0" collapsed="false">
      <c r="A2567" s="0" t="n">
        <f aca="false">B2567*1000+C2567</f>
        <v>42006</v>
      </c>
      <c r="B2567" s="0" t="n">
        <v>42</v>
      </c>
      <c r="C2567" s="0" t="n">
        <v>6</v>
      </c>
      <c r="D2567" s="0" t="n">
        <v>78</v>
      </c>
      <c r="E2567" s="0" t="n">
        <f aca="false">VLOOKUP(B2567,'MSA-Lookup'!$H$2:$I$86,2)</f>
        <v>360</v>
      </c>
      <c r="F2567" s="0" t="n">
        <f aca="false">IF(C2567&gt;1,IF(C2567&lt;99,VLOOKUP(C2567,'MSA-Lookup'!$H$1:$I$86,2),C2567),C2567)</f>
        <v>1620</v>
      </c>
      <c r="G2567" s="0" t="n">
        <f aca="false">VLOOKUP(E2567,'MSA-Lookup'!$AA$1:$AB$25,2)</f>
        <v>4472</v>
      </c>
      <c r="H2567" s="0" t="n">
        <f aca="false">IF(C2567&gt;1,IF(C2567&lt;99,VLOOKUP(F2567,'MSA-Lookup'!$AA$1:$AB$25,2),C2567),C2567)</f>
        <v>1620</v>
      </c>
    </row>
    <row r="2568" customFormat="false" ht="12.75" hidden="false" customHeight="false" outlineLevel="0" collapsed="false">
      <c r="A2568" s="0" t="n">
        <f aca="false">B2568*1000+C2568</f>
        <v>42007</v>
      </c>
      <c r="B2568" s="0" t="n">
        <v>42</v>
      </c>
      <c r="C2568" s="0" t="n">
        <v>7</v>
      </c>
      <c r="D2568" s="0" t="n">
        <v>0</v>
      </c>
      <c r="E2568" s="0" t="n">
        <f aca="false">VLOOKUP(B2568,'MSA-Lookup'!$H$2:$I$86,2)</f>
        <v>360</v>
      </c>
      <c r="F2568" s="0" t="n">
        <f aca="false">IF(C2568&gt;1,IF(C2568&lt;99,VLOOKUP(C2568,'MSA-Lookup'!$H$1:$I$86,2),C2568),C2568)</f>
        <v>9999</v>
      </c>
      <c r="G2568" s="0" t="n">
        <f aca="false">VLOOKUP(E2568,'MSA-Lookup'!$AA$1:$AB$25,2)</f>
        <v>4472</v>
      </c>
      <c r="H2568" s="0" t="n">
        <f aca="false">IF(C2568&gt;1,IF(C2568&lt;99,VLOOKUP(F2568,'MSA-Lookup'!$AA$1:$AB$25,2),C2568),C2568)</f>
        <v>9999</v>
      </c>
    </row>
    <row r="2569" customFormat="false" ht="12.75" hidden="false" customHeight="false" outlineLevel="0" collapsed="false">
      <c r="A2569" s="0" t="n">
        <f aca="false">B2569*1000+C2569</f>
        <v>42008</v>
      </c>
      <c r="B2569" s="0" t="n">
        <v>42</v>
      </c>
      <c r="C2569" s="0" t="n">
        <v>8</v>
      </c>
      <c r="D2569" s="0" t="n">
        <v>0</v>
      </c>
      <c r="E2569" s="0" t="n">
        <f aca="false">VLOOKUP(B2569,'MSA-Lookup'!$H$2:$I$86,2)</f>
        <v>360</v>
      </c>
      <c r="F2569" s="0" t="n">
        <f aca="false">IF(C2569&gt;1,IF(C2569&lt;99,VLOOKUP(C2569,'MSA-Lookup'!$H$1:$I$86,2),C2569),C2569)</f>
        <v>9340</v>
      </c>
      <c r="G2569" s="0" t="n">
        <f aca="false">VLOOKUP(E2569,'MSA-Lookup'!$AA$1:$AB$25,2)</f>
        <v>4472</v>
      </c>
      <c r="H2569" s="0" t="n">
        <f aca="false">IF(C2569&gt;1,IF(C2569&lt;99,VLOOKUP(F2569,'MSA-Lookup'!$AA$1:$AB$25,2),C2569),C2569)</f>
        <v>9340</v>
      </c>
    </row>
    <row r="2570" customFormat="false" ht="12.75" hidden="false" customHeight="false" outlineLevel="0" collapsed="false">
      <c r="A2570" s="0" t="n">
        <f aca="false">B2570*1000+C2570</f>
        <v>42009</v>
      </c>
      <c r="B2570" s="0" t="n">
        <v>42</v>
      </c>
      <c r="C2570" s="0" t="n">
        <v>9</v>
      </c>
      <c r="D2570" s="0" t="n">
        <v>65</v>
      </c>
      <c r="E2570" s="0" t="n">
        <f aca="false">VLOOKUP(B2570,'MSA-Lookup'!$H$2:$I$86,2)</f>
        <v>360</v>
      </c>
      <c r="F2570" s="0" t="n">
        <f aca="false">IF(C2570&gt;1,IF(C2570&lt;99,VLOOKUP(C2570,'MSA-Lookup'!$H$1:$I$86,2),C2570),C2570)</f>
        <v>8720</v>
      </c>
      <c r="G2570" s="0" t="n">
        <f aca="false">VLOOKUP(E2570,'MSA-Lookup'!$AA$1:$AB$25,2)</f>
        <v>4472</v>
      </c>
      <c r="H2570" s="0" t="n">
        <f aca="false">IF(C2570&gt;1,IF(C2570&lt;99,VLOOKUP(F2570,'MSA-Lookup'!$AA$1:$AB$25,2),C2570),C2570)</f>
        <v>7362</v>
      </c>
    </row>
    <row r="2571" customFormat="false" ht="12.75" hidden="false" customHeight="false" outlineLevel="0" collapsed="false">
      <c r="A2571" s="0" t="n">
        <f aca="false">B2571*1000+C2571</f>
        <v>42010</v>
      </c>
      <c r="B2571" s="0" t="n">
        <v>42</v>
      </c>
      <c r="C2571" s="0" t="n">
        <v>10</v>
      </c>
      <c r="D2571" s="0" t="n">
        <v>0</v>
      </c>
      <c r="E2571" s="0" t="n">
        <f aca="false">VLOOKUP(B2571,'MSA-Lookup'!$H$2:$I$86,2)</f>
        <v>360</v>
      </c>
      <c r="F2571" s="0" t="n">
        <f aca="false">IF(C2571&gt;1,IF(C2571&lt;99,VLOOKUP(C2571,'MSA-Lookup'!$H$1:$I$86,2),C2571),C2571)</f>
        <v>6920</v>
      </c>
      <c r="G2571" s="0" t="n">
        <f aca="false">VLOOKUP(E2571,'MSA-Lookup'!$AA$1:$AB$25,2)</f>
        <v>4472</v>
      </c>
      <c r="H2571" s="0" t="n">
        <f aca="false">IF(C2571&gt;1,IF(C2571&lt;99,VLOOKUP(F2571,'MSA-Lookup'!$AA$1:$AB$25,2),C2571),C2571)</f>
        <v>6920</v>
      </c>
    </row>
    <row r="2572" customFormat="false" ht="12.75" hidden="false" customHeight="false" outlineLevel="0" collapsed="false">
      <c r="A2572" s="0" t="n">
        <f aca="false">B2572*1000+C2572</f>
        <v>42011</v>
      </c>
      <c r="B2572" s="0" t="n">
        <v>42</v>
      </c>
      <c r="C2572" s="0" t="n">
        <v>11</v>
      </c>
      <c r="D2572" s="0" t="n">
        <v>0</v>
      </c>
      <c r="E2572" s="0" t="n">
        <f aca="false">VLOOKUP(B2572,'MSA-Lookup'!$H$2:$I$86,2)</f>
        <v>360</v>
      </c>
      <c r="F2572" s="0" t="n">
        <f aca="false">IF(C2572&gt;1,IF(C2572&lt;99,VLOOKUP(C2572,'MSA-Lookup'!$H$1:$I$86,2),C2572),C2572)</f>
        <v>6920</v>
      </c>
      <c r="G2572" s="0" t="n">
        <f aca="false">VLOOKUP(E2572,'MSA-Lookup'!$AA$1:$AB$25,2)</f>
        <v>4472</v>
      </c>
      <c r="H2572" s="0" t="n">
        <f aca="false">IF(C2572&gt;1,IF(C2572&lt;99,VLOOKUP(F2572,'MSA-Lookup'!$AA$1:$AB$25,2),C2572),C2572)</f>
        <v>6920</v>
      </c>
    </row>
    <row r="2573" customFormat="false" ht="12.75" hidden="false" customHeight="false" outlineLevel="0" collapsed="false">
      <c r="A2573" s="0" t="n">
        <f aca="false">B2573*1000+C2573</f>
        <v>42012</v>
      </c>
      <c r="B2573" s="0" t="n">
        <v>42</v>
      </c>
      <c r="C2573" s="0" t="n">
        <v>12</v>
      </c>
      <c r="D2573" s="0" t="n">
        <v>0</v>
      </c>
      <c r="E2573" s="0" t="n">
        <f aca="false">VLOOKUP(B2573,'MSA-Lookup'!$H$2:$I$86,2)</f>
        <v>360</v>
      </c>
      <c r="F2573" s="0" t="n">
        <f aca="false">IF(C2573&gt;1,IF(C2573&lt;99,VLOOKUP(C2573,'MSA-Lookup'!$H$1:$I$86,2),C2573),C2573)</f>
        <v>6920</v>
      </c>
      <c r="G2573" s="0" t="n">
        <f aca="false">VLOOKUP(E2573,'MSA-Lookup'!$AA$1:$AB$25,2)</f>
        <v>4472</v>
      </c>
      <c r="H2573" s="0" t="n">
        <f aca="false">IF(C2573&gt;1,IF(C2573&lt;99,VLOOKUP(F2573,'MSA-Lookup'!$AA$1:$AB$25,2),C2573),C2573)</f>
        <v>6920</v>
      </c>
    </row>
    <row r="2574" customFormat="false" ht="12.75" hidden="false" customHeight="false" outlineLevel="0" collapsed="false">
      <c r="A2574" s="0" t="n">
        <f aca="false">B2574*1000+C2574</f>
        <v>42013</v>
      </c>
      <c r="B2574" s="0" t="n">
        <v>42</v>
      </c>
      <c r="C2574" s="0" t="n">
        <v>13</v>
      </c>
      <c r="D2574" s="0" t="n">
        <v>0</v>
      </c>
      <c r="E2574" s="0" t="n">
        <f aca="false">VLOOKUP(B2574,'MSA-Lookup'!$H$2:$I$86,2)</f>
        <v>360</v>
      </c>
      <c r="F2574" s="0" t="n">
        <f aca="false">IF(C2574&gt;1,IF(C2574&lt;99,VLOOKUP(C2574,'MSA-Lookup'!$H$1:$I$86,2),C2574),C2574)</f>
        <v>7500</v>
      </c>
      <c r="G2574" s="0" t="n">
        <f aca="false">VLOOKUP(E2574,'MSA-Lookup'!$AA$1:$AB$25,2)</f>
        <v>4472</v>
      </c>
      <c r="H2574" s="0" t="n">
        <f aca="false">IF(C2574&gt;1,IF(C2574&lt;99,VLOOKUP(F2574,'MSA-Lookup'!$AA$1:$AB$25,2),C2574),C2574)</f>
        <v>7362</v>
      </c>
    </row>
    <row r="2575" customFormat="false" ht="12.75" hidden="false" customHeight="false" outlineLevel="0" collapsed="false">
      <c r="A2575" s="0" t="n">
        <f aca="false">B2575*1000+C2575</f>
        <v>42014</v>
      </c>
      <c r="B2575" s="0" t="n">
        <v>42</v>
      </c>
      <c r="C2575" s="0" t="n">
        <v>14</v>
      </c>
      <c r="D2575" s="0" t="n">
        <v>0</v>
      </c>
      <c r="E2575" s="0" t="n">
        <f aca="false">VLOOKUP(B2575,'MSA-Lookup'!$H$2:$I$86,2)</f>
        <v>360</v>
      </c>
      <c r="F2575" s="0" t="n">
        <f aca="false">IF(C2575&gt;1,IF(C2575&lt;99,VLOOKUP(C2575,'MSA-Lookup'!$H$1:$I$86,2),C2575),C2575)</f>
        <v>7500</v>
      </c>
      <c r="G2575" s="0" t="n">
        <f aca="false">VLOOKUP(E2575,'MSA-Lookup'!$AA$1:$AB$25,2)</f>
        <v>4472</v>
      </c>
      <c r="H2575" s="0" t="n">
        <f aca="false">IF(C2575&gt;1,IF(C2575&lt;99,VLOOKUP(F2575,'MSA-Lookup'!$AA$1:$AB$25,2),C2575),C2575)</f>
        <v>7362</v>
      </c>
    </row>
    <row r="2576" customFormat="false" ht="12.75" hidden="false" customHeight="false" outlineLevel="0" collapsed="false">
      <c r="A2576" s="0" t="n">
        <f aca="false">B2576*1000+C2576</f>
        <v>42015</v>
      </c>
      <c r="B2576" s="0" t="n">
        <v>42</v>
      </c>
      <c r="C2576" s="0" t="n">
        <v>15</v>
      </c>
      <c r="D2576" s="0" t="n">
        <v>0</v>
      </c>
      <c r="E2576" s="0" t="n">
        <f aca="false">VLOOKUP(B2576,'MSA-Lookup'!$H$2:$I$86,2)</f>
        <v>360</v>
      </c>
      <c r="F2576" s="0" t="n">
        <f aca="false">IF(C2576&gt;1,IF(C2576&lt;99,VLOOKUP(C2576,'MSA-Lookup'!$H$1:$I$86,2),C2576),C2576)</f>
        <v>7360</v>
      </c>
      <c r="G2576" s="0" t="n">
        <f aca="false">VLOOKUP(E2576,'MSA-Lookup'!$AA$1:$AB$25,2)</f>
        <v>4472</v>
      </c>
      <c r="H2576" s="0" t="n">
        <f aca="false">IF(C2576&gt;1,IF(C2576&lt;99,VLOOKUP(F2576,'MSA-Lookup'!$AA$1:$AB$25,2),C2576),C2576)</f>
        <v>7362</v>
      </c>
    </row>
    <row r="2577" customFormat="false" ht="12.75" hidden="false" customHeight="false" outlineLevel="0" collapsed="false">
      <c r="A2577" s="0" t="n">
        <f aca="false">B2577*1000+C2577</f>
        <v>42016</v>
      </c>
      <c r="B2577" s="0" t="n">
        <v>42</v>
      </c>
      <c r="C2577" s="0" t="n">
        <v>16</v>
      </c>
      <c r="D2577" s="0" t="n">
        <v>0</v>
      </c>
      <c r="E2577" s="0" t="n">
        <f aca="false">VLOOKUP(B2577,'MSA-Lookup'!$H$2:$I$86,2)</f>
        <v>360</v>
      </c>
      <c r="F2577" s="0" t="n">
        <f aca="false">IF(C2577&gt;1,IF(C2577&lt;99,VLOOKUP(C2577,'MSA-Lookup'!$H$1:$I$86,2),C2577),C2577)</f>
        <v>8720</v>
      </c>
      <c r="G2577" s="0" t="n">
        <f aca="false">VLOOKUP(E2577,'MSA-Lookup'!$AA$1:$AB$25,2)</f>
        <v>4472</v>
      </c>
      <c r="H2577" s="0" t="n">
        <f aca="false">IF(C2577&gt;1,IF(C2577&lt;99,VLOOKUP(F2577,'MSA-Lookup'!$AA$1:$AB$25,2),C2577),C2577)</f>
        <v>7362</v>
      </c>
    </row>
    <row r="2578" customFormat="false" ht="12.75" hidden="false" customHeight="false" outlineLevel="0" collapsed="false">
      <c r="A2578" s="0" t="n">
        <f aca="false">B2578*1000+C2578</f>
        <v>42017</v>
      </c>
      <c r="B2578" s="0" t="n">
        <v>42</v>
      </c>
      <c r="C2578" s="0" t="n">
        <v>17</v>
      </c>
      <c r="D2578" s="0" t="n">
        <v>0</v>
      </c>
      <c r="E2578" s="0" t="n">
        <f aca="false">VLOOKUP(B2578,'MSA-Lookup'!$H$2:$I$86,2)</f>
        <v>360</v>
      </c>
      <c r="F2578" s="0" t="n">
        <f aca="false">IF(C2578&gt;1,IF(C2578&lt;99,VLOOKUP(C2578,'MSA-Lookup'!$H$1:$I$86,2),C2578),C2578)</f>
        <v>5775</v>
      </c>
      <c r="G2578" s="0" t="n">
        <f aca="false">VLOOKUP(E2578,'MSA-Lookup'!$AA$1:$AB$25,2)</f>
        <v>4472</v>
      </c>
      <c r="H2578" s="0" t="n">
        <f aca="false">IF(C2578&gt;1,IF(C2578&lt;99,VLOOKUP(F2578,'MSA-Lookup'!$AA$1:$AB$25,2),C2578),C2578)</f>
        <v>7362</v>
      </c>
    </row>
    <row r="2579" customFormat="false" ht="12.75" hidden="false" customHeight="false" outlineLevel="0" collapsed="false">
      <c r="A2579" s="0" t="n">
        <f aca="false">B2579*1000+C2579</f>
        <v>42018</v>
      </c>
      <c r="B2579" s="0" t="n">
        <v>42</v>
      </c>
      <c r="C2579" s="0" t="n">
        <v>18</v>
      </c>
      <c r="D2579" s="0" t="n">
        <v>0</v>
      </c>
      <c r="E2579" s="0" t="n">
        <f aca="false">VLOOKUP(B2579,'MSA-Lookup'!$H$2:$I$86,2)</f>
        <v>360</v>
      </c>
      <c r="F2579" s="0" t="n">
        <f aca="false">IF(C2579&gt;1,IF(C2579&lt;99,VLOOKUP(C2579,'MSA-Lookup'!$H$1:$I$86,2),C2579),C2579)</f>
        <v>5775</v>
      </c>
      <c r="G2579" s="0" t="n">
        <f aca="false">VLOOKUP(E2579,'MSA-Lookup'!$AA$1:$AB$25,2)</f>
        <v>4472</v>
      </c>
      <c r="H2579" s="0" t="n">
        <f aca="false">IF(C2579&gt;1,IF(C2579&lt;99,VLOOKUP(F2579,'MSA-Lookup'!$AA$1:$AB$25,2),C2579),C2579)</f>
        <v>7362</v>
      </c>
    </row>
    <row r="2580" customFormat="false" ht="12.75" hidden="false" customHeight="false" outlineLevel="0" collapsed="false">
      <c r="A2580" s="0" t="n">
        <f aca="false">B2580*1000+C2580</f>
        <v>42019</v>
      </c>
      <c r="B2580" s="0" t="n">
        <v>42</v>
      </c>
      <c r="C2580" s="0" t="n">
        <v>19</v>
      </c>
      <c r="D2580" s="0" t="n">
        <v>0</v>
      </c>
      <c r="E2580" s="0" t="n">
        <f aca="false">VLOOKUP(B2580,'MSA-Lookup'!$H$2:$I$86,2)</f>
        <v>360</v>
      </c>
      <c r="F2580" s="0" t="n">
        <f aca="false">IF(C2580&gt;1,IF(C2580&lt;99,VLOOKUP(C2580,'MSA-Lookup'!$H$1:$I$86,2),C2580),C2580)</f>
        <v>7360</v>
      </c>
      <c r="G2580" s="0" t="n">
        <f aca="false">VLOOKUP(E2580,'MSA-Lookup'!$AA$1:$AB$25,2)</f>
        <v>4472</v>
      </c>
      <c r="H2580" s="0" t="n">
        <f aca="false">IF(C2580&gt;1,IF(C2580&lt;99,VLOOKUP(F2580,'MSA-Lookup'!$AA$1:$AB$25,2),C2580),C2580)</f>
        <v>7362</v>
      </c>
    </row>
    <row r="2581" customFormat="false" ht="12.75" hidden="false" customHeight="false" outlineLevel="0" collapsed="false">
      <c r="A2581" s="0" t="n">
        <f aca="false">B2581*1000+C2581</f>
        <v>42020</v>
      </c>
      <c r="B2581" s="0" t="n">
        <v>42</v>
      </c>
      <c r="C2581" s="0" t="n">
        <v>20</v>
      </c>
      <c r="D2581" s="0" t="n">
        <v>0</v>
      </c>
      <c r="E2581" s="0" t="n">
        <f aca="false">VLOOKUP(B2581,'MSA-Lookup'!$H$2:$I$86,2)</f>
        <v>360</v>
      </c>
      <c r="F2581" s="0" t="n">
        <f aca="false">IF(C2581&gt;1,IF(C2581&lt;99,VLOOKUP(C2581,'MSA-Lookup'!$H$1:$I$86,2),C2581),C2581)</f>
        <v>5775</v>
      </c>
      <c r="G2581" s="0" t="n">
        <f aca="false">VLOOKUP(E2581,'MSA-Lookup'!$AA$1:$AB$25,2)</f>
        <v>4472</v>
      </c>
      <c r="H2581" s="0" t="n">
        <f aca="false">IF(C2581&gt;1,IF(C2581&lt;99,VLOOKUP(F2581,'MSA-Lookup'!$AA$1:$AB$25,2),C2581),C2581)</f>
        <v>7362</v>
      </c>
    </row>
    <row r="2582" customFormat="false" ht="12.75" hidden="false" customHeight="false" outlineLevel="0" collapsed="false">
      <c r="A2582" s="0" t="n">
        <f aca="false">B2582*1000+C2582</f>
        <v>42021</v>
      </c>
      <c r="B2582" s="0" t="n">
        <v>42</v>
      </c>
      <c r="C2582" s="0" t="n">
        <v>21</v>
      </c>
      <c r="D2582" s="0" t="n">
        <v>0</v>
      </c>
      <c r="E2582" s="0" t="n">
        <f aca="false">VLOOKUP(B2582,'MSA-Lookup'!$H$2:$I$86,2)</f>
        <v>360</v>
      </c>
      <c r="F2582" s="0" t="n">
        <f aca="false">IF(C2582&gt;1,IF(C2582&lt;99,VLOOKUP(C2582,'MSA-Lookup'!$H$1:$I$86,2),C2582),C2582)</f>
        <v>5775</v>
      </c>
      <c r="G2582" s="0" t="n">
        <f aca="false">VLOOKUP(E2582,'MSA-Lookup'!$AA$1:$AB$25,2)</f>
        <v>4472</v>
      </c>
      <c r="H2582" s="0" t="n">
        <f aca="false">IF(C2582&gt;1,IF(C2582&lt;99,VLOOKUP(F2582,'MSA-Lookup'!$AA$1:$AB$25,2),C2582),C2582)</f>
        <v>7362</v>
      </c>
    </row>
    <row r="2583" customFormat="false" ht="12.75" hidden="false" customHeight="false" outlineLevel="0" collapsed="false">
      <c r="A2583" s="0" t="n">
        <f aca="false">B2583*1000+C2583</f>
        <v>42022</v>
      </c>
      <c r="B2583" s="0" t="n">
        <v>42</v>
      </c>
      <c r="C2583" s="0" t="n">
        <v>22</v>
      </c>
      <c r="D2583" s="0" t="n">
        <v>0</v>
      </c>
      <c r="E2583" s="0" t="n">
        <f aca="false">VLOOKUP(B2583,'MSA-Lookup'!$H$2:$I$86,2)</f>
        <v>360</v>
      </c>
      <c r="F2583" s="0" t="n">
        <f aca="false">IF(C2583&gt;1,IF(C2583&lt;99,VLOOKUP(C2583,'MSA-Lookup'!$H$1:$I$86,2),C2583),C2583)</f>
        <v>7360</v>
      </c>
      <c r="G2583" s="0" t="n">
        <f aca="false">VLOOKUP(E2583,'MSA-Lookup'!$AA$1:$AB$25,2)</f>
        <v>4472</v>
      </c>
      <c r="H2583" s="0" t="n">
        <f aca="false">IF(C2583&gt;1,IF(C2583&lt;99,VLOOKUP(F2583,'MSA-Lookup'!$AA$1:$AB$25,2),C2583),C2583)</f>
        <v>7362</v>
      </c>
    </row>
    <row r="2584" customFormat="false" ht="12.75" hidden="false" customHeight="false" outlineLevel="0" collapsed="false">
      <c r="A2584" s="0" t="n">
        <f aca="false">B2584*1000+C2584</f>
        <v>42023</v>
      </c>
      <c r="B2584" s="0" t="n">
        <v>42</v>
      </c>
      <c r="C2584" s="0" t="n">
        <v>23</v>
      </c>
      <c r="D2584" s="0" t="n">
        <v>0</v>
      </c>
      <c r="E2584" s="0" t="n">
        <f aca="false">VLOOKUP(B2584,'MSA-Lookup'!$H$2:$I$86,2)</f>
        <v>360</v>
      </c>
      <c r="F2584" s="0" t="n">
        <f aca="false">IF(C2584&gt;1,IF(C2584&lt;99,VLOOKUP(C2584,'MSA-Lookup'!$H$1:$I$86,2),C2584),C2584)</f>
        <v>8120</v>
      </c>
      <c r="G2584" s="0" t="n">
        <f aca="false">VLOOKUP(E2584,'MSA-Lookup'!$AA$1:$AB$25,2)</f>
        <v>4472</v>
      </c>
      <c r="H2584" s="0" t="n">
        <f aca="false">IF(C2584&gt;1,IF(C2584&lt;99,VLOOKUP(F2584,'MSA-Lookup'!$AA$1:$AB$25,2),C2584),C2584)</f>
        <v>8120</v>
      </c>
    </row>
    <row r="2585" customFormat="false" ht="12.75" hidden="false" customHeight="false" outlineLevel="0" collapsed="false">
      <c r="A2585" s="0" t="n">
        <f aca="false">B2585*1000+C2585</f>
        <v>42024</v>
      </c>
      <c r="B2585" s="0" t="n">
        <v>42</v>
      </c>
      <c r="C2585" s="0" t="n">
        <v>24</v>
      </c>
      <c r="D2585" s="0" t="n">
        <v>0</v>
      </c>
      <c r="E2585" s="0" t="n">
        <f aca="false">VLOOKUP(B2585,'MSA-Lookup'!$H$2:$I$86,2)</f>
        <v>360</v>
      </c>
      <c r="F2585" s="0" t="n">
        <f aca="false">IF(C2585&gt;1,IF(C2585&lt;99,VLOOKUP(C2585,'MSA-Lookup'!$H$1:$I$86,2),C2585),C2585)</f>
        <v>5170</v>
      </c>
      <c r="G2585" s="0" t="n">
        <f aca="false">VLOOKUP(E2585,'MSA-Lookup'!$AA$1:$AB$25,2)</f>
        <v>4472</v>
      </c>
      <c r="H2585" s="0" t="n">
        <f aca="false">IF(C2585&gt;1,IF(C2585&lt;99,VLOOKUP(F2585,'MSA-Lookup'!$AA$1:$AB$25,2),C2585),C2585)</f>
        <v>5170</v>
      </c>
    </row>
    <row r="2586" customFormat="false" ht="12.75" hidden="false" customHeight="false" outlineLevel="0" collapsed="false">
      <c r="A2586" s="0" t="n">
        <f aca="false">B2586*1000+C2586</f>
        <v>42025</v>
      </c>
      <c r="B2586" s="0" t="n">
        <v>42</v>
      </c>
      <c r="C2586" s="0" t="n">
        <v>25</v>
      </c>
      <c r="D2586" s="0" t="n">
        <v>0</v>
      </c>
      <c r="E2586" s="0" t="n">
        <f aca="false">VLOOKUP(B2586,'MSA-Lookup'!$H$2:$I$86,2)</f>
        <v>360</v>
      </c>
      <c r="F2586" s="0" t="n">
        <f aca="false">IF(C2586&gt;1,IF(C2586&lt;99,VLOOKUP(C2586,'MSA-Lookup'!$H$1:$I$86,2),C2586),C2586)</f>
        <v>5170</v>
      </c>
      <c r="G2586" s="0" t="n">
        <f aca="false">VLOOKUP(E2586,'MSA-Lookup'!$AA$1:$AB$25,2)</f>
        <v>4472</v>
      </c>
      <c r="H2586" s="0" t="n">
        <f aca="false">IF(C2586&gt;1,IF(C2586&lt;99,VLOOKUP(F2586,'MSA-Lookup'!$AA$1:$AB$25,2),C2586),C2586)</f>
        <v>5170</v>
      </c>
    </row>
    <row r="2587" customFormat="false" ht="12.75" hidden="false" customHeight="false" outlineLevel="0" collapsed="false">
      <c r="A2587" s="0" t="n">
        <f aca="false">B2587*1000+C2587</f>
        <v>42026</v>
      </c>
      <c r="B2587" s="0" t="n">
        <v>42</v>
      </c>
      <c r="C2587" s="0" t="n">
        <v>26</v>
      </c>
      <c r="D2587" s="0" t="n">
        <v>0</v>
      </c>
      <c r="E2587" s="0" t="n">
        <f aca="false">VLOOKUP(B2587,'MSA-Lookup'!$H$2:$I$86,2)</f>
        <v>360</v>
      </c>
      <c r="F2587" s="0" t="n">
        <f aca="false">IF(C2587&gt;1,IF(C2587&lt;99,VLOOKUP(C2587,'MSA-Lookup'!$H$1:$I$86,2),C2587),C2587)</f>
        <v>9999</v>
      </c>
      <c r="G2587" s="0" t="n">
        <f aca="false">VLOOKUP(E2587,'MSA-Lookup'!$AA$1:$AB$25,2)</f>
        <v>4472</v>
      </c>
      <c r="H2587" s="0" t="n">
        <f aca="false">IF(C2587&gt;1,IF(C2587&lt;99,VLOOKUP(F2587,'MSA-Lookup'!$AA$1:$AB$25,2),C2587),C2587)</f>
        <v>9999</v>
      </c>
    </row>
    <row r="2588" customFormat="false" ht="12.75" hidden="false" customHeight="false" outlineLevel="0" collapsed="false">
      <c r="A2588" s="0" t="n">
        <f aca="false">B2588*1000+C2588</f>
        <v>42027</v>
      </c>
      <c r="B2588" s="0" t="n">
        <v>42</v>
      </c>
      <c r="C2588" s="0" t="n">
        <v>27</v>
      </c>
      <c r="D2588" s="0" t="n">
        <v>0</v>
      </c>
      <c r="E2588" s="0" t="n">
        <f aca="false">VLOOKUP(B2588,'MSA-Lookup'!$H$2:$I$86,2)</f>
        <v>360</v>
      </c>
      <c r="F2588" s="0" t="n">
        <f aca="false">IF(C2588&gt;1,IF(C2588&lt;99,VLOOKUP(C2588,'MSA-Lookup'!$H$1:$I$86,2),C2588),C2588)</f>
        <v>9999</v>
      </c>
      <c r="G2588" s="0" t="n">
        <f aca="false">VLOOKUP(E2588,'MSA-Lookup'!$AA$1:$AB$25,2)</f>
        <v>4472</v>
      </c>
      <c r="H2588" s="0" t="n">
        <f aca="false">IF(C2588&gt;1,IF(C2588&lt;99,VLOOKUP(F2588,'MSA-Lookup'!$AA$1:$AB$25,2),C2588),C2588)</f>
        <v>9999</v>
      </c>
    </row>
    <row r="2589" customFormat="false" ht="12.75" hidden="false" customHeight="false" outlineLevel="0" collapsed="false">
      <c r="A2589" s="0" t="n">
        <f aca="false">B2589*1000+C2589</f>
        <v>42028</v>
      </c>
      <c r="B2589" s="0" t="n">
        <v>42</v>
      </c>
      <c r="C2589" s="0" t="n">
        <v>28</v>
      </c>
      <c r="D2589" s="0" t="n">
        <v>0</v>
      </c>
      <c r="E2589" s="0" t="n">
        <f aca="false">VLOOKUP(B2589,'MSA-Lookup'!$H$2:$I$86,2)</f>
        <v>360</v>
      </c>
      <c r="F2589" s="0" t="n">
        <f aca="false">IF(C2589&gt;1,IF(C2589&lt;99,VLOOKUP(C2589,'MSA-Lookup'!$H$1:$I$86,2),C2589),C2589)</f>
        <v>6920</v>
      </c>
      <c r="G2589" s="0" t="n">
        <f aca="false">VLOOKUP(E2589,'MSA-Lookup'!$AA$1:$AB$25,2)</f>
        <v>4472</v>
      </c>
      <c r="H2589" s="0" t="n">
        <f aca="false">IF(C2589&gt;1,IF(C2589&lt;99,VLOOKUP(F2589,'MSA-Lookup'!$AA$1:$AB$25,2),C2589),C2589)</f>
        <v>6920</v>
      </c>
    </row>
    <row r="2590" customFormat="false" ht="12.75" hidden="false" customHeight="false" outlineLevel="0" collapsed="false">
      <c r="A2590" s="0" t="n">
        <f aca="false">B2590*1000+C2590</f>
        <v>42029</v>
      </c>
      <c r="B2590" s="0" t="n">
        <v>42</v>
      </c>
      <c r="C2590" s="0" t="n">
        <v>29</v>
      </c>
      <c r="D2590" s="0" t="n">
        <v>65</v>
      </c>
      <c r="E2590" s="0" t="n">
        <f aca="false">VLOOKUP(B2590,'MSA-Lookup'!$H$2:$I$86,2)</f>
        <v>360</v>
      </c>
      <c r="F2590" s="0" t="n">
        <f aca="false">IF(C2590&gt;1,IF(C2590&lt;99,VLOOKUP(C2590,'MSA-Lookup'!$H$1:$I$86,2),C2590),C2590)</f>
        <v>6920</v>
      </c>
      <c r="G2590" s="0" t="n">
        <f aca="false">VLOOKUP(E2590,'MSA-Lookup'!$AA$1:$AB$25,2)</f>
        <v>4472</v>
      </c>
      <c r="H2590" s="0" t="n">
        <f aca="false">IF(C2590&gt;1,IF(C2590&lt;99,VLOOKUP(F2590,'MSA-Lookup'!$AA$1:$AB$25,2),C2590),C2590)</f>
        <v>6920</v>
      </c>
    </row>
    <row r="2591" customFormat="false" ht="12.75" hidden="false" customHeight="false" outlineLevel="0" collapsed="false">
      <c r="A2591" s="0" t="n">
        <f aca="false">B2591*1000+C2591</f>
        <v>42030</v>
      </c>
      <c r="B2591" s="0" t="n">
        <v>42</v>
      </c>
      <c r="C2591" s="0" t="n">
        <v>30</v>
      </c>
      <c r="D2591" s="0" t="n">
        <v>0</v>
      </c>
      <c r="E2591" s="0" t="n">
        <f aca="false">VLOOKUP(B2591,'MSA-Lookup'!$H$2:$I$86,2)</f>
        <v>360</v>
      </c>
      <c r="F2591" s="0" t="n">
        <f aca="false">IF(C2591&gt;1,IF(C2591&lt;99,VLOOKUP(C2591,'MSA-Lookup'!$H$1:$I$86,2),C2591),C2591)</f>
        <v>4940</v>
      </c>
      <c r="G2591" s="0" t="n">
        <f aca="false">VLOOKUP(E2591,'MSA-Lookup'!$AA$1:$AB$25,2)</f>
        <v>4472</v>
      </c>
      <c r="H2591" s="0" t="n">
        <f aca="false">IF(C2591&gt;1,IF(C2591&lt;99,VLOOKUP(F2591,'MSA-Lookup'!$AA$1:$AB$25,2),C2591),C2591)</f>
        <v>4940</v>
      </c>
    </row>
    <row r="2592" customFormat="false" ht="12.75" hidden="false" customHeight="false" outlineLevel="0" collapsed="false">
      <c r="A2592" s="0" t="n">
        <f aca="false">B2592*1000+C2592</f>
        <v>42031</v>
      </c>
      <c r="B2592" s="0" t="n">
        <v>42</v>
      </c>
      <c r="C2592" s="0" t="n">
        <v>31</v>
      </c>
      <c r="D2592" s="0" t="n">
        <v>0</v>
      </c>
      <c r="E2592" s="0" t="n">
        <f aca="false">VLOOKUP(B2592,'MSA-Lookup'!$H$2:$I$86,2)</f>
        <v>360</v>
      </c>
      <c r="F2592" s="0" t="n">
        <f aca="false">IF(C2592&gt;1,IF(C2592&lt;99,VLOOKUP(C2592,'MSA-Lookup'!$H$1:$I$86,2),C2592),C2592)</f>
        <v>9999</v>
      </c>
      <c r="G2592" s="0" t="n">
        <f aca="false">VLOOKUP(E2592,'MSA-Lookup'!$AA$1:$AB$25,2)</f>
        <v>4472</v>
      </c>
      <c r="H2592" s="0" t="n">
        <f aca="false">IF(C2592&gt;1,IF(C2592&lt;99,VLOOKUP(F2592,'MSA-Lookup'!$AA$1:$AB$25,2),C2592),C2592)</f>
        <v>9999</v>
      </c>
    </row>
    <row r="2593" customFormat="false" ht="12.75" hidden="false" customHeight="false" outlineLevel="0" collapsed="false">
      <c r="A2593" s="0" t="n">
        <f aca="false">B2593*1000+C2593</f>
        <v>42032</v>
      </c>
      <c r="B2593" s="0" t="n">
        <v>42</v>
      </c>
      <c r="C2593" s="0" t="n">
        <v>32</v>
      </c>
      <c r="D2593" s="0" t="n">
        <v>0</v>
      </c>
      <c r="E2593" s="0" t="n">
        <f aca="false">VLOOKUP(B2593,'MSA-Lookup'!$H$2:$I$86,2)</f>
        <v>360</v>
      </c>
      <c r="F2593" s="0" t="n">
        <f aca="false">IF(C2593&gt;1,IF(C2593&lt;99,VLOOKUP(C2593,'MSA-Lookup'!$H$1:$I$86,2),C2593),C2593)</f>
        <v>7480</v>
      </c>
      <c r="G2593" s="0" t="n">
        <f aca="false">VLOOKUP(E2593,'MSA-Lookup'!$AA$1:$AB$25,2)</f>
        <v>4472</v>
      </c>
      <c r="H2593" s="0" t="n">
        <f aca="false">IF(C2593&gt;1,IF(C2593&lt;99,VLOOKUP(F2593,'MSA-Lookup'!$AA$1:$AB$25,2),C2593),C2593)</f>
        <v>7480</v>
      </c>
    </row>
    <row r="2594" customFormat="false" ht="12.75" hidden="false" customHeight="false" outlineLevel="0" collapsed="false">
      <c r="A2594" s="0" t="n">
        <f aca="false">B2594*1000+C2594</f>
        <v>42033</v>
      </c>
      <c r="B2594" s="0" t="n">
        <v>42</v>
      </c>
      <c r="C2594" s="0" t="n">
        <v>33</v>
      </c>
      <c r="D2594" s="0" t="n">
        <v>91</v>
      </c>
      <c r="E2594" s="0" t="n">
        <f aca="false">VLOOKUP(B2594,'MSA-Lookup'!$H$2:$I$86,2)</f>
        <v>360</v>
      </c>
      <c r="F2594" s="0" t="n">
        <f aca="false">IF(C2594&gt;1,IF(C2594&lt;99,VLOOKUP(C2594,'MSA-Lookup'!$H$1:$I$86,2),C2594),C2594)</f>
        <v>7320</v>
      </c>
      <c r="G2594" s="0" t="n">
        <f aca="false">VLOOKUP(E2594,'MSA-Lookup'!$AA$1:$AB$25,2)</f>
        <v>4472</v>
      </c>
      <c r="H2594" s="0" t="n">
        <f aca="false">IF(C2594&gt;1,IF(C2594&lt;99,VLOOKUP(F2594,'MSA-Lookup'!$AA$1:$AB$25,2),C2594),C2594)</f>
        <v>7320</v>
      </c>
    </row>
    <row r="2595" customFormat="false" ht="12.75" hidden="false" customHeight="false" outlineLevel="0" collapsed="false">
      <c r="A2595" s="0" t="n">
        <f aca="false">B2595*1000+C2595</f>
        <v>42034</v>
      </c>
      <c r="B2595" s="0" t="n">
        <v>42</v>
      </c>
      <c r="C2595" s="0" t="n">
        <v>34</v>
      </c>
      <c r="D2595" s="0" t="n">
        <v>0</v>
      </c>
      <c r="E2595" s="0" t="n">
        <f aca="false">VLOOKUP(B2595,'MSA-Lookup'!$H$2:$I$86,2)</f>
        <v>360</v>
      </c>
      <c r="F2595" s="0" t="n">
        <f aca="false">IF(C2595&gt;1,IF(C2595&lt;99,VLOOKUP(C2595,'MSA-Lookup'!$H$1:$I$86,2),C2595),C2595)</f>
        <v>7320</v>
      </c>
      <c r="G2595" s="0" t="n">
        <f aca="false">VLOOKUP(E2595,'MSA-Lookup'!$AA$1:$AB$25,2)</f>
        <v>4472</v>
      </c>
      <c r="H2595" s="0" t="n">
        <f aca="false">IF(C2595&gt;1,IF(C2595&lt;99,VLOOKUP(F2595,'MSA-Lookup'!$AA$1:$AB$25,2),C2595),C2595)</f>
        <v>7320</v>
      </c>
    </row>
    <row r="2596" customFormat="false" ht="12.75" hidden="false" customHeight="false" outlineLevel="0" collapsed="false">
      <c r="A2596" s="0" t="n">
        <f aca="false">B2596*1000+C2596</f>
        <v>42035</v>
      </c>
      <c r="B2596" s="0" t="n">
        <v>42</v>
      </c>
      <c r="C2596" s="0" t="n">
        <v>35</v>
      </c>
      <c r="D2596" s="0" t="n">
        <v>0</v>
      </c>
      <c r="E2596" s="0" t="n">
        <f aca="false">VLOOKUP(B2596,'MSA-Lookup'!$H$2:$I$86,2)</f>
        <v>360</v>
      </c>
      <c r="F2596" s="0" t="n">
        <f aca="false">IF(C2596&gt;1,IF(C2596&lt;99,VLOOKUP(C2596,'MSA-Lookup'!$H$1:$I$86,2),C2596),C2596)</f>
        <v>7320</v>
      </c>
      <c r="G2596" s="0" t="n">
        <f aca="false">VLOOKUP(E2596,'MSA-Lookup'!$AA$1:$AB$25,2)</f>
        <v>4472</v>
      </c>
      <c r="H2596" s="0" t="n">
        <f aca="false">IF(C2596&gt;1,IF(C2596&lt;99,VLOOKUP(F2596,'MSA-Lookup'!$AA$1:$AB$25,2),C2596),C2596)</f>
        <v>7320</v>
      </c>
    </row>
    <row r="2597" customFormat="false" ht="12.75" hidden="false" customHeight="false" outlineLevel="0" collapsed="false">
      <c r="A2597" s="0" t="n">
        <f aca="false">B2597*1000+C2597</f>
        <v>42036</v>
      </c>
      <c r="B2597" s="0" t="n">
        <v>42</v>
      </c>
      <c r="C2597" s="0" t="n">
        <v>36</v>
      </c>
      <c r="D2597" s="0" t="n">
        <v>0</v>
      </c>
      <c r="E2597" s="0" t="n">
        <f aca="false">VLOOKUP(B2597,'MSA-Lookup'!$H$2:$I$86,2)</f>
        <v>360</v>
      </c>
      <c r="F2597" s="0" t="n">
        <f aca="false">IF(C2597&gt;1,IF(C2597&lt;99,VLOOKUP(C2597,'MSA-Lookup'!$H$1:$I$86,2),C2597),C2597)</f>
        <v>7320</v>
      </c>
      <c r="G2597" s="0" t="n">
        <f aca="false">VLOOKUP(E2597,'MSA-Lookup'!$AA$1:$AB$25,2)</f>
        <v>4472</v>
      </c>
      <c r="H2597" s="0" t="n">
        <f aca="false">IF(C2597&gt;1,IF(C2597&lt;99,VLOOKUP(F2597,'MSA-Lookup'!$AA$1:$AB$25,2),C2597),C2597)</f>
        <v>7320</v>
      </c>
    </row>
    <row r="2598" customFormat="false" ht="12.75" hidden="false" customHeight="false" outlineLevel="0" collapsed="false">
      <c r="A2598" s="0" t="n">
        <f aca="false">B2598*1000+C2598</f>
        <v>42037</v>
      </c>
      <c r="B2598" s="0" t="n">
        <v>42</v>
      </c>
      <c r="C2598" s="0" t="n">
        <v>37</v>
      </c>
      <c r="D2598" s="0" t="n">
        <v>0</v>
      </c>
      <c r="E2598" s="0" t="n">
        <f aca="false">VLOOKUP(B2598,'MSA-Lookup'!$H$2:$I$86,2)</f>
        <v>360</v>
      </c>
      <c r="F2598" s="0" t="n">
        <f aca="false">IF(C2598&gt;1,IF(C2598&lt;99,VLOOKUP(C2598,'MSA-Lookup'!$H$1:$I$86,2),C2598),C2598)</f>
        <v>7320</v>
      </c>
      <c r="G2598" s="0" t="n">
        <f aca="false">VLOOKUP(E2598,'MSA-Lookup'!$AA$1:$AB$25,2)</f>
        <v>4472</v>
      </c>
      <c r="H2598" s="0" t="n">
        <f aca="false">IF(C2598&gt;1,IF(C2598&lt;99,VLOOKUP(F2598,'MSA-Lookup'!$AA$1:$AB$25,2),C2598),C2598)</f>
        <v>7320</v>
      </c>
    </row>
    <row r="2599" customFormat="false" ht="12.75" hidden="false" customHeight="false" outlineLevel="0" collapsed="false">
      <c r="A2599" s="0" t="n">
        <f aca="false">B2599*1000+C2599</f>
        <v>42038</v>
      </c>
      <c r="B2599" s="0" t="n">
        <v>42</v>
      </c>
      <c r="C2599" s="0" t="n">
        <v>38</v>
      </c>
      <c r="D2599" s="0" t="n">
        <v>0</v>
      </c>
      <c r="E2599" s="0" t="n">
        <f aca="false">VLOOKUP(B2599,'MSA-Lookup'!$H$2:$I$86,2)</f>
        <v>360</v>
      </c>
      <c r="F2599" s="0" t="n">
        <f aca="false">IF(C2599&gt;1,IF(C2599&lt;99,VLOOKUP(C2599,'MSA-Lookup'!$H$1:$I$86,2),C2599),C2599)</f>
        <v>7120</v>
      </c>
      <c r="G2599" s="0" t="n">
        <f aca="false">VLOOKUP(E2599,'MSA-Lookup'!$AA$1:$AB$25,2)</f>
        <v>4472</v>
      </c>
      <c r="H2599" s="0" t="n">
        <f aca="false">IF(C2599&gt;1,IF(C2599&lt;99,VLOOKUP(F2599,'MSA-Lookup'!$AA$1:$AB$25,2),C2599),C2599)</f>
        <v>7120</v>
      </c>
    </row>
    <row r="2600" customFormat="false" ht="12.75" hidden="false" customHeight="false" outlineLevel="0" collapsed="false">
      <c r="A2600" s="0" t="n">
        <f aca="false">B2600*1000+C2600</f>
        <v>42039</v>
      </c>
      <c r="B2600" s="0" t="n">
        <v>42</v>
      </c>
      <c r="C2600" s="0" t="n">
        <v>39</v>
      </c>
      <c r="D2600" s="0" t="n">
        <v>0</v>
      </c>
      <c r="E2600" s="0" t="n">
        <f aca="false">VLOOKUP(B2600,'MSA-Lookup'!$H$2:$I$86,2)</f>
        <v>360</v>
      </c>
      <c r="F2600" s="0" t="n">
        <f aca="false">IF(C2600&gt;1,IF(C2600&lt;99,VLOOKUP(C2600,'MSA-Lookup'!$H$1:$I$86,2),C2600),C2600)</f>
        <v>7120</v>
      </c>
      <c r="G2600" s="0" t="n">
        <f aca="false">VLOOKUP(E2600,'MSA-Lookup'!$AA$1:$AB$25,2)</f>
        <v>4472</v>
      </c>
      <c r="H2600" s="0" t="n">
        <f aca="false">IF(C2600&gt;1,IF(C2600&lt;99,VLOOKUP(F2600,'MSA-Lookup'!$AA$1:$AB$25,2),C2600),C2600)</f>
        <v>7120</v>
      </c>
    </row>
    <row r="2601" customFormat="false" ht="12.75" hidden="false" customHeight="false" outlineLevel="0" collapsed="false">
      <c r="A2601" s="0" t="n">
        <f aca="false">B2601*1000+C2601</f>
        <v>42040</v>
      </c>
      <c r="B2601" s="0" t="n">
        <v>42</v>
      </c>
      <c r="C2601" s="0" t="n">
        <v>40</v>
      </c>
      <c r="D2601" s="0" t="n">
        <v>65</v>
      </c>
      <c r="E2601" s="0" t="n">
        <f aca="false">VLOOKUP(B2601,'MSA-Lookup'!$H$2:$I$86,2)</f>
        <v>360</v>
      </c>
      <c r="F2601" s="0" t="n">
        <f aca="false">IF(C2601&gt;1,IF(C2601&lt;99,VLOOKUP(C2601,'MSA-Lookup'!$H$1:$I$86,2),C2601),C2601)</f>
        <v>2840</v>
      </c>
      <c r="G2601" s="0" t="n">
        <f aca="false">VLOOKUP(E2601,'MSA-Lookup'!$AA$1:$AB$25,2)</f>
        <v>4472</v>
      </c>
      <c r="H2601" s="0" t="n">
        <f aca="false">IF(C2601&gt;1,IF(C2601&lt;99,VLOOKUP(F2601,'MSA-Lookup'!$AA$1:$AB$25,2),C2601),C2601)</f>
        <v>2840</v>
      </c>
    </row>
    <row r="2602" customFormat="false" ht="12.75" hidden="false" customHeight="false" outlineLevel="0" collapsed="false">
      <c r="A2602" s="0" t="n">
        <f aca="false">B2602*1000+C2602</f>
        <v>42041</v>
      </c>
      <c r="B2602" s="0" t="n">
        <v>42</v>
      </c>
      <c r="C2602" s="0" t="n">
        <v>41</v>
      </c>
      <c r="D2602" s="0" t="n">
        <v>0</v>
      </c>
      <c r="E2602" s="0" t="n">
        <f aca="false">VLOOKUP(B2602,'MSA-Lookup'!$H$2:$I$86,2)</f>
        <v>360</v>
      </c>
      <c r="F2602" s="0" t="n">
        <f aca="false">IF(C2602&gt;1,IF(C2602&lt;99,VLOOKUP(C2602,'MSA-Lookup'!$H$1:$I$86,2),C2602),C2602)</f>
        <v>2840</v>
      </c>
      <c r="G2602" s="0" t="n">
        <f aca="false">VLOOKUP(E2602,'MSA-Lookup'!$AA$1:$AB$25,2)</f>
        <v>4472</v>
      </c>
      <c r="H2602" s="0" t="n">
        <f aca="false">IF(C2602&gt;1,IF(C2602&lt;99,VLOOKUP(F2602,'MSA-Lookup'!$AA$1:$AB$25,2),C2602),C2602)</f>
        <v>2840</v>
      </c>
    </row>
    <row r="2603" customFormat="false" ht="12.75" hidden="false" customHeight="false" outlineLevel="0" collapsed="false">
      <c r="A2603" s="0" t="n">
        <f aca="false">B2603*1000+C2603</f>
        <v>42042</v>
      </c>
      <c r="B2603" s="0" t="n">
        <v>42</v>
      </c>
      <c r="C2603" s="0" t="n">
        <v>42</v>
      </c>
      <c r="D2603" s="0" t="n">
        <v>43914</v>
      </c>
      <c r="E2603" s="0" t="n">
        <f aca="false">VLOOKUP(B2603,'MSA-Lookup'!$H$2:$I$86,2)</f>
        <v>360</v>
      </c>
      <c r="F2603" s="0" t="n">
        <f aca="false">IF(C2603&gt;1,IF(C2603&lt;99,VLOOKUP(C2603,'MSA-Lookup'!$H$1:$I$86,2),C2603),C2603)</f>
        <v>360</v>
      </c>
      <c r="G2603" s="0" t="n">
        <f aca="false">VLOOKUP(E2603,'MSA-Lookup'!$AA$1:$AB$25,2)</f>
        <v>4472</v>
      </c>
      <c r="H2603" s="0" t="n">
        <f aca="false">IF(C2603&gt;1,IF(C2603&lt;99,VLOOKUP(F2603,'MSA-Lookup'!$AA$1:$AB$25,2),C2603),C2603)</f>
        <v>4472</v>
      </c>
    </row>
    <row r="2604" customFormat="false" ht="12.75" hidden="false" customHeight="false" outlineLevel="0" collapsed="false">
      <c r="A2604" s="0" t="n">
        <f aca="false">B2604*1000+C2604</f>
        <v>42043</v>
      </c>
      <c r="B2604" s="0" t="n">
        <v>42</v>
      </c>
      <c r="C2604" s="0" t="n">
        <v>43</v>
      </c>
      <c r="D2604" s="0" t="n">
        <v>1937</v>
      </c>
      <c r="E2604" s="0" t="n">
        <f aca="false">VLOOKUP(B2604,'MSA-Lookup'!$H$2:$I$86,2)</f>
        <v>360</v>
      </c>
      <c r="F2604" s="0" t="n">
        <f aca="false">IF(C2604&gt;1,IF(C2604&lt;99,VLOOKUP(C2604,'MSA-Lookup'!$H$1:$I$86,2),C2604),C2604)</f>
        <v>360</v>
      </c>
      <c r="G2604" s="0" t="n">
        <f aca="false">VLOOKUP(E2604,'MSA-Lookup'!$AA$1:$AB$25,2)</f>
        <v>4472</v>
      </c>
      <c r="H2604" s="0" t="n">
        <f aca="false">IF(C2604&gt;1,IF(C2604&lt;99,VLOOKUP(F2604,'MSA-Lookup'!$AA$1:$AB$25,2),C2604),C2604)</f>
        <v>4472</v>
      </c>
    </row>
    <row r="2605" customFormat="false" ht="12.75" hidden="false" customHeight="false" outlineLevel="0" collapsed="false">
      <c r="A2605" s="0" t="n">
        <f aca="false">B2605*1000+C2605</f>
        <v>42044</v>
      </c>
      <c r="B2605" s="0" t="n">
        <v>42</v>
      </c>
      <c r="C2605" s="0" t="n">
        <v>44</v>
      </c>
      <c r="D2605" s="0" t="n">
        <v>3588</v>
      </c>
      <c r="E2605" s="0" t="n">
        <f aca="false">VLOOKUP(B2605,'MSA-Lookup'!$H$2:$I$86,2)</f>
        <v>360</v>
      </c>
      <c r="F2605" s="0" t="n">
        <f aca="false">IF(C2605&gt;1,IF(C2605&lt;99,VLOOKUP(C2605,'MSA-Lookup'!$H$1:$I$86,2),C2605),C2605)</f>
        <v>360</v>
      </c>
      <c r="G2605" s="0" t="n">
        <f aca="false">VLOOKUP(E2605,'MSA-Lookup'!$AA$1:$AB$25,2)</f>
        <v>4472</v>
      </c>
      <c r="H2605" s="0" t="n">
        <f aca="false">IF(C2605&gt;1,IF(C2605&lt;99,VLOOKUP(F2605,'MSA-Lookup'!$AA$1:$AB$25,2),C2605),C2605)</f>
        <v>4472</v>
      </c>
    </row>
    <row r="2606" customFormat="false" ht="12.75" hidden="false" customHeight="false" outlineLevel="0" collapsed="false">
      <c r="A2606" s="0" t="n">
        <f aca="false">B2606*1000+C2606</f>
        <v>42045</v>
      </c>
      <c r="B2606" s="0" t="n">
        <v>42</v>
      </c>
      <c r="C2606" s="0" t="n">
        <v>45</v>
      </c>
      <c r="D2606" s="0" t="n">
        <v>1937</v>
      </c>
      <c r="E2606" s="0" t="n">
        <f aca="false">VLOOKUP(B2606,'MSA-Lookup'!$H$2:$I$86,2)</f>
        <v>360</v>
      </c>
      <c r="F2606" s="0" t="n">
        <f aca="false">IF(C2606&gt;1,IF(C2606&lt;99,VLOOKUP(C2606,'MSA-Lookup'!$H$1:$I$86,2),C2606),C2606)</f>
        <v>360</v>
      </c>
      <c r="G2606" s="0" t="n">
        <f aca="false">VLOOKUP(E2606,'MSA-Lookup'!$AA$1:$AB$25,2)</f>
        <v>4472</v>
      </c>
      <c r="H2606" s="0" t="n">
        <f aca="false">IF(C2606&gt;1,IF(C2606&lt;99,VLOOKUP(F2606,'MSA-Lookup'!$AA$1:$AB$25,2),C2606),C2606)</f>
        <v>4472</v>
      </c>
    </row>
    <row r="2607" customFormat="false" ht="12.75" hidden="false" customHeight="false" outlineLevel="0" collapsed="false">
      <c r="A2607" s="0" t="n">
        <f aca="false">B2607*1000+C2607</f>
        <v>42046</v>
      </c>
      <c r="B2607" s="0" t="n">
        <v>42</v>
      </c>
      <c r="C2607" s="0" t="n">
        <v>46</v>
      </c>
      <c r="D2607" s="0" t="n">
        <v>4199</v>
      </c>
      <c r="E2607" s="0" t="n">
        <f aca="false">VLOOKUP(B2607,'MSA-Lookup'!$H$2:$I$86,2)</f>
        <v>360</v>
      </c>
      <c r="F2607" s="0" t="n">
        <f aca="false">IF(C2607&gt;1,IF(C2607&lt;99,VLOOKUP(C2607,'MSA-Lookup'!$H$1:$I$86,2),C2607),C2607)</f>
        <v>360</v>
      </c>
      <c r="G2607" s="0" t="n">
        <f aca="false">VLOOKUP(E2607,'MSA-Lookup'!$AA$1:$AB$25,2)</f>
        <v>4472</v>
      </c>
      <c r="H2607" s="0" t="n">
        <f aca="false">IF(C2607&gt;1,IF(C2607&lt;99,VLOOKUP(F2607,'MSA-Lookup'!$AA$1:$AB$25,2),C2607),C2607)</f>
        <v>4472</v>
      </c>
    </row>
    <row r="2608" customFormat="false" ht="12.75" hidden="false" customHeight="false" outlineLevel="0" collapsed="false">
      <c r="A2608" s="0" t="n">
        <f aca="false">B2608*1000+C2608</f>
        <v>42047</v>
      </c>
      <c r="B2608" s="0" t="n">
        <v>42</v>
      </c>
      <c r="C2608" s="0" t="n">
        <v>47</v>
      </c>
      <c r="D2608" s="0" t="n">
        <v>3653</v>
      </c>
      <c r="E2608" s="0" t="n">
        <f aca="false">VLOOKUP(B2608,'MSA-Lookup'!$H$2:$I$86,2)</f>
        <v>360</v>
      </c>
      <c r="F2608" s="0" t="n">
        <f aca="false">IF(C2608&gt;1,IF(C2608&lt;99,VLOOKUP(C2608,'MSA-Lookup'!$H$1:$I$86,2),C2608),C2608)</f>
        <v>360</v>
      </c>
      <c r="G2608" s="0" t="n">
        <f aca="false">VLOOKUP(E2608,'MSA-Lookup'!$AA$1:$AB$25,2)</f>
        <v>4472</v>
      </c>
      <c r="H2608" s="0" t="n">
        <f aca="false">IF(C2608&gt;1,IF(C2608&lt;99,VLOOKUP(F2608,'MSA-Lookup'!$AA$1:$AB$25,2),C2608),C2608)</f>
        <v>4472</v>
      </c>
    </row>
    <row r="2609" customFormat="false" ht="12.75" hidden="false" customHeight="false" outlineLevel="0" collapsed="false">
      <c r="A2609" s="0" t="n">
        <f aca="false">B2609*1000+C2609</f>
        <v>42048</v>
      </c>
      <c r="B2609" s="0" t="n">
        <v>42</v>
      </c>
      <c r="C2609" s="0" t="n">
        <v>48</v>
      </c>
      <c r="D2609" s="0" t="n">
        <v>65169</v>
      </c>
      <c r="E2609" s="0" t="n">
        <f aca="false">VLOOKUP(B2609,'MSA-Lookup'!$H$2:$I$86,2)</f>
        <v>360</v>
      </c>
      <c r="F2609" s="0" t="n">
        <f aca="false">IF(C2609&gt;1,IF(C2609&lt;99,VLOOKUP(C2609,'MSA-Lookup'!$H$1:$I$86,2),C2609),C2609)</f>
        <v>360</v>
      </c>
      <c r="G2609" s="0" t="n">
        <f aca="false">VLOOKUP(E2609,'MSA-Lookup'!$AA$1:$AB$25,2)</f>
        <v>4472</v>
      </c>
      <c r="H2609" s="0" t="n">
        <f aca="false">IF(C2609&gt;1,IF(C2609&lt;99,VLOOKUP(F2609,'MSA-Lookup'!$AA$1:$AB$25,2),C2609),C2609)</f>
        <v>4472</v>
      </c>
    </row>
    <row r="2610" customFormat="false" ht="12.75" hidden="false" customHeight="false" outlineLevel="0" collapsed="false">
      <c r="A2610" s="0" t="n">
        <f aca="false">B2610*1000+C2610</f>
        <v>42049</v>
      </c>
      <c r="B2610" s="0" t="n">
        <v>42</v>
      </c>
      <c r="C2610" s="0" t="n">
        <v>49</v>
      </c>
      <c r="D2610" s="0" t="n">
        <v>0</v>
      </c>
      <c r="E2610" s="0" t="n">
        <f aca="false">VLOOKUP(B2610,'MSA-Lookup'!$H$2:$I$86,2)</f>
        <v>360</v>
      </c>
      <c r="F2610" s="0" t="n">
        <f aca="false">IF(C2610&gt;1,IF(C2610&lt;99,VLOOKUP(C2610,'MSA-Lookup'!$H$1:$I$86,2),C2610),C2610)</f>
        <v>7400</v>
      </c>
      <c r="G2610" s="0" t="n">
        <f aca="false">VLOOKUP(E2610,'MSA-Lookup'!$AA$1:$AB$25,2)</f>
        <v>4472</v>
      </c>
      <c r="H2610" s="0" t="n">
        <f aca="false">IF(C2610&gt;1,IF(C2610&lt;99,VLOOKUP(F2610,'MSA-Lookup'!$AA$1:$AB$25,2),C2610),C2610)</f>
        <v>7362</v>
      </c>
    </row>
    <row r="2611" customFormat="false" ht="12.75" hidden="false" customHeight="false" outlineLevel="0" collapsed="false">
      <c r="A2611" s="0" t="n">
        <f aca="false">B2611*1000+C2611</f>
        <v>42050</v>
      </c>
      <c r="B2611" s="0" t="n">
        <v>42</v>
      </c>
      <c r="C2611" s="0" t="n">
        <v>50</v>
      </c>
      <c r="D2611" s="0" t="n">
        <v>182</v>
      </c>
      <c r="E2611" s="0" t="n">
        <f aca="false">VLOOKUP(B2611,'MSA-Lookup'!$H$2:$I$86,2)</f>
        <v>360</v>
      </c>
      <c r="F2611" s="0" t="n">
        <f aca="false">IF(C2611&gt;1,IF(C2611&lt;99,VLOOKUP(C2611,'MSA-Lookup'!$H$1:$I$86,2),C2611),C2611)</f>
        <v>7400</v>
      </c>
      <c r="G2611" s="0" t="n">
        <f aca="false">VLOOKUP(E2611,'MSA-Lookup'!$AA$1:$AB$25,2)</f>
        <v>4472</v>
      </c>
      <c r="H2611" s="0" t="n">
        <f aca="false">IF(C2611&gt;1,IF(C2611&lt;99,VLOOKUP(F2611,'MSA-Lookup'!$AA$1:$AB$25,2),C2611),C2611)</f>
        <v>7362</v>
      </c>
    </row>
    <row r="2612" customFormat="false" ht="12.75" hidden="false" customHeight="false" outlineLevel="0" collapsed="false">
      <c r="A2612" s="0" t="n">
        <f aca="false">B2612*1000+C2612</f>
        <v>42051</v>
      </c>
      <c r="B2612" s="0" t="n">
        <v>42</v>
      </c>
      <c r="C2612" s="0" t="n">
        <v>51</v>
      </c>
      <c r="D2612" s="0" t="n">
        <v>0</v>
      </c>
      <c r="E2612" s="0" t="n">
        <f aca="false">VLOOKUP(B2612,'MSA-Lookup'!$H$2:$I$86,2)</f>
        <v>360</v>
      </c>
      <c r="F2612" s="0" t="n">
        <f aca="false">IF(C2612&gt;1,IF(C2612&lt;99,VLOOKUP(C2612,'MSA-Lookup'!$H$1:$I$86,2),C2612),C2612)</f>
        <v>7400</v>
      </c>
      <c r="G2612" s="0" t="n">
        <f aca="false">VLOOKUP(E2612,'MSA-Lookup'!$AA$1:$AB$25,2)</f>
        <v>4472</v>
      </c>
      <c r="H2612" s="0" t="n">
        <f aca="false">IF(C2612&gt;1,IF(C2612&lt;99,VLOOKUP(F2612,'MSA-Lookup'!$AA$1:$AB$25,2),C2612),C2612)</f>
        <v>7362</v>
      </c>
    </row>
    <row r="2613" customFormat="false" ht="12.75" hidden="false" customHeight="false" outlineLevel="0" collapsed="false">
      <c r="A2613" s="0" t="n">
        <f aca="false">B2613*1000+C2613</f>
        <v>42052</v>
      </c>
      <c r="B2613" s="0" t="n">
        <v>42</v>
      </c>
      <c r="C2613" s="0" t="n">
        <v>52</v>
      </c>
      <c r="D2613" s="0" t="n">
        <v>0</v>
      </c>
      <c r="E2613" s="0" t="n">
        <f aca="false">VLOOKUP(B2613,'MSA-Lookup'!$H$2:$I$86,2)</f>
        <v>360</v>
      </c>
      <c r="F2613" s="0" t="n">
        <f aca="false">IF(C2613&gt;1,IF(C2613&lt;99,VLOOKUP(C2613,'MSA-Lookup'!$H$1:$I$86,2),C2613),C2613)</f>
        <v>4480</v>
      </c>
      <c r="G2613" s="0" t="n">
        <f aca="false">VLOOKUP(E2613,'MSA-Lookup'!$AA$1:$AB$25,2)</f>
        <v>4472</v>
      </c>
      <c r="H2613" s="0" t="n">
        <f aca="false">IF(C2613&gt;1,IF(C2613&lt;99,VLOOKUP(F2613,'MSA-Lookup'!$AA$1:$AB$25,2),C2613),C2613)</f>
        <v>4472</v>
      </c>
    </row>
    <row r="2614" customFormat="false" ht="12.75" hidden="false" customHeight="false" outlineLevel="0" collapsed="false">
      <c r="A2614" s="0" t="n">
        <f aca="false">B2614*1000+C2614</f>
        <v>42053</v>
      </c>
      <c r="B2614" s="0" t="n">
        <v>42</v>
      </c>
      <c r="C2614" s="0" t="n">
        <v>53</v>
      </c>
      <c r="D2614" s="0" t="n">
        <v>117</v>
      </c>
      <c r="E2614" s="0" t="n">
        <f aca="false">VLOOKUP(B2614,'MSA-Lookup'!$H$2:$I$86,2)</f>
        <v>360</v>
      </c>
      <c r="F2614" s="0" t="n">
        <f aca="false">IF(C2614&gt;1,IF(C2614&lt;99,VLOOKUP(C2614,'MSA-Lookup'!$H$1:$I$86,2),C2614),C2614)</f>
        <v>4480</v>
      </c>
      <c r="G2614" s="0" t="n">
        <f aca="false">VLOOKUP(E2614,'MSA-Lookup'!$AA$1:$AB$25,2)</f>
        <v>4472</v>
      </c>
      <c r="H2614" s="0" t="n">
        <f aca="false">IF(C2614&gt;1,IF(C2614&lt;99,VLOOKUP(F2614,'MSA-Lookup'!$AA$1:$AB$25,2),C2614),C2614)</f>
        <v>4472</v>
      </c>
    </row>
    <row r="2615" customFormat="false" ht="12.75" hidden="false" customHeight="false" outlineLevel="0" collapsed="false">
      <c r="A2615" s="0" t="n">
        <f aca="false">B2615*1000+C2615</f>
        <v>42054</v>
      </c>
      <c r="B2615" s="0" t="n">
        <v>42</v>
      </c>
      <c r="C2615" s="0" t="n">
        <v>54</v>
      </c>
      <c r="D2615" s="0" t="n">
        <v>0</v>
      </c>
      <c r="E2615" s="0" t="n">
        <f aca="false">VLOOKUP(B2615,'MSA-Lookup'!$H$2:$I$86,2)</f>
        <v>360</v>
      </c>
      <c r="F2615" s="0" t="n">
        <f aca="false">IF(C2615&gt;1,IF(C2615&lt;99,VLOOKUP(C2615,'MSA-Lookup'!$H$1:$I$86,2),C2615),C2615)</f>
        <v>4480</v>
      </c>
      <c r="G2615" s="0" t="n">
        <f aca="false">VLOOKUP(E2615,'MSA-Lookup'!$AA$1:$AB$25,2)</f>
        <v>4472</v>
      </c>
      <c r="H2615" s="0" t="n">
        <f aca="false">IF(C2615&gt;1,IF(C2615&lt;99,VLOOKUP(F2615,'MSA-Lookup'!$AA$1:$AB$25,2),C2615),C2615)</f>
        <v>4472</v>
      </c>
    </row>
    <row r="2616" customFormat="false" ht="12.75" hidden="false" customHeight="false" outlineLevel="0" collapsed="false">
      <c r="A2616" s="0" t="n">
        <f aca="false">B2616*1000+C2616</f>
        <v>42055</v>
      </c>
      <c r="B2616" s="0" t="n">
        <v>42</v>
      </c>
      <c r="C2616" s="0" t="n">
        <v>55</v>
      </c>
      <c r="D2616" s="0" t="n">
        <v>0</v>
      </c>
      <c r="E2616" s="0" t="n">
        <f aca="false">VLOOKUP(B2616,'MSA-Lookup'!$H$2:$I$86,2)</f>
        <v>360</v>
      </c>
      <c r="F2616" s="0" t="n">
        <f aca="false">IF(C2616&gt;1,IF(C2616&lt;99,VLOOKUP(C2616,'MSA-Lookup'!$H$1:$I$86,2),C2616),C2616)</f>
        <v>4480</v>
      </c>
      <c r="G2616" s="0" t="n">
        <f aca="false">VLOOKUP(E2616,'MSA-Lookup'!$AA$1:$AB$25,2)</f>
        <v>4472</v>
      </c>
      <c r="H2616" s="0" t="n">
        <f aca="false">IF(C2616&gt;1,IF(C2616&lt;99,VLOOKUP(F2616,'MSA-Lookup'!$AA$1:$AB$25,2),C2616),C2616)</f>
        <v>4472</v>
      </c>
    </row>
    <row r="2617" customFormat="false" ht="12.75" hidden="false" customHeight="false" outlineLevel="0" collapsed="false">
      <c r="A2617" s="0" t="n">
        <f aca="false">B2617*1000+C2617</f>
        <v>42056</v>
      </c>
      <c r="B2617" s="0" t="n">
        <v>42</v>
      </c>
      <c r="C2617" s="0" t="n">
        <v>56</v>
      </c>
      <c r="D2617" s="0" t="n">
        <v>221</v>
      </c>
      <c r="E2617" s="0" t="n">
        <f aca="false">VLOOKUP(B2617,'MSA-Lookup'!$H$2:$I$86,2)</f>
        <v>360</v>
      </c>
      <c r="F2617" s="0" t="n">
        <f aca="false">IF(C2617&gt;1,IF(C2617&lt;99,VLOOKUP(C2617,'MSA-Lookup'!$H$1:$I$86,2),C2617),C2617)</f>
        <v>4480</v>
      </c>
      <c r="G2617" s="0" t="n">
        <f aca="false">VLOOKUP(E2617,'MSA-Lookup'!$AA$1:$AB$25,2)</f>
        <v>4472</v>
      </c>
      <c r="H2617" s="0" t="n">
        <f aca="false">IF(C2617&gt;1,IF(C2617&lt;99,VLOOKUP(F2617,'MSA-Lookup'!$AA$1:$AB$25,2),C2617),C2617)</f>
        <v>4472</v>
      </c>
    </row>
    <row r="2618" customFormat="false" ht="12.75" hidden="false" customHeight="false" outlineLevel="0" collapsed="false">
      <c r="A2618" s="0" t="n">
        <f aca="false">B2618*1000+C2618</f>
        <v>42057</v>
      </c>
      <c r="B2618" s="0" t="n">
        <v>42</v>
      </c>
      <c r="C2618" s="0" t="n">
        <v>57</v>
      </c>
      <c r="D2618" s="0" t="n">
        <v>0</v>
      </c>
      <c r="E2618" s="0" t="n">
        <f aca="false">VLOOKUP(B2618,'MSA-Lookup'!$H$2:$I$86,2)</f>
        <v>360</v>
      </c>
      <c r="F2618" s="0" t="n">
        <f aca="false">IF(C2618&gt;1,IF(C2618&lt;99,VLOOKUP(C2618,'MSA-Lookup'!$H$1:$I$86,2),C2618),C2618)</f>
        <v>4480</v>
      </c>
      <c r="G2618" s="0" t="n">
        <f aca="false">VLOOKUP(E2618,'MSA-Lookup'!$AA$1:$AB$25,2)</f>
        <v>4472</v>
      </c>
      <c r="H2618" s="0" t="n">
        <f aca="false">IF(C2618&gt;1,IF(C2618&lt;99,VLOOKUP(F2618,'MSA-Lookup'!$AA$1:$AB$25,2),C2618),C2618)</f>
        <v>4472</v>
      </c>
    </row>
    <row r="2619" customFormat="false" ht="12.75" hidden="false" customHeight="false" outlineLevel="0" collapsed="false">
      <c r="A2619" s="0" t="n">
        <f aca="false">B2619*1000+C2619</f>
        <v>42059</v>
      </c>
      <c r="B2619" s="0" t="n">
        <v>42</v>
      </c>
      <c r="C2619" s="0" t="n">
        <v>59</v>
      </c>
      <c r="D2619" s="0" t="n">
        <v>0</v>
      </c>
      <c r="E2619" s="0" t="n">
        <f aca="false">VLOOKUP(B2619,'MSA-Lookup'!$H$2:$I$86,2)</f>
        <v>360</v>
      </c>
      <c r="F2619" s="0" t="n">
        <f aca="false">IF(C2619&gt;1,IF(C2619&lt;99,VLOOKUP(C2619,'MSA-Lookup'!$H$1:$I$86,2),C2619),C2619)</f>
        <v>4480</v>
      </c>
      <c r="G2619" s="0" t="n">
        <f aca="false">VLOOKUP(E2619,'MSA-Lookup'!$AA$1:$AB$25,2)</f>
        <v>4472</v>
      </c>
      <c r="H2619" s="0" t="n">
        <f aca="false">IF(C2619&gt;1,IF(C2619&lt;99,VLOOKUP(F2619,'MSA-Lookup'!$AA$1:$AB$25,2),C2619),C2619)</f>
        <v>4472</v>
      </c>
    </row>
    <row r="2620" customFormat="false" ht="12.75" hidden="false" customHeight="false" outlineLevel="0" collapsed="false">
      <c r="A2620" s="0" t="n">
        <f aca="false">B2620*1000+C2620</f>
        <v>42060</v>
      </c>
      <c r="B2620" s="0" t="n">
        <v>42</v>
      </c>
      <c r="C2620" s="0" t="n">
        <v>60</v>
      </c>
      <c r="D2620" s="0" t="n">
        <v>260</v>
      </c>
      <c r="E2620" s="0" t="n">
        <f aca="false">VLOOKUP(B2620,'MSA-Lookup'!$H$2:$I$86,2)</f>
        <v>360</v>
      </c>
      <c r="F2620" s="0" t="n">
        <f aca="false">IF(C2620&gt;1,IF(C2620&lt;99,VLOOKUP(C2620,'MSA-Lookup'!$H$1:$I$86,2),C2620),C2620)</f>
        <v>4480</v>
      </c>
      <c r="G2620" s="0" t="n">
        <f aca="false">VLOOKUP(E2620,'MSA-Lookup'!$AA$1:$AB$25,2)</f>
        <v>4472</v>
      </c>
      <c r="H2620" s="0" t="n">
        <f aca="false">IF(C2620&gt;1,IF(C2620&lt;99,VLOOKUP(F2620,'MSA-Lookup'!$AA$1:$AB$25,2),C2620),C2620)</f>
        <v>4472</v>
      </c>
    </row>
    <row r="2621" customFormat="false" ht="12.75" hidden="false" customHeight="false" outlineLevel="0" collapsed="false">
      <c r="A2621" s="0" t="n">
        <f aca="false">B2621*1000+C2621</f>
        <v>42061</v>
      </c>
      <c r="B2621" s="0" t="n">
        <v>42</v>
      </c>
      <c r="C2621" s="0" t="n">
        <v>61</v>
      </c>
      <c r="D2621" s="0" t="n">
        <v>91</v>
      </c>
      <c r="E2621" s="0" t="n">
        <f aca="false">VLOOKUP(B2621,'MSA-Lookup'!$H$2:$I$86,2)</f>
        <v>360</v>
      </c>
      <c r="F2621" s="0" t="n">
        <f aca="false">IF(C2621&gt;1,IF(C2621&lt;99,VLOOKUP(C2621,'MSA-Lookup'!$H$1:$I$86,2),C2621),C2621)</f>
        <v>4480</v>
      </c>
      <c r="G2621" s="0" t="n">
        <f aca="false">VLOOKUP(E2621,'MSA-Lookup'!$AA$1:$AB$25,2)</f>
        <v>4472</v>
      </c>
      <c r="H2621" s="0" t="n">
        <f aca="false">IF(C2621&gt;1,IF(C2621&lt;99,VLOOKUP(F2621,'MSA-Lookup'!$AA$1:$AB$25,2),C2621),C2621)</f>
        <v>4472</v>
      </c>
    </row>
    <row r="2622" customFormat="false" ht="12.75" hidden="false" customHeight="false" outlineLevel="0" collapsed="false">
      <c r="A2622" s="0" t="n">
        <f aca="false">B2622*1000+C2622</f>
        <v>42062</v>
      </c>
      <c r="B2622" s="0" t="n">
        <v>42</v>
      </c>
      <c r="C2622" s="0" t="n">
        <v>62</v>
      </c>
      <c r="D2622" s="0" t="n">
        <v>416</v>
      </c>
      <c r="E2622" s="0" t="n">
        <f aca="false">VLOOKUP(B2622,'MSA-Lookup'!$H$2:$I$86,2)</f>
        <v>360</v>
      </c>
      <c r="F2622" s="0" t="n">
        <f aca="false">IF(C2622&gt;1,IF(C2622&lt;99,VLOOKUP(C2622,'MSA-Lookup'!$H$1:$I$86,2),C2622),C2622)</f>
        <v>4480</v>
      </c>
      <c r="G2622" s="0" t="n">
        <f aca="false">VLOOKUP(E2622,'MSA-Lookup'!$AA$1:$AB$25,2)</f>
        <v>4472</v>
      </c>
      <c r="H2622" s="0" t="n">
        <f aca="false">IF(C2622&gt;1,IF(C2622&lt;99,VLOOKUP(F2622,'MSA-Lookup'!$AA$1:$AB$25,2),C2622),C2622)</f>
        <v>4472</v>
      </c>
    </row>
    <row r="2623" customFormat="false" ht="12.75" hidden="false" customHeight="false" outlineLevel="0" collapsed="false">
      <c r="A2623" s="0" t="n">
        <f aca="false">B2623*1000+C2623</f>
        <v>42063</v>
      </c>
      <c r="B2623" s="0" t="n">
        <v>42</v>
      </c>
      <c r="C2623" s="0" t="n">
        <v>63</v>
      </c>
      <c r="D2623" s="0" t="n">
        <v>169</v>
      </c>
      <c r="E2623" s="0" t="n">
        <f aca="false">VLOOKUP(B2623,'MSA-Lookup'!$H$2:$I$86,2)</f>
        <v>360</v>
      </c>
      <c r="F2623" s="0" t="n">
        <f aca="false">IF(C2623&gt;1,IF(C2623&lt;99,VLOOKUP(C2623,'MSA-Lookup'!$H$1:$I$86,2),C2623),C2623)</f>
        <v>4480</v>
      </c>
      <c r="G2623" s="0" t="n">
        <f aca="false">VLOOKUP(E2623,'MSA-Lookup'!$AA$1:$AB$25,2)</f>
        <v>4472</v>
      </c>
      <c r="H2623" s="0" t="n">
        <f aca="false">IF(C2623&gt;1,IF(C2623&lt;99,VLOOKUP(F2623,'MSA-Lookup'!$AA$1:$AB$25,2),C2623),C2623)</f>
        <v>4472</v>
      </c>
    </row>
    <row r="2624" customFormat="false" ht="12.75" hidden="false" customHeight="false" outlineLevel="0" collapsed="false">
      <c r="A2624" s="0" t="n">
        <f aca="false">B2624*1000+C2624</f>
        <v>42064</v>
      </c>
      <c r="B2624" s="0" t="n">
        <v>42</v>
      </c>
      <c r="C2624" s="0" t="n">
        <v>64</v>
      </c>
      <c r="D2624" s="0" t="n">
        <v>2509</v>
      </c>
      <c r="E2624" s="0" t="n">
        <f aca="false">VLOOKUP(B2624,'MSA-Lookup'!$H$2:$I$86,2)</f>
        <v>360</v>
      </c>
      <c r="F2624" s="0" t="n">
        <f aca="false">IF(C2624&gt;1,IF(C2624&lt;99,VLOOKUP(C2624,'MSA-Lookup'!$H$1:$I$86,2),C2624),C2624)</f>
        <v>4480</v>
      </c>
      <c r="G2624" s="0" t="n">
        <f aca="false">VLOOKUP(E2624,'MSA-Lookup'!$AA$1:$AB$25,2)</f>
        <v>4472</v>
      </c>
      <c r="H2624" s="0" t="n">
        <f aca="false">IF(C2624&gt;1,IF(C2624&lt;99,VLOOKUP(F2624,'MSA-Lookup'!$AA$1:$AB$25,2),C2624),C2624)</f>
        <v>4472</v>
      </c>
    </row>
    <row r="2625" customFormat="false" ht="12.75" hidden="false" customHeight="false" outlineLevel="0" collapsed="false">
      <c r="A2625" s="0" t="n">
        <f aca="false">B2625*1000+C2625</f>
        <v>42065</v>
      </c>
      <c r="B2625" s="0" t="n">
        <v>42</v>
      </c>
      <c r="C2625" s="0" t="n">
        <v>65</v>
      </c>
      <c r="D2625" s="0" t="n">
        <v>975</v>
      </c>
      <c r="E2625" s="0" t="n">
        <f aca="false">VLOOKUP(B2625,'MSA-Lookup'!$H$2:$I$86,2)</f>
        <v>360</v>
      </c>
      <c r="F2625" s="0" t="n">
        <f aca="false">IF(C2625&gt;1,IF(C2625&lt;99,VLOOKUP(C2625,'MSA-Lookup'!$H$1:$I$86,2),C2625),C2625)</f>
        <v>4480</v>
      </c>
      <c r="G2625" s="0" t="n">
        <f aca="false">VLOOKUP(E2625,'MSA-Lookup'!$AA$1:$AB$25,2)</f>
        <v>4472</v>
      </c>
      <c r="H2625" s="0" t="n">
        <f aca="false">IF(C2625&gt;1,IF(C2625&lt;99,VLOOKUP(F2625,'MSA-Lookup'!$AA$1:$AB$25,2),C2625),C2625)</f>
        <v>4472</v>
      </c>
    </row>
    <row r="2626" customFormat="false" ht="12.75" hidden="false" customHeight="false" outlineLevel="0" collapsed="false">
      <c r="A2626" s="0" t="n">
        <f aca="false">B2626*1000+C2626</f>
        <v>42066</v>
      </c>
      <c r="B2626" s="0" t="n">
        <v>42</v>
      </c>
      <c r="C2626" s="0" t="n">
        <v>66</v>
      </c>
      <c r="D2626" s="0" t="n">
        <v>1196</v>
      </c>
      <c r="E2626" s="0" t="n">
        <f aca="false">VLOOKUP(B2626,'MSA-Lookup'!$H$2:$I$86,2)</f>
        <v>360</v>
      </c>
      <c r="F2626" s="0" t="n">
        <f aca="false">IF(C2626&gt;1,IF(C2626&lt;99,VLOOKUP(C2626,'MSA-Lookup'!$H$1:$I$86,2),C2626),C2626)</f>
        <v>4480</v>
      </c>
      <c r="G2626" s="0" t="n">
        <f aca="false">VLOOKUP(E2626,'MSA-Lookup'!$AA$1:$AB$25,2)</f>
        <v>4472</v>
      </c>
      <c r="H2626" s="0" t="n">
        <f aca="false">IF(C2626&gt;1,IF(C2626&lt;99,VLOOKUP(F2626,'MSA-Lookup'!$AA$1:$AB$25,2),C2626),C2626)</f>
        <v>4472</v>
      </c>
    </row>
    <row r="2627" customFormat="false" ht="12.75" hidden="false" customHeight="false" outlineLevel="0" collapsed="false">
      <c r="A2627" s="0" t="n">
        <f aca="false">B2627*1000+C2627</f>
        <v>42067</v>
      </c>
      <c r="B2627" s="0" t="n">
        <v>42</v>
      </c>
      <c r="C2627" s="0" t="n">
        <v>67</v>
      </c>
      <c r="D2627" s="0" t="n">
        <v>91</v>
      </c>
      <c r="E2627" s="0" t="n">
        <f aca="false">VLOOKUP(B2627,'MSA-Lookup'!$H$2:$I$86,2)</f>
        <v>360</v>
      </c>
      <c r="F2627" s="0" t="n">
        <f aca="false">IF(C2627&gt;1,IF(C2627&lt;99,VLOOKUP(C2627,'MSA-Lookup'!$H$1:$I$86,2),C2627),C2627)</f>
        <v>6000</v>
      </c>
      <c r="G2627" s="0" t="n">
        <f aca="false">VLOOKUP(E2627,'MSA-Lookup'!$AA$1:$AB$25,2)</f>
        <v>4472</v>
      </c>
      <c r="H2627" s="0" t="n">
        <f aca="false">IF(C2627&gt;1,IF(C2627&lt;99,VLOOKUP(F2627,'MSA-Lookup'!$AA$1:$AB$25,2),C2627),C2627)</f>
        <v>4472</v>
      </c>
    </row>
    <row r="2628" customFormat="false" ht="12.75" hidden="false" customHeight="false" outlineLevel="0" collapsed="false">
      <c r="A2628" s="0" t="n">
        <f aca="false">B2628*1000+C2628</f>
        <v>42068</v>
      </c>
      <c r="B2628" s="0" t="n">
        <v>42</v>
      </c>
      <c r="C2628" s="0" t="n">
        <v>68</v>
      </c>
      <c r="D2628" s="0" t="n">
        <v>130</v>
      </c>
      <c r="E2628" s="0" t="n">
        <f aca="false">VLOOKUP(B2628,'MSA-Lookup'!$H$2:$I$86,2)</f>
        <v>360</v>
      </c>
      <c r="F2628" s="0" t="n">
        <f aca="false">IF(C2628&gt;1,IF(C2628&lt;99,VLOOKUP(C2628,'MSA-Lookup'!$H$1:$I$86,2),C2628),C2628)</f>
        <v>6780</v>
      </c>
      <c r="G2628" s="0" t="n">
        <f aca="false">VLOOKUP(E2628,'MSA-Lookup'!$AA$1:$AB$25,2)</f>
        <v>4472</v>
      </c>
      <c r="H2628" s="0" t="n">
        <f aca="false">IF(C2628&gt;1,IF(C2628&lt;99,VLOOKUP(F2628,'MSA-Lookup'!$AA$1:$AB$25,2),C2628),C2628)</f>
        <v>4472</v>
      </c>
    </row>
    <row r="2629" customFormat="false" ht="12.75" hidden="false" customHeight="false" outlineLevel="0" collapsed="false">
      <c r="A2629" s="0" t="n">
        <f aca="false">B2629*1000+C2629</f>
        <v>42069</v>
      </c>
      <c r="B2629" s="0" t="n">
        <v>42</v>
      </c>
      <c r="C2629" s="0" t="n">
        <v>69</v>
      </c>
      <c r="D2629" s="0" t="n">
        <v>1274</v>
      </c>
      <c r="E2629" s="0" t="n">
        <f aca="false">VLOOKUP(B2629,'MSA-Lookup'!$H$2:$I$86,2)</f>
        <v>360</v>
      </c>
      <c r="F2629" s="0" t="n">
        <f aca="false">IF(C2629&gt;1,IF(C2629&lt;99,VLOOKUP(C2629,'MSA-Lookup'!$H$1:$I$86,2),C2629),C2629)</f>
        <v>6780</v>
      </c>
      <c r="G2629" s="0" t="n">
        <f aca="false">VLOOKUP(E2629,'MSA-Lookup'!$AA$1:$AB$25,2)</f>
        <v>4472</v>
      </c>
      <c r="H2629" s="0" t="n">
        <f aca="false">IF(C2629&gt;1,IF(C2629&lt;99,VLOOKUP(F2629,'MSA-Lookup'!$AA$1:$AB$25,2),C2629),C2629)</f>
        <v>4472</v>
      </c>
    </row>
    <row r="2630" customFormat="false" ht="12.75" hidden="false" customHeight="false" outlineLevel="0" collapsed="false">
      <c r="A2630" s="0" t="n">
        <f aca="false">B2630*1000+C2630</f>
        <v>42071</v>
      </c>
      <c r="B2630" s="0" t="n">
        <v>42</v>
      </c>
      <c r="C2630" s="0" t="n">
        <v>71</v>
      </c>
      <c r="D2630" s="0" t="n">
        <v>0</v>
      </c>
      <c r="E2630" s="0" t="n">
        <f aca="false">VLOOKUP(B2630,'MSA-Lookup'!$H$2:$I$86,2)</f>
        <v>360</v>
      </c>
      <c r="F2630" s="0" t="n">
        <f aca="false">IF(C2630&gt;1,IF(C2630&lt;99,VLOOKUP(C2630,'MSA-Lookup'!$H$1:$I$86,2),C2630),C2630)</f>
        <v>6780</v>
      </c>
      <c r="G2630" s="0" t="n">
        <f aca="false">VLOOKUP(E2630,'MSA-Lookup'!$AA$1:$AB$25,2)</f>
        <v>4472</v>
      </c>
      <c r="H2630" s="0" t="n">
        <f aca="false">IF(C2630&gt;1,IF(C2630&lt;99,VLOOKUP(F2630,'MSA-Lookup'!$AA$1:$AB$25,2),C2630),C2630)</f>
        <v>4472</v>
      </c>
    </row>
    <row r="2631" customFormat="false" ht="12.75" hidden="false" customHeight="false" outlineLevel="0" collapsed="false">
      <c r="A2631" s="0" t="n">
        <f aca="false">B2631*1000+C2631</f>
        <v>42072</v>
      </c>
      <c r="B2631" s="0" t="n">
        <v>42</v>
      </c>
      <c r="C2631" s="0" t="n">
        <v>72</v>
      </c>
      <c r="D2631" s="0" t="n">
        <v>299</v>
      </c>
      <c r="E2631" s="0" t="n">
        <f aca="false">VLOOKUP(B2631,'MSA-Lookup'!$H$2:$I$86,2)</f>
        <v>360</v>
      </c>
      <c r="F2631" s="0" t="n">
        <f aca="false">IF(C2631&gt;1,IF(C2631&lt;99,VLOOKUP(C2631,'MSA-Lookup'!$H$1:$I$86,2),C2631),C2631)</f>
        <v>6780</v>
      </c>
      <c r="G2631" s="0" t="n">
        <f aca="false">VLOOKUP(E2631,'MSA-Lookup'!$AA$1:$AB$25,2)</f>
        <v>4472</v>
      </c>
      <c r="H2631" s="0" t="n">
        <f aca="false">IF(C2631&gt;1,IF(C2631&lt;99,VLOOKUP(F2631,'MSA-Lookup'!$AA$1:$AB$25,2),C2631),C2631)</f>
        <v>4472</v>
      </c>
    </row>
    <row r="2632" customFormat="false" ht="12.75" hidden="false" customHeight="false" outlineLevel="0" collapsed="false">
      <c r="A2632" s="0" t="n">
        <f aca="false">B2632*1000+C2632</f>
        <v>42073</v>
      </c>
      <c r="B2632" s="0" t="n">
        <v>42</v>
      </c>
      <c r="C2632" s="0" t="n">
        <v>73</v>
      </c>
      <c r="D2632" s="0" t="n">
        <v>0</v>
      </c>
      <c r="E2632" s="0" t="n">
        <f aca="false">VLOOKUP(B2632,'MSA-Lookup'!$H$2:$I$86,2)</f>
        <v>360</v>
      </c>
      <c r="F2632" s="0" t="n">
        <f aca="false">IF(C2632&gt;1,IF(C2632&lt;99,VLOOKUP(C2632,'MSA-Lookup'!$H$1:$I$86,2),C2632),C2632)</f>
        <v>8720</v>
      </c>
      <c r="G2632" s="0" t="n">
        <f aca="false">VLOOKUP(E2632,'MSA-Lookup'!$AA$1:$AB$25,2)</f>
        <v>4472</v>
      </c>
      <c r="H2632" s="0" t="n">
        <f aca="false">IF(C2632&gt;1,IF(C2632&lt;99,VLOOKUP(F2632,'MSA-Lookup'!$AA$1:$AB$25,2),C2632),C2632)</f>
        <v>7362</v>
      </c>
    </row>
    <row r="2633" customFormat="false" ht="12.75" hidden="false" customHeight="false" outlineLevel="0" collapsed="false">
      <c r="A2633" s="0" t="n">
        <f aca="false">B2633*1000+C2633</f>
        <v>42075</v>
      </c>
      <c r="B2633" s="0" t="n">
        <v>42</v>
      </c>
      <c r="C2633" s="0" t="n">
        <v>75</v>
      </c>
      <c r="D2633" s="0" t="n">
        <v>0</v>
      </c>
      <c r="E2633" s="0" t="n">
        <f aca="false">VLOOKUP(B2633,'MSA-Lookup'!$H$2:$I$86,2)</f>
        <v>360</v>
      </c>
      <c r="F2633" s="0" t="n">
        <f aca="false">IF(C2633&gt;1,IF(C2633&lt;99,VLOOKUP(C2633,'MSA-Lookup'!$H$1:$I$86,2),C2633),C2633)</f>
        <v>8780</v>
      </c>
      <c r="G2633" s="0" t="n">
        <f aca="false">VLOOKUP(E2633,'MSA-Lookup'!$AA$1:$AB$25,2)</f>
        <v>4472</v>
      </c>
      <c r="H2633" s="0" t="n">
        <f aca="false">IF(C2633&gt;1,IF(C2633&lt;99,VLOOKUP(F2633,'MSA-Lookup'!$AA$1:$AB$25,2),C2633),C2633)</f>
        <v>8780</v>
      </c>
    </row>
    <row r="2634" customFormat="false" ht="12.75" hidden="false" customHeight="false" outlineLevel="0" collapsed="false">
      <c r="A2634" s="0" t="n">
        <f aca="false">B2634*1000+C2634</f>
        <v>42076</v>
      </c>
      <c r="B2634" s="0" t="n">
        <v>42</v>
      </c>
      <c r="C2634" s="0" t="n">
        <v>76</v>
      </c>
      <c r="D2634" s="0" t="n">
        <v>0</v>
      </c>
      <c r="E2634" s="0" t="n">
        <f aca="false">VLOOKUP(B2634,'MSA-Lookup'!$H$2:$I$86,2)</f>
        <v>360</v>
      </c>
      <c r="F2634" s="0" t="n">
        <f aca="false">IF(C2634&gt;1,IF(C2634&lt;99,VLOOKUP(C2634,'MSA-Lookup'!$H$1:$I$86,2),C2634),C2634)</f>
        <v>7485</v>
      </c>
      <c r="G2634" s="0" t="n">
        <f aca="false">VLOOKUP(E2634,'MSA-Lookup'!$AA$1:$AB$25,2)</f>
        <v>4472</v>
      </c>
      <c r="H2634" s="0" t="n">
        <f aca="false">IF(C2634&gt;1,IF(C2634&lt;99,VLOOKUP(F2634,'MSA-Lookup'!$AA$1:$AB$25,2),C2634),C2634)</f>
        <v>7362</v>
      </c>
    </row>
    <row r="2635" customFormat="false" ht="12.75" hidden="false" customHeight="false" outlineLevel="0" collapsed="false">
      <c r="A2635" s="0" t="n">
        <f aca="false">B2635*1000+C2635</f>
        <v>42077</v>
      </c>
      <c r="B2635" s="0" t="n">
        <v>42</v>
      </c>
      <c r="C2635" s="0" t="n">
        <v>77</v>
      </c>
      <c r="D2635" s="0" t="n">
        <v>104</v>
      </c>
      <c r="E2635" s="0" t="n">
        <f aca="false">VLOOKUP(B2635,'MSA-Lookup'!$H$2:$I$86,2)</f>
        <v>360</v>
      </c>
      <c r="F2635" s="0" t="n">
        <f aca="false">IF(C2635&gt;1,IF(C2635&lt;99,VLOOKUP(C2635,'MSA-Lookup'!$H$1:$I$86,2),C2635),C2635)</f>
        <v>9999</v>
      </c>
      <c r="G2635" s="0" t="n">
        <f aca="false">VLOOKUP(E2635,'MSA-Lookup'!$AA$1:$AB$25,2)</f>
        <v>4472</v>
      </c>
      <c r="H2635" s="0" t="n">
        <f aca="false">IF(C2635&gt;1,IF(C2635&lt;99,VLOOKUP(F2635,'MSA-Lookup'!$AA$1:$AB$25,2),C2635),C2635)</f>
        <v>9999</v>
      </c>
    </row>
    <row r="2636" customFormat="false" ht="12.75" hidden="false" customHeight="false" outlineLevel="0" collapsed="false">
      <c r="A2636" s="0" t="n">
        <f aca="false">B2636*1000+C2636</f>
        <v>42079</v>
      </c>
      <c r="B2636" s="0" t="n">
        <v>42</v>
      </c>
      <c r="C2636" s="0" t="n">
        <v>79</v>
      </c>
      <c r="D2636" s="0" t="n">
        <v>0</v>
      </c>
      <c r="E2636" s="0" t="n">
        <f aca="false">VLOOKUP(B2636,'MSA-Lookup'!$H$2:$I$86,2)</f>
        <v>360</v>
      </c>
      <c r="F2636" s="0" t="n">
        <f aca="false">IF(C2636&gt;1,IF(C2636&lt;99,VLOOKUP(C2636,'MSA-Lookup'!$H$1:$I$86,2),C2636),C2636)</f>
        <v>680</v>
      </c>
      <c r="G2636" s="0" t="n">
        <f aca="false">VLOOKUP(E2636,'MSA-Lookup'!$AA$1:$AB$25,2)</f>
        <v>4472</v>
      </c>
      <c r="H2636" s="0" t="n">
        <f aca="false">IF(C2636&gt;1,IF(C2636&lt;99,VLOOKUP(F2636,'MSA-Lookup'!$AA$1:$AB$25,2),C2636),C2636)</f>
        <v>680</v>
      </c>
    </row>
    <row r="2637" customFormat="false" ht="12.75" hidden="false" customHeight="false" outlineLevel="0" collapsed="false">
      <c r="A2637" s="0" t="n">
        <f aca="false">B2637*1000+C2637</f>
        <v>42080</v>
      </c>
      <c r="B2637" s="0" t="n">
        <v>42</v>
      </c>
      <c r="C2637" s="0" t="n">
        <v>80</v>
      </c>
      <c r="D2637" s="0" t="n">
        <v>195</v>
      </c>
      <c r="E2637" s="0" t="n">
        <f aca="false">VLOOKUP(B2637,'MSA-Lookup'!$H$2:$I$86,2)</f>
        <v>360</v>
      </c>
      <c r="F2637" s="0" t="n">
        <f aca="false">IF(C2637&gt;1,IF(C2637&lt;99,VLOOKUP(C2637,'MSA-Lookup'!$H$1:$I$86,2),C2637),C2637)</f>
        <v>9999</v>
      </c>
      <c r="G2637" s="0" t="n">
        <f aca="false">VLOOKUP(E2637,'MSA-Lookup'!$AA$1:$AB$25,2)</f>
        <v>4472</v>
      </c>
      <c r="H2637" s="0" t="n">
        <f aca="false">IF(C2637&gt;1,IF(C2637&lt;99,VLOOKUP(F2637,'MSA-Lookup'!$AA$1:$AB$25,2),C2637),C2637)</f>
        <v>9999</v>
      </c>
    </row>
    <row r="2638" customFormat="false" ht="12.75" hidden="false" customHeight="false" outlineLevel="0" collapsed="false">
      <c r="A2638" s="0" t="n">
        <f aca="false">B2638*1000+C2638</f>
        <v>42081</v>
      </c>
      <c r="B2638" s="0" t="n">
        <v>42</v>
      </c>
      <c r="C2638" s="0" t="n">
        <v>81</v>
      </c>
      <c r="D2638" s="0" t="n">
        <v>481</v>
      </c>
      <c r="E2638" s="0" t="n">
        <f aca="false">VLOOKUP(B2638,'MSA-Lookup'!$H$2:$I$86,2)</f>
        <v>360</v>
      </c>
      <c r="F2638" s="0" t="n">
        <f aca="false">IF(C2638&gt;1,IF(C2638&lt;99,VLOOKUP(C2638,'MSA-Lookup'!$H$1:$I$86,2),C2638),C2638)</f>
        <v>6780</v>
      </c>
      <c r="G2638" s="0" t="n">
        <f aca="false">VLOOKUP(E2638,'MSA-Lookup'!$AA$1:$AB$25,2)</f>
        <v>4472</v>
      </c>
      <c r="H2638" s="0" t="n">
        <f aca="false">IF(C2638&gt;1,IF(C2638&lt;99,VLOOKUP(F2638,'MSA-Lookup'!$AA$1:$AB$25,2),C2638),C2638)</f>
        <v>4472</v>
      </c>
    </row>
    <row r="2639" customFormat="false" ht="12.75" hidden="false" customHeight="false" outlineLevel="0" collapsed="false">
      <c r="A2639" s="0" t="n">
        <f aca="false">B2639*1000+C2639</f>
        <v>42082</v>
      </c>
      <c r="B2639" s="0" t="n">
        <v>42</v>
      </c>
      <c r="C2639" s="0" t="n">
        <v>82</v>
      </c>
      <c r="D2639" s="0" t="n">
        <v>0</v>
      </c>
      <c r="E2639" s="0" t="n">
        <f aca="false">VLOOKUP(B2639,'MSA-Lookup'!$H$2:$I$86,2)</f>
        <v>360</v>
      </c>
      <c r="F2639" s="0" t="n">
        <f aca="false">IF(C2639&gt;1,IF(C2639&lt;99,VLOOKUP(C2639,'MSA-Lookup'!$H$1:$I$86,2),C2639),C2639)</f>
        <v>6780</v>
      </c>
      <c r="G2639" s="0" t="n">
        <f aca="false">VLOOKUP(E2639,'MSA-Lookup'!$AA$1:$AB$25,2)</f>
        <v>4472</v>
      </c>
      <c r="H2639" s="0" t="n">
        <f aca="false">IF(C2639&gt;1,IF(C2639&lt;99,VLOOKUP(F2639,'MSA-Lookup'!$AA$1:$AB$25,2),C2639),C2639)</f>
        <v>4472</v>
      </c>
    </row>
    <row r="2640" customFormat="false" ht="12.75" hidden="false" customHeight="false" outlineLevel="0" collapsed="false">
      <c r="A2640" s="0" t="n">
        <f aca="false">B2640*1000+C2640</f>
        <v>42083</v>
      </c>
      <c r="B2640" s="0" t="n">
        <v>42</v>
      </c>
      <c r="C2640" s="0" t="n">
        <v>83</v>
      </c>
      <c r="D2640" s="0" t="n">
        <v>0</v>
      </c>
      <c r="E2640" s="0" t="n">
        <f aca="false">VLOOKUP(B2640,'MSA-Lookup'!$H$2:$I$86,2)</f>
        <v>360</v>
      </c>
      <c r="F2640" s="0" t="n">
        <f aca="false">IF(C2640&gt;1,IF(C2640&lt;99,VLOOKUP(C2640,'MSA-Lookup'!$H$1:$I$86,2),C2640),C2640)</f>
        <v>6000</v>
      </c>
      <c r="G2640" s="0" t="n">
        <f aca="false">VLOOKUP(E2640,'MSA-Lookup'!$AA$1:$AB$25,2)</f>
        <v>4472</v>
      </c>
      <c r="H2640" s="0" t="n">
        <f aca="false">IF(C2640&gt;1,IF(C2640&lt;99,VLOOKUP(F2640,'MSA-Lookup'!$AA$1:$AB$25,2),C2640),C2640)</f>
        <v>4472</v>
      </c>
    </row>
    <row r="2641" customFormat="false" ht="12.75" hidden="false" customHeight="false" outlineLevel="0" collapsed="false">
      <c r="A2641" s="0" t="n">
        <f aca="false">B2641*1000+C2641</f>
        <v>42084</v>
      </c>
      <c r="B2641" s="0" t="n">
        <v>42</v>
      </c>
      <c r="C2641" s="0" t="n">
        <v>84</v>
      </c>
      <c r="D2641" s="0" t="n">
        <v>6890</v>
      </c>
      <c r="E2641" s="0" t="n">
        <f aca="false">VLOOKUP(B2641,'MSA-Lookup'!$H$2:$I$86,2)</f>
        <v>360</v>
      </c>
      <c r="F2641" s="0" t="n">
        <f aca="false">IF(C2641&gt;1,IF(C2641&lt;99,VLOOKUP(C2641,'MSA-Lookup'!$H$1:$I$86,2),C2641),C2641)</f>
        <v>360</v>
      </c>
      <c r="G2641" s="0" t="n">
        <f aca="false">VLOOKUP(E2641,'MSA-Lookup'!$AA$1:$AB$25,2)</f>
        <v>4472</v>
      </c>
      <c r="H2641" s="0" t="n">
        <f aca="false">IF(C2641&gt;1,IF(C2641&lt;99,VLOOKUP(F2641,'MSA-Lookup'!$AA$1:$AB$25,2),C2641),C2641)</f>
        <v>4472</v>
      </c>
    </row>
    <row r="2642" customFormat="false" ht="12.75" hidden="false" customHeight="false" outlineLevel="0" collapsed="false">
      <c r="A2642" s="0" t="n">
        <f aca="false">B2642*1000+C2642</f>
        <v>42085</v>
      </c>
      <c r="B2642" s="0" t="n">
        <v>42</v>
      </c>
      <c r="C2642" s="0" t="n">
        <v>85</v>
      </c>
      <c r="D2642" s="0" t="n">
        <v>0</v>
      </c>
      <c r="E2642" s="0" t="n">
        <f aca="false">VLOOKUP(B2642,'MSA-Lookup'!$H$2:$I$86,2)</f>
        <v>360</v>
      </c>
      <c r="F2642" s="0" t="n">
        <f aca="false">IF(C2642&gt;1,IF(C2642&lt;99,VLOOKUP(C2642,'MSA-Lookup'!$H$1:$I$86,2),C2642),C2642)</f>
        <v>8120</v>
      </c>
      <c r="G2642" s="0" t="n">
        <f aca="false">VLOOKUP(E2642,'MSA-Lookup'!$AA$1:$AB$25,2)</f>
        <v>4472</v>
      </c>
      <c r="H2642" s="0" t="n">
        <f aca="false">IF(C2642&gt;1,IF(C2642&lt;99,VLOOKUP(F2642,'MSA-Lookup'!$AA$1:$AB$25,2),C2642),C2642)</f>
        <v>8120</v>
      </c>
    </row>
    <row r="2643" customFormat="false" ht="12.75" hidden="false" customHeight="false" outlineLevel="0" collapsed="false">
      <c r="A2643" s="0" t="n">
        <f aca="false">B2643*1000+C2643</f>
        <v>42858</v>
      </c>
      <c r="B2643" s="0" t="n">
        <v>42</v>
      </c>
      <c r="C2643" s="0" t="n">
        <v>858</v>
      </c>
      <c r="D2643" s="0" t="n">
        <v>0</v>
      </c>
      <c r="E2643" s="0" t="n">
        <f aca="false">VLOOKUP(B2643,'MSA-Lookup'!$H$2:$I$86,2)</f>
        <v>360</v>
      </c>
      <c r="F2643" s="0" t="n">
        <f aca="false">IF(C2643&gt;1,IF(C2643&lt;99,VLOOKUP(C2643,'MSA-Lookup'!$H$1:$I$86,2),C2643),C2643)</f>
        <v>858</v>
      </c>
      <c r="G2643" s="0" t="n">
        <f aca="false">VLOOKUP(E2643,'MSA-Lookup'!$AA$1:$AB$25,2)</f>
        <v>4472</v>
      </c>
      <c r="H2643" s="0" t="n">
        <f aca="false">IF(C2643&gt;1,IF(C2643&lt;99,VLOOKUP(F2643,'MSA-Lookup'!$AA$1:$AB$25,2),C2643),C2643)</f>
        <v>858</v>
      </c>
    </row>
    <row r="2644" customFormat="false" ht="12.75" hidden="false" customHeight="false" outlineLevel="0" collapsed="false">
      <c r="A2644" s="0" t="n">
        <f aca="false">B2644*1000+C2644</f>
        <v>42983</v>
      </c>
      <c r="B2644" s="0" t="n">
        <v>42</v>
      </c>
      <c r="C2644" s="0" t="n">
        <v>983</v>
      </c>
      <c r="D2644" s="0" t="n">
        <v>0</v>
      </c>
      <c r="E2644" s="0" t="n">
        <f aca="false">VLOOKUP(B2644,'MSA-Lookup'!$H$2:$I$86,2)</f>
        <v>360</v>
      </c>
      <c r="F2644" s="0" t="n">
        <f aca="false">IF(C2644&gt;1,IF(C2644&lt;99,VLOOKUP(C2644,'MSA-Lookup'!$H$1:$I$86,2),C2644),C2644)</f>
        <v>983</v>
      </c>
      <c r="G2644" s="0" t="n">
        <f aca="false">VLOOKUP(E2644,'MSA-Lookup'!$AA$1:$AB$25,2)</f>
        <v>4472</v>
      </c>
      <c r="H2644" s="0" t="n">
        <f aca="false">IF(C2644&gt;1,IF(C2644&lt;99,VLOOKUP(F2644,'MSA-Lookup'!$AA$1:$AB$25,2),C2644),C2644)</f>
        <v>983</v>
      </c>
    </row>
    <row r="2645" customFormat="false" ht="12.75" hidden="false" customHeight="false" outlineLevel="0" collapsed="false">
      <c r="A2645" s="0" t="n">
        <f aca="false">B2645*1000+C2645</f>
        <v>42999</v>
      </c>
      <c r="B2645" s="0" t="n">
        <v>42</v>
      </c>
      <c r="C2645" s="0" t="n">
        <v>999</v>
      </c>
      <c r="D2645" s="0" t="n">
        <v>0</v>
      </c>
      <c r="E2645" s="0" t="n">
        <f aca="false">VLOOKUP(B2645,'MSA-Lookup'!$H$2:$I$86,2)</f>
        <v>360</v>
      </c>
      <c r="F2645" s="0" t="n">
        <f aca="false">IF(C2645&gt;1,IF(C2645&lt;99,VLOOKUP(C2645,'MSA-Lookup'!$H$1:$I$86,2),C2645),C2645)</f>
        <v>999</v>
      </c>
      <c r="G2645" s="0" t="n">
        <f aca="false">VLOOKUP(E2645,'MSA-Lookup'!$AA$1:$AB$25,2)</f>
        <v>4472</v>
      </c>
      <c r="H2645" s="0" t="n">
        <f aca="false">IF(C2645&gt;1,IF(C2645&lt;99,VLOOKUP(F2645,'MSA-Lookup'!$AA$1:$AB$25,2),C2645),C2645)</f>
        <v>999</v>
      </c>
    </row>
    <row r="2646" customFormat="false" ht="12.75" hidden="false" customHeight="false" outlineLevel="0" collapsed="false">
      <c r="A2646" s="0" t="n">
        <f aca="false">B2646*1000+C2646</f>
        <v>43000</v>
      </c>
      <c r="B2646" s="0" t="n">
        <v>43</v>
      </c>
      <c r="C2646" s="0" t="n">
        <v>0</v>
      </c>
      <c r="D2646" s="0" t="n">
        <v>60866</v>
      </c>
      <c r="E2646" s="0" t="n">
        <f aca="false">VLOOKUP(B2646,'MSA-Lookup'!$H$2:$I$86,2)</f>
        <v>360</v>
      </c>
      <c r="F2646" s="0" t="n">
        <f aca="false">IF(C2646&gt;1,IF(C2646&lt;99,VLOOKUP(C2646,'MSA-Lookup'!$H$1:$I$86,2),C2646),C2646)</f>
        <v>0</v>
      </c>
      <c r="G2646" s="0" t="n">
        <f aca="false">VLOOKUP(E2646,'MSA-Lookup'!$AA$1:$AB$25,2)</f>
        <v>4472</v>
      </c>
      <c r="H2646" s="0" t="n">
        <f aca="false">IF(C2646&gt;1,IF(C2646&lt;99,VLOOKUP(F2646,'MSA-Lookup'!$AA$1:$AB$25,2),C2646),C2646)</f>
        <v>0</v>
      </c>
    </row>
    <row r="2647" customFormat="false" ht="12.75" hidden="false" customHeight="false" outlineLevel="0" collapsed="false">
      <c r="A2647" s="0" t="n">
        <f aca="false">B2647*1000+C2647</f>
        <v>43001</v>
      </c>
      <c r="B2647" s="0" t="n">
        <v>43</v>
      </c>
      <c r="C2647" s="0" t="n">
        <v>1</v>
      </c>
      <c r="D2647" s="0" t="n">
        <v>0</v>
      </c>
      <c r="E2647" s="0" t="n">
        <f aca="false">VLOOKUP(B2647,'MSA-Lookup'!$H$2:$I$86,2)</f>
        <v>360</v>
      </c>
      <c r="F2647" s="0" t="n">
        <f aca="false">IF(C2647&gt;1,IF(C2647&lt;99,VLOOKUP(C2647,'MSA-Lookup'!$H$1:$I$86,2),C2647),C2647)</f>
        <v>1</v>
      </c>
      <c r="G2647" s="0" t="n">
        <f aca="false">VLOOKUP(E2647,'MSA-Lookup'!$AA$1:$AB$25,2)</f>
        <v>4472</v>
      </c>
      <c r="H2647" s="0" t="n">
        <f aca="false">IF(C2647&gt;1,IF(C2647&lt;99,VLOOKUP(F2647,'MSA-Lookup'!$AA$1:$AB$25,2),C2647),C2647)</f>
        <v>1</v>
      </c>
    </row>
    <row r="2648" customFormat="false" ht="12.75" hidden="false" customHeight="false" outlineLevel="0" collapsed="false">
      <c r="A2648" s="0" t="n">
        <f aca="false">B2648*1000+C2648</f>
        <v>43002</v>
      </c>
      <c r="B2648" s="0" t="n">
        <v>43</v>
      </c>
      <c r="C2648" s="0" t="n">
        <v>2</v>
      </c>
      <c r="D2648" s="0" t="n">
        <v>0</v>
      </c>
      <c r="E2648" s="0" t="n">
        <f aca="false">VLOOKUP(B2648,'MSA-Lookup'!$H$2:$I$86,2)</f>
        <v>360</v>
      </c>
      <c r="F2648" s="0" t="n">
        <f aca="false">IF(C2648&gt;1,IF(C2648&lt;99,VLOOKUP(C2648,'MSA-Lookup'!$H$1:$I$86,2),C2648),C2648)</f>
        <v>9999</v>
      </c>
      <c r="G2648" s="0" t="n">
        <f aca="false">VLOOKUP(E2648,'MSA-Lookup'!$AA$1:$AB$25,2)</f>
        <v>4472</v>
      </c>
      <c r="H2648" s="0" t="n">
        <f aca="false">IF(C2648&gt;1,IF(C2648&lt;99,VLOOKUP(F2648,'MSA-Lookup'!$AA$1:$AB$25,2),C2648),C2648)</f>
        <v>9999</v>
      </c>
    </row>
    <row r="2649" customFormat="false" ht="12.75" hidden="false" customHeight="false" outlineLevel="0" collapsed="false">
      <c r="A2649" s="0" t="n">
        <f aca="false">B2649*1000+C2649</f>
        <v>43003</v>
      </c>
      <c r="B2649" s="0" t="n">
        <v>43</v>
      </c>
      <c r="C2649" s="0" t="n">
        <v>3</v>
      </c>
      <c r="D2649" s="0" t="n">
        <v>169</v>
      </c>
      <c r="E2649" s="0" t="n">
        <f aca="false">VLOOKUP(B2649,'MSA-Lookup'!$H$2:$I$86,2)</f>
        <v>360</v>
      </c>
      <c r="F2649" s="0" t="n">
        <f aca="false">IF(C2649&gt;1,IF(C2649&lt;99,VLOOKUP(C2649,'MSA-Lookup'!$H$1:$I$86,2),C2649),C2649)</f>
        <v>6690</v>
      </c>
      <c r="G2649" s="0" t="n">
        <f aca="false">VLOOKUP(E2649,'MSA-Lookup'!$AA$1:$AB$25,2)</f>
        <v>4472</v>
      </c>
      <c r="H2649" s="0" t="n">
        <f aca="false">IF(C2649&gt;1,IF(C2649&lt;99,VLOOKUP(F2649,'MSA-Lookup'!$AA$1:$AB$25,2),C2649),C2649)</f>
        <v>6690</v>
      </c>
    </row>
    <row r="2650" customFormat="false" ht="12.75" hidden="false" customHeight="false" outlineLevel="0" collapsed="false">
      <c r="A2650" s="0" t="n">
        <f aca="false">B2650*1000+C2650</f>
        <v>43004</v>
      </c>
      <c r="B2650" s="0" t="n">
        <v>43</v>
      </c>
      <c r="C2650" s="0" t="n">
        <v>4</v>
      </c>
      <c r="D2650" s="0" t="n">
        <v>0</v>
      </c>
      <c r="E2650" s="0" t="n">
        <f aca="false">VLOOKUP(B2650,'MSA-Lookup'!$H$2:$I$86,2)</f>
        <v>360</v>
      </c>
      <c r="F2650" s="0" t="n">
        <f aca="false">IF(C2650&gt;1,IF(C2650&lt;99,VLOOKUP(C2650,'MSA-Lookup'!$H$1:$I$86,2),C2650),C2650)</f>
        <v>9999</v>
      </c>
      <c r="G2650" s="0" t="n">
        <f aca="false">VLOOKUP(E2650,'MSA-Lookup'!$AA$1:$AB$25,2)</f>
        <v>4472</v>
      </c>
      <c r="H2650" s="0" t="n">
        <f aca="false">IF(C2650&gt;1,IF(C2650&lt;99,VLOOKUP(F2650,'MSA-Lookup'!$AA$1:$AB$25,2),C2650),C2650)</f>
        <v>9999</v>
      </c>
    </row>
    <row r="2651" customFormat="false" ht="12.75" hidden="false" customHeight="false" outlineLevel="0" collapsed="false">
      <c r="A2651" s="0" t="n">
        <f aca="false">B2651*1000+C2651</f>
        <v>43005</v>
      </c>
      <c r="B2651" s="0" t="n">
        <v>43</v>
      </c>
      <c r="C2651" s="0" t="n">
        <v>5</v>
      </c>
      <c r="D2651" s="0" t="n">
        <v>0</v>
      </c>
      <c r="E2651" s="0" t="n">
        <f aca="false">VLOOKUP(B2651,'MSA-Lookup'!$H$2:$I$86,2)</f>
        <v>360</v>
      </c>
      <c r="F2651" s="0" t="n">
        <f aca="false">IF(C2651&gt;1,IF(C2651&lt;99,VLOOKUP(C2651,'MSA-Lookup'!$H$1:$I$86,2),C2651),C2651)</f>
        <v>9999</v>
      </c>
      <c r="G2651" s="0" t="n">
        <f aca="false">VLOOKUP(E2651,'MSA-Lookup'!$AA$1:$AB$25,2)</f>
        <v>4472</v>
      </c>
      <c r="H2651" s="0" t="n">
        <f aca="false">IF(C2651&gt;1,IF(C2651&lt;99,VLOOKUP(F2651,'MSA-Lookup'!$AA$1:$AB$25,2),C2651),C2651)</f>
        <v>9999</v>
      </c>
    </row>
    <row r="2652" customFormat="false" ht="12.75" hidden="false" customHeight="false" outlineLevel="0" collapsed="false">
      <c r="A2652" s="0" t="n">
        <f aca="false">B2652*1000+C2652</f>
        <v>43006</v>
      </c>
      <c r="B2652" s="0" t="n">
        <v>43</v>
      </c>
      <c r="C2652" s="0" t="n">
        <v>6</v>
      </c>
      <c r="D2652" s="0" t="n">
        <v>0</v>
      </c>
      <c r="E2652" s="0" t="n">
        <f aca="false">VLOOKUP(B2652,'MSA-Lookup'!$H$2:$I$86,2)</f>
        <v>360</v>
      </c>
      <c r="F2652" s="0" t="n">
        <f aca="false">IF(C2652&gt;1,IF(C2652&lt;99,VLOOKUP(C2652,'MSA-Lookup'!$H$1:$I$86,2),C2652),C2652)</f>
        <v>1620</v>
      </c>
      <c r="G2652" s="0" t="n">
        <f aca="false">VLOOKUP(E2652,'MSA-Lookup'!$AA$1:$AB$25,2)</f>
        <v>4472</v>
      </c>
      <c r="H2652" s="0" t="n">
        <f aca="false">IF(C2652&gt;1,IF(C2652&lt;99,VLOOKUP(F2652,'MSA-Lookup'!$AA$1:$AB$25,2),C2652),C2652)</f>
        <v>1620</v>
      </c>
    </row>
    <row r="2653" customFormat="false" ht="12.75" hidden="false" customHeight="false" outlineLevel="0" collapsed="false">
      <c r="A2653" s="0" t="n">
        <f aca="false">B2653*1000+C2653</f>
        <v>43007</v>
      </c>
      <c r="B2653" s="0" t="n">
        <v>43</v>
      </c>
      <c r="C2653" s="0" t="n">
        <v>7</v>
      </c>
      <c r="D2653" s="0" t="n">
        <v>0</v>
      </c>
      <c r="E2653" s="0" t="n">
        <f aca="false">VLOOKUP(B2653,'MSA-Lookup'!$H$2:$I$86,2)</f>
        <v>360</v>
      </c>
      <c r="F2653" s="0" t="n">
        <f aca="false">IF(C2653&gt;1,IF(C2653&lt;99,VLOOKUP(C2653,'MSA-Lookup'!$H$1:$I$86,2),C2653),C2653)</f>
        <v>9999</v>
      </c>
      <c r="G2653" s="0" t="n">
        <f aca="false">VLOOKUP(E2653,'MSA-Lookup'!$AA$1:$AB$25,2)</f>
        <v>4472</v>
      </c>
      <c r="H2653" s="0" t="n">
        <f aca="false">IF(C2653&gt;1,IF(C2653&lt;99,VLOOKUP(F2653,'MSA-Lookup'!$AA$1:$AB$25,2),C2653),C2653)</f>
        <v>9999</v>
      </c>
    </row>
    <row r="2654" customFormat="false" ht="12.75" hidden="false" customHeight="false" outlineLevel="0" collapsed="false">
      <c r="A2654" s="0" t="n">
        <f aca="false">B2654*1000+C2654</f>
        <v>43008</v>
      </c>
      <c r="B2654" s="0" t="n">
        <v>43</v>
      </c>
      <c r="C2654" s="0" t="n">
        <v>8</v>
      </c>
      <c r="D2654" s="0" t="n">
        <v>0</v>
      </c>
      <c r="E2654" s="0" t="n">
        <f aca="false">VLOOKUP(B2654,'MSA-Lookup'!$H$2:$I$86,2)</f>
        <v>360</v>
      </c>
      <c r="F2654" s="0" t="n">
        <f aca="false">IF(C2654&gt;1,IF(C2654&lt;99,VLOOKUP(C2654,'MSA-Lookup'!$H$1:$I$86,2),C2654),C2654)</f>
        <v>9340</v>
      </c>
      <c r="G2654" s="0" t="n">
        <f aca="false">VLOOKUP(E2654,'MSA-Lookup'!$AA$1:$AB$25,2)</f>
        <v>4472</v>
      </c>
      <c r="H2654" s="0" t="n">
        <f aca="false">IF(C2654&gt;1,IF(C2654&lt;99,VLOOKUP(F2654,'MSA-Lookup'!$AA$1:$AB$25,2),C2654),C2654)</f>
        <v>9340</v>
      </c>
    </row>
    <row r="2655" customFormat="false" ht="12.75" hidden="false" customHeight="false" outlineLevel="0" collapsed="false">
      <c r="A2655" s="0" t="n">
        <f aca="false">B2655*1000+C2655</f>
        <v>43009</v>
      </c>
      <c r="B2655" s="0" t="n">
        <v>43</v>
      </c>
      <c r="C2655" s="0" t="n">
        <v>9</v>
      </c>
      <c r="D2655" s="0" t="n">
        <v>0</v>
      </c>
      <c r="E2655" s="0" t="n">
        <f aca="false">VLOOKUP(B2655,'MSA-Lookup'!$H$2:$I$86,2)</f>
        <v>360</v>
      </c>
      <c r="F2655" s="0" t="n">
        <f aca="false">IF(C2655&gt;1,IF(C2655&lt;99,VLOOKUP(C2655,'MSA-Lookup'!$H$1:$I$86,2),C2655),C2655)</f>
        <v>8720</v>
      </c>
      <c r="G2655" s="0" t="n">
        <f aca="false">VLOOKUP(E2655,'MSA-Lookup'!$AA$1:$AB$25,2)</f>
        <v>4472</v>
      </c>
      <c r="H2655" s="0" t="n">
        <f aca="false">IF(C2655&gt;1,IF(C2655&lt;99,VLOOKUP(F2655,'MSA-Lookup'!$AA$1:$AB$25,2),C2655),C2655)</f>
        <v>7362</v>
      </c>
    </row>
    <row r="2656" customFormat="false" ht="12.75" hidden="false" customHeight="false" outlineLevel="0" collapsed="false">
      <c r="A2656" s="0" t="n">
        <f aca="false">B2656*1000+C2656</f>
        <v>43010</v>
      </c>
      <c r="B2656" s="0" t="n">
        <v>43</v>
      </c>
      <c r="C2656" s="0" t="n">
        <v>10</v>
      </c>
      <c r="D2656" s="0" t="n">
        <v>104</v>
      </c>
      <c r="E2656" s="0" t="n">
        <f aca="false">VLOOKUP(B2656,'MSA-Lookup'!$H$2:$I$86,2)</f>
        <v>360</v>
      </c>
      <c r="F2656" s="0" t="n">
        <f aca="false">IF(C2656&gt;1,IF(C2656&lt;99,VLOOKUP(C2656,'MSA-Lookup'!$H$1:$I$86,2),C2656),C2656)</f>
        <v>6920</v>
      </c>
      <c r="G2656" s="0" t="n">
        <f aca="false">VLOOKUP(E2656,'MSA-Lookup'!$AA$1:$AB$25,2)</f>
        <v>4472</v>
      </c>
      <c r="H2656" s="0" t="n">
        <f aca="false">IF(C2656&gt;1,IF(C2656&lt;99,VLOOKUP(F2656,'MSA-Lookup'!$AA$1:$AB$25,2),C2656),C2656)</f>
        <v>6920</v>
      </c>
    </row>
    <row r="2657" customFormat="false" ht="12.75" hidden="false" customHeight="false" outlineLevel="0" collapsed="false">
      <c r="A2657" s="0" t="n">
        <f aca="false">B2657*1000+C2657</f>
        <v>43011</v>
      </c>
      <c r="B2657" s="0" t="n">
        <v>43</v>
      </c>
      <c r="C2657" s="0" t="n">
        <v>11</v>
      </c>
      <c r="D2657" s="0" t="n">
        <v>0</v>
      </c>
      <c r="E2657" s="0" t="n">
        <f aca="false">VLOOKUP(B2657,'MSA-Lookup'!$H$2:$I$86,2)</f>
        <v>360</v>
      </c>
      <c r="F2657" s="0" t="n">
        <f aca="false">IF(C2657&gt;1,IF(C2657&lt;99,VLOOKUP(C2657,'MSA-Lookup'!$H$1:$I$86,2),C2657),C2657)</f>
        <v>6920</v>
      </c>
      <c r="G2657" s="0" t="n">
        <f aca="false">VLOOKUP(E2657,'MSA-Lookup'!$AA$1:$AB$25,2)</f>
        <v>4472</v>
      </c>
      <c r="H2657" s="0" t="n">
        <f aca="false">IF(C2657&gt;1,IF(C2657&lt;99,VLOOKUP(F2657,'MSA-Lookup'!$AA$1:$AB$25,2),C2657),C2657)</f>
        <v>6920</v>
      </c>
    </row>
    <row r="2658" customFormat="false" ht="12.75" hidden="false" customHeight="false" outlineLevel="0" collapsed="false">
      <c r="A2658" s="0" t="n">
        <f aca="false">B2658*1000+C2658</f>
        <v>43012</v>
      </c>
      <c r="B2658" s="0" t="n">
        <v>43</v>
      </c>
      <c r="C2658" s="0" t="n">
        <v>12</v>
      </c>
      <c r="D2658" s="0" t="n">
        <v>0</v>
      </c>
      <c r="E2658" s="0" t="n">
        <f aca="false">VLOOKUP(B2658,'MSA-Lookup'!$H$2:$I$86,2)</f>
        <v>360</v>
      </c>
      <c r="F2658" s="0" t="n">
        <f aca="false">IF(C2658&gt;1,IF(C2658&lt;99,VLOOKUP(C2658,'MSA-Lookup'!$H$1:$I$86,2),C2658),C2658)</f>
        <v>6920</v>
      </c>
      <c r="G2658" s="0" t="n">
        <f aca="false">VLOOKUP(E2658,'MSA-Lookup'!$AA$1:$AB$25,2)</f>
        <v>4472</v>
      </c>
      <c r="H2658" s="0" t="n">
        <f aca="false">IF(C2658&gt;1,IF(C2658&lt;99,VLOOKUP(F2658,'MSA-Lookup'!$AA$1:$AB$25,2),C2658),C2658)</f>
        <v>6920</v>
      </c>
    </row>
    <row r="2659" customFormat="false" ht="12.75" hidden="false" customHeight="false" outlineLevel="0" collapsed="false">
      <c r="A2659" s="0" t="n">
        <f aca="false">B2659*1000+C2659</f>
        <v>43013</v>
      </c>
      <c r="B2659" s="0" t="n">
        <v>43</v>
      </c>
      <c r="C2659" s="0" t="n">
        <v>13</v>
      </c>
      <c r="D2659" s="0" t="n">
        <v>0</v>
      </c>
      <c r="E2659" s="0" t="n">
        <f aca="false">VLOOKUP(B2659,'MSA-Lookup'!$H$2:$I$86,2)</f>
        <v>360</v>
      </c>
      <c r="F2659" s="0" t="n">
        <f aca="false">IF(C2659&gt;1,IF(C2659&lt;99,VLOOKUP(C2659,'MSA-Lookup'!$H$1:$I$86,2),C2659),C2659)</f>
        <v>7500</v>
      </c>
      <c r="G2659" s="0" t="n">
        <f aca="false">VLOOKUP(E2659,'MSA-Lookup'!$AA$1:$AB$25,2)</f>
        <v>4472</v>
      </c>
      <c r="H2659" s="0" t="n">
        <f aca="false">IF(C2659&gt;1,IF(C2659&lt;99,VLOOKUP(F2659,'MSA-Lookup'!$AA$1:$AB$25,2),C2659),C2659)</f>
        <v>7362</v>
      </c>
    </row>
    <row r="2660" customFormat="false" ht="12.75" hidden="false" customHeight="false" outlineLevel="0" collapsed="false">
      <c r="A2660" s="0" t="n">
        <f aca="false">B2660*1000+C2660</f>
        <v>43014</v>
      </c>
      <c r="B2660" s="0" t="n">
        <v>43</v>
      </c>
      <c r="C2660" s="0" t="n">
        <v>14</v>
      </c>
      <c r="D2660" s="0" t="n">
        <v>0</v>
      </c>
      <c r="E2660" s="0" t="n">
        <f aca="false">VLOOKUP(B2660,'MSA-Lookup'!$H$2:$I$86,2)</f>
        <v>360</v>
      </c>
      <c r="F2660" s="0" t="n">
        <f aca="false">IF(C2660&gt;1,IF(C2660&lt;99,VLOOKUP(C2660,'MSA-Lookup'!$H$1:$I$86,2),C2660),C2660)</f>
        <v>7500</v>
      </c>
      <c r="G2660" s="0" t="n">
        <f aca="false">VLOOKUP(E2660,'MSA-Lookup'!$AA$1:$AB$25,2)</f>
        <v>4472</v>
      </c>
      <c r="H2660" s="0" t="n">
        <f aca="false">IF(C2660&gt;1,IF(C2660&lt;99,VLOOKUP(F2660,'MSA-Lookup'!$AA$1:$AB$25,2),C2660),C2660)</f>
        <v>7362</v>
      </c>
    </row>
    <row r="2661" customFormat="false" ht="12.75" hidden="false" customHeight="false" outlineLevel="0" collapsed="false">
      <c r="A2661" s="0" t="n">
        <f aca="false">B2661*1000+C2661</f>
        <v>43015</v>
      </c>
      <c r="B2661" s="0" t="n">
        <v>43</v>
      </c>
      <c r="C2661" s="0" t="n">
        <v>15</v>
      </c>
      <c r="D2661" s="0" t="n">
        <v>0</v>
      </c>
      <c r="E2661" s="0" t="n">
        <f aca="false">VLOOKUP(B2661,'MSA-Lookup'!$H$2:$I$86,2)</f>
        <v>360</v>
      </c>
      <c r="F2661" s="0" t="n">
        <f aca="false">IF(C2661&gt;1,IF(C2661&lt;99,VLOOKUP(C2661,'MSA-Lookup'!$H$1:$I$86,2),C2661),C2661)</f>
        <v>7360</v>
      </c>
      <c r="G2661" s="0" t="n">
        <f aca="false">VLOOKUP(E2661,'MSA-Lookup'!$AA$1:$AB$25,2)</f>
        <v>4472</v>
      </c>
      <c r="H2661" s="0" t="n">
        <f aca="false">IF(C2661&gt;1,IF(C2661&lt;99,VLOOKUP(F2661,'MSA-Lookup'!$AA$1:$AB$25,2),C2661),C2661)</f>
        <v>7362</v>
      </c>
    </row>
    <row r="2662" customFormat="false" ht="12.75" hidden="false" customHeight="false" outlineLevel="0" collapsed="false">
      <c r="A2662" s="0" t="n">
        <f aca="false">B2662*1000+C2662</f>
        <v>43016</v>
      </c>
      <c r="B2662" s="0" t="n">
        <v>43</v>
      </c>
      <c r="C2662" s="0" t="n">
        <v>16</v>
      </c>
      <c r="D2662" s="0" t="n">
        <v>0</v>
      </c>
      <c r="E2662" s="0" t="n">
        <f aca="false">VLOOKUP(B2662,'MSA-Lookup'!$H$2:$I$86,2)</f>
        <v>360</v>
      </c>
      <c r="F2662" s="0" t="n">
        <f aca="false">IF(C2662&gt;1,IF(C2662&lt;99,VLOOKUP(C2662,'MSA-Lookup'!$H$1:$I$86,2),C2662),C2662)</f>
        <v>8720</v>
      </c>
      <c r="G2662" s="0" t="n">
        <f aca="false">VLOOKUP(E2662,'MSA-Lookup'!$AA$1:$AB$25,2)</f>
        <v>4472</v>
      </c>
      <c r="H2662" s="0" t="n">
        <f aca="false">IF(C2662&gt;1,IF(C2662&lt;99,VLOOKUP(F2662,'MSA-Lookup'!$AA$1:$AB$25,2),C2662),C2662)</f>
        <v>7362</v>
      </c>
    </row>
    <row r="2663" customFormat="false" ht="12.75" hidden="false" customHeight="false" outlineLevel="0" collapsed="false">
      <c r="A2663" s="0" t="n">
        <f aca="false">B2663*1000+C2663</f>
        <v>43017</v>
      </c>
      <c r="B2663" s="0" t="n">
        <v>43</v>
      </c>
      <c r="C2663" s="0" t="n">
        <v>17</v>
      </c>
      <c r="D2663" s="0" t="n">
        <v>0</v>
      </c>
      <c r="E2663" s="0" t="n">
        <f aca="false">VLOOKUP(B2663,'MSA-Lookup'!$H$2:$I$86,2)</f>
        <v>360</v>
      </c>
      <c r="F2663" s="0" t="n">
        <f aca="false">IF(C2663&gt;1,IF(C2663&lt;99,VLOOKUP(C2663,'MSA-Lookup'!$H$1:$I$86,2),C2663),C2663)</f>
        <v>5775</v>
      </c>
      <c r="G2663" s="0" t="n">
        <f aca="false">VLOOKUP(E2663,'MSA-Lookup'!$AA$1:$AB$25,2)</f>
        <v>4472</v>
      </c>
      <c r="H2663" s="0" t="n">
        <f aca="false">IF(C2663&gt;1,IF(C2663&lt;99,VLOOKUP(F2663,'MSA-Lookup'!$AA$1:$AB$25,2),C2663),C2663)</f>
        <v>7362</v>
      </c>
    </row>
    <row r="2664" customFormat="false" ht="12.75" hidden="false" customHeight="false" outlineLevel="0" collapsed="false">
      <c r="A2664" s="0" t="n">
        <f aca="false">B2664*1000+C2664</f>
        <v>43018</v>
      </c>
      <c r="B2664" s="0" t="n">
        <v>43</v>
      </c>
      <c r="C2664" s="0" t="n">
        <v>18</v>
      </c>
      <c r="D2664" s="0" t="n">
        <v>130</v>
      </c>
      <c r="E2664" s="0" t="n">
        <f aca="false">VLOOKUP(B2664,'MSA-Lookup'!$H$2:$I$86,2)</f>
        <v>360</v>
      </c>
      <c r="F2664" s="0" t="n">
        <f aca="false">IF(C2664&gt;1,IF(C2664&lt;99,VLOOKUP(C2664,'MSA-Lookup'!$H$1:$I$86,2),C2664),C2664)</f>
        <v>5775</v>
      </c>
      <c r="G2664" s="0" t="n">
        <f aca="false">VLOOKUP(E2664,'MSA-Lookup'!$AA$1:$AB$25,2)</f>
        <v>4472</v>
      </c>
      <c r="H2664" s="0" t="n">
        <f aca="false">IF(C2664&gt;1,IF(C2664&lt;99,VLOOKUP(F2664,'MSA-Lookup'!$AA$1:$AB$25,2),C2664),C2664)</f>
        <v>7362</v>
      </c>
    </row>
    <row r="2665" customFormat="false" ht="12.75" hidden="false" customHeight="false" outlineLevel="0" collapsed="false">
      <c r="A2665" s="0" t="n">
        <f aca="false">B2665*1000+C2665</f>
        <v>43019</v>
      </c>
      <c r="B2665" s="0" t="n">
        <v>43</v>
      </c>
      <c r="C2665" s="0" t="n">
        <v>19</v>
      </c>
      <c r="D2665" s="0" t="n">
        <v>91</v>
      </c>
      <c r="E2665" s="0" t="n">
        <f aca="false">VLOOKUP(B2665,'MSA-Lookup'!$H$2:$I$86,2)</f>
        <v>360</v>
      </c>
      <c r="F2665" s="0" t="n">
        <f aca="false">IF(C2665&gt;1,IF(C2665&lt;99,VLOOKUP(C2665,'MSA-Lookup'!$H$1:$I$86,2),C2665),C2665)</f>
        <v>7360</v>
      </c>
      <c r="G2665" s="0" t="n">
        <f aca="false">VLOOKUP(E2665,'MSA-Lookup'!$AA$1:$AB$25,2)</f>
        <v>4472</v>
      </c>
      <c r="H2665" s="0" t="n">
        <f aca="false">IF(C2665&gt;1,IF(C2665&lt;99,VLOOKUP(F2665,'MSA-Lookup'!$AA$1:$AB$25,2),C2665),C2665)</f>
        <v>7362</v>
      </c>
    </row>
    <row r="2666" customFormat="false" ht="12.75" hidden="false" customHeight="false" outlineLevel="0" collapsed="false">
      <c r="A2666" s="0" t="n">
        <f aca="false">B2666*1000+C2666</f>
        <v>43020</v>
      </c>
      <c r="B2666" s="0" t="n">
        <v>43</v>
      </c>
      <c r="C2666" s="0" t="n">
        <v>20</v>
      </c>
      <c r="D2666" s="0" t="n">
        <v>0</v>
      </c>
      <c r="E2666" s="0" t="n">
        <f aca="false">VLOOKUP(B2666,'MSA-Lookup'!$H$2:$I$86,2)</f>
        <v>360</v>
      </c>
      <c r="F2666" s="0" t="n">
        <f aca="false">IF(C2666&gt;1,IF(C2666&lt;99,VLOOKUP(C2666,'MSA-Lookup'!$H$1:$I$86,2),C2666),C2666)</f>
        <v>5775</v>
      </c>
      <c r="G2666" s="0" t="n">
        <f aca="false">VLOOKUP(E2666,'MSA-Lookup'!$AA$1:$AB$25,2)</f>
        <v>4472</v>
      </c>
      <c r="H2666" s="0" t="n">
        <f aca="false">IF(C2666&gt;1,IF(C2666&lt;99,VLOOKUP(F2666,'MSA-Lookup'!$AA$1:$AB$25,2),C2666),C2666)</f>
        <v>7362</v>
      </c>
    </row>
    <row r="2667" customFormat="false" ht="12.75" hidden="false" customHeight="false" outlineLevel="0" collapsed="false">
      <c r="A2667" s="0" t="n">
        <f aca="false">B2667*1000+C2667</f>
        <v>43021</v>
      </c>
      <c r="B2667" s="0" t="n">
        <v>43</v>
      </c>
      <c r="C2667" s="0" t="n">
        <v>21</v>
      </c>
      <c r="D2667" s="0" t="n">
        <v>0</v>
      </c>
      <c r="E2667" s="0" t="n">
        <f aca="false">VLOOKUP(B2667,'MSA-Lookup'!$H$2:$I$86,2)</f>
        <v>360</v>
      </c>
      <c r="F2667" s="0" t="n">
        <f aca="false">IF(C2667&gt;1,IF(C2667&lt;99,VLOOKUP(C2667,'MSA-Lookup'!$H$1:$I$86,2),C2667),C2667)</f>
        <v>5775</v>
      </c>
      <c r="G2667" s="0" t="n">
        <f aca="false">VLOOKUP(E2667,'MSA-Lookup'!$AA$1:$AB$25,2)</f>
        <v>4472</v>
      </c>
      <c r="H2667" s="0" t="n">
        <f aca="false">IF(C2667&gt;1,IF(C2667&lt;99,VLOOKUP(F2667,'MSA-Lookup'!$AA$1:$AB$25,2),C2667),C2667)</f>
        <v>7362</v>
      </c>
    </row>
    <row r="2668" customFormat="false" ht="12.75" hidden="false" customHeight="false" outlineLevel="0" collapsed="false">
      <c r="A2668" s="0" t="n">
        <f aca="false">B2668*1000+C2668</f>
        <v>43022</v>
      </c>
      <c r="B2668" s="0" t="n">
        <v>43</v>
      </c>
      <c r="C2668" s="0" t="n">
        <v>22</v>
      </c>
      <c r="D2668" s="0" t="n">
        <v>0</v>
      </c>
      <c r="E2668" s="0" t="n">
        <f aca="false">VLOOKUP(B2668,'MSA-Lookup'!$H$2:$I$86,2)</f>
        <v>360</v>
      </c>
      <c r="F2668" s="0" t="n">
        <f aca="false">IF(C2668&gt;1,IF(C2668&lt;99,VLOOKUP(C2668,'MSA-Lookup'!$H$1:$I$86,2),C2668),C2668)</f>
        <v>7360</v>
      </c>
      <c r="G2668" s="0" t="n">
        <f aca="false">VLOOKUP(E2668,'MSA-Lookup'!$AA$1:$AB$25,2)</f>
        <v>4472</v>
      </c>
      <c r="H2668" s="0" t="n">
        <f aca="false">IF(C2668&gt;1,IF(C2668&lt;99,VLOOKUP(F2668,'MSA-Lookup'!$AA$1:$AB$25,2),C2668),C2668)</f>
        <v>7362</v>
      </c>
    </row>
    <row r="2669" customFormat="false" ht="12.75" hidden="false" customHeight="false" outlineLevel="0" collapsed="false">
      <c r="A2669" s="0" t="n">
        <f aca="false">B2669*1000+C2669</f>
        <v>43023</v>
      </c>
      <c r="B2669" s="0" t="n">
        <v>43</v>
      </c>
      <c r="C2669" s="0" t="n">
        <v>23</v>
      </c>
      <c r="D2669" s="0" t="n">
        <v>0</v>
      </c>
      <c r="E2669" s="0" t="n">
        <f aca="false">VLOOKUP(B2669,'MSA-Lookup'!$H$2:$I$86,2)</f>
        <v>360</v>
      </c>
      <c r="F2669" s="0" t="n">
        <f aca="false">IF(C2669&gt;1,IF(C2669&lt;99,VLOOKUP(C2669,'MSA-Lookup'!$H$1:$I$86,2),C2669),C2669)</f>
        <v>8120</v>
      </c>
      <c r="G2669" s="0" t="n">
        <f aca="false">VLOOKUP(E2669,'MSA-Lookup'!$AA$1:$AB$25,2)</f>
        <v>4472</v>
      </c>
      <c r="H2669" s="0" t="n">
        <f aca="false">IF(C2669&gt;1,IF(C2669&lt;99,VLOOKUP(F2669,'MSA-Lookup'!$AA$1:$AB$25,2),C2669),C2669)</f>
        <v>8120</v>
      </c>
    </row>
    <row r="2670" customFormat="false" ht="12.75" hidden="false" customHeight="false" outlineLevel="0" collapsed="false">
      <c r="A2670" s="0" t="n">
        <f aca="false">B2670*1000+C2670</f>
        <v>43024</v>
      </c>
      <c r="B2670" s="0" t="n">
        <v>43</v>
      </c>
      <c r="C2670" s="0" t="n">
        <v>24</v>
      </c>
      <c r="D2670" s="0" t="n">
        <v>0</v>
      </c>
      <c r="E2670" s="0" t="n">
        <f aca="false">VLOOKUP(B2670,'MSA-Lookup'!$H$2:$I$86,2)</f>
        <v>360</v>
      </c>
      <c r="F2670" s="0" t="n">
        <f aca="false">IF(C2670&gt;1,IF(C2670&lt;99,VLOOKUP(C2670,'MSA-Lookup'!$H$1:$I$86,2),C2670),C2670)</f>
        <v>5170</v>
      </c>
      <c r="G2670" s="0" t="n">
        <f aca="false">VLOOKUP(E2670,'MSA-Lookup'!$AA$1:$AB$25,2)</f>
        <v>4472</v>
      </c>
      <c r="H2670" s="0" t="n">
        <f aca="false">IF(C2670&gt;1,IF(C2670&lt;99,VLOOKUP(F2670,'MSA-Lookup'!$AA$1:$AB$25,2),C2670),C2670)</f>
        <v>5170</v>
      </c>
    </row>
    <row r="2671" customFormat="false" ht="12.75" hidden="false" customHeight="false" outlineLevel="0" collapsed="false">
      <c r="A2671" s="0" t="n">
        <f aca="false">B2671*1000+C2671</f>
        <v>43025</v>
      </c>
      <c r="B2671" s="0" t="n">
        <v>43</v>
      </c>
      <c r="C2671" s="0" t="n">
        <v>25</v>
      </c>
      <c r="D2671" s="0" t="n">
        <v>0</v>
      </c>
      <c r="E2671" s="0" t="n">
        <f aca="false">VLOOKUP(B2671,'MSA-Lookup'!$H$2:$I$86,2)</f>
        <v>360</v>
      </c>
      <c r="F2671" s="0" t="n">
        <f aca="false">IF(C2671&gt;1,IF(C2671&lt;99,VLOOKUP(C2671,'MSA-Lookup'!$H$1:$I$86,2),C2671),C2671)</f>
        <v>5170</v>
      </c>
      <c r="G2671" s="0" t="n">
        <f aca="false">VLOOKUP(E2671,'MSA-Lookup'!$AA$1:$AB$25,2)</f>
        <v>4472</v>
      </c>
      <c r="H2671" s="0" t="n">
        <f aca="false">IF(C2671&gt;1,IF(C2671&lt;99,VLOOKUP(F2671,'MSA-Lookup'!$AA$1:$AB$25,2),C2671),C2671)</f>
        <v>5170</v>
      </c>
    </row>
    <row r="2672" customFormat="false" ht="12.75" hidden="false" customHeight="false" outlineLevel="0" collapsed="false">
      <c r="A2672" s="0" t="n">
        <f aca="false">B2672*1000+C2672</f>
        <v>43026</v>
      </c>
      <c r="B2672" s="0" t="n">
        <v>43</v>
      </c>
      <c r="C2672" s="0" t="n">
        <v>26</v>
      </c>
      <c r="D2672" s="0" t="n">
        <v>0</v>
      </c>
      <c r="E2672" s="0" t="n">
        <f aca="false">VLOOKUP(B2672,'MSA-Lookup'!$H$2:$I$86,2)</f>
        <v>360</v>
      </c>
      <c r="F2672" s="0" t="n">
        <f aca="false">IF(C2672&gt;1,IF(C2672&lt;99,VLOOKUP(C2672,'MSA-Lookup'!$H$1:$I$86,2),C2672),C2672)</f>
        <v>9999</v>
      </c>
      <c r="G2672" s="0" t="n">
        <f aca="false">VLOOKUP(E2672,'MSA-Lookup'!$AA$1:$AB$25,2)</f>
        <v>4472</v>
      </c>
      <c r="H2672" s="0" t="n">
        <f aca="false">IF(C2672&gt;1,IF(C2672&lt;99,VLOOKUP(F2672,'MSA-Lookup'!$AA$1:$AB$25,2),C2672),C2672)</f>
        <v>9999</v>
      </c>
    </row>
    <row r="2673" customFormat="false" ht="12.75" hidden="false" customHeight="false" outlineLevel="0" collapsed="false">
      <c r="A2673" s="0" t="n">
        <f aca="false">B2673*1000+C2673</f>
        <v>43027</v>
      </c>
      <c r="B2673" s="0" t="n">
        <v>43</v>
      </c>
      <c r="C2673" s="0" t="n">
        <v>27</v>
      </c>
      <c r="D2673" s="0" t="n">
        <v>0</v>
      </c>
      <c r="E2673" s="0" t="n">
        <f aca="false">VLOOKUP(B2673,'MSA-Lookup'!$H$2:$I$86,2)</f>
        <v>360</v>
      </c>
      <c r="F2673" s="0" t="n">
        <f aca="false">IF(C2673&gt;1,IF(C2673&lt;99,VLOOKUP(C2673,'MSA-Lookup'!$H$1:$I$86,2),C2673),C2673)</f>
        <v>9999</v>
      </c>
      <c r="G2673" s="0" t="n">
        <f aca="false">VLOOKUP(E2673,'MSA-Lookup'!$AA$1:$AB$25,2)</f>
        <v>4472</v>
      </c>
      <c r="H2673" s="0" t="n">
        <f aca="false">IF(C2673&gt;1,IF(C2673&lt;99,VLOOKUP(F2673,'MSA-Lookup'!$AA$1:$AB$25,2),C2673),C2673)</f>
        <v>9999</v>
      </c>
    </row>
    <row r="2674" customFormat="false" ht="12.75" hidden="false" customHeight="false" outlineLevel="0" collapsed="false">
      <c r="A2674" s="0" t="n">
        <f aca="false">B2674*1000+C2674</f>
        <v>43028</v>
      </c>
      <c r="B2674" s="0" t="n">
        <v>43</v>
      </c>
      <c r="C2674" s="0" t="n">
        <v>28</v>
      </c>
      <c r="D2674" s="0" t="n">
        <v>0</v>
      </c>
      <c r="E2674" s="0" t="n">
        <f aca="false">VLOOKUP(B2674,'MSA-Lookup'!$H$2:$I$86,2)</f>
        <v>360</v>
      </c>
      <c r="F2674" s="0" t="n">
        <f aca="false">IF(C2674&gt;1,IF(C2674&lt;99,VLOOKUP(C2674,'MSA-Lookup'!$H$1:$I$86,2),C2674),C2674)</f>
        <v>6920</v>
      </c>
      <c r="G2674" s="0" t="n">
        <f aca="false">VLOOKUP(E2674,'MSA-Lookup'!$AA$1:$AB$25,2)</f>
        <v>4472</v>
      </c>
      <c r="H2674" s="0" t="n">
        <f aca="false">IF(C2674&gt;1,IF(C2674&lt;99,VLOOKUP(F2674,'MSA-Lookup'!$AA$1:$AB$25,2),C2674),C2674)</f>
        <v>6920</v>
      </c>
    </row>
    <row r="2675" customFormat="false" ht="12.75" hidden="false" customHeight="false" outlineLevel="0" collapsed="false">
      <c r="A2675" s="0" t="n">
        <f aca="false">B2675*1000+C2675</f>
        <v>43029</v>
      </c>
      <c r="B2675" s="0" t="n">
        <v>43</v>
      </c>
      <c r="C2675" s="0" t="n">
        <v>29</v>
      </c>
      <c r="D2675" s="0" t="n">
        <v>0</v>
      </c>
      <c r="E2675" s="0" t="n">
        <f aca="false">VLOOKUP(B2675,'MSA-Lookup'!$H$2:$I$86,2)</f>
        <v>360</v>
      </c>
      <c r="F2675" s="0" t="n">
        <f aca="false">IF(C2675&gt;1,IF(C2675&lt;99,VLOOKUP(C2675,'MSA-Lookup'!$H$1:$I$86,2),C2675),C2675)</f>
        <v>6920</v>
      </c>
      <c r="G2675" s="0" t="n">
        <f aca="false">VLOOKUP(E2675,'MSA-Lookup'!$AA$1:$AB$25,2)</f>
        <v>4472</v>
      </c>
      <c r="H2675" s="0" t="n">
        <f aca="false">IF(C2675&gt;1,IF(C2675&lt;99,VLOOKUP(F2675,'MSA-Lookup'!$AA$1:$AB$25,2),C2675),C2675)</f>
        <v>6920</v>
      </c>
    </row>
    <row r="2676" customFormat="false" ht="12.75" hidden="false" customHeight="false" outlineLevel="0" collapsed="false">
      <c r="A2676" s="0" t="n">
        <f aca="false">B2676*1000+C2676</f>
        <v>43030</v>
      </c>
      <c r="B2676" s="0" t="n">
        <v>43</v>
      </c>
      <c r="C2676" s="0" t="n">
        <v>30</v>
      </c>
      <c r="D2676" s="0" t="n">
        <v>0</v>
      </c>
      <c r="E2676" s="0" t="n">
        <f aca="false">VLOOKUP(B2676,'MSA-Lookup'!$H$2:$I$86,2)</f>
        <v>360</v>
      </c>
      <c r="F2676" s="0" t="n">
        <f aca="false">IF(C2676&gt;1,IF(C2676&lt;99,VLOOKUP(C2676,'MSA-Lookup'!$H$1:$I$86,2),C2676),C2676)</f>
        <v>4940</v>
      </c>
      <c r="G2676" s="0" t="n">
        <f aca="false">VLOOKUP(E2676,'MSA-Lookup'!$AA$1:$AB$25,2)</f>
        <v>4472</v>
      </c>
      <c r="H2676" s="0" t="n">
        <f aca="false">IF(C2676&gt;1,IF(C2676&lt;99,VLOOKUP(F2676,'MSA-Lookup'!$AA$1:$AB$25,2),C2676),C2676)</f>
        <v>4940</v>
      </c>
    </row>
    <row r="2677" customFormat="false" ht="12.75" hidden="false" customHeight="false" outlineLevel="0" collapsed="false">
      <c r="A2677" s="0" t="n">
        <f aca="false">B2677*1000+C2677</f>
        <v>43031</v>
      </c>
      <c r="B2677" s="0" t="n">
        <v>43</v>
      </c>
      <c r="C2677" s="0" t="n">
        <v>31</v>
      </c>
      <c r="D2677" s="0" t="n">
        <v>0</v>
      </c>
      <c r="E2677" s="0" t="n">
        <f aca="false">VLOOKUP(B2677,'MSA-Lookup'!$H$2:$I$86,2)</f>
        <v>360</v>
      </c>
      <c r="F2677" s="0" t="n">
        <f aca="false">IF(C2677&gt;1,IF(C2677&lt;99,VLOOKUP(C2677,'MSA-Lookup'!$H$1:$I$86,2),C2677),C2677)</f>
        <v>9999</v>
      </c>
      <c r="G2677" s="0" t="n">
        <f aca="false">VLOOKUP(E2677,'MSA-Lookup'!$AA$1:$AB$25,2)</f>
        <v>4472</v>
      </c>
      <c r="H2677" s="0" t="n">
        <f aca="false">IF(C2677&gt;1,IF(C2677&lt;99,VLOOKUP(F2677,'MSA-Lookup'!$AA$1:$AB$25,2),C2677),C2677)</f>
        <v>9999</v>
      </c>
    </row>
    <row r="2678" customFormat="false" ht="12.75" hidden="false" customHeight="false" outlineLevel="0" collapsed="false">
      <c r="A2678" s="0" t="n">
        <f aca="false">B2678*1000+C2678</f>
        <v>43032</v>
      </c>
      <c r="B2678" s="0" t="n">
        <v>43</v>
      </c>
      <c r="C2678" s="0" t="n">
        <v>32</v>
      </c>
      <c r="D2678" s="0" t="n">
        <v>0</v>
      </c>
      <c r="E2678" s="0" t="n">
        <f aca="false">VLOOKUP(B2678,'MSA-Lookup'!$H$2:$I$86,2)</f>
        <v>360</v>
      </c>
      <c r="F2678" s="0" t="n">
        <f aca="false">IF(C2678&gt;1,IF(C2678&lt;99,VLOOKUP(C2678,'MSA-Lookup'!$H$1:$I$86,2),C2678),C2678)</f>
        <v>7480</v>
      </c>
      <c r="G2678" s="0" t="n">
        <f aca="false">VLOOKUP(E2678,'MSA-Lookup'!$AA$1:$AB$25,2)</f>
        <v>4472</v>
      </c>
      <c r="H2678" s="0" t="n">
        <f aca="false">IF(C2678&gt;1,IF(C2678&lt;99,VLOOKUP(F2678,'MSA-Lookup'!$AA$1:$AB$25,2),C2678),C2678)</f>
        <v>7480</v>
      </c>
    </row>
    <row r="2679" customFormat="false" ht="12.75" hidden="false" customHeight="false" outlineLevel="0" collapsed="false">
      <c r="A2679" s="0" t="n">
        <f aca="false">B2679*1000+C2679</f>
        <v>43033</v>
      </c>
      <c r="B2679" s="0" t="n">
        <v>43</v>
      </c>
      <c r="C2679" s="0" t="n">
        <v>33</v>
      </c>
      <c r="D2679" s="0" t="n">
        <v>78</v>
      </c>
      <c r="E2679" s="0" t="n">
        <f aca="false">VLOOKUP(B2679,'MSA-Lookup'!$H$2:$I$86,2)</f>
        <v>360</v>
      </c>
      <c r="F2679" s="0" t="n">
        <f aca="false">IF(C2679&gt;1,IF(C2679&lt;99,VLOOKUP(C2679,'MSA-Lookup'!$H$1:$I$86,2),C2679),C2679)</f>
        <v>7320</v>
      </c>
      <c r="G2679" s="0" t="n">
        <f aca="false">VLOOKUP(E2679,'MSA-Lookup'!$AA$1:$AB$25,2)</f>
        <v>4472</v>
      </c>
      <c r="H2679" s="0" t="n">
        <f aca="false">IF(C2679&gt;1,IF(C2679&lt;99,VLOOKUP(F2679,'MSA-Lookup'!$AA$1:$AB$25,2),C2679),C2679)</f>
        <v>7320</v>
      </c>
    </row>
    <row r="2680" customFormat="false" ht="12.75" hidden="false" customHeight="false" outlineLevel="0" collapsed="false">
      <c r="A2680" s="0" t="n">
        <f aca="false">B2680*1000+C2680</f>
        <v>43034</v>
      </c>
      <c r="B2680" s="0" t="n">
        <v>43</v>
      </c>
      <c r="C2680" s="0" t="n">
        <v>34</v>
      </c>
      <c r="D2680" s="0" t="n">
        <v>637</v>
      </c>
      <c r="E2680" s="0" t="n">
        <f aca="false">VLOOKUP(B2680,'MSA-Lookup'!$H$2:$I$86,2)</f>
        <v>360</v>
      </c>
      <c r="F2680" s="0" t="n">
        <f aca="false">IF(C2680&gt;1,IF(C2680&lt;99,VLOOKUP(C2680,'MSA-Lookup'!$H$1:$I$86,2),C2680),C2680)</f>
        <v>7320</v>
      </c>
      <c r="G2680" s="0" t="n">
        <f aca="false">VLOOKUP(E2680,'MSA-Lookup'!$AA$1:$AB$25,2)</f>
        <v>4472</v>
      </c>
      <c r="H2680" s="0" t="n">
        <f aca="false">IF(C2680&gt;1,IF(C2680&lt;99,VLOOKUP(F2680,'MSA-Lookup'!$AA$1:$AB$25,2),C2680),C2680)</f>
        <v>7320</v>
      </c>
    </row>
    <row r="2681" customFormat="false" ht="12.75" hidden="false" customHeight="false" outlineLevel="0" collapsed="false">
      <c r="A2681" s="0" t="n">
        <f aca="false">B2681*1000+C2681</f>
        <v>43035</v>
      </c>
      <c r="B2681" s="0" t="n">
        <v>43</v>
      </c>
      <c r="C2681" s="0" t="n">
        <v>35</v>
      </c>
      <c r="D2681" s="0" t="n">
        <v>390</v>
      </c>
      <c r="E2681" s="0" t="n">
        <f aca="false">VLOOKUP(B2681,'MSA-Lookup'!$H$2:$I$86,2)</f>
        <v>360</v>
      </c>
      <c r="F2681" s="0" t="n">
        <f aca="false">IF(C2681&gt;1,IF(C2681&lt;99,VLOOKUP(C2681,'MSA-Lookup'!$H$1:$I$86,2),C2681),C2681)</f>
        <v>7320</v>
      </c>
      <c r="G2681" s="0" t="n">
        <f aca="false">VLOOKUP(E2681,'MSA-Lookup'!$AA$1:$AB$25,2)</f>
        <v>4472</v>
      </c>
      <c r="H2681" s="0" t="n">
        <f aca="false">IF(C2681&gt;1,IF(C2681&lt;99,VLOOKUP(F2681,'MSA-Lookup'!$AA$1:$AB$25,2),C2681),C2681)</f>
        <v>7320</v>
      </c>
    </row>
    <row r="2682" customFormat="false" ht="12.75" hidden="false" customHeight="false" outlineLevel="0" collapsed="false">
      <c r="A2682" s="0" t="n">
        <f aca="false">B2682*1000+C2682</f>
        <v>43036</v>
      </c>
      <c r="B2682" s="0" t="n">
        <v>43</v>
      </c>
      <c r="C2682" s="0" t="n">
        <v>36</v>
      </c>
      <c r="D2682" s="0" t="n">
        <v>0</v>
      </c>
      <c r="E2682" s="0" t="n">
        <f aca="false">VLOOKUP(B2682,'MSA-Lookup'!$H$2:$I$86,2)</f>
        <v>360</v>
      </c>
      <c r="F2682" s="0" t="n">
        <f aca="false">IF(C2682&gt;1,IF(C2682&lt;99,VLOOKUP(C2682,'MSA-Lookup'!$H$1:$I$86,2),C2682),C2682)</f>
        <v>7320</v>
      </c>
      <c r="G2682" s="0" t="n">
        <f aca="false">VLOOKUP(E2682,'MSA-Lookup'!$AA$1:$AB$25,2)</f>
        <v>4472</v>
      </c>
      <c r="H2682" s="0" t="n">
        <f aca="false">IF(C2682&gt;1,IF(C2682&lt;99,VLOOKUP(F2682,'MSA-Lookup'!$AA$1:$AB$25,2),C2682),C2682)</f>
        <v>7320</v>
      </c>
    </row>
    <row r="2683" customFormat="false" ht="12.75" hidden="false" customHeight="false" outlineLevel="0" collapsed="false">
      <c r="A2683" s="0" t="n">
        <f aca="false">B2683*1000+C2683</f>
        <v>43037</v>
      </c>
      <c r="B2683" s="0" t="n">
        <v>43</v>
      </c>
      <c r="C2683" s="0" t="n">
        <v>37</v>
      </c>
      <c r="D2683" s="0" t="n">
        <v>1105</v>
      </c>
      <c r="E2683" s="0" t="n">
        <f aca="false">VLOOKUP(B2683,'MSA-Lookup'!$H$2:$I$86,2)</f>
        <v>360</v>
      </c>
      <c r="F2683" s="0" t="n">
        <f aca="false">IF(C2683&gt;1,IF(C2683&lt;99,VLOOKUP(C2683,'MSA-Lookup'!$H$1:$I$86,2),C2683),C2683)</f>
        <v>7320</v>
      </c>
      <c r="G2683" s="0" t="n">
        <f aca="false">VLOOKUP(E2683,'MSA-Lookup'!$AA$1:$AB$25,2)</f>
        <v>4472</v>
      </c>
      <c r="H2683" s="0" t="n">
        <f aca="false">IF(C2683&gt;1,IF(C2683&lt;99,VLOOKUP(F2683,'MSA-Lookup'!$AA$1:$AB$25,2),C2683),C2683)</f>
        <v>7320</v>
      </c>
    </row>
    <row r="2684" customFormat="false" ht="12.75" hidden="false" customHeight="false" outlineLevel="0" collapsed="false">
      <c r="A2684" s="0" t="n">
        <f aca="false">B2684*1000+C2684</f>
        <v>43038</v>
      </c>
      <c r="B2684" s="0" t="n">
        <v>43</v>
      </c>
      <c r="C2684" s="0" t="n">
        <v>38</v>
      </c>
      <c r="D2684" s="0" t="n">
        <v>0</v>
      </c>
      <c r="E2684" s="0" t="n">
        <f aca="false">VLOOKUP(B2684,'MSA-Lookup'!$H$2:$I$86,2)</f>
        <v>360</v>
      </c>
      <c r="F2684" s="0" t="n">
        <f aca="false">IF(C2684&gt;1,IF(C2684&lt;99,VLOOKUP(C2684,'MSA-Lookup'!$H$1:$I$86,2),C2684),C2684)</f>
        <v>7120</v>
      </c>
      <c r="G2684" s="0" t="n">
        <f aca="false">VLOOKUP(E2684,'MSA-Lookup'!$AA$1:$AB$25,2)</f>
        <v>4472</v>
      </c>
      <c r="H2684" s="0" t="n">
        <f aca="false">IF(C2684&gt;1,IF(C2684&lt;99,VLOOKUP(F2684,'MSA-Lookup'!$AA$1:$AB$25,2),C2684),C2684)</f>
        <v>7120</v>
      </c>
    </row>
    <row r="2685" customFormat="false" ht="12.75" hidden="false" customHeight="false" outlineLevel="0" collapsed="false">
      <c r="A2685" s="0" t="n">
        <f aca="false">B2685*1000+C2685</f>
        <v>43039</v>
      </c>
      <c r="B2685" s="0" t="n">
        <v>43</v>
      </c>
      <c r="C2685" s="0" t="n">
        <v>39</v>
      </c>
      <c r="D2685" s="0" t="n">
        <v>0</v>
      </c>
      <c r="E2685" s="0" t="n">
        <f aca="false">VLOOKUP(B2685,'MSA-Lookup'!$H$2:$I$86,2)</f>
        <v>360</v>
      </c>
      <c r="F2685" s="0" t="n">
        <f aca="false">IF(C2685&gt;1,IF(C2685&lt;99,VLOOKUP(C2685,'MSA-Lookup'!$H$1:$I$86,2),C2685),C2685)</f>
        <v>7120</v>
      </c>
      <c r="G2685" s="0" t="n">
        <f aca="false">VLOOKUP(E2685,'MSA-Lookup'!$AA$1:$AB$25,2)</f>
        <v>4472</v>
      </c>
      <c r="H2685" s="0" t="n">
        <f aca="false">IF(C2685&gt;1,IF(C2685&lt;99,VLOOKUP(F2685,'MSA-Lookup'!$AA$1:$AB$25,2),C2685),C2685)</f>
        <v>7120</v>
      </c>
    </row>
    <row r="2686" customFormat="false" ht="12.75" hidden="false" customHeight="false" outlineLevel="0" collapsed="false">
      <c r="A2686" s="0" t="n">
        <f aca="false">B2686*1000+C2686</f>
        <v>43040</v>
      </c>
      <c r="B2686" s="0" t="n">
        <v>43</v>
      </c>
      <c r="C2686" s="0" t="n">
        <v>40</v>
      </c>
      <c r="D2686" s="0" t="n">
        <v>0</v>
      </c>
      <c r="E2686" s="0" t="n">
        <f aca="false">VLOOKUP(B2686,'MSA-Lookup'!$H$2:$I$86,2)</f>
        <v>360</v>
      </c>
      <c r="F2686" s="0" t="n">
        <f aca="false">IF(C2686&gt;1,IF(C2686&lt;99,VLOOKUP(C2686,'MSA-Lookup'!$H$1:$I$86,2),C2686),C2686)</f>
        <v>2840</v>
      </c>
      <c r="G2686" s="0" t="n">
        <f aca="false">VLOOKUP(E2686,'MSA-Lookup'!$AA$1:$AB$25,2)</f>
        <v>4472</v>
      </c>
      <c r="H2686" s="0" t="n">
        <f aca="false">IF(C2686&gt;1,IF(C2686&lt;99,VLOOKUP(F2686,'MSA-Lookup'!$AA$1:$AB$25,2),C2686),C2686)</f>
        <v>2840</v>
      </c>
    </row>
    <row r="2687" customFormat="false" ht="12.75" hidden="false" customHeight="false" outlineLevel="0" collapsed="false">
      <c r="A2687" s="0" t="n">
        <f aca="false">B2687*1000+C2687</f>
        <v>43041</v>
      </c>
      <c r="B2687" s="0" t="n">
        <v>43</v>
      </c>
      <c r="C2687" s="0" t="n">
        <v>41</v>
      </c>
      <c r="D2687" s="0" t="n">
        <v>0</v>
      </c>
      <c r="E2687" s="0" t="n">
        <f aca="false">VLOOKUP(B2687,'MSA-Lookup'!$H$2:$I$86,2)</f>
        <v>360</v>
      </c>
      <c r="F2687" s="0" t="n">
        <f aca="false">IF(C2687&gt;1,IF(C2687&lt;99,VLOOKUP(C2687,'MSA-Lookup'!$H$1:$I$86,2),C2687),C2687)</f>
        <v>2840</v>
      </c>
      <c r="G2687" s="0" t="n">
        <f aca="false">VLOOKUP(E2687,'MSA-Lookup'!$AA$1:$AB$25,2)</f>
        <v>4472</v>
      </c>
      <c r="H2687" s="0" t="n">
        <f aca="false">IF(C2687&gt;1,IF(C2687&lt;99,VLOOKUP(F2687,'MSA-Lookup'!$AA$1:$AB$25,2),C2687),C2687)</f>
        <v>2840</v>
      </c>
    </row>
    <row r="2688" customFormat="false" ht="12.75" hidden="false" customHeight="false" outlineLevel="0" collapsed="false">
      <c r="A2688" s="0" t="n">
        <f aca="false">B2688*1000+C2688</f>
        <v>43042</v>
      </c>
      <c r="B2688" s="0" t="n">
        <v>43</v>
      </c>
      <c r="C2688" s="0" t="n">
        <v>42</v>
      </c>
      <c r="D2688" s="0" t="n">
        <v>3627</v>
      </c>
      <c r="E2688" s="0" t="n">
        <f aca="false">VLOOKUP(B2688,'MSA-Lookup'!$H$2:$I$86,2)</f>
        <v>360</v>
      </c>
      <c r="F2688" s="0" t="n">
        <f aca="false">IF(C2688&gt;1,IF(C2688&lt;99,VLOOKUP(C2688,'MSA-Lookup'!$H$1:$I$86,2),C2688),C2688)</f>
        <v>360</v>
      </c>
      <c r="G2688" s="0" t="n">
        <f aca="false">VLOOKUP(E2688,'MSA-Lookup'!$AA$1:$AB$25,2)</f>
        <v>4472</v>
      </c>
      <c r="H2688" s="0" t="n">
        <f aca="false">IF(C2688&gt;1,IF(C2688&lt;99,VLOOKUP(F2688,'MSA-Lookup'!$AA$1:$AB$25,2),C2688),C2688)</f>
        <v>4472</v>
      </c>
    </row>
    <row r="2689" customFormat="false" ht="12.75" hidden="false" customHeight="false" outlineLevel="0" collapsed="false">
      <c r="A2689" s="0" t="n">
        <f aca="false">B2689*1000+C2689</f>
        <v>43043</v>
      </c>
      <c r="B2689" s="0" t="n">
        <v>43</v>
      </c>
      <c r="C2689" s="0" t="n">
        <v>43</v>
      </c>
      <c r="D2689" s="0" t="n">
        <v>25129</v>
      </c>
      <c r="E2689" s="0" t="n">
        <f aca="false">VLOOKUP(B2689,'MSA-Lookup'!$H$2:$I$86,2)</f>
        <v>360</v>
      </c>
      <c r="F2689" s="0" t="n">
        <f aca="false">IF(C2689&gt;1,IF(C2689&lt;99,VLOOKUP(C2689,'MSA-Lookup'!$H$1:$I$86,2),C2689),C2689)</f>
        <v>360</v>
      </c>
      <c r="G2689" s="0" t="n">
        <f aca="false">VLOOKUP(E2689,'MSA-Lookup'!$AA$1:$AB$25,2)</f>
        <v>4472</v>
      </c>
      <c r="H2689" s="0" t="n">
        <f aca="false">IF(C2689&gt;1,IF(C2689&lt;99,VLOOKUP(F2689,'MSA-Lookup'!$AA$1:$AB$25,2),C2689),C2689)</f>
        <v>4472</v>
      </c>
    </row>
    <row r="2690" customFormat="false" ht="12.75" hidden="false" customHeight="false" outlineLevel="0" collapsed="false">
      <c r="A2690" s="0" t="n">
        <f aca="false">B2690*1000+C2690</f>
        <v>43044</v>
      </c>
      <c r="B2690" s="0" t="n">
        <v>43</v>
      </c>
      <c r="C2690" s="0" t="n">
        <v>44</v>
      </c>
      <c r="D2690" s="0" t="n">
        <v>6331</v>
      </c>
      <c r="E2690" s="0" t="n">
        <f aca="false">VLOOKUP(B2690,'MSA-Lookup'!$H$2:$I$86,2)</f>
        <v>360</v>
      </c>
      <c r="F2690" s="0" t="n">
        <f aca="false">IF(C2690&gt;1,IF(C2690&lt;99,VLOOKUP(C2690,'MSA-Lookup'!$H$1:$I$86,2),C2690),C2690)</f>
        <v>360</v>
      </c>
      <c r="G2690" s="0" t="n">
        <f aca="false">VLOOKUP(E2690,'MSA-Lookup'!$AA$1:$AB$25,2)</f>
        <v>4472</v>
      </c>
      <c r="H2690" s="0" t="n">
        <f aca="false">IF(C2690&gt;1,IF(C2690&lt;99,VLOOKUP(F2690,'MSA-Lookup'!$AA$1:$AB$25,2),C2690),C2690)</f>
        <v>4472</v>
      </c>
    </row>
    <row r="2691" customFormat="false" ht="12.75" hidden="false" customHeight="false" outlineLevel="0" collapsed="false">
      <c r="A2691" s="0" t="n">
        <f aca="false">B2691*1000+C2691</f>
        <v>43045</v>
      </c>
      <c r="B2691" s="0" t="n">
        <v>43</v>
      </c>
      <c r="C2691" s="0" t="n">
        <v>45</v>
      </c>
      <c r="D2691" s="0" t="n">
        <v>9256</v>
      </c>
      <c r="E2691" s="0" t="n">
        <f aca="false">VLOOKUP(B2691,'MSA-Lookup'!$H$2:$I$86,2)</f>
        <v>360</v>
      </c>
      <c r="F2691" s="0" t="n">
        <f aca="false">IF(C2691&gt;1,IF(C2691&lt;99,VLOOKUP(C2691,'MSA-Lookup'!$H$1:$I$86,2),C2691),C2691)</f>
        <v>360</v>
      </c>
      <c r="G2691" s="0" t="n">
        <f aca="false">VLOOKUP(E2691,'MSA-Lookup'!$AA$1:$AB$25,2)</f>
        <v>4472</v>
      </c>
      <c r="H2691" s="0" t="n">
        <f aca="false">IF(C2691&gt;1,IF(C2691&lt;99,VLOOKUP(F2691,'MSA-Lookup'!$AA$1:$AB$25,2),C2691),C2691)</f>
        <v>4472</v>
      </c>
    </row>
    <row r="2692" customFormat="false" ht="12.75" hidden="false" customHeight="false" outlineLevel="0" collapsed="false">
      <c r="A2692" s="0" t="n">
        <f aca="false">B2692*1000+C2692</f>
        <v>43046</v>
      </c>
      <c r="B2692" s="0" t="n">
        <v>43</v>
      </c>
      <c r="C2692" s="0" t="n">
        <v>46</v>
      </c>
      <c r="D2692" s="0" t="n">
        <v>689</v>
      </c>
      <c r="E2692" s="0" t="n">
        <f aca="false">VLOOKUP(B2692,'MSA-Lookup'!$H$2:$I$86,2)</f>
        <v>360</v>
      </c>
      <c r="F2692" s="0" t="n">
        <f aca="false">IF(C2692&gt;1,IF(C2692&lt;99,VLOOKUP(C2692,'MSA-Lookup'!$H$1:$I$86,2),C2692),C2692)</f>
        <v>360</v>
      </c>
      <c r="G2692" s="0" t="n">
        <f aca="false">VLOOKUP(E2692,'MSA-Lookup'!$AA$1:$AB$25,2)</f>
        <v>4472</v>
      </c>
      <c r="H2692" s="0" t="n">
        <f aca="false">IF(C2692&gt;1,IF(C2692&lt;99,VLOOKUP(F2692,'MSA-Lookup'!$AA$1:$AB$25,2),C2692),C2692)</f>
        <v>4472</v>
      </c>
    </row>
    <row r="2693" customFormat="false" ht="12.75" hidden="false" customHeight="false" outlineLevel="0" collapsed="false">
      <c r="A2693" s="0" t="n">
        <f aca="false">B2693*1000+C2693</f>
        <v>43047</v>
      </c>
      <c r="B2693" s="0" t="n">
        <v>43</v>
      </c>
      <c r="C2693" s="0" t="n">
        <v>47</v>
      </c>
      <c r="D2693" s="0" t="n">
        <v>221</v>
      </c>
      <c r="E2693" s="0" t="n">
        <f aca="false">VLOOKUP(B2693,'MSA-Lookup'!$H$2:$I$86,2)</f>
        <v>360</v>
      </c>
      <c r="F2693" s="0" t="n">
        <f aca="false">IF(C2693&gt;1,IF(C2693&lt;99,VLOOKUP(C2693,'MSA-Lookup'!$H$1:$I$86,2),C2693),C2693)</f>
        <v>360</v>
      </c>
      <c r="G2693" s="0" t="n">
        <f aca="false">VLOOKUP(E2693,'MSA-Lookup'!$AA$1:$AB$25,2)</f>
        <v>4472</v>
      </c>
      <c r="H2693" s="0" t="n">
        <f aca="false">IF(C2693&gt;1,IF(C2693&lt;99,VLOOKUP(F2693,'MSA-Lookup'!$AA$1:$AB$25,2),C2693),C2693)</f>
        <v>4472</v>
      </c>
    </row>
    <row r="2694" customFormat="false" ht="12.75" hidden="false" customHeight="false" outlineLevel="0" collapsed="false">
      <c r="A2694" s="0" t="n">
        <f aca="false">B2694*1000+C2694</f>
        <v>43048</v>
      </c>
      <c r="B2694" s="0" t="n">
        <v>43</v>
      </c>
      <c r="C2694" s="0" t="n">
        <v>48</v>
      </c>
      <c r="D2694" s="0" t="n">
        <v>22555</v>
      </c>
      <c r="E2694" s="0" t="n">
        <f aca="false">VLOOKUP(B2694,'MSA-Lookup'!$H$2:$I$86,2)</f>
        <v>360</v>
      </c>
      <c r="F2694" s="0" t="n">
        <f aca="false">IF(C2694&gt;1,IF(C2694&lt;99,VLOOKUP(C2694,'MSA-Lookup'!$H$1:$I$86,2),C2694),C2694)</f>
        <v>360</v>
      </c>
      <c r="G2694" s="0" t="n">
        <f aca="false">VLOOKUP(E2694,'MSA-Lookup'!$AA$1:$AB$25,2)</f>
        <v>4472</v>
      </c>
      <c r="H2694" s="0" t="n">
        <f aca="false">IF(C2694&gt;1,IF(C2694&lt;99,VLOOKUP(F2694,'MSA-Lookup'!$AA$1:$AB$25,2),C2694),C2694)</f>
        <v>4472</v>
      </c>
    </row>
    <row r="2695" customFormat="false" ht="12.75" hidden="false" customHeight="false" outlineLevel="0" collapsed="false">
      <c r="A2695" s="0" t="n">
        <f aca="false">B2695*1000+C2695</f>
        <v>43049</v>
      </c>
      <c r="B2695" s="0" t="n">
        <v>43</v>
      </c>
      <c r="C2695" s="0" t="n">
        <v>49</v>
      </c>
      <c r="D2695" s="0" t="n">
        <v>0</v>
      </c>
      <c r="E2695" s="0" t="n">
        <f aca="false">VLOOKUP(B2695,'MSA-Lookup'!$H$2:$I$86,2)</f>
        <v>360</v>
      </c>
      <c r="F2695" s="0" t="n">
        <f aca="false">IF(C2695&gt;1,IF(C2695&lt;99,VLOOKUP(C2695,'MSA-Lookup'!$H$1:$I$86,2),C2695),C2695)</f>
        <v>7400</v>
      </c>
      <c r="G2695" s="0" t="n">
        <f aca="false">VLOOKUP(E2695,'MSA-Lookup'!$AA$1:$AB$25,2)</f>
        <v>4472</v>
      </c>
      <c r="H2695" s="0" t="n">
        <f aca="false">IF(C2695&gt;1,IF(C2695&lt;99,VLOOKUP(F2695,'MSA-Lookup'!$AA$1:$AB$25,2),C2695),C2695)</f>
        <v>7362</v>
      </c>
    </row>
    <row r="2696" customFormat="false" ht="12.75" hidden="false" customHeight="false" outlineLevel="0" collapsed="false">
      <c r="A2696" s="0" t="n">
        <f aca="false">B2696*1000+C2696</f>
        <v>43050</v>
      </c>
      <c r="B2696" s="0" t="n">
        <v>43</v>
      </c>
      <c r="C2696" s="0" t="n">
        <v>50</v>
      </c>
      <c r="D2696" s="0" t="n">
        <v>0</v>
      </c>
      <c r="E2696" s="0" t="n">
        <f aca="false">VLOOKUP(B2696,'MSA-Lookup'!$H$2:$I$86,2)</f>
        <v>360</v>
      </c>
      <c r="F2696" s="0" t="n">
        <f aca="false">IF(C2696&gt;1,IF(C2696&lt;99,VLOOKUP(C2696,'MSA-Lookup'!$H$1:$I$86,2),C2696),C2696)</f>
        <v>7400</v>
      </c>
      <c r="G2696" s="0" t="n">
        <f aca="false">VLOOKUP(E2696,'MSA-Lookup'!$AA$1:$AB$25,2)</f>
        <v>4472</v>
      </c>
      <c r="H2696" s="0" t="n">
        <f aca="false">IF(C2696&gt;1,IF(C2696&lt;99,VLOOKUP(F2696,'MSA-Lookup'!$AA$1:$AB$25,2),C2696),C2696)</f>
        <v>7362</v>
      </c>
    </row>
    <row r="2697" customFormat="false" ht="12.75" hidden="false" customHeight="false" outlineLevel="0" collapsed="false">
      <c r="A2697" s="0" t="n">
        <f aca="false">B2697*1000+C2697</f>
        <v>43051</v>
      </c>
      <c r="B2697" s="0" t="n">
        <v>43</v>
      </c>
      <c r="C2697" s="0" t="n">
        <v>51</v>
      </c>
      <c r="D2697" s="0" t="n">
        <v>0</v>
      </c>
      <c r="E2697" s="0" t="n">
        <f aca="false">VLOOKUP(B2697,'MSA-Lookup'!$H$2:$I$86,2)</f>
        <v>360</v>
      </c>
      <c r="F2697" s="0" t="n">
        <f aca="false">IF(C2697&gt;1,IF(C2697&lt;99,VLOOKUP(C2697,'MSA-Lookup'!$H$1:$I$86,2),C2697),C2697)</f>
        <v>7400</v>
      </c>
      <c r="G2697" s="0" t="n">
        <f aca="false">VLOOKUP(E2697,'MSA-Lookup'!$AA$1:$AB$25,2)</f>
        <v>4472</v>
      </c>
      <c r="H2697" s="0" t="n">
        <f aca="false">IF(C2697&gt;1,IF(C2697&lt;99,VLOOKUP(F2697,'MSA-Lookup'!$AA$1:$AB$25,2),C2697),C2697)</f>
        <v>7362</v>
      </c>
    </row>
    <row r="2698" customFormat="false" ht="12.75" hidden="false" customHeight="false" outlineLevel="0" collapsed="false">
      <c r="A2698" s="0" t="n">
        <f aca="false">B2698*1000+C2698</f>
        <v>43052</v>
      </c>
      <c r="B2698" s="0" t="n">
        <v>43</v>
      </c>
      <c r="C2698" s="0" t="n">
        <v>52</v>
      </c>
      <c r="D2698" s="0" t="n">
        <v>0</v>
      </c>
      <c r="E2698" s="0" t="n">
        <f aca="false">VLOOKUP(B2698,'MSA-Lookup'!$H$2:$I$86,2)</f>
        <v>360</v>
      </c>
      <c r="F2698" s="0" t="n">
        <f aca="false">IF(C2698&gt;1,IF(C2698&lt;99,VLOOKUP(C2698,'MSA-Lookup'!$H$1:$I$86,2),C2698),C2698)</f>
        <v>4480</v>
      </c>
      <c r="G2698" s="0" t="n">
        <f aca="false">VLOOKUP(E2698,'MSA-Lookup'!$AA$1:$AB$25,2)</f>
        <v>4472</v>
      </c>
      <c r="H2698" s="0" t="n">
        <f aca="false">IF(C2698&gt;1,IF(C2698&lt;99,VLOOKUP(F2698,'MSA-Lookup'!$AA$1:$AB$25,2),C2698),C2698)</f>
        <v>4472</v>
      </c>
    </row>
    <row r="2699" customFormat="false" ht="12.75" hidden="false" customHeight="false" outlineLevel="0" collapsed="false">
      <c r="A2699" s="0" t="n">
        <f aca="false">B2699*1000+C2699</f>
        <v>43053</v>
      </c>
      <c r="B2699" s="0" t="n">
        <v>43</v>
      </c>
      <c r="C2699" s="0" t="n">
        <v>53</v>
      </c>
      <c r="D2699" s="0" t="n">
        <v>0</v>
      </c>
      <c r="E2699" s="0" t="n">
        <f aca="false">VLOOKUP(B2699,'MSA-Lookup'!$H$2:$I$86,2)</f>
        <v>360</v>
      </c>
      <c r="F2699" s="0" t="n">
        <f aca="false">IF(C2699&gt;1,IF(C2699&lt;99,VLOOKUP(C2699,'MSA-Lookup'!$H$1:$I$86,2),C2699),C2699)</f>
        <v>4480</v>
      </c>
      <c r="G2699" s="0" t="n">
        <f aca="false">VLOOKUP(E2699,'MSA-Lookup'!$AA$1:$AB$25,2)</f>
        <v>4472</v>
      </c>
      <c r="H2699" s="0" t="n">
        <f aca="false">IF(C2699&gt;1,IF(C2699&lt;99,VLOOKUP(F2699,'MSA-Lookup'!$AA$1:$AB$25,2),C2699),C2699)</f>
        <v>4472</v>
      </c>
    </row>
    <row r="2700" customFormat="false" ht="12.75" hidden="false" customHeight="false" outlineLevel="0" collapsed="false">
      <c r="A2700" s="0" t="n">
        <f aca="false">B2700*1000+C2700</f>
        <v>43054</v>
      </c>
      <c r="B2700" s="0" t="n">
        <v>43</v>
      </c>
      <c r="C2700" s="0" t="n">
        <v>54</v>
      </c>
      <c r="D2700" s="0" t="n">
        <v>0</v>
      </c>
      <c r="E2700" s="0" t="n">
        <f aca="false">VLOOKUP(B2700,'MSA-Lookup'!$H$2:$I$86,2)</f>
        <v>360</v>
      </c>
      <c r="F2700" s="0" t="n">
        <f aca="false">IF(C2700&gt;1,IF(C2700&lt;99,VLOOKUP(C2700,'MSA-Lookup'!$H$1:$I$86,2),C2700),C2700)</f>
        <v>4480</v>
      </c>
      <c r="G2700" s="0" t="n">
        <f aca="false">VLOOKUP(E2700,'MSA-Lookup'!$AA$1:$AB$25,2)</f>
        <v>4472</v>
      </c>
      <c r="H2700" s="0" t="n">
        <f aca="false">IF(C2700&gt;1,IF(C2700&lt;99,VLOOKUP(F2700,'MSA-Lookup'!$AA$1:$AB$25,2),C2700),C2700)</f>
        <v>4472</v>
      </c>
    </row>
    <row r="2701" customFormat="false" ht="12.75" hidden="false" customHeight="false" outlineLevel="0" collapsed="false">
      <c r="A2701" s="0" t="n">
        <f aca="false">B2701*1000+C2701</f>
        <v>43055</v>
      </c>
      <c r="B2701" s="0" t="n">
        <v>43</v>
      </c>
      <c r="C2701" s="0" t="n">
        <v>55</v>
      </c>
      <c r="D2701" s="0" t="n">
        <v>442</v>
      </c>
      <c r="E2701" s="0" t="n">
        <f aca="false">VLOOKUP(B2701,'MSA-Lookup'!$H$2:$I$86,2)</f>
        <v>360</v>
      </c>
      <c r="F2701" s="0" t="n">
        <f aca="false">IF(C2701&gt;1,IF(C2701&lt;99,VLOOKUP(C2701,'MSA-Lookup'!$H$1:$I$86,2),C2701),C2701)</f>
        <v>4480</v>
      </c>
      <c r="G2701" s="0" t="n">
        <f aca="false">VLOOKUP(E2701,'MSA-Lookup'!$AA$1:$AB$25,2)</f>
        <v>4472</v>
      </c>
      <c r="H2701" s="0" t="n">
        <f aca="false">IF(C2701&gt;1,IF(C2701&lt;99,VLOOKUP(F2701,'MSA-Lookup'!$AA$1:$AB$25,2),C2701),C2701)</f>
        <v>4472</v>
      </c>
    </row>
    <row r="2702" customFormat="false" ht="12.75" hidden="false" customHeight="false" outlineLevel="0" collapsed="false">
      <c r="A2702" s="0" t="n">
        <f aca="false">B2702*1000+C2702</f>
        <v>43056</v>
      </c>
      <c r="B2702" s="0" t="n">
        <v>43</v>
      </c>
      <c r="C2702" s="0" t="n">
        <v>56</v>
      </c>
      <c r="D2702" s="0" t="n">
        <v>0</v>
      </c>
      <c r="E2702" s="0" t="n">
        <f aca="false">VLOOKUP(B2702,'MSA-Lookup'!$H$2:$I$86,2)</f>
        <v>360</v>
      </c>
      <c r="F2702" s="0" t="n">
        <f aca="false">IF(C2702&gt;1,IF(C2702&lt;99,VLOOKUP(C2702,'MSA-Lookup'!$H$1:$I$86,2),C2702),C2702)</f>
        <v>4480</v>
      </c>
      <c r="G2702" s="0" t="n">
        <f aca="false">VLOOKUP(E2702,'MSA-Lookup'!$AA$1:$AB$25,2)</f>
        <v>4472</v>
      </c>
      <c r="H2702" s="0" t="n">
        <f aca="false">IF(C2702&gt;1,IF(C2702&lt;99,VLOOKUP(F2702,'MSA-Lookup'!$AA$1:$AB$25,2),C2702),C2702)</f>
        <v>4472</v>
      </c>
    </row>
    <row r="2703" customFormat="false" ht="12.75" hidden="false" customHeight="false" outlineLevel="0" collapsed="false">
      <c r="A2703" s="0" t="n">
        <f aca="false">B2703*1000+C2703</f>
        <v>43057</v>
      </c>
      <c r="B2703" s="0" t="n">
        <v>43</v>
      </c>
      <c r="C2703" s="0" t="n">
        <v>57</v>
      </c>
      <c r="D2703" s="0" t="n">
        <v>0</v>
      </c>
      <c r="E2703" s="0" t="n">
        <f aca="false">VLOOKUP(B2703,'MSA-Lookup'!$H$2:$I$86,2)</f>
        <v>360</v>
      </c>
      <c r="F2703" s="0" t="n">
        <f aca="false">IF(C2703&gt;1,IF(C2703&lt;99,VLOOKUP(C2703,'MSA-Lookup'!$H$1:$I$86,2),C2703),C2703)</f>
        <v>4480</v>
      </c>
      <c r="G2703" s="0" t="n">
        <f aca="false">VLOOKUP(E2703,'MSA-Lookup'!$AA$1:$AB$25,2)</f>
        <v>4472</v>
      </c>
      <c r="H2703" s="0" t="n">
        <f aca="false">IF(C2703&gt;1,IF(C2703&lt;99,VLOOKUP(F2703,'MSA-Lookup'!$AA$1:$AB$25,2),C2703),C2703)</f>
        <v>4472</v>
      </c>
    </row>
    <row r="2704" customFormat="false" ht="12.75" hidden="false" customHeight="false" outlineLevel="0" collapsed="false">
      <c r="A2704" s="0" t="n">
        <f aca="false">B2704*1000+C2704</f>
        <v>43058</v>
      </c>
      <c r="B2704" s="0" t="n">
        <v>43</v>
      </c>
      <c r="C2704" s="0" t="n">
        <v>58</v>
      </c>
      <c r="D2704" s="0" t="n">
        <v>117</v>
      </c>
      <c r="E2704" s="0" t="n">
        <f aca="false">VLOOKUP(B2704,'MSA-Lookup'!$H$2:$I$86,2)</f>
        <v>360</v>
      </c>
      <c r="F2704" s="0" t="n">
        <f aca="false">IF(C2704&gt;1,IF(C2704&lt;99,VLOOKUP(C2704,'MSA-Lookup'!$H$1:$I$86,2),C2704),C2704)</f>
        <v>4480</v>
      </c>
      <c r="G2704" s="0" t="n">
        <f aca="false">VLOOKUP(E2704,'MSA-Lookup'!$AA$1:$AB$25,2)</f>
        <v>4472</v>
      </c>
      <c r="H2704" s="0" t="n">
        <f aca="false">IF(C2704&gt;1,IF(C2704&lt;99,VLOOKUP(F2704,'MSA-Lookup'!$AA$1:$AB$25,2),C2704),C2704)</f>
        <v>4472</v>
      </c>
    </row>
    <row r="2705" customFormat="false" ht="12.75" hidden="false" customHeight="false" outlineLevel="0" collapsed="false">
      <c r="A2705" s="0" t="n">
        <f aca="false">B2705*1000+C2705</f>
        <v>43059</v>
      </c>
      <c r="B2705" s="0" t="n">
        <v>43</v>
      </c>
      <c r="C2705" s="0" t="n">
        <v>59</v>
      </c>
      <c r="D2705" s="0" t="n">
        <v>0</v>
      </c>
      <c r="E2705" s="0" t="n">
        <f aca="false">VLOOKUP(B2705,'MSA-Lookup'!$H$2:$I$86,2)</f>
        <v>360</v>
      </c>
      <c r="F2705" s="0" t="n">
        <f aca="false">IF(C2705&gt;1,IF(C2705&lt;99,VLOOKUP(C2705,'MSA-Lookup'!$H$1:$I$86,2),C2705),C2705)</f>
        <v>4480</v>
      </c>
      <c r="G2705" s="0" t="n">
        <f aca="false">VLOOKUP(E2705,'MSA-Lookup'!$AA$1:$AB$25,2)</f>
        <v>4472</v>
      </c>
      <c r="H2705" s="0" t="n">
        <f aca="false">IF(C2705&gt;1,IF(C2705&lt;99,VLOOKUP(F2705,'MSA-Lookup'!$AA$1:$AB$25,2),C2705),C2705)</f>
        <v>4472</v>
      </c>
    </row>
    <row r="2706" customFormat="false" ht="12.75" hidden="false" customHeight="false" outlineLevel="0" collapsed="false">
      <c r="A2706" s="0" t="n">
        <f aca="false">B2706*1000+C2706</f>
        <v>43060</v>
      </c>
      <c r="B2706" s="0" t="n">
        <v>43</v>
      </c>
      <c r="C2706" s="0" t="n">
        <v>60</v>
      </c>
      <c r="D2706" s="0" t="n">
        <v>143</v>
      </c>
      <c r="E2706" s="0" t="n">
        <f aca="false">VLOOKUP(B2706,'MSA-Lookup'!$H$2:$I$86,2)</f>
        <v>360</v>
      </c>
      <c r="F2706" s="0" t="n">
        <f aca="false">IF(C2706&gt;1,IF(C2706&lt;99,VLOOKUP(C2706,'MSA-Lookup'!$H$1:$I$86,2),C2706),C2706)</f>
        <v>4480</v>
      </c>
      <c r="G2706" s="0" t="n">
        <f aca="false">VLOOKUP(E2706,'MSA-Lookup'!$AA$1:$AB$25,2)</f>
        <v>4472</v>
      </c>
      <c r="H2706" s="0" t="n">
        <f aca="false">IF(C2706&gt;1,IF(C2706&lt;99,VLOOKUP(F2706,'MSA-Lookup'!$AA$1:$AB$25,2),C2706),C2706)</f>
        <v>4472</v>
      </c>
    </row>
    <row r="2707" customFormat="false" ht="12.75" hidden="false" customHeight="false" outlineLevel="0" collapsed="false">
      <c r="A2707" s="0" t="n">
        <f aca="false">B2707*1000+C2707</f>
        <v>43061</v>
      </c>
      <c r="B2707" s="0" t="n">
        <v>43</v>
      </c>
      <c r="C2707" s="0" t="n">
        <v>61</v>
      </c>
      <c r="D2707" s="0" t="n">
        <v>0</v>
      </c>
      <c r="E2707" s="0" t="n">
        <f aca="false">VLOOKUP(B2707,'MSA-Lookup'!$H$2:$I$86,2)</f>
        <v>360</v>
      </c>
      <c r="F2707" s="0" t="n">
        <f aca="false">IF(C2707&gt;1,IF(C2707&lt;99,VLOOKUP(C2707,'MSA-Lookup'!$H$1:$I$86,2),C2707),C2707)</f>
        <v>4480</v>
      </c>
      <c r="G2707" s="0" t="n">
        <f aca="false">VLOOKUP(E2707,'MSA-Lookup'!$AA$1:$AB$25,2)</f>
        <v>4472</v>
      </c>
      <c r="H2707" s="0" t="n">
        <f aca="false">IF(C2707&gt;1,IF(C2707&lt;99,VLOOKUP(F2707,'MSA-Lookup'!$AA$1:$AB$25,2),C2707),C2707)</f>
        <v>4472</v>
      </c>
    </row>
    <row r="2708" customFormat="false" ht="12.75" hidden="false" customHeight="false" outlineLevel="0" collapsed="false">
      <c r="A2708" s="0" t="n">
        <f aca="false">B2708*1000+C2708</f>
        <v>43062</v>
      </c>
      <c r="B2708" s="0" t="n">
        <v>43</v>
      </c>
      <c r="C2708" s="0" t="n">
        <v>62</v>
      </c>
      <c r="D2708" s="0" t="n">
        <v>0</v>
      </c>
      <c r="E2708" s="0" t="n">
        <f aca="false">VLOOKUP(B2708,'MSA-Lookup'!$H$2:$I$86,2)</f>
        <v>360</v>
      </c>
      <c r="F2708" s="0" t="n">
        <f aca="false">IF(C2708&gt;1,IF(C2708&lt;99,VLOOKUP(C2708,'MSA-Lookup'!$H$1:$I$86,2),C2708),C2708)</f>
        <v>4480</v>
      </c>
      <c r="G2708" s="0" t="n">
        <f aca="false">VLOOKUP(E2708,'MSA-Lookup'!$AA$1:$AB$25,2)</f>
        <v>4472</v>
      </c>
      <c r="H2708" s="0" t="n">
        <f aca="false">IF(C2708&gt;1,IF(C2708&lt;99,VLOOKUP(F2708,'MSA-Lookup'!$AA$1:$AB$25,2),C2708),C2708)</f>
        <v>4472</v>
      </c>
    </row>
    <row r="2709" customFormat="false" ht="12.75" hidden="false" customHeight="false" outlineLevel="0" collapsed="false">
      <c r="A2709" s="0" t="n">
        <f aca="false">B2709*1000+C2709</f>
        <v>43063</v>
      </c>
      <c r="B2709" s="0" t="n">
        <v>43</v>
      </c>
      <c r="C2709" s="0" t="n">
        <v>63</v>
      </c>
      <c r="D2709" s="0" t="n">
        <v>403</v>
      </c>
      <c r="E2709" s="0" t="n">
        <f aca="false">VLOOKUP(B2709,'MSA-Lookup'!$H$2:$I$86,2)</f>
        <v>360</v>
      </c>
      <c r="F2709" s="0" t="n">
        <f aca="false">IF(C2709&gt;1,IF(C2709&lt;99,VLOOKUP(C2709,'MSA-Lookup'!$H$1:$I$86,2),C2709),C2709)</f>
        <v>4480</v>
      </c>
      <c r="G2709" s="0" t="n">
        <f aca="false">VLOOKUP(E2709,'MSA-Lookup'!$AA$1:$AB$25,2)</f>
        <v>4472</v>
      </c>
      <c r="H2709" s="0" t="n">
        <f aca="false">IF(C2709&gt;1,IF(C2709&lt;99,VLOOKUP(F2709,'MSA-Lookup'!$AA$1:$AB$25,2),C2709),C2709)</f>
        <v>4472</v>
      </c>
    </row>
    <row r="2710" customFormat="false" ht="12.75" hidden="false" customHeight="false" outlineLevel="0" collapsed="false">
      <c r="A2710" s="0" t="n">
        <f aca="false">B2710*1000+C2710</f>
        <v>43064</v>
      </c>
      <c r="B2710" s="0" t="n">
        <v>43</v>
      </c>
      <c r="C2710" s="0" t="n">
        <v>64</v>
      </c>
      <c r="D2710" s="0" t="n">
        <v>1963</v>
      </c>
      <c r="E2710" s="0" t="n">
        <f aca="false">VLOOKUP(B2710,'MSA-Lookup'!$H$2:$I$86,2)</f>
        <v>360</v>
      </c>
      <c r="F2710" s="0" t="n">
        <f aca="false">IF(C2710&gt;1,IF(C2710&lt;99,VLOOKUP(C2710,'MSA-Lookup'!$H$1:$I$86,2),C2710),C2710)</f>
        <v>4480</v>
      </c>
      <c r="G2710" s="0" t="n">
        <f aca="false">VLOOKUP(E2710,'MSA-Lookup'!$AA$1:$AB$25,2)</f>
        <v>4472</v>
      </c>
      <c r="H2710" s="0" t="n">
        <f aca="false">IF(C2710&gt;1,IF(C2710&lt;99,VLOOKUP(F2710,'MSA-Lookup'!$AA$1:$AB$25,2),C2710),C2710)</f>
        <v>4472</v>
      </c>
    </row>
    <row r="2711" customFormat="false" ht="12.75" hidden="false" customHeight="false" outlineLevel="0" collapsed="false">
      <c r="A2711" s="0" t="n">
        <f aca="false">B2711*1000+C2711</f>
        <v>43065</v>
      </c>
      <c r="B2711" s="0" t="n">
        <v>43</v>
      </c>
      <c r="C2711" s="0" t="n">
        <v>65</v>
      </c>
      <c r="D2711" s="0" t="n">
        <v>1482</v>
      </c>
      <c r="E2711" s="0" t="n">
        <f aca="false">VLOOKUP(B2711,'MSA-Lookup'!$H$2:$I$86,2)</f>
        <v>360</v>
      </c>
      <c r="F2711" s="0" t="n">
        <f aca="false">IF(C2711&gt;1,IF(C2711&lt;99,VLOOKUP(C2711,'MSA-Lookup'!$H$1:$I$86,2),C2711),C2711)</f>
        <v>4480</v>
      </c>
      <c r="G2711" s="0" t="n">
        <f aca="false">VLOOKUP(E2711,'MSA-Lookup'!$AA$1:$AB$25,2)</f>
        <v>4472</v>
      </c>
      <c r="H2711" s="0" t="n">
        <f aca="false">IF(C2711&gt;1,IF(C2711&lt;99,VLOOKUP(F2711,'MSA-Lookup'!$AA$1:$AB$25,2),C2711),C2711)</f>
        <v>4472</v>
      </c>
    </row>
    <row r="2712" customFormat="false" ht="12.75" hidden="false" customHeight="false" outlineLevel="0" collapsed="false">
      <c r="A2712" s="0" t="n">
        <f aca="false">B2712*1000+C2712</f>
        <v>43066</v>
      </c>
      <c r="B2712" s="0" t="n">
        <v>43</v>
      </c>
      <c r="C2712" s="0" t="n">
        <v>66</v>
      </c>
      <c r="D2712" s="0" t="n">
        <v>507</v>
      </c>
      <c r="E2712" s="0" t="n">
        <f aca="false">VLOOKUP(B2712,'MSA-Lookup'!$H$2:$I$86,2)</f>
        <v>360</v>
      </c>
      <c r="F2712" s="0" t="n">
        <f aca="false">IF(C2712&gt;1,IF(C2712&lt;99,VLOOKUP(C2712,'MSA-Lookup'!$H$1:$I$86,2),C2712),C2712)</f>
        <v>4480</v>
      </c>
      <c r="G2712" s="0" t="n">
        <f aca="false">VLOOKUP(E2712,'MSA-Lookup'!$AA$1:$AB$25,2)</f>
        <v>4472</v>
      </c>
      <c r="H2712" s="0" t="n">
        <f aca="false">IF(C2712&gt;1,IF(C2712&lt;99,VLOOKUP(F2712,'MSA-Lookup'!$AA$1:$AB$25,2),C2712),C2712)</f>
        <v>4472</v>
      </c>
    </row>
    <row r="2713" customFormat="false" ht="12.75" hidden="false" customHeight="false" outlineLevel="0" collapsed="false">
      <c r="A2713" s="0" t="n">
        <f aca="false">B2713*1000+C2713</f>
        <v>43067</v>
      </c>
      <c r="B2713" s="0" t="n">
        <v>43</v>
      </c>
      <c r="C2713" s="0" t="n">
        <v>67</v>
      </c>
      <c r="D2713" s="0" t="n">
        <v>0</v>
      </c>
      <c r="E2713" s="0" t="n">
        <f aca="false">VLOOKUP(B2713,'MSA-Lookup'!$H$2:$I$86,2)</f>
        <v>360</v>
      </c>
      <c r="F2713" s="0" t="n">
        <f aca="false">IF(C2713&gt;1,IF(C2713&lt;99,VLOOKUP(C2713,'MSA-Lookup'!$H$1:$I$86,2),C2713),C2713)</f>
        <v>6000</v>
      </c>
      <c r="G2713" s="0" t="n">
        <f aca="false">VLOOKUP(E2713,'MSA-Lookup'!$AA$1:$AB$25,2)</f>
        <v>4472</v>
      </c>
      <c r="H2713" s="0" t="n">
        <f aca="false">IF(C2713&gt;1,IF(C2713&lt;99,VLOOKUP(F2713,'MSA-Lookup'!$AA$1:$AB$25,2),C2713),C2713)</f>
        <v>4472</v>
      </c>
    </row>
    <row r="2714" customFormat="false" ht="12.75" hidden="false" customHeight="false" outlineLevel="0" collapsed="false">
      <c r="A2714" s="0" t="n">
        <f aca="false">B2714*1000+C2714</f>
        <v>43068</v>
      </c>
      <c r="B2714" s="0" t="n">
        <v>43</v>
      </c>
      <c r="C2714" s="0" t="n">
        <v>68</v>
      </c>
      <c r="D2714" s="0" t="n">
        <v>0</v>
      </c>
      <c r="E2714" s="0" t="n">
        <f aca="false">VLOOKUP(B2714,'MSA-Lookup'!$H$2:$I$86,2)</f>
        <v>360</v>
      </c>
      <c r="F2714" s="0" t="n">
        <f aca="false">IF(C2714&gt;1,IF(C2714&lt;99,VLOOKUP(C2714,'MSA-Lookup'!$H$1:$I$86,2),C2714),C2714)</f>
        <v>6780</v>
      </c>
      <c r="G2714" s="0" t="n">
        <f aca="false">VLOOKUP(E2714,'MSA-Lookup'!$AA$1:$AB$25,2)</f>
        <v>4472</v>
      </c>
      <c r="H2714" s="0" t="n">
        <f aca="false">IF(C2714&gt;1,IF(C2714&lt;99,VLOOKUP(F2714,'MSA-Lookup'!$AA$1:$AB$25,2),C2714),C2714)</f>
        <v>4472</v>
      </c>
    </row>
    <row r="2715" customFormat="false" ht="12.75" hidden="false" customHeight="false" outlineLevel="0" collapsed="false">
      <c r="A2715" s="0" t="n">
        <f aca="false">B2715*1000+C2715</f>
        <v>43069</v>
      </c>
      <c r="B2715" s="0" t="n">
        <v>43</v>
      </c>
      <c r="C2715" s="0" t="n">
        <v>69</v>
      </c>
      <c r="D2715" s="0" t="n">
        <v>325</v>
      </c>
      <c r="E2715" s="0" t="n">
        <f aca="false">VLOOKUP(B2715,'MSA-Lookup'!$H$2:$I$86,2)</f>
        <v>360</v>
      </c>
      <c r="F2715" s="0" t="n">
        <f aca="false">IF(C2715&gt;1,IF(C2715&lt;99,VLOOKUP(C2715,'MSA-Lookup'!$H$1:$I$86,2),C2715),C2715)</f>
        <v>6780</v>
      </c>
      <c r="G2715" s="0" t="n">
        <f aca="false">VLOOKUP(E2715,'MSA-Lookup'!$AA$1:$AB$25,2)</f>
        <v>4472</v>
      </c>
      <c r="H2715" s="0" t="n">
        <f aca="false">IF(C2715&gt;1,IF(C2715&lt;99,VLOOKUP(F2715,'MSA-Lookup'!$AA$1:$AB$25,2),C2715),C2715)</f>
        <v>4472</v>
      </c>
    </row>
    <row r="2716" customFormat="false" ht="12.75" hidden="false" customHeight="false" outlineLevel="0" collapsed="false">
      <c r="A2716" s="0" t="n">
        <f aca="false">B2716*1000+C2716</f>
        <v>43071</v>
      </c>
      <c r="B2716" s="0" t="n">
        <v>43</v>
      </c>
      <c r="C2716" s="0" t="n">
        <v>71</v>
      </c>
      <c r="D2716" s="0" t="n">
        <v>104</v>
      </c>
      <c r="E2716" s="0" t="n">
        <f aca="false">VLOOKUP(B2716,'MSA-Lookup'!$H$2:$I$86,2)</f>
        <v>360</v>
      </c>
      <c r="F2716" s="0" t="n">
        <f aca="false">IF(C2716&gt;1,IF(C2716&lt;99,VLOOKUP(C2716,'MSA-Lookup'!$H$1:$I$86,2),C2716),C2716)</f>
        <v>6780</v>
      </c>
      <c r="G2716" s="0" t="n">
        <f aca="false">VLOOKUP(E2716,'MSA-Lookup'!$AA$1:$AB$25,2)</f>
        <v>4472</v>
      </c>
      <c r="H2716" s="0" t="n">
        <f aca="false">IF(C2716&gt;1,IF(C2716&lt;99,VLOOKUP(F2716,'MSA-Lookup'!$AA$1:$AB$25,2),C2716),C2716)</f>
        <v>4472</v>
      </c>
    </row>
    <row r="2717" customFormat="false" ht="12.75" hidden="false" customHeight="false" outlineLevel="0" collapsed="false">
      <c r="A2717" s="0" t="n">
        <f aca="false">B2717*1000+C2717</f>
        <v>43072</v>
      </c>
      <c r="B2717" s="0" t="n">
        <v>43</v>
      </c>
      <c r="C2717" s="0" t="n">
        <v>72</v>
      </c>
      <c r="D2717" s="0" t="n">
        <v>481</v>
      </c>
      <c r="E2717" s="0" t="n">
        <f aca="false">VLOOKUP(B2717,'MSA-Lookup'!$H$2:$I$86,2)</f>
        <v>360</v>
      </c>
      <c r="F2717" s="0" t="n">
        <f aca="false">IF(C2717&gt;1,IF(C2717&lt;99,VLOOKUP(C2717,'MSA-Lookup'!$H$1:$I$86,2),C2717),C2717)</f>
        <v>6780</v>
      </c>
      <c r="G2717" s="0" t="n">
        <f aca="false">VLOOKUP(E2717,'MSA-Lookup'!$AA$1:$AB$25,2)</f>
        <v>4472</v>
      </c>
      <c r="H2717" s="0" t="n">
        <f aca="false">IF(C2717&gt;1,IF(C2717&lt;99,VLOOKUP(F2717,'MSA-Lookup'!$AA$1:$AB$25,2),C2717),C2717)</f>
        <v>4472</v>
      </c>
    </row>
    <row r="2718" customFormat="false" ht="12.75" hidden="false" customHeight="false" outlineLevel="0" collapsed="false">
      <c r="A2718" s="0" t="n">
        <f aca="false">B2718*1000+C2718</f>
        <v>43073</v>
      </c>
      <c r="B2718" s="0" t="n">
        <v>43</v>
      </c>
      <c r="C2718" s="0" t="n">
        <v>73</v>
      </c>
      <c r="D2718" s="0" t="n">
        <v>0</v>
      </c>
      <c r="E2718" s="0" t="n">
        <f aca="false">VLOOKUP(B2718,'MSA-Lookup'!$H$2:$I$86,2)</f>
        <v>360</v>
      </c>
      <c r="F2718" s="0" t="n">
        <f aca="false">IF(C2718&gt;1,IF(C2718&lt;99,VLOOKUP(C2718,'MSA-Lookup'!$H$1:$I$86,2),C2718),C2718)</f>
        <v>8720</v>
      </c>
      <c r="G2718" s="0" t="n">
        <f aca="false">VLOOKUP(E2718,'MSA-Lookup'!$AA$1:$AB$25,2)</f>
        <v>4472</v>
      </c>
      <c r="H2718" s="0" t="n">
        <f aca="false">IF(C2718&gt;1,IF(C2718&lt;99,VLOOKUP(F2718,'MSA-Lookup'!$AA$1:$AB$25,2),C2718),C2718)</f>
        <v>7362</v>
      </c>
    </row>
    <row r="2719" customFormat="false" ht="12.75" hidden="false" customHeight="false" outlineLevel="0" collapsed="false">
      <c r="A2719" s="0" t="n">
        <f aca="false">B2719*1000+C2719</f>
        <v>43075</v>
      </c>
      <c r="B2719" s="0" t="n">
        <v>43</v>
      </c>
      <c r="C2719" s="0" t="n">
        <v>75</v>
      </c>
      <c r="D2719" s="0" t="n">
        <v>0</v>
      </c>
      <c r="E2719" s="0" t="n">
        <f aca="false">VLOOKUP(B2719,'MSA-Lookup'!$H$2:$I$86,2)</f>
        <v>360</v>
      </c>
      <c r="F2719" s="0" t="n">
        <f aca="false">IF(C2719&gt;1,IF(C2719&lt;99,VLOOKUP(C2719,'MSA-Lookup'!$H$1:$I$86,2),C2719),C2719)</f>
        <v>8780</v>
      </c>
      <c r="G2719" s="0" t="n">
        <f aca="false">VLOOKUP(E2719,'MSA-Lookup'!$AA$1:$AB$25,2)</f>
        <v>4472</v>
      </c>
      <c r="H2719" s="0" t="n">
        <f aca="false">IF(C2719&gt;1,IF(C2719&lt;99,VLOOKUP(F2719,'MSA-Lookup'!$AA$1:$AB$25,2),C2719),C2719)</f>
        <v>8780</v>
      </c>
    </row>
    <row r="2720" customFormat="false" ht="12.75" hidden="false" customHeight="false" outlineLevel="0" collapsed="false">
      <c r="A2720" s="0" t="n">
        <f aca="false">B2720*1000+C2720</f>
        <v>43076</v>
      </c>
      <c r="B2720" s="0" t="n">
        <v>43</v>
      </c>
      <c r="C2720" s="0" t="n">
        <v>76</v>
      </c>
      <c r="D2720" s="0" t="n">
        <v>0</v>
      </c>
      <c r="E2720" s="0" t="n">
        <f aca="false">VLOOKUP(B2720,'MSA-Lookup'!$H$2:$I$86,2)</f>
        <v>360</v>
      </c>
      <c r="F2720" s="0" t="n">
        <f aca="false">IF(C2720&gt;1,IF(C2720&lt;99,VLOOKUP(C2720,'MSA-Lookup'!$H$1:$I$86,2),C2720),C2720)</f>
        <v>7485</v>
      </c>
      <c r="G2720" s="0" t="n">
        <f aca="false">VLOOKUP(E2720,'MSA-Lookup'!$AA$1:$AB$25,2)</f>
        <v>4472</v>
      </c>
      <c r="H2720" s="0" t="n">
        <f aca="false">IF(C2720&gt;1,IF(C2720&lt;99,VLOOKUP(F2720,'MSA-Lookup'!$AA$1:$AB$25,2),C2720),C2720)</f>
        <v>7362</v>
      </c>
    </row>
    <row r="2721" customFormat="false" ht="12.75" hidden="false" customHeight="false" outlineLevel="0" collapsed="false">
      <c r="A2721" s="0" t="n">
        <f aca="false">B2721*1000+C2721</f>
        <v>43077</v>
      </c>
      <c r="B2721" s="0" t="n">
        <v>43</v>
      </c>
      <c r="C2721" s="0" t="n">
        <v>77</v>
      </c>
      <c r="D2721" s="0" t="n">
        <v>0</v>
      </c>
      <c r="E2721" s="0" t="n">
        <f aca="false">VLOOKUP(B2721,'MSA-Lookup'!$H$2:$I$86,2)</f>
        <v>360</v>
      </c>
      <c r="F2721" s="0" t="n">
        <f aca="false">IF(C2721&gt;1,IF(C2721&lt;99,VLOOKUP(C2721,'MSA-Lookup'!$H$1:$I$86,2),C2721),C2721)</f>
        <v>9999</v>
      </c>
      <c r="G2721" s="0" t="n">
        <f aca="false">VLOOKUP(E2721,'MSA-Lookup'!$AA$1:$AB$25,2)</f>
        <v>4472</v>
      </c>
      <c r="H2721" s="0" t="n">
        <f aca="false">IF(C2721&gt;1,IF(C2721&lt;99,VLOOKUP(F2721,'MSA-Lookup'!$AA$1:$AB$25,2),C2721),C2721)</f>
        <v>9999</v>
      </c>
    </row>
    <row r="2722" customFormat="false" ht="12.75" hidden="false" customHeight="false" outlineLevel="0" collapsed="false">
      <c r="A2722" s="0" t="n">
        <f aca="false">B2722*1000+C2722</f>
        <v>43079</v>
      </c>
      <c r="B2722" s="0" t="n">
        <v>43</v>
      </c>
      <c r="C2722" s="0" t="n">
        <v>79</v>
      </c>
      <c r="D2722" s="0" t="n">
        <v>0</v>
      </c>
      <c r="E2722" s="0" t="n">
        <f aca="false">VLOOKUP(B2722,'MSA-Lookup'!$H$2:$I$86,2)</f>
        <v>360</v>
      </c>
      <c r="F2722" s="0" t="n">
        <f aca="false">IF(C2722&gt;1,IF(C2722&lt;99,VLOOKUP(C2722,'MSA-Lookup'!$H$1:$I$86,2),C2722),C2722)</f>
        <v>680</v>
      </c>
      <c r="G2722" s="0" t="n">
        <f aca="false">VLOOKUP(E2722,'MSA-Lookup'!$AA$1:$AB$25,2)</f>
        <v>4472</v>
      </c>
      <c r="H2722" s="0" t="n">
        <f aca="false">IF(C2722&gt;1,IF(C2722&lt;99,VLOOKUP(F2722,'MSA-Lookup'!$AA$1:$AB$25,2),C2722),C2722)</f>
        <v>680</v>
      </c>
    </row>
    <row r="2723" customFormat="false" ht="12.75" hidden="false" customHeight="false" outlineLevel="0" collapsed="false">
      <c r="A2723" s="0" t="n">
        <f aca="false">B2723*1000+C2723</f>
        <v>43080</v>
      </c>
      <c r="B2723" s="0" t="n">
        <v>43</v>
      </c>
      <c r="C2723" s="0" t="n">
        <v>80</v>
      </c>
      <c r="D2723" s="0" t="n">
        <v>0</v>
      </c>
      <c r="E2723" s="0" t="n">
        <f aca="false">VLOOKUP(B2723,'MSA-Lookup'!$H$2:$I$86,2)</f>
        <v>360</v>
      </c>
      <c r="F2723" s="0" t="n">
        <f aca="false">IF(C2723&gt;1,IF(C2723&lt;99,VLOOKUP(C2723,'MSA-Lookup'!$H$1:$I$86,2),C2723),C2723)</f>
        <v>9999</v>
      </c>
      <c r="G2723" s="0" t="n">
        <f aca="false">VLOOKUP(E2723,'MSA-Lookup'!$AA$1:$AB$25,2)</f>
        <v>4472</v>
      </c>
      <c r="H2723" s="0" t="n">
        <f aca="false">IF(C2723&gt;1,IF(C2723&lt;99,VLOOKUP(F2723,'MSA-Lookup'!$AA$1:$AB$25,2),C2723),C2723)</f>
        <v>9999</v>
      </c>
    </row>
    <row r="2724" customFormat="false" ht="12.75" hidden="false" customHeight="false" outlineLevel="0" collapsed="false">
      <c r="A2724" s="0" t="n">
        <f aca="false">B2724*1000+C2724</f>
        <v>43081</v>
      </c>
      <c r="B2724" s="0" t="n">
        <v>43</v>
      </c>
      <c r="C2724" s="0" t="n">
        <v>81</v>
      </c>
      <c r="D2724" s="0" t="n">
        <v>0</v>
      </c>
      <c r="E2724" s="0" t="n">
        <f aca="false">VLOOKUP(B2724,'MSA-Lookup'!$H$2:$I$86,2)</f>
        <v>360</v>
      </c>
      <c r="F2724" s="0" t="n">
        <f aca="false">IF(C2724&gt;1,IF(C2724&lt;99,VLOOKUP(C2724,'MSA-Lookup'!$H$1:$I$86,2),C2724),C2724)</f>
        <v>6780</v>
      </c>
      <c r="G2724" s="0" t="n">
        <f aca="false">VLOOKUP(E2724,'MSA-Lookup'!$AA$1:$AB$25,2)</f>
        <v>4472</v>
      </c>
      <c r="H2724" s="0" t="n">
        <f aca="false">IF(C2724&gt;1,IF(C2724&lt;99,VLOOKUP(F2724,'MSA-Lookup'!$AA$1:$AB$25,2),C2724),C2724)</f>
        <v>4472</v>
      </c>
    </row>
    <row r="2725" customFormat="false" ht="12.75" hidden="false" customHeight="false" outlineLevel="0" collapsed="false">
      <c r="A2725" s="0" t="n">
        <f aca="false">B2725*1000+C2725</f>
        <v>43082</v>
      </c>
      <c r="B2725" s="0" t="n">
        <v>43</v>
      </c>
      <c r="C2725" s="0" t="n">
        <v>82</v>
      </c>
      <c r="D2725" s="0" t="n">
        <v>0</v>
      </c>
      <c r="E2725" s="0" t="n">
        <f aca="false">VLOOKUP(B2725,'MSA-Lookup'!$H$2:$I$86,2)</f>
        <v>360</v>
      </c>
      <c r="F2725" s="0" t="n">
        <f aca="false">IF(C2725&gt;1,IF(C2725&lt;99,VLOOKUP(C2725,'MSA-Lookup'!$H$1:$I$86,2),C2725),C2725)</f>
        <v>6780</v>
      </c>
      <c r="G2725" s="0" t="n">
        <f aca="false">VLOOKUP(E2725,'MSA-Lookup'!$AA$1:$AB$25,2)</f>
        <v>4472</v>
      </c>
      <c r="H2725" s="0" t="n">
        <f aca="false">IF(C2725&gt;1,IF(C2725&lt;99,VLOOKUP(F2725,'MSA-Lookup'!$AA$1:$AB$25,2),C2725),C2725)</f>
        <v>4472</v>
      </c>
    </row>
    <row r="2726" customFormat="false" ht="12.75" hidden="false" customHeight="false" outlineLevel="0" collapsed="false">
      <c r="A2726" s="0" t="n">
        <f aca="false">B2726*1000+C2726</f>
        <v>43083</v>
      </c>
      <c r="B2726" s="0" t="n">
        <v>43</v>
      </c>
      <c r="C2726" s="0" t="n">
        <v>83</v>
      </c>
      <c r="D2726" s="0" t="n">
        <v>0</v>
      </c>
      <c r="E2726" s="0" t="n">
        <f aca="false">VLOOKUP(B2726,'MSA-Lookup'!$H$2:$I$86,2)</f>
        <v>360</v>
      </c>
      <c r="F2726" s="0" t="n">
        <f aca="false">IF(C2726&gt;1,IF(C2726&lt;99,VLOOKUP(C2726,'MSA-Lookup'!$H$1:$I$86,2),C2726),C2726)</f>
        <v>6000</v>
      </c>
      <c r="G2726" s="0" t="n">
        <f aca="false">VLOOKUP(E2726,'MSA-Lookup'!$AA$1:$AB$25,2)</f>
        <v>4472</v>
      </c>
      <c r="H2726" s="0" t="n">
        <f aca="false">IF(C2726&gt;1,IF(C2726&lt;99,VLOOKUP(F2726,'MSA-Lookup'!$AA$1:$AB$25,2),C2726),C2726)</f>
        <v>4472</v>
      </c>
    </row>
    <row r="2727" customFormat="false" ht="12.75" hidden="false" customHeight="false" outlineLevel="0" collapsed="false">
      <c r="A2727" s="0" t="n">
        <f aca="false">B2727*1000+C2727</f>
        <v>43084</v>
      </c>
      <c r="B2727" s="0" t="n">
        <v>43</v>
      </c>
      <c r="C2727" s="0" t="n">
        <v>84</v>
      </c>
      <c r="D2727" s="0" t="n">
        <v>1209</v>
      </c>
      <c r="E2727" s="0" t="n">
        <f aca="false">VLOOKUP(B2727,'MSA-Lookup'!$H$2:$I$86,2)</f>
        <v>360</v>
      </c>
      <c r="F2727" s="0" t="n">
        <f aca="false">IF(C2727&gt;1,IF(C2727&lt;99,VLOOKUP(C2727,'MSA-Lookup'!$H$1:$I$86,2),C2727),C2727)</f>
        <v>360</v>
      </c>
      <c r="G2727" s="0" t="n">
        <f aca="false">VLOOKUP(E2727,'MSA-Lookup'!$AA$1:$AB$25,2)</f>
        <v>4472</v>
      </c>
      <c r="H2727" s="0" t="n">
        <f aca="false">IF(C2727&gt;1,IF(C2727&lt;99,VLOOKUP(F2727,'MSA-Lookup'!$AA$1:$AB$25,2),C2727),C2727)</f>
        <v>4472</v>
      </c>
    </row>
    <row r="2728" customFormat="false" ht="12.75" hidden="false" customHeight="false" outlineLevel="0" collapsed="false">
      <c r="A2728" s="0" t="n">
        <f aca="false">B2728*1000+C2728</f>
        <v>43085</v>
      </c>
      <c r="B2728" s="0" t="n">
        <v>43</v>
      </c>
      <c r="C2728" s="0" t="n">
        <v>85</v>
      </c>
      <c r="D2728" s="0" t="n">
        <v>0</v>
      </c>
      <c r="E2728" s="0" t="n">
        <f aca="false">VLOOKUP(B2728,'MSA-Lookup'!$H$2:$I$86,2)</f>
        <v>360</v>
      </c>
      <c r="F2728" s="0" t="n">
        <f aca="false">IF(C2728&gt;1,IF(C2728&lt;99,VLOOKUP(C2728,'MSA-Lookup'!$H$1:$I$86,2),C2728),C2728)</f>
        <v>8120</v>
      </c>
      <c r="G2728" s="0" t="n">
        <f aca="false">VLOOKUP(E2728,'MSA-Lookup'!$AA$1:$AB$25,2)</f>
        <v>4472</v>
      </c>
      <c r="H2728" s="0" t="n">
        <f aca="false">IF(C2728&gt;1,IF(C2728&lt;99,VLOOKUP(F2728,'MSA-Lookup'!$AA$1:$AB$25,2),C2728),C2728)</f>
        <v>8120</v>
      </c>
    </row>
    <row r="2729" customFormat="false" ht="12.75" hidden="false" customHeight="false" outlineLevel="0" collapsed="false">
      <c r="A2729" s="0" t="n">
        <f aca="false">B2729*1000+C2729</f>
        <v>43858</v>
      </c>
      <c r="B2729" s="0" t="n">
        <v>43</v>
      </c>
      <c r="C2729" s="0" t="n">
        <v>858</v>
      </c>
      <c r="D2729" s="0" t="n">
        <v>0</v>
      </c>
      <c r="E2729" s="0" t="n">
        <f aca="false">VLOOKUP(B2729,'MSA-Lookup'!$H$2:$I$86,2)</f>
        <v>360</v>
      </c>
      <c r="F2729" s="0" t="n">
        <f aca="false">IF(C2729&gt;1,IF(C2729&lt;99,VLOOKUP(C2729,'MSA-Lookup'!$H$1:$I$86,2),C2729),C2729)</f>
        <v>858</v>
      </c>
      <c r="G2729" s="0" t="n">
        <f aca="false">VLOOKUP(E2729,'MSA-Lookup'!$AA$1:$AB$25,2)</f>
        <v>4472</v>
      </c>
      <c r="H2729" s="0" t="n">
        <f aca="false">IF(C2729&gt;1,IF(C2729&lt;99,VLOOKUP(F2729,'MSA-Lookup'!$AA$1:$AB$25,2),C2729),C2729)</f>
        <v>858</v>
      </c>
    </row>
    <row r="2730" customFormat="false" ht="12.75" hidden="false" customHeight="false" outlineLevel="0" collapsed="false">
      <c r="A2730" s="0" t="n">
        <f aca="false">B2730*1000+C2730</f>
        <v>43983</v>
      </c>
      <c r="B2730" s="0" t="n">
        <v>43</v>
      </c>
      <c r="C2730" s="0" t="n">
        <v>983</v>
      </c>
      <c r="D2730" s="0" t="n">
        <v>0</v>
      </c>
      <c r="E2730" s="0" t="n">
        <f aca="false">VLOOKUP(B2730,'MSA-Lookup'!$H$2:$I$86,2)</f>
        <v>360</v>
      </c>
      <c r="F2730" s="0" t="n">
        <f aca="false">IF(C2730&gt;1,IF(C2730&lt;99,VLOOKUP(C2730,'MSA-Lookup'!$H$1:$I$86,2),C2730),C2730)</f>
        <v>983</v>
      </c>
      <c r="G2730" s="0" t="n">
        <f aca="false">VLOOKUP(E2730,'MSA-Lookup'!$AA$1:$AB$25,2)</f>
        <v>4472</v>
      </c>
      <c r="H2730" s="0" t="n">
        <f aca="false">IF(C2730&gt;1,IF(C2730&lt;99,VLOOKUP(F2730,'MSA-Lookup'!$AA$1:$AB$25,2),C2730),C2730)</f>
        <v>983</v>
      </c>
    </row>
    <row r="2731" customFormat="false" ht="12.75" hidden="false" customHeight="false" outlineLevel="0" collapsed="false">
      <c r="A2731" s="0" t="n">
        <f aca="false">B2731*1000+C2731</f>
        <v>43999</v>
      </c>
      <c r="B2731" s="0" t="n">
        <v>43</v>
      </c>
      <c r="C2731" s="0" t="n">
        <v>999</v>
      </c>
      <c r="D2731" s="0" t="n">
        <v>104</v>
      </c>
      <c r="E2731" s="0" t="n">
        <f aca="false">VLOOKUP(B2731,'MSA-Lookup'!$H$2:$I$86,2)</f>
        <v>360</v>
      </c>
      <c r="F2731" s="0" t="n">
        <f aca="false">IF(C2731&gt;1,IF(C2731&lt;99,VLOOKUP(C2731,'MSA-Lookup'!$H$1:$I$86,2),C2731),C2731)</f>
        <v>999</v>
      </c>
      <c r="G2731" s="0" t="n">
        <f aca="false">VLOOKUP(E2731,'MSA-Lookup'!$AA$1:$AB$25,2)</f>
        <v>4472</v>
      </c>
      <c r="H2731" s="0" t="n">
        <f aca="false">IF(C2731&gt;1,IF(C2731&lt;99,VLOOKUP(F2731,'MSA-Lookup'!$AA$1:$AB$25,2),C2731),C2731)</f>
        <v>999</v>
      </c>
    </row>
    <row r="2732" customFormat="false" ht="12.75" hidden="false" customHeight="false" outlineLevel="0" collapsed="false">
      <c r="A2732" s="0" t="n">
        <f aca="false">B2732*1000+C2732</f>
        <v>44000</v>
      </c>
      <c r="B2732" s="0" t="n">
        <v>44</v>
      </c>
      <c r="C2732" s="0" t="n">
        <v>0</v>
      </c>
      <c r="D2732" s="0" t="n">
        <v>60294</v>
      </c>
      <c r="E2732" s="0" t="n">
        <f aca="false">VLOOKUP(B2732,'MSA-Lookup'!$H$2:$I$86,2)</f>
        <v>360</v>
      </c>
      <c r="F2732" s="0" t="n">
        <f aca="false">IF(C2732&gt;1,IF(C2732&lt;99,VLOOKUP(C2732,'MSA-Lookup'!$H$1:$I$86,2),C2732),C2732)</f>
        <v>0</v>
      </c>
      <c r="G2732" s="0" t="n">
        <f aca="false">VLOOKUP(E2732,'MSA-Lookup'!$AA$1:$AB$25,2)</f>
        <v>4472</v>
      </c>
      <c r="H2732" s="0" t="n">
        <f aca="false">IF(C2732&gt;1,IF(C2732&lt;99,VLOOKUP(F2732,'MSA-Lookup'!$AA$1:$AB$25,2),C2732),C2732)</f>
        <v>0</v>
      </c>
    </row>
    <row r="2733" customFormat="false" ht="12.75" hidden="false" customHeight="false" outlineLevel="0" collapsed="false">
      <c r="A2733" s="0" t="n">
        <f aca="false">B2733*1000+C2733</f>
        <v>44001</v>
      </c>
      <c r="B2733" s="0" t="n">
        <v>44</v>
      </c>
      <c r="C2733" s="0" t="n">
        <v>1</v>
      </c>
      <c r="D2733" s="0" t="n">
        <v>0</v>
      </c>
      <c r="E2733" s="0" t="n">
        <f aca="false">VLOOKUP(B2733,'MSA-Lookup'!$H$2:$I$86,2)</f>
        <v>360</v>
      </c>
      <c r="F2733" s="0" t="n">
        <f aca="false">IF(C2733&gt;1,IF(C2733&lt;99,VLOOKUP(C2733,'MSA-Lookup'!$H$1:$I$86,2),C2733),C2733)</f>
        <v>1</v>
      </c>
      <c r="G2733" s="0" t="n">
        <f aca="false">VLOOKUP(E2733,'MSA-Lookup'!$AA$1:$AB$25,2)</f>
        <v>4472</v>
      </c>
      <c r="H2733" s="0" t="n">
        <f aca="false">IF(C2733&gt;1,IF(C2733&lt;99,VLOOKUP(F2733,'MSA-Lookup'!$AA$1:$AB$25,2),C2733),C2733)</f>
        <v>1</v>
      </c>
    </row>
    <row r="2734" customFormat="false" ht="12.75" hidden="false" customHeight="false" outlineLevel="0" collapsed="false">
      <c r="A2734" s="0" t="n">
        <f aca="false">B2734*1000+C2734</f>
        <v>44002</v>
      </c>
      <c r="B2734" s="0" t="n">
        <v>44</v>
      </c>
      <c r="C2734" s="0" t="n">
        <v>2</v>
      </c>
      <c r="D2734" s="0" t="n">
        <v>0</v>
      </c>
      <c r="E2734" s="0" t="n">
        <f aca="false">VLOOKUP(B2734,'MSA-Lookup'!$H$2:$I$86,2)</f>
        <v>360</v>
      </c>
      <c r="F2734" s="0" t="n">
        <f aca="false">IF(C2734&gt;1,IF(C2734&lt;99,VLOOKUP(C2734,'MSA-Lookup'!$H$1:$I$86,2),C2734),C2734)</f>
        <v>9999</v>
      </c>
      <c r="G2734" s="0" t="n">
        <f aca="false">VLOOKUP(E2734,'MSA-Lookup'!$AA$1:$AB$25,2)</f>
        <v>4472</v>
      </c>
      <c r="H2734" s="0" t="n">
        <f aca="false">IF(C2734&gt;1,IF(C2734&lt;99,VLOOKUP(F2734,'MSA-Lookup'!$AA$1:$AB$25,2),C2734),C2734)</f>
        <v>9999</v>
      </c>
    </row>
    <row r="2735" customFormat="false" ht="12.75" hidden="false" customHeight="false" outlineLevel="0" collapsed="false">
      <c r="A2735" s="0" t="n">
        <f aca="false">B2735*1000+C2735</f>
        <v>44003</v>
      </c>
      <c r="B2735" s="0" t="n">
        <v>44</v>
      </c>
      <c r="C2735" s="0" t="n">
        <v>3</v>
      </c>
      <c r="D2735" s="0" t="n">
        <v>0</v>
      </c>
      <c r="E2735" s="0" t="n">
        <f aca="false">VLOOKUP(B2735,'MSA-Lookup'!$H$2:$I$86,2)</f>
        <v>360</v>
      </c>
      <c r="F2735" s="0" t="n">
        <f aca="false">IF(C2735&gt;1,IF(C2735&lt;99,VLOOKUP(C2735,'MSA-Lookup'!$H$1:$I$86,2),C2735),C2735)</f>
        <v>6690</v>
      </c>
      <c r="G2735" s="0" t="n">
        <f aca="false">VLOOKUP(E2735,'MSA-Lookup'!$AA$1:$AB$25,2)</f>
        <v>4472</v>
      </c>
      <c r="H2735" s="0" t="n">
        <f aca="false">IF(C2735&gt;1,IF(C2735&lt;99,VLOOKUP(F2735,'MSA-Lookup'!$AA$1:$AB$25,2),C2735),C2735)</f>
        <v>6690</v>
      </c>
    </row>
    <row r="2736" customFormat="false" ht="12.75" hidden="false" customHeight="false" outlineLevel="0" collapsed="false">
      <c r="A2736" s="0" t="n">
        <f aca="false">B2736*1000+C2736</f>
        <v>44004</v>
      </c>
      <c r="B2736" s="0" t="n">
        <v>44</v>
      </c>
      <c r="C2736" s="0" t="n">
        <v>4</v>
      </c>
      <c r="D2736" s="0" t="n">
        <v>0</v>
      </c>
      <c r="E2736" s="0" t="n">
        <f aca="false">VLOOKUP(B2736,'MSA-Lookup'!$H$2:$I$86,2)</f>
        <v>360</v>
      </c>
      <c r="F2736" s="0" t="n">
        <f aca="false">IF(C2736&gt;1,IF(C2736&lt;99,VLOOKUP(C2736,'MSA-Lookup'!$H$1:$I$86,2),C2736),C2736)</f>
        <v>9999</v>
      </c>
      <c r="G2736" s="0" t="n">
        <f aca="false">VLOOKUP(E2736,'MSA-Lookup'!$AA$1:$AB$25,2)</f>
        <v>4472</v>
      </c>
      <c r="H2736" s="0" t="n">
        <f aca="false">IF(C2736&gt;1,IF(C2736&lt;99,VLOOKUP(F2736,'MSA-Lookup'!$AA$1:$AB$25,2),C2736),C2736)</f>
        <v>9999</v>
      </c>
    </row>
    <row r="2737" customFormat="false" ht="12.75" hidden="false" customHeight="false" outlineLevel="0" collapsed="false">
      <c r="A2737" s="0" t="n">
        <f aca="false">B2737*1000+C2737</f>
        <v>44005</v>
      </c>
      <c r="B2737" s="0" t="n">
        <v>44</v>
      </c>
      <c r="C2737" s="0" t="n">
        <v>5</v>
      </c>
      <c r="D2737" s="0" t="n">
        <v>0</v>
      </c>
      <c r="E2737" s="0" t="n">
        <f aca="false">VLOOKUP(B2737,'MSA-Lookup'!$H$2:$I$86,2)</f>
        <v>360</v>
      </c>
      <c r="F2737" s="0" t="n">
        <f aca="false">IF(C2737&gt;1,IF(C2737&lt;99,VLOOKUP(C2737,'MSA-Lookup'!$H$1:$I$86,2),C2737),C2737)</f>
        <v>9999</v>
      </c>
      <c r="G2737" s="0" t="n">
        <f aca="false">VLOOKUP(E2737,'MSA-Lookup'!$AA$1:$AB$25,2)</f>
        <v>4472</v>
      </c>
      <c r="H2737" s="0" t="n">
        <f aca="false">IF(C2737&gt;1,IF(C2737&lt;99,VLOOKUP(F2737,'MSA-Lookup'!$AA$1:$AB$25,2),C2737),C2737)</f>
        <v>9999</v>
      </c>
    </row>
    <row r="2738" customFormat="false" ht="12.75" hidden="false" customHeight="false" outlineLevel="0" collapsed="false">
      <c r="A2738" s="0" t="n">
        <f aca="false">B2738*1000+C2738</f>
        <v>44006</v>
      </c>
      <c r="B2738" s="0" t="n">
        <v>44</v>
      </c>
      <c r="C2738" s="0" t="n">
        <v>6</v>
      </c>
      <c r="D2738" s="0" t="n">
        <v>0</v>
      </c>
      <c r="E2738" s="0" t="n">
        <f aca="false">VLOOKUP(B2738,'MSA-Lookup'!$H$2:$I$86,2)</f>
        <v>360</v>
      </c>
      <c r="F2738" s="0" t="n">
        <f aca="false">IF(C2738&gt;1,IF(C2738&lt;99,VLOOKUP(C2738,'MSA-Lookup'!$H$1:$I$86,2),C2738),C2738)</f>
        <v>1620</v>
      </c>
      <c r="G2738" s="0" t="n">
        <f aca="false">VLOOKUP(E2738,'MSA-Lookup'!$AA$1:$AB$25,2)</f>
        <v>4472</v>
      </c>
      <c r="H2738" s="0" t="n">
        <f aca="false">IF(C2738&gt;1,IF(C2738&lt;99,VLOOKUP(F2738,'MSA-Lookup'!$AA$1:$AB$25,2),C2738),C2738)</f>
        <v>1620</v>
      </c>
    </row>
    <row r="2739" customFormat="false" ht="12.75" hidden="false" customHeight="false" outlineLevel="0" collapsed="false">
      <c r="A2739" s="0" t="n">
        <f aca="false">B2739*1000+C2739</f>
        <v>44007</v>
      </c>
      <c r="B2739" s="0" t="n">
        <v>44</v>
      </c>
      <c r="C2739" s="0" t="n">
        <v>7</v>
      </c>
      <c r="D2739" s="0" t="n">
        <v>0</v>
      </c>
      <c r="E2739" s="0" t="n">
        <f aca="false">VLOOKUP(B2739,'MSA-Lookup'!$H$2:$I$86,2)</f>
        <v>360</v>
      </c>
      <c r="F2739" s="0" t="n">
        <f aca="false">IF(C2739&gt;1,IF(C2739&lt;99,VLOOKUP(C2739,'MSA-Lookup'!$H$1:$I$86,2),C2739),C2739)</f>
        <v>9999</v>
      </c>
      <c r="G2739" s="0" t="n">
        <f aca="false">VLOOKUP(E2739,'MSA-Lookup'!$AA$1:$AB$25,2)</f>
        <v>4472</v>
      </c>
      <c r="H2739" s="0" t="n">
        <f aca="false">IF(C2739&gt;1,IF(C2739&lt;99,VLOOKUP(F2739,'MSA-Lookup'!$AA$1:$AB$25,2),C2739),C2739)</f>
        <v>9999</v>
      </c>
    </row>
    <row r="2740" customFormat="false" ht="12.75" hidden="false" customHeight="false" outlineLevel="0" collapsed="false">
      <c r="A2740" s="0" t="n">
        <f aca="false">B2740*1000+C2740</f>
        <v>44008</v>
      </c>
      <c r="B2740" s="0" t="n">
        <v>44</v>
      </c>
      <c r="C2740" s="0" t="n">
        <v>8</v>
      </c>
      <c r="D2740" s="0" t="n">
        <v>0</v>
      </c>
      <c r="E2740" s="0" t="n">
        <f aca="false">VLOOKUP(B2740,'MSA-Lookup'!$H$2:$I$86,2)</f>
        <v>360</v>
      </c>
      <c r="F2740" s="0" t="n">
        <f aca="false">IF(C2740&gt;1,IF(C2740&lt;99,VLOOKUP(C2740,'MSA-Lookup'!$H$1:$I$86,2),C2740),C2740)</f>
        <v>9340</v>
      </c>
      <c r="G2740" s="0" t="n">
        <f aca="false">VLOOKUP(E2740,'MSA-Lookup'!$AA$1:$AB$25,2)</f>
        <v>4472</v>
      </c>
      <c r="H2740" s="0" t="n">
        <f aca="false">IF(C2740&gt;1,IF(C2740&lt;99,VLOOKUP(F2740,'MSA-Lookup'!$AA$1:$AB$25,2),C2740),C2740)</f>
        <v>9340</v>
      </c>
    </row>
    <row r="2741" customFormat="false" ht="12.75" hidden="false" customHeight="false" outlineLevel="0" collapsed="false">
      <c r="A2741" s="0" t="n">
        <f aca="false">B2741*1000+C2741</f>
        <v>44009</v>
      </c>
      <c r="B2741" s="0" t="n">
        <v>44</v>
      </c>
      <c r="C2741" s="0" t="n">
        <v>9</v>
      </c>
      <c r="D2741" s="0" t="n">
        <v>0</v>
      </c>
      <c r="E2741" s="0" t="n">
        <f aca="false">VLOOKUP(B2741,'MSA-Lookup'!$H$2:$I$86,2)</f>
        <v>360</v>
      </c>
      <c r="F2741" s="0" t="n">
        <f aca="false">IF(C2741&gt;1,IF(C2741&lt;99,VLOOKUP(C2741,'MSA-Lookup'!$H$1:$I$86,2),C2741),C2741)</f>
        <v>8720</v>
      </c>
      <c r="G2741" s="0" t="n">
        <f aca="false">VLOOKUP(E2741,'MSA-Lookup'!$AA$1:$AB$25,2)</f>
        <v>4472</v>
      </c>
      <c r="H2741" s="0" t="n">
        <f aca="false">IF(C2741&gt;1,IF(C2741&lt;99,VLOOKUP(F2741,'MSA-Lookup'!$AA$1:$AB$25,2),C2741),C2741)</f>
        <v>7362</v>
      </c>
    </row>
    <row r="2742" customFormat="false" ht="12.75" hidden="false" customHeight="false" outlineLevel="0" collapsed="false">
      <c r="A2742" s="0" t="n">
        <f aca="false">B2742*1000+C2742</f>
        <v>44010</v>
      </c>
      <c r="B2742" s="0" t="n">
        <v>44</v>
      </c>
      <c r="C2742" s="0" t="n">
        <v>10</v>
      </c>
      <c r="D2742" s="0" t="n">
        <v>0</v>
      </c>
      <c r="E2742" s="0" t="n">
        <f aca="false">VLOOKUP(B2742,'MSA-Lookup'!$H$2:$I$86,2)</f>
        <v>360</v>
      </c>
      <c r="F2742" s="0" t="n">
        <f aca="false">IF(C2742&gt;1,IF(C2742&lt;99,VLOOKUP(C2742,'MSA-Lookup'!$H$1:$I$86,2),C2742),C2742)</f>
        <v>6920</v>
      </c>
      <c r="G2742" s="0" t="n">
        <f aca="false">VLOOKUP(E2742,'MSA-Lookup'!$AA$1:$AB$25,2)</f>
        <v>4472</v>
      </c>
      <c r="H2742" s="0" t="n">
        <f aca="false">IF(C2742&gt;1,IF(C2742&lt;99,VLOOKUP(F2742,'MSA-Lookup'!$AA$1:$AB$25,2),C2742),C2742)</f>
        <v>6920</v>
      </c>
    </row>
    <row r="2743" customFormat="false" ht="12.75" hidden="false" customHeight="false" outlineLevel="0" collapsed="false">
      <c r="A2743" s="0" t="n">
        <f aca="false">B2743*1000+C2743</f>
        <v>44011</v>
      </c>
      <c r="B2743" s="0" t="n">
        <v>44</v>
      </c>
      <c r="C2743" s="0" t="n">
        <v>11</v>
      </c>
      <c r="D2743" s="0" t="n">
        <v>169</v>
      </c>
      <c r="E2743" s="0" t="n">
        <f aca="false">VLOOKUP(B2743,'MSA-Lookup'!$H$2:$I$86,2)</f>
        <v>360</v>
      </c>
      <c r="F2743" s="0" t="n">
        <f aca="false">IF(C2743&gt;1,IF(C2743&lt;99,VLOOKUP(C2743,'MSA-Lookup'!$H$1:$I$86,2),C2743),C2743)</f>
        <v>6920</v>
      </c>
      <c r="G2743" s="0" t="n">
        <f aca="false">VLOOKUP(E2743,'MSA-Lookup'!$AA$1:$AB$25,2)</f>
        <v>4472</v>
      </c>
      <c r="H2743" s="0" t="n">
        <f aca="false">IF(C2743&gt;1,IF(C2743&lt;99,VLOOKUP(F2743,'MSA-Lookup'!$AA$1:$AB$25,2),C2743),C2743)</f>
        <v>6920</v>
      </c>
    </row>
    <row r="2744" customFormat="false" ht="12.75" hidden="false" customHeight="false" outlineLevel="0" collapsed="false">
      <c r="A2744" s="0" t="n">
        <f aca="false">B2744*1000+C2744</f>
        <v>44012</v>
      </c>
      <c r="B2744" s="0" t="n">
        <v>44</v>
      </c>
      <c r="C2744" s="0" t="n">
        <v>12</v>
      </c>
      <c r="D2744" s="0" t="n">
        <v>0</v>
      </c>
      <c r="E2744" s="0" t="n">
        <f aca="false">VLOOKUP(B2744,'MSA-Lookup'!$H$2:$I$86,2)</f>
        <v>360</v>
      </c>
      <c r="F2744" s="0" t="n">
        <f aca="false">IF(C2744&gt;1,IF(C2744&lt;99,VLOOKUP(C2744,'MSA-Lookup'!$H$1:$I$86,2),C2744),C2744)</f>
        <v>6920</v>
      </c>
      <c r="G2744" s="0" t="n">
        <f aca="false">VLOOKUP(E2744,'MSA-Lookup'!$AA$1:$AB$25,2)</f>
        <v>4472</v>
      </c>
      <c r="H2744" s="0" t="n">
        <f aca="false">IF(C2744&gt;1,IF(C2744&lt;99,VLOOKUP(F2744,'MSA-Lookup'!$AA$1:$AB$25,2),C2744),C2744)</f>
        <v>6920</v>
      </c>
    </row>
    <row r="2745" customFormat="false" ht="12.75" hidden="false" customHeight="false" outlineLevel="0" collapsed="false">
      <c r="A2745" s="0" t="n">
        <f aca="false">B2745*1000+C2745</f>
        <v>44013</v>
      </c>
      <c r="B2745" s="0" t="n">
        <v>44</v>
      </c>
      <c r="C2745" s="0" t="n">
        <v>13</v>
      </c>
      <c r="D2745" s="0" t="n">
        <v>0</v>
      </c>
      <c r="E2745" s="0" t="n">
        <f aca="false">VLOOKUP(B2745,'MSA-Lookup'!$H$2:$I$86,2)</f>
        <v>360</v>
      </c>
      <c r="F2745" s="0" t="n">
        <f aca="false">IF(C2745&gt;1,IF(C2745&lt;99,VLOOKUP(C2745,'MSA-Lookup'!$H$1:$I$86,2),C2745),C2745)</f>
        <v>7500</v>
      </c>
      <c r="G2745" s="0" t="n">
        <f aca="false">VLOOKUP(E2745,'MSA-Lookup'!$AA$1:$AB$25,2)</f>
        <v>4472</v>
      </c>
      <c r="H2745" s="0" t="n">
        <f aca="false">IF(C2745&gt;1,IF(C2745&lt;99,VLOOKUP(F2745,'MSA-Lookup'!$AA$1:$AB$25,2),C2745),C2745)</f>
        <v>7362</v>
      </c>
    </row>
    <row r="2746" customFormat="false" ht="12.75" hidden="false" customHeight="false" outlineLevel="0" collapsed="false">
      <c r="A2746" s="0" t="n">
        <f aca="false">B2746*1000+C2746</f>
        <v>44014</v>
      </c>
      <c r="B2746" s="0" t="n">
        <v>44</v>
      </c>
      <c r="C2746" s="0" t="n">
        <v>14</v>
      </c>
      <c r="D2746" s="0" t="n">
        <v>0</v>
      </c>
      <c r="E2746" s="0" t="n">
        <f aca="false">VLOOKUP(B2746,'MSA-Lookup'!$H$2:$I$86,2)</f>
        <v>360</v>
      </c>
      <c r="F2746" s="0" t="n">
        <f aca="false">IF(C2746&gt;1,IF(C2746&lt;99,VLOOKUP(C2746,'MSA-Lookup'!$H$1:$I$86,2),C2746),C2746)</f>
        <v>7500</v>
      </c>
      <c r="G2746" s="0" t="n">
        <f aca="false">VLOOKUP(E2746,'MSA-Lookup'!$AA$1:$AB$25,2)</f>
        <v>4472</v>
      </c>
      <c r="H2746" s="0" t="n">
        <f aca="false">IF(C2746&gt;1,IF(C2746&lt;99,VLOOKUP(F2746,'MSA-Lookup'!$AA$1:$AB$25,2),C2746),C2746)</f>
        <v>7362</v>
      </c>
    </row>
    <row r="2747" customFormat="false" ht="12.75" hidden="false" customHeight="false" outlineLevel="0" collapsed="false">
      <c r="A2747" s="0" t="n">
        <f aca="false">B2747*1000+C2747</f>
        <v>44015</v>
      </c>
      <c r="B2747" s="0" t="n">
        <v>44</v>
      </c>
      <c r="C2747" s="0" t="n">
        <v>15</v>
      </c>
      <c r="D2747" s="0" t="n">
        <v>0</v>
      </c>
      <c r="E2747" s="0" t="n">
        <f aca="false">VLOOKUP(B2747,'MSA-Lookup'!$H$2:$I$86,2)</f>
        <v>360</v>
      </c>
      <c r="F2747" s="0" t="n">
        <f aca="false">IF(C2747&gt;1,IF(C2747&lt;99,VLOOKUP(C2747,'MSA-Lookup'!$H$1:$I$86,2),C2747),C2747)</f>
        <v>7360</v>
      </c>
      <c r="G2747" s="0" t="n">
        <f aca="false">VLOOKUP(E2747,'MSA-Lookup'!$AA$1:$AB$25,2)</f>
        <v>4472</v>
      </c>
      <c r="H2747" s="0" t="n">
        <f aca="false">IF(C2747&gt;1,IF(C2747&lt;99,VLOOKUP(F2747,'MSA-Lookup'!$AA$1:$AB$25,2),C2747),C2747)</f>
        <v>7362</v>
      </c>
    </row>
    <row r="2748" customFormat="false" ht="12.75" hidden="false" customHeight="false" outlineLevel="0" collapsed="false">
      <c r="A2748" s="0" t="n">
        <f aca="false">B2748*1000+C2748</f>
        <v>44016</v>
      </c>
      <c r="B2748" s="0" t="n">
        <v>44</v>
      </c>
      <c r="C2748" s="0" t="n">
        <v>16</v>
      </c>
      <c r="D2748" s="0" t="n">
        <v>0</v>
      </c>
      <c r="E2748" s="0" t="n">
        <f aca="false">VLOOKUP(B2748,'MSA-Lookup'!$H$2:$I$86,2)</f>
        <v>360</v>
      </c>
      <c r="F2748" s="0" t="n">
        <f aca="false">IF(C2748&gt;1,IF(C2748&lt;99,VLOOKUP(C2748,'MSA-Lookup'!$H$1:$I$86,2),C2748),C2748)</f>
        <v>8720</v>
      </c>
      <c r="G2748" s="0" t="n">
        <f aca="false">VLOOKUP(E2748,'MSA-Lookup'!$AA$1:$AB$25,2)</f>
        <v>4472</v>
      </c>
      <c r="H2748" s="0" t="n">
        <f aca="false">IF(C2748&gt;1,IF(C2748&lt;99,VLOOKUP(F2748,'MSA-Lookup'!$AA$1:$AB$25,2),C2748),C2748)</f>
        <v>7362</v>
      </c>
    </row>
    <row r="2749" customFormat="false" ht="12.75" hidden="false" customHeight="false" outlineLevel="0" collapsed="false">
      <c r="A2749" s="0" t="n">
        <f aca="false">B2749*1000+C2749</f>
        <v>44017</v>
      </c>
      <c r="B2749" s="0" t="n">
        <v>44</v>
      </c>
      <c r="C2749" s="0" t="n">
        <v>17</v>
      </c>
      <c r="D2749" s="0" t="n">
        <v>0</v>
      </c>
      <c r="E2749" s="0" t="n">
        <f aca="false">VLOOKUP(B2749,'MSA-Lookup'!$H$2:$I$86,2)</f>
        <v>360</v>
      </c>
      <c r="F2749" s="0" t="n">
        <f aca="false">IF(C2749&gt;1,IF(C2749&lt;99,VLOOKUP(C2749,'MSA-Lookup'!$H$1:$I$86,2),C2749),C2749)</f>
        <v>5775</v>
      </c>
      <c r="G2749" s="0" t="n">
        <f aca="false">VLOOKUP(E2749,'MSA-Lookup'!$AA$1:$AB$25,2)</f>
        <v>4472</v>
      </c>
      <c r="H2749" s="0" t="n">
        <f aca="false">IF(C2749&gt;1,IF(C2749&lt;99,VLOOKUP(F2749,'MSA-Lookup'!$AA$1:$AB$25,2),C2749),C2749)</f>
        <v>7362</v>
      </c>
    </row>
    <row r="2750" customFormat="false" ht="12.75" hidden="false" customHeight="false" outlineLevel="0" collapsed="false">
      <c r="A2750" s="0" t="n">
        <f aca="false">B2750*1000+C2750</f>
        <v>44018</v>
      </c>
      <c r="B2750" s="0" t="n">
        <v>44</v>
      </c>
      <c r="C2750" s="0" t="n">
        <v>18</v>
      </c>
      <c r="D2750" s="0" t="n">
        <v>0</v>
      </c>
      <c r="E2750" s="0" t="n">
        <f aca="false">VLOOKUP(B2750,'MSA-Lookup'!$H$2:$I$86,2)</f>
        <v>360</v>
      </c>
      <c r="F2750" s="0" t="n">
        <f aca="false">IF(C2750&gt;1,IF(C2750&lt;99,VLOOKUP(C2750,'MSA-Lookup'!$H$1:$I$86,2),C2750),C2750)</f>
        <v>5775</v>
      </c>
      <c r="G2750" s="0" t="n">
        <f aca="false">VLOOKUP(E2750,'MSA-Lookup'!$AA$1:$AB$25,2)</f>
        <v>4472</v>
      </c>
      <c r="H2750" s="0" t="n">
        <f aca="false">IF(C2750&gt;1,IF(C2750&lt;99,VLOOKUP(F2750,'MSA-Lookup'!$AA$1:$AB$25,2),C2750),C2750)</f>
        <v>7362</v>
      </c>
    </row>
    <row r="2751" customFormat="false" ht="12.75" hidden="false" customHeight="false" outlineLevel="0" collapsed="false">
      <c r="A2751" s="0" t="n">
        <f aca="false">B2751*1000+C2751</f>
        <v>44019</v>
      </c>
      <c r="B2751" s="0" t="n">
        <v>44</v>
      </c>
      <c r="C2751" s="0" t="n">
        <v>19</v>
      </c>
      <c r="D2751" s="0" t="n">
        <v>0</v>
      </c>
      <c r="E2751" s="0" t="n">
        <f aca="false">VLOOKUP(B2751,'MSA-Lookup'!$H$2:$I$86,2)</f>
        <v>360</v>
      </c>
      <c r="F2751" s="0" t="n">
        <f aca="false">IF(C2751&gt;1,IF(C2751&lt;99,VLOOKUP(C2751,'MSA-Lookup'!$H$1:$I$86,2),C2751),C2751)</f>
        <v>7360</v>
      </c>
      <c r="G2751" s="0" t="n">
        <f aca="false">VLOOKUP(E2751,'MSA-Lookup'!$AA$1:$AB$25,2)</f>
        <v>4472</v>
      </c>
      <c r="H2751" s="0" t="n">
        <f aca="false">IF(C2751&gt;1,IF(C2751&lt;99,VLOOKUP(F2751,'MSA-Lookup'!$AA$1:$AB$25,2),C2751),C2751)</f>
        <v>7362</v>
      </c>
    </row>
    <row r="2752" customFormat="false" ht="12.75" hidden="false" customHeight="false" outlineLevel="0" collapsed="false">
      <c r="A2752" s="0" t="n">
        <f aca="false">B2752*1000+C2752</f>
        <v>44020</v>
      </c>
      <c r="B2752" s="0" t="n">
        <v>44</v>
      </c>
      <c r="C2752" s="0" t="n">
        <v>20</v>
      </c>
      <c r="D2752" s="0" t="n">
        <v>0</v>
      </c>
      <c r="E2752" s="0" t="n">
        <f aca="false">VLOOKUP(B2752,'MSA-Lookup'!$H$2:$I$86,2)</f>
        <v>360</v>
      </c>
      <c r="F2752" s="0" t="n">
        <f aca="false">IF(C2752&gt;1,IF(C2752&lt;99,VLOOKUP(C2752,'MSA-Lookup'!$H$1:$I$86,2),C2752),C2752)</f>
        <v>5775</v>
      </c>
      <c r="G2752" s="0" t="n">
        <f aca="false">VLOOKUP(E2752,'MSA-Lookup'!$AA$1:$AB$25,2)</f>
        <v>4472</v>
      </c>
      <c r="H2752" s="0" t="n">
        <f aca="false">IF(C2752&gt;1,IF(C2752&lt;99,VLOOKUP(F2752,'MSA-Lookup'!$AA$1:$AB$25,2),C2752),C2752)</f>
        <v>7362</v>
      </c>
    </row>
    <row r="2753" customFormat="false" ht="12.75" hidden="false" customHeight="false" outlineLevel="0" collapsed="false">
      <c r="A2753" s="0" t="n">
        <f aca="false">B2753*1000+C2753</f>
        <v>44021</v>
      </c>
      <c r="B2753" s="0" t="n">
        <v>44</v>
      </c>
      <c r="C2753" s="0" t="n">
        <v>21</v>
      </c>
      <c r="D2753" s="0" t="n">
        <v>0</v>
      </c>
      <c r="E2753" s="0" t="n">
        <f aca="false">VLOOKUP(B2753,'MSA-Lookup'!$H$2:$I$86,2)</f>
        <v>360</v>
      </c>
      <c r="F2753" s="0" t="n">
        <f aca="false">IF(C2753&gt;1,IF(C2753&lt;99,VLOOKUP(C2753,'MSA-Lookup'!$H$1:$I$86,2),C2753),C2753)</f>
        <v>5775</v>
      </c>
      <c r="G2753" s="0" t="n">
        <f aca="false">VLOOKUP(E2753,'MSA-Lookup'!$AA$1:$AB$25,2)</f>
        <v>4472</v>
      </c>
      <c r="H2753" s="0" t="n">
        <f aca="false">IF(C2753&gt;1,IF(C2753&lt;99,VLOOKUP(F2753,'MSA-Lookup'!$AA$1:$AB$25,2),C2753),C2753)</f>
        <v>7362</v>
      </c>
    </row>
    <row r="2754" customFormat="false" ht="12.75" hidden="false" customHeight="false" outlineLevel="0" collapsed="false">
      <c r="A2754" s="0" t="n">
        <f aca="false">B2754*1000+C2754</f>
        <v>44022</v>
      </c>
      <c r="B2754" s="0" t="n">
        <v>44</v>
      </c>
      <c r="C2754" s="0" t="n">
        <v>22</v>
      </c>
      <c r="D2754" s="0" t="n">
        <v>0</v>
      </c>
      <c r="E2754" s="0" t="n">
        <f aca="false">VLOOKUP(B2754,'MSA-Lookup'!$H$2:$I$86,2)</f>
        <v>360</v>
      </c>
      <c r="F2754" s="0" t="n">
        <f aca="false">IF(C2754&gt;1,IF(C2754&lt;99,VLOOKUP(C2754,'MSA-Lookup'!$H$1:$I$86,2),C2754),C2754)</f>
        <v>7360</v>
      </c>
      <c r="G2754" s="0" t="n">
        <f aca="false">VLOOKUP(E2754,'MSA-Lookup'!$AA$1:$AB$25,2)</f>
        <v>4472</v>
      </c>
      <c r="H2754" s="0" t="n">
        <f aca="false">IF(C2754&gt;1,IF(C2754&lt;99,VLOOKUP(F2754,'MSA-Lookup'!$AA$1:$AB$25,2),C2754),C2754)</f>
        <v>7362</v>
      </c>
    </row>
    <row r="2755" customFormat="false" ht="12.75" hidden="false" customHeight="false" outlineLevel="0" collapsed="false">
      <c r="A2755" s="0" t="n">
        <f aca="false">B2755*1000+C2755</f>
        <v>44023</v>
      </c>
      <c r="B2755" s="0" t="n">
        <v>44</v>
      </c>
      <c r="C2755" s="0" t="n">
        <v>23</v>
      </c>
      <c r="D2755" s="0" t="n">
        <v>0</v>
      </c>
      <c r="E2755" s="0" t="n">
        <f aca="false">VLOOKUP(B2755,'MSA-Lookup'!$H$2:$I$86,2)</f>
        <v>360</v>
      </c>
      <c r="F2755" s="0" t="n">
        <f aca="false">IF(C2755&gt;1,IF(C2755&lt;99,VLOOKUP(C2755,'MSA-Lookup'!$H$1:$I$86,2),C2755),C2755)</f>
        <v>8120</v>
      </c>
      <c r="G2755" s="0" t="n">
        <f aca="false">VLOOKUP(E2755,'MSA-Lookup'!$AA$1:$AB$25,2)</f>
        <v>4472</v>
      </c>
      <c r="H2755" s="0" t="n">
        <f aca="false">IF(C2755&gt;1,IF(C2755&lt;99,VLOOKUP(F2755,'MSA-Lookup'!$AA$1:$AB$25,2),C2755),C2755)</f>
        <v>8120</v>
      </c>
    </row>
    <row r="2756" customFormat="false" ht="12.75" hidden="false" customHeight="false" outlineLevel="0" collapsed="false">
      <c r="A2756" s="0" t="n">
        <f aca="false">B2756*1000+C2756</f>
        <v>44024</v>
      </c>
      <c r="B2756" s="0" t="n">
        <v>44</v>
      </c>
      <c r="C2756" s="0" t="n">
        <v>24</v>
      </c>
      <c r="D2756" s="0" t="n">
        <v>0</v>
      </c>
      <c r="E2756" s="0" t="n">
        <f aca="false">VLOOKUP(B2756,'MSA-Lookup'!$H$2:$I$86,2)</f>
        <v>360</v>
      </c>
      <c r="F2756" s="0" t="n">
        <f aca="false">IF(C2756&gt;1,IF(C2756&lt;99,VLOOKUP(C2756,'MSA-Lookup'!$H$1:$I$86,2),C2756),C2756)</f>
        <v>5170</v>
      </c>
      <c r="G2756" s="0" t="n">
        <f aca="false">VLOOKUP(E2756,'MSA-Lookup'!$AA$1:$AB$25,2)</f>
        <v>4472</v>
      </c>
      <c r="H2756" s="0" t="n">
        <f aca="false">IF(C2756&gt;1,IF(C2756&lt;99,VLOOKUP(F2756,'MSA-Lookup'!$AA$1:$AB$25,2),C2756),C2756)</f>
        <v>5170</v>
      </c>
    </row>
    <row r="2757" customFormat="false" ht="12.75" hidden="false" customHeight="false" outlineLevel="0" collapsed="false">
      <c r="A2757" s="0" t="n">
        <f aca="false">B2757*1000+C2757</f>
        <v>44025</v>
      </c>
      <c r="B2757" s="0" t="n">
        <v>44</v>
      </c>
      <c r="C2757" s="0" t="n">
        <v>25</v>
      </c>
      <c r="D2757" s="0" t="n">
        <v>0</v>
      </c>
      <c r="E2757" s="0" t="n">
        <f aca="false">VLOOKUP(B2757,'MSA-Lookup'!$H$2:$I$86,2)</f>
        <v>360</v>
      </c>
      <c r="F2757" s="0" t="n">
        <f aca="false">IF(C2757&gt;1,IF(C2757&lt;99,VLOOKUP(C2757,'MSA-Lookup'!$H$1:$I$86,2),C2757),C2757)</f>
        <v>5170</v>
      </c>
      <c r="G2757" s="0" t="n">
        <f aca="false">VLOOKUP(E2757,'MSA-Lookup'!$AA$1:$AB$25,2)</f>
        <v>4472</v>
      </c>
      <c r="H2757" s="0" t="n">
        <f aca="false">IF(C2757&gt;1,IF(C2757&lt;99,VLOOKUP(F2757,'MSA-Lookup'!$AA$1:$AB$25,2),C2757),C2757)</f>
        <v>5170</v>
      </c>
    </row>
    <row r="2758" customFormat="false" ht="12.75" hidden="false" customHeight="false" outlineLevel="0" collapsed="false">
      <c r="A2758" s="0" t="n">
        <f aca="false">B2758*1000+C2758</f>
        <v>44026</v>
      </c>
      <c r="B2758" s="0" t="n">
        <v>44</v>
      </c>
      <c r="C2758" s="0" t="n">
        <v>26</v>
      </c>
      <c r="D2758" s="0" t="n">
        <v>0</v>
      </c>
      <c r="E2758" s="0" t="n">
        <f aca="false">VLOOKUP(B2758,'MSA-Lookup'!$H$2:$I$86,2)</f>
        <v>360</v>
      </c>
      <c r="F2758" s="0" t="n">
        <f aca="false">IF(C2758&gt;1,IF(C2758&lt;99,VLOOKUP(C2758,'MSA-Lookup'!$H$1:$I$86,2),C2758),C2758)</f>
        <v>9999</v>
      </c>
      <c r="G2758" s="0" t="n">
        <f aca="false">VLOOKUP(E2758,'MSA-Lookup'!$AA$1:$AB$25,2)</f>
        <v>4472</v>
      </c>
      <c r="H2758" s="0" t="n">
        <f aca="false">IF(C2758&gt;1,IF(C2758&lt;99,VLOOKUP(F2758,'MSA-Lookup'!$AA$1:$AB$25,2),C2758),C2758)</f>
        <v>9999</v>
      </c>
    </row>
    <row r="2759" customFormat="false" ht="12.75" hidden="false" customHeight="false" outlineLevel="0" collapsed="false">
      <c r="A2759" s="0" t="n">
        <f aca="false">B2759*1000+C2759</f>
        <v>44027</v>
      </c>
      <c r="B2759" s="0" t="n">
        <v>44</v>
      </c>
      <c r="C2759" s="0" t="n">
        <v>27</v>
      </c>
      <c r="D2759" s="0" t="n">
        <v>0</v>
      </c>
      <c r="E2759" s="0" t="n">
        <f aca="false">VLOOKUP(B2759,'MSA-Lookup'!$H$2:$I$86,2)</f>
        <v>360</v>
      </c>
      <c r="F2759" s="0" t="n">
        <f aca="false">IF(C2759&gt;1,IF(C2759&lt;99,VLOOKUP(C2759,'MSA-Lookup'!$H$1:$I$86,2),C2759),C2759)</f>
        <v>9999</v>
      </c>
      <c r="G2759" s="0" t="n">
        <f aca="false">VLOOKUP(E2759,'MSA-Lookup'!$AA$1:$AB$25,2)</f>
        <v>4472</v>
      </c>
      <c r="H2759" s="0" t="n">
        <f aca="false">IF(C2759&gt;1,IF(C2759&lt;99,VLOOKUP(F2759,'MSA-Lookup'!$AA$1:$AB$25,2),C2759),C2759)</f>
        <v>9999</v>
      </c>
    </row>
    <row r="2760" customFormat="false" ht="12.75" hidden="false" customHeight="false" outlineLevel="0" collapsed="false">
      <c r="A2760" s="0" t="n">
        <f aca="false">B2760*1000+C2760</f>
        <v>44028</v>
      </c>
      <c r="B2760" s="0" t="n">
        <v>44</v>
      </c>
      <c r="C2760" s="0" t="n">
        <v>28</v>
      </c>
      <c r="D2760" s="0" t="n">
        <v>0</v>
      </c>
      <c r="E2760" s="0" t="n">
        <f aca="false">VLOOKUP(B2760,'MSA-Lookup'!$H$2:$I$86,2)</f>
        <v>360</v>
      </c>
      <c r="F2760" s="0" t="n">
        <f aca="false">IF(C2760&gt;1,IF(C2760&lt;99,VLOOKUP(C2760,'MSA-Lookup'!$H$1:$I$86,2),C2760),C2760)</f>
        <v>6920</v>
      </c>
      <c r="G2760" s="0" t="n">
        <f aca="false">VLOOKUP(E2760,'MSA-Lookup'!$AA$1:$AB$25,2)</f>
        <v>4472</v>
      </c>
      <c r="H2760" s="0" t="n">
        <f aca="false">IF(C2760&gt;1,IF(C2760&lt;99,VLOOKUP(F2760,'MSA-Lookup'!$AA$1:$AB$25,2),C2760),C2760)</f>
        <v>6920</v>
      </c>
    </row>
    <row r="2761" customFormat="false" ht="12.75" hidden="false" customHeight="false" outlineLevel="0" collapsed="false">
      <c r="A2761" s="0" t="n">
        <f aca="false">B2761*1000+C2761</f>
        <v>44029</v>
      </c>
      <c r="B2761" s="0" t="n">
        <v>44</v>
      </c>
      <c r="C2761" s="0" t="n">
        <v>29</v>
      </c>
      <c r="D2761" s="0" t="n">
        <v>0</v>
      </c>
      <c r="E2761" s="0" t="n">
        <f aca="false">VLOOKUP(B2761,'MSA-Lookup'!$H$2:$I$86,2)</f>
        <v>360</v>
      </c>
      <c r="F2761" s="0" t="n">
        <f aca="false">IF(C2761&gt;1,IF(C2761&lt;99,VLOOKUP(C2761,'MSA-Lookup'!$H$1:$I$86,2),C2761),C2761)</f>
        <v>6920</v>
      </c>
      <c r="G2761" s="0" t="n">
        <f aca="false">VLOOKUP(E2761,'MSA-Lookup'!$AA$1:$AB$25,2)</f>
        <v>4472</v>
      </c>
      <c r="H2761" s="0" t="n">
        <f aca="false">IF(C2761&gt;1,IF(C2761&lt;99,VLOOKUP(F2761,'MSA-Lookup'!$AA$1:$AB$25,2),C2761),C2761)</f>
        <v>6920</v>
      </c>
    </row>
    <row r="2762" customFormat="false" ht="12.75" hidden="false" customHeight="false" outlineLevel="0" collapsed="false">
      <c r="A2762" s="0" t="n">
        <f aca="false">B2762*1000+C2762</f>
        <v>44030</v>
      </c>
      <c r="B2762" s="0" t="n">
        <v>44</v>
      </c>
      <c r="C2762" s="0" t="n">
        <v>30</v>
      </c>
      <c r="D2762" s="0" t="n">
        <v>0</v>
      </c>
      <c r="E2762" s="0" t="n">
        <f aca="false">VLOOKUP(B2762,'MSA-Lookup'!$H$2:$I$86,2)</f>
        <v>360</v>
      </c>
      <c r="F2762" s="0" t="n">
        <f aca="false">IF(C2762&gt;1,IF(C2762&lt;99,VLOOKUP(C2762,'MSA-Lookup'!$H$1:$I$86,2),C2762),C2762)</f>
        <v>4940</v>
      </c>
      <c r="G2762" s="0" t="n">
        <f aca="false">VLOOKUP(E2762,'MSA-Lookup'!$AA$1:$AB$25,2)</f>
        <v>4472</v>
      </c>
      <c r="H2762" s="0" t="n">
        <f aca="false">IF(C2762&gt;1,IF(C2762&lt;99,VLOOKUP(F2762,'MSA-Lookup'!$AA$1:$AB$25,2),C2762),C2762)</f>
        <v>4940</v>
      </c>
    </row>
    <row r="2763" customFormat="false" ht="12.75" hidden="false" customHeight="false" outlineLevel="0" collapsed="false">
      <c r="A2763" s="0" t="n">
        <f aca="false">B2763*1000+C2763</f>
        <v>44031</v>
      </c>
      <c r="B2763" s="0" t="n">
        <v>44</v>
      </c>
      <c r="C2763" s="0" t="n">
        <v>31</v>
      </c>
      <c r="D2763" s="0" t="n">
        <v>0</v>
      </c>
      <c r="E2763" s="0" t="n">
        <f aca="false">VLOOKUP(B2763,'MSA-Lookup'!$H$2:$I$86,2)</f>
        <v>360</v>
      </c>
      <c r="F2763" s="0" t="n">
        <f aca="false">IF(C2763&gt;1,IF(C2763&lt;99,VLOOKUP(C2763,'MSA-Lookup'!$H$1:$I$86,2),C2763),C2763)</f>
        <v>9999</v>
      </c>
      <c r="G2763" s="0" t="n">
        <f aca="false">VLOOKUP(E2763,'MSA-Lookup'!$AA$1:$AB$25,2)</f>
        <v>4472</v>
      </c>
      <c r="H2763" s="0" t="n">
        <f aca="false">IF(C2763&gt;1,IF(C2763&lt;99,VLOOKUP(F2763,'MSA-Lookup'!$AA$1:$AB$25,2),C2763),C2763)</f>
        <v>9999</v>
      </c>
    </row>
    <row r="2764" customFormat="false" ht="12.75" hidden="false" customHeight="false" outlineLevel="0" collapsed="false">
      <c r="A2764" s="0" t="n">
        <f aca="false">B2764*1000+C2764</f>
        <v>44032</v>
      </c>
      <c r="B2764" s="0" t="n">
        <v>44</v>
      </c>
      <c r="C2764" s="0" t="n">
        <v>32</v>
      </c>
      <c r="D2764" s="0" t="n">
        <v>0</v>
      </c>
      <c r="E2764" s="0" t="n">
        <f aca="false">VLOOKUP(B2764,'MSA-Lookup'!$H$2:$I$86,2)</f>
        <v>360</v>
      </c>
      <c r="F2764" s="0" t="n">
        <f aca="false">IF(C2764&gt;1,IF(C2764&lt;99,VLOOKUP(C2764,'MSA-Lookup'!$H$1:$I$86,2),C2764),C2764)</f>
        <v>7480</v>
      </c>
      <c r="G2764" s="0" t="n">
        <f aca="false">VLOOKUP(E2764,'MSA-Lookup'!$AA$1:$AB$25,2)</f>
        <v>4472</v>
      </c>
      <c r="H2764" s="0" t="n">
        <f aca="false">IF(C2764&gt;1,IF(C2764&lt;99,VLOOKUP(F2764,'MSA-Lookup'!$AA$1:$AB$25,2),C2764),C2764)</f>
        <v>7480</v>
      </c>
    </row>
    <row r="2765" customFormat="false" ht="12.75" hidden="false" customHeight="false" outlineLevel="0" collapsed="false">
      <c r="A2765" s="0" t="n">
        <f aca="false">B2765*1000+C2765</f>
        <v>44033</v>
      </c>
      <c r="B2765" s="0" t="n">
        <v>44</v>
      </c>
      <c r="C2765" s="0" t="n">
        <v>33</v>
      </c>
      <c r="D2765" s="0" t="n">
        <v>208</v>
      </c>
      <c r="E2765" s="0" t="n">
        <f aca="false">VLOOKUP(B2765,'MSA-Lookup'!$H$2:$I$86,2)</f>
        <v>360</v>
      </c>
      <c r="F2765" s="0" t="n">
        <f aca="false">IF(C2765&gt;1,IF(C2765&lt;99,VLOOKUP(C2765,'MSA-Lookup'!$H$1:$I$86,2),C2765),C2765)</f>
        <v>7320</v>
      </c>
      <c r="G2765" s="0" t="n">
        <f aca="false">VLOOKUP(E2765,'MSA-Lookup'!$AA$1:$AB$25,2)</f>
        <v>4472</v>
      </c>
      <c r="H2765" s="0" t="n">
        <f aca="false">IF(C2765&gt;1,IF(C2765&lt;99,VLOOKUP(F2765,'MSA-Lookup'!$AA$1:$AB$25,2),C2765),C2765)</f>
        <v>7320</v>
      </c>
    </row>
    <row r="2766" customFormat="false" ht="12.75" hidden="false" customHeight="false" outlineLevel="0" collapsed="false">
      <c r="A2766" s="0" t="n">
        <f aca="false">B2766*1000+C2766</f>
        <v>44034</v>
      </c>
      <c r="B2766" s="0" t="n">
        <v>44</v>
      </c>
      <c r="C2766" s="0" t="n">
        <v>34</v>
      </c>
      <c r="D2766" s="0" t="n">
        <v>0</v>
      </c>
      <c r="E2766" s="0" t="n">
        <f aca="false">VLOOKUP(B2766,'MSA-Lookup'!$H$2:$I$86,2)</f>
        <v>360</v>
      </c>
      <c r="F2766" s="0" t="n">
        <f aca="false">IF(C2766&gt;1,IF(C2766&lt;99,VLOOKUP(C2766,'MSA-Lookup'!$H$1:$I$86,2),C2766),C2766)</f>
        <v>7320</v>
      </c>
      <c r="G2766" s="0" t="n">
        <f aca="false">VLOOKUP(E2766,'MSA-Lookup'!$AA$1:$AB$25,2)</f>
        <v>4472</v>
      </c>
      <c r="H2766" s="0" t="n">
        <f aca="false">IF(C2766&gt;1,IF(C2766&lt;99,VLOOKUP(F2766,'MSA-Lookup'!$AA$1:$AB$25,2),C2766),C2766)</f>
        <v>7320</v>
      </c>
    </row>
    <row r="2767" customFormat="false" ht="12.75" hidden="false" customHeight="false" outlineLevel="0" collapsed="false">
      <c r="A2767" s="0" t="n">
        <f aca="false">B2767*1000+C2767</f>
        <v>44035</v>
      </c>
      <c r="B2767" s="0" t="n">
        <v>44</v>
      </c>
      <c r="C2767" s="0" t="n">
        <v>35</v>
      </c>
      <c r="D2767" s="0" t="n">
        <v>0</v>
      </c>
      <c r="E2767" s="0" t="n">
        <f aca="false">VLOOKUP(B2767,'MSA-Lookup'!$H$2:$I$86,2)</f>
        <v>360</v>
      </c>
      <c r="F2767" s="0" t="n">
        <f aca="false">IF(C2767&gt;1,IF(C2767&lt;99,VLOOKUP(C2767,'MSA-Lookup'!$H$1:$I$86,2),C2767),C2767)</f>
        <v>7320</v>
      </c>
      <c r="G2767" s="0" t="n">
        <f aca="false">VLOOKUP(E2767,'MSA-Lookup'!$AA$1:$AB$25,2)</f>
        <v>4472</v>
      </c>
      <c r="H2767" s="0" t="n">
        <f aca="false">IF(C2767&gt;1,IF(C2767&lt;99,VLOOKUP(F2767,'MSA-Lookup'!$AA$1:$AB$25,2),C2767),C2767)</f>
        <v>7320</v>
      </c>
    </row>
    <row r="2768" customFormat="false" ht="12.75" hidden="false" customHeight="false" outlineLevel="0" collapsed="false">
      <c r="A2768" s="0" t="n">
        <f aca="false">B2768*1000+C2768</f>
        <v>44036</v>
      </c>
      <c r="B2768" s="0" t="n">
        <v>44</v>
      </c>
      <c r="C2768" s="0" t="n">
        <v>36</v>
      </c>
      <c r="D2768" s="0" t="n">
        <v>0</v>
      </c>
      <c r="E2768" s="0" t="n">
        <f aca="false">VLOOKUP(B2768,'MSA-Lookup'!$H$2:$I$86,2)</f>
        <v>360</v>
      </c>
      <c r="F2768" s="0" t="n">
        <f aca="false">IF(C2768&gt;1,IF(C2768&lt;99,VLOOKUP(C2768,'MSA-Lookup'!$H$1:$I$86,2),C2768),C2768)</f>
        <v>7320</v>
      </c>
      <c r="G2768" s="0" t="n">
        <f aca="false">VLOOKUP(E2768,'MSA-Lookup'!$AA$1:$AB$25,2)</f>
        <v>4472</v>
      </c>
      <c r="H2768" s="0" t="n">
        <f aca="false">IF(C2768&gt;1,IF(C2768&lt;99,VLOOKUP(F2768,'MSA-Lookup'!$AA$1:$AB$25,2),C2768),C2768)</f>
        <v>7320</v>
      </c>
    </row>
    <row r="2769" customFormat="false" ht="12.75" hidden="false" customHeight="false" outlineLevel="0" collapsed="false">
      <c r="A2769" s="0" t="n">
        <f aca="false">B2769*1000+C2769</f>
        <v>44037</v>
      </c>
      <c r="B2769" s="0" t="n">
        <v>44</v>
      </c>
      <c r="C2769" s="0" t="n">
        <v>37</v>
      </c>
      <c r="D2769" s="0" t="n">
        <v>273</v>
      </c>
      <c r="E2769" s="0" t="n">
        <f aca="false">VLOOKUP(B2769,'MSA-Lookup'!$H$2:$I$86,2)</f>
        <v>360</v>
      </c>
      <c r="F2769" s="0" t="n">
        <f aca="false">IF(C2769&gt;1,IF(C2769&lt;99,VLOOKUP(C2769,'MSA-Lookup'!$H$1:$I$86,2),C2769),C2769)</f>
        <v>7320</v>
      </c>
      <c r="G2769" s="0" t="n">
        <f aca="false">VLOOKUP(E2769,'MSA-Lookup'!$AA$1:$AB$25,2)</f>
        <v>4472</v>
      </c>
      <c r="H2769" s="0" t="n">
        <f aca="false">IF(C2769&gt;1,IF(C2769&lt;99,VLOOKUP(F2769,'MSA-Lookup'!$AA$1:$AB$25,2),C2769),C2769)</f>
        <v>7320</v>
      </c>
    </row>
    <row r="2770" customFormat="false" ht="12.75" hidden="false" customHeight="false" outlineLevel="0" collapsed="false">
      <c r="A2770" s="0" t="n">
        <f aca="false">B2770*1000+C2770</f>
        <v>44038</v>
      </c>
      <c r="B2770" s="0" t="n">
        <v>44</v>
      </c>
      <c r="C2770" s="0" t="n">
        <v>38</v>
      </c>
      <c r="D2770" s="0" t="n">
        <v>0</v>
      </c>
      <c r="E2770" s="0" t="n">
        <f aca="false">VLOOKUP(B2770,'MSA-Lookup'!$H$2:$I$86,2)</f>
        <v>360</v>
      </c>
      <c r="F2770" s="0" t="n">
        <f aca="false">IF(C2770&gt;1,IF(C2770&lt;99,VLOOKUP(C2770,'MSA-Lookup'!$H$1:$I$86,2),C2770),C2770)</f>
        <v>7120</v>
      </c>
      <c r="G2770" s="0" t="n">
        <f aca="false">VLOOKUP(E2770,'MSA-Lookup'!$AA$1:$AB$25,2)</f>
        <v>4472</v>
      </c>
      <c r="H2770" s="0" t="n">
        <f aca="false">IF(C2770&gt;1,IF(C2770&lt;99,VLOOKUP(F2770,'MSA-Lookup'!$AA$1:$AB$25,2),C2770),C2770)</f>
        <v>7120</v>
      </c>
    </row>
    <row r="2771" customFormat="false" ht="12.75" hidden="false" customHeight="false" outlineLevel="0" collapsed="false">
      <c r="A2771" s="0" t="n">
        <f aca="false">B2771*1000+C2771</f>
        <v>44039</v>
      </c>
      <c r="B2771" s="0" t="n">
        <v>44</v>
      </c>
      <c r="C2771" s="0" t="n">
        <v>39</v>
      </c>
      <c r="D2771" s="0" t="n">
        <v>0</v>
      </c>
      <c r="E2771" s="0" t="n">
        <f aca="false">VLOOKUP(B2771,'MSA-Lookup'!$H$2:$I$86,2)</f>
        <v>360</v>
      </c>
      <c r="F2771" s="0" t="n">
        <f aca="false">IF(C2771&gt;1,IF(C2771&lt;99,VLOOKUP(C2771,'MSA-Lookup'!$H$1:$I$86,2),C2771),C2771)</f>
        <v>7120</v>
      </c>
      <c r="G2771" s="0" t="n">
        <f aca="false">VLOOKUP(E2771,'MSA-Lookup'!$AA$1:$AB$25,2)</f>
        <v>4472</v>
      </c>
      <c r="H2771" s="0" t="n">
        <f aca="false">IF(C2771&gt;1,IF(C2771&lt;99,VLOOKUP(F2771,'MSA-Lookup'!$AA$1:$AB$25,2),C2771),C2771)</f>
        <v>7120</v>
      </c>
    </row>
    <row r="2772" customFormat="false" ht="12.75" hidden="false" customHeight="false" outlineLevel="0" collapsed="false">
      <c r="A2772" s="0" t="n">
        <f aca="false">B2772*1000+C2772</f>
        <v>44040</v>
      </c>
      <c r="B2772" s="0" t="n">
        <v>44</v>
      </c>
      <c r="C2772" s="0" t="n">
        <v>40</v>
      </c>
      <c r="D2772" s="0" t="n">
        <v>0</v>
      </c>
      <c r="E2772" s="0" t="n">
        <f aca="false">VLOOKUP(B2772,'MSA-Lookup'!$H$2:$I$86,2)</f>
        <v>360</v>
      </c>
      <c r="F2772" s="0" t="n">
        <f aca="false">IF(C2772&gt;1,IF(C2772&lt;99,VLOOKUP(C2772,'MSA-Lookup'!$H$1:$I$86,2),C2772),C2772)</f>
        <v>2840</v>
      </c>
      <c r="G2772" s="0" t="n">
        <f aca="false">VLOOKUP(E2772,'MSA-Lookup'!$AA$1:$AB$25,2)</f>
        <v>4472</v>
      </c>
      <c r="H2772" s="0" t="n">
        <f aca="false">IF(C2772&gt;1,IF(C2772&lt;99,VLOOKUP(F2772,'MSA-Lookup'!$AA$1:$AB$25,2),C2772),C2772)</f>
        <v>2840</v>
      </c>
    </row>
    <row r="2773" customFormat="false" ht="12.75" hidden="false" customHeight="false" outlineLevel="0" collapsed="false">
      <c r="A2773" s="0" t="n">
        <f aca="false">B2773*1000+C2773</f>
        <v>44041</v>
      </c>
      <c r="B2773" s="0" t="n">
        <v>44</v>
      </c>
      <c r="C2773" s="0" t="n">
        <v>41</v>
      </c>
      <c r="D2773" s="0" t="n">
        <v>0</v>
      </c>
      <c r="E2773" s="0" t="n">
        <f aca="false">VLOOKUP(B2773,'MSA-Lookup'!$H$2:$I$86,2)</f>
        <v>360</v>
      </c>
      <c r="F2773" s="0" t="n">
        <f aca="false">IF(C2773&gt;1,IF(C2773&lt;99,VLOOKUP(C2773,'MSA-Lookup'!$H$1:$I$86,2),C2773),C2773)</f>
        <v>2840</v>
      </c>
      <c r="G2773" s="0" t="n">
        <f aca="false">VLOOKUP(E2773,'MSA-Lookup'!$AA$1:$AB$25,2)</f>
        <v>4472</v>
      </c>
      <c r="H2773" s="0" t="n">
        <f aca="false">IF(C2773&gt;1,IF(C2773&lt;99,VLOOKUP(F2773,'MSA-Lookup'!$AA$1:$AB$25,2),C2773),C2773)</f>
        <v>2840</v>
      </c>
    </row>
    <row r="2774" customFormat="false" ht="12.75" hidden="false" customHeight="false" outlineLevel="0" collapsed="false">
      <c r="A2774" s="0" t="n">
        <f aca="false">B2774*1000+C2774</f>
        <v>44042</v>
      </c>
      <c r="B2774" s="0" t="n">
        <v>44</v>
      </c>
      <c r="C2774" s="0" t="n">
        <v>42</v>
      </c>
      <c r="D2774" s="0" t="n">
        <v>5161</v>
      </c>
      <c r="E2774" s="0" t="n">
        <f aca="false">VLOOKUP(B2774,'MSA-Lookup'!$H$2:$I$86,2)</f>
        <v>360</v>
      </c>
      <c r="F2774" s="0" t="n">
        <f aca="false">IF(C2774&gt;1,IF(C2774&lt;99,VLOOKUP(C2774,'MSA-Lookup'!$H$1:$I$86,2),C2774),C2774)</f>
        <v>360</v>
      </c>
      <c r="G2774" s="0" t="n">
        <f aca="false">VLOOKUP(E2774,'MSA-Lookup'!$AA$1:$AB$25,2)</f>
        <v>4472</v>
      </c>
      <c r="H2774" s="0" t="n">
        <f aca="false">IF(C2774&gt;1,IF(C2774&lt;99,VLOOKUP(F2774,'MSA-Lookup'!$AA$1:$AB$25,2),C2774),C2774)</f>
        <v>4472</v>
      </c>
    </row>
    <row r="2775" customFormat="false" ht="12.75" hidden="false" customHeight="false" outlineLevel="0" collapsed="false">
      <c r="A2775" s="0" t="n">
        <f aca="false">B2775*1000+C2775</f>
        <v>44043</v>
      </c>
      <c r="B2775" s="0" t="n">
        <v>44</v>
      </c>
      <c r="C2775" s="0" t="n">
        <v>43</v>
      </c>
      <c r="D2775" s="0" t="n">
        <v>1287</v>
      </c>
      <c r="E2775" s="0" t="n">
        <f aca="false">VLOOKUP(B2775,'MSA-Lookup'!$H$2:$I$86,2)</f>
        <v>360</v>
      </c>
      <c r="F2775" s="0" t="n">
        <f aca="false">IF(C2775&gt;1,IF(C2775&lt;99,VLOOKUP(C2775,'MSA-Lookup'!$H$1:$I$86,2),C2775),C2775)</f>
        <v>360</v>
      </c>
      <c r="G2775" s="0" t="n">
        <f aca="false">VLOOKUP(E2775,'MSA-Lookup'!$AA$1:$AB$25,2)</f>
        <v>4472</v>
      </c>
      <c r="H2775" s="0" t="n">
        <f aca="false">IF(C2775&gt;1,IF(C2775&lt;99,VLOOKUP(F2775,'MSA-Lookup'!$AA$1:$AB$25,2),C2775),C2775)</f>
        <v>4472</v>
      </c>
    </row>
    <row r="2776" customFormat="false" ht="12.75" hidden="false" customHeight="false" outlineLevel="0" collapsed="false">
      <c r="A2776" s="0" t="n">
        <f aca="false">B2776*1000+C2776</f>
        <v>44044</v>
      </c>
      <c r="B2776" s="0" t="n">
        <v>44</v>
      </c>
      <c r="C2776" s="0" t="n">
        <v>44</v>
      </c>
      <c r="D2776" s="0" t="n">
        <v>11856</v>
      </c>
      <c r="E2776" s="0" t="n">
        <f aca="false">VLOOKUP(B2776,'MSA-Lookup'!$H$2:$I$86,2)</f>
        <v>360</v>
      </c>
      <c r="F2776" s="0" t="n">
        <f aca="false">IF(C2776&gt;1,IF(C2776&lt;99,VLOOKUP(C2776,'MSA-Lookup'!$H$1:$I$86,2),C2776),C2776)</f>
        <v>360</v>
      </c>
      <c r="G2776" s="0" t="n">
        <f aca="false">VLOOKUP(E2776,'MSA-Lookup'!$AA$1:$AB$25,2)</f>
        <v>4472</v>
      </c>
      <c r="H2776" s="0" t="n">
        <f aca="false">IF(C2776&gt;1,IF(C2776&lt;99,VLOOKUP(F2776,'MSA-Lookup'!$AA$1:$AB$25,2),C2776),C2776)</f>
        <v>4472</v>
      </c>
    </row>
    <row r="2777" customFormat="false" ht="12.75" hidden="false" customHeight="false" outlineLevel="0" collapsed="false">
      <c r="A2777" s="0" t="n">
        <f aca="false">B2777*1000+C2777</f>
        <v>44045</v>
      </c>
      <c r="B2777" s="0" t="n">
        <v>44</v>
      </c>
      <c r="C2777" s="0" t="n">
        <v>45</v>
      </c>
      <c r="D2777" s="0" t="n">
        <v>4719</v>
      </c>
      <c r="E2777" s="0" t="n">
        <f aca="false">VLOOKUP(B2777,'MSA-Lookup'!$H$2:$I$86,2)</f>
        <v>360</v>
      </c>
      <c r="F2777" s="0" t="n">
        <f aca="false">IF(C2777&gt;1,IF(C2777&lt;99,VLOOKUP(C2777,'MSA-Lookup'!$H$1:$I$86,2),C2777),C2777)</f>
        <v>360</v>
      </c>
      <c r="G2777" s="0" t="n">
        <f aca="false">VLOOKUP(E2777,'MSA-Lookup'!$AA$1:$AB$25,2)</f>
        <v>4472</v>
      </c>
      <c r="H2777" s="0" t="n">
        <f aca="false">IF(C2777&gt;1,IF(C2777&lt;99,VLOOKUP(F2777,'MSA-Lookup'!$AA$1:$AB$25,2),C2777),C2777)</f>
        <v>4472</v>
      </c>
    </row>
    <row r="2778" customFormat="false" ht="12.75" hidden="false" customHeight="false" outlineLevel="0" collapsed="false">
      <c r="A2778" s="0" t="n">
        <f aca="false">B2778*1000+C2778</f>
        <v>44046</v>
      </c>
      <c r="B2778" s="0" t="n">
        <v>44</v>
      </c>
      <c r="C2778" s="0" t="n">
        <v>46</v>
      </c>
      <c r="D2778" s="0" t="n">
        <v>845</v>
      </c>
      <c r="E2778" s="0" t="n">
        <f aca="false">VLOOKUP(B2778,'MSA-Lookup'!$H$2:$I$86,2)</f>
        <v>360</v>
      </c>
      <c r="F2778" s="0" t="n">
        <f aca="false">IF(C2778&gt;1,IF(C2778&lt;99,VLOOKUP(C2778,'MSA-Lookup'!$H$1:$I$86,2),C2778),C2778)</f>
        <v>360</v>
      </c>
      <c r="G2778" s="0" t="n">
        <f aca="false">VLOOKUP(E2778,'MSA-Lookup'!$AA$1:$AB$25,2)</f>
        <v>4472</v>
      </c>
      <c r="H2778" s="0" t="n">
        <f aca="false">IF(C2778&gt;1,IF(C2778&lt;99,VLOOKUP(F2778,'MSA-Lookup'!$AA$1:$AB$25,2),C2778),C2778)</f>
        <v>4472</v>
      </c>
    </row>
    <row r="2779" customFormat="false" ht="12.75" hidden="false" customHeight="false" outlineLevel="0" collapsed="false">
      <c r="A2779" s="0" t="n">
        <f aca="false">B2779*1000+C2779</f>
        <v>44047</v>
      </c>
      <c r="B2779" s="0" t="n">
        <v>44</v>
      </c>
      <c r="C2779" s="0" t="n">
        <v>47</v>
      </c>
      <c r="D2779" s="0" t="n">
        <v>494</v>
      </c>
      <c r="E2779" s="0" t="n">
        <f aca="false">VLOOKUP(B2779,'MSA-Lookup'!$H$2:$I$86,2)</f>
        <v>360</v>
      </c>
      <c r="F2779" s="0" t="n">
        <f aca="false">IF(C2779&gt;1,IF(C2779&lt;99,VLOOKUP(C2779,'MSA-Lookup'!$H$1:$I$86,2),C2779),C2779)</f>
        <v>360</v>
      </c>
      <c r="G2779" s="0" t="n">
        <f aca="false">VLOOKUP(E2779,'MSA-Lookup'!$AA$1:$AB$25,2)</f>
        <v>4472</v>
      </c>
      <c r="H2779" s="0" t="n">
        <f aca="false">IF(C2779&gt;1,IF(C2779&lt;99,VLOOKUP(F2779,'MSA-Lookup'!$AA$1:$AB$25,2),C2779),C2779)</f>
        <v>4472</v>
      </c>
    </row>
    <row r="2780" customFormat="false" ht="12.75" hidden="false" customHeight="false" outlineLevel="0" collapsed="false">
      <c r="A2780" s="0" t="n">
        <f aca="false">B2780*1000+C2780</f>
        <v>44048</v>
      </c>
      <c r="B2780" s="0" t="n">
        <v>44</v>
      </c>
      <c r="C2780" s="0" t="n">
        <v>48</v>
      </c>
      <c r="D2780" s="0" t="n">
        <v>23699</v>
      </c>
      <c r="E2780" s="0" t="n">
        <f aca="false">VLOOKUP(B2780,'MSA-Lookup'!$H$2:$I$86,2)</f>
        <v>360</v>
      </c>
      <c r="F2780" s="0" t="n">
        <f aca="false">IF(C2780&gt;1,IF(C2780&lt;99,VLOOKUP(C2780,'MSA-Lookup'!$H$1:$I$86,2),C2780),C2780)</f>
        <v>360</v>
      </c>
      <c r="G2780" s="0" t="n">
        <f aca="false">VLOOKUP(E2780,'MSA-Lookup'!$AA$1:$AB$25,2)</f>
        <v>4472</v>
      </c>
      <c r="H2780" s="0" t="n">
        <f aca="false">IF(C2780&gt;1,IF(C2780&lt;99,VLOOKUP(F2780,'MSA-Lookup'!$AA$1:$AB$25,2),C2780),C2780)</f>
        <v>4472</v>
      </c>
    </row>
    <row r="2781" customFormat="false" ht="12.75" hidden="false" customHeight="false" outlineLevel="0" collapsed="false">
      <c r="A2781" s="0" t="n">
        <f aca="false">B2781*1000+C2781</f>
        <v>44049</v>
      </c>
      <c r="B2781" s="0" t="n">
        <v>44</v>
      </c>
      <c r="C2781" s="0" t="n">
        <v>49</v>
      </c>
      <c r="D2781" s="0" t="n">
        <v>0</v>
      </c>
      <c r="E2781" s="0" t="n">
        <f aca="false">VLOOKUP(B2781,'MSA-Lookup'!$H$2:$I$86,2)</f>
        <v>360</v>
      </c>
      <c r="F2781" s="0" t="n">
        <f aca="false">IF(C2781&gt;1,IF(C2781&lt;99,VLOOKUP(C2781,'MSA-Lookup'!$H$1:$I$86,2),C2781),C2781)</f>
        <v>7400</v>
      </c>
      <c r="G2781" s="0" t="n">
        <f aca="false">VLOOKUP(E2781,'MSA-Lookup'!$AA$1:$AB$25,2)</f>
        <v>4472</v>
      </c>
      <c r="H2781" s="0" t="n">
        <f aca="false">IF(C2781&gt;1,IF(C2781&lt;99,VLOOKUP(F2781,'MSA-Lookup'!$AA$1:$AB$25,2),C2781),C2781)</f>
        <v>7362</v>
      </c>
    </row>
    <row r="2782" customFormat="false" ht="12.75" hidden="false" customHeight="false" outlineLevel="0" collapsed="false">
      <c r="A2782" s="0" t="n">
        <f aca="false">B2782*1000+C2782</f>
        <v>44050</v>
      </c>
      <c r="B2782" s="0" t="n">
        <v>44</v>
      </c>
      <c r="C2782" s="0" t="n">
        <v>50</v>
      </c>
      <c r="D2782" s="0" t="n">
        <v>0</v>
      </c>
      <c r="E2782" s="0" t="n">
        <f aca="false">VLOOKUP(B2782,'MSA-Lookup'!$H$2:$I$86,2)</f>
        <v>360</v>
      </c>
      <c r="F2782" s="0" t="n">
        <f aca="false">IF(C2782&gt;1,IF(C2782&lt;99,VLOOKUP(C2782,'MSA-Lookup'!$H$1:$I$86,2),C2782),C2782)</f>
        <v>7400</v>
      </c>
      <c r="G2782" s="0" t="n">
        <f aca="false">VLOOKUP(E2782,'MSA-Lookup'!$AA$1:$AB$25,2)</f>
        <v>4472</v>
      </c>
      <c r="H2782" s="0" t="n">
        <f aca="false">IF(C2782&gt;1,IF(C2782&lt;99,VLOOKUP(F2782,'MSA-Lookup'!$AA$1:$AB$25,2),C2782),C2782)</f>
        <v>7362</v>
      </c>
    </row>
    <row r="2783" customFormat="false" ht="12.75" hidden="false" customHeight="false" outlineLevel="0" collapsed="false">
      <c r="A2783" s="0" t="n">
        <f aca="false">B2783*1000+C2783</f>
        <v>44051</v>
      </c>
      <c r="B2783" s="0" t="n">
        <v>44</v>
      </c>
      <c r="C2783" s="0" t="n">
        <v>51</v>
      </c>
      <c r="D2783" s="0" t="n">
        <v>0</v>
      </c>
      <c r="E2783" s="0" t="n">
        <f aca="false">VLOOKUP(B2783,'MSA-Lookup'!$H$2:$I$86,2)</f>
        <v>360</v>
      </c>
      <c r="F2783" s="0" t="n">
        <f aca="false">IF(C2783&gt;1,IF(C2783&lt;99,VLOOKUP(C2783,'MSA-Lookup'!$H$1:$I$86,2),C2783),C2783)</f>
        <v>7400</v>
      </c>
      <c r="G2783" s="0" t="n">
        <f aca="false">VLOOKUP(E2783,'MSA-Lookup'!$AA$1:$AB$25,2)</f>
        <v>4472</v>
      </c>
      <c r="H2783" s="0" t="n">
        <f aca="false">IF(C2783&gt;1,IF(C2783&lt;99,VLOOKUP(F2783,'MSA-Lookup'!$AA$1:$AB$25,2),C2783),C2783)</f>
        <v>7362</v>
      </c>
    </row>
    <row r="2784" customFormat="false" ht="12.75" hidden="false" customHeight="false" outlineLevel="0" collapsed="false">
      <c r="A2784" s="0" t="n">
        <f aca="false">B2784*1000+C2784</f>
        <v>44052</v>
      </c>
      <c r="B2784" s="0" t="n">
        <v>44</v>
      </c>
      <c r="C2784" s="0" t="n">
        <v>52</v>
      </c>
      <c r="D2784" s="0" t="n">
        <v>0</v>
      </c>
      <c r="E2784" s="0" t="n">
        <f aca="false">VLOOKUP(B2784,'MSA-Lookup'!$H$2:$I$86,2)</f>
        <v>360</v>
      </c>
      <c r="F2784" s="0" t="n">
        <f aca="false">IF(C2784&gt;1,IF(C2784&lt;99,VLOOKUP(C2784,'MSA-Lookup'!$H$1:$I$86,2),C2784),C2784)</f>
        <v>4480</v>
      </c>
      <c r="G2784" s="0" t="n">
        <f aca="false">VLOOKUP(E2784,'MSA-Lookup'!$AA$1:$AB$25,2)</f>
        <v>4472</v>
      </c>
      <c r="H2784" s="0" t="n">
        <f aca="false">IF(C2784&gt;1,IF(C2784&lt;99,VLOOKUP(F2784,'MSA-Lookup'!$AA$1:$AB$25,2),C2784),C2784)</f>
        <v>4472</v>
      </c>
    </row>
    <row r="2785" customFormat="false" ht="12.75" hidden="false" customHeight="false" outlineLevel="0" collapsed="false">
      <c r="A2785" s="0" t="n">
        <f aca="false">B2785*1000+C2785</f>
        <v>44053</v>
      </c>
      <c r="B2785" s="0" t="n">
        <v>44</v>
      </c>
      <c r="C2785" s="0" t="n">
        <v>53</v>
      </c>
      <c r="D2785" s="0" t="n">
        <v>0</v>
      </c>
      <c r="E2785" s="0" t="n">
        <f aca="false">VLOOKUP(B2785,'MSA-Lookup'!$H$2:$I$86,2)</f>
        <v>360</v>
      </c>
      <c r="F2785" s="0" t="n">
        <f aca="false">IF(C2785&gt;1,IF(C2785&lt;99,VLOOKUP(C2785,'MSA-Lookup'!$H$1:$I$86,2),C2785),C2785)</f>
        <v>4480</v>
      </c>
      <c r="G2785" s="0" t="n">
        <f aca="false">VLOOKUP(E2785,'MSA-Lookup'!$AA$1:$AB$25,2)</f>
        <v>4472</v>
      </c>
      <c r="H2785" s="0" t="n">
        <f aca="false">IF(C2785&gt;1,IF(C2785&lt;99,VLOOKUP(F2785,'MSA-Lookup'!$AA$1:$AB$25,2),C2785),C2785)</f>
        <v>4472</v>
      </c>
    </row>
    <row r="2786" customFormat="false" ht="12.75" hidden="false" customHeight="false" outlineLevel="0" collapsed="false">
      <c r="A2786" s="0" t="n">
        <f aca="false">B2786*1000+C2786</f>
        <v>44054</v>
      </c>
      <c r="B2786" s="0" t="n">
        <v>44</v>
      </c>
      <c r="C2786" s="0" t="n">
        <v>54</v>
      </c>
      <c r="D2786" s="0" t="n">
        <v>143</v>
      </c>
      <c r="E2786" s="0" t="n">
        <f aca="false">VLOOKUP(B2786,'MSA-Lookup'!$H$2:$I$86,2)</f>
        <v>360</v>
      </c>
      <c r="F2786" s="0" t="n">
        <f aca="false">IF(C2786&gt;1,IF(C2786&lt;99,VLOOKUP(C2786,'MSA-Lookup'!$H$1:$I$86,2),C2786),C2786)</f>
        <v>4480</v>
      </c>
      <c r="G2786" s="0" t="n">
        <f aca="false">VLOOKUP(E2786,'MSA-Lookup'!$AA$1:$AB$25,2)</f>
        <v>4472</v>
      </c>
      <c r="H2786" s="0" t="n">
        <f aca="false">IF(C2786&gt;1,IF(C2786&lt;99,VLOOKUP(F2786,'MSA-Lookup'!$AA$1:$AB$25,2),C2786),C2786)</f>
        <v>4472</v>
      </c>
    </row>
    <row r="2787" customFormat="false" ht="12.75" hidden="false" customHeight="false" outlineLevel="0" collapsed="false">
      <c r="A2787" s="0" t="n">
        <f aca="false">B2787*1000+C2787</f>
        <v>44055</v>
      </c>
      <c r="B2787" s="0" t="n">
        <v>44</v>
      </c>
      <c r="C2787" s="0" t="n">
        <v>55</v>
      </c>
      <c r="D2787" s="0" t="n">
        <v>0</v>
      </c>
      <c r="E2787" s="0" t="n">
        <f aca="false">VLOOKUP(B2787,'MSA-Lookup'!$H$2:$I$86,2)</f>
        <v>360</v>
      </c>
      <c r="F2787" s="0" t="n">
        <f aca="false">IF(C2787&gt;1,IF(C2787&lt;99,VLOOKUP(C2787,'MSA-Lookup'!$H$1:$I$86,2),C2787),C2787)</f>
        <v>4480</v>
      </c>
      <c r="G2787" s="0" t="n">
        <f aca="false">VLOOKUP(E2787,'MSA-Lookup'!$AA$1:$AB$25,2)</f>
        <v>4472</v>
      </c>
      <c r="H2787" s="0" t="n">
        <f aca="false">IF(C2787&gt;1,IF(C2787&lt;99,VLOOKUP(F2787,'MSA-Lookup'!$AA$1:$AB$25,2),C2787),C2787)</f>
        <v>4472</v>
      </c>
    </row>
    <row r="2788" customFormat="false" ht="12.75" hidden="false" customHeight="false" outlineLevel="0" collapsed="false">
      <c r="A2788" s="0" t="n">
        <f aca="false">B2788*1000+C2788</f>
        <v>44056</v>
      </c>
      <c r="B2788" s="0" t="n">
        <v>44</v>
      </c>
      <c r="C2788" s="0" t="n">
        <v>56</v>
      </c>
      <c r="D2788" s="0" t="n">
        <v>0</v>
      </c>
      <c r="E2788" s="0" t="n">
        <f aca="false">VLOOKUP(B2788,'MSA-Lookup'!$H$2:$I$86,2)</f>
        <v>360</v>
      </c>
      <c r="F2788" s="0" t="n">
        <f aca="false">IF(C2788&gt;1,IF(C2788&lt;99,VLOOKUP(C2788,'MSA-Lookup'!$H$1:$I$86,2),C2788),C2788)</f>
        <v>4480</v>
      </c>
      <c r="G2788" s="0" t="n">
        <f aca="false">VLOOKUP(E2788,'MSA-Lookup'!$AA$1:$AB$25,2)</f>
        <v>4472</v>
      </c>
      <c r="H2788" s="0" t="n">
        <f aca="false">IF(C2788&gt;1,IF(C2788&lt;99,VLOOKUP(F2788,'MSA-Lookup'!$AA$1:$AB$25,2),C2788),C2788)</f>
        <v>4472</v>
      </c>
    </row>
    <row r="2789" customFormat="false" ht="12.75" hidden="false" customHeight="false" outlineLevel="0" collapsed="false">
      <c r="A2789" s="0" t="n">
        <f aca="false">B2789*1000+C2789</f>
        <v>44057</v>
      </c>
      <c r="B2789" s="0" t="n">
        <v>44</v>
      </c>
      <c r="C2789" s="0" t="n">
        <v>57</v>
      </c>
      <c r="D2789" s="0" t="n">
        <v>0</v>
      </c>
      <c r="E2789" s="0" t="n">
        <f aca="false">VLOOKUP(B2789,'MSA-Lookup'!$H$2:$I$86,2)</f>
        <v>360</v>
      </c>
      <c r="F2789" s="0" t="n">
        <f aca="false">IF(C2789&gt;1,IF(C2789&lt;99,VLOOKUP(C2789,'MSA-Lookup'!$H$1:$I$86,2),C2789),C2789)</f>
        <v>4480</v>
      </c>
      <c r="G2789" s="0" t="n">
        <f aca="false">VLOOKUP(E2789,'MSA-Lookup'!$AA$1:$AB$25,2)</f>
        <v>4472</v>
      </c>
      <c r="H2789" s="0" t="n">
        <f aca="false">IF(C2789&gt;1,IF(C2789&lt;99,VLOOKUP(F2789,'MSA-Lookup'!$AA$1:$AB$25,2),C2789),C2789)</f>
        <v>4472</v>
      </c>
    </row>
    <row r="2790" customFormat="false" ht="12.75" hidden="false" customHeight="false" outlineLevel="0" collapsed="false">
      <c r="A2790" s="0" t="n">
        <f aca="false">B2790*1000+C2790</f>
        <v>44058</v>
      </c>
      <c r="B2790" s="0" t="n">
        <v>44</v>
      </c>
      <c r="C2790" s="0" t="n">
        <v>58</v>
      </c>
      <c r="D2790" s="0" t="n">
        <v>0</v>
      </c>
      <c r="E2790" s="0" t="n">
        <f aca="false">VLOOKUP(B2790,'MSA-Lookup'!$H$2:$I$86,2)</f>
        <v>360</v>
      </c>
      <c r="F2790" s="0" t="n">
        <f aca="false">IF(C2790&gt;1,IF(C2790&lt;99,VLOOKUP(C2790,'MSA-Lookup'!$H$1:$I$86,2),C2790),C2790)</f>
        <v>4480</v>
      </c>
      <c r="G2790" s="0" t="n">
        <f aca="false">VLOOKUP(E2790,'MSA-Lookup'!$AA$1:$AB$25,2)</f>
        <v>4472</v>
      </c>
      <c r="H2790" s="0" t="n">
        <f aca="false">IF(C2790&gt;1,IF(C2790&lt;99,VLOOKUP(F2790,'MSA-Lookup'!$AA$1:$AB$25,2),C2790),C2790)</f>
        <v>4472</v>
      </c>
    </row>
    <row r="2791" customFormat="false" ht="12.75" hidden="false" customHeight="false" outlineLevel="0" collapsed="false">
      <c r="A2791" s="0" t="n">
        <f aca="false">B2791*1000+C2791</f>
        <v>44059</v>
      </c>
      <c r="B2791" s="0" t="n">
        <v>44</v>
      </c>
      <c r="C2791" s="0" t="n">
        <v>59</v>
      </c>
      <c r="D2791" s="0" t="n">
        <v>0</v>
      </c>
      <c r="E2791" s="0" t="n">
        <f aca="false">VLOOKUP(B2791,'MSA-Lookup'!$H$2:$I$86,2)</f>
        <v>360</v>
      </c>
      <c r="F2791" s="0" t="n">
        <f aca="false">IF(C2791&gt;1,IF(C2791&lt;99,VLOOKUP(C2791,'MSA-Lookup'!$H$1:$I$86,2),C2791),C2791)</f>
        <v>4480</v>
      </c>
      <c r="G2791" s="0" t="n">
        <f aca="false">VLOOKUP(E2791,'MSA-Lookup'!$AA$1:$AB$25,2)</f>
        <v>4472</v>
      </c>
      <c r="H2791" s="0" t="n">
        <f aca="false">IF(C2791&gt;1,IF(C2791&lt;99,VLOOKUP(F2791,'MSA-Lookup'!$AA$1:$AB$25,2),C2791),C2791)</f>
        <v>4472</v>
      </c>
    </row>
    <row r="2792" customFormat="false" ht="12.75" hidden="false" customHeight="false" outlineLevel="0" collapsed="false">
      <c r="A2792" s="0" t="n">
        <f aca="false">B2792*1000+C2792</f>
        <v>44060</v>
      </c>
      <c r="B2792" s="0" t="n">
        <v>44</v>
      </c>
      <c r="C2792" s="0" t="n">
        <v>60</v>
      </c>
      <c r="D2792" s="0" t="n">
        <v>221</v>
      </c>
      <c r="E2792" s="0" t="n">
        <f aca="false">VLOOKUP(B2792,'MSA-Lookup'!$H$2:$I$86,2)</f>
        <v>360</v>
      </c>
      <c r="F2792" s="0" t="n">
        <f aca="false">IF(C2792&gt;1,IF(C2792&lt;99,VLOOKUP(C2792,'MSA-Lookup'!$H$1:$I$86,2),C2792),C2792)</f>
        <v>4480</v>
      </c>
      <c r="G2792" s="0" t="n">
        <f aca="false">VLOOKUP(E2792,'MSA-Lookup'!$AA$1:$AB$25,2)</f>
        <v>4472</v>
      </c>
      <c r="H2792" s="0" t="n">
        <f aca="false">IF(C2792&gt;1,IF(C2792&lt;99,VLOOKUP(F2792,'MSA-Lookup'!$AA$1:$AB$25,2),C2792),C2792)</f>
        <v>4472</v>
      </c>
    </row>
    <row r="2793" customFormat="false" ht="12.75" hidden="false" customHeight="false" outlineLevel="0" collapsed="false">
      <c r="A2793" s="0" t="n">
        <f aca="false">B2793*1000+C2793</f>
        <v>44061</v>
      </c>
      <c r="B2793" s="0" t="n">
        <v>44</v>
      </c>
      <c r="C2793" s="0" t="n">
        <v>61</v>
      </c>
      <c r="D2793" s="0" t="n">
        <v>0</v>
      </c>
      <c r="E2793" s="0" t="n">
        <f aca="false">VLOOKUP(B2793,'MSA-Lookup'!$H$2:$I$86,2)</f>
        <v>360</v>
      </c>
      <c r="F2793" s="0" t="n">
        <f aca="false">IF(C2793&gt;1,IF(C2793&lt;99,VLOOKUP(C2793,'MSA-Lookup'!$H$1:$I$86,2),C2793),C2793)</f>
        <v>4480</v>
      </c>
      <c r="G2793" s="0" t="n">
        <f aca="false">VLOOKUP(E2793,'MSA-Lookup'!$AA$1:$AB$25,2)</f>
        <v>4472</v>
      </c>
      <c r="H2793" s="0" t="n">
        <f aca="false">IF(C2793&gt;1,IF(C2793&lt;99,VLOOKUP(F2793,'MSA-Lookup'!$AA$1:$AB$25,2),C2793),C2793)</f>
        <v>4472</v>
      </c>
    </row>
    <row r="2794" customFormat="false" ht="12.75" hidden="false" customHeight="false" outlineLevel="0" collapsed="false">
      <c r="A2794" s="0" t="n">
        <f aca="false">B2794*1000+C2794</f>
        <v>44062</v>
      </c>
      <c r="B2794" s="0" t="n">
        <v>44</v>
      </c>
      <c r="C2794" s="0" t="n">
        <v>62</v>
      </c>
      <c r="D2794" s="0" t="n">
        <v>0</v>
      </c>
      <c r="E2794" s="0" t="n">
        <f aca="false">VLOOKUP(B2794,'MSA-Lookup'!$H$2:$I$86,2)</f>
        <v>360</v>
      </c>
      <c r="F2794" s="0" t="n">
        <f aca="false">IF(C2794&gt;1,IF(C2794&lt;99,VLOOKUP(C2794,'MSA-Lookup'!$H$1:$I$86,2),C2794),C2794)</f>
        <v>4480</v>
      </c>
      <c r="G2794" s="0" t="n">
        <f aca="false">VLOOKUP(E2794,'MSA-Lookup'!$AA$1:$AB$25,2)</f>
        <v>4472</v>
      </c>
      <c r="H2794" s="0" t="n">
        <f aca="false">IF(C2794&gt;1,IF(C2794&lt;99,VLOOKUP(F2794,'MSA-Lookup'!$AA$1:$AB$25,2),C2794),C2794)</f>
        <v>4472</v>
      </c>
    </row>
    <row r="2795" customFormat="false" ht="12.75" hidden="false" customHeight="false" outlineLevel="0" collapsed="false">
      <c r="A2795" s="0" t="n">
        <f aca="false">B2795*1000+C2795</f>
        <v>44063</v>
      </c>
      <c r="B2795" s="0" t="n">
        <v>44</v>
      </c>
      <c r="C2795" s="0" t="n">
        <v>63</v>
      </c>
      <c r="D2795" s="0" t="n">
        <v>0</v>
      </c>
      <c r="E2795" s="0" t="n">
        <f aca="false">VLOOKUP(B2795,'MSA-Lookup'!$H$2:$I$86,2)</f>
        <v>360</v>
      </c>
      <c r="F2795" s="0" t="n">
        <f aca="false">IF(C2795&gt;1,IF(C2795&lt;99,VLOOKUP(C2795,'MSA-Lookup'!$H$1:$I$86,2),C2795),C2795)</f>
        <v>4480</v>
      </c>
      <c r="G2795" s="0" t="n">
        <f aca="false">VLOOKUP(E2795,'MSA-Lookup'!$AA$1:$AB$25,2)</f>
        <v>4472</v>
      </c>
      <c r="H2795" s="0" t="n">
        <f aca="false">IF(C2795&gt;1,IF(C2795&lt;99,VLOOKUP(F2795,'MSA-Lookup'!$AA$1:$AB$25,2),C2795),C2795)</f>
        <v>4472</v>
      </c>
    </row>
    <row r="2796" customFormat="false" ht="12.75" hidden="false" customHeight="false" outlineLevel="0" collapsed="false">
      <c r="A2796" s="0" t="n">
        <f aca="false">B2796*1000+C2796</f>
        <v>44064</v>
      </c>
      <c r="B2796" s="0" t="n">
        <v>44</v>
      </c>
      <c r="C2796" s="0" t="n">
        <v>64</v>
      </c>
      <c r="D2796" s="0" t="n">
        <v>2444</v>
      </c>
      <c r="E2796" s="0" t="n">
        <f aca="false">VLOOKUP(B2796,'MSA-Lookup'!$H$2:$I$86,2)</f>
        <v>360</v>
      </c>
      <c r="F2796" s="0" t="n">
        <f aca="false">IF(C2796&gt;1,IF(C2796&lt;99,VLOOKUP(C2796,'MSA-Lookup'!$H$1:$I$86,2),C2796),C2796)</f>
        <v>4480</v>
      </c>
      <c r="G2796" s="0" t="n">
        <f aca="false">VLOOKUP(E2796,'MSA-Lookup'!$AA$1:$AB$25,2)</f>
        <v>4472</v>
      </c>
      <c r="H2796" s="0" t="n">
        <f aca="false">IF(C2796&gt;1,IF(C2796&lt;99,VLOOKUP(F2796,'MSA-Lookup'!$AA$1:$AB$25,2),C2796),C2796)</f>
        <v>4472</v>
      </c>
    </row>
    <row r="2797" customFormat="false" ht="12.75" hidden="false" customHeight="false" outlineLevel="0" collapsed="false">
      <c r="A2797" s="0" t="n">
        <f aca="false">B2797*1000+C2797</f>
        <v>44065</v>
      </c>
      <c r="B2797" s="0" t="n">
        <v>44</v>
      </c>
      <c r="C2797" s="0" t="n">
        <v>65</v>
      </c>
      <c r="D2797" s="0" t="n">
        <v>1365</v>
      </c>
      <c r="E2797" s="0" t="n">
        <f aca="false">VLOOKUP(B2797,'MSA-Lookup'!$H$2:$I$86,2)</f>
        <v>360</v>
      </c>
      <c r="F2797" s="0" t="n">
        <f aca="false">IF(C2797&gt;1,IF(C2797&lt;99,VLOOKUP(C2797,'MSA-Lookup'!$H$1:$I$86,2),C2797),C2797)</f>
        <v>4480</v>
      </c>
      <c r="G2797" s="0" t="n">
        <f aca="false">VLOOKUP(E2797,'MSA-Lookup'!$AA$1:$AB$25,2)</f>
        <v>4472</v>
      </c>
      <c r="H2797" s="0" t="n">
        <f aca="false">IF(C2797&gt;1,IF(C2797&lt;99,VLOOKUP(F2797,'MSA-Lookup'!$AA$1:$AB$25,2),C2797),C2797)</f>
        <v>4472</v>
      </c>
    </row>
    <row r="2798" customFormat="false" ht="12.75" hidden="false" customHeight="false" outlineLevel="0" collapsed="false">
      <c r="A2798" s="0" t="n">
        <f aca="false">B2798*1000+C2798</f>
        <v>44066</v>
      </c>
      <c r="B2798" s="0" t="n">
        <v>44</v>
      </c>
      <c r="C2798" s="0" t="n">
        <v>66</v>
      </c>
      <c r="D2798" s="0" t="n">
        <v>1469</v>
      </c>
      <c r="E2798" s="0" t="n">
        <f aca="false">VLOOKUP(B2798,'MSA-Lookup'!$H$2:$I$86,2)</f>
        <v>360</v>
      </c>
      <c r="F2798" s="0" t="n">
        <f aca="false">IF(C2798&gt;1,IF(C2798&lt;99,VLOOKUP(C2798,'MSA-Lookup'!$H$1:$I$86,2),C2798),C2798)</f>
        <v>4480</v>
      </c>
      <c r="G2798" s="0" t="n">
        <f aca="false">VLOOKUP(E2798,'MSA-Lookup'!$AA$1:$AB$25,2)</f>
        <v>4472</v>
      </c>
      <c r="H2798" s="0" t="n">
        <f aca="false">IF(C2798&gt;1,IF(C2798&lt;99,VLOOKUP(F2798,'MSA-Lookup'!$AA$1:$AB$25,2),C2798),C2798)</f>
        <v>4472</v>
      </c>
    </row>
    <row r="2799" customFormat="false" ht="12.75" hidden="false" customHeight="false" outlineLevel="0" collapsed="false">
      <c r="A2799" s="0" t="n">
        <f aca="false">B2799*1000+C2799</f>
        <v>44067</v>
      </c>
      <c r="B2799" s="0" t="n">
        <v>44</v>
      </c>
      <c r="C2799" s="0" t="n">
        <v>67</v>
      </c>
      <c r="D2799" s="0" t="n">
        <v>0</v>
      </c>
      <c r="E2799" s="0" t="n">
        <f aca="false">VLOOKUP(B2799,'MSA-Lookup'!$H$2:$I$86,2)</f>
        <v>360</v>
      </c>
      <c r="F2799" s="0" t="n">
        <f aca="false">IF(C2799&gt;1,IF(C2799&lt;99,VLOOKUP(C2799,'MSA-Lookup'!$H$1:$I$86,2),C2799),C2799)</f>
        <v>6000</v>
      </c>
      <c r="G2799" s="0" t="n">
        <f aca="false">VLOOKUP(E2799,'MSA-Lookup'!$AA$1:$AB$25,2)</f>
        <v>4472</v>
      </c>
      <c r="H2799" s="0" t="n">
        <f aca="false">IF(C2799&gt;1,IF(C2799&lt;99,VLOOKUP(F2799,'MSA-Lookup'!$AA$1:$AB$25,2),C2799),C2799)</f>
        <v>4472</v>
      </c>
    </row>
    <row r="2800" customFormat="false" ht="12.75" hidden="false" customHeight="false" outlineLevel="0" collapsed="false">
      <c r="A2800" s="0" t="n">
        <f aca="false">B2800*1000+C2800</f>
        <v>44068</v>
      </c>
      <c r="B2800" s="0" t="n">
        <v>44</v>
      </c>
      <c r="C2800" s="0" t="n">
        <v>68</v>
      </c>
      <c r="D2800" s="0" t="n">
        <v>0</v>
      </c>
      <c r="E2800" s="0" t="n">
        <f aca="false">VLOOKUP(B2800,'MSA-Lookup'!$H$2:$I$86,2)</f>
        <v>360</v>
      </c>
      <c r="F2800" s="0" t="n">
        <f aca="false">IF(C2800&gt;1,IF(C2800&lt;99,VLOOKUP(C2800,'MSA-Lookup'!$H$1:$I$86,2),C2800),C2800)</f>
        <v>6780</v>
      </c>
      <c r="G2800" s="0" t="n">
        <f aca="false">VLOOKUP(E2800,'MSA-Lookup'!$AA$1:$AB$25,2)</f>
        <v>4472</v>
      </c>
      <c r="H2800" s="0" t="n">
        <f aca="false">IF(C2800&gt;1,IF(C2800&lt;99,VLOOKUP(F2800,'MSA-Lookup'!$AA$1:$AB$25,2),C2800),C2800)</f>
        <v>4472</v>
      </c>
    </row>
    <row r="2801" customFormat="false" ht="12.75" hidden="false" customHeight="false" outlineLevel="0" collapsed="false">
      <c r="A2801" s="0" t="n">
        <f aca="false">B2801*1000+C2801</f>
        <v>44069</v>
      </c>
      <c r="B2801" s="0" t="n">
        <v>44</v>
      </c>
      <c r="C2801" s="0" t="n">
        <v>69</v>
      </c>
      <c r="D2801" s="0" t="n">
        <v>182</v>
      </c>
      <c r="E2801" s="0" t="n">
        <f aca="false">VLOOKUP(B2801,'MSA-Lookup'!$H$2:$I$86,2)</f>
        <v>360</v>
      </c>
      <c r="F2801" s="0" t="n">
        <f aca="false">IF(C2801&gt;1,IF(C2801&lt;99,VLOOKUP(C2801,'MSA-Lookup'!$H$1:$I$86,2),C2801),C2801)</f>
        <v>6780</v>
      </c>
      <c r="G2801" s="0" t="n">
        <f aca="false">VLOOKUP(E2801,'MSA-Lookup'!$AA$1:$AB$25,2)</f>
        <v>4472</v>
      </c>
      <c r="H2801" s="0" t="n">
        <f aca="false">IF(C2801&gt;1,IF(C2801&lt;99,VLOOKUP(F2801,'MSA-Lookup'!$AA$1:$AB$25,2),C2801),C2801)</f>
        <v>4472</v>
      </c>
    </row>
    <row r="2802" customFormat="false" ht="12.75" hidden="false" customHeight="false" outlineLevel="0" collapsed="false">
      <c r="A2802" s="0" t="n">
        <f aca="false">B2802*1000+C2802</f>
        <v>44071</v>
      </c>
      <c r="B2802" s="0" t="n">
        <v>44</v>
      </c>
      <c r="C2802" s="0" t="n">
        <v>71</v>
      </c>
      <c r="D2802" s="0" t="n">
        <v>0</v>
      </c>
      <c r="E2802" s="0" t="n">
        <f aca="false">VLOOKUP(B2802,'MSA-Lookup'!$H$2:$I$86,2)</f>
        <v>360</v>
      </c>
      <c r="F2802" s="0" t="n">
        <f aca="false">IF(C2802&gt;1,IF(C2802&lt;99,VLOOKUP(C2802,'MSA-Lookup'!$H$1:$I$86,2),C2802),C2802)</f>
        <v>6780</v>
      </c>
      <c r="G2802" s="0" t="n">
        <f aca="false">VLOOKUP(E2802,'MSA-Lookup'!$AA$1:$AB$25,2)</f>
        <v>4472</v>
      </c>
      <c r="H2802" s="0" t="n">
        <f aca="false">IF(C2802&gt;1,IF(C2802&lt;99,VLOOKUP(F2802,'MSA-Lookup'!$AA$1:$AB$25,2),C2802),C2802)</f>
        <v>4472</v>
      </c>
    </row>
    <row r="2803" customFormat="false" ht="12.75" hidden="false" customHeight="false" outlineLevel="0" collapsed="false">
      <c r="A2803" s="0" t="n">
        <f aca="false">B2803*1000+C2803</f>
        <v>44072</v>
      </c>
      <c r="B2803" s="0" t="n">
        <v>44</v>
      </c>
      <c r="C2803" s="0" t="n">
        <v>72</v>
      </c>
      <c r="D2803" s="0" t="n">
        <v>494</v>
      </c>
      <c r="E2803" s="0" t="n">
        <f aca="false">VLOOKUP(B2803,'MSA-Lookup'!$H$2:$I$86,2)</f>
        <v>360</v>
      </c>
      <c r="F2803" s="0" t="n">
        <f aca="false">IF(C2803&gt;1,IF(C2803&lt;99,VLOOKUP(C2803,'MSA-Lookup'!$H$1:$I$86,2),C2803),C2803)</f>
        <v>6780</v>
      </c>
      <c r="G2803" s="0" t="n">
        <f aca="false">VLOOKUP(E2803,'MSA-Lookup'!$AA$1:$AB$25,2)</f>
        <v>4472</v>
      </c>
      <c r="H2803" s="0" t="n">
        <f aca="false">IF(C2803&gt;1,IF(C2803&lt;99,VLOOKUP(F2803,'MSA-Lookup'!$AA$1:$AB$25,2),C2803),C2803)</f>
        <v>4472</v>
      </c>
    </row>
    <row r="2804" customFormat="false" ht="12.75" hidden="false" customHeight="false" outlineLevel="0" collapsed="false">
      <c r="A2804" s="0" t="n">
        <f aca="false">B2804*1000+C2804</f>
        <v>44073</v>
      </c>
      <c r="B2804" s="0" t="n">
        <v>44</v>
      </c>
      <c r="C2804" s="0" t="n">
        <v>73</v>
      </c>
      <c r="D2804" s="0" t="n">
        <v>0</v>
      </c>
      <c r="E2804" s="0" t="n">
        <f aca="false">VLOOKUP(B2804,'MSA-Lookup'!$H$2:$I$86,2)</f>
        <v>360</v>
      </c>
      <c r="F2804" s="0" t="n">
        <f aca="false">IF(C2804&gt;1,IF(C2804&lt;99,VLOOKUP(C2804,'MSA-Lookup'!$H$1:$I$86,2),C2804),C2804)</f>
        <v>8720</v>
      </c>
      <c r="G2804" s="0" t="n">
        <f aca="false">VLOOKUP(E2804,'MSA-Lookup'!$AA$1:$AB$25,2)</f>
        <v>4472</v>
      </c>
      <c r="H2804" s="0" t="n">
        <f aca="false">IF(C2804&gt;1,IF(C2804&lt;99,VLOOKUP(F2804,'MSA-Lookup'!$AA$1:$AB$25,2),C2804),C2804)</f>
        <v>7362</v>
      </c>
    </row>
    <row r="2805" customFormat="false" ht="12.75" hidden="false" customHeight="false" outlineLevel="0" collapsed="false">
      <c r="A2805" s="0" t="n">
        <f aca="false">B2805*1000+C2805</f>
        <v>44075</v>
      </c>
      <c r="B2805" s="0" t="n">
        <v>44</v>
      </c>
      <c r="C2805" s="0" t="n">
        <v>75</v>
      </c>
      <c r="D2805" s="0" t="n">
        <v>0</v>
      </c>
      <c r="E2805" s="0" t="n">
        <f aca="false">VLOOKUP(B2805,'MSA-Lookup'!$H$2:$I$86,2)</f>
        <v>360</v>
      </c>
      <c r="F2805" s="0" t="n">
        <f aca="false">IF(C2805&gt;1,IF(C2805&lt;99,VLOOKUP(C2805,'MSA-Lookup'!$H$1:$I$86,2),C2805),C2805)</f>
        <v>8780</v>
      </c>
      <c r="G2805" s="0" t="n">
        <f aca="false">VLOOKUP(E2805,'MSA-Lookup'!$AA$1:$AB$25,2)</f>
        <v>4472</v>
      </c>
      <c r="H2805" s="0" t="n">
        <f aca="false">IF(C2805&gt;1,IF(C2805&lt;99,VLOOKUP(F2805,'MSA-Lookup'!$AA$1:$AB$25,2),C2805),C2805)</f>
        <v>8780</v>
      </c>
    </row>
    <row r="2806" customFormat="false" ht="12.75" hidden="false" customHeight="false" outlineLevel="0" collapsed="false">
      <c r="A2806" s="0" t="n">
        <f aca="false">B2806*1000+C2806</f>
        <v>44076</v>
      </c>
      <c r="B2806" s="0" t="n">
        <v>44</v>
      </c>
      <c r="C2806" s="0" t="n">
        <v>76</v>
      </c>
      <c r="D2806" s="0" t="n">
        <v>0</v>
      </c>
      <c r="E2806" s="0" t="n">
        <f aca="false">VLOOKUP(B2806,'MSA-Lookup'!$H$2:$I$86,2)</f>
        <v>360</v>
      </c>
      <c r="F2806" s="0" t="n">
        <f aca="false">IF(C2806&gt;1,IF(C2806&lt;99,VLOOKUP(C2806,'MSA-Lookup'!$H$1:$I$86,2),C2806),C2806)</f>
        <v>7485</v>
      </c>
      <c r="G2806" s="0" t="n">
        <f aca="false">VLOOKUP(E2806,'MSA-Lookup'!$AA$1:$AB$25,2)</f>
        <v>4472</v>
      </c>
      <c r="H2806" s="0" t="n">
        <f aca="false">IF(C2806&gt;1,IF(C2806&lt;99,VLOOKUP(F2806,'MSA-Lookup'!$AA$1:$AB$25,2),C2806),C2806)</f>
        <v>7362</v>
      </c>
    </row>
    <row r="2807" customFormat="false" ht="12.75" hidden="false" customHeight="false" outlineLevel="0" collapsed="false">
      <c r="A2807" s="0" t="n">
        <f aca="false">B2807*1000+C2807</f>
        <v>44077</v>
      </c>
      <c r="B2807" s="0" t="n">
        <v>44</v>
      </c>
      <c r="C2807" s="0" t="n">
        <v>77</v>
      </c>
      <c r="D2807" s="0" t="n">
        <v>0</v>
      </c>
      <c r="E2807" s="0" t="n">
        <f aca="false">VLOOKUP(B2807,'MSA-Lookup'!$H$2:$I$86,2)</f>
        <v>360</v>
      </c>
      <c r="F2807" s="0" t="n">
        <f aca="false">IF(C2807&gt;1,IF(C2807&lt;99,VLOOKUP(C2807,'MSA-Lookup'!$H$1:$I$86,2),C2807),C2807)</f>
        <v>9999</v>
      </c>
      <c r="G2807" s="0" t="n">
        <f aca="false">VLOOKUP(E2807,'MSA-Lookup'!$AA$1:$AB$25,2)</f>
        <v>4472</v>
      </c>
      <c r="H2807" s="0" t="n">
        <f aca="false">IF(C2807&gt;1,IF(C2807&lt;99,VLOOKUP(F2807,'MSA-Lookup'!$AA$1:$AB$25,2),C2807),C2807)</f>
        <v>9999</v>
      </c>
    </row>
    <row r="2808" customFormat="false" ht="12.75" hidden="false" customHeight="false" outlineLevel="0" collapsed="false">
      <c r="A2808" s="0" t="n">
        <f aca="false">B2808*1000+C2808</f>
        <v>44079</v>
      </c>
      <c r="B2808" s="0" t="n">
        <v>44</v>
      </c>
      <c r="C2808" s="0" t="n">
        <v>79</v>
      </c>
      <c r="D2808" s="0" t="n">
        <v>0</v>
      </c>
      <c r="E2808" s="0" t="n">
        <f aca="false">VLOOKUP(B2808,'MSA-Lookup'!$H$2:$I$86,2)</f>
        <v>360</v>
      </c>
      <c r="F2808" s="0" t="n">
        <f aca="false">IF(C2808&gt;1,IF(C2808&lt;99,VLOOKUP(C2808,'MSA-Lookup'!$H$1:$I$86,2),C2808),C2808)</f>
        <v>680</v>
      </c>
      <c r="G2808" s="0" t="n">
        <f aca="false">VLOOKUP(E2808,'MSA-Lookup'!$AA$1:$AB$25,2)</f>
        <v>4472</v>
      </c>
      <c r="H2808" s="0" t="n">
        <f aca="false">IF(C2808&gt;1,IF(C2808&lt;99,VLOOKUP(F2808,'MSA-Lookup'!$AA$1:$AB$25,2),C2808),C2808)</f>
        <v>680</v>
      </c>
    </row>
    <row r="2809" customFormat="false" ht="12.75" hidden="false" customHeight="false" outlineLevel="0" collapsed="false">
      <c r="A2809" s="0" t="n">
        <f aca="false">B2809*1000+C2809</f>
        <v>44080</v>
      </c>
      <c r="B2809" s="0" t="n">
        <v>44</v>
      </c>
      <c r="C2809" s="0" t="n">
        <v>80</v>
      </c>
      <c r="D2809" s="0" t="n">
        <v>104</v>
      </c>
      <c r="E2809" s="0" t="n">
        <f aca="false">VLOOKUP(B2809,'MSA-Lookup'!$H$2:$I$86,2)</f>
        <v>360</v>
      </c>
      <c r="F2809" s="0" t="n">
        <f aca="false">IF(C2809&gt;1,IF(C2809&lt;99,VLOOKUP(C2809,'MSA-Lookup'!$H$1:$I$86,2),C2809),C2809)</f>
        <v>9999</v>
      </c>
      <c r="G2809" s="0" t="n">
        <f aca="false">VLOOKUP(E2809,'MSA-Lookup'!$AA$1:$AB$25,2)</f>
        <v>4472</v>
      </c>
      <c r="H2809" s="0" t="n">
        <f aca="false">IF(C2809&gt;1,IF(C2809&lt;99,VLOOKUP(F2809,'MSA-Lookup'!$AA$1:$AB$25,2),C2809),C2809)</f>
        <v>9999</v>
      </c>
    </row>
    <row r="2810" customFormat="false" ht="12.75" hidden="false" customHeight="false" outlineLevel="0" collapsed="false">
      <c r="A2810" s="0" t="n">
        <f aca="false">B2810*1000+C2810</f>
        <v>44081</v>
      </c>
      <c r="B2810" s="0" t="n">
        <v>44</v>
      </c>
      <c r="C2810" s="0" t="n">
        <v>81</v>
      </c>
      <c r="D2810" s="0" t="n">
        <v>104</v>
      </c>
      <c r="E2810" s="0" t="n">
        <f aca="false">VLOOKUP(B2810,'MSA-Lookup'!$H$2:$I$86,2)</f>
        <v>360</v>
      </c>
      <c r="F2810" s="0" t="n">
        <f aca="false">IF(C2810&gt;1,IF(C2810&lt;99,VLOOKUP(C2810,'MSA-Lookup'!$H$1:$I$86,2),C2810),C2810)</f>
        <v>6780</v>
      </c>
      <c r="G2810" s="0" t="n">
        <f aca="false">VLOOKUP(E2810,'MSA-Lookup'!$AA$1:$AB$25,2)</f>
        <v>4472</v>
      </c>
      <c r="H2810" s="0" t="n">
        <f aca="false">IF(C2810&gt;1,IF(C2810&lt;99,VLOOKUP(F2810,'MSA-Lookup'!$AA$1:$AB$25,2),C2810),C2810)</f>
        <v>4472</v>
      </c>
    </row>
    <row r="2811" customFormat="false" ht="12.75" hidden="false" customHeight="false" outlineLevel="0" collapsed="false">
      <c r="A2811" s="0" t="n">
        <f aca="false">B2811*1000+C2811</f>
        <v>44082</v>
      </c>
      <c r="B2811" s="0" t="n">
        <v>44</v>
      </c>
      <c r="C2811" s="0" t="n">
        <v>82</v>
      </c>
      <c r="D2811" s="0" t="n">
        <v>0</v>
      </c>
      <c r="E2811" s="0" t="n">
        <f aca="false">VLOOKUP(B2811,'MSA-Lookup'!$H$2:$I$86,2)</f>
        <v>360</v>
      </c>
      <c r="F2811" s="0" t="n">
        <f aca="false">IF(C2811&gt;1,IF(C2811&lt;99,VLOOKUP(C2811,'MSA-Lookup'!$H$1:$I$86,2),C2811),C2811)</f>
        <v>6780</v>
      </c>
      <c r="G2811" s="0" t="n">
        <f aca="false">VLOOKUP(E2811,'MSA-Lookup'!$AA$1:$AB$25,2)</f>
        <v>4472</v>
      </c>
      <c r="H2811" s="0" t="n">
        <f aca="false">IF(C2811&gt;1,IF(C2811&lt;99,VLOOKUP(F2811,'MSA-Lookup'!$AA$1:$AB$25,2),C2811),C2811)</f>
        <v>4472</v>
      </c>
    </row>
    <row r="2812" customFormat="false" ht="12.75" hidden="false" customHeight="false" outlineLevel="0" collapsed="false">
      <c r="A2812" s="0" t="n">
        <f aca="false">B2812*1000+C2812</f>
        <v>44083</v>
      </c>
      <c r="B2812" s="0" t="n">
        <v>44</v>
      </c>
      <c r="C2812" s="0" t="n">
        <v>83</v>
      </c>
      <c r="D2812" s="0" t="n">
        <v>0</v>
      </c>
      <c r="E2812" s="0" t="n">
        <f aca="false">VLOOKUP(B2812,'MSA-Lookup'!$H$2:$I$86,2)</f>
        <v>360</v>
      </c>
      <c r="F2812" s="0" t="n">
        <f aca="false">IF(C2812&gt;1,IF(C2812&lt;99,VLOOKUP(C2812,'MSA-Lookup'!$H$1:$I$86,2),C2812),C2812)</f>
        <v>6000</v>
      </c>
      <c r="G2812" s="0" t="n">
        <f aca="false">VLOOKUP(E2812,'MSA-Lookup'!$AA$1:$AB$25,2)</f>
        <v>4472</v>
      </c>
      <c r="H2812" s="0" t="n">
        <f aca="false">IF(C2812&gt;1,IF(C2812&lt;99,VLOOKUP(F2812,'MSA-Lookup'!$AA$1:$AB$25,2),C2812),C2812)</f>
        <v>4472</v>
      </c>
    </row>
    <row r="2813" customFormat="false" ht="12.75" hidden="false" customHeight="false" outlineLevel="0" collapsed="false">
      <c r="A2813" s="0" t="n">
        <f aca="false">B2813*1000+C2813</f>
        <v>44084</v>
      </c>
      <c r="B2813" s="0" t="n">
        <v>44</v>
      </c>
      <c r="C2813" s="0" t="n">
        <v>84</v>
      </c>
      <c r="D2813" s="0" t="n">
        <v>1066</v>
      </c>
      <c r="E2813" s="0" t="n">
        <f aca="false">VLOOKUP(B2813,'MSA-Lookup'!$H$2:$I$86,2)</f>
        <v>360</v>
      </c>
      <c r="F2813" s="0" t="n">
        <f aca="false">IF(C2813&gt;1,IF(C2813&lt;99,VLOOKUP(C2813,'MSA-Lookup'!$H$1:$I$86,2),C2813),C2813)</f>
        <v>360</v>
      </c>
      <c r="G2813" s="0" t="n">
        <f aca="false">VLOOKUP(E2813,'MSA-Lookup'!$AA$1:$AB$25,2)</f>
        <v>4472</v>
      </c>
      <c r="H2813" s="0" t="n">
        <f aca="false">IF(C2813&gt;1,IF(C2813&lt;99,VLOOKUP(F2813,'MSA-Lookup'!$AA$1:$AB$25,2),C2813),C2813)</f>
        <v>4472</v>
      </c>
    </row>
    <row r="2814" customFormat="false" ht="12.75" hidden="false" customHeight="false" outlineLevel="0" collapsed="false">
      <c r="A2814" s="0" t="n">
        <f aca="false">B2814*1000+C2814</f>
        <v>44085</v>
      </c>
      <c r="B2814" s="0" t="n">
        <v>44</v>
      </c>
      <c r="C2814" s="0" t="n">
        <v>85</v>
      </c>
      <c r="D2814" s="0" t="n">
        <v>0</v>
      </c>
      <c r="E2814" s="0" t="n">
        <f aca="false">VLOOKUP(B2814,'MSA-Lookup'!$H$2:$I$86,2)</f>
        <v>360</v>
      </c>
      <c r="F2814" s="0" t="n">
        <f aca="false">IF(C2814&gt;1,IF(C2814&lt;99,VLOOKUP(C2814,'MSA-Lookup'!$H$1:$I$86,2),C2814),C2814)</f>
        <v>8120</v>
      </c>
      <c r="G2814" s="0" t="n">
        <f aca="false">VLOOKUP(E2814,'MSA-Lookup'!$AA$1:$AB$25,2)</f>
        <v>4472</v>
      </c>
      <c r="H2814" s="0" t="n">
        <f aca="false">IF(C2814&gt;1,IF(C2814&lt;99,VLOOKUP(F2814,'MSA-Lookup'!$AA$1:$AB$25,2),C2814),C2814)</f>
        <v>8120</v>
      </c>
    </row>
    <row r="2815" customFormat="false" ht="12.75" hidden="false" customHeight="false" outlineLevel="0" collapsed="false">
      <c r="A2815" s="0" t="n">
        <f aca="false">B2815*1000+C2815</f>
        <v>44858</v>
      </c>
      <c r="B2815" s="0" t="n">
        <v>44</v>
      </c>
      <c r="C2815" s="0" t="n">
        <v>858</v>
      </c>
      <c r="D2815" s="0" t="n">
        <v>0</v>
      </c>
      <c r="E2815" s="0" t="n">
        <f aca="false">VLOOKUP(B2815,'MSA-Lookup'!$H$2:$I$86,2)</f>
        <v>360</v>
      </c>
      <c r="F2815" s="0" t="n">
        <f aca="false">IF(C2815&gt;1,IF(C2815&lt;99,VLOOKUP(C2815,'MSA-Lookup'!$H$1:$I$86,2),C2815),C2815)</f>
        <v>858</v>
      </c>
      <c r="G2815" s="0" t="n">
        <f aca="false">VLOOKUP(E2815,'MSA-Lookup'!$AA$1:$AB$25,2)</f>
        <v>4472</v>
      </c>
      <c r="H2815" s="0" t="n">
        <f aca="false">IF(C2815&gt;1,IF(C2815&lt;99,VLOOKUP(F2815,'MSA-Lookup'!$AA$1:$AB$25,2),C2815),C2815)</f>
        <v>858</v>
      </c>
    </row>
    <row r="2816" customFormat="false" ht="12.75" hidden="false" customHeight="false" outlineLevel="0" collapsed="false">
      <c r="A2816" s="0" t="n">
        <f aca="false">B2816*1000+C2816</f>
        <v>44983</v>
      </c>
      <c r="B2816" s="0" t="n">
        <v>44</v>
      </c>
      <c r="C2816" s="0" t="n">
        <v>983</v>
      </c>
      <c r="D2816" s="0" t="n">
        <v>0</v>
      </c>
      <c r="E2816" s="0" t="n">
        <f aca="false">VLOOKUP(B2816,'MSA-Lookup'!$H$2:$I$86,2)</f>
        <v>360</v>
      </c>
      <c r="F2816" s="0" t="n">
        <f aca="false">IF(C2816&gt;1,IF(C2816&lt;99,VLOOKUP(C2816,'MSA-Lookup'!$H$1:$I$86,2),C2816),C2816)</f>
        <v>983</v>
      </c>
      <c r="G2816" s="0" t="n">
        <f aca="false">VLOOKUP(E2816,'MSA-Lookup'!$AA$1:$AB$25,2)</f>
        <v>4472</v>
      </c>
      <c r="H2816" s="0" t="n">
        <f aca="false">IF(C2816&gt;1,IF(C2816&lt;99,VLOOKUP(F2816,'MSA-Lookup'!$AA$1:$AB$25,2),C2816),C2816)</f>
        <v>983</v>
      </c>
    </row>
    <row r="2817" customFormat="false" ht="12.75" hidden="false" customHeight="false" outlineLevel="0" collapsed="false">
      <c r="A2817" s="0" t="n">
        <f aca="false">B2817*1000+C2817</f>
        <v>44999</v>
      </c>
      <c r="B2817" s="0" t="n">
        <v>44</v>
      </c>
      <c r="C2817" s="0" t="n">
        <v>999</v>
      </c>
      <c r="D2817" s="0" t="n">
        <v>0</v>
      </c>
      <c r="E2817" s="0" t="n">
        <f aca="false">VLOOKUP(B2817,'MSA-Lookup'!$H$2:$I$86,2)</f>
        <v>360</v>
      </c>
      <c r="F2817" s="0" t="n">
        <f aca="false">IF(C2817&gt;1,IF(C2817&lt;99,VLOOKUP(C2817,'MSA-Lookup'!$H$1:$I$86,2),C2817),C2817)</f>
        <v>999</v>
      </c>
      <c r="G2817" s="0" t="n">
        <f aca="false">VLOOKUP(E2817,'MSA-Lookup'!$AA$1:$AB$25,2)</f>
        <v>4472</v>
      </c>
      <c r="H2817" s="0" t="n">
        <f aca="false">IF(C2817&gt;1,IF(C2817&lt;99,VLOOKUP(F2817,'MSA-Lookup'!$AA$1:$AB$25,2),C2817),C2817)</f>
        <v>999</v>
      </c>
    </row>
    <row r="2818" customFormat="false" ht="12.75" hidden="false" customHeight="false" outlineLevel="0" collapsed="false">
      <c r="A2818" s="0" t="n">
        <f aca="false">B2818*1000+C2818</f>
        <v>45000</v>
      </c>
      <c r="B2818" s="0" t="n">
        <v>45</v>
      </c>
      <c r="C2818" s="0" t="n">
        <v>0</v>
      </c>
      <c r="D2818" s="0" t="n">
        <v>54691</v>
      </c>
      <c r="E2818" s="0" t="n">
        <f aca="false">VLOOKUP(B2818,'MSA-Lookup'!$H$2:$I$86,2)</f>
        <v>360</v>
      </c>
      <c r="F2818" s="0" t="n">
        <f aca="false">IF(C2818&gt;1,IF(C2818&lt;99,VLOOKUP(C2818,'MSA-Lookup'!$H$1:$I$86,2),C2818),C2818)</f>
        <v>0</v>
      </c>
      <c r="G2818" s="0" t="n">
        <f aca="false">VLOOKUP(E2818,'MSA-Lookup'!$AA$1:$AB$25,2)</f>
        <v>4472</v>
      </c>
      <c r="H2818" s="0" t="n">
        <f aca="false">IF(C2818&gt;1,IF(C2818&lt;99,VLOOKUP(F2818,'MSA-Lookup'!$AA$1:$AB$25,2),C2818),C2818)</f>
        <v>0</v>
      </c>
    </row>
    <row r="2819" customFormat="false" ht="12.75" hidden="false" customHeight="false" outlineLevel="0" collapsed="false">
      <c r="A2819" s="0" t="n">
        <f aca="false">B2819*1000+C2819</f>
        <v>45001</v>
      </c>
      <c r="B2819" s="0" t="n">
        <v>45</v>
      </c>
      <c r="C2819" s="0" t="n">
        <v>1</v>
      </c>
      <c r="D2819" s="0" t="n">
        <v>78</v>
      </c>
      <c r="E2819" s="0" t="n">
        <f aca="false">VLOOKUP(B2819,'MSA-Lookup'!$H$2:$I$86,2)</f>
        <v>360</v>
      </c>
      <c r="F2819" s="0" t="n">
        <f aca="false">IF(C2819&gt;1,IF(C2819&lt;99,VLOOKUP(C2819,'MSA-Lookup'!$H$1:$I$86,2),C2819),C2819)</f>
        <v>1</v>
      </c>
      <c r="G2819" s="0" t="n">
        <f aca="false">VLOOKUP(E2819,'MSA-Lookup'!$AA$1:$AB$25,2)</f>
        <v>4472</v>
      </c>
      <c r="H2819" s="0" t="n">
        <f aca="false">IF(C2819&gt;1,IF(C2819&lt;99,VLOOKUP(F2819,'MSA-Lookup'!$AA$1:$AB$25,2),C2819),C2819)</f>
        <v>1</v>
      </c>
    </row>
    <row r="2820" customFormat="false" ht="12.75" hidden="false" customHeight="false" outlineLevel="0" collapsed="false">
      <c r="A2820" s="0" t="n">
        <f aca="false">B2820*1000+C2820</f>
        <v>45002</v>
      </c>
      <c r="B2820" s="0" t="n">
        <v>45</v>
      </c>
      <c r="C2820" s="0" t="n">
        <v>2</v>
      </c>
      <c r="D2820" s="0" t="n">
        <v>0</v>
      </c>
      <c r="E2820" s="0" t="n">
        <f aca="false">VLOOKUP(B2820,'MSA-Lookup'!$H$2:$I$86,2)</f>
        <v>360</v>
      </c>
      <c r="F2820" s="0" t="n">
        <f aca="false">IF(C2820&gt;1,IF(C2820&lt;99,VLOOKUP(C2820,'MSA-Lookup'!$H$1:$I$86,2),C2820),C2820)</f>
        <v>9999</v>
      </c>
      <c r="G2820" s="0" t="n">
        <f aca="false">VLOOKUP(E2820,'MSA-Lookup'!$AA$1:$AB$25,2)</f>
        <v>4472</v>
      </c>
      <c r="H2820" s="0" t="n">
        <f aca="false">IF(C2820&gt;1,IF(C2820&lt;99,VLOOKUP(F2820,'MSA-Lookup'!$AA$1:$AB$25,2),C2820),C2820)</f>
        <v>9999</v>
      </c>
    </row>
    <row r="2821" customFormat="false" ht="12.75" hidden="false" customHeight="false" outlineLevel="0" collapsed="false">
      <c r="A2821" s="0" t="n">
        <f aca="false">B2821*1000+C2821</f>
        <v>45003</v>
      </c>
      <c r="B2821" s="0" t="n">
        <v>45</v>
      </c>
      <c r="C2821" s="0" t="n">
        <v>3</v>
      </c>
      <c r="D2821" s="0" t="n">
        <v>65</v>
      </c>
      <c r="E2821" s="0" t="n">
        <f aca="false">VLOOKUP(B2821,'MSA-Lookup'!$H$2:$I$86,2)</f>
        <v>360</v>
      </c>
      <c r="F2821" s="0" t="n">
        <f aca="false">IF(C2821&gt;1,IF(C2821&lt;99,VLOOKUP(C2821,'MSA-Lookup'!$H$1:$I$86,2),C2821),C2821)</f>
        <v>6690</v>
      </c>
      <c r="G2821" s="0" t="n">
        <f aca="false">VLOOKUP(E2821,'MSA-Lookup'!$AA$1:$AB$25,2)</f>
        <v>4472</v>
      </c>
      <c r="H2821" s="0" t="n">
        <f aca="false">IF(C2821&gt;1,IF(C2821&lt;99,VLOOKUP(F2821,'MSA-Lookup'!$AA$1:$AB$25,2),C2821),C2821)</f>
        <v>6690</v>
      </c>
    </row>
    <row r="2822" customFormat="false" ht="12.75" hidden="false" customHeight="false" outlineLevel="0" collapsed="false">
      <c r="A2822" s="0" t="n">
        <f aca="false">B2822*1000+C2822</f>
        <v>45004</v>
      </c>
      <c r="B2822" s="0" t="n">
        <v>45</v>
      </c>
      <c r="C2822" s="0" t="n">
        <v>4</v>
      </c>
      <c r="D2822" s="0" t="n">
        <v>0</v>
      </c>
      <c r="E2822" s="0" t="n">
        <f aca="false">VLOOKUP(B2822,'MSA-Lookup'!$H$2:$I$86,2)</f>
        <v>360</v>
      </c>
      <c r="F2822" s="0" t="n">
        <f aca="false">IF(C2822&gt;1,IF(C2822&lt;99,VLOOKUP(C2822,'MSA-Lookup'!$H$1:$I$86,2),C2822),C2822)</f>
        <v>9999</v>
      </c>
      <c r="G2822" s="0" t="n">
        <f aca="false">VLOOKUP(E2822,'MSA-Lookup'!$AA$1:$AB$25,2)</f>
        <v>4472</v>
      </c>
      <c r="H2822" s="0" t="n">
        <f aca="false">IF(C2822&gt;1,IF(C2822&lt;99,VLOOKUP(F2822,'MSA-Lookup'!$AA$1:$AB$25,2),C2822),C2822)</f>
        <v>9999</v>
      </c>
    </row>
    <row r="2823" customFormat="false" ht="12.75" hidden="false" customHeight="false" outlineLevel="0" collapsed="false">
      <c r="A2823" s="0" t="n">
        <f aca="false">B2823*1000+C2823</f>
        <v>45005</v>
      </c>
      <c r="B2823" s="0" t="n">
        <v>45</v>
      </c>
      <c r="C2823" s="0" t="n">
        <v>5</v>
      </c>
      <c r="D2823" s="0" t="n">
        <v>0</v>
      </c>
      <c r="E2823" s="0" t="n">
        <f aca="false">VLOOKUP(B2823,'MSA-Lookup'!$H$2:$I$86,2)</f>
        <v>360</v>
      </c>
      <c r="F2823" s="0" t="n">
        <f aca="false">IF(C2823&gt;1,IF(C2823&lt;99,VLOOKUP(C2823,'MSA-Lookup'!$H$1:$I$86,2),C2823),C2823)</f>
        <v>9999</v>
      </c>
      <c r="G2823" s="0" t="n">
        <f aca="false">VLOOKUP(E2823,'MSA-Lookup'!$AA$1:$AB$25,2)</f>
        <v>4472</v>
      </c>
      <c r="H2823" s="0" t="n">
        <f aca="false">IF(C2823&gt;1,IF(C2823&lt;99,VLOOKUP(F2823,'MSA-Lookup'!$AA$1:$AB$25,2),C2823),C2823)</f>
        <v>9999</v>
      </c>
    </row>
    <row r="2824" customFormat="false" ht="12.75" hidden="false" customHeight="false" outlineLevel="0" collapsed="false">
      <c r="A2824" s="0" t="n">
        <f aca="false">B2824*1000+C2824</f>
        <v>45006</v>
      </c>
      <c r="B2824" s="0" t="n">
        <v>45</v>
      </c>
      <c r="C2824" s="0" t="n">
        <v>6</v>
      </c>
      <c r="D2824" s="0" t="n">
        <v>0</v>
      </c>
      <c r="E2824" s="0" t="n">
        <f aca="false">VLOOKUP(B2824,'MSA-Lookup'!$H$2:$I$86,2)</f>
        <v>360</v>
      </c>
      <c r="F2824" s="0" t="n">
        <f aca="false">IF(C2824&gt;1,IF(C2824&lt;99,VLOOKUP(C2824,'MSA-Lookup'!$H$1:$I$86,2),C2824),C2824)</f>
        <v>1620</v>
      </c>
      <c r="G2824" s="0" t="n">
        <f aca="false">VLOOKUP(E2824,'MSA-Lookup'!$AA$1:$AB$25,2)</f>
        <v>4472</v>
      </c>
      <c r="H2824" s="0" t="n">
        <f aca="false">IF(C2824&gt;1,IF(C2824&lt;99,VLOOKUP(F2824,'MSA-Lookup'!$AA$1:$AB$25,2),C2824),C2824)</f>
        <v>1620</v>
      </c>
    </row>
    <row r="2825" customFormat="false" ht="12.75" hidden="false" customHeight="false" outlineLevel="0" collapsed="false">
      <c r="A2825" s="0" t="n">
        <f aca="false">B2825*1000+C2825</f>
        <v>45007</v>
      </c>
      <c r="B2825" s="0" t="n">
        <v>45</v>
      </c>
      <c r="C2825" s="0" t="n">
        <v>7</v>
      </c>
      <c r="D2825" s="0" t="n">
        <v>78</v>
      </c>
      <c r="E2825" s="0" t="n">
        <f aca="false">VLOOKUP(B2825,'MSA-Lookup'!$H$2:$I$86,2)</f>
        <v>360</v>
      </c>
      <c r="F2825" s="0" t="n">
        <f aca="false">IF(C2825&gt;1,IF(C2825&lt;99,VLOOKUP(C2825,'MSA-Lookup'!$H$1:$I$86,2),C2825),C2825)</f>
        <v>9999</v>
      </c>
      <c r="G2825" s="0" t="n">
        <f aca="false">VLOOKUP(E2825,'MSA-Lookup'!$AA$1:$AB$25,2)</f>
        <v>4472</v>
      </c>
      <c r="H2825" s="0" t="n">
        <f aca="false">IF(C2825&gt;1,IF(C2825&lt;99,VLOOKUP(F2825,'MSA-Lookup'!$AA$1:$AB$25,2),C2825),C2825)</f>
        <v>9999</v>
      </c>
    </row>
    <row r="2826" customFormat="false" ht="12.75" hidden="false" customHeight="false" outlineLevel="0" collapsed="false">
      <c r="A2826" s="0" t="n">
        <f aca="false">B2826*1000+C2826</f>
        <v>45008</v>
      </c>
      <c r="B2826" s="0" t="n">
        <v>45</v>
      </c>
      <c r="C2826" s="0" t="n">
        <v>8</v>
      </c>
      <c r="D2826" s="0" t="n">
        <v>0</v>
      </c>
      <c r="E2826" s="0" t="n">
        <f aca="false">VLOOKUP(B2826,'MSA-Lookup'!$H$2:$I$86,2)</f>
        <v>360</v>
      </c>
      <c r="F2826" s="0" t="n">
        <f aca="false">IF(C2826&gt;1,IF(C2826&lt;99,VLOOKUP(C2826,'MSA-Lookup'!$H$1:$I$86,2),C2826),C2826)</f>
        <v>9340</v>
      </c>
      <c r="G2826" s="0" t="n">
        <f aca="false">VLOOKUP(E2826,'MSA-Lookup'!$AA$1:$AB$25,2)</f>
        <v>4472</v>
      </c>
      <c r="H2826" s="0" t="n">
        <f aca="false">IF(C2826&gt;1,IF(C2826&lt;99,VLOOKUP(F2826,'MSA-Lookup'!$AA$1:$AB$25,2),C2826),C2826)</f>
        <v>9340</v>
      </c>
    </row>
    <row r="2827" customFormat="false" ht="12.75" hidden="false" customHeight="false" outlineLevel="0" collapsed="false">
      <c r="A2827" s="0" t="n">
        <f aca="false">B2827*1000+C2827</f>
        <v>45009</v>
      </c>
      <c r="B2827" s="0" t="n">
        <v>45</v>
      </c>
      <c r="C2827" s="0" t="n">
        <v>9</v>
      </c>
      <c r="D2827" s="0" t="n">
        <v>0</v>
      </c>
      <c r="E2827" s="0" t="n">
        <f aca="false">VLOOKUP(B2827,'MSA-Lookup'!$H$2:$I$86,2)</f>
        <v>360</v>
      </c>
      <c r="F2827" s="0" t="n">
        <f aca="false">IF(C2827&gt;1,IF(C2827&lt;99,VLOOKUP(C2827,'MSA-Lookup'!$H$1:$I$86,2),C2827),C2827)</f>
        <v>8720</v>
      </c>
      <c r="G2827" s="0" t="n">
        <f aca="false">VLOOKUP(E2827,'MSA-Lookup'!$AA$1:$AB$25,2)</f>
        <v>4472</v>
      </c>
      <c r="H2827" s="0" t="n">
        <f aca="false">IF(C2827&gt;1,IF(C2827&lt;99,VLOOKUP(F2827,'MSA-Lookup'!$AA$1:$AB$25,2),C2827),C2827)</f>
        <v>7362</v>
      </c>
    </row>
    <row r="2828" customFormat="false" ht="12.75" hidden="false" customHeight="false" outlineLevel="0" collapsed="false">
      <c r="A2828" s="0" t="n">
        <f aca="false">B2828*1000+C2828</f>
        <v>45010</v>
      </c>
      <c r="B2828" s="0" t="n">
        <v>45</v>
      </c>
      <c r="C2828" s="0" t="n">
        <v>10</v>
      </c>
      <c r="D2828" s="0" t="n">
        <v>0</v>
      </c>
      <c r="E2828" s="0" t="n">
        <f aca="false">VLOOKUP(B2828,'MSA-Lookup'!$H$2:$I$86,2)</f>
        <v>360</v>
      </c>
      <c r="F2828" s="0" t="n">
        <f aca="false">IF(C2828&gt;1,IF(C2828&lt;99,VLOOKUP(C2828,'MSA-Lookup'!$H$1:$I$86,2),C2828),C2828)</f>
        <v>6920</v>
      </c>
      <c r="G2828" s="0" t="n">
        <f aca="false">VLOOKUP(E2828,'MSA-Lookup'!$AA$1:$AB$25,2)</f>
        <v>4472</v>
      </c>
      <c r="H2828" s="0" t="n">
        <f aca="false">IF(C2828&gt;1,IF(C2828&lt;99,VLOOKUP(F2828,'MSA-Lookup'!$AA$1:$AB$25,2),C2828),C2828)</f>
        <v>6920</v>
      </c>
    </row>
    <row r="2829" customFormat="false" ht="12.75" hidden="false" customHeight="false" outlineLevel="0" collapsed="false">
      <c r="A2829" s="0" t="n">
        <f aca="false">B2829*1000+C2829</f>
        <v>45011</v>
      </c>
      <c r="B2829" s="0" t="n">
        <v>45</v>
      </c>
      <c r="C2829" s="0" t="n">
        <v>11</v>
      </c>
      <c r="D2829" s="0" t="n">
        <v>169</v>
      </c>
      <c r="E2829" s="0" t="n">
        <f aca="false">VLOOKUP(B2829,'MSA-Lookup'!$H$2:$I$86,2)</f>
        <v>360</v>
      </c>
      <c r="F2829" s="0" t="n">
        <f aca="false">IF(C2829&gt;1,IF(C2829&lt;99,VLOOKUP(C2829,'MSA-Lookup'!$H$1:$I$86,2),C2829),C2829)</f>
        <v>6920</v>
      </c>
      <c r="G2829" s="0" t="n">
        <f aca="false">VLOOKUP(E2829,'MSA-Lookup'!$AA$1:$AB$25,2)</f>
        <v>4472</v>
      </c>
      <c r="H2829" s="0" t="n">
        <f aca="false">IF(C2829&gt;1,IF(C2829&lt;99,VLOOKUP(F2829,'MSA-Lookup'!$AA$1:$AB$25,2),C2829),C2829)</f>
        <v>6920</v>
      </c>
    </row>
    <row r="2830" customFormat="false" ht="12.75" hidden="false" customHeight="false" outlineLevel="0" collapsed="false">
      <c r="A2830" s="0" t="n">
        <f aca="false">B2830*1000+C2830</f>
        <v>45012</v>
      </c>
      <c r="B2830" s="0" t="n">
        <v>45</v>
      </c>
      <c r="C2830" s="0" t="n">
        <v>12</v>
      </c>
      <c r="D2830" s="0" t="n">
        <v>0</v>
      </c>
      <c r="E2830" s="0" t="n">
        <f aca="false">VLOOKUP(B2830,'MSA-Lookup'!$H$2:$I$86,2)</f>
        <v>360</v>
      </c>
      <c r="F2830" s="0" t="n">
        <f aca="false">IF(C2830&gt;1,IF(C2830&lt;99,VLOOKUP(C2830,'MSA-Lookup'!$H$1:$I$86,2),C2830),C2830)</f>
        <v>6920</v>
      </c>
      <c r="G2830" s="0" t="n">
        <f aca="false">VLOOKUP(E2830,'MSA-Lookup'!$AA$1:$AB$25,2)</f>
        <v>4472</v>
      </c>
      <c r="H2830" s="0" t="n">
        <f aca="false">IF(C2830&gt;1,IF(C2830&lt;99,VLOOKUP(F2830,'MSA-Lookup'!$AA$1:$AB$25,2),C2830),C2830)</f>
        <v>6920</v>
      </c>
    </row>
    <row r="2831" customFormat="false" ht="12.75" hidden="false" customHeight="false" outlineLevel="0" collapsed="false">
      <c r="A2831" s="0" t="n">
        <f aca="false">B2831*1000+C2831</f>
        <v>45013</v>
      </c>
      <c r="B2831" s="0" t="n">
        <v>45</v>
      </c>
      <c r="C2831" s="0" t="n">
        <v>13</v>
      </c>
      <c r="D2831" s="0" t="n">
        <v>0</v>
      </c>
      <c r="E2831" s="0" t="n">
        <f aca="false">VLOOKUP(B2831,'MSA-Lookup'!$H$2:$I$86,2)</f>
        <v>360</v>
      </c>
      <c r="F2831" s="0" t="n">
        <f aca="false">IF(C2831&gt;1,IF(C2831&lt;99,VLOOKUP(C2831,'MSA-Lookup'!$H$1:$I$86,2),C2831),C2831)</f>
        <v>7500</v>
      </c>
      <c r="G2831" s="0" t="n">
        <f aca="false">VLOOKUP(E2831,'MSA-Lookup'!$AA$1:$AB$25,2)</f>
        <v>4472</v>
      </c>
      <c r="H2831" s="0" t="n">
        <f aca="false">IF(C2831&gt;1,IF(C2831&lt;99,VLOOKUP(F2831,'MSA-Lookup'!$AA$1:$AB$25,2),C2831),C2831)</f>
        <v>7362</v>
      </c>
    </row>
    <row r="2832" customFormat="false" ht="12.75" hidden="false" customHeight="false" outlineLevel="0" collapsed="false">
      <c r="A2832" s="0" t="n">
        <f aca="false">B2832*1000+C2832</f>
        <v>45014</v>
      </c>
      <c r="B2832" s="0" t="n">
        <v>45</v>
      </c>
      <c r="C2832" s="0" t="n">
        <v>14</v>
      </c>
      <c r="D2832" s="0" t="n">
        <v>0</v>
      </c>
      <c r="E2832" s="0" t="n">
        <f aca="false">VLOOKUP(B2832,'MSA-Lookup'!$H$2:$I$86,2)</f>
        <v>360</v>
      </c>
      <c r="F2832" s="0" t="n">
        <f aca="false">IF(C2832&gt;1,IF(C2832&lt;99,VLOOKUP(C2832,'MSA-Lookup'!$H$1:$I$86,2),C2832),C2832)</f>
        <v>7500</v>
      </c>
      <c r="G2832" s="0" t="n">
        <f aca="false">VLOOKUP(E2832,'MSA-Lookup'!$AA$1:$AB$25,2)</f>
        <v>4472</v>
      </c>
      <c r="H2832" s="0" t="n">
        <f aca="false">IF(C2832&gt;1,IF(C2832&lt;99,VLOOKUP(F2832,'MSA-Lookup'!$AA$1:$AB$25,2),C2832),C2832)</f>
        <v>7362</v>
      </c>
    </row>
    <row r="2833" customFormat="false" ht="12.75" hidden="false" customHeight="false" outlineLevel="0" collapsed="false">
      <c r="A2833" s="0" t="n">
        <f aca="false">B2833*1000+C2833</f>
        <v>45015</v>
      </c>
      <c r="B2833" s="0" t="n">
        <v>45</v>
      </c>
      <c r="C2833" s="0" t="n">
        <v>15</v>
      </c>
      <c r="D2833" s="0" t="n">
        <v>0</v>
      </c>
      <c r="E2833" s="0" t="n">
        <f aca="false">VLOOKUP(B2833,'MSA-Lookup'!$H$2:$I$86,2)</f>
        <v>360</v>
      </c>
      <c r="F2833" s="0" t="n">
        <f aca="false">IF(C2833&gt;1,IF(C2833&lt;99,VLOOKUP(C2833,'MSA-Lookup'!$H$1:$I$86,2),C2833),C2833)</f>
        <v>7360</v>
      </c>
      <c r="G2833" s="0" t="n">
        <f aca="false">VLOOKUP(E2833,'MSA-Lookup'!$AA$1:$AB$25,2)</f>
        <v>4472</v>
      </c>
      <c r="H2833" s="0" t="n">
        <f aca="false">IF(C2833&gt;1,IF(C2833&lt;99,VLOOKUP(F2833,'MSA-Lookup'!$AA$1:$AB$25,2),C2833),C2833)</f>
        <v>7362</v>
      </c>
    </row>
    <row r="2834" customFormat="false" ht="12.75" hidden="false" customHeight="false" outlineLevel="0" collapsed="false">
      <c r="A2834" s="0" t="n">
        <f aca="false">B2834*1000+C2834</f>
        <v>45016</v>
      </c>
      <c r="B2834" s="0" t="n">
        <v>45</v>
      </c>
      <c r="C2834" s="0" t="n">
        <v>16</v>
      </c>
      <c r="D2834" s="0" t="n">
        <v>0</v>
      </c>
      <c r="E2834" s="0" t="n">
        <f aca="false">VLOOKUP(B2834,'MSA-Lookup'!$H$2:$I$86,2)</f>
        <v>360</v>
      </c>
      <c r="F2834" s="0" t="n">
        <f aca="false">IF(C2834&gt;1,IF(C2834&lt;99,VLOOKUP(C2834,'MSA-Lookup'!$H$1:$I$86,2),C2834),C2834)</f>
        <v>8720</v>
      </c>
      <c r="G2834" s="0" t="n">
        <f aca="false">VLOOKUP(E2834,'MSA-Lookup'!$AA$1:$AB$25,2)</f>
        <v>4472</v>
      </c>
      <c r="H2834" s="0" t="n">
        <f aca="false">IF(C2834&gt;1,IF(C2834&lt;99,VLOOKUP(F2834,'MSA-Lookup'!$AA$1:$AB$25,2),C2834),C2834)</f>
        <v>7362</v>
      </c>
    </row>
    <row r="2835" customFormat="false" ht="12.75" hidden="false" customHeight="false" outlineLevel="0" collapsed="false">
      <c r="A2835" s="0" t="n">
        <f aca="false">B2835*1000+C2835</f>
        <v>45017</v>
      </c>
      <c r="B2835" s="0" t="n">
        <v>45</v>
      </c>
      <c r="C2835" s="0" t="n">
        <v>17</v>
      </c>
      <c r="D2835" s="0" t="n">
        <v>104</v>
      </c>
      <c r="E2835" s="0" t="n">
        <f aca="false">VLOOKUP(B2835,'MSA-Lookup'!$H$2:$I$86,2)</f>
        <v>360</v>
      </c>
      <c r="F2835" s="0" t="n">
        <f aca="false">IF(C2835&gt;1,IF(C2835&lt;99,VLOOKUP(C2835,'MSA-Lookup'!$H$1:$I$86,2),C2835),C2835)</f>
        <v>5775</v>
      </c>
      <c r="G2835" s="0" t="n">
        <f aca="false">VLOOKUP(E2835,'MSA-Lookup'!$AA$1:$AB$25,2)</f>
        <v>4472</v>
      </c>
      <c r="H2835" s="0" t="n">
        <f aca="false">IF(C2835&gt;1,IF(C2835&lt;99,VLOOKUP(F2835,'MSA-Lookup'!$AA$1:$AB$25,2),C2835),C2835)</f>
        <v>7362</v>
      </c>
    </row>
    <row r="2836" customFormat="false" ht="12.75" hidden="false" customHeight="false" outlineLevel="0" collapsed="false">
      <c r="A2836" s="0" t="n">
        <f aca="false">B2836*1000+C2836</f>
        <v>45018</v>
      </c>
      <c r="B2836" s="0" t="n">
        <v>45</v>
      </c>
      <c r="C2836" s="0" t="n">
        <v>18</v>
      </c>
      <c r="D2836" s="0" t="n">
        <v>0</v>
      </c>
      <c r="E2836" s="0" t="n">
        <f aca="false">VLOOKUP(B2836,'MSA-Lookup'!$H$2:$I$86,2)</f>
        <v>360</v>
      </c>
      <c r="F2836" s="0" t="n">
        <f aca="false">IF(C2836&gt;1,IF(C2836&lt;99,VLOOKUP(C2836,'MSA-Lookup'!$H$1:$I$86,2),C2836),C2836)</f>
        <v>5775</v>
      </c>
      <c r="G2836" s="0" t="n">
        <f aca="false">VLOOKUP(E2836,'MSA-Lookup'!$AA$1:$AB$25,2)</f>
        <v>4472</v>
      </c>
      <c r="H2836" s="0" t="n">
        <f aca="false">IF(C2836&gt;1,IF(C2836&lt;99,VLOOKUP(F2836,'MSA-Lookup'!$AA$1:$AB$25,2),C2836),C2836)</f>
        <v>7362</v>
      </c>
    </row>
    <row r="2837" customFormat="false" ht="12.75" hidden="false" customHeight="false" outlineLevel="0" collapsed="false">
      <c r="A2837" s="0" t="n">
        <f aca="false">B2837*1000+C2837</f>
        <v>45019</v>
      </c>
      <c r="B2837" s="0" t="n">
        <v>45</v>
      </c>
      <c r="C2837" s="0" t="n">
        <v>19</v>
      </c>
      <c r="D2837" s="0" t="n">
        <v>0</v>
      </c>
      <c r="E2837" s="0" t="n">
        <f aca="false">VLOOKUP(B2837,'MSA-Lookup'!$H$2:$I$86,2)</f>
        <v>360</v>
      </c>
      <c r="F2837" s="0" t="n">
        <f aca="false">IF(C2837&gt;1,IF(C2837&lt;99,VLOOKUP(C2837,'MSA-Lookup'!$H$1:$I$86,2),C2837),C2837)</f>
        <v>7360</v>
      </c>
      <c r="G2837" s="0" t="n">
        <f aca="false">VLOOKUP(E2837,'MSA-Lookup'!$AA$1:$AB$25,2)</f>
        <v>4472</v>
      </c>
      <c r="H2837" s="0" t="n">
        <f aca="false">IF(C2837&gt;1,IF(C2837&lt;99,VLOOKUP(F2837,'MSA-Lookup'!$AA$1:$AB$25,2),C2837),C2837)</f>
        <v>7362</v>
      </c>
    </row>
    <row r="2838" customFormat="false" ht="12.75" hidden="false" customHeight="false" outlineLevel="0" collapsed="false">
      <c r="A2838" s="0" t="n">
        <f aca="false">B2838*1000+C2838</f>
        <v>45020</v>
      </c>
      <c r="B2838" s="0" t="n">
        <v>45</v>
      </c>
      <c r="C2838" s="0" t="n">
        <v>20</v>
      </c>
      <c r="D2838" s="0" t="n">
        <v>0</v>
      </c>
      <c r="E2838" s="0" t="n">
        <f aca="false">VLOOKUP(B2838,'MSA-Lookup'!$H$2:$I$86,2)</f>
        <v>360</v>
      </c>
      <c r="F2838" s="0" t="n">
        <f aca="false">IF(C2838&gt;1,IF(C2838&lt;99,VLOOKUP(C2838,'MSA-Lookup'!$H$1:$I$86,2),C2838),C2838)</f>
        <v>5775</v>
      </c>
      <c r="G2838" s="0" t="n">
        <f aca="false">VLOOKUP(E2838,'MSA-Lookup'!$AA$1:$AB$25,2)</f>
        <v>4472</v>
      </c>
      <c r="H2838" s="0" t="n">
        <f aca="false">IF(C2838&gt;1,IF(C2838&lt;99,VLOOKUP(F2838,'MSA-Lookup'!$AA$1:$AB$25,2),C2838),C2838)</f>
        <v>7362</v>
      </c>
    </row>
    <row r="2839" customFormat="false" ht="12.75" hidden="false" customHeight="false" outlineLevel="0" collapsed="false">
      <c r="A2839" s="0" t="n">
        <f aca="false">B2839*1000+C2839</f>
        <v>45021</v>
      </c>
      <c r="B2839" s="0" t="n">
        <v>45</v>
      </c>
      <c r="C2839" s="0" t="n">
        <v>21</v>
      </c>
      <c r="D2839" s="0" t="n">
        <v>169</v>
      </c>
      <c r="E2839" s="0" t="n">
        <f aca="false">VLOOKUP(B2839,'MSA-Lookup'!$H$2:$I$86,2)</f>
        <v>360</v>
      </c>
      <c r="F2839" s="0" t="n">
        <f aca="false">IF(C2839&gt;1,IF(C2839&lt;99,VLOOKUP(C2839,'MSA-Lookup'!$H$1:$I$86,2),C2839),C2839)</f>
        <v>5775</v>
      </c>
      <c r="G2839" s="0" t="n">
        <f aca="false">VLOOKUP(E2839,'MSA-Lookup'!$AA$1:$AB$25,2)</f>
        <v>4472</v>
      </c>
      <c r="H2839" s="0" t="n">
        <f aca="false">IF(C2839&gt;1,IF(C2839&lt;99,VLOOKUP(F2839,'MSA-Lookup'!$AA$1:$AB$25,2),C2839),C2839)</f>
        <v>7362</v>
      </c>
    </row>
    <row r="2840" customFormat="false" ht="12.75" hidden="false" customHeight="false" outlineLevel="0" collapsed="false">
      <c r="A2840" s="0" t="n">
        <f aca="false">B2840*1000+C2840</f>
        <v>45022</v>
      </c>
      <c r="B2840" s="0" t="n">
        <v>45</v>
      </c>
      <c r="C2840" s="0" t="n">
        <v>22</v>
      </c>
      <c r="D2840" s="0" t="n">
        <v>78</v>
      </c>
      <c r="E2840" s="0" t="n">
        <f aca="false">VLOOKUP(B2840,'MSA-Lookup'!$H$2:$I$86,2)</f>
        <v>360</v>
      </c>
      <c r="F2840" s="0" t="n">
        <f aca="false">IF(C2840&gt;1,IF(C2840&lt;99,VLOOKUP(C2840,'MSA-Lookup'!$H$1:$I$86,2),C2840),C2840)</f>
        <v>7360</v>
      </c>
      <c r="G2840" s="0" t="n">
        <f aca="false">VLOOKUP(E2840,'MSA-Lookup'!$AA$1:$AB$25,2)</f>
        <v>4472</v>
      </c>
      <c r="H2840" s="0" t="n">
        <f aca="false">IF(C2840&gt;1,IF(C2840&lt;99,VLOOKUP(F2840,'MSA-Lookup'!$AA$1:$AB$25,2),C2840),C2840)</f>
        <v>7362</v>
      </c>
    </row>
    <row r="2841" customFormat="false" ht="12.75" hidden="false" customHeight="false" outlineLevel="0" collapsed="false">
      <c r="A2841" s="0" t="n">
        <f aca="false">B2841*1000+C2841</f>
        <v>45023</v>
      </c>
      <c r="B2841" s="0" t="n">
        <v>45</v>
      </c>
      <c r="C2841" s="0" t="n">
        <v>23</v>
      </c>
      <c r="D2841" s="0" t="n">
        <v>78</v>
      </c>
      <c r="E2841" s="0" t="n">
        <f aca="false">VLOOKUP(B2841,'MSA-Lookup'!$H$2:$I$86,2)</f>
        <v>360</v>
      </c>
      <c r="F2841" s="0" t="n">
        <f aca="false">IF(C2841&gt;1,IF(C2841&lt;99,VLOOKUP(C2841,'MSA-Lookup'!$H$1:$I$86,2),C2841),C2841)</f>
        <v>8120</v>
      </c>
      <c r="G2841" s="0" t="n">
        <f aca="false">VLOOKUP(E2841,'MSA-Lookup'!$AA$1:$AB$25,2)</f>
        <v>4472</v>
      </c>
      <c r="H2841" s="0" t="n">
        <f aca="false">IF(C2841&gt;1,IF(C2841&lt;99,VLOOKUP(F2841,'MSA-Lookup'!$AA$1:$AB$25,2),C2841),C2841)</f>
        <v>8120</v>
      </c>
    </row>
    <row r="2842" customFormat="false" ht="12.75" hidden="false" customHeight="false" outlineLevel="0" collapsed="false">
      <c r="A2842" s="0" t="n">
        <f aca="false">B2842*1000+C2842</f>
        <v>45024</v>
      </c>
      <c r="B2842" s="0" t="n">
        <v>45</v>
      </c>
      <c r="C2842" s="0" t="n">
        <v>24</v>
      </c>
      <c r="D2842" s="0" t="n">
        <v>0</v>
      </c>
      <c r="E2842" s="0" t="n">
        <f aca="false">VLOOKUP(B2842,'MSA-Lookup'!$H$2:$I$86,2)</f>
        <v>360</v>
      </c>
      <c r="F2842" s="0" t="n">
        <f aca="false">IF(C2842&gt;1,IF(C2842&lt;99,VLOOKUP(C2842,'MSA-Lookup'!$H$1:$I$86,2),C2842),C2842)</f>
        <v>5170</v>
      </c>
      <c r="G2842" s="0" t="n">
        <f aca="false">VLOOKUP(E2842,'MSA-Lookup'!$AA$1:$AB$25,2)</f>
        <v>4472</v>
      </c>
      <c r="H2842" s="0" t="n">
        <f aca="false">IF(C2842&gt;1,IF(C2842&lt;99,VLOOKUP(F2842,'MSA-Lookup'!$AA$1:$AB$25,2),C2842),C2842)</f>
        <v>5170</v>
      </c>
    </row>
    <row r="2843" customFormat="false" ht="12.75" hidden="false" customHeight="false" outlineLevel="0" collapsed="false">
      <c r="A2843" s="0" t="n">
        <f aca="false">B2843*1000+C2843</f>
        <v>45025</v>
      </c>
      <c r="B2843" s="0" t="n">
        <v>45</v>
      </c>
      <c r="C2843" s="0" t="n">
        <v>25</v>
      </c>
      <c r="D2843" s="0" t="n">
        <v>0</v>
      </c>
      <c r="E2843" s="0" t="n">
        <f aca="false">VLOOKUP(B2843,'MSA-Lookup'!$H$2:$I$86,2)</f>
        <v>360</v>
      </c>
      <c r="F2843" s="0" t="n">
        <f aca="false">IF(C2843&gt;1,IF(C2843&lt;99,VLOOKUP(C2843,'MSA-Lookup'!$H$1:$I$86,2),C2843),C2843)</f>
        <v>5170</v>
      </c>
      <c r="G2843" s="0" t="n">
        <f aca="false">VLOOKUP(E2843,'MSA-Lookup'!$AA$1:$AB$25,2)</f>
        <v>4472</v>
      </c>
      <c r="H2843" s="0" t="n">
        <f aca="false">IF(C2843&gt;1,IF(C2843&lt;99,VLOOKUP(F2843,'MSA-Lookup'!$AA$1:$AB$25,2),C2843),C2843)</f>
        <v>5170</v>
      </c>
    </row>
    <row r="2844" customFormat="false" ht="12.75" hidden="false" customHeight="false" outlineLevel="0" collapsed="false">
      <c r="A2844" s="0" t="n">
        <f aca="false">B2844*1000+C2844</f>
        <v>45026</v>
      </c>
      <c r="B2844" s="0" t="n">
        <v>45</v>
      </c>
      <c r="C2844" s="0" t="n">
        <v>26</v>
      </c>
      <c r="D2844" s="0" t="n">
        <v>0</v>
      </c>
      <c r="E2844" s="0" t="n">
        <f aca="false">VLOOKUP(B2844,'MSA-Lookup'!$H$2:$I$86,2)</f>
        <v>360</v>
      </c>
      <c r="F2844" s="0" t="n">
        <f aca="false">IF(C2844&gt;1,IF(C2844&lt;99,VLOOKUP(C2844,'MSA-Lookup'!$H$1:$I$86,2),C2844),C2844)</f>
        <v>9999</v>
      </c>
      <c r="G2844" s="0" t="n">
        <f aca="false">VLOOKUP(E2844,'MSA-Lookup'!$AA$1:$AB$25,2)</f>
        <v>4472</v>
      </c>
      <c r="H2844" s="0" t="n">
        <f aca="false">IF(C2844&gt;1,IF(C2844&lt;99,VLOOKUP(F2844,'MSA-Lookup'!$AA$1:$AB$25,2),C2844),C2844)</f>
        <v>9999</v>
      </c>
    </row>
    <row r="2845" customFormat="false" ht="12.75" hidden="false" customHeight="false" outlineLevel="0" collapsed="false">
      <c r="A2845" s="0" t="n">
        <f aca="false">B2845*1000+C2845</f>
        <v>45027</v>
      </c>
      <c r="B2845" s="0" t="n">
        <v>45</v>
      </c>
      <c r="C2845" s="0" t="n">
        <v>27</v>
      </c>
      <c r="D2845" s="0" t="n">
        <v>0</v>
      </c>
      <c r="E2845" s="0" t="n">
        <f aca="false">VLOOKUP(B2845,'MSA-Lookup'!$H$2:$I$86,2)</f>
        <v>360</v>
      </c>
      <c r="F2845" s="0" t="n">
        <f aca="false">IF(C2845&gt;1,IF(C2845&lt;99,VLOOKUP(C2845,'MSA-Lookup'!$H$1:$I$86,2),C2845),C2845)</f>
        <v>9999</v>
      </c>
      <c r="G2845" s="0" t="n">
        <f aca="false">VLOOKUP(E2845,'MSA-Lookup'!$AA$1:$AB$25,2)</f>
        <v>4472</v>
      </c>
      <c r="H2845" s="0" t="n">
        <f aca="false">IF(C2845&gt;1,IF(C2845&lt;99,VLOOKUP(F2845,'MSA-Lookup'!$AA$1:$AB$25,2),C2845),C2845)</f>
        <v>9999</v>
      </c>
    </row>
    <row r="2846" customFormat="false" ht="12.75" hidden="false" customHeight="false" outlineLevel="0" collapsed="false">
      <c r="A2846" s="0" t="n">
        <f aca="false">B2846*1000+C2846</f>
        <v>45028</v>
      </c>
      <c r="B2846" s="0" t="n">
        <v>45</v>
      </c>
      <c r="C2846" s="0" t="n">
        <v>28</v>
      </c>
      <c r="D2846" s="0" t="n">
        <v>0</v>
      </c>
      <c r="E2846" s="0" t="n">
        <f aca="false">VLOOKUP(B2846,'MSA-Lookup'!$H$2:$I$86,2)</f>
        <v>360</v>
      </c>
      <c r="F2846" s="0" t="n">
        <f aca="false">IF(C2846&gt;1,IF(C2846&lt;99,VLOOKUP(C2846,'MSA-Lookup'!$H$1:$I$86,2),C2846),C2846)</f>
        <v>6920</v>
      </c>
      <c r="G2846" s="0" t="n">
        <f aca="false">VLOOKUP(E2846,'MSA-Lookup'!$AA$1:$AB$25,2)</f>
        <v>4472</v>
      </c>
      <c r="H2846" s="0" t="n">
        <f aca="false">IF(C2846&gt;1,IF(C2846&lt;99,VLOOKUP(F2846,'MSA-Lookup'!$AA$1:$AB$25,2),C2846),C2846)</f>
        <v>6920</v>
      </c>
    </row>
    <row r="2847" customFormat="false" ht="12.75" hidden="false" customHeight="false" outlineLevel="0" collapsed="false">
      <c r="A2847" s="0" t="n">
        <f aca="false">B2847*1000+C2847</f>
        <v>45029</v>
      </c>
      <c r="B2847" s="0" t="n">
        <v>45</v>
      </c>
      <c r="C2847" s="0" t="n">
        <v>29</v>
      </c>
      <c r="D2847" s="0" t="n">
        <v>0</v>
      </c>
      <c r="E2847" s="0" t="n">
        <f aca="false">VLOOKUP(B2847,'MSA-Lookup'!$H$2:$I$86,2)</f>
        <v>360</v>
      </c>
      <c r="F2847" s="0" t="n">
        <f aca="false">IF(C2847&gt;1,IF(C2847&lt;99,VLOOKUP(C2847,'MSA-Lookup'!$H$1:$I$86,2),C2847),C2847)</f>
        <v>6920</v>
      </c>
      <c r="G2847" s="0" t="n">
        <f aca="false">VLOOKUP(E2847,'MSA-Lookup'!$AA$1:$AB$25,2)</f>
        <v>4472</v>
      </c>
      <c r="H2847" s="0" t="n">
        <f aca="false">IF(C2847&gt;1,IF(C2847&lt;99,VLOOKUP(F2847,'MSA-Lookup'!$AA$1:$AB$25,2),C2847),C2847)</f>
        <v>6920</v>
      </c>
    </row>
    <row r="2848" customFormat="false" ht="12.75" hidden="false" customHeight="false" outlineLevel="0" collapsed="false">
      <c r="A2848" s="0" t="n">
        <f aca="false">B2848*1000+C2848</f>
        <v>45030</v>
      </c>
      <c r="B2848" s="0" t="n">
        <v>45</v>
      </c>
      <c r="C2848" s="0" t="n">
        <v>30</v>
      </c>
      <c r="D2848" s="0" t="n">
        <v>0</v>
      </c>
      <c r="E2848" s="0" t="n">
        <f aca="false">VLOOKUP(B2848,'MSA-Lookup'!$H$2:$I$86,2)</f>
        <v>360</v>
      </c>
      <c r="F2848" s="0" t="n">
        <f aca="false">IF(C2848&gt;1,IF(C2848&lt;99,VLOOKUP(C2848,'MSA-Lookup'!$H$1:$I$86,2),C2848),C2848)</f>
        <v>4940</v>
      </c>
      <c r="G2848" s="0" t="n">
        <f aca="false">VLOOKUP(E2848,'MSA-Lookup'!$AA$1:$AB$25,2)</f>
        <v>4472</v>
      </c>
      <c r="H2848" s="0" t="n">
        <f aca="false">IF(C2848&gt;1,IF(C2848&lt;99,VLOOKUP(F2848,'MSA-Lookup'!$AA$1:$AB$25,2),C2848),C2848)</f>
        <v>4940</v>
      </c>
    </row>
    <row r="2849" customFormat="false" ht="12.75" hidden="false" customHeight="false" outlineLevel="0" collapsed="false">
      <c r="A2849" s="0" t="n">
        <f aca="false">B2849*1000+C2849</f>
        <v>45031</v>
      </c>
      <c r="B2849" s="0" t="n">
        <v>45</v>
      </c>
      <c r="C2849" s="0" t="n">
        <v>31</v>
      </c>
      <c r="D2849" s="0" t="n">
        <v>0</v>
      </c>
      <c r="E2849" s="0" t="n">
        <f aca="false">VLOOKUP(B2849,'MSA-Lookup'!$H$2:$I$86,2)</f>
        <v>360</v>
      </c>
      <c r="F2849" s="0" t="n">
        <f aca="false">IF(C2849&gt;1,IF(C2849&lt;99,VLOOKUP(C2849,'MSA-Lookup'!$H$1:$I$86,2),C2849),C2849)</f>
        <v>9999</v>
      </c>
      <c r="G2849" s="0" t="n">
        <f aca="false">VLOOKUP(E2849,'MSA-Lookup'!$AA$1:$AB$25,2)</f>
        <v>4472</v>
      </c>
      <c r="H2849" s="0" t="n">
        <f aca="false">IF(C2849&gt;1,IF(C2849&lt;99,VLOOKUP(F2849,'MSA-Lookup'!$AA$1:$AB$25,2),C2849),C2849)</f>
        <v>9999</v>
      </c>
    </row>
    <row r="2850" customFormat="false" ht="12.75" hidden="false" customHeight="false" outlineLevel="0" collapsed="false">
      <c r="A2850" s="0" t="n">
        <f aca="false">B2850*1000+C2850</f>
        <v>45032</v>
      </c>
      <c r="B2850" s="0" t="n">
        <v>45</v>
      </c>
      <c r="C2850" s="0" t="n">
        <v>32</v>
      </c>
      <c r="D2850" s="0" t="n">
        <v>0</v>
      </c>
      <c r="E2850" s="0" t="n">
        <f aca="false">VLOOKUP(B2850,'MSA-Lookup'!$H$2:$I$86,2)</f>
        <v>360</v>
      </c>
      <c r="F2850" s="0" t="n">
        <f aca="false">IF(C2850&gt;1,IF(C2850&lt;99,VLOOKUP(C2850,'MSA-Lookup'!$H$1:$I$86,2),C2850),C2850)</f>
        <v>7480</v>
      </c>
      <c r="G2850" s="0" t="n">
        <f aca="false">VLOOKUP(E2850,'MSA-Lookup'!$AA$1:$AB$25,2)</f>
        <v>4472</v>
      </c>
      <c r="H2850" s="0" t="n">
        <f aca="false">IF(C2850&gt;1,IF(C2850&lt;99,VLOOKUP(F2850,'MSA-Lookup'!$AA$1:$AB$25,2),C2850),C2850)</f>
        <v>7480</v>
      </c>
    </row>
    <row r="2851" customFormat="false" ht="12.75" hidden="false" customHeight="false" outlineLevel="0" collapsed="false">
      <c r="A2851" s="0" t="n">
        <f aca="false">B2851*1000+C2851</f>
        <v>45033</v>
      </c>
      <c r="B2851" s="0" t="n">
        <v>45</v>
      </c>
      <c r="C2851" s="0" t="n">
        <v>33</v>
      </c>
      <c r="D2851" s="0" t="n">
        <v>520</v>
      </c>
      <c r="E2851" s="0" t="n">
        <f aca="false">VLOOKUP(B2851,'MSA-Lookup'!$H$2:$I$86,2)</f>
        <v>360</v>
      </c>
      <c r="F2851" s="0" t="n">
        <f aca="false">IF(C2851&gt;1,IF(C2851&lt;99,VLOOKUP(C2851,'MSA-Lookup'!$H$1:$I$86,2),C2851),C2851)</f>
        <v>7320</v>
      </c>
      <c r="G2851" s="0" t="n">
        <f aca="false">VLOOKUP(E2851,'MSA-Lookup'!$AA$1:$AB$25,2)</f>
        <v>4472</v>
      </c>
      <c r="H2851" s="0" t="n">
        <f aca="false">IF(C2851&gt;1,IF(C2851&lt;99,VLOOKUP(F2851,'MSA-Lookup'!$AA$1:$AB$25,2),C2851),C2851)</f>
        <v>7320</v>
      </c>
    </row>
    <row r="2852" customFormat="false" ht="12.75" hidden="false" customHeight="false" outlineLevel="0" collapsed="false">
      <c r="A2852" s="0" t="n">
        <f aca="false">B2852*1000+C2852</f>
        <v>45034</v>
      </c>
      <c r="B2852" s="0" t="n">
        <v>45</v>
      </c>
      <c r="C2852" s="0" t="n">
        <v>34</v>
      </c>
      <c r="D2852" s="0" t="n">
        <v>221</v>
      </c>
      <c r="E2852" s="0" t="n">
        <f aca="false">VLOOKUP(B2852,'MSA-Lookup'!$H$2:$I$86,2)</f>
        <v>360</v>
      </c>
      <c r="F2852" s="0" t="n">
        <f aca="false">IF(C2852&gt;1,IF(C2852&lt;99,VLOOKUP(C2852,'MSA-Lookup'!$H$1:$I$86,2),C2852),C2852)</f>
        <v>7320</v>
      </c>
      <c r="G2852" s="0" t="n">
        <f aca="false">VLOOKUP(E2852,'MSA-Lookup'!$AA$1:$AB$25,2)</f>
        <v>4472</v>
      </c>
      <c r="H2852" s="0" t="n">
        <f aca="false">IF(C2852&gt;1,IF(C2852&lt;99,VLOOKUP(F2852,'MSA-Lookup'!$AA$1:$AB$25,2),C2852),C2852)</f>
        <v>7320</v>
      </c>
    </row>
    <row r="2853" customFormat="false" ht="12.75" hidden="false" customHeight="false" outlineLevel="0" collapsed="false">
      <c r="A2853" s="0" t="n">
        <f aca="false">B2853*1000+C2853</f>
        <v>45035</v>
      </c>
      <c r="B2853" s="0" t="n">
        <v>45</v>
      </c>
      <c r="C2853" s="0" t="n">
        <v>35</v>
      </c>
      <c r="D2853" s="0" t="n">
        <v>0</v>
      </c>
      <c r="E2853" s="0" t="n">
        <f aca="false">VLOOKUP(B2853,'MSA-Lookup'!$H$2:$I$86,2)</f>
        <v>360</v>
      </c>
      <c r="F2853" s="0" t="n">
        <f aca="false">IF(C2853&gt;1,IF(C2853&lt;99,VLOOKUP(C2853,'MSA-Lookup'!$H$1:$I$86,2),C2853),C2853)</f>
        <v>7320</v>
      </c>
      <c r="G2853" s="0" t="n">
        <f aca="false">VLOOKUP(E2853,'MSA-Lookup'!$AA$1:$AB$25,2)</f>
        <v>4472</v>
      </c>
      <c r="H2853" s="0" t="n">
        <f aca="false">IF(C2853&gt;1,IF(C2853&lt;99,VLOOKUP(F2853,'MSA-Lookup'!$AA$1:$AB$25,2),C2853),C2853)</f>
        <v>7320</v>
      </c>
    </row>
    <row r="2854" customFormat="false" ht="12.75" hidden="false" customHeight="false" outlineLevel="0" collapsed="false">
      <c r="A2854" s="0" t="n">
        <f aca="false">B2854*1000+C2854</f>
        <v>45036</v>
      </c>
      <c r="B2854" s="0" t="n">
        <v>45</v>
      </c>
      <c r="C2854" s="0" t="n">
        <v>36</v>
      </c>
      <c r="D2854" s="0" t="n">
        <v>0</v>
      </c>
      <c r="E2854" s="0" t="n">
        <f aca="false">VLOOKUP(B2854,'MSA-Lookup'!$H$2:$I$86,2)</f>
        <v>360</v>
      </c>
      <c r="F2854" s="0" t="n">
        <f aca="false">IF(C2854&gt;1,IF(C2854&lt;99,VLOOKUP(C2854,'MSA-Lookup'!$H$1:$I$86,2),C2854),C2854)</f>
        <v>7320</v>
      </c>
      <c r="G2854" s="0" t="n">
        <f aca="false">VLOOKUP(E2854,'MSA-Lookup'!$AA$1:$AB$25,2)</f>
        <v>4472</v>
      </c>
      <c r="H2854" s="0" t="n">
        <f aca="false">IF(C2854&gt;1,IF(C2854&lt;99,VLOOKUP(F2854,'MSA-Lookup'!$AA$1:$AB$25,2),C2854),C2854)</f>
        <v>7320</v>
      </c>
    </row>
    <row r="2855" customFormat="false" ht="12.75" hidden="false" customHeight="false" outlineLevel="0" collapsed="false">
      <c r="A2855" s="0" t="n">
        <f aca="false">B2855*1000+C2855</f>
        <v>45037</v>
      </c>
      <c r="B2855" s="0" t="n">
        <v>45</v>
      </c>
      <c r="C2855" s="0" t="n">
        <v>37</v>
      </c>
      <c r="D2855" s="0" t="n">
        <v>481</v>
      </c>
      <c r="E2855" s="0" t="n">
        <f aca="false">VLOOKUP(B2855,'MSA-Lookup'!$H$2:$I$86,2)</f>
        <v>360</v>
      </c>
      <c r="F2855" s="0" t="n">
        <f aca="false">IF(C2855&gt;1,IF(C2855&lt;99,VLOOKUP(C2855,'MSA-Lookup'!$H$1:$I$86,2),C2855),C2855)</f>
        <v>7320</v>
      </c>
      <c r="G2855" s="0" t="n">
        <f aca="false">VLOOKUP(E2855,'MSA-Lookup'!$AA$1:$AB$25,2)</f>
        <v>4472</v>
      </c>
      <c r="H2855" s="0" t="n">
        <f aca="false">IF(C2855&gt;1,IF(C2855&lt;99,VLOOKUP(F2855,'MSA-Lookup'!$AA$1:$AB$25,2),C2855),C2855)</f>
        <v>7320</v>
      </c>
    </row>
    <row r="2856" customFormat="false" ht="12.75" hidden="false" customHeight="false" outlineLevel="0" collapsed="false">
      <c r="A2856" s="0" t="n">
        <f aca="false">B2856*1000+C2856</f>
        <v>45038</v>
      </c>
      <c r="B2856" s="0" t="n">
        <v>45</v>
      </c>
      <c r="C2856" s="0" t="n">
        <v>38</v>
      </c>
      <c r="D2856" s="0" t="n">
        <v>0</v>
      </c>
      <c r="E2856" s="0" t="n">
        <f aca="false">VLOOKUP(B2856,'MSA-Lookup'!$H$2:$I$86,2)</f>
        <v>360</v>
      </c>
      <c r="F2856" s="0" t="n">
        <f aca="false">IF(C2856&gt;1,IF(C2856&lt;99,VLOOKUP(C2856,'MSA-Lookup'!$H$1:$I$86,2),C2856),C2856)</f>
        <v>7120</v>
      </c>
      <c r="G2856" s="0" t="n">
        <f aca="false">VLOOKUP(E2856,'MSA-Lookup'!$AA$1:$AB$25,2)</f>
        <v>4472</v>
      </c>
      <c r="H2856" s="0" t="n">
        <f aca="false">IF(C2856&gt;1,IF(C2856&lt;99,VLOOKUP(F2856,'MSA-Lookup'!$AA$1:$AB$25,2),C2856),C2856)</f>
        <v>7120</v>
      </c>
    </row>
    <row r="2857" customFormat="false" ht="12.75" hidden="false" customHeight="false" outlineLevel="0" collapsed="false">
      <c r="A2857" s="0" t="n">
        <f aca="false">B2857*1000+C2857</f>
        <v>45039</v>
      </c>
      <c r="B2857" s="0" t="n">
        <v>45</v>
      </c>
      <c r="C2857" s="0" t="n">
        <v>39</v>
      </c>
      <c r="D2857" s="0" t="n">
        <v>0</v>
      </c>
      <c r="E2857" s="0" t="n">
        <f aca="false">VLOOKUP(B2857,'MSA-Lookup'!$H$2:$I$86,2)</f>
        <v>360</v>
      </c>
      <c r="F2857" s="0" t="n">
        <f aca="false">IF(C2857&gt;1,IF(C2857&lt;99,VLOOKUP(C2857,'MSA-Lookup'!$H$1:$I$86,2),C2857),C2857)</f>
        <v>7120</v>
      </c>
      <c r="G2857" s="0" t="n">
        <f aca="false">VLOOKUP(E2857,'MSA-Lookup'!$AA$1:$AB$25,2)</f>
        <v>4472</v>
      </c>
      <c r="H2857" s="0" t="n">
        <f aca="false">IF(C2857&gt;1,IF(C2857&lt;99,VLOOKUP(F2857,'MSA-Lookup'!$AA$1:$AB$25,2),C2857),C2857)</f>
        <v>7120</v>
      </c>
    </row>
    <row r="2858" customFormat="false" ht="12.75" hidden="false" customHeight="false" outlineLevel="0" collapsed="false">
      <c r="A2858" s="0" t="n">
        <f aca="false">B2858*1000+C2858</f>
        <v>45040</v>
      </c>
      <c r="B2858" s="0" t="n">
        <v>45</v>
      </c>
      <c r="C2858" s="0" t="n">
        <v>40</v>
      </c>
      <c r="D2858" s="0" t="n">
        <v>0</v>
      </c>
      <c r="E2858" s="0" t="n">
        <f aca="false">VLOOKUP(B2858,'MSA-Lookup'!$H$2:$I$86,2)</f>
        <v>360</v>
      </c>
      <c r="F2858" s="0" t="n">
        <f aca="false">IF(C2858&gt;1,IF(C2858&lt;99,VLOOKUP(C2858,'MSA-Lookup'!$H$1:$I$86,2),C2858),C2858)</f>
        <v>2840</v>
      </c>
      <c r="G2858" s="0" t="n">
        <f aca="false">VLOOKUP(E2858,'MSA-Lookup'!$AA$1:$AB$25,2)</f>
        <v>4472</v>
      </c>
      <c r="H2858" s="0" t="n">
        <f aca="false">IF(C2858&gt;1,IF(C2858&lt;99,VLOOKUP(F2858,'MSA-Lookup'!$AA$1:$AB$25,2),C2858),C2858)</f>
        <v>2840</v>
      </c>
    </row>
    <row r="2859" customFormat="false" ht="12.75" hidden="false" customHeight="false" outlineLevel="0" collapsed="false">
      <c r="A2859" s="0" t="n">
        <f aca="false">B2859*1000+C2859</f>
        <v>45041</v>
      </c>
      <c r="B2859" s="0" t="n">
        <v>45</v>
      </c>
      <c r="C2859" s="0" t="n">
        <v>41</v>
      </c>
      <c r="D2859" s="0" t="n">
        <v>0</v>
      </c>
      <c r="E2859" s="0" t="n">
        <f aca="false">VLOOKUP(B2859,'MSA-Lookup'!$H$2:$I$86,2)</f>
        <v>360</v>
      </c>
      <c r="F2859" s="0" t="n">
        <f aca="false">IF(C2859&gt;1,IF(C2859&lt;99,VLOOKUP(C2859,'MSA-Lookup'!$H$1:$I$86,2),C2859),C2859)</f>
        <v>2840</v>
      </c>
      <c r="G2859" s="0" t="n">
        <f aca="false">VLOOKUP(E2859,'MSA-Lookup'!$AA$1:$AB$25,2)</f>
        <v>4472</v>
      </c>
      <c r="H2859" s="0" t="n">
        <f aca="false">IF(C2859&gt;1,IF(C2859&lt;99,VLOOKUP(F2859,'MSA-Lookup'!$AA$1:$AB$25,2),C2859),C2859)</f>
        <v>2840</v>
      </c>
    </row>
    <row r="2860" customFormat="false" ht="12.75" hidden="false" customHeight="false" outlineLevel="0" collapsed="false">
      <c r="A2860" s="0" t="n">
        <f aca="false">B2860*1000+C2860</f>
        <v>45042</v>
      </c>
      <c r="B2860" s="0" t="n">
        <v>45</v>
      </c>
      <c r="C2860" s="0" t="n">
        <v>42</v>
      </c>
      <c r="D2860" s="0" t="n">
        <v>4615</v>
      </c>
      <c r="E2860" s="0" t="n">
        <f aca="false">VLOOKUP(B2860,'MSA-Lookup'!$H$2:$I$86,2)</f>
        <v>360</v>
      </c>
      <c r="F2860" s="0" t="n">
        <f aca="false">IF(C2860&gt;1,IF(C2860&lt;99,VLOOKUP(C2860,'MSA-Lookup'!$H$1:$I$86,2),C2860),C2860)</f>
        <v>360</v>
      </c>
      <c r="G2860" s="0" t="n">
        <f aca="false">VLOOKUP(E2860,'MSA-Lookup'!$AA$1:$AB$25,2)</f>
        <v>4472</v>
      </c>
      <c r="H2860" s="0" t="n">
        <f aca="false">IF(C2860&gt;1,IF(C2860&lt;99,VLOOKUP(F2860,'MSA-Lookup'!$AA$1:$AB$25,2),C2860),C2860)</f>
        <v>4472</v>
      </c>
    </row>
    <row r="2861" customFormat="false" ht="12.75" hidden="false" customHeight="false" outlineLevel="0" collapsed="false">
      <c r="A2861" s="0" t="n">
        <f aca="false">B2861*1000+C2861</f>
        <v>45043</v>
      </c>
      <c r="B2861" s="0" t="n">
        <v>45</v>
      </c>
      <c r="C2861" s="0" t="n">
        <v>43</v>
      </c>
      <c r="D2861" s="0" t="n">
        <v>4940</v>
      </c>
      <c r="E2861" s="0" t="n">
        <f aca="false">VLOOKUP(B2861,'MSA-Lookup'!$H$2:$I$86,2)</f>
        <v>360</v>
      </c>
      <c r="F2861" s="0" t="n">
        <f aca="false">IF(C2861&gt;1,IF(C2861&lt;99,VLOOKUP(C2861,'MSA-Lookup'!$H$1:$I$86,2),C2861),C2861)</f>
        <v>360</v>
      </c>
      <c r="G2861" s="0" t="n">
        <f aca="false">VLOOKUP(E2861,'MSA-Lookup'!$AA$1:$AB$25,2)</f>
        <v>4472</v>
      </c>
      <c r="H2861" s="0" t="n">
        <f aca="false">IF(C2861&gt;1,IF(C2861&lt;99,VLOOKUP(F2861,'MSA-Lookup'!$AA$1:$AB$25,2),C2861),C2861)</f>
        <v>4472</v>
      </c>
    </row>
    <row r="2862" customFormat="false" ht="12.75" hidden="false" customHeight="false" outlineLevel="0" collapsed="false">
      <c r="A2862" s="0" t="n">
        <f aca="false">B2862*1000+C2862</f>
        <v>45044</v>
      </c>
      <c r="B2862" s="0" t="n">
        <v>45</v>
      </c>
      <c r="C2862" s="0" t="n">
        <v>44</v>
      </c>
      <c r="D2862" s="0" t="n">
        <v>8801</v>
      </c>
      <c r="E2862" s="0" t="n">
        <f aca="false">VLOOKUP(B2862,'MSA-Lookup'!$H$2:$I$86,2)</f>
        <v>360</v>
      </c>
      <c r="F2862" s="0" t="n">
        <f aca="false">IF(C2862&gt;1,IF(C2862&lt;99,VLOOKUP(C2862,'MSA-Lookup'!$H$1:$I$86,2),C2862),C2862)</f>
        <v>360</v>
      </c>
      <c r="G2862" s="0" t="n">
        <f aca="false">VLOOKUP(E2862,'MSA-Lookup'!$AA$1:$AB$25,2)</f>
        <v>4472</v>
      </c>
      <c r="H2862" s="0" t="n">
        <f aca="false">IF(C2862&gt;1,IF(C2862&lt;99,VLOOKUP(F2862,'MSA-Lookup'!$AA$1:$AB$25,2),C2862),C2862)</f>
        <v>4472</v>
      </c>
    </row>
    <row r="2863" customFormat="false" ht="12.75" hidden="false" customHeight="false" outlineLevel="0" collapsed="false">
      <c r="A2863" s="0" t="n">
        <f aca="false">B2863*1000+C2863</f>
        <v>45045</v>
      </c>
      <c r="B2863" s="0" t="n">
        <v>45</v>
      </c>
      <c r="C2863" s="0" t="n">
        <v>45</v>
      </c>
      <c r="D2863" s="0" t="n">
        <v>15288</v>
      </c>
      <c r="E2863" s="0" t="n">
        <f aca="false">VLOOKUP(B2863,'MSA-Lookup'!$H$2:$I$86,2)</f>
        <v>360</v>
      </c>
      <c r="F2863" s="0" t="n">
        <f aca="false">IF(C2863&gt;1,IF(C2863&lt;99,VLOOKUP(C2863,'MSA-Lookup'!$H$1:$I$86,2),C2863),C2863)</f>
        <v>360</v>
      </c>
      <c r="G2863" s="0" t="n">
        <f aca="false">VLOOKUP(E2863,'MSA-Lookup'!$AA$1:$AB$25,2)</f>
        <v>4472</v>
      </c>
      <c r="H2863" s="0" t="n">
        <f aca="false">IF(C2863&gt;1,IF(C2863&lt;99,VLOOKUP(F2863,'MSA-Lookup'!$AA$1:$AB$25,2),C2863),C2863)</f>
        <v>4472</v>
      </c>
    </row>
    <row r="2864" customFormat="false" ht="12.75" hidden="false" customHeight="false" outlineLevel="0" collapsed="false">
      <c r="A2864" s="0" t="n">
        <f aca="false">B2864*1000+C2864</f>
        <v>45046</v>
      </c>
      <c r="B2864" s="0" t="n">
        <v>45</v>
      </c>
      <c r="C2864" s="0" t="n">
        <v>46</v>
      </c>
      <c r="D2864" s="0" t="n">
        <v>1092</v>
      </c>
      <c r="E2864" s="0" t="n">
        <f aca="false">VLOOKUP(B2864,'MSA-Lookup'!$H$2:$I$86,2)</f>
        <v>360</v>
      </c>
      <c r="F2864" s="0" t="n">
        <f aca="false">IF(C2864&gt;1,IF(C2864&lt;99,VLOOKUP(C2864,'MSA-Lookup'!$H$1:$I$86,2),C2864),C2864)</f>
        <v>360</v>
      </c>
      <c r="G2864" s="0" t="n">
        <f aca="false">VLOOKUP(E2864,'MSA-Lookup'!$AA$1:$AB$25,2)</f>
        <v>4472</v>
      </c>
      <c r="H2864" s="0" t="n">
        <f aca="false">IF(C2864&gt;1,IF(C2864&lt;99,VLOOKUP(F2864,'MSA-Lookup'!$AA$1:$AB$25,2),C2864),C2864)</f>
        <v>4472</v>
      </c>
    </row>
    <row r="2865" customFormat="false" ht="12.75" hidden="false" customHeight="false" outlineLevel="0" collapsed="false">
      <c r="A2865" s="0" t="n">
        <f aca="false">B2865*1000+C2865</f>
        <v>45047</v>
      </c>
      <c r="B2865" s="0" t="n">
        <v>45</v>
      </c>
      <c r="C2865" s="0" t="n">
        <v>47</v>
      </c>
      <c r="D2865" s="0" t="n">
        <v>416</v>
      </c>
      <c r="E2865" s="0" t="n">
        <f aca="false">VLOOKUP(B2865,'MSA-Lookup'!$H$2:$I$86,2)</f>
        <v>360</v>
      </c>
      <c r="F2865" s="0" t="n">
        <f aca="false">IF(C2865&gt;1,IF(C2865&lt;99,VLOOKUP(C2865,'MSA-Lookup'!$H$1:$I$86,2),C2865),C2865)</f>
        <v>360</v>
      </c>
      <c r="G2865" s="0" t="n">
        <f aca="false">VLOOKUP(E2865,'MSA-Lookup'!$AA$1:$AB$25,2)</f>
        <v>4472</v>
      </c>
      <c r="H2865" s="0" t="n">
        <f aca="false">IF(C2865&gt;1,IF(C2865&lt;99,VLOOKUP(F2865,'MSA-Lookup'!$AA$1:$AB$25,2),C2865),C2865)</f>
        <v>4472</v>
      </c>
    </row>
    <row r="2866" customFormat="false" ht="12.75" hidden="false" customHeight="false" outlineLevel="0" collapsed="false">
      <c r="A2866" s="0" t="n">
        <f aca="false">B2866*1000+C2866</f>
        <v>45048</v>
      </c>
      <c r="B2866" s="0" t="n">
        <v>45</v>
      </c>
      <c r="C2866" s="0" t="n">
        <v>48</v>
      </c>
      <c r="D2866" s="0" t="n">
        <v>21775</v>
      </c>
      <c r="E2866" s="0" t="n">
        <f aca="false">VLOOKUP(B2866,'MSA-Lookup'!$H$2:$I$86,2)</f>
        <v>360</v>
      </c>
      <c r="F2866" s="0" t="n">
        <f aca="false">IF(C2866&gt;1,IF(C2866&lt;99,VLOOKUP(C2866,'MSA-Lookup'!$H$1:$I$86,2),C2866),C2866)</f>
        <v>360</v>
      </c>
      <c r="G2866" s="0" t="n">
        <f aca="false">VLOOKUP(E2866,'MSA-Lookup'!$AA$1:$AB$25,2)</f>
        <v>4472</v>
      </c>
      <c r="H2866" s="0" t="n">
        <f aca="false">IF(C2866&gt;1,IF(C2866&lt;99,VLOOKUP(F2866,'MSA-Lookup'!$AA$1:$AB$25,2),C2866),C2866)</f>
        <v>4472</v>
      </c>
    </row>
    <row r="2867" customFormat="false" ht="12.75" hidden="false" customHeight="false" outlineLevel="0" collapsed="false">
      <c r="A2867" s="0" t="n">
        <f aca="false">B2867*1000+C2867</f>
        <v>45049</v>
      </c>
      <c r="B2867" s="0" t="n">
        <v>45</v>
      </c>
      <c r="C2867" s="0" t="n">
        <v>49</v>
      </c>
      <c r="D2867" s="0" t="n">
        <v>0</v>
      </c>
      <c r="E2867" s="0" t="n">
        <f aca="false">VLOOKUP(B2867,'MSA-Lookup'!$H$2:$I$86,2)</f>
        <v>360</v>
      </c>
      <c r="F2867" s="0" t="n">
        <f aca="false">IF(C2867&gt;1,IF(C2867&lt;99,VLOOKUP(C2867,'MSA-Lookup'!$H$1:$I$86,2),C2867),C2867)</f>
        <v>7400</v>
      </c>
      <c r="G2867" s="0" t="n">
        <f aca="false">VLOOKUP(E2867,'MSA-Lookup'!$AA$1:$AB$25,2)</f>
        <v>4472</v>
      </c>
      <c r="H2867" s="0" t="n">
        <f aca="false">IF(C2867&gt;1,IF(C2867&lt;99,VLOOKUP(F2867,'MSA-Lookup'!$AA$1:$AB$25,2),C2867),C2867)</f>
        <v>7362</v>
      </c>
    </row>
    <row r="2868" customFormat="false" ht="12.75" hidden="false" customHeight="false" outlineLevel="0" collapsed="false">
      <c r="A2868" s="0" t="n">
        <f aca="false">B2868*1000+C2868</f>
        <v>45050</v>
      </c>
      <c r="B2868" s="0" t="n">
        <v>45</v>
      </c>
      <c r="C2868" s="0" t="n">
        <v>50</v>
      </c>
      <c r="D2868" s="0" t="n">
        <v>0</v>
      </c>
      <c r="E2868" s="0" t="n">
        <f aca="false">VLOOKUP(B2868,'MSA-Lookup'!$H$2:$I$86,2)</f>
        <v>360</v>
      </c>
      <c r="F2868" s="0" t="n">
        <f aca="false">IF(C2868&gt;1,IF(C2868&lt;99,VLOOKUP(C2868,'MSA-Lookup'!$H$1:$I$86,2),C2868),C2868)</f>
        <v>7400</v>
      </c>
      <c r="G2868" s="0" t="n">
        <f aca="false">VLOOKUP(E2868,'MSA-Lookup'!$AA$1:$AB$25,2)</f>
        <v>4472</v>
      </c>
      <c r="H2868" s="0" t="n">
        <f aca="false">IF(C2868&gt;1,IF(C2868&lt;99,VLOOKUP(F2868,'MSA-Lookup'!$AA$1:$AB$25,2),C2868),C2868)</f>
        <v>7362</v>
      </c>
    </row>
    <row r="2869" customFormat="false" ht="12.75" hidden="false" customHeight="false" outlineLevel="0" collapsed="false">
      <c r="A2869" s="0" t="n">
        <f aca="false">B2869*1000+C2869</f>
        <v>45051</v>
      </c>
      <c r="B2869" s="0" t="n">
        <v>45</v>
      </c>
      <c r="C2869" s="0" t="n">
        <v>51</v>
      </c>
      <c r="D2869" s="0" t="n">
        <v>0</v>
      </c>
      <c r="E2869" s="0" t="n">
        <f aca="false">VLOOKUP(B2869,'MSA-Lookup'!$H$2:$I$86,2)</f>
        <v>360</v>
      </c>
      <c r="F2869" s="0" t="n">
        <f aca="false">IF(C2869&gt;1,IF(C2869&lt;99,VLOOKUP(C2869,'MSA-Lookup'!$H$1:$I$86,2),C2869),C2869)</f>
        <v>7400</v>
      </c>
      <c r="G2869" s="0" t="n">
        <f aca="false">VLOOKUP(E2869,'MSA-Lookup'!$AA$1:$AB$25,2)</f>
        <v>4472</v>
      </c>
      <c r="H2869" s="0" t="n">
        <f aca="false">IF(C2869&gt;1,IF(C2869&lt;99,VLOOKUP(F2869,'MSA-Lookup'!$AA$1:$AB$25,2),C2869),C2869)</f>
        <v>7362</v>
      </c>
    </row>
    <row r="2870" customFormat="false" ht="12.75" hidden="false" customHeight="false" outlineLevel="0" collapsed="false">
      <c r="A2870" s="0" t="n">
        <f aca="false">B2870*1000+C2870</f>
        <v>45052</v>
      </c>
      <c r="B2870" s="0" t="n">
        <v>45</v>
      </c>
      <c r="C2870" s="0" t="n">
        <v>52</v>
      </c>
      <c r="D2870" s="0" t="n">
        <v>0</v>
      </c>
      <c r="E2870" s="0" t="n">
        <f aca="false">VLOOKUP(B2870,'MSA-Lookup'!$H$2:$I$86,2)</f>
        <v>360</v>
      </c>
      <c r="F2870" s="0" t="n">
        <f aca="false">IF(C2870&gt;1,IF(C2870&lt;99,VLOOKUP(C2870,'MSA-Lookup'!$H$1:$I$86,2),C2870),C2870)</f>
        <v>4480</v>
      </c>
      <c r="G2870" s="0" t="n">
        <f aca="false">VLOOKUP(E2870,'MSA-Lookup'!$AA$1:$AB$25,2)</f>
        <v>4472</v>
      </c>
      <c r="H2870" s="0" t="n">
        <f aca="false">IF(C2870&gt;1,IF(C2870&lt;99,VLOOKUP(F2870,'MSA-Lookup'!$AA$1:$AB$25,2),C2870),C2870)</f>
        <v>4472</v>
      </c>
    </row>
    <row r="2871" customFormat="false" ht="12.75" hidden="false" customHeight="false" outlineLevel="0" collapsed="false">
      <c r="A2871" s="0" t="n">
        <f aca="false">B2871*1000+C2871</f>
        <v>45053</v>
      </c>
      <c r="B2871" s="0" t="n">
        <v>45</v>
      </c>
      <c r="C2871" s="0" t="n">
        <v>53</v>
      </c>
      <c r="D2871" s="0" t="n">
        <v>117</v>
      </c>
      <c r="E2871" s="0" t="n">
        <f aca="false">VLOOKUP(B2871,'MSA-Lookup'!$H$2:$I$86,2)</f>
        <v>360</v>
      </c>
      <c r="F2871" s="0" t="n">
        <f aca="false">IF(C2871&gt;1,IF(C2871&lt;99,VLOOKUP(C2871,'MSA-Lookup'!$H$1:$I$86,2),C2871),C2871)</f>
        <v>4480</v>
      </c>
      <c r="G2871" s="0" t="n">
        <f aca="false">VLOOKUP(E2871,'MSA-Lookup'!$AA$1:$AB$25,2)</f>
        <v>4472</v>
      </c>
      <c r="H2871" s="0" t="n">
        <f aca="false">IF(C2871&gt;1,IF(C2871&lt;99,VLOOKUP(F2871,'MSA-Lookup'!$AA$1:$AB$25,2),C2871),C2871)</f>
        <v>4472</v>
      </c>
    </row>
    <row r="2872" customFormat="false" ht="12.75" hidden="false" customHeight="false" outlineLevel="0" collapsed="false">
      <c r="A2872" s="0" t="n">
        <f aca="false">B2872*1000+C2872</f>
        <v>45054</v>
      </c>
      <c r="B2872" s="0" t="n">
        <v>45</v>
      </c>
      <c r="C2872" s="0" t="n">
        <v>54</v>
      </c>
      <c r="D2872" s="0" t="n">
        <v>0</v>
      </c>
      <c r="E2872" s="0" t="n">
        <f aca="false">VLOOKUP(B2872,'MSA-Lookup'!$H$2:$I$86,2)</f>
        <v>360</v>
      </c>
      <c r="F2872" s="0" t="n">
        <f aca="false">IF(C2872&gt;1,IF(C2872&lt;99,VLOOKUP(C2872,'MSA-Lookup'!$H$1:$I$86,2),C2872),C2872)</f>
        <v>4480</v>
      </c>
      <c r="G2872" s="0" t="n">
        <f aca="false">VLOOKUP(E2872,'MSA-Lookup'!$AA$1:$AB$25,2)</f>
        <v>4472</v>
      </c>
      <c r="H2872" s="0" t="n">
        <f aca="false">IF(C2872&gt;1,IF(C2872&lt;99,VLOOKUP(F2872,'MSA-Lookup'!$AA$1:$AB$25,2),C2872),C2872)</f>
        <v>4472</v>
      </c>
    </row>
    <row r="2873" customFormat="false" ht="12.75" hidden="false" customHeight="false" outlineLevel="0" collapsed="false">
      <c r="A2873" s="0" t="n">
        <f aca="false">B2873*1000+C2873</f>
        <v>45055</v>
      </c>
      <c r="B2873" s="0" t="n">
        <v>45</v>
      </c>
      <c r="C2873" s="0" t="n">
        <v>55</v>
      </c>
      <c r="D2873" s="0" t="n">
        <v>0</v>
      </c>
      <c r="E2873" s="0" t="n">
        <f aca="false">VLOOKUP(B2873,'MSA-Lookup'!$H$2:$I$86,2)</f>
        <v>360</v>
      </c>
      <c r="F2873" s="0" t="n">
        <f aca="false">IF(C2873&gt;1,IF(C2873&lt;99,VLOOKUP(C2873,'MSA-Lookup'!$H$1:$I$86,2),C2873),C2873)</f>
        <v>4480</v>
      </c>
      <c r="G2873" s="0" t="n">
        <f aca="false">VLOOKUP(E2873,'MSA-Lookup'!$AA$1:$AB$25,2)</f>
        <v>4472</v>
      </c>
      <c r="H2873" s="0" t="n">
        <f aca="false">IF(C2873&gt;1,IF(C2873&lt;99,VLOOKUP(F2873,'MSA-Lookup'!$AA$1:$AB$25,2),C2873),C2873)</f>
        <v>4472</v>
      </c>
    </row>
    <row r="2874" customFormat="false" ht="12.75" hidden="false" customHeight="false" outlineLevel="0" collapsed="false">
      <c r="A2874" s="0" t="n">
        <f aca="false">B2874*1000+C2874</f>
        <v>45056</v>
      </c>
      <c r="B2874" s="0" t="n">
        <v>45</v>
      </c>
      <c r="C2874" s="0" t="n">
        <v>56</v>
      </c>
      <c r="D2874" s="0" t="n">
        <v>0</v>
      </c>
      <c r="E2874" s="0" t="n">
        <f aca="false">VLOOKUP(B2874,'MSA-Lookup'!$H$2:$I$86,2)</f>
        <v>360</v>
      </c>
      <c r="F2874" s="0" t="n">
        <f aca="false">IF(C2874&gt;1,IF(C2874&lt;99,VLOOKUP(C2874,'MSA-Lookup'!$H$1:$I$86,2),C2874),C2874)</f>
        <v>4480</v>
      </c>
      <c r="G2874" s="0" t="n">
        <f aca="false">VLOOKUP(E2874,'MSA-Lookup'!$AA$1:$AB$25,2)</f>
        <v>4472</v>
      </c>
      <c r="H2874" s="0" t="n">
        <f aca="false">IF(C2874&gt;1,IF(C2874&lt;99,VLOOKUP(F2874,'MSA-Lookup'!$AA$1:$AB$25,2),C2874),C2874)</f>
        <v>4472</v>
      </c>
    </row>
    <row r="2875" customFormat="false" ht="12.75" hidden="false" customHeight="false" outlineLevel="0" collapsed="false">
      <c r="A2875" s="0" t="n">
        <f aca="false">B2875*1000+C2875</f>
        <v>45057</v>
      </c>
      <c r="B2875" s="0" t="n">
        <v>45</v>
      </c>
      <c r="C2875" s="0" t="n">
        <v>57</v>
      </c>
      <c r="D2875" s="0" t="n">
        <v>0</v>
      </c>
      <c r="E2875" s="0" t="n">
        <f aca="false">VLOOKUP(B2875,'MSA-Lookup'!$H$2:$I$86,2)</f>
        <v>360</v>
      </c>
      <c r="F2875" s="0" t="n">
        <f aca="false">IF(C2875&gt;1,IF(C2875&lt;99,VLOOKUP(C2875,'MSA-Lookup'!$H$1:$I$86,2),C2875),C2875)</f>
        <v>4480</v>
      </c>
      <c r="G2875" s="0" t="n">
        <f aca="false">VLOOKUP(E2875,'MSA-Lookup'!$AA$1:$AB$25,2)</f>
        <v>4472</v>
      </c>
      <c r="H2875" s="0" t="n">
        <f aca="false">IF(C2875&gt;1,IF(C2875&lt;99,VLOOKUP(F2875,'MSA-Lookup'!$AA$1:$AB$25,2),C2875),C2875)</f>
        <v>4472</v>
      </c>
    </row>
    <row r="2876" customFormat="false" ht="12.75" hidden="false" customHeight="false" outlineLevel="0" collapsed="false">
      <c r="A2876" s="0" t="n">
        <f aca="false">B2876*1000+C2876</f>
        <v>45058</v>
      </c>
      <c r="B2876" s="0" t="n">
        <v>45</v>
      </c>
      <c r="C2876" s="0" t="n">
        <v>58</v>
      </c>
      <c r="D2876" s="0" t="n">
        <v>182</v>
      </c>
      <c r="E2876" s="0" t="n">
        <f aca="false">VLOOKUP(B2876,'MSA-Lookup'!$H$2:$I$86,2)</f>
        <v>360</v>
      </c>
      <c r="F2876" s="0" t="n">
        <f aca="false">IF(C2876&gt;1,IF(C2876&lt;99,VLOOKUP(C2876,'MSA-Lookup'!$H$1:$I$86,2),C2876),C2876)</f>
        <v>4480</v>
      </c>
      <c r="G2876" s="0" t="n">
        <f aca="false">VLOOKUP(E2876,'MSA-Lookup'!$AA$1:$AB$25,2)</f>
        <v>4472</v>
      </c>
      <c r="H2876" s="0" t="n">
        <f aca="false">IF(C2876&gt;1,IF(C2876&lt;99,VLOOKUP(F2876,'MSA-Lookup'!$AA$1:$AB$25,2),C2876),C2876)</f>
        <v>4472</v>
      </c>
    </row>
    <row r="2877" customFormat="false" ht="12.75" hidden="false" customHeight="false" outlineLevel="0" collapsed="false">
      <c r="A2877" s="0" t="n">
        <f aca="false">B2877*1000+C2877</f>
        <v>45059</v>
      </c>
      <c r="B2877" s="0" t="n">
        <v>45</v>
      </c>
      <c r="C2877" s="0" t="n">
        <v>59</v>
      </c>
      <c r="D2877" s="0" t="n">
        <v>0</v>
      </c>
      <c r="E2877" s="0" t="n">
        <f aca="false">VLOOKUP(B2877,'MSA-Lookup'!$H$2:$I$86,2)</f>
        <v>360</v>
      </c>
      <c r="F2877" s="0" t="n">
        <f aca="false">IF(C2877&gt;1,IF(C2877&lt;99,VLOOKUP(C2877,'MSA-Lookup'!$H$1:$I$86,2),C2877),C2877)</f>
        <v>4480</v>
      </c>
      <c r="G2877" s="0" t="n">
        <f aca="false">VLOOKUP(E2877,'MSA-Lookup'!$AA$1:$AB$25,2)</f>
        <v>4472</v>
      </c>
      <c r="H2877" s="0" t="n">
        <f aca="false">IF(C2877&gt;1,IF(C2877&lt;99,VLOOKUP(F2877,'MSA-Lookup'!$AA$1:$AB$25,2),C2877),C2877)</f>
        <v>4472</v>
      </c>
    </row>
    <row r="2878" customFormat="false" ht="12.75" hidden="false" customHeight="false" outlineLevel="0" collapsed="false">
      <c r="A2878" s="0" t="n">
        <f aca="false">B2878*1000+C2878</f>
        <v>45060</v>
      </c>
      <c r="B2878" s="0" t="n">
        <v>45</v>
      </c>
      <c r="C2878" s="0" t="n">
        <v>60</v>
      </c>
      <c r="D2878" s="0" t="n">
        <v>117</v>
      </c>
      <c r="E2878" s="0" t="n">
        <f aca="false">VLOOKUP(B2878,'MSA-Lookup'!$H$2:$I$86,2)</f>
        <v>360</v>
      </c>
      <c r="F2878" s="0" t="n">
        <f aca="false">IF(C2878&gt;1,IF(C2878&lt;99,VLOOKUP(C2878,'MSA-Lookup'!$H$1:$I$86,2),C2878),C2878)</f>
        <v>4480</v>
      </c>
      <c r="G2878" s="0" t="n">
        <f aca="false">VLOOKUP(E2878,'MSA-Lookup'!$AA$1:$AB$25,2)</f>
        <v>4472</v>
      </c>
      <c r="H2878" s="0" t="n">
        <f aca="false">IF(C2878&gt;1,IF(C2878&lt;99,VLOOKUP(F2878,'MSA-Lookup'!$AA$1:$AB$25,2),C2878),C2878)</f>
        <v>4472</v>
      </c>
    </row>
    <row r="2879" customFormat="false" ht="12.75" hidden="false" customHeight="false" outlineLevel="0" collapsed="false">
      <c r="A2879" s="0" t="n">
        <f aca="false">B2879*1000+C2879</f>
        <v>45061</v>
      </c>
      <c r="B2879" s="0" t="n">
        <v>45</v>
      </c>
      <c r="C2879" s="0" t="n">
        <v>61</v>
      </c>
      <c r="D2879" s="0" t="n">
        <v>78</v>
      </c>
      <c r="E2879" s="0" t="n">
        <f aca="false">VLOOKUP(B2879,'MSA-Lookup'!$H$2:$I$86,2)</f>
        <v>360</v>
      </c>
      <c r="F2879" s="0" t="n">
        <f aca="false">IF(C2879&gt;1,IF(C2879&lt;99,VLOOKUP(C2879,'MSA-Lookup'!$H$1:$I$86,2),C2879),C2879)</f>
        <v>4480</v>
      </c>
      <c r="G2879" s="0" t="n">
        <f aca="false">VLOOKUP(E2879,'MSA-Lookup'!$AA$1:$AB$25,2)</f>
        <v>4472</v>
      </c>
      <c r="H2879" s="0" t="n">
        <f aca="false">IF(C2879&gt;1,IF(C2879&lt;99,VLOOKUP(F2879,'MSA-Lookup'!$AA$1:$AB$25,2),C2879),C2879)</f>
        <v>4472</v>
      </c>
    </row>
    <row r="2880" customFormat="false" ht="12.75" hidden="false" customHeight="false" outlineLevel="0" collapsed="false">
      <c r="A2880" s="0" t="n">
        <f aca="false">B2880*1000+C2880</f>
        <v>45062</v>
      </c>
      <c r="B2880" s="0" t="n">
        <v>45</v>
      </c>
      <c r="C2880" s="0" t="n">
        <v>62</v>
      </c>
      <c r="D2880" s="0" t="n">
        <v>117</v>
      </c>
      <c r="E2880" s="0" t="n">
        <f aca="false">VLOOKUP(B2880,'MSA-Lookup'!$H$2:$I$86,2)</f>
        <v>360</v>
      </c>
      <c r="F2880" s="0" t="n">
        <f aca="false">IF(C2880&gt;1,IF(C2880&lt;99,VLOOKUP(C2880,'MSA-Lookup'!$H$1:$I$86,2),C2880),C2880)</f>
        <v>4480</v>
      </c>
      <c r="G2880" s="0" t="n">
        <f aca="false">VLOOKUP(E2880,'MSA-Lookup'!$AA$1:$AB$25,2)</f>
        <v>4472</v>
      </c>
      <c r="H2880" s="0" t="n">
        <f aca="false">IF(C2880&gt;1,IF(C2880&lt;99,VLOOKUP(F2880,'MSA-Lookup'!$AA$1:$AB$25,2),C2880),C2880)</f>
        <v>4472</v>
      </c>
    </row>
    <row r="2881" customFormat="false" ht="12.75" hidden="false" customHeight="false" outlineLevel="0" collapsed="false">
      <c r="A2881" s="0" t="n">
        <f aca="false">B2881*1000+C2881</f>
        <v>45063</v>
      </c>
      <c r="B2881" s="0" t="n">
        <v>45</v>
      </c>
      <c r="C2881" s="0" t="n">
        <v>63</v>
      </c>
      <c r="D2881" s="0" t="n">
        <v>78</v>
      </c>
      <c r="E2881" s="0" t="n">
        <f aca="false">VLOOKUP(B2881,'MSA-Lookup'!$H$2:$I$86,2)</f>
        <v>360</v>
      </c>
      <c r="F2881" s="0" t="n">
        <f aca="false">IF(C2881&gt;1,IF(C2881&lt;99,VLOOKUP(C2881,'MSA-Lookup'!$H$1:$I$86,2),C2881),C2881)</f>
        <v>4480</v>
      </c>
      <c r="G2881" s="0" t="n">
        <f aca="false">VLOOKUP(E2881,'MSA-Lookup'!$AA$1:$AB$25,2)</f>
        <v>4472</v>
      </c>
      <c r="H2881" s="0" t="n">
        <f aca="false">IF(C2881&gt;1,IF(C2881&lt;99,VLOOKUP(F2881,'MSA-Lookup'!$AA$1:$AB$25,2),C2881),C2881)</f>
        <v>4472</v>
      </c>
    </row>
    <row r="2882" customFormat="false" ht="12.75" hidden="false" customHeight="false" outlineLevel="0" collapsed="false">
      <c r="A2882" s="0" t="n">
        <f aca="false">B2882*1000+C2882</f>
        <v>45064</v>
      </c>
      <c r="B2882" s="0" t="n">
        <v>45</v>
      </c>
      <c r="C2882" s="0" t="n">
        <v>64</v>
      </c>
      <c r="D2882" s="0" t="n">
        <v>2236</v>
      </c>
      <c r="E2882" s="0" t="n">
        <f aca="false">VLOOKUP(B2882,'MSA-Lookup'!$H$2:$I$86,2)</f>
        <v>360</v>
      </c>
      <c r="F2882" s="0" t="n">
        <f aca="false">IF(C2882&gt;1,IF(C2882&lt;99,VLOOKUP(C2882,'MSA-Lookup'!$H$1:$I$86,2),C2882),C2882)</f>
        <v>4480</v>
      </c>
      <c r="G2882" s="0" t="n">
        <f aca="false">VLOOKUP(E2882,'MSA-Lookup'!$AA$1:$AB$25,2)</f>
        <v>4472</v>
      </c>
      <c r="H2882" s="0" t="n">
        <f aca="false">IF(C2882&gt;1,IF(C2882&lt;99,VLOOKUP(F2882,'MSA-Lookup'!$AA$1:$AB$25,2),C2882),C2882)</f>
        <v>4472</v>
      </c>
    </row>
    <row r="2883" customFormat="false" ht="12.75" hidden="false" customHeight="false" outlineLevel="0" collapsed="false">
      <c r="A2883" s="0" t="n">
        <f aca="false">B2883*1000+C2883</f>
        <v>45065</v>
      </c>
      <c r="B2883" s="0" t="n">
        <v>45</v>
      </c>
      <c r="C2883" s="0" t="n">
        <v>65</v>
      </c>
      <c r="D2883" s="0" t="n">
        <v>767</v>
      </c>
      <c r="E2883" s="0" t="n">
        <f aca="false">VLOOKUP(B2883,'MSA-Lookup'!$H$2:$I$86,2)</f>
        <v>360</v>
      </c>
      <c r="F2883" s="0" t="n">
        <f aca="false">IF(C2883&gt;1,IF(C2883&lt;99,VLOOKUP(C2883,'MSA-Lookup'!$H$1:$I$86,2),C2883),C2883)</f>
        <v>4480</v>
      </c>
      <c r="G2883" s="0" t="n">
        <f aca="false">VLOOKUP(E2883,'MSA-Lookup'!$AA$1:$AB$25,2)</f>
        <v>4472</v>
      </c>
      <c r="H2883" s="0" t="n">
        <f aca="false">IF(C2883&gt;1,IF(C2883&lt;99,VLOOKUP(F2883,'MSA-Lookup'!$AA$1:$AB$25,2),C2883),C2883)</f>
        <v>4472</v>
      </c>
    </row>
    <row r="2884" customFormat="false" ht="12.75" hidden="false" customHeight="false" outlineLevel="0" collapsed="false">
      <c r="A2884" s="0" t="n">
        <f aca="false">B2884*1000+C2884</f>
        <v>45066</v>
      </c>
      <c r="B2884" s="0" t="n">
        <v>45</v>
      </c>
      <c r="C2884" s="0" t="n">
        <v>66</v>
      </c>
      <c r="D2884" s="0" t="n">
        <v>988</v>
      </c>
      <c r="E2884" s="0" t="n">
        <f aca="false">VLOOKUP(B2884,'MSA-Lookup'!$H$2:$I$86,2)</f>
        <v>360</v>
      </c>
      <c r="F2884" s="0" t="n">
        <f aca="false">IF(C2884&gt;1,IF(C2884&lt;99,VLOOKUP(C2884,'MSA-Lookup'!$H$1:$I$86,2),C2884),C2884)</f>
        <v>4480</v>
      </c>
      <c r="G2884" s="0" t="n">
        <f aca="false">VLOOKUP(E2884,'MSA-Lookup'!$AA$1:$AB$25,2)</f>
        <v>4472</v>
      </c>
      <c r="H2884" s="0" t="n">
        <f aca="false">IF(C2884&gt;1,IF(C2884&lt;99,VLOOKUP(F2884,'MSA-Lookup'!$AA$1:$AB$25,2),C2884),C2884)</f>
        <v>4472</v>
      </c>
    </row>
    <row r="2885" customFormat="false" ht="12.75" hidden="false" customHeight="false" outlineLevel="0" collapsed="false">
      <c r="A2885" s="0" t="n">
        <f aca="false">B2885*1000+C2885</f>
        <v>45067</v>
      </c>
      <c r="B2885" s="0" t="n">
        <v>45</v>
      </c>
      <c r="C2885" s="0" t="n">
        <v>67</v>
      </c>
      <c r="D2885" s="0" t="n">
        <v>0</v>
      </c>
      <c r="E2885" s="0" t="n">
        <f aca="false">VLOOKUP(B2885,'MSA-Lookup'!$H$2:$I$86,2)</f>
        <v>360</v>
      </c>
      <c r="F2885" s="0" t="n">
        <f aca="false">IF(C2885&gt;1,IF(C2885&lt;99,VLOOKUP(C2885,'MSA-Lookup'!$H$1:$I$86,2),C2885),C2885)</f>
        <v>6000</v>
      </c>
      <c r="G2885" s="0" t="n">
        <f aca="false">VLOOKUP(E2885,'MSA-Lookup'!$AA$1:$AB$25,2)</f>
        <v>4472</v>
      </c>
      <c r="H2885" s="0" t="n">
        <f aca="false">IF(C2885&gt;1,IF(C2885&lt;99,VLOOKUP(F2885,'MSA-Lookup'!$AA$1:$AB$25,2),C2885),C2885)</f>
        <v>4472</v>
      </c>
    </row>
    <row r="2886" customFormat="false" ht="12.75" hidden="false" customHeight="false" outlineLevel="0" collapsed="false">
      <c r="A2886" s="0" t="n">
        <f aca="false">B2886*1000+C2886</f>
        <v>45068</v>
      </c>
      <c r="B2886" s="0" t="n">
        <v>45</v>
      </c>
      <c r="C2886" s="0" t="n">
        <v>68</v>
      </c>
      <c r="D2886" s="0" t="n">
        <v>0</v>
      </c>
      <c r="E2886" s="0" t="n">
        <f aca="false">VLOOKUP(B2886,'MSA-Lookup'!$H$2:$I$86,2)</f>
        <v>360</v>
      </c>
      <c r="F2886" s="0" t="n">
        <f aca="false">IF(C2886&gt;1,IF(C2886&lt;99,VLOOKUP(C2886,'MSA-Lookup'!$H$1:$I$86,2),C2886),C2886)</f>
        <v>6780</v>
      </c>
      <c r="G2886" s="0" t="n">
        <f aca="false">VLOOKUP(E2886,'MSA-Lookup'!$AA$1:$AB$25,2)</f>
        <v>4472</v>
      </c>
      <c r="H2886" s="0" t="n">
        <f aca="false">IF(C2886&gt;1,IF(C2886&lt;99,VLOOKUP(F2886,'MSA-Lookup'!$AA$1:$AB$25,2),C2886),C2886)</f>
        <v>4472</v>
      </c>
    </row>
    <row r="2887" customFormat="false" ht="12.75" hidden="false" customHeight="false" outlineLevel="0" collapsed="false">
      <c r="A2887" s="0" t="n">
        <f aca="false">B2887*1000+C2887</f>
        <v>45069</v>
      </c>
      <c r="B2887" s="0" t="n">
        <v>45</v>
      </c>
      <c r="C2887" s="0" t="n">
        <v>69</v>
      </c>
      <c r="D2887" s="0" t="n">
        <v>0</v>
      </c>
      <c r="E2887" s="0" t="n">
        <f aca="false">VLOOKUP(B2887,'MSA-Lookup'!$H$2:$I$86,2)</f>
        <v>360</v>
      </c>
      <c r="F2887" s="0" t="n">
        <f aca="false">IF(C2887&gt;1,IF(C2887&lt;99,VLOOKUP(C2887,'MSA-Lookup'!$H$1:$I$86,2),C2887),C2887)</f>
        <v>6780</v>
      </c>
      <c r="G2887" s="0" t="n">
        <f aca="false">VLOOKUP(E2887,'MSA-Lookup'!$AA$1:$AB$25,2)</f>
        <v>4472</v>
      </c>
      <c r="H2887" s="0" t="n">
        <f aca="false">IF(C2887&gt;1,IF(C2887&lt;99,VLOOKUP(F2887,'MSA-Lookup'!$AA$1:$AB$25,2),C2887),C2887)</f>
        <v>4472</v>
      </c>
    </row>
    <row r="2888" customFormat="false" ht="12.75" hidden="false" customHeight="false" outlineLevel="0" collapsed="false">
      <c r="A2888" s="0" t="n">
        <f aca="false">B2888*1000+C2888</f>
        <v>45070</v>
      </c>
      <c r="B2888" s="0" t="n">
        <v>45</v>
      </c>
      <c r="C2888" s="0" t="n">
        <v>70</v>
      </c>
      <c r="D2888" s="0" t="n">
        <v>130</v>
      </c>
      <c r="E2888" s="0" t="n">
        <f aca="false">VLOOKUP(B2888,'MSA-Lookup'!$H$2:$I$86,2)</f>
        <v>360</v>
      </c>
      <c r="F2888" s="0" t="n">
        <f aca="false">IF(C2888&gt;1,IF(C2888&lt;99,VLOOKUP(C2888,'MSA-Lookup'!$H$1:$I$86,2),C2888),C2888)</f>
        <v>6780</v>
      </c>
      <c r="G2888" s="0" t="n">
        <f aca="false">VLOOKUP(E2888,'MSA-Lookup'!$AA$1:$AB$25,2)</f>
        <v>4472</v>
      </c>
      <c r="H2888" s="0" t="n">
        <f aca="false">IF(C2888&gt;1,IF(C2888&lt;99,VLOOKUP(F2888,'MSA-Lookup'!$AA$1:$AB$25,2),C2888),C2888)</f>
        <v>4472</v>
      </c>
    </row>
    <row r="2889" customFormat="false" ht="12.75" hidden="false" customHeight="false" outlineLevel="0" collapsed="false">
      <c r="A2889" s="0" t="n">
        <f aca="false">B2889*1000+C2889</f>
        <v>45071</v>
      </c>
      <c r="B2889" s="0" t="n">
        <v>45</v>
      </c>
      <c r="C2889" s="0" t="n">
        <v>71</v>
      </c>
      <c r="D2889" s="0" t="n">
        <v>117</v>
      </c>
      <c r="E2889" s="0" t="n">
        <f aca="false">VLOOKUP(B2889,'MSA-Lookup'!$H$2:$I$86,2)</f>
        <v>360</v>
      </c>
      <c r="F2889" s="0" t="n">
        <f aca="false">IF(C2889&gt;1,IF(C2889&lt;99,VLOOKUP(C2889,'MSA-Lookup'!$H$1:$I$86,2),C2889),C2889)</f>
        <v>6780</v>
      </c>
      <c r="G2889" s="0" t="n">
        <f aca="false">VLOOKUP(E2889,'MSA-Lookup'!$AA$1:$AB$25,2)</f>
        <v>4472</v>
      </c>
      <c r="H2889" s="0" t="n">
        <f aca="false">IF(C2889&gt;1,IF(C2889&lt;99,VLOOKUP(F2889,'MSA-Lookup'!$AA$1:$AB$25,2),C2889),C2889)</f>
        <v>4472</v>
      </c>
    </row>
    <row r="2890" customFormat="false" ht="12.75" hidden="false" customHeight="false" outlineLevel="0" collapsed="false">
      <c r="A2890" s="0" t="n">
        <f aca="false">B2890*1000+C2890</f>
        <v>45072</v>
      </c>
      <c r="B2890" s="0" t="n">
        <v>45</v>
      </c>
      <c r="C2890" s="0" t="n">
        <v>72</v>
      </c>
      <c r="D2890" s="0" t="n">
        <v>208</v>
      </c>
      <c r="E2890" s="0" t="n">
        <f aca="false">VLOOKUP(B2890,'MSA-Lookup'!$H$2:$I$86,2)</f>
        <v>360</v>
      </c>
      <c r="F2890" s="0" t="n">
        <f aca="false">IF(C2890&gt;1,IF(C2890&lt;99,VLOOKUP(C2890,'MSA-Lookup'!$H$1:$I$86,2),C2890),C2890)</f>
        <v>6780</v>
      </c>
      <c r="G2890" s="0" t="n">
        <f aca="false">VLOOKUP(E2890,'MSA-Lookup'!$AA$1:$AB$25,2)</f>
        <v>4472</v>
      </c>
      <c r="H2890" s="0" t="n">
        <f aca="false">IF(C2890&gt;1,IF(C2890&lt;99,VLOOKUP(F2890,'MSA-Lookup'!$AA$1:$AB$25,2),C2890),C2890)</f>
        <v>4472</v>
      </c>
    </row>
    <row r="2891" customFormat="false" ht="12.75" hidden="false" customHeight="false" outlineLevel="0" collapsed="false">
      <c r="A2891" s="0" t="n">
        <f aca="false">B2891*1000+C2891</f>
        <v>45073</v>
      </c>
      <c r="B2891" s="0" t="n">
        <v>45</v>
      </c>
      <c r="C2891" s="0" t="n">
        <v>73</v>
      </c>
      <c r="D2891" s="0" t="n">
        <v>0</v>
      </c>
      <c r="E2891" s="0" t="n">
        <f aca="false">VLOOKUP(B2891,'MSA-Lookup'!$H$2:$I$86,2)</f>
        <v>360</v>
      </c>
      <c r="F2891" s="0" t="n">
        <f aca="false">IF(C2891&gt;1,IF(C2891&lt;99,VLOOKUP(C2891,'MSA-Lookup'!$H$1:$I$86,2),C2891),C2891)</f>
        <v>8720</v>
      </c>
      <c r="G2891" s="0" t="n">
        <f aca="false">VLOOKUP(E2891,'MSA-Lookup'!$AA$1:$AB$25,2)</f>
        <v>4472</v>
      </c>
      <c r="H2891" s="0" t="n">
        <f aca="false">IF(C2891&gt;1,IF(C2891&lt;99,VLOOKUP(F2891,'MSA-Lookup'!$AA$1:$AB$25,2),C2891),C2891)</f>
        <v>7362</v>
      </c>
    </row>
    <row r="2892" customFormat="false" ht="12.75" hidden="false" customHeight="false" outlineLevel="0" collapsed="false">
      <c r="A2892" s="0" t="n">
        <f aca="false">B2892*1000+C2892</f>
        <v>45075</v>
      </c>
      <c r="B2892" s="0" t="n">
        <v>45</v>
      </c>
      <c r="C2892" s="0" t="n">
        <v>75</v>
      </c>
      <c r="D2892" s="0" t="n">
        <v>0</v>
      </c>
      <c r="E2892" s="0" t="n">
        <f aca="false">VLOOKUP(B2892,'MSA-Lookup'!$H$2:$I$86,2)</f>
        <v>360</v>
      </c>
      <c r="F2892" s="0" t="n">
        <f aca="false">IF(C2892&gt;1,IF(C2892&lt;99,VLOOKUP(C2892,'MSA-Lookup'!$H$1:$I$86,2),C2892),C2892)</f>
        <v>8780</v>
      </c>
      <c r="G2892" s="0" t="n">
        <f aca="false">VLOOKUP(E2892,'MSA-Lookup'!$AA$1:$AB$25,2)</f>
        <v>4472</v>
      </c>
      <c r="H2892" s="0" t="n">
        <f aca="false">IF(C2892&gt;1,IF(C2892&lt;99,VLOOKUP(F2892,'MSA-Lookup'!$AA$1:$AB$25,2),C2892),C2892)</f>
        <v>8780</v>
      </c>
    </row>
    <row r="2893" customFormat="false" ht="12.75" hidden="false" customHeight="false" outlineLevel="0" collapsed="false">
      <c r="A2893" s="0" t="n">
        <f aca="false">B2893*1000+C2893</f>
        <v>45076</v>
      </c>
      <c r="B2893" s="0" t="n">
        <v>45</v>
      </c>
      <c r="C2893" s="0" t="n">
        <v>76</v>
      </c>
      <c r="D2893" s="0" t="n">
        <v>0</v>
      </c>
      <c r="E2893" s="0" t="n">
        <f aca="false">VLOOKUP(B2893,'MSA-Lookup'!$H$2:$I$86,2)</f>
        <v>360</v>
      </c>
      <c r="F2893" s="0" t="n">
        <f aca="false">IF(C2893&gt;1,IF(C2893&lt;99,VLOOKUP(C2893,'MSA-Lookup'!$H$1:$I$86,2),C2893),C2893)</f>
        <v>7485</v>
      </c>
      <c r="G2893" s="0" t="n">
        <f aca="false">VLOOKUP(E2893,'MSA-Lookup'!$AA$1:$AB$25,2)</f>
        <v>4472</v>
      </c>
      <c r="H2893" s="0" t="n">
        <f aca="false">IF(C2893&gt;1,IF(C2893&lt;99,VLOOKUP(F2893,'MSA-Lookup'!$AA$1:$AB$25,2),C2893),C2893)</f>
        <v>7362</v>
      </c>
    </row>
    <row r="2894" customFormat="false" ht="12.75" hidden="false" customHeight="false" outlineLevel="0" collapsed="false">
      <c r="A2894" s="0" t="n">
        <f aca="false">B2894*1000+C2894</f>
        <v>45077</v>
      </c>
      <c r="B2894" s="0" t="n">
        <v>45</v>
      </c>
      <c r="C2894" s="0" t="n">
        <v>77</v>
      </c>
      <c r="D2894" s="0" t="n">
        <v>0</v>
      </c>
      <c r="E2894" s="0" t="n">
        <f aca="false">VLOOKUP(B2894,'MSA-Lookup'!$H$2:$I$86,2)</f>
        <v>360</v>
      </c>
      <c r="F2894" s="0" t="n">
        <f aca="false">IF(C2894&gt;1,IF(C2894&lt;99,VLOOKUP(C2894,'MSA-Lookup'!$H$1:$I$86,2),C2894),C2894)</f>
        <v>9999</v>
      </c>
      <c r="G2894" s="0" t="n">
        <f aca="false">VLOOKUP(E2894,'MSA-Lookup'!$AA$1:$AB$25,2)</f>
        <v>4472</v>
      </c>
      <c r="H2894" s="0" t="n">
        <f aca="false">IF(C2894&gt;1,IF(C2894&lt;99,VLOOKUP(F2894,'MSA-Lookup'!$AA$1:$AB$25,2),C2894),C2894)</f>
        <v>9999</v>
      </c>
    </row>
    <row r="2895" customFormat="false" ht="12.75" hidden="false" customHeight="false" outlineLevel="0" collapsed="false">
      <c r="A2895" s="0" t="n">
        <f aca="false">B2895*1000+C2895</f>
        <v>45079</v>
      </c>
      <c r="B2895" s="0" t="n">
        <v>45</v>
      </c>
      <c r="C2895" s="0" t="n">
        <v>79</v>
      </c>
      <c r="D2895" s="0" t="n">
        <v>0</v>
      </c>
      <c r="E2895" s="0" t="n">
        <f aca="false">VLOOKUP(B2895,'MSA-Lookup'!$H$2:$I$86,2)</f>
        <v>360</v>
      </c>
      <c r="F2895" s="0" t="n">
        <f aca="false">IF(C2895&gt;1,IF(C2895&lt;99,VLOOKUP(C2895,'MSA-Lookup'!$H$1:$I$86,2),C2895),C2895)</f>
        <v>680</v>
      </c>
      <c r="G2895" s="0" t="n">
        <f aca="false">VLOOKUP(E2895,'MSA-Lookup'!$AA$1:$AB$25,2)</f>
        <v>4472</v>
      </c>
      <c r="H2895" s="0" t="n">
        <f aca="false">IF(C2895&gt;1,IF(C2895&lt;99,VLOOKUP(F2895,'MSA-Lookup'!$AA$1:$AB$25,2),C2895),C2895)</f>
        <v>680</v>
      </c>
    </row>
    <row r="2896" customFormat="false" ht="12.75" hidden="false" customHeight="false" outlineLevel="0" collapsed="false">
      <c r="A2896" s="0" t="n">
        <f aca="false">B2896*1000+C2896</f>
        <v>45080</v>
      </c>
      <c r="B2896" s="0" t="n">
        <v>45</v>
      </c>
      <c r="C2896" s="0" t="n">
        <v>80</v>
      </c>
      <c r="D2896" s="0" t="n">
        <v>91</v>
      </c>
      <c r="E2896" s="0" t="n">
        <f aca="false">VLOOKUP(B2896,'MSA-Lookup'!$H$2:$I$86,2)</f>
        <v>360</v>
      </c>
      <c r="F2896" s="0" t="n">
        <f aca="false">IF(C2896&gt;1,IF(C2896&lt;99,VLOOKUP(C2896,'MSA-Lookup'!$H$1:$I$86,2),C2896),C2896)</f>
        <v>9999</v>
      </c>
      <c r="G2896" s="0" t="n">
        <f aca="false">VLOOKUP(E2896,'MSA-Lookup'!$AA$1:$AB$25,2)</f>
        <v>4472</v>
      </c>
      <c r="H2896" s="0" t="n">
        <f aca="false">IF(C2896&gt;1,IF(C2896&lt;99,VLOOKUP(F2896,'MSA-Lookup'!$AA$1:$AB$25,2),C2896),C2896)</f>
        <v>9999</v>
      </c>
    </row>
    <row r="2897" customFormat="false" ht="12.75" hidden="false" customHeight="false" outlineLevel="0" collapsed="false">
      <c r="A2897" s="0" t="n">
        <f aca="false">B2897*1000+C2897</f>
        <v>45081</v>
      </c>
      <c r="B2897" s="0" t="n">
        <v>45</v>
      </c>
      <c r="C2897" s="0" t="n">
        <v>81</v>
      </c>
      <c r="D2897" s="0" t="n">
        <v>0</v>
      </c>
      <c r="E2897" s="0" t="n">
        <f aca="false">VLOOKUP(B2897,'MSA-Lookup'!$H$2:$I$86,2)</f>
        <v>360</v>
      </c>
      <c r="F2897" s="0" t="n">
        <f aca="false">IF(C2897&gt;1,IF(C2897&lt;99,VLOOKUP(C2897,'MSA-Lookup'!$H$1:$I$86,2),C2897),C2897)</f>
        <v>6780</v>
      </c>
      <c r="G2897" s="0" t="n">
        <f aca="false">VLOOKUP(E2897,'MSA-Lookup'!$AA$1:$AB$25,2)</f>
        <v>4472</v>
      </c>
      <c r="H2897" s="0" t="n">
        <f aca="false">IF(C2897&gt;1,IF(C2897&lt;99,VLOOKUP(F2897,'MSA-Lookup'!$AA$1:$AB$25,2),C2897),C2897)</f>
        <v>4472</v>
      </c>
    </row>
    <row r="2898" customFormat="false" ht="12.75" hidden="false" customHeight="false" outlineLevel="0" collapsed="false">
      <c r="A2898" s="0" t="n">
        <f aca="false">B2898*1000+C2898</f>
        <v>45082</v>
      </c>
      <c r="B2898" s="0" t="n">
        <v>45</v>
      </c>
      <c r="C2898" s="0" t="n">
        <v>82</v>
      </c>
      <c r="D2898" s="0" t="n">
        <v>0</v>
      </c>
      <c r="E2898" s="0" t="n">
        <f aca="false">VLOOKUP(B2898,'MSA-Lookup'!$H$2:$I$86,2)</f>
        <v>360</v>
      </c>
      <c r="F2898" s="0" t="n">
        <f aca="false">IF(C2898&gt;1,IF(C2898&lt;99,VLOOKUP(C2898,'MSA-Lookup'!$H$1:$I$86,2),C2898),C2898)</f>
        <v>6780</v>
      </c>
      <c r="G2898" s="0" t="n">
        <f aca="false">VLOOKUP(E2898,'MSA-Lookup'!$AA$1:$AB$25,2)</f>
        <v>4472</v>
      </c>
      <c r="H2898" s="0" t="n">
        <f aca="false">IF(C2898&gt;1,IF(C2898&lt;99,VLOOKUP(F2898,'MSA-Lookup'!$AA$1:$AB$25,2),C2898),C2898)</f>
        <v>4472</v>
      </c>
    </row>
    <row r="2899" customFormat="false" ht="12.75" hidden="false" customHeight="false" outlineLevel="0" collapsed="false">
      <c r="A2899" s="0" t="n">
        <f aca="false">B2899*1000+C2899</f>
        <v>45083</v>
      </c>
      <c r="B2899" s="0" t="n">
        <v>45</v>
      </c>
      <c r="C2899" s="0" t="n">
        <v>83</v>
      </c>
      <c r="D2899" s="0" t="n">
        <v>0</v>
      </c>
      <c r="E2899" s="0" t="n">
        <f aca="false">VLOOKUP(B2899,'MSA-Lookup'!$H$2:$I$86,2)</f>
        <v>360</v>
      </c>
      <c r="F2899" s="0" t="n">
        <f aca="false">IF(C2899&gt;1,IF(C2899&lt;99,VLOOKUP(C2899,'MSA-Lookup'!$H$1:$I$86,2),C2899),C2899)</f>
        <v>6000</v>
      </c>
      <c r="G2899" s="0" t="n">
        <f aca="false">VLOOKUP(E2899,'MSA-Lookup'!$AA$1:$AB$25,2)</f>
        <v>4472</v>
      </c>
      <c r="H2899" s="0" t="n">
        <f aca="false">IF(C2899&gt;1,IF(C2899&lt;99,VLOOKUP(F2899,'MSA-Lookup'!$AA$1:$AB$25,2),C2899),C2899)</f>
        <v>4472</v>
      </c>
    </row>
    <row r="2900" customFormat="false" ht="12.75" hidden="false" customHeight="false" outlineLevel="0" collapsed="false">
      <c r="A2900" s="0" t="n">
        <f aca="false">B2900*1000+C2900</f>
        <v>45084</v>
      </c>
      <c r="B2900" s="0" t="n">
        <v>45</v>
      </c>
      <c r="C2900" s="0" t="n">
        <v>84</v>
      </c>
      <c r="D2900" s="0" t="n">
        <v>1430</v>
      </c>
      <c r="E2900" s="0" t="n">
        <f aca="false">VLOOKUP(B2900,'MSA-Lookup'!$H$2:$I$86,2)</f>
        <v>360</v>
      </c>
      <c r="F2900" s="0" t="n">
        <f aca="false">IF(C2900&gt;1,IF(C2900&lt;99,VLOOKUP(C2900,'MSA-Lookup'!$H$1:$I$86,2),C2900),C2900)</f>
        <v>360</v>
      </c>
      <c r="G2900" s="0" t="n">
        <f aca="false">VLOOKUP(E2900,'MSA-Lookup'!$AA$1:$AB$25,2)</f>
        <v>4472</v>
      </c>
      <c r="H2900" s="0" t="n">
        <f aca="false">IF(C2900&gt;1,IF(C2900&lt;99,VLOOKUP(F2900,'MSA-Lookup'!$AA$1:$AB$25,2),C2900),C2900)</f>
        <v>4472</v>
      </c>
    </row>
    <row r="2901" customFormat="false" ht="12.75" hidden="false" customHeight="false" outlineLevel="0" collapsed="false">
      <c r="A2901" s="0" t="n">
        <f aca="false">B2901*1000+C2901</f>
        <v>45085</v>
      </c>
      <c r="B2901" s="0" t="n">
        <v>45</v>
      </c>
      <c r="C2901" s="0" t="n">
        <v>85</v>
      </c>
      <c r="D2901" s="0" t="n">
        <v>0</v>
      </c>
      <c r="E2901" s="0" t="n">
        <f aca="false">VLOOKUP(B2901,'MSA-Lookup'!$H$2:$I$86,2)</f>
        <v>360</v>
      </c>
      <c r="F2901" s="0" t="n">
        <f aca="false">IF(C2901&gt;1,IF(C2901&lt;99,VLOOKUP(C2901,'MSA-Lookup'!$H$1:$I$86,2),C2901),C2901)</f>
        <v>8120</v>
      </c>
      <c r="G2901" s="0" t="n">
        <f aca="false">VLOOKUP(E2901,'MSA-Lookup'!$AA$1:$AB$25,2)</f>
        <v>4472</v>
      </c>
      <c r="H2901" s="0" t="n">
        <f aca="false">IF(C2901&gt;1,IF(C2901&lt;99,VLOOKUP(F2901,'MSA-Lookup'!$AA$1:$AB$25,2),C2901),C2901)</f>
        <v>8120</v>
      </c>
    </row>
    <row r="2902" customFormat="false" ht="12.75" hidden="false" customHeight="false" outlineLevel="0" collapsed="false">
      <c r="A2902" s="0" t="n">
        <f aca="false">B2902*1000+C2902</f>
        <v>45858</v>
      </c>
      <c r="B2902" s="0" t="n">
        <v>45</v>
      </c>
      <c r="C2902" s="0" t="n">
        <v>858</v>
      </c>
      <c r="D2902" s="0" t="n">
        <v>0</v>
      </c>
      <c r="E2902" s="0" t="n">
        <f aca="false">VLOOKUP(B2902,'MSA-Lookup'!$H$2:$I$86,2)</f>
        <v>360</v>
      </c>
      <c r="F2902" s="0" t="n">
        <f aca="false">IF(C2902&gt;1,IF(C2902&lt;99,VLOOKUP(C2902,'MSA-Lookup'!$H$1:$I$86,2),C2902),C2902)</f>
        <v>858</v>
      </c>
      <c r="G2902" s="0" t="n">
        <f aca="false">VLOOKUP(E2902,'MSA-Lookup'!$AA$1:$AB$25,2)</f>
        <v>4472</v>
      </c>
      <c r="H2902" s="0" t="n">
        <f aca="false">IF(C2902&gt;1,IF(C2902&lt;99,VLOOKUP(F2902,'MSA-Lookup'!$AA$1:$AB$25,2),C2902),C2902)</f>
        <v>858</v>
      </c>
    </row>
    <row r="2903" customFormat="false" ht="12.75" hidden="false" customHeight="false" outlineLevel="0" collapsed="false">
      <c r="A2903" s="0" t="n">
        <f aca="false">B2903*1000+C2903</f>
        <v>45983</v>
      </c>
      <c r="B2903" s="0" t="n">
        <v>45</v>
      </c>
      <c r="C2903" s="0" t="n">
        <v>983</v>
      </c>
      <c r="D2903" s="0" t="n">
        <v>0</v>
      </c>
      <c r="E2903" s="0" t="n">
        <f aca="false">VLOOKUP(B2903,'MSA-Lookup'!$H$2:$I$86,2)</f>
        <v>360</v>
      </c>
      <c r="F2903" s="0" t="n">
        <f aca="false">IF(C2903&gt;1,IF(C2903&lt;99,VLOOKUP(C2903,'MSA-Lookup'!$H$1:$I$86,2),C2903),C2903)</f>
        <v>983</v>
      </c>
      <c r="G2903" s="0" t="n">
        <f aca="false">VLOOKUP(E2903,'MSA-Lookup'!$AA$1:$AB$25,2)</f>
        <v>4472</v>
      </c>
      <c r="H2903" s="0" t="n">
        <f aca="false">IF(C2903&gt;1,IF(C2903&lt;99,VLOOKUP(F2903,'MSA-Lookup'!$AA$1:$AB$25,2),C2903),C2903)</f>
        <v>983</v>
      </c>
    </row>
    <row r="2904" customFormat="false" ht="12.75" hidden="false" customHeight="false" outlineLevel="0" collapsed="false">
      <c r="A2904" s="0" t="n">
        <f aca="false">B2904*1000+C2904</f>
        <v>45999</v>
      </c>
      <c r="B2904" s="0" t="n">
        <v>45</v>
      </c>
      <c r="C2904" s="0" t="n">
        <v>999</v>
      </c>
      <c r="D2904" s="0" t="n">
        <v>78</v>
      </c>
      <c r="E2904" s="0" t="n">
        <f aca="false">VLOOKUP(B2904,'MSA-Lookup'!$H$2:$I$86,2)</f>
        <v>360</v>
      </c>
      <c r="F2904" s="0" t="n">
        <f aca="false">IF(C2904&gt;1,IF(C2904&lt;99,VLOOKUP(C2904,'MSA-Lookup'!$H$1:$I$86,2),C2904),C2904)</f>
        <v>999</v>
      </c>
      <c r="G2904" s="0" t="n">
        <f aca="false">VLOOKUP(E2904,'MSA-Lookup'!$AA$1:$AB$25,2)</f>
        <v>4472</v>
      </c>
      <c r="H2904" s="0" t="n">
        <f aca="false">IF(C2904&gt;1,IF(C2904&lt;99,VLOOKUP(F2904,'MSA-Lookup'!$AA$1:$AB$25,2),C2904),C2904)</f>
        <v>999</v>
      </c>
    </row>
    <row r="2905" customFormat="false" ht="12.75" hidden="false" customHeight="false" outlineLevel="0" collapsed="false">
      <c r="A2905" s="0" t="n">
        <f aca="false">B2905*1000+C2905</f>
        <v>46000</v>
      </c>
      <c r="B2905" s="0" t="n">
        <v>46</v>
      </c>
      <c r="C2905" s="0" t="n">
        <v>0</v>
      </c>
      <c r="D2905" s="0" t="n">
        <v>66196</v>
      </c>
      <c r="E2905" s="0" t="n">
        <f aca="false">VLOOKUP(B2905,'MSA-Lookup'!$H$2:$I$86,2)</f>
        <v>360</v>
      </c>
      <c r="F2905" s="0" t="n">
        <f aca="false">IF(C2905&gt;1,IF(C2905&lt;99,VLOOKUP(C2905,'MSA-Lookup'!$H$1:$I$86,2),C2905),C2905)</f>
        <v>0</v>
      </c>
      <c r="G2905" s="0" t="n">
        <f aca="false">VLOOKUP(E2905,'MSA-Lookup'!$AA$1:$AB$25,2)</f>
        <v>4472</v>
      </c>
      <c r="H2905" s="0" t="n">
        <f aca="false">IF(C2905&gt;1,IF(C2905&lt;99,VLOOKUP(F2905,'MSA-Lookup'!$AA$1:$AB$25,2),C2905),C2905)</f>
        <v>0</v>
      </c>
    </row>
    <row r="2906" customFormat="false" ht="12.75" hidden="false" customHeight="false" outlineLevel="0" collapsed="false">
      <c r="A2906" s="0" t="n">
        <f aca="false">B2906*1000+C2906</f>
        <v>46001</v>
      </c>
      <c r="B2906" s="0" t="n">
        <v>46</v>
      </c>
      <c r="C2906" s="0" t="n">
        <v>1</v>
      </c>
      <c r="D2906" s="0" t="n">
        <v>0</v>
      </c>
      <c r="E2906" s="0" t="n">
        <f aca="false">VLOOKUP(B2906,'MSA-Lookup'!$H$2:$I$86,2)</f>
        <v>360</v>
      </c>
      <c r="F2906" s="0" t="n">
        <f aca="false">IF(C2906&gt;1,IF(C2906&lt;99,VLOOKUP(C2906,'MSA-Lookup'!$H$1:$I$86,2),C2906),C2906)</f>
        <v>1</v>
      </c>
      <c r="G2906" s="0" t="n">
        <f aca="false">VLOOKUP(E2906,'MSA-Lookup'!$AA$1:$AB$25,2)</f>
        <v>4472</v>
      </c>
      <c r="H2906" s="0" t="n">
        <f aca="false">IF(C2906&gt;1,IF(C2906&lt;99,VLOOKUP(F2906,'MSA-Lookup'!$AA$1:$AB$25,2),C2906),C2906)</f>
        <v>1</v>
      </c>
    </row>
    <row r="2907" customFormat="false" ht="12.75" hidden="false" customHeight="false" outlineLevel="0" collapsed="false">
      <c r="A2907" s="0" t="n">
        <f aca="false">B2907*1000+C2907</f>
        <v>46002</v>
      </c>
      <c r="B2907" s="0" t="n">
        <v>46</v>
      </c>
      <c r="C2907" s="0" t="n">
        <v>2</v>
      </c>
      <c r="D2907" s="0" t="n">
        <v>0</v>
      </c>
      <c r="E2907" s="0" t="n">
        <f aca="false">VLOOKUP(B2907,'MSA-Lookup'!$H$2:$I$86,2)</f>
        <v>360</v>
      </c>
      <c r="F2907" s="0" t="n">
        <f aca="false">IF(C2907&gt;1,IF(C2907&lt;99,VLOOKUP(C2907,'MSA-Lookup'!$H$1:$I$86,2),C2907),C2907)</f>
        <v>9999</v>
      </c>
      <c r="G2907" s="0" t="n">
        <f aca="false">VLOOKUP(E2907,'MSA-Lookup'!$AA$1:$AB$25,2)</f>
        <v>4472</v>
      </c>
      <c r="H2907" s="0" t="n">
        <f aca="false">IF(C2907&gt;1,IF(C2907&lt;99,VLOOKUP(F2907,'MSA-Lookup'!$AA$1:$AB$25,2),C2907),C2907)</f>
        <v>9999</v>
      </c>
    </row>
    <row r="2908" customFormat="false" ht="12.75" hidden="false" customHeight="false" outlineLevel="0" collapsed="false">
      <c r="A2908" s="0" t="n">
        <f aca="false">B2908*1000+C2908</f>
        <v>46003</v>
      </c>
      <c r="B2908" s="0" t="n">
        <v>46</v>
      </c>
      <c r="C2908" s="0" t="n">
        <v>3</v>
      </c>
      <c r="D2908" s="0" t="n">
        <v>0</v>
      </c>
      <c r="E2908" s="0" t="n">
        <f aca="false">VLOOKUP(B2908,'MSA-Lookup'!$H$2:$I$86,2)</f>
        <v>360</v>
      </c>
      <c r="F2908" s="0" t="n">
        <f aca="false">IF(C2908&gt;1,IF(C2908&lt;99,VLOOKUP(C2908,'MSA-Lookup'!$H$1:$I$86,2),C2908),C2908)</f>
        <v>6690</v>
      </c>
      <c r="G2908" s="0" t="n">
        <f aca="false">VLOOKUP(E2908,'MSA-Lookup'!$AA$1:$AB$25,2)</f>
        <v>4472</v>
      </c>
      <c r="H2908" s="0" t="n">
        <f aca="false">IF(C2908&gt;1,IF(C2908&lt;99,VLOOKUP(F2908,'MSA-Lookup'!$AA$1:$AB$25,2),C2908),C2908)</f>
        <v>6690</v>
      </c>
    </row>
    <row r="2909" customFormat="false" ht="12.75" hidden="false" customHeight="false" outlineLevel="0" collapsed="false">
      <c r="A2909" s="0" t="n">
        <f aca="false">B2909*1000+C2909</f>
        <v>46004</v>
      </c>
      <c r="B2909" s="0" t="n">
        <v>46</v>
      </c>
      <c r="C2909" s="0" t="n">
        <v>4</v>
      </c>
      <c r="D2909" s="0" t="n">
        <v>0</v>
      </c>
      <c r="E2909" s="0" t="n">
        <f aca="false">VLOOKUP(B2909,'MSA-Lookup'!$H$2:$I$86,2)</f>
        <v>360</v>
      </c>
      <c r="F2909" s="0" t="n">
        <f aca="false">IF(C2909&gt;1,IF(C2909&lt;99,VLOOKUP(C2909,'MSA-Lookup'!$H$1:$I$86,2),C2909),C2909)</f>
        <v>9999</v>
      </c>
      <c r="G2909" s="0" t="n">
        <f aca="false">VLOOKUP(E2909,'MSA-Lookup'!$AA$1:$AB$25,2)</f>
        <v>4472</v>
      </c>
      <c r="H2909" s="0" t="n">
        <f aca="false">IF(C2909&gt;1,IF(C2909&lt;99,VLOOKUP(F2909,'MSA-Lookup'!$AA$1:$AB$25,2),C2909),C2909)</f>
        <v>9999</v>
      </c>
    </row>
    <row r="2910" customFormat="false" ht="12.75" hidden="false" customHeight="false" outlineLevel="0" collapsed="false">
      <c r="A2910" s="0" t="n">
        <f aca="false">B2910*1000+C2910</f>
        <v>46005</v>
      </c>
      <c r="B2910" s="0" t="n">
        <v>46</v>
      </c>
      <c r="C2910" s="0" t="n">
        <v>5</v>
      </c>
      <c r="D2910" s="0" t="n">
        <v>0</v>
      </c>
      <c r="E2910" s="0" t="n">
        <f aca="false">VLOOKUP(B2910,'MSA-Lookup'!$H$2:$I$86,2)</f>
        <v>360</v>
      </c>
      <c r="F2910" s="0" t="n">
        <f aca="false">IF(C2910&gt;1,IF(C2910&lt;99,VLOOKUP(C2910,'MSA-Lookup'!$H$1:$I$86,2),C2910),C2910)</f>
        <v>9999</v>
      </c>
      <c r="G2910" s="0" t="n">
        <f aca="false">VLOOKUP(E2910,'MSA-Lookup'!$AA$1:$AB$25,2)</f>
        <v>4472</v>
      </c>
      <c r="H2910" s="0" t="n">
        <f aca="false">IF(C2910&gt;1,IF(C2910&lt;99,VLOOKUP(F2910,'MSA-Lookup'!$AA$1:$AB$25,2),C2910),C2910)</f>
        <v>9999</v>
      </c>
    </row>
    <row r="2911" customFormat="false" ht="12.75" hidden="false" customHeight="false" outlineLevel="0" collapsed="false">
      <c r="A2911" s="0" t="n">
        <f aca="false">B2911*1000+C2911</f>
        <v>46006</v>
      </c>
      <c r="B2911" s="0" t="n">
        <v>46</v>
      </c>
      <c r="C2911" s="0" t="n">
        <v>6</v>
      </c>
      <c r="D2911" s="0" t="n">
        <v>0</v>
      </c>
      <c r="E2911" s="0" t="n">
        <f aca="false">VLOOKUP(B2911,'MSA-Lookup'!$H$2:$I$86,2)</f>
        <v>360</v>
      </c>
      <c r="F2911" s="0" t="n">
        <f aca="false">IF(C2911&gt;1,IF(C2911&lt;99,VLOOKUP(C2911,'MSA-Lookup'!$H$1:$I$86,2),C2911),C2911)</f>
        <v>1620</v>
      </c>
      <c r="G2911" s="0" t="n">
        <f aca="false">VLOOKUP(E2911,'MSA-Lookup'!$AA$1:$AB$25,2)</f>
        <v>4472</v>
      </c>
      <c r="H2911" s="0" t="n">
        <f aca="false">IF(C2911&gt;1,IF(C2911&lt;99,VLOOKUP(F2911,'MSA-Lookup'!$AA$1:$AB$25,2),C2911),C2911)</f>
        <v>1620</v>
      </c>
    </row>
    <row r="2912" customFormat="false" ht="12.75" hidden="false" customHeight="false" outlineLevel="0" collapsed="false">
      <c r="A2912" s="0" t="n">
        <f aca="false">B2912*1000+C2912</f>
        <v>46007</v>
      </c>
      <c r="B2912" s="0" t="n">
        <v>46</v>
      </c>
      <c r="C2912" s="0" t="n">
        <v>7</v>
      </c>
      <c r="D2912" s="0" t="n">
        <v>0</v>
      </c>
      <c r="E2912" s="0" t="n">
        <f aca="false">VLOOKUP(B2912,'MSA-Lookup'!$H$2:$I$86,2)</f>
        <v>360</v>
      </c>
      <c r="F2912" s="0" t="n">
        <f aca="false">IF(C2912&gt;1,IF(C2912&lt;99,VLOOKUP(C2912,'MSA-Lookup'!$H$1:$I$86,2),C2912),C2912)</f>
        <v>9999</v>
      </c>
      <c r="G2912" s="0" t="n">
        <f aca="false">VLOOKUP(E2912,'MSA-Lookup'!$AA$1:$AB$25,2)</f>
        <v>4472</v>
      </c>
      <c r="H2912" s="0" t="n">
        <f aca="false">IF(C2912&gt;1,IF(C2912&lt;99,VLOOKUP(F2912,'MSA-Lookup'!$AA$1:$AB$25,2),C2912),C2912)</f>
        <v>9999</v>
      </c>
    </row>
    <row r="2913" customFormat="false" ht="12.75" hidden="false" customHeight="false" outlineLevel="0" collapsed="false">
      <c r="A2913" s="0" t="n">
        <f aca="false">B2913*1000+C2913</f>
        <v>46008</v>
      </c>
      <c r="B2913" s="0" t="n">
        <v>46</v>
      </c>
      <c r="C2913" s="0" t="n">
        <v>8</v>
      </c>
      <c r="D2913" s="0" t="n">
        <v>0</v>
      </c>
      <c r="E2913" s="0" t="n">
        <f aca="false">VLOOKUP(B2913,'MSA-Lookup'!$H$2:$I$86,2)</f>
        <v>360</v>
      </c>
      <c r="F2913" s="0" t="n">
        <f aca="false">IF(C2913&gt;1,IF(C2913&lt;99,VLOOKUP(C2913,'MSA-Lookup'!$H$1:$I$86,2),C2913),C2913)</f>
        <v>9340</v>
      </c>
      <c r="G2913" s="0" t="n">
        <f aca="false">VLOOKUP(E2913,'MSA-Lookup'!$AA$1:$AB$25,2)</f>
        <v>4472</v>
      </c>
      <c r="H2913" s="0" t="n">
        <f aca="false">IF(C2913&gt;1,IF(C2913&lt;99,VLOOKUP(F2913,'MSA-Lookup'!$AA$1:$AB$25,2),C2913),C2913)</f>
        <v>9340</v>
      </c>
    </row>
    <row r="2914" customFormat="false" ht="12.75" hidden="false" customHeight="false" outlineLevel="0" collapsed="false">
      <c r="A2914" s="0" t="n">
        <f aca="false">B2914*1000+C2914</f>
        <v>46009</v>
      </c>
      <c r="B2914" s="0" t="n">
        <v>46</v>
      </c>
      <c r="C2914" s="0" t="n">
        <v>9</v>
      </c>
      <c r="D2914" s="0" t="n">
        <v>0</v>
      </c>
      <c r="E2914" s="0" t="n">
        <f aca="false">VLOOKUP(B2914,'MSA-Lookup'!$H$2:$I$86,2)</f>
        <v>360</v>
      </c>
      <c r="F2914" s="0" t="n">
        <f aca="false">IF(C2914&gt;1,IF(C2914&lt;99,VLOOKUP(C2914,'MSA-Lookup'!$H$1:$I$86,2),C2914),C2914)</f>
        <v>8720</v>
      </c>
      <c r="G2914" s="0" t="n">
        <f aca="false">VLOOKUP(E2914,'MSA-Lookup'!$AA$1:$AB$25,2)</f>
        <v>4472</v>
      </c>
      <c r="H2914" s="0" t="n">
        <f aca="false">IF(C2914&gt;1,IF(C2914&lt;99,VLOOKUP(F2914,'MSA-Lookup'!$AA$1:$AB$25,2),C2914),C2914)</f>
        <v>7362</v>
      </c>
    </row>
    <row r="2915" customFormat="false" ht="12.75" hidden="false" customHeight="false" outlineLevel="0" collapsed="false">
      <c r="A2915" s="0" t="n">
        <f aca="false">B2915*1000+C2915</f>
        <v>46010</v>
      </c>
      <c r="B2915" s="0" t="n">
        <v>46</v>
      </c>
      <c r="C2915" s="0" t="n">
        <v>10</v>
      </c>
      <c r="D2915" s="0" t="n">
        <v>0</v>
      </c>
      <c r="E2915" s="0" t="n">
        <f aca="false">VLOOKUP(B2915,'MSA-Lookup'!$H$2:$I$86,2)</f>
        <v>360</v>
      </c>
      <c r="F2915" s="0" t="n">
        <f aca="false">IF(C2915&gt;1,IF(C2915&lt;99,VLOOKUP(C2915,'MSA-Lookup'!$H$1:$I$86,2),C2915),C2915)</f>
        <v>6920</v>
      </c>
      <c r="G2915" s="0" t="n">
        <f aca="false">VLOOKUP(E2915,'MSA-Lookup'!$AA$1:$AB$25,2)</f>
        <v>4472</v>
      </c>
      <c r="H2915" s="0" t="n">
        <f aca="false">IF(C2915&gt;1,IF(C2915&lt;99,VLOOKUP(F2915,'MSA-Lookup'!$AA$1:$AB$25,2),C2915),C2915)</f>
        <v>6920</v>
      </c>
    </row>
    <row r="2916" customFormat="false" ht="12.75" hidden="false" customHeight="false" outlineLevel="0" collapsed="false">
      <c r="A2916" s="0" t="n">
        <f aca="false">B2916*1000+C2916</f>
        <v>46011</v>
      </c>
      <c r="B2916" s="0" t="n">
        <v>46</v>
      </c>
      <c r="C2916" s="0" t="n">
        <v>11</v>
      </c>
      <c r="D2916" s="0" t="n">
        <v>0</v>
      </c>
      <c r="E2916" s="0" t="n">
        <f aca="false">VLOOKUP(B2916,'MSA-Lookup'!$H$2:$I$86,2)</f>
        <v>360</v>
      </c>
      <c r="F2916" s="0" t="n">
        <f aca="false">IF(C2916&gt;1,IF(C2916&lt;99,VLOOKUP(C2916,'MSA-Lookup'!$H$1:$I$86,2),C2916),C2916)</f>
        <v>6920</v>
      </c>
      <c r="G2916" s="0" t="n">
        <f aca="false">VLOOKUP(E2916,'MSA-Lookup'!$AA$1:$AB$25,2)</f>
        <v>4472</v>
      </c>
      <c r="H2916" s="0" t="n">
        <f aca="false">IF(C2916&gt;1,IF(C2916&lt;99,VLOOKUP(F2916,'MSA-Lookup'!$AA$1:$AB$25,2),C2916),C2916)</f>
        <v>6920</v>
      </c>
    </row>
    <row r="2917" customFormat="false" ht="12.75" hidden="false" customHeight="false" outlineLevel="0" collapsed="false">
      <c r="A2917" s="0" t="n">
        <f aca="false">B2917*1000+C2917</f>
        <v>46012</v>
      </c>
      <c r="B2917" s="0" t="n">
        <v>46</v>
      </c>
      <c r="C2917" s="0" t="n">
        <v>12</v>
      </c>
      <c r="D2917" s="0" t="n">
        <v>0</v>
      </c>
      <c r="E2917" s="0" t="n">
        <f aca="false">VLOOKUP(B2917,'MSA-Lookup'!$H$2:$I$86,2)</f>
        <v>360</v>
      </c>
      <c r="F2917" s="0" t="n">
        <f aca="false">IF(C2917&gt;1,IF(C2917&lt;99,VLOOKUP(C2917,'MSA-Lookup'!$H$1:$I$86,2),C2917),C2917)</f>
        <v>6920</v>
      </c>
      <c r="G2917" s="0" t="n">
        <f aca="false">VLOOKUP(E2917,'MSA-Lookup'!$AA$1:$AB$25,2)</f>
        <v>4472</v>
      </c>
      <c r="H2917" s="0" t="n">
        <f aca="false">IF(C2917&gt;1,IF(C2917&lt;99,VLOOKUP(F2917,'MSA-Lookup'!$AA$1:$AB$25,2),C2917),C2917)</f>
        <v>6920</v>
      </c>
    </row>
    <row r="2918" customFormat="false" ht="12.75" hidden="false" customHeight="false" outlineLevel="0" collapsed="false">
      <c r="A2918" s="0" t="n">
        <f aca="false">B2918*1000+C2918</f>
        <v>46013</v>
      </c>
      <c r="B2918" s="0" t="n">
        <v>46</v>
      </c>
      <c r="C2918" s="0" t="n">
        <v>13</v>
      </c>
      <c r="D2918" s="0" t="n">
        <v>0</v>
      </c>
      <c r="E2918" s="0" t="n">
        <f aca="false">VLOOKUP(B2918,'MSA-Lookup'!$H$2:$I$86,2)</f>
        <v>360</v>
      </c>
      <c r="F2918" s="0" t="n">
        <f aca="false">IF(C2918&gt;1,IF(C2918&lt;99,VLOOKUP(C2918,'MSA-Lookup'!$H$1:$I$86,2),C2918),C2918)</f>
        <v>7500</v>
      </c>
      <c r="G2918" s="0" t="n">
        <f aca="false">VLOOKUP(E2918,'MSA-Lookup'!$AA$1:$AB$25,2)</f>
        <v>4472</v>
      </c>
      <c r="H2918" s="0" t="n">
        <f aca="false">IF(C2918&gt;1,IF(C2918&lt;99,VLOOKUP(F2918,'MSA-Lookup'!$AA$1:$AB$25,2),C2918),C2918)</f>
        <v>7362</v>
      </c>
    </row>
    <row r="2919" customFormat="false" ht="12.75" hidden="false" customHeight="false" outlineLevel="0" collapsed="false">
      <c r="A2919" s="0" t="n">
        <f aca="false">B2919*1000+C2919</f>
        <v>46014</v>
      </c>
      <c r="B2919" s="0" t="n">
        <v>46</v>
      </c>
      <c r="C2919" s="0" t="n">
        <v>14</v>
      </c>
      <c r="D2919" s="0" t="n">
        <v>0</v>
      </c>
      <c r="E2919" s="0" t="n">
        <f aca="false">VLOOKUP(B2919,'MSA-Lookup'!$H$2:$I$86,2)</f>
        <v>360</v>
      </c>
      <c r="F2919" s="0" t="n">
        <f aca="false">IF(C2919&gt;1,IF(C2919&lt;99,VLOOKUP(C2919,'MSA-Lookup'!$H$1:$I$86,2),C2919),C2919)</f>
        <v>7500</v>
      </c>
      <c r="G2919" s="0" t="n">
        <f aca="false">VLOOKUP(E2919,'MSA-Lookup'!$AA$1:$AB$25,2)</f>
        <v>4472</v>
      </c>
      <c r="H2919" s="0" t="n">
        <f aca="false">IF(C2919&gt;1,IF(C2919&lt;99,VLOOKUP(F2919,'MSA-Lookup'!$AA$1:$AB$25,2),C2919),C2919)</f>
        <v>7362</v>
      </c>
    </row>
    <row r="2920" customFormat="false" ht="12.75" hidden="false" customHeight="false" outlineLevel="0" collapsed="false">
      <c r="A2920" s="0" t="n">
        <f aca="false">B2920*1000+C2920</f>
        <v>46015</v>
      </c>
      <c r="B2920" s="0" t="n">
        <v>46</v>
      </c>
      <c r="C2920" s="0" t="n">
        <v>15</v>
      </c>
      <c r="D2920" s="0" t="n">
        <v>0</v>
      </c>
      <c r="E2920" s="0" t="n">
        <f aca="false">VLOOKUP(B2920,'MSA-Lookup'!$H$2:$I$86,2)</f>
        <v>360</v>
      </c>
      <c r="F2920" s="0" t="n">
        <f aca="false">IF(C2920&gt;1,IF(C2920&lt;99,VLOOKUP(C2920,'MSA-Lookup'!$H$1:$I$86,2),C2920),C2920)</f>
        <v>7360</v>
      </c>
      <c r="G2920" s="0" t="n">
        <f aca="false">VLOOKUP(E2920,'MSA-Lookup'!$AA$1:$AB$25,2)</f>
        <v>4472</v>
      </c>
      <c r="H2920" s="0" t="n">
        <f aca="false">IF(C2920&gt;1,IF(C2920&lt;99,VLOOKUP(F2920,'MSA-Lookup'!$AA$1:$AB$25,2),C2920),C2920)</f>
        <v>7362</v>
      </c>
    </row>
    <row r="2921" customFormat="false" ht="12.75" hidden="false" customHeight="false" outlineLevel="0" collapsed="false">
      <c r="A2921" s="0" t="n">
        <f aca="false">B2921*1000+C2921</f>
        <v>46016</v>
      </c>
      <c r="B2921" s="0" t="n">
        <v>46</v>
      </c>
      <c r="C2921" s="0" t="n">
        <v>16</v>
      </c>
      <c r="D2921" s="0" t="n">
        <v>0</v>
      </c>
      <c r="E2921" s="0" t="n">
        <f aca="false">VLOOKUP(B2921,'MSA-Lookup'!$H$2:$I$86,2)</f>
        <v>360</v>
      </c>
      <c r="F2921" s="0" t="n">
        <f aca="false">IF(C2921&gt;1,IF(C2921&lt;99,VLOOKUP(C2921,'MSA-Lookup'!$H$1:$I$86,2),C2921),C2921)</f>
        <v>8720</v>
      </c>
      <c r="G2921" s="0" t="n">
        <f aca="false">VLOOKUP(E2921,'MSA-Lookup'!$AA$1:$AB$25,2)</f>
        <v>4472</v>
      </c>
      <c r="H2921" s="0" t="n">
        <f aca="false">IF(C2921&gt;1,IF(C2921&lt;99,VLOOKUP(F2921,'MSA-Lookup'!$AA$1:$AB$25,2),C2921),C2921)</f>
        <v>7362</v>
      </c>
    </row>
    <row r="2922" customFormat="false" ht="12.75" hidden="false" customHeight="false" outlineLevel="0" collapsed="false">
      <c r="A2922" s="0" t="n">
        <f aca="false">B2922*1000+C2922</f>
        <v>46017</v>
      </c>
      <c r="B2922" s="0" t="n">
        <v>46</v>
      </c>
      <c r="C2922" s="0" t="n">
        <v>17</v>
      </c>
      <c r="D2922" s="0" t="n">
        <v>0</v>
      </c>
      <c r="E2922" s="0" t="n">
        <f aca="false">VLOOKUP(B2922,'MSA-Lookup'!$H$2:$I$86,2)</f>
        <v>360</v>
      </c>
      <c r="F2922" s="0" t="n">
        <f aca="false">IF(C2922&gt;1,IF(C2922&lt;99,VLOOKUP(C2922,'MSA-Lookup'!$H$1:$I$86,2),C2922),C2922)</f>
        <v>5775</v>
      </c>
      <c r="G2922" s="0" t="n">
        <f aca="false">VLOOKUP(E2922,'MSA-Lookup'!$AA$1:$AB$25,2)</f>
        <v>4472</v>
      </c>
      <c r="H2922" s="0" t="n">
        <f aca="false">IF(C2922&gt;1,IF(C2922&lt;99,VLOOKUP(F2922,'MSA-Lookup'!$AA$1:$AB$25,2),C2922),C2922)</f>
        <v>7362</v>
      </c>
    </row>
    <row r="2923" customFormat="false" ht="12.75" hidden="false" customHeight="false" outlineLevel="0" collapsed="false">
      <c r="A2923" s="0" t="n">
        <f aca="false">B2923*1000+C2923</f>
        <v>46018</v>
      </c>
      <c r="B2923" s="0" t="n">
        <v>46</v>
      </c>
      <c r="C2923" s="0" t="n">
        <v>18</v>
      </c>
      <c r="D2923" s="0" t="n">
        <v>0</v>
      </c>
      <c r="E2923" s="0" t="n">
        <f aca="false">VLOOKUP(B2923,'MSA-Lookup'!$H$2:$I$86,2)</f>
        <v>360</v>
      </c>
      <c r="F2923" s="0" t="n">
        <f aca="false">IF(C2923&gt;1,IF(C2923&lt;99,VLOOKUP(C2923,'MSA-Lookup'!$H$1:$I$86,2),C2923),C2923)</f>
        <v>5775</v>
      </c>
      <c r="G2923" s="0" t="n">
        <f aca="false">VLOOKUP(E2923,'MSA-Lookup'!$AA$1:$AB$25,2)</f>
        <v>4472</v>
      </c>
      <c r="H2923" s="0" t="n">
        <f aca="false">IF(C2923&gt;1,IF(C2923&lt;99,VLOOKUP(F2923,'MSA-Lookup'!$AA$1:$AB$25,2),C2923),C2923)</f>
        <v>7362</v>
      </c>
    </row>
    <row r="2924" customFormat="false" ht="12.75" hidden="false" customHeight="false" outlineLevel="0" collapsed="false">
      <c r="A2924" s="0" t="n">
        <f aca="false">B2924*1000+C2924</f>
        <v>46019</v>
      </c>
      <c r="B2924" s="0" t="n">
        <v>46</v>
      </c>
      <c r="C2924" s="0" t="n">
        <v>19</v>
      </c>
      <c r="D2924" s="0" t="n">
        <v>0</v>
      </c>
      <c r="E2924" s="0" t="n">
        <f aca="false">VLOOKUP(B2924,'MSA-Lookup'!$H$2:$I$86,2)</f>
        <v>360</v>
      </c>
      <c r="F2924" s="0" t="n">
        <f aca="false">IF(C2924&gt;1,IF(C2924&lt;99,VLOOKUP(C2924,'MSA-Lookup'!$H$1:$I$86,2),C2924),C2924)</f>
        <v>7360</v>
      </c>
      <c r="G2924" s="0" t="n">
        <f aca="false">VLOOKUP(E2924,'MSA-Lookup'!$AA$1:$AB$25,2)</f>
        <v>4472</v>
      </c>
      <c r="H2924" s="0" t="n">
        <f aca="false">IF(C2924&gt;1,IF(C2924&lt;99,VLOOKUP(F2924,'MSA-Lookup'!$AA$1:$AB$25,2),C2924),C2924)</f>
        <v>7362</v>
      </c>
    </row>
    <row r="2925" customFormat="false" ht="12.75" hidden="false" customHeight="false" outlineLevel="0" collapsed="false">
      <c r="A2925" s="0" t="n">
        <f aca="false">B2925*1000+C2925</f>
        <v>46020</v>
      </c>
      <c r="B2925" s="0" t="n">
        <v>46</v>
      </c>
      <c r="C2925" s="0" t="n">
        <v>20</v>
      </c>
      <c r="D2925" s="0" t="n">
        <v>0</v>
      </c>
      <c r="E2925" s="0" t="n">
        <f aca="false">VLOOKUP(B2925,'MSA-Lookup'!$H$2:$I$86,2)</f>
        <v>360</v>
      </c>
      <c r="F2925" s="0" t="n">
        <f aca="false">IF(C2925&gt;1,IF(C2925&lt;99,VLOOKUP(C2925,'MSA-Lookup'!$H$1:$I$86,2),C2925),C2925)</f>
        <v>5775</v>
      </c>
      <c r="G2925" s="0" t="n">
        <f aca="false">VLOOKUP(E2925,'MSA-Lookup'!$AA$1:$AB$25,2)</f>
        <v>4472</v>
      </c>
      <c r="H2925" s="0" t="n">
        <f aca="false">IF(C2925&gt;1,IF(C2925&lt;99,VLOOKUP(F2925,'MSA-Lookup'!$AA$1:$AB$25,2),C2925),C2925)</f>
        <v>7362</v>
      </c>
    </row>
    <row r="2926" customFormat="false" ht="12.75" hidden="false" customHeight="false" outlineLevel="0" collapsed="false">
      <c r="A2926" s="0" t="n">
        <f aca="false">B2926*1000+C2926</f>
        <v>46021</v>
      </c>
      <c r="B2926" s="0" t="n">
        <v>46</v>
      </c>
      <c r="C2926" s="0" t="n">
        <v>21</v>
      </c>
      <c r="D2926" s="0" t="n">
        <v>0</v>
      </c>
      <c r="E2926" s="0" t="n">
        <f aca="false">VLOOKUP(B2926,'MSA-Lookup'!$H$2:$I$86,2)</f>
        <v>360</v>
      </c>
      <c r="F2926" s="0" t="n">
        <f aca="false">IF(C2926&gt;1,IF(C2926&lt;99,VLOOKUP(C2926,'MSA-Lookup'!$H$1:$I$86,2),C2926),C2926)</f>
        <v>5775</v>
      </c>
      <c r="G2926" s="0" t="n">
        <f aca="false">VLOOKUP(E2926,'MSA-Lookup'!$AA$1:$AB$25,2)</f>
        <v>4472</v>
      </c>
      <c r="H2926" s="0" t="n">
        <f aca="false">IF(C2926&gt;1,IF(C2926&lt;99,VLOOKUP(F2926,'MSA-Lookup'!$AA$1:$AB$25,2),C2926),C2926)</f>
        <v>7362</v>
      </c>
    </row>
    <row r="2927" customFormat="false" ht="12.75" hidden="false" customHeight="false" outlineLevel="0" collapsed="false">
      <c r="A2927" s="0" t="n">
        <f aca="false">B2927*1000+C2927</f>
        <v>46022</v>
      </c>
      <c r="B2927" s="0" t="n">
        <v>46</v>
      </c>
      <c r="C2927" s="0" t="n">
        <v>22</v>
      </c>
      <c r="D2927" s="0" t="n">
        <v>0</v>
      </c>
      <c r="E2927" s="0" t="n">
        <f aca="false">VLOOKUP(B2927,'MSA-Lookup'!$H$2:$I$86,2)</f>
        <v>360</v>
      </c>
      <c r="F2927" s="0" t="n">
        <f aca="false">IF(C2927&gt;1,IF(C2927&lt;99,VLOOKUP(C2927,'MSA-Lookup'!$H$1:$I$86,2),C2927),C2927)</f>
        <v>7360</v>
      </c>
      <c r="G2927" s="0" t="n">
        <f aca="false">VLOOKUP(E2927,'MSA-Lookup'!$AA$1:$AB$25,2)</f>
        <v>4472</v>
      </c>
      <c r="H2927" s="0" t="n">
        <f aca="false">IF(C2927&gt;1,IF(C2927&lt;99,VLOOKUP(F2927,'MSA-Lookup'!$AA$1:$AB$25,2),C2927),C2927)</f>
        <v>7362</v>
      </c>
    </row>
    <row r="2928" customFormat="false" ht="12.75" hidden="false" customHeight="false" outlineLevel="0" collapsed="false">
      <c r="A2928" s="0" t="n">
        <f aca="false">B2928*1000+C2928</f>
        <v>46023</v>
      </c>
      <c r="B2928" s="0" t="n">
        <v>46</v>
      </c>
      <c r="C2928" s="0" t="n">
        <v>23</v>
      </c>
      <c r="D2928" s="0" t="n">
        <v>0</v>
      </c>
      <c r="E2928" s="0" t="n">
        <f aca="false">VLOOKUP(B2928,'MSA-Lookup'!$H$2:$I$86,2)</f>
        <v>360</v>
      </c>
      <c r="F2928" s="0" t="n">
        <f aca="false">IF(C2928&gt;1,IF(C2928&lt;99,VLOOKUP(C2928,'MSA-Lookup'!$H$1:$I$86,2),C2928),C2928)</f>
        <v>8120</v>
      </c>
      <c r="G2928" s="0" t="n">
        <f aca="false">VLOOKUP(E2928,'MSA-Lookup'!$AA$1:$AB$25,2)</f>
        <v>4472</v>
      </c>
      <c r="H2928" s="0" t="n">
        <f aca="false">IF(C2928&gt;1,IF(C2928&lt;99,VLOOKUP(F2928,'MSA-Lookup'!$AA$1:$AB$25,2),C2928),C2928)</f>
        <v>8120</v>
      </c>
    </row>
    <row r="2929" customFormat="false" ht="12.75" hidden="false" customHeight="false" outlineLevel="0" collapsed="false">
      <c r="A2929" s="0" t="n">
        <f aca="false">B2929*1000+C2929</f>
        <v>46024</v>
      </c>
      <c r="B2929" s="0" t="n">
        <v>46</v>
      </c>
      <c r="C2929" s="0" t="n">
        <v>24</v>
      </c>
      <c r="D2929" s="0" t="n">
        <v>0</v>
      </c>
      <c r="E2929" s="0" t="n">
        <f aca="false">VLOOKUP(B2929,'MSA-Lookup'!$H$2:$I$86,2)</f>
        <v>360</v>
      </c>
      <c r="F2929" s="0" t="n">
        <f aca="false">IF(C2929&gt;1,IF(C2929&lt;99,VLOOKUP(C2929,'MSA-Lookup'!$H$1:$I$86,2),C2929),C2929)</f>
        <v>5170</v>
      </c>
      <c r="G2929" s="0" t="n">
        <f aca="false">VLOOKUP(E2929,'MSA-Lookup'!$AA$1:$AB$25,2)</f>
        <v>4472</v>
      </c>
      <c r="H2929" s="0" t="n">
        <f aca="false">IF(C2929&gt;1,IF(C2929&lt;99,VLOOKUP(F2929,'MSA-Lookup'!$AA$1:$AB$25,2),C2929),C2929)</f>
        <v>5170</v>
      </c>
    </row>
    <row r="2930" customFormat="false" ht="12.75" hidden="false" customHeight="false" outlineLevel="0" collapsed="false">
      <c r="A2930" s="0" t="n">
        <f aca="false">B2930*1000+C2930</f>
        <v>46025</v>
      </c>
      <c r="B2930" s="0" t="n">
        <v>46</v>
      </c>
      <c r="C2930" s="0" t="n">
        <v>25</v>
      </c>
      <c r="D2930" s="0" t="n">
        <v>0</v>
      </c>
      <c r="E2930" s="0" t="n">
        <f aca="false">VLOOKUP(B2930,'MSA-Lookup'!$H$2:$I$86,2)</f>
        <v>360</v>
      </c>
      <c r="F2930" s="0" t="n">
        <f aca="false">IF(C2930&gt;1,IF(C2930&lt;99,VLOOKUP(C2930,'MSA-Lookup'!$H$1:$I$86,2),C2930),C2930)</f>
        <v>5170</v>
      </c>
      <c r="G2930" s="0" t="n">
        <f aca="false">VLOOKUP(E2930,'MSA-Lookup'!$AA$1:$AB$25,2)</f>
        <v>4472</v>
      </c>
      <c r="H2930" s="0" t="n">
        <f aca="false">IF(C2930&gt;1,IF(C2930&lt;99,VLOOKUP(F2930,'MSA-Lookup'!$AA$1:$AB$25,2),C2930),C2930)</f>
        <v>5170</v>
      </c>
    </row>
    <row r="2931" customFormat="false" ht="12.75" hidden="false" customHeight="false" outlineLevel="0" collapsed="false">
      <c r="A2931" s="0" t="n">
        <f aca="false">B2931*1000+C2931</f>
        <v>46026</v>
      </c>
      <c r="B2931" s="0" t="n">
        <v>46</v>
      </c>
      <c r="C2931" s="0" t="n">
        <v>26</v>
      </c>
      <c r="D2931" s="0" t="n">
        <v>0</v>
      </c>
      <c r="E2931" s="0" t="n">
        <f aca="false">VLOOKUP(B2931,'MSA-Lookup'!$H$2:$I$86,2)</f>
        <v>360</v>
      </c>
      <c r="F2931" s="0" t="n">
        <f aca="false">IF(C2931&gt;1,IF(C2931&lt;99,VLOOKUP(C2931,'MSA-Lookup'!$H$1:$I$86,2),C2931),C2931)</f>
        <v>9999</v>
      </c>
      <c r="G2931" s="0" t="n">
        <f aca="false">VLOOKUP(E2931,'MSA-Lookup'!$AA$1:$AB$25,2)</f>
        <v>4472</v>
      </c>
      <c r="H2931" s="0" t="n">
        <f aca="false">IF(C2931&gt;1,IF(C2931&lt;99,VLOOKUP(F2931,'MSA-Lookup'!$AA$1:$AB$25,2),C2931),C2931)</f>
        <v>9999</v>
      </c>
    </row>
    <row r="2932" customFormat="false" ht="12.75" hidden="false" customHeight="false" outlineLevel="0" collapsed="false">
      <c r="A2932" s="0" t="n">
        <f aca="false">B2932*1000+C2932</f>
        <v>46027</v>
      </c>
      <c r="B2932" s="0" t="n">
        <v>46</v>
      </c>
      <c r="C2932" s="0" t="n">
        <v>27</v>
      </c>
      <c r="D2932" s="0" t="n">
        <v>0</v>
      </c>
      <c r="E2932" s="0" t="n">
        <f aca="false">VLOOKUP(B2932,'MSA-Lookup'!$H$2:$I$86,2)</f>
        <v>360</v>
      </c>
      <c r="F2932" s="0" t="n">
        <f aca="false">IF(C2932&gt;1,IF(C2932&lt;99,VLOOKUP(C2932,'MSA-Lookup'!$H$1:$I$86,2),C2932),C2932)</f>
        <v>9999</v>
      </c>
      <c r="G2932" s="0" t="n">
        <f aca="false">VLOOKUP(E2932,'MSA-Lookup'!$AA$1:$AB$25,2)</f>
        <v>4472</v>
      </c>
      <c r="H2932" s="0" t="n">
        <f aca="false">IF(C2932&gt;1,IF(C2932&lt;99,VLOOKUP(F2932,'MSA-Lookup'!$AA$1:$AB$25,2),C2932),C2932)</f>
        <v>9999</v>
      </c>
    </row>
    <row r="2933" customFormat="false" ht="12.75" hidden="false" customHeight="false" outlineLevel="0" collapsed="false">
      <c r="A2933" s="0" t="n">
        <f aca="false">B2933*1000+C2933</f>
        <v>46028</v>
      </c>
      <c r="B2933" s="0" t="n">
        <v>46</v>
      </c>
      <c r="C2933" s="0" t="n">
        <v>28</v>
      </c>
      <c r="D2933" s="0" t="n">
        <v>0</v>
      </c>
      <c r="E2933" s="0" t="n">
        <f aca="false">VLOOKUP(B2933,'MSA-Lookup'!$H$2:$I$86,2)</f>
        <v>360</v>
      </c>
      <c r="F2933" s="0" t="n">
        <f aca="false">IF(C2933&gt;1,IF(C2933&lt;99,VLOOKUP(C2933,'MSA-Lookup'!$H$1:$I$86,2),C2933),C2933)</f>
        <v>6920</v>
      </c>
      <c r="G2933" s="0" t="n">
        <f aca="false">VLOOKUP(E2933,'MSA-Lookup'!$AA$1:$AB$25,2)</f>
        <v>4472</v>
      </c>
      <c r="H2933" s="0" t="n">
        <f aca="false">IF(C2933&gt;1,IF(C2933&lt;99,VLOOKUP(F2933,'MSA-Lookup'!$AA$1:$AB$25,2),C2933),C2933)</f>
        <v>6920</v>
      </c>
    </row>
    <row r="2934" customFormat="false" ht="12.75" hidden="false" customHeight="false" outlineLevel="0" collapsed="false">
      <c r="A2934" s="0" t="n">
        <f aca="false">B2934*1000+C2934</f>
        <v>46029</v>
      </c>
      <c r="B2934" s="0" t="n">
        <v>46</v>
      </c>
      <c r="C2934" s="0" t="n">
        <v>29</v>
      </c>
      <c r="D2934" s="0" t="n">
        <v>0</v>
      </c>
      <c r="E2934" s="0" t="n">
        <f aca="false">VLOOKUP(B2934,'MSA-Lookup'!$H$2:$I$86,2)</f>
        <v>360</v>
      </c>
      <c r="F2934" s="0" t="n">
        <f aca="false">IF(C2934&gt;1,IF(C2934&lt;99,VLOOKUP(C2934,'MSA-Lookup'!$H$1:$I$86,2),C2934),C2934)</f>
        <v>6920</v>
      </c>
      <c r="G2934" s="0" t="n">
        <f aca="false">VLOOKUP(E2934,'MSA-Lookup'!$AA$1:$AB$25,2)</f>
        <v>4472</v>
      </c>
      <c r="H2934" s="0" t="n">
        <f aca="false">IF(C2934&gt;1,IF(C2934&lt;99,VLOOKUP(F2934,'MSA-Lookup'!$AA$1:$AB$25,2),C2934),C2934)</f>
        <v>6920</v>
      </c>
    </row>
    <row r="2935" customFormat="false" ht="12.75" hidden="false" customHeight="false" outlineLevel="0" collapsed="false">
      <c r="A2935" s="0" t="n">
        <f aca="false">B2935*1000+C2935</f>
        <v>46030</v>
      </c>
      <c r="B2935" s="0" t="n">
        <v>46</v>
      </c>
      <c r="C2935" s="0" t="n">
        <v>30</v>
      </c>
      <c r="D2935" s="0" t="n">
        <v>0</v>
      </c>
      <c r="E2935" s="0" t="n">
        <f aca="false">VLOOKUP(B2935,'MSA-Lookup'!$H$2:$I$86,2)</f>
        <v>360</v>
      </c>
      <c r="F2935" s="0" t="n">
        <f aca="false">IF(C2935&gt;1,IF(C2935&lt;99,VLOOKUP(C2935,'MSA-Lookup'!$H$1:$I$86,2),C2935),C2935)</f>
        <v>4940</v>
      </c>
      <c r="G2935" s="0" t="n">
        <f aca="false">VLOOKUP(E2935,'MSA-Lookup'!$AA$1:$AB$25,2)</f>
        <v>4472</v>
      </c>
      <c r="H2935" s="0" t="n">
        <f aca="false">IF(C2935&gt;1,IF(C2935&lt;99,VLOOKUP(F2935,'MSA-Lookup'!$AA$1:$AB$25,2),C2935),C2935)</f>
        <v>4940</v>
      </c>
    </row>
    <row r="2936" customFormat="false" ht="12.75" hidden="false" customHeight="false" outlineLevel="0" collapsed="false">
      <c r="A2936" s="0" t="n">
        <f aca="false">B2936*1000+C2936</f>
        <v>46031</v>
      </c>
      <c r="B2936" s="0" t="n">
        <v>46</v>
      </c>
      <c r="C2936" s="0" t="n">
        <v>31</v>
      </c>
      <c r="D2936" s="0" t="n">
        <v>0</v>
      </c>
      <c r="E2936" s="0" t="n">
        <f aca="false">VLOOKUP(B2936,'MSA-Lookup'!$H$2:$I$86,2)</f>
        <v>360</v>
      </c>
      <c r="F2936" s="0" t="n">
        <f aca="false">IF(C2936&gt;1,IF(C2936&lt;99,VLOOKUP(C2936,'MSA-Lookup'!$H$1:$I$86,2),C2936),C2936)</f>
        <v>9999</v>
      </c>
      <c r="G2936" s="0" t="n">
        <f aca="false">VLOOKUP(E2936,'MSA-Lookup'!$AA$1:$AB$25,2)</f>
        <v>4472</v>
      </c>
      <c r="H2936" s="0" t="n">
        <f aca="false">IF(C2936&gt;1,IF(C2936&lt;99,VLOOKUP(F2936,'MSA-Lookup'!$AA$1:$AB$25,2),C2936),C2936)</f>
        <v>9999</v>
      </c>
    </row>
    <row r="2937" customFormat="false" ht="12.75" hidden="false" customHeight="false" outlineLevel="0" collapsed="false">
      <c r="A2937" s="0" t="n">
        <f aca="false">B2937*1000+C2937</f>
        <v>46032</v>
      </c>
      <c r="B2937" s="0" t="n">
        <v>46</v>
      </c>
      <c r="C2937" s="0" t="n">
        <v>32</v>
      </c>
      <c r="D2937" s="0" t="n">
        <v>0</v>
      </c>
      <c r="E2937" s="0" t="n">
        <f aca="false">VLOOKUP(B2937,'MSA-Lookup'!$H$2:$I$86,2)</f>
        <v>360</v>
      </c>
      <c r="F2937" s="0" t="n">
        <f aca="false">IF(C2937&gt;1,IF(C2937&lt;99,VLOOKUP(C2937,'MSA-Lookup'!$H$1:$I$86,2),C2937),C2937)</f>
        <v>7480</v>
      </c>
      <c r="G2937" s="0" t="n">
        <f aca="false">VLOOKUP(E2937,'MSA-Lookup'!$AA$1:$AB$25,2)</f>
        <v>4472</v>
      </c>
      <c r="H2937" s="0" t="n">
        <f aca="false">IF(C2937&gt;1,IF(C2937&lt;99,VLOOKUP(F2937,'MSA-Lookup'!$AA$1:$AB$25,2),C2937),C2937)</f>
        <v>7480</v>
      </c>
    </row>
    <row r="2938" customFormat="false" ht="12.75" hidden="false" customHeight="false" outlineLevel="0" collapsed="false">
      <c r="A2938" s="0" t="n">
        <f aca="false">B2938*1000+C2938</f>
        <v>46033</v>
      </c>
      <c r="B2938" s="0" t="n">
        <v>46</v>
      </c>
      <c r="C2938" s="0" t="n">
        <v>33</v>
      </c>
      <c r="D2938" s="0" t="n">
        <v>0</v>
      </c>
      <c r="E2938" s="0" t="n">
        <f aca="false">VLOOKUP(B2938,'MSA-Lookup'!$H$2:$I$86,2)</f>
        <v>360</v>
      </c>
      <c r="F2938" s="0" t="n">
        <f aca="false">IF(C2938&gt;1,IF(C2938&lt;99,VLOOKUP(C2938,'MSA-Lookup'!$H$1:$I$86,2),C2938),C2938)</f>
        <v>7320</v>
      </c>
      <c r="G2938" s="0" t="n">
        <f aca="false">VLOOKUP(E2938,'MSA-Lookup'!$AA$1:$AB$25,2)</f>
        <v>4472</v>
      </c>
      <c r="H2938" s="0" t="n">
        <f aca="false">IF(C2938&gt;1,IF(C2938&lt;99,VLOOKUP(F2938,'MSA-Lookup'!$AA$1:$AB$25,2),C2938),C2938)</f>
        <v>7320</v>
      </c>
    </row>
    <row r="2939" customFormat="false" ht="12.75" hidden="false" customHeight="false" outlineLevel="0" collapsed="false">
      <c r="A2939" s="0" t="n">
        <f aca="false">B2939*1000+C2939</f>
        <v>46034</v>
      </c>
      <c r="B2939" s="0" t="n">
        <v>46</v>
      </c>
      <c r="C2939" s="0" t="n">
        <v>34</v>
      </c>
      <c r="D2939" s="0" t="n">
        <v>0</v>
      </c>
      <c r="E2939" s="0" t="n">
        <f aca="false">VLOOKUP(B2939,'MSA-Lookup'!$H$2:$I$86,2)</f>
        <v>360</v>
      </c>
      <c r="F2939" s="0" t="n">
        <f aca="false">IF(C2939&gt;1,IF(C2939&lt;99,VLOOKUP(C2939,'MSA-Lookup'!$H$1:$I$86,2),C2939),C2939)</f>
        <v>7320</v>
      </c>
      <c r="G2939" s="0" t="n">
        <f aca="false">VLOOKUP(E2939,'MSA-Lookup'!$AA$1:$AB$25,2)</f>
        <v>4472</v>
      </c>
      <c r="H2939" s="0" t="n">
        <f aca="false">IF(C2939&gt;1,IF(C2939&lt;99,VLOOKUP(F2939,'MSA-Lookup'!$AA$1:$AB$25,2),C2939),C2939)</f>
        <v>7320</v>
      </c>
    </row>
    <row r="2940" customFormat="false" ht="12.75" hidden="false" customHeight="false" outlineLevel="0" collapsed="false">
      <c r="A2940" s="0" t="n">
        <f aca="false">B2940*1000+C2940</f>
        <v>46035</v>
      </c>
      <c r="B2940" s="0" t="n">
        <v>46</v>
      </c>
      <c r="C2940" s="0" t="n">
        <v>35</v>
      </c>
      <c r="D2940" s="0" t="n">
        <v>0</v>
      </c>
      <c r="E2940" s="0" t="n">
        <f aca="false">VLOOKUP(B2940,'MSA-Lookup'!$H$2:$I$86,2)</f>
        <v>360</v>
      </c>
      <c r="F2940" s="0" t="n">
        <f aca="false">IF(C2940&gt;1,IF(C2940&lt;99,VLOOKUP(C2940,'MSA-Lookup'!$H$1:$I$86,2),C2940),C2940)</f>
        <v>7320</v>
      </c>
      <c r="G2940" s="0" t="n">
        <f aca="false">VLOOKUP(E2940,'MSA-Lookup'!$AA$1:$AB$25,2)</f>
        <v>4472</v>
      </c>
      <c r="H2940" s="0" t="n">
        <f aca="false">IF(C2940&gt;1,IF(C2940&lt;99,VLOOKUP(F2940,'MSA-Lookup'!$AA$1:$AB$25,2),C2940),C2940)</f>
        <v>7320</v>
      </c>
    </row>
    <row r="2941" customFormat="false" ht="12.75" hidden="false" customHeight="false" outlineLevel="0" collapsed="false">
      <c r="A2941" s="0" t="n">
        <f aca="false">B2941*1000+C2941</f>
        <v>46036</v>
      </c>
      <c r="B2941" s="0" t="n">
        <v>46</v>
      </c>
      <c r="C2941" s="0" t="n">
        <v>36</v>
      </c>
      <c r="D2941" s="0" t="n">
        <v>0</v>
      </c>
      <c r="E2941" s="0" t="n">
        <f aca="false">VLOOKUP(B2941,'MSA-Lookup'!$H$2:$I$86,2)</f>
        <v>360</v>
      </c>
      <c r="F2941" s="0" t="n">
        <f aca="false">IF(C2941&gt;1,IF(C2941&lt;99,VLOOKUP(C2941,'MSA-Lookup'!$H$1:$I$86,2),C2941),C2941)</f>
        <v>7320</v>
      </c>
      <c r="G2941" s="0" t="n">
        <f aca="false">VLOOKUP(E2941,'MSA-Lookup'!$AA$1:$AB$25,2)</f>
        <v>4472</v>
      </c>
      <c r="H2941" s="0" t="n">
        <f aca="false">IF(C2941&gt;1,IF(C2941&lt;99,VLOOKUP(F2941,'MSA-Lookup'!$AA$1:$AB$25,2),C2941),C2941)</f>
        <v>7320</v>
      </c>
    </row>
    <row r="2942" customFormat="false" ht="12.75" hidden="false" customHeight="false" outlineLevel="0" collapsed="false">
      <c r="A2942" s="0" t="n">
        <f aca="false">B2942*1000+C2942</f>
        <v>46037</v>
      </c>
      <c r="B2942" s="0" t="n">
        <v>46</v>
      </c>
      <c r="C2942" s="0" t="n">
        <v>37</v>
      </c>
      <c r="D2942" s="0" t="n">
        <v>91</v>
      </c>
      <c r="E2942" s="0" t="n">
        <f aca="false">VLOOKUP(B2942,'MSA-Lookup'!$H$2:$I$86,2)</f>
        <v>360</v>
      </c>
      <c r="F2942" s="0" t="n">
        <f aca="false">IF(C2942&gt;1,IF(C2942&lt;99,VLOOKUP(C2942,'MSA-Lookup'!$H$1:$I$86,2),C2942),C2942)</f>
        <v>7320</v>
      </c>
      <c r="G2942" s="0" t="n">
        <f aca="false">VLOOKUP(E2942,'MSA-Lookup'!$AA$1:$AB$25,2)</f>
        <v>4472</v>
      </c>
      <c r="H2942" s="0" t="n">
        <f aca="false">IF(C2942&gt;1,IF(C2942&lt;99,VLOOKUP(F2942,'MSA-Lookup'!$AA$1:$AB$25,2),C2942),C2942)</f>
        <v>7320</v>
      </c>
    </row>
    <row r="2943" customFormat="false" ht="12.75" hidden="false" customHeight="false" outlineLevel="0" collapsed="false">
      <c r="A2943" s="0" t="n">
        <f aca="false">B2943*1000+C2943</f>
        <v>46038</v>
      </c>
      <c r="B2943" s="0" t="n">
        <v>46</v>
      </c>
      <c r="C2943" s="0" t="n">
        <v>38</v>
      </c>
      <c r="D2943" s="0" t="n">
        <v>0</v>
      </c>
      <c r="E2943" s="0" t="n">
        <f aca="false">VLOOKUP(B2943,'MSA-Lookup'!$H$2:$I$86,2)</f>
        <v>360</v>
      </c>
      <c r="F2943" s="0" t="n">
        <f aca="false">IF(C2943&gt;1,IF(C2943&lt;99,VLOOKUP(C2943,'MSA-Lookup'!$H$1:$I$86,2),C2943),C2943)</f>
        <v>7120</v>
      </c>
      <c r="G2943" s="0" t="n">
        <f aca="false">VLOOKUP(E2943,'MSA-Lookup'!$AA$1:$AB$25,2)</f>
        <v>4472</v>
      </c>
      <c r="H2943" s="0" t="n">
        <f aca="false">IF(C2943&gt;1,IF(C2943&lt;99,VLOOKUP(F2943,'MSA-Lookup'!$AA$1:$AB$25,2),C2943),C2943)</f>
        <v>7120</v>
      </c>
    </row>
    <row r="2944" customFormat="false" ht="12.75" hidden="false" customHeight="false" outlineLevel="0" collapsed="false">
      <c r="A2944" s="0" t="n">
        <f aca="false">B2944*1000+C2944</f>
        <v>46039</v>
      </c>
      <c r="B2944" s="0" t="n">
        <v>46</v>
      </c>
      <c r="C2944" s="0" t="n">
        <v>39</v>
      </c>
      <c r="D2944" s="0" t="n">
        <v>0</v>
      </c>
      <c r="E2944" s="0" t="n">
        <f aca="false">VLOOKUP(B2944,'MSA-Lookup'!$H$2:$I$86,2)</f>
        <v>360</v>
      </c>
      <c r="F2944" s="0" t="n">
        <f aca="false">IF(C2944&gt;1,IF(C2944&lt;99,VLOOKUP(C2944,'MSA-Lookup'!$H$1:$I$86,2),C2944),C2944)</f>
        <v>7120</v>
      </c>
      <c r="G2944" s="0" t="n">
        <f aca="false">VLOOKUP(E2944,'MSA-Lookup'!$AA$1:$AB$25,2)</f>
        <v>4472</v>
      </c>
      <c r="H2944" s="0" t="n">
        <f aca="false">IF(C2944&gt;1,IF(C2944&lt;99,VLOOKUP(F2944,'MSA-Lookup'!$AA$1:$AB$25,2),C2944),C2944)</f>
        <v>7120</v>
      </c>
    </row>
    <row r="2945" customFormat="false" ht="12.75" hidden="false" customHeight="false" outlineLevel="0" collapsed="false">
      <c r="A2945" s="0" t="n">
        <f aca="false">B2945*1000+C2945</f>
        <v>46040</v>
      </c>
      <c r="B2945" s="0" t="n">
        <v>46</v>
      </c>
      <c r="C2945" s="0" t="n">
        <v>40</v>
      </c>
      <c r="D2945" s="0" t="n">
        <v>0</v>
      </c>
      <c r="E2945" s="0" t="n">
        <f aca="false">VLOOKUP(B2945,'MSA-Lookup'!$H$2:$I$86,2)</f>
        <v>360</v>
      </c>
      <c r="F2945" s="0" t="n">
        <f aca="false">IF(C2945&gt;1,IF(C2945&lt;99,VLOOKUP(C2945,'MSA-Lookup'!$H$1:$I$86,2),C2945),C2945)</f>
        <v>2840</v>
      </c>
      <c r="G2945" s="0" t="n">
        <f aca="false">VLOOKUP(E2945,'MSA-Lookup'!$AA$1:$AB$25,2)</f>
        <v>4472</v>
      </c>
      <c r="H2945" s="0" t="n">
        <f aca="false">IF(C2945&gt;1,IF(C2945&lt;99,VLOOKUP(F2945,'MSA-Lookup'!$AA$1:$AB$25,2),C2945),C2945)</f>
        <v>2840</v>
      </c>
    </row>
    <row r="2946" customFormat="false" ht="12.75" hidden="false" customHeight="false" outlineLevel="0" collapsed="false">
      <c r="A2946" s="0" t="n">
        <f aca="false">B2946*1000+C2946</f>
        <v>46041</v>
      </c>
      <c r="B2946" s="0" t="n">
        <v>46</v>
      </c>
      <c r="C2946" s="0" t="n">
        <v>41</v>
      </c>
      <c r="D2946" s="0" t="n">
        <v>0</v>
      </c>
      <c r="E2946" s="0" t="n">
        <f aca="false">VLOOKUP(B2946,'MSA-Lookup'!$H$2:$I$86,2)</f>
        <v>360</v>
      </c>
      <c r="F2946" s="0" t="n">
        <f aca="false">IF(C2946&gt;1,IF(C2946&lt;99,VLOOKUP(C2946,'MSA-Lookup'!$H$1:$I$86,2),C2946),C2946)</f>
        <v>2840</v>
      </c>
      <c r="G2946" s="0" t="n">
        <f aca="false">VLOOKUP(E2946,'MSA-Lookup'!$AA$1:$AB$25,2)</f>
        <v>4472</v>
      </c>
      <c r="H2946" s="0" t="n">
        <f aca="false">IF(C2946&gt;1,IF(C2946&lt;99,VLOOKUP(F2946,'MSA-Lookup'!$AA$1:$AB$25,2),C2946),C2946)</f>
        <v>2840</v>
      </c>
    </row>
    <row r="2947" customFormat="false" ht="12.75" hidden="false" customHeight="false" outlineLevel="0" collapsed="false">
      <c r="A2947" s="0" t="n">
        <f aca="false">B2947*1000+C2947</f>
        <v>46042</v>
      </c>
      <c r="B2947" s="0" t="n">
        <v>46</v>
      </c>
      <c r="C2947" s="0" t="n">
        <v>42</v>
      </c>
      <c r="D2947" s="0" t="n">
        <v>4706</v>
      </c>
      <c r="E2947" s="0" t="n">
        <f aca="false">VLOOKUP(B2947,'MSA-Lookup'!$H$2:$I$86,2)</f>
        <v>360</v>
      </c>
      <c r="F2947" s="0" t="n">
        <f aca="false">IF(C2947&gt;1,IF(C2947&lt;99,VLOOKUP(C2947,'MSA-Lookup'!$H$1:$I$86,2),C2947),C2947)</f>
        <v>360</v>
      </c>
      <c r="G2947" s="0" t="n">
        <f aca="false">VLOOKUP(E2947,'MSA-Lookup'!$AA$1:$AB$25,2)</f>
        <v>4472</v>
      </c>
      <c r="H2947" s="0" t="n">
        <f aca="false">IF(C2947&gt;1,IF(C2947&lt;99,VLOOKUP(F2947,'MSA-Lookup'!$AA$1:$AB$25,2),C2947),C2947)</f>
        <v>4472</v>
      </c>
    </row>
    <row r="2948" customFormat="false" ht="12.75" hidden="false" customHeight="false" outlineLevel="0" collapsed="false">
      <c r="A2948" s="0" t="n">
        <f aca="false">B2948*1000+C2948</f>
        <v>46043</v>
      </c>
      <c r="B2948" s="0" t="n">
        <v>46</v>
      </c>
      <c r="C2948" s="0" t="n">
        <v>43</v>
      </c>
      <c r="D2948" s="0" t="n">
        <v>169</v>
      </c>
      <c r="E2948" s="0" t="n">
        <f aca="false">VLOOKUP(B2948,'MSA-Lookup'!$H$2:$I$86,2)</f>
        <v>360</v>
      </c>
      <c r="F2948" s="0" t="n">
        <f aca="false">IF(C2948&gt;1,IF(C2948&lt;99,VLOOKUP(C2948,'MSA-Lookup'!$H$1:$I$86,2),C2948),C2948)</f>
        <v>360</v>
      </c>
      <c r="G2948" s="0" t="n">
        <f aca="false">VLOOKUP(E2948,'MSA-Lookup'!$AA$1:$AB$25,2)</f>
        <v>4472</v>
      </c>
      <c r="H2948" s="0" t="n">
        <f aca="false">IF(C2948&gt;1,IF(C2948&lt;99,VLOOKUP(F2948,'MSA-Lookup'!$AA$1:$AB$25,2),C2948),C2948)</f>
        <v>4472</v>
      </c>
    </row>
    <row r="2949" customFormat="false" ht="12.75" hidden="false" customHeight="false" outlineLevel="0" collapsed="false">
      <c r="A2949" s="0" t="n">
        <f aca="false">B2949*1000+C2949</f>
        <v>46044</v>
      </c>
      <c r="B2949" s="0" t="n">
        <v>46</v>
      </c>
      <c r="C2949" s="0" t="n">
        <v>44</v>
      </c>
      <c r="D2949" s="0" t="n">
        <v>234</v>
      </c>
      <c r="E2949" s="0" t="n">
        <f aca="false">VLOOKUP(B2949,'MSA-Lookup'!$H$2:$I$86,2)</f>
        <v>360</v>
      </c>
      <c r="F2949" s="0" t="n">
        <f aca="false">IF(C2949&gt;1,IF(C2949&lt;99,VLOOKUP(C2949,'MSA-Lookup'!$H$1:$I$86,2),C2949),C2949)</f>
        <v>360</v>
      </c>
      <c r="G2949" s="0" t="n">
        <f aca="false">VLOOKUP(E2949,'MSA-Lookup'!$AA$1:$AB$25,2)</f>
        <v>4472</v>
      </c>
      <c r="H2949" s="0" t="n">
        <f aca="false">IF(C2949&gt;1,IF(C2949&lt;99,VLOOKUP(F2949,'MSA-Lookup'!$AA$1:$AB$25,2),C2949),C2949)</f>
        <v>4472</v>
      </c>
    </row>
    <row r="2950" customFormat="false" ht="12.75" hidden="false" customHeight="false" outlineLevel="0" collapsed="false">
      <c r="A2950" s="0" t="n">
        <f aca="false">B2950*1000+C2950</f>
        <v>46045</v>
      </c>
      <c r="B2950" s="0" t="n">
        <v>46</v>
      </c>
      <c r="C2950" s="0" t="n">
        <v>45</v>
      </c>
      <c r="D2950" s="0" t="n">
        <v>351</v>
      </c>
      <c r="E2950" s="0" t="n">
        <f aca="false">VLOOKUP(B2950,'MSA-Lookup'!$H$2:$I$86,2)</f>
        <v>360</v>
      </c>
      <c r="F2950" s="0" t="n">
        <f aca="false">IF(C2950&gt;1,IF(C2950&lt;99,VLOOKUP(C2950,'MSA-Lookup'!$H$1:$I$86,2),C2950),C2950)</f>
        <v>360</v>
      </c>
      <c r="G2950" s="0" t="n">
        <f aca="false">VLOOKUP(E2950,'MSA-Lookup'!$AA$1:$AB$25,2)</f>
        <v>4472</v>
      </c>
      <c r="H2950" s="0" t="n">
        <f aca="false">IF(C2950&gt;1,IF(C2950&lt;99,VLOOKUP(F2950,'MSA-Lookup'!$AA$1:$AB$25,2),C2950),C2950)</f>
        <v>4472</v>
      </c>
    </row>
    <row r="2951" customFormat="false" ht="12.75" hidden="false" customHeight="false" outlineLevel="0" collapsed="false">
      <c r="A2951" s="0" t="n">
        <f aca="false">B2951*1000+C2951</f>
        <v>46046</v>
      </c>
      <c r="B2951" s="0" t="n">
        <v>46</v>
      </c>
      <c r="C2951" s="0" t="n">
        <v>46</v>
      </c>
      <c r="D2951" s="0" t="n">
        <v>12506</v>
      </c>
      <c r="E2951" s="0" t="n">
        <f aca="false">VLOOKUP(B2951,'MSA-Lookup'!$H$2:$I$86,2)</f>
        <v>360</v>
      </c>
      <c r="F2951" s="0" t="n">
        <f aca="false">IF(C2951&gt;1,IF(C2951&lt;99,VLOOKUP(C2951,'MSA-Lookup'!$H$1:$I$86,2),C2951),C2951)</f>
        <v>360</v>
      </c>
      <c r="G2951" s="0" t="n">
        <f aca="false">VLOOKUP(E2951,'MSA-Lookup'!$AA$1:$AB$25,2)</f>
        <v>4472</v>
      </c>
      <c r="H2951" s="0" t="n">
        <f aca="false">IF(C2951&gt;1,IF(C2951&lt;99,VLOOKUP(F2951,'MSA-Lookup'!$AA$1:$AB$25,2),C2951),C2951)</f>
        <v>4472</v>
      </c>
    </row>
    <row r="2952" customFormat="false" ht="12.75" hidden="false" customHeight="false" outlineLevel="0" collapsed="false">
      <c r="A2952" s="0" t="n">
        <f aca="false">B2952*1000+C2952</f>
        <v>46047</v>
      </c>
      <c r="B2952" s="0" t="n">
        <v>46</v>
      </c>
      <c r="C2952" s="0" t="n">
        <v>47</v>
      </c>
      <c r="D2952" s="0" t="n">
        <v>4810</v>
      </c>
      <c r="E2952" s="0" t="n">
        <f aca="false">VLOOKUP(B2952,'MSA-Lookup'!$H$2:$I$86,2)</f>
        <v>360</v>
      </c>
      <c r="F2952" s="0" t="n">
        <f aca="false">IF(C2952&gt;1,IF(C2952&lt;99,VLOOKUP(C2952,'MSA-Lookup'!$H$1:$I$86,2),C2952),C2952)</f>
        <v>360</v>
      </c>
      <c r="G2952" s="0" t="n">
        <f aca="false">VLOOKUP(E2952,'MSA-Lookup'!$AA$1:$AB$25,2)</f>
        <v>4472</v>
      </c>
      <c r="H2952" s="0" t="n">
        <f aca="false">IF(C2952&gt;1,IF(C2952&lt;99,VLOOKUP(F2952,'MSA-Lookup'!$AA$1:$AB$25,2),C2952),C2952)</f>
        <v>4472</v>
      </c>
    </row>
    <row r="2953" customFormat="false" ht="12.75" hidden="false" customHeight="false" outlineLevel="0" collapsed="false">
      <c r="A2953" s="0" t="n">
        <f aca="false">B2953*1000+C2953</f>
        <v>46048</v>
      </c>
      <c r="B2953" s="0" t="n">
        <v>46</v>
      </c>
      <c r="C2953" s="0" t="n">
        <v>48</v>
      </c>
      <c r="D2953" s="0" t="n">
        <v>25506</v>
      </c>
      <c r="E2953" s="0" t="n">
        <f aca="false">VLOOKUP(B2953,'MSA-Lookup'!$H$2:$I$86,2)</f>
        <v>360</v>
      </c>
      <c r="F2953" s="0" t="n">
        <f aca="false">IF(C2953&gt;1,IF(C2953&lt;99,VLOOKUP(C2953,'MSA-Lookup'!$H$1:$I$86,2),C2953),C2953)</f>
        <v>360</v>
      </c>
      <c r="G2953" s="0" t="n">
        <f aca="false">VLOOKUP(E2953,'MSA-Lookup'!$AA$1:$AB$25,2)</f>
        <v>4472</v>
      </c>
      <c r="H2953" s="0" t="n">
        <f aca="false">IF(C2953&gt;1,IF(C2953&lt;99,VLOOKUP(F2953,'MSA-Lookup'!$AA$1:$AB$25,2),C2953),C2953)</f>
        <v>4472</v>
      </c>
    </row>
    <row r="2954" customFormat="false" ht="12.75" hidden="false" customHeight="false" outlineLevel="0" collapsed="false">
      <c r="A2954" s="0" t="n">
        <f aca="false">B2954*1000+C2954</f>
        <v>46049</v>
      </c>
      <c r="B2954" s="0" t="n">
        <v>46</v>
      </c>
      <c r="C2954" s="0" t="n">
        <v>49</v>
      </c>
      <c r="D2954" s="0" t="n">
        <v>0</v>
      </c>
      <c r="E2954" s="0" t="n">
        <f aca="false">VLOOKUP(B2954,'MSA-Lookup'!$H$2:$I$86,2)</f>
        <v>360</v>
      </c>
      <c r="F2954" s="0" t="n">
        <f aca="false">IF(C2954&gt;1,IF(C2954&lt;99,VLOOKUP(C2954,'MSA-Lookup'!$H$1:$I$86,2),C2954),C2954)</f>
        <v>7400</v>
      </c>
      <c r="G2954" s="0" t="n">
        <f aca="false">VLOOKUP(E2954,'MSA-Lookup'!$AA$1:$AB$25,2)</f>
        <v>4472</v>
      </c>
      <c r="H2954" s="0" t="n">
        <f aca="false">IF(C2954&gt;1,IF(C2954&lt;99,VLOOKUP(F2954,'MSA-Lookup'!$AA$1:$AB$25,2),C2954),C2954)</f>
        <v>7362</v>
      </c>
    </row>
    <row r="2955" customFormat="false" ht="12.75" hidden="false" customHeight="false" outlineLevel="0" collapsed="false">
      <c r="A2955" s="0" t="n">
        <f aca="false">B2955*1000+C2955</f>
        <v>46050</v>
      </c>
      <c r="B2955" s="0" t="n">
        <v>46</v>
      </c>
      <c r="C2955" s="0" t="n">
        <v>50</v>
      </c>
      <c r="D2955" s="0" t="n">
        <v>0</v>
      </c>
      <c r="E2955" s="0" t="n">
        <f aca="false">VLOOKUP(B2955,'MSA-Lookup'!$H$2:$I$86,2)</f>
        <v>360</v>
      </c>
      <c r="F2955" s="0" t="n">
        <f aca="false">IF(C2955&gt;1,IF(C2955&lt;99,VLOOKUP(C2955,'MSA-Lookup'!$H$1:$I$86,2),C2955),C2955)</f>
        <v>7400</v>
      </c>
      <c r="G2955" s="0" t="n">
        <f aca="false">VLOOKUP(E2955,'MSA-Lookup'!$AA$1:$AB$25,2)</f>
        <v>4472</v>
      </c>
      <c r="H2955" s="0" t="n">
        <f aca="false">IF(C2955&gt;1,IF(C2955&lt;99,VLOOKUP(F2955,'MSA-Lookup'!$AA$1:$AB$25,2),C2955),C2955)</f>
        <v>7362</v>
      </c>
    </row>
    <row r="2956" customFormat="false" ht="12.75" hidden="false" customHeight="false" outlineLevel="0" collapsed="false">
      <c r="A2956" s="0" t="n">
        <f aca="false">B2956*1000+C2956</f>
        <v>46051</v>
      </c>
      <c r="B2956" s="0" t="n">
        <v>46</v>
      </c>
      <c r="C2956" s="0" t="n">
        <v>51</v>
      </c>
      <c r="D2956" s="0" t="n">
        <v>0</v>
      </c>
      <c r="E2956" s="0" t="n">
        <f aca="false">VLOOKUP(B2956,'MSA-Lookup'!$H$2:$I$86,2)</f>
        <v>360</v>
      </c>
      <c r="F2956" s="0" t="n">
        <f aca="false">IF(C2956&gt;1,IF(C2956&lt;99,VLOOKUP(C2956,'MSA-Lookup'!$H$1:$I$86,2),C2956),C2956)</f>
        <v>7400</v>
      </c>
      <c r="G2956" s="0" t="n">
        <f aca="false">VLOOKUP(E2956,'MSA-Lookup'!$AA$1:$AB$25,2)</f>
        <v>4472</v>
      </c>
      <c r="H2956" s="0" t="n">
        <f aca="false">IF(C2956&gt;1,IF(C2956&lt;99,VLOOKUP(F2956,'MSA-Lookup'!$AA$1:$AB$25,2),C2956),C2956)</f>
        <v>7362</v>
      </c>
    </row>
    <row r="2957" customFormat="false" ht="12.75" hidden="false" customHeight="false" outlineLevel="0" collapsed="false">
      <c r="A2957" s="0" t="n">
        <f aca="false">B2957*1000+C2957</f>
        <v>46052</v>
      </c>
      <c r="B2957" s="0" t="n">
        <v>46</v>
      </c>
      <c r="C2957" s="0" t="n">
        <v>52</v>
      </c>
      <c r="D2957" s="0" t="n">
        <v>91</v>
      </c>
      <c r="E2957" s="0" t="n">
        <f aca="false">VLOOKUP(B2957,'MSA-Lookup'!$H$2:$I$86,2)</f>
        <v>360</v>
      </c>
      <c r="F2957" s="0" t="n">
        <f aca="false">IF(C2957&gt;1,IF(C2957&lt;99,VLOOKUP(C2957,'MSA-Lookup'!$H$1:$I$86,2),C2957),C2957)</f>
        <v>4480</v>
      </c>
      <c r="G2957" s="0" t="n">
        <f aca="false">VLOOKUP(E2957,'MSA-Lookup'!$AA$1:$AB$25,2)</f>
        <v>4472</v>
      </c>
      <c r="H2957" s="0" t="n">
        <f aca="false">IF(C2957&gt;1,IF(C2957&lt;99,VLOOKUP(F2957,'MSA-Lookup'!$AA$1:$AB$25,2),C2957),C2957)</f>
        <v>4472</v>
      </c>
    </row>
    <row r="2958" customFormat="false" ht="12.75" hidden="false" customHeight="false" outlineLevel="0" collapsed="false">
      <c r="A2958" s="0" t="n">
        <f aca="false">B2958*1000+C2958</f>
        <v>46053</v>
      </c>
      <c r="B2958" s="0" t="n">
        <v>46</v>
      </c>
      <c r="C2958" s="0" t="n">
        <v>53</v>
      </c>
      <c r="D2958" s="0" t="n">
        <v>65</v>
      </c>
      <c r="E2958" s="0" t="n">
        <f aca="false">VLOOKUP(B2958,'MSA-Lookup'!$H$2:$I$86,2)</f>
        <v>360</v>
      </c>
      <c r="F2958" s="0" t="n">
        <f aca="false">IF(C2958&gt;1,IF(C2958&lt;99,VLOOKUP(C2958,'MSA-Lookup'!$H$1:$I$86,2),C2958),C2958)</f>
        <v>4480</v>
      </c>
      <c r="G2958" s="0" t="n">
        <f aca="false">VLOOKUP(E2958,'MSA-Lookup'!$AA$1:$AB$25,2)</f>
        <v>4472</v>
      </c>
      <c r="H2958" s="0" t="n">
        <f aca="false">IF(C2958&gt;1,IF(C2958&lt;99,VLOOKUP(F2958,'MSA-Lookup'!$AA$1:$AB$25,2),C2958),C2958)</f>
        <v>4472</v>
      </c>
    </row>
    <row r="2959" customFormat="false" ht="12.75" hidden="false" customHeight="false" outlineLevel="0" collapsed="false">
      <c r="A2959" s="0" t="n">
        <f aca="false">B2959*1000+C2959</f>
        <v>46054</v>
      </c>
      <c r="B2959" s="0" t="n">
        <v>46</v>
      </c>
      <c r="C2959" s="0" t="n">
        <v>54</v>
      </c>
      <c r="D2959" s="0" t="n">
        <v>91</v>
      </c>
      <c r="E2959" s="0" t="n">
        <f aca="false">VLOOKUP(B2959,'MSA-Lookup'!$H$2:$I$86,2)</f>
        <v>360</v>
      </c>
      <c r="F2959" s="0" t="n">
        <f aca="false">IF(C2959&gt;1,IF(C2959&lt;99,VLOOKUP(C2959,'MSA-Lookup'!$H$1:$I$86,2),C2959),C2959)</f>
        <v>4480</v>
      </c>
      <c r="G2959" s="0" t="n">
        <f aca="false">VLOOKUP(E2959,'MSA-Lookup'!$AA$1:$AB$25,2)</f>
        <v>4472</v>
      </c>
      <c r="H2959" s="0" t="n">
        <f aca="false">IF(C2959&gt;1,IF(C2959&lt;99,VLOOKUP(F2959,'MSA-Lookup'!$AA$1:$AB$25,2),C2959),C2959)</f>
        <v>4472</v>
      </c>
    </row>
    <row r="2960" customFormat="false" ht="12.75" hidden="false" customHeight="false" outlineLevel="0" collapsed="false">
      <c r="A2960" s="0" t="n">
        <f aca="false">B2960*1000+C2960</f>
        <v>46055</v>
      </c>
      <c r="B2960" s="0" t="n">
        <v>46</v>
      </c>
      <c r="C2960" s="0" t="n">
        <v>55</v>
      </c>
      <c r="D2960" s="0" t="n">
        <v>234</v>
      </c>
      <c r="E2960" s="0" t="n">
        <f aca="false">VLOOKUP(B2960,'MSA-Lookup'!$H$2:$I$86,2)</f>
        <v>360</v>
      </c>
      <c r="F2960" s="0" t="n">
        <f aca="false">IF(C2960&gt;1,IF(C2960&lt;99,VLOOKUP(C2960,'MSA-Lookup'!$H$1:$I$86,2),C2960),C2960)</f>
        <v>4480</v>
      </c>
      <c r="G2960" s="0" t="n">
        <f aca="false">VLOOKUP(E2960,'MSA-Lookup'!$AA$1:$AB$25,2)</f>
        <v>4472</v>
      </c>
      <c r="H2960" s="0" t="n">
        <f aca="false">IF(C2960&gt;1,IF(C2960&lt;99,VLOOKUP(F2960,'MSA-Lookup'!$AA$1:$AB$25,2),C2960),C2960)</f>
        <v>4472</v>
      </c>
    </row>
    <row r="2961" customFormat="false" ht="12.75" hidden="false" customHeight="false" outlineLevel="0" collapsed="false">
      <c r="A2961" s="0" t="n">
        <f aca="false">B2961*1000+C2961</f>
        <v>46056</v>
      </c>
      <c r="B2961" s="0" t="n">
        <v>46</v>
      </c>
      <c r="C2961" s="0" t="n">
        <v>56</v>
      </c>
      <c r="D2961" s="0" t="n">
        <v>0</v>
      </c>
      <c r="E2961" s="0" t="n">
        <f aca="false">VLOOKUP(B2961,'MSA-Lookup'!$H$2:$I$86,2)</f>
        <v>360</v>
      </c>
      <c r="F2961" s="0" t="n">
        <f aca="false">IF(C2961&gt;1,IF(C2961&lt;99,VLOOKUP(C2961,'MSA-Lookup'!$H$1:$I$86,2),C2961),C2961)</f>
        <v>4480</v>
      </c>
      <c r="G2961" s="0" t="n">
        <f aca="false">VLOOKUP(E2961,'MSA-Lookup'!$AA$1:$AB$25,2)</f>
        <v>4472</v>
      </c>
      <c r="H2961" s="0" t="n">
        <f aca="false">IF(C2961&gt;1,IF(C2961&lt;99,VLOOKUP(F2961,'MSA-Lookup'!$AA$1:$AB$25,2),C2961),C2961)</f>
        <v>4472</v>
      </c>
    </row>
    <row r="2962" customFormat="false" ht="12.75" hidden="false" customHeight="false" outlineLevel="0" collapsed="false">
      <c r="A2962" s="0" t="n">
        <f aca="false">B2962*1000+C2962</f>
        <v>46057</v>
      </c>
      <c r="B2962" s="0" t="n">
        <v>46</v>
      </c>
      <c r="C2962" s="0" t="n">
        <v>57</v>
      </c>
      <c r="D2962" s="0" t="n">
        <v>169</v>
      </c>
      <c r="E2962" s="0" t="n">
        <f aca="false">VLOOKUP(B2962,'MSA-Lookup'!$H$2:$I$86,2)</f>
        <v>360</v>
      </c>
      <c r="F2962" s="0" t="n">
        <f aca="false">IF(C2962&gt;1,IF(C2962&lt;99,VLOOKUP(C2962,'MSA-Lookup'!$H$1:$I$86,2),C2962),C2962)</f>
        <v>4480</v>
      </c>
      <c r="G2962" s="0" t="n">
        <f aca="false">VLOOKUP(E2962,'MSA-Lookup'!$AA$1:$AB$25,2)</f>
        <v>4472</v>
      </c>
      <c r="H2962" s="0" t="n">
        <f aca="false">IF(C2962&gt;1,IF(C2962&lt;99,VLOOKUP(F2962,'MSA-Lookup'!$AA$1:$AB$25,2),C2962),C2962)</f>
        <v>4472</v>
      </c>
    </row>
    <row r="2963" customFormat="false" ht="12.75" hidden="false" customHeight="false" outlineLevel="0" collapsed="false">
      <c r="A2963" s="0" t="n">
        <f aca="false">B2963*1000+C2963</f>
        <v>46058</v>
      </c>
      <c r="B2963" s="0" t="n">
        <v>46</v>
      </c>
      <c r="C2963" s="0" t="n">
        <v>58</v>
      </c>
      <c r="D2963" s="0" t="n">
        <v>260</v>
      </c>
      <c r="E2963" s="0" t="n">
        <f aca="false">VLOOKUP(B2963,'MSA-Lookup'!$H$2:$I$86,2)</f>
        <v>360</v>
      </c>
      <c r="F2963" s="0" t="n">
        <f aca="false">IF(C2963&gt;1,IF(C2963&lt;99,VLOOKUP(C2963,'MSA-Lookup'!$H$1:$I$86,2),C2963),C2963)</f>
        <v>4480</v>
      </c>
      <c r="G2963" s="0" t="n">
        <f aca="false">VLOOKUP(E2963,'MSA-Lookup'!$AA$1:$AB$25,2)</f>
        <v>4472</v>
      </c>
      <c r="H2963" s="0" t="n">
        <f aca="false">IF(C2963&gt;1,IF(C2963&lt;99,VLOOKUP(F2963,'MSA-Lookup'!$AA$1:$AB$25,2),C2963),C2963)</f>
        <v>4472</v>
      </c>
    </row>
    <row r="2964" customFormat="false" ht="12.75" hidden="false" customHeight="false" outlineLevel="0" collapsed="false">
      <c r="A2964" s="0" t="n">
        <f aca="false">B2964*1000+C2964</f>
        <v>46059</v>
      </c>
      <c r="B2964" s="0" t="n">
        <v>46</v>
      </c>
      <c r="C2964" s="0" t="n">
        <v>59</v>
      </c>
      <c r="D2964" s="0" t="n">
        <v>0</v>
      </c>
      <c r="E2964" s="0" t="n">
        <f aca="false">VLOOKUP(B2964,'MSA-Lookup'!$H$2:$I$86,2)</f>
        <v>360</v>
      </c>
      <c r="F2964" s="0" t="n">
        <f aca="false">IF(C2964&gt;1,IF(C2964&lt;99,VLOOKUP(C2964,'MSA-Lookup'!$H$1:$I$86,2),C2964),C2964)</f>
        <v>4480</v>
      </c>
      <c r="G2964" s="0" t="n">
        <f aca="false">VLOOKUP(E2964,'MSA-Lookup'!$AA$1:$AB$25,2)</f>
        <v>4472</v>
      </c>
      <c r="H2964" s="0" t="n">
        <f aca="false">IF(C2964&gt;1,IF(C2964&lt;99,VLOOKUP(F2964,'MSA-Lookup'!$AA$1:$AB$25,2),C2964),C2964)</f>
        <v>4472</v>
      </c>
    </row>
    <row r="2965" customFormat="false" ht="12.75" hidden="false" customHeight="false" outlineLevel="0" collapsed="false">
      <c r="A2965" s="0" t="n">
        <f aca="false">B2965*1000+C2965</f>
        <v>46060</v>
      </c>
      <c r="B2965" s="0" t="n">
        <v>46</v>
      </c>
      <c r="C2965" s="0" t="n">
        <v>60</v>
      </c>
      <c r="D2965" s="0" t="n">
        <v>676</v>
      </c>
      <c r="E2965" s="0" t="n">
        <f aca="false">VLOOKUP(B2965,'MSA-Lookup'!$H$2:$I$86,2)</f>
        <v>360</v>
      </c>
      <c r="F2965" s="0" t="n">
        <f aca="false">IF(C2965&gt;1,IF(C2965&lt;99,VLOOKUP(C2965,'MSA-Lookup'!$H$1:$I$86,2),C2965),C2965)</f>
        <v>4480</v>
      </c>
      <c r="G2965" s="0" t="n">
        <f aca="false">VLOOKUP(E2965,'MSA-Lookup'!$AA$1:$AB$25,2)</f>
        <v>4472</v>
      </c>
      <c r="H2965" s="0" t="n">
        <f aca="false">IF(C2965&gt;1,IF(C2965&lt;99,VLOOKUP(F2965,'MSA-Lookup'!$AA$1:$AB$25,2),C2965),C2965)</f>
        <v>4472</v>
      </c>
    </row>
    <row r="2966" customFormat="false" ht="12.75" hidden="false" customHeight="false" outlineLevel="0" collapsed="false">
      <c r="A2966" s="0" t="n">
        <f aca="false">B2966*1000+C2966</f>
        <v>46061</v>
      </c>
      <c r="B2966" s="0" t="n">
        <v>46</v>
      </c>
      <c r="C2966" s="0" t="n">
        <v>61</v>
      </c>
      <c r="D2966" s="0" t="n">
        <v>156</v>
      </c>
      <c r="E2966" s="0" t="n">
        <f aca="false">VLOOKUP(B2966,'MSA-Lookup'!$H$2:$I$86,2)</f>
        <v>360</v>
      </c>
      <c r="F2966" s="0" t="n">
        <f aca="false">IF(C2966&gt;1,IF(C2966&lt;99,VLOOKUP(C2966,'MSA-Lookup'!$H$1:$I$86,2),C2966),C2966)</f>
        <v>4480</v>
      </c>
      <c r="G2966" s="0" t="n">
        <f aca="false">VLOOKUP(E2966,'MSA-Lookup'!$AA$1:$AB$25,2)</f>
        <v>4472</v>
      </c>
      <c r="H2966" s="0" t="n">
        <f aca="false">IF(C2966&gt;1,IF(C2966&lt;99,VLOOKUP(F2966,'MSA-Lookup'!$AA$1:$AB$25,2),C2966),C2966)</f>
        <v>4472</v>
      </c>
    </row>
    <row r="2967" customFormat="false" ht="12.75" hidden="false" customHeight="false" outlineLevel="0" collapsed="false">
      <c r="A2967" s="0" t="n">
        <f aca="false">B2967*1000+C2967</f>
        <v>46062</v>
      </c>
      <c r="B2967" s="0" t="n">
        <v>46</v>
      </c>
      <c r="C2967" s="0" t="n">
        <v>62</v>
      </c>
      <c r="D2967" s="0" t="n">
        <v>221</v>
      </c>
      <c r="E2967" s="0" t="n">
        <f aca="false">VLOOKUP(B2967,'MSA-Lookup'!$H$2:$I$86,2)</f>
        <v>360</v>
      </c>
      <c r="F2967" s="0" t="n">
        <f aca="false">IF(C2967&gt;1,IF(C2967&lt;99,VLOOKUP(C2967,'MSA-Lookup'!$H$1:$I$86,2),C2967),C2967)</f>
        <v>4480</v>
      </c>
      <c r="G2967" s="0" t="n">
        <f aca="false">VLOOKUP(E2967,'MSA-Lookup'!$AA$1:$AB$25,2)</f>
        <v>4472</v>
      </c>
      <c r="H2967" s="0" t="n">
        <f aca="false">IF(C2967&gt;1,IF(C2967&lt;99,VLOOKUP(F2967,'MSA-Lookup'!$AA$1:$AB$25,2),C2967),C2967)</f>
        <v>4472</v>
      </c>
    </row>
    <row r="2968" customFormat="false" ht="12.75" hidden="false" customHeight="false" outlineLevel="0" collapsed="false">
      <c r="A2968" s="0" t="n">
        <f aca="false">B2968*1000+C2968</f>
        <v>46063</v>
      </c>
      <c r="B2968" s="0" t="n">
        <v>46</v>
      </c>
      <c r="C2968" s="0" t="n">
        <v>63</v>
      </c>
      <c r="D2968" s="0" t="n">
        <v>208</v>
      </c>
      <c r="E2968" s="0" t="n">
        <f aca="false">VLOOKUP(B2968,'MSA-Lookup'!$H$2:$I$86,2)</f>
        <v>360</v>
      </c>
      <c r="F2968" s="0" t="n">
        <f aca="false">IF(C2968&gt;1,IF(C2968&lt;99,VLOOKUP(C2968,'MSA-Lookup'!$H$1:$I$86,2),C2968),C2968)</f>
        <v>4480</v>
      </c>
      <c r="G2968" s="0" t="n">
        <f aca="false">VLOOKUP(E2968,'MSA-Lookup'!$AA$1:$AB$25,2)</f>
        <v>4472</v>
      </c>
      <c r="H2968" s="0" t="n">
        <f aca="false">IF(C2968&gt;1,IF(C2968&lt;99,VLOOKUP(F2968,'MSA-Lookup'!$AA$1:$AB$25,2),C2968),C2968)</f>
        <v>4472</v>
      </c>
    </row>
    <row r="2969" customFormat="false" ht="12.75" hidden="false" customHeight="false" outlineLevel="0" collapsed="false">
      <c r="A2969" s="0" t="n">
        <f aca="false">B2969*1000+C2969</f>
        <v>46064</v>
      </c>
      <c r="B2969" s="0" t="n">
        <v>46</v>
      </c>
      <c r="C2969" s="0" t="n">
        <v>64</v>
      </c>
      <c r="D2969" s="0" t="n">
        <v>5642</v>
      </c>
      <c r="E2969" s="0" t="n">
        <f aca="false">VLOOKUP(B2969,'MSA-Lookup'!$H$2:$I$86,2)</f>
        <v>360</v>
      </c>
      <c r="F2969" s="0" t="n">
        <f aca="false">IF(C2969&gt;1,IF(C2969&lt;99,VLOOKUP(C2969,'MSA-Lookup'!$H$1:$I$86,2),C2969),C2969)</f>
        <v>4480</v>
      </c>
      <c r="G2969" s="0" t="n">
        <f aca="false">VLOOKUP(E2969,'MSA-Lookup'!$AA$1:$AB$25,2)</f>
        <v>4472</v>
      </c>
      <c r="H2969" s="0" t="n">
        <f aca="false">IF(C2969&gt;1,IF(C2969&lt;99,VLOOKUP(F2969,'MSA-Lookup'!$AA$1:$AB$25,2),C2969),C2969)</f>
        <v>4472</v>
      </c>
    </row>
    <row r="2970" customFormat="false" ht="12.75" hidden="false" customHeight="false" outlineLevel="0" collapsed="false">
      <c r="A2970" s="0" t="n">
        <f aca="false">B2970*1000+C2970</f>
        <v>46065</v>
      </c>
      <c r="B2970" s="0" t="n">
        <v>46</v>
      </c>
      <c r="C2970" s="0" t="n">
        <v>65</v>
      </c>
      <c r="D2970" s="0" t="n">
        <v>2314</v>
      </c>
      <c r="E2970" s="0" t="n">
        <f aca="false">VLOOKUP(B2970,'MSA-Lookup'!$H$2:$I$86,2)</f>
        <v>360</v>
      </c>
      <c r="F2970" s="0" t="n">
        <f aca="false">IF(C2970&gt;1,IF(C2970&lt;99,VLOOKUP(C2970,'MSA-Lookup'!$H$1:$I$86,2),C2970),C2970)</f>
        <v>4480</v>
      </c>
      <c r="G2970" s="0" t="n">
        <f aca="false">VLOOKUP(E2970,'MSA-Lookup'!$AA$1:$AB$25,2)</f>
        <v>4472</v>
      </c>
      <c r="H2970" s="0" t="n">
        <f aca="false">IF(C2970&gt;1,IF(C2970&lt;99,VLOOKUP(F2970,'MSA-Lookup'!$AA$1:$AB$25,2),C2970),C2970)</f>
        <v>4472</v>
      </c>
    </row>
    <row r="2971" customFormat="false" ht="12.75" hidden="false" customHeight="false" outlineLevel="0" collapsed="false">
      <c r="A2971" s="0" t="n">
        <f aca="false">B2971*1000+C2971</f>
        <v>46066</v>
      </c>
      <c r="B2971" s="0" t="n">
        <v>46</v>
      </c>
      <c r="C2971" s="0" t="n">
        <v>66</v>
      </c>
      <c r="D2971" s="0" t="n">
        <v>4368</v>
      </c>
      <c r="E2971" s="0" t="n">
        <f aca="false">VLOOKUP(B2971,'MSA-Lookup'!$H$2:$I$86,2)</f>
        <v>360</v>
      </c>
      <c r="F2971" s="0" t="n">
        <f aca="false">IF(C2971&gt;1,IF(C2971&lt;99,VLOOKUP(C2971,'MSA-Lookup'!$H$1:$I$86,2),C2971),C2971)</f>
        <v>4480</v>
      </c>
      <c r="G2971" s="0" t="n">
        <f aca="false">VLOOKUP(E2971,'MSA-Lookup'!$AA$1:$AB$25,2)</f>
        <v>4472</v>
      </c>
      <c r="H2971" s="0" t="n">
        <f aca="false">IF(C2971&gt;1,IF(C2971&lt;99,VLOOKUP(F2971,'MSA-Lookup'!$AA$1:$AB$25,2),C2971),C2971)</f>
        <v>4472</v>
      </c>
    </row>
    <row r="2972" customFormat="false" ht="12.75" hidden="false" customHeight="false" outlineLevel="0" collapsed="false">
      <c r="A2972" s="0" t="n">
        <f aca="false">B2972*1000+C2972</f>
        <v>46067</v>
      </c>
      <c r="B2972" s="0" t="n">
        <v>46</v>
      </c>
      <c r="C2972" s="0" t="n">
        <v>67</v>
      </c>
      <c r="D2972" s="0" t="n">
        <v>78</v>
      </c>
      <c r="E2972" s="0" t="n">
        <f aca="false">VLOOKUP(B2972,'MSA-Lookup'!$H$2:$I$86,2)</f>
        <v>360</v>
      </c>
      <c r="F2972" s="0" t="n">
        <f aca="false">IF(C2972&gt;1,IF(C2972&lt;99,VLOOKUP(C2972,'MSA-Lookup'!$H$1:$I$86,2),C2972),C2972)</f>
        <v>6000</v>
      </c>
      <c r="G2972" s="0" t="n">
        <f aca="false">VLOOKUP(E2972,'MSA-Lookup'!$AA$1:$AB$25,2)</f>
        <v>4472</v>
      </c>
      <c r="H2972" s="0" t="n">
        <f aca="false">IF(C2972&gt;1,IF(C2972&lt;99,VLOOKUP(F2972,'MSA-Lookup'!$AA$1:$AB$25,2),C2972),C2972)</f>
        <v>4472</v>
      </c>
    </row>
    <row r="2973" customFormat="false" ht="12.75" hidden="false" customHeight="false" outlineLevel="0" collapsed="false">
      <c r="A2973" s="0" t="n">
        <f aca="false">B2973*1000+C2973</f>
        <v>46068</v>
      </c>
      <c r="B2973" s="0" t="n">
        <v>46</v>
      </c>
      <c r="C2973" s="0" t="n">
        <v>68</v>
      </c>
      <c r="D2973" s="0" t="n">
        <v>0</v>
      </c>
      <c r="E2973" s="0" t="n">
        <f aca="false">VLOOKUP(B2973,'MSA-Lookup'!$H$2:$I$86,2)</f>
        <v>360</v>
      </c>
      <c r="F2973" s="0" t="n">
        <f aca="false">IF(C2973&gt;1,IF(C2973&lt;99,VLOOKUP(C2973,'MSA-Lookup'!$H$1:$I$86,2),C2973),C2973)</f>
        <v>6780</v>
      </c>
      <c r="G2973" s="0" t="n">
        <f aca="false">VLOOKUP(E2973,'MSA-Lookup'!$AA$1:$AB$25,2)</f>
        <v>4472</v>
      </c>
      <c r="H2973" s="0" t="n">
        <f aca="false">IF(C2973&gt;1,IF(C2973&lt;99,VLOOKUP(F2973,'MSA-Lookup'!$AA$1:$AB$25,2),C2973),C2973)</f>
        <v>4472</v>
      </c>
    </row>
    <row r="2974" customFormat="false" ht="12.75" hidden="false" customHeight="false" outlineLevel="0" collapsed="false">
      <c r="A2974" s="0" t="n">
        <f aca="false">B2974*1000+C2974</f>
        <v>46069</v>
      </c>
      <c r="B2974" s="0" t="n">
        <v>46</v>
      </c>
      <c r="C2974" s="0" t="n">
        <v>69</v>
      </c>
      <c r="D2974" s="0" t="n">
        <v>338</v>
      </c>
      <c r="E2974" s="0" t="n">
        <f aca="false">VLOOKUP(B2974,'MSA-Lookup'!$H$2:$I$86,2)</f>
        <v>360</v>
      </c>
      <c r="F2974" s="0" t="n">
        <f aca="false">IF(C2974&gt;1,IF(C2974&lt;99,VLOOKUP(C2974,'MSA-Lookup'!$H$1:$I$86,2),C2974),C2974)</f>
        <v>6780</v>
      </c>
      <c r="G2974" s="0" t="n">
        <f aca="false">VLOOKUP(E2974,'MSA-Lookup'!$AA$1:$AB$25,2)</f>
        <v>4472</v>
      </c>
      <c r="H2974" s="0" t="n">
        <f aca="false">IF(C2974&gt;1,IF(C2974&lt;99,VLOOKUP(F2974,'MSA-Lookup'!$AA$1:$AB$25,2),C2974),C2974)</f>
        <v>4472</v>
      </c>
    </row>
    <row r="2975" customFormat="false" ht="12.75" hidden="false" customHeight="false" outlineLevel="0" collapsed="false">
      <c r="A2975" s="0" t="n">
        <f aca="false">B2975*1000+C2975</f>
        <v>46070</v>
      </c>
      <c r="B2975" s="0" t="n">
        <v>46</v>
      </c>
      <c r="C2975" s="0" t="n">
        <v>70</v>
      </c>
      <c r="D2975" s="0" t="n">
        <v>0</v>
      </c>
      <c r="E2975" s="0" t="n">
        <f aca="false">VLOOKUP(B2975,'MSA-Lookup'!$H$2:$I$86,2)</f>
        <v>360</v>
      </c>
      <c r="F2975" s="0" t="n">
        <f aca="false">IF(C2975&gt;1,IF(C2975&lt;99,VLOOKUP(C2975,'MSA-Lookup'!$H$1:$I$86,2),C2975),C2975)</f>
        <v>6780</v>
      </c>
      <c r="G2975" s="0" t="n">
        <f aca="false">VLOOKUP(E2975,'MSA-Lookup'!$AA$1:$AB$25,2)</f>
        <v>4472</v>
      </c>
      <c r="H2975" s="0" t="n">
        <f aca="false">IF(C2975&gt;1,IF(C2975&lt;99,VLOOKUP(F2975,'MSA-Lookup'!$AA$1:$AB$25,2),C2975),C2975)</f>
        <v>4472</v>
      </c>
    </row>
    <row r="2976" customFormat="false" ht="12.75" hidden="false" customHeight="false" outlineLevel="0" collapsed="false">
      <c r="A2976" s="0" t="n">
        <f aca="false">B2976*1000+C2976</f>
        <v>46071</v>
      </c>
      <c r="B2976" s="0" t="n">
        <v>46</v>
      </c>
      <c r="C2976" s="0" t="n">
        <v>71</v>
      </c>
      <c r="D2976" s="0" t="n">
        <v>117</v>
      </c>
      <c r="E2976" s="0" t="n">
        <f aca="false">VLOOKUP(B2976,'MSA-Lookup'!$H$2:$I$86,2)</f>
        <v>360</v>
      </c>
      <c r="F2976" s="0" t="n">
        <f aca="false">IF(C2976&gt;1,IF(C2976&lt;99,VLOOKUP(C2976,'MSA-Lookup'!$H$1:$I$86,2),C2976),C2976)</f>
        <v>6780</v>
      </c>
      <c r="G2976" s="0" t="n">
        <f aca="false">VLOOKUP(E2976,'MSA-Lookup'!$AA$1:$AB$25,2)</f>
        <v>4472</v>
      </c>
      <c r="H2976" s="0" t="n">
        <f aca="false">IF(C2976&gt;1,IF(C2976&lt;99,VLOOKUP(F2976,'MSA-Lookup'!$AA$1:$AB$25,2),C2976),C2976)</f>
        <v>4472</v>
      </c>
    </row>
    <row r="2977" customFormat="false" ht="12.75" hidden="false" customHeight="false" outlineLevel="0" collapsed="false">
      <c r="A2977" s="0" t="n">
        <f aca="false">B2977*1000+C2977</f>
        <v>46072</v>
      </c>
      <c r="B2977" s="0" t="n">
        <v>46</v>
      </c>
      <c r="C2977" s="0" t="n">
        <v>72</v>
      </c>
      <c r="D2977" s="0" t="n">
        <v>390</v>
      </c>
      <c r="E2977" s="0" t="n">
        <f aca="false">VLOOKUP(B2977,'MSA-Lookup'!$H$2:$I$86,2)</f>
        <v>360</v>
      </c>
      <c r="F2977" s="0" t="n">
        <f aca="false">IF(C2977&gt;1,IF(C2977&lt;99,VLOOKUP(C2977,'MSA-Lookup'!$H$1:$I$86,2),C2977),C2977)</f>
        <v>6780</v>
      </c>
      <c r="G2977" s="0" t="n">
        <f aca="false">VLOOKUP(E2977,'MSA-Lookup'!$AA$1:$AB$25,2)</f>
        <v>4472</v>
      </c>
      <c r="H2977" s="0" t="n">
        <f aca="false">IF(C2977&gt;1,IF(C2977&lt;99,VLOOKUP(F2977,'MSA-Lookup'!$AA$1:$AB$25,2),C2977),C2977)</f>
        <v>4472</v>
      </c>
    </row>
    <row r="2978" customFormat="false" ht="12.75" hidden="false" customHeight="false" outlineLevel="0" collapsed="false">
      <c r="A2978" s="0" t="n">
        <f aca="false">B2978*1000+C2978</f>
        <v>46073</v>
      </c>
      <c r="B2978" s="0" t="n">
        <v>46</v>
      </c>
      <c r="C2978" s="0" t="n">
        <v>73</v>
      </c>
      <c r="D2978" s="0" t="n">
        <v>0</v>
      </c>
      <c r="E2978" s="0" t="n">
        <f aca="false">VLOOKUP(B2978,'MSA-Lookup'!$H$2:$I$86,2)</f>
        <v>360</v>
      </c>
      <c r="F2978" s="0" t="n">
        <f aca="false">IF(C2978&gt;1,IF(C2978&lt;99,VLOOKUP(C2978,'MSA-Lookup'!$H$1:$I$86,2),C2978),C2978)</f>
        <v>8720</v>
      </c>
      <c r="G2978" s="0" t="n">
        <f aca="false">VLOOKUP(E2978,'MSA-Lookup'!$AA$1:$AB$25,2)</f>
        <v>4472</v>
      </c>
      <c r="H2978" s="0" t="n">
        <f aca="false">IF(C2978&gt;1,IF(C2978&lt;99,VLOOKUP(F2978,'MSA-Lookup'!$AA$1:$AB$25,2),C2978),C2978)</f>
        <v>7362</v>
      </c>
    </row>
    <row r="2979" customFormat="false" ht="12.75" hidden="false" customHeight="false" outlineLevel="0" collapsed="false">
      <c r="A2979" s="0" t="n">
        <f aca="false">B2979*1000+C2979</f>
        <v>46075</v>
      </c>
      <c r="B2979" s="0" t="n">
        <v>46</v>
      </c>
      <c r="C2979" s="0" t="n">
        <v>75</v>
      </c>
      <c r="D2979" s="0" t="n">
        <v>0</v>
      </c>
      <c r="E2979" s="0" t="n">
        <f aca="false">VLOOKUP(B2979,'MSA-Lookup'!$H$2:$I$86,2)</f>
        <v>360</v>
      </c>
      <c r="F2979" s="0" t="n">
        <f aca="false">IF(C2979&gt;1,IF(C2979&lt;99,VLOOKUP(C2979,'MSA-Lookup'!$H$1:$I$86,2),C2979),C2979)</f>
        <v>8780</v>
      </c>
      <c r="G2979" s="0" t="n">
        <f aca="false">VLOOKUP(E2979,'MSA-Lookup'!$AA$1:$AB$25,2)</f>
        <v>4472</v>
      </c>
      <c r="H2979" s="0" t="n">
        <f aca="false">IF(C2979&gt;1,IF(C2979&lt;99,VLOOKUP(F2979,'MSA-Lookup'!$AA$1:$AB$25,2),C2979),C2979)</f>
        <v>8780</v>
      </c>
    </row>
    <row r="2980" customFormat="false" ht="12.75" hidden="false" customHeight="false" outlineLevel="0" collapsed="false">
      <c r="A2980" s="0" t="n">
        <f aca="false">B2980*1000+C2980</f>
        <v>46076</v>
      </c>
      <c r="B2980" s="0" t="n">
        <v>46</v>
      </c>
      <c r="C2980" s="0" t="n">
        <v>76</v>
      </c>
      <c r="D2980" s="0" t="n">
        <v>0</v>
      </c>
      <c r="E2980" s="0" t="n">
        <f aca="false">VLOOKUP(B2980,'MSA-Lookup'!$H$2:$I$86,2)</f>
        <v>360</v>
      </c>
      <c r="F2980" s="0" t="n">
        <f aca="false">IF(C2980&gt;1,IF(C2980&lt;99,VLOOKUP(C2980,'MSA-Lookup'!$H$1:$I$86,2),C2980),C2980)</f>
        <v>7485</v>
      </c>
      <c r="G2980" s="0" t="n">
        <f aca="false">VLOOKUP(E2980,'MSA-Lookup'!$AA$1:$AB$25,2)</f>
        <v>4472</v>
      </c>
      <c r="H2980" s="0" t="n">
        <f aca="false">IF(C2980&gt;1,IF(C2980&lt;99,VLOOKUP(F2980,'MSA-Lookup'!$AA$1:$AB$25,2),C2980),C2980)</f>
        <v>7362</v>
      </c>
    </row>
    <row r="2981" customFormat="false" ht="12.75" hidden="false" customHeight="false" outlineLevel="0" collapsed="false">
      <c r="A2981" s="0" t="n">
        <f aca="false">B2981*1000+C2981</f>
        <v>46077</v>
      </c>
      <c r="B2981" s="0" t="n">
        <v>46</v>
      </c>
      <c r="C2981" s="0" t="n">
        <v>77</v>
      </c>
      <c r="D2981" s="0" t="n">
        <v>0</v>
      </c>
      <c r="E2981" s="0" t="n">
        <f aca="false">VLOOKUP(B2981,'MSA-Lookup'!$H$2:$I$86,2)</f>
        <v>360</v>
      </c>
      <c r="F2981" s="0" t="n">
        <f aca="false">IF(C2981&gt;1,IF(C2981&lt;99,VLOOKUP(C2981,'MSA-Lookup'!$H$1:$I$86,2),C2981),C2981)</f>
        <v>9999</v>
      </c>
      <c r="G2981" s="0" t="n">
        <f aca="false">VLOOKUP(E2981,'MSA-Lookup'!$AA$1:$AB$25,2)</f>
        <v>4472</v>
      </c>
      <c r="H2981" s="0" t="n">
        <f aca="false">IF(C2981&gt;1,IF(C2981&lt;99,VLOOKUP(F2981,'MSA-Lookup'!$AA$1:$AB$25,2),C2981),C2981)</f>
        <v>9999</v>
      </c>
    </row>
    <row r="2982" customFormat="false" ht="12.75" hidden="false" customHeight="false" outlineLevel="0" collapsed="false">
      <c r="A2982" s="0" t="n">
        <f aca="false">B2982*1000+C2982</f>
        <v>46079</v>
      </c>
      <c r="B2982" s="0" t="n">
        <v>46</v>
      </c>
      <c r="C2982" s="0" t="n">
        <v>79</v>
      </c>
      <c r="D2982" s="0" t="n">
        <v>0</v>
      </c>
      <c r="E2982" s="0" t="n">
        <f aca="false">VLOOKUP(B2982,'MSA-Lookup'!$H$2:$I$86,2)</f>
        <v>360</v>
      </c>
      <c r="F2982" s="0" t="n">
        <f aca="false">IF(C2982&gt;1,IF(C2982&lt;99,VLOOKUP(C2982,'MSA-Lookup'!$H$1:$I$86,2),C2982),C2982)</f>
        <v>680</v>
      </c>
      <c r="G2982" s="0" t="n">
        <f aca="false">VLOOKUP(E2982,'MSA-Lookup'!$AA$1:$AB$25,2)</f>
        <v>4472</v>
      </c>
      <c r="H2982" s="0" t="n">
        <f aca="false">IF(C2982&gt;1,IF(C2982&lt;99,VLOOKUP(F2982,'MSA-Lookup'!$AA$1:$AB$25,2),C2982),C2982)</f>
        <v>680</v>
      </c>
    </row>
    <row r="2983" customFormat="false" ht="12.75" hidden="false" customHeight="false" outlineLevel="0" collapsed="false">
      <c r="A2983" s="0" t="n">
        <f aca="false">B2983*1000+C2983</f>
        <v>46080</v>
      </c>
      <c r="B2983" s="0" t="n">
        <v>46</v>
      </c>
      <c r="C2983" s="0" t="n">
        <v>80</v>
      </c>
      <c r="D2983" s="0" t="n">
        <v>0</v>
      </c>
      <c r="E2983" s="0" t="n">
        <f aca="false">VLOOKUP(B2983,'MSA-Lookup'!$H$2:$I$86,2)</f>
        <v>360</v>
      </c>
      <c r="F2983" s="0" t="n">
        <f aca="false">IF(C2983&gt;1,IF(C2983&lt;99,VLOOKUP(C2983,'MSA-Lookup'!$H$1:$I$86,2),C2983),C2983)</f>
        <v>9999</v>
      </c>
      <c r="G2983" s="0" t="n">
        <f aca="false">VLOOKUP(E2983,'MSA-Lookup'!$AA$1:$AB$25,2)</f>
        <v>4472</v>
      </c>
      <c r="H2983" s="0" t="n">
        <f aca="false">IF(C2983&gt;1,IF(C2983&lt;99,VLOOKUP(F2983,'MSA-Lookup'!$AA$1:$AB$25,2),C2983),C2983)</f>
        <v>9999</v>
      </c>
    </row>
    <row r="2984" customFormat="false" ht="12.75" hidden="false" customHeight="false" outlineLevel="0" collapsed="false">
      <c r="A2984" s="0" t="n">
        <f aca="false">B2984*1000+C2984</f>
        <v>46081</v>
      </c>
      <c r="B2984" s="0" t="n">
        <v>46</v>
      </c>
      <c r="C2984" s="0" t="n">
        <v>81</v>
      </c>
      <c r="D2984" s="0" t="n">
        <v>0</v>
      </c>
      <c r="E2984" s="0" t="n">
        <f aca="false">VLOOKUP(B2984,'MSA-Lookup'!$H$2:$I$86,2)</f>
        <v>360</v>
      </c>
      <c r="F2984" s="0" t="n">
        <f aca="false">IF(C2984&gt;1,IF(C2984&lt;99,VLOOKUP(C2984,'MSA-Lookup'!$H$1:$I$86,2),C2984),C2984)</f>
        <v>6780</v>
      </c>
      <c r="G2984" s="0" t="n">
        <f aca="false">VLOOKUP(E2984,'MSA-Lookup'!$AA$1:$AB$25,2)</f>
        <v>4472</v>
      </c>
      <c r="H2984" s="0" t="n">
        <f aca="false">IF(C2984&gt;1,IF(C2984&lt;99,VLOOKUP(F2984,'MSA-Lookup'!$AA$1:$AB$25,2),C2984),C2984)</f>
        <v>4472</v>
      </c>
    </row>
    <row r="2985" customFormat="false" ht="12.75" hidden="false" customHeight="false" outlineLevel="0" collapsed="false">
      <c r="A2985" s="0" t="n">
        <f aca="false">B2985*1000+C2985</f>
        <v>46082</v>
      </c>
      <c r="B2985" s="0" t="n">
        <v>46</v>
      </c>
      <c r="C2985" s="0" t="n">
        <v>82</v>
      </c>
      <c r="D2985" s="0" t="n">
        <v>0</v>
      </c>
      <c r="E2985" s="0" t="n">
        <f aca="false">VLOOKUP(B2985,'MSA-Lookup'!$H$2:$I$86,2)</f>
        <v>360</v>
      </c>
      <c r="F2985" s="0" t="n">
        <f aca="false">IF(C2985&gt;1,IF(C2985&lt;99,VLOOKUP(C2985,'MSA-Lookup'!$H$1:$I$86,2),C2985),C2985)</f>
        <v>6780</v>
      </c>
      <c r="G2985" s="0" t="n">
        <f aca="false">VLOOKUP(E2985,'MSA-Lookup'!$AA$1:$AB$25,2)</f>
        <v>4472</v>
      </c>
      <c r="H2985" s="0" t="n">
        <f aca="false">IF(C2985&gt;1,IF(C2985&lt;99,VLOOKUP(F2985,'MSA-Lookup'!$AA$1:$AB$25,2),C2985),C2985)</f>
        <v>4472</v>
      </c>
    </row>
    <row r="2986" customFormat="false" ht="12.75" hidden="false" customHeight="false" outlineLevel="0" collapsed="false">
      <c r="A2986" s="0" t="n">
        <f aca="false">B2986*1000+C2986</f>
        <v>46083</v>
      </c>
      <c r="B2986" s="0" t="n">
        <v>46</v>
      </c>
      <c r="C2986" s="0" t="n">
        <v>83</v>
      </c>
      <c r="D2986" s="0" t="n">
        <v>0</v>
      </c>
      <c r="E2986" s="0" t="n">
        <f aca="false">VLOOKUP(B2986,'MSA-Lookup'!$H$2:$I$86,2)</f>
        <v>360</v>
      </c>
      <c r="F2986" s="0" t="n">
        <f aca="false">IF(C2986&gt;1,IF(C2986&lt;99,VLOOKUP(C2986,'MSA-Lookup'!$H$1:$I$86,2),C2986),C2986)</f>
        <v>6000</v>
      </c>
      <c r="G2986" s="0" t="n">
        <f aca="false">VLOOKUP(E2986,'MSA-Lookup'!$AA$1:$AB$25,2)</f>
        <v>4472</v>
      </c>
      <c r="H2986" s="0" t="n">
        <f aca="false">IF(C2986&gt;1,IF(C2986&lt;99,VLOOKUP(F2986,'MSA-Lookup'!$AA$1:$AB$25,2),C2986),C2986)</f>
        <v>4472</v>
      </c>
    </row>
    <row r="2987" customFormat="false" ht="12.75" hidden="false" customHeight="false" outlineLevel="0" collapsed="false">
      <c r="A2987" s="0" t="n">
        <f aca="false">B2987*1000+C2987</f>
        <v>46084</v>
      </c>
      <c r="B2987" s="0" t="n">
        <v>46</v>
      </c>
      <c r="C2987" s="0" t="n">
        <v>84</v>
      </c>
      <c r="D2987" s="0" t="n">
        <v>3926</v>
      </c>
      <c r="E2987" s="0" t="n">
        <f aca="false">VLOOKUP(B2987,'MSA-Lookup'!$H$2:$I$86,2)</f>
        <v>360</v>
      </c>
      <c r="F2987" s="0" t="n">
        <f aca="false">IF(C2987&gt;1,IF(C2987&lt;99,VLOOKUP(C2987,'MSA-Lookup'!$H$1:$I$86,2),C2987),C2987)</f>
        <v>360</v>
      </c>
      <c r="G2987" s="0" t="n">
        <f aca="false">VLOOKUP(E2987,'MSA-Lookup'!$AA$1:$AB$25,2)</f>
        <v>4472</v>
      </c>
      <c r="H2987" s="0" t="n">
        <f aca="false">IF(C2987&gt;1,IF(C2987&lt;99,VLOOKUP(F2987,'MSA-Lookup'!$AA$1:$AB$25,2),C2987),C2987)</f>
        <v>4472</v>
      </c>
    </row>
    <row r="2988" customFormat="false" ht="12.75" hidden="false" customHeight="false" outlineLevel="0" collapsed="false">
      <c r="A2988" s="0" t="n">
        <f aca="false">B2988*1000+C2988</f>
        <v>46085</v>
      </c>
      <c r="B2988" s="0" t="n">
        <v>46</v>
      </c>
      <c r="C2988" s="0" t="n">
        <v>85</v>
      </c>
      <c r="D2988" s="0" t="n">
        <v>0</v>
      </c>
      <c r="E2988" s="0" t="n">
        <f aca="false">VLOOKUP(B2988,'MSA-Lookup'!$H$2:$I$86,2)</f>
        <v>360</v>
      </c>
      <c r="F2988" s="0" t="n">
        <f aca="false">IF(C2988&gt;1,IF(C2988&lt;99,VLOOKUP(C2988,'MSA-Lookup'!$H$1:$I$86,2),C2988),C2988)</f>
        <v>8120</v>
      </c>
      <c r="G2988" s="0" t="n">
        <f aca="false">VLOOKUP(E2988,'MSA-Lookup'!$AA$1:$AB$25,2)</f>
        <v>4472</v>
      </c>
      <c r="H2988" s="0" t="n">
        <f aca="false">IF(C2988&gt;1,IF(C2988&lt;99,VLOOKUP(F2988,'MSA-Lookup'!$AA$1:$AB$25,2),C2988),C2988)</f>
        <v>8120</v>
      </c>
    </row>
    <row r="2989" customFormat="false" ht="12.75" hidden="false" customHeight="false" outlineLevel="0" collapsed="false">
      <c r="A2989" s="0" t="n">
        <f aca="false">B2989*1000+C2989</f>
        <v>46858</v>
      </c>
      <c r="B2989" s="0" t="n">
        <v>46</v>
      </c>
      <c r="C2989" s="0" t="n">
        <v>858</v>
      </c>
      <c r="D2989" s="0" t="n">
        <v>0</v>
      </c>
      <c r="E2989" s="0" t="n">
        <f aca="false">VLOOKUP(B2989,'MSA-Lookup'!$H$2:$I$86,2)</f>
        <v>360</v>
      </c>
      <c r="F2989" s="0" t="n">
        <f aca="false">IF(C2989&gt;1,IF(C2989&lt;99,VLOOKUP(C2989,'MSA-Lookup'!$H$1:$I$86,2),C2989),C2989)</f>
        <v>858</v>
      </c>
      <c r="G2989" s="0" t="n">
        <f aca="false">VLOOKUP(E2989,'MSA-Lookup'!$AA$1:$AB$25,2)</f>
        <v>4472</v>
      </c>
      <c r="H2989" s="0" t="n">
        <f aca="false">IF(C2989&gt;1,IF(C2989&lt;99,VLOOKUP(F2989,'MSA-Lookup'!$AA$1:$AB$25,2),C2989),C2989)</f>
        <v>858</v>
      </c>
    </row>
    <row r="2990" customFormat="false" ht="12.75" hidden="false" customHeight="false" outlineLevel="0" collapsed="false">
      <c r="A2990" s="0" t="n">
        <f aca="false">B2990*1000+C2990</f>
        <v>46983</v>
      </c>
      <c r="B2990" s="0" t="n">
        <v>46</v>
      </c>
      <c r="C2990" s="0" t="n">
        <v>983</v>
      </c>
      <c r="D2990" s="0" t="n">
        <v>0</v>
      </c>
      <c r="E2990" s="0" t="n">
        <f aca="false">VLOOKUP(B2990,'MSA-Lookup'!$H$2:$I$86,2)</f>
        <v>360</v>
      </c>
      <c r="F2990" s="0" t="n">
        <f aca="false">IF(C2990&gt;1,IF(C2990&lt;99,VLOOKUP(C2990,'MSA-Lookup'!$H$1:$I$86,2),C2990),C2990)</f>
        <v>983</v>
      </c>
      <c r="G2990" s="0" t="n">
        <f aca="false">VLOOKUP(E2990,'MSA-Lookup'!$AA$1:$AB$25,2)</f>
        <v>4472</v>
      </c>
      <c r="H2990" s="0" t="n">
        <f aca="false">IF(C2990&gt;1,IF(C2990&lt;99,VLOOKUP(F2990,'MSA-Lookup'!$AA$1:$AB$25,2),C2990),C2990)</f>
        <v>983</v>
      </c>
    </row>
    <row r="2991" customFormat="false" ht="12.75" hidden="false" customHeight="false" outlineLevel="0" collapsed="false">
      <c r="A2991" s="0" t="n">
        <f aca="false">B2991*1000+C2991</f>
        <v>46999</v>
      </c>
      <c r="B2991" s="0" t="n">
        <v>46</v>
      </c>
      <c r="C2991" s="0" t="n">
        <v>999</v>
      </c>
      <c r="D2991" s="0" t="n">
        <v>0</v>
      </c>
      <c r="E2991" s="0" t="n">
        <f aca="false">VLOOKUP(B2991,'MSA-Lookup'!$H$2:$I$86,2)</f>
        <v>360</v>
      </c>
      <c r="F2991" s="0" t="n">
        <f aca="false">IF(C2991&gt;1,IF(C2991&lt;99,VLOOKUP(C2991,'MSA-Lookup'!$H$1:$I$86,2),C2991),C2991)</f>
        <v>999</v>
      </c>
      <c r="G2991" s="0" t="n">
        <f aca="false">VLOOKUP(E2991,'MSA-Lookup'!$AA$1:$AB$25,2)</f>
        <v>4472</v>
      </c>
      <c r="H2991" s="0" t="n">
        <f aca="false">IF(C2991&gt;1,IF(C2991&lt;99,VLOOKUP(F2991,'MSA-Lookup'!$AA$1:$AB$25,2),C2991),C2991)</f>
        <v>999</v>
      </c>
    </row>
    <row r="2992" customFormat="false" ht="12.75" hidden="false" customHeight="false" outlineLevel="0" collapsed="false">
      <c r="A2992" s="0" t="n">
        <f aca="false">B2992*1000+C2992</f>
        <v>47000</v>
      </c>
      <c r="B2992" s="0" t="n">
        <v>47</v>
      </c>
      <c r="C2992" s="0" t="n">
        <v>0</v>
      </c>
      <c r="D2992" s="0" t="n">
        <v>73580</v>
      </c>
      <c r="E2992" s="0" t="n">
        <f aca="false">VLOOKUP(B2992,'MSA-Lookup'!$H$2:$I$86,2)</f>
        <v>360</v>
      </c>
      <c r="F2992" s="0" t="n">
        <f aca="false">IF(C2992&gt;1,IF(C2992&lt;99,VLOOKUP(C2992,'MSA-Lookup'!$H$1:$I$86,2),C2992),C2992)</f>
        <v>0</v>
      </c>
      <c r="G2992" s="0" t="n">
        <f aca="false">VLOOKUP(E2992,'MSA-Lookup'!$AA$1:$AB$25,2)</f>
        <v>4472</v>
      </c>
      <c r="H2992" s="0" t="n">
        <f aca="false">IF(C2992&gt;1,IF(C2992&lt;99,VLOOKUP(F2992,'MSA-Lookup'!$AA$1:$AB$25,2),C2992),C2992)</f>
        <v>0</v>
      </c>
    </row>
    <row r="2993" customFormat="false" ht="12.75" hidden="false" customHeight="false" outlineLevel="0" collapsed="false">
      <c r="A2993" s="0" t="n">
        <f aca="false">B2993*1000+C2993</f>
        <v>47001</v>
      </c>
      <c r="B2993" s="0" t="n">
        <v>47</v>
      </c>
      <c r="C2993" s="0" t="n">
        <v>1</v>
      </c>
      <c r="D2993" s="0" t="n">
        <v>0</v>
      </c>
      <c r="E2993" s="0" t="n">
        <f aca="false">VLOOKUP(B2993,'MSA-Lookup'!$H$2:$I$86,2)</f>
        <v>360</v>
      </c>
      <c r="F2993" s="0" t="n">
        <f aca="false">IF(C2993&gt;1,IF(C2993&lt;99,VLOOKUP(C2993,'MSA-Lookup'!$H$1:$I$86,2),C2993),C2993)</f>
        <v>1</v>
      </c>
      <c r="G2993" s="0" t="n">
        <f aca="false">VLOOKUP(E2993,'MSA-Lookup'!$AA$1:$AB$25,2)</f>
        <v>4472</v>
      </c>
      <c r="H2993" s="0" t="n">
        <f aca="false">IF(C2993&gt;1,IF(C2993&lt;99,VLOOKUP(F2993,'MSA-Lookup'!$AA$1:$AB$25,2),C2993),C2993)</f>
        <v>1</v>
      </c>
    </row>
    <row r="2994" customFormat="false" ht="12.75" hidden="false" customHeight="false" outlineLevel="0" collapsed="false">
      <c r="A2994" s="0" t="n">
        <f aca="false">B2994*1000+C2994</f>
        <v>47002</v>
      </c>
      <c r="B2994" s="0" t="n">
        <v>47</v>
      </c>
      <c r="C2994" s="0" t="n">
        <v>2</v>
      </c>
      <c r="D2994" s="0" t="n">
        <v>0</v>
      </c>
      <c r="E2994" s="0" t="n">
        <f aca="false">VLOOKUP(B2994,'MSA-Lookup'!$H$2:$I$86,2)</f>
        <v>360</v>
      </c>
      <c r="F2994" s="0" t="n">
        <f aca="false">IF(C2994&gt;1,IF(C2994&lt;99,VLOOKUP(C2994,'MSA-Lookup'!$H$1:$I$86,2),C2994),C2994)</f>
        <v>9999</v>
      </c>
      <c r="G2994" s="0" t="n">
        <f aca="false">VLOOKUP(E2994,'MSA-Lookup'!$AA$1:$AB$25,2)</f>
        <v>4472</v>
      </c>
      <c r="H2994" s="0" t="n">
        <f aca="false">IF(C2994&gt;1,IF(C2994&lt;99,VLOOKUP(F2994,'MSA-Lookup'!$AA$1:$AB$25,2),C2994),C2994)</f>
        <v>9999</v>
      </c>
    </row>
    <row r="2995" customFormat="false" ht="12.75" hidden="false" customHeight="false" outlineLevel="0" collapsed="false">
      <c r="A2995" s="0" t="n">
        <f aca="false">B2995*1000+C2995</f>
        <v>47003</v>
      </c>
      <c r="B2995" s="0" t="n">
        <v>47</v>
      </c>
      <c r="C2995" s="0" t="n">
        <v>3</v>
      </c>
      <c r="D2995" s="0" t="n">
        <v>0</v>
      </c>
      <c r="E2995" s="0" t="n">
        <f aca="false">VLOOKUP(B2995,'MSA-Lookup'!$H$2:$I$86,2)</f>
        <v>360</v>
      </c>
      <c r="F2995" s="0" t="n">
        <f aca="false">IF(C2995&gt;1,IF(C2995&lt;99,VLOOKUP(C2995,'MSA-Lookup'!$H$1:$I$86,2),C2995),C2995)</f>
        <v>6690</v>
      </c>
      <c r="G2995" s="0" t="n">
        <f aca="false">VLOOKUP(E2995,'MSA-Lookup'!$AA$1:$AB$25,2)</f>
        <v>4472</v>
      </c>
      <c r="H2995" s="0" t="n">
        <f aca="false">IF(C2995&gt;1,IF(C2995&lt;99,VLOOKUP(F2995,'MSA-Lookup'!$AA$1:$AB$25,2),C2995),C2995)</f>
        <v>6690</v>
      </c>
    </row>
    <row r="2996" customFormat="false" ht="12.75" hidden="false" customHeight="false" outlineLevel="0" collapsed="false">
      <c r="A2996" s="0" t="n">
        <f aca="false">B2996*1000+C2996</f>
        <v>47004</v>
      </c>
      <c r="B2996" s="0" t="n">
        <v>47</v>
      </c>
      <c r="C2996" s="0" t="n">
        <v>4</v>
      </c>
      <c r="D2996" s="0" t="n">
        <v>0</v>
      </c>
      <c r="E2996" s="0" t="n">
        <f aca="false">VLOOKUP(B2996,'MSA-Lookup'!$H$2:$I$86,2)</f>
        <v>360</v>
      </c>
      <c r="F2996" s="0" t="n">
        <f aca="false">IF(C2996&gt;1,IF(C2996&lt;99,VLOOKUP(C2996,'MSA-Lookup'!$H$1:$I$86,2),C2996),C2996)</f>
        <v>9999</v>
      </c>
      <c r="G2996" s="0" t="n">
        <f aca="false">VLOOKUP(E2996,'MSA-Lookup'!$AA$1:$AB$25,2)</f>
        <v>4472</v>
      </c>
      <c r="H2996" s="0" t="n">
        <f aca="false">IF(C2996&gt;1,IF(C2996&lt;99,VLOOKUP(F2996,'MSA-Lookup'!$AA$1:$AB$25,2),C2996),C2996)</f>
        <v>9999</v>
      </c>
    </row>
    <row r="2997" customFormat="false" ht="12.75" hidden="false" customHeight="false" outlineLevel="0" collapsed="false">
      <c r="A2997" s="0" t="n">
        <f aca="false">B2997*1000+C2997</f>
        <v>47005</v>
      </c>
      <c r="B2997" s="0" t="n">
        <v>47</v>
      </c>
      <c r="C2997" s="0" t="n">
        <v>5</v>
      </c>
      <c r="D2997" s="0" t="n">
        <v>0</v>
      </c>
      <c r="E2997" s="0" t="n">
        <f aca="false">VLOOKUP(B2997,'MSA-Lookup'!$H$2:$I$86,2)</f>
        <v>360</v>
      </c>
      <c r="F2997" s="0" t="n">
        <f aca="false">IF(C2997&gt;1,IF(C2997&lt;99,VLOOKUP(C2997,'MSA-Lookup'!$H$1:$I$86,2),C2997),C2997)</f>
        <v>9999</v>
      </c>
      <c r="G2997" s="0" t="n">
        <f aca="false">VLOOKUP(E2997,'MSA-Lookup'!$AA$1:$AB$25,2)</f>
        <v>4472</v>
      </c>
      <c r="H2997" s="0" t="n">
        <f aca="false">IF(C2997&gt;1,IF(C2997&lt;99,VLOOKUP(F2997,'MSA-Lookup'!$AA$1:$AB$25,2),C2997),C2997)</f>
        <v>9999</v>
      </c>
    </row>
    <row r="2998" customFormat="false" ht="12.75" hidden="false" customHeight="false" outlineLevel="0" collapsed="false">
      <c r="A2998" s="0" t="n">
        <f aca="false">B2998*1000+C2998</f>
        <v>47006</v>
      </c>
      <c r="B2998" s="0" t="n">
        <v>47</v>
      </c>
      <c r="C2998" s="0" t="n">
        <v>6</v>
      </c>
      <c r="D2998" s="0" t="n">
        <v>0</v>
      </c>
      <c r="E2998" s="0" t="n">
        <f aca="false">VLOOKUP(B2998,'MSA-Lookup'!$H$2:$I$86,2)</f>
        <v>360</v>
      </c>
      <c r="F2998" s="0" t="n">
        <f aca="false">IF(C2998&gt;1,IF(C2998&lt;99,VLOOKUP(C2998,'MSA-Lookup'!$H$1:$I$86,2),C2998),C2998)</f>
        <v>1620</v>
      </c>
      <c r="G2998" s="0" t="n">
        <f aca="false">VLOOKUP(E2998,'MSA-Lookup'!$AA$1:$AB$25,2)</f>
        <v>4472</v>
      </c>
      <c r="H2998" s="0" t="n">
        <f aca="false">IF(C2998&gt;1,IF(C2998&lt;99,VLOOKUP(F2998,'MSA-Lookup'!$AA$1:$AB$25,2),C2998),C2998)</f>
        <v>1620</v>
      </c>
    </row>
    <row r="2999" customFormat="false" ht="12.75" hidden="false" customHeight="false" outlineLevel="0" collapsed="false">
      <c r="A2999" s="0" t="n">
        <f aca="false">B2999*1000+C2999</f>
        <v>47007</v>
      </c>
      <c r="B2999" s="0" t="n">
        <v>47</v>
      </c>
      <c r="C2999" s="0" t="n">
        <v>7</v>
      </c>
      <c r="D2999" s="0" t="n">
        <v>0</v>
      </c>
      <c r="E2999" s="0" t="n">
        <f aca="false">VLOOKUP(B2999,'MSA-Lookup'!$H$2:$I$86,2)</f>
        <v>360</v>
      </c>
      <c r="F2999" s="0" t="n">
        <f aca="false">IF(C2999&gt;1,IF(C2999&lt;99,VLOOKUP(C2999,'MSA-Lookup'!$H$1:$I$86,2),C2999),C2999)</f>
        <v>9999</v>
      </c>
      <c r="G2999" s="0" t="n">
        <f aca="false">VLOOKUP(E2999,'MSA-Lookup'!$AA$1:$AB$25,2)</f>
        <v>4472</v>
      </c>
      <c r="H2999" s="0" t="n">
        <f aca="false">IF(C2999&gt;1,IF(C2999&lt;99,VLOOKUP(F2999,'MSA-Lookup'!$AA$1:$AB$25,2),C2999),C2999)</f>
        <v>9999</v>
      </c>
    </row>
    <row r="3000" customFormat="false" ht="12.75" hidden="false" customHeight="false" outlineLevel="0" collapsed="false">
      <c r="A3000" s="0" t="n">
        <f aca="false">B3000*1000+C3000</f>
        <v>47008</v>
      </c>
      <c r="B3000" s="0" t="n">
        <v>47</v>
      </c>
      <c r="C3000" s="0" t="n">
        <v>8</v>
      </c>
      <c r="D3000" s="0" t="n">
        <v>0</v>
      </c>
      <c r="E3000" s="0" t="n">
        <f aca="false">VLOOKUP(B3000,'MSA-Lookup'!$H$2:$I$86,2)</f>
        <v>360</v>
      </c>
      <c r="F3000" s="0" t="n">
        <f aca="false">IF(C3000&gt;1,IF(C3000&lt;99,VLOOKUP(C3000,'MSA-Lookup'!$H$1:$I$86,2),C3000),C3000)</f>
        <v>9340</v>
      </c>
      <c r="G3000" s="0" t="n">
        <f aca="false">VLOOKUP(E3000,'MSA-Lookup'!$AA$1:$AB$25,2)</f>
        <v>4472</v>
      </c>
      <c r="H3000" s="0" t="n">
        <f aca="false">IF(C3000&gt;1,IF(C3000&lt;99,VLOOKUP(F3000,'MSA-Lookup'!$AA$1:$AB$25,2),C3000),C3000)</f>
        <v>9340</v>
      </c>
    </row>
    <row r="3001" customFormat="false" ht="12.75" hidden="false" customHeight="false" outlineLevel="0" collapsed="false">
      <c r="A3001" s="0" t="n">
        <f aca="false">B3001*1000+C3001</f>
        <v>47009</v>
      </c>
      <c r="B3001" s="0" t="n">
        <v>47</v>
      </c>
      <c r="C3001" s="0" t="n">
        <v>9</v>
      </c>
      <c r="D3001" s="0" t="n">
        <v>0</v>
      </c>
      <c r="E3001" s="0" t="n">
        <f aca="false">VLOOKUP(B3001,'MSA-Lookup'!$H$2:$I$86,2)</f>
        <v>360</v>
      </c>
      <c r="F3001" s="0" t="n">
        <f aca="false">IF(C3001&gt;1,IF(C3001&lt;99,VLOOKUP(C3001,'MSA-Lookup'!$H$1:$I$86,2),C3001),C3001)</f>
        <v>8720</v>
      </c>
      <c r="G3001" s="0" t="n">
        <f aca="false">VLOOKUP(E3001,'MSA-Lookup'!$AA$1:$AB$25,2)</f>
        <v>4472</v>
      </c>
      <c r="H3001" s="0" t="n">
        <f aca="false">IF(C3001&gt;1,IF(C3001&lt;99,VLOOKUP(F3001,'MSA-Lookup'!$AA$1:$AB$25,2),C3001),C3001)</f>
        <v>7362</v>
      </c>
    </row>
    <row r="3002" customFormat="false" ht="12.75" hidden="false" customHeight="false" outlineLevel="0" collapsed="false">
      <c r="A3002" s="0" t="n">
        <f aca="false">B3002*1000+C3002</f>
        <v>47010</v>
      </c>
      <c r="B3002" s="0" t="n">
        <v>47</v>
      </c>
      <c r="C3002" s="0" t="n">
        <v>10</v>
      </c>
      <c r="D3002" s="0" t="n">
        <v>0</v>
      </c>
      <c r="E3002" s="0" t="n">
        <f aca="false">VLOOKUP(B3002,'MSA-Lookup'!$H$2:$I$86,2)</f>
        <v>360</v>
      </c>
      <c r="F3002" s="0" t="n">
        <f aca="false">IF(C3002&gt;1,IF(C3002&lt;99,VLOOKUP(C3002,'MSA-Lookup'!$H$1:$I$86,2),C3002),C3002)</f>
        <v>6920</v>
      </c>
      <c r="G3002" s="0" t="n">
        <f aca="false">VLOOKUP(E3002,'MSA-Lookup'!$AA$1:$AB$25,2)</f>
        <v>4472</v>
      </c>
      <c r="H3002" s="0" t="n">
        <f aca="false">IF(C3002&gt;1,IF(C3002&lt;99,VLOOKUP(F3002,'MSA-Lookup'!$AA$1:$AB$25,2),C3002),C3002)</f>
        <v>6920</v>
      </c>
    </row>
    <row r="3003" customFormat="false" ht="12.75" hidden="false" customHeight="false" outlineLevel="0" collapsed="false">
      <c r="A3003" s="0" t="n">
        <f aca="false">B3003*1000+C3003</f>
        <v>47011</v>
      </c>
      <c r="B3003" s="0" t="n">
        <v>47</v>
      </c>
      <c r="C3003" s="0" t="n">
        <v>11</v>
      </c>
      <c r="D3003" s="0" t="n">
        <v>0</v>
      </c>
      <c r="E3003" s="0" t="n">
        <f aca="false">VLOOKUP(B3003,'MSA-Lookup'!$H$2:$I$86,2)</f>
        <v>360</v>
      </c>
      <c r="F3003" s="0" t="n">
        <f aca="false">IF(C3003&gt;1,IF(C3003&lt;99,VLOOKUP(C3003,'MSA-Lookup'!$H$1:$I$86,2),C3003),C3003)</f>
        <v>6920</v>
      </c>
      <c r="G3003" s="0" t="n">
        <f aca="false">VLOOKUP(E3003,'MSA-Lookup'!$AA$1:$AB$25,2)</f>
        <v>4472</v>
      </c>
      <c r="H3003" s="0" t="n">
        <f aca="false">IF(C3003&gt;1,IF(C3003&lt;99,VLOOKUP(F3003,'MSA-Lookup'!$AA$1:$AB$25,2),C3003),C3003)</f>
        <v>6920</v>
      </c>
    </row>
    <row r="3004" customFormat="false" ht="12.75" hidden="false" customHeight="false" outlineLevel="0" collapsed="false">
      <c r="A3004" s="0" t="n">
        <f aca="false">B3004*1000+C3004</f>
        <v>47012</v>
      </c>
      <c r="B3004" s="0" t="n">
        <v>47</v>
      </c>
      <c r="C3004" s="0" t="n">
        <v>12</v>
      </c>
      <c r="D3004" s="0" t="n">
        <v>0</v>
      </c>
      <c r="E3004" s="0" t="n">
        <f aca="false">VLOOKUP(B3004,'MSA-Lookup'!$H$2:$I$86,2)</f>
        <v>360</v>
      </c>
      <c r="F3004" s="0" t="n">
        <f aca="false">IF(C3004&gt;1,IF(C3004&lt;99,VLOOKUP(C3004,'MSA-Lookup'!$H$1:$I$86,2),C3004),C3004)</f>
        <v>6920</v>
      </c>
      <c r="G3004" s="0" t="n">
        <f aca="false">VLOOKUP(E3004,'MSA-Lookup'!$AA$1:$AB$25,2)</f>
        <v>4472</v>
      </c>
      <c r="H3004" s="0" t="n">
        <f aca="false">IF(C3004&gt;1,IF(C3004&lt;99,VLOOKUP(F3004,'MSA-Lookup'!$AA$1:$AB$25,2),C3004),C3004)</f>
        <v>6920</v>
      </c>
    </row>
    <row r="3005" customFormat="false" ht="12.75" hidden="false" customHeight="false" outlineLevel="0" collapsed="false">
      <c r="A3005" s="0" t="n">
        <f aca="false">B3005*1000+C3005</f>
        <v>47013</v>
      </c>
      <c r="B3005" s="0" t="n">
        <v>47</v>
      </c>
      <c r="C3005" s="0" t="n">
        <v>13</v>
      </c>
      <c r="D3005" s="0" t="n">
        <v>0</v>
      </c>
      <c r="E3005" s="0" t="n">
        <f aca="false">VLOOKUP(B3005,'MSA-Lookup'!$H$2:$I$86,2)</f>
        <v>360</v>
      </c>
      <c r="F3005" s="0" t="n">
        <f aca="false">IF(C3005&gt;1,IF(C3005&lt;99,VLOOKUP(C3005,'MSA-Lookup'!$H$1:$I$86,2),C3005),C3005)</f>
        <v>7500</v>
      </c>
      <c r="G3005" s="0" t="n">
        <f aca="false">VLOOKUP(E3005,'MSA-Lookup'!$AA$1:$AB$25,2)</f>
        <v>4472</v>
      </c>
      <c r="H3005" s="0" t="n">
        <f aca="false">IF(C3005&gt;1,IF(C3005&lt;99,VLOOKUP(F3005,'MSA-Lookup'!$AA$1:$AB$25,2),C3005),C3005)</f>
        <v>7362</v>
      </c>
    </row>
    <row r="3006" customFormat="false" ht="12.75" hidden="false" customHeight="false" outlineLevel="0" collapsed="false">
      <c r="A3006" s="0" t="n">
        <f aca="false">B3006*1000+C3006</f>
        <v>47014</v>
      </c>
      <c r="B3006" s="0" t="n">
        <v>47</v>
      </c>
      <c r="C3006" s="0" t="n">
        <v>14</v>
      </c>
      <c r="D3006" s="0" t="n">
        <v>0</v>
      </c>
      <c r="E3006" s="0" t="n">
        <f aca="false">VLOOKUP(B3006,'MSA-Lookup'!$H$2:$I$86,2)</f>
        <v>360</v>
      </c>
      <c r="F3006" s="0" t="n">
        <f aca="false">IF(C3006&gt;1,IF(C3006&lt;99,VLOOKUP(C3006,'MSA-Lookup'!$H$1:$I$86,2),C3006),C3006)</f>
        <v>7500</v>
      </c>
      <c r="G3006" s="0" t="n">
        <f aca="false">VLOOKUP(E3006,'MSA-Lookup'!$AA$1:$AB$25,2)</f>
        <v>4472</v>
      </c>
      <c r="H3006" s="0" t="n">
        <f aca="false">IF(C3006&gt;1,IF(C3006&lt;99,VLOOKUP(F3006,'MSA-Lookup'!$AA$1:$AB$25,2),C3006),C3006)</f>
        <v>7362</v>
      </c>
    </row>
    <row r="3007" customFormat="false" ht="12.75" hidden="false" customHeight="false" outlineLevel="0" collapsed="false">
      <c r="A3007" s="0" t="n">
        <f aca="false">B3007*1000+C3007</f>
        <v>47015</v>
      </c>
      <c r="B3007" s="0" t="n">
        <v>47</v>
      </c>
      <c r="C3007" s="0" t="n">
        <v>15</v>
      </c>
      <c r="D3007" s="0" t="n">
        <v>0</v>
      </c>
      <c r="E3007" s="0" t="n">
        <f aca="false">VLOOKUP(B3007,'MSA-Lookup'!$H$2:$I$86,2)</f>
        <v>360</v>
      </c>
      <c r="F3007" s="0" t="n">
        <f aca="false">IF(C3007&gt;1,IF(C3007&lt;99,VLOOKUP(C3007,'MSA-Lookup'!$H$1:$I$86,2),C3007),C3007)</f>
        <v>7360</v>
      </c>
      <c r="G3007" s="0" t="n">
        <f aca="false">VLOOKUP(E3007,'MSA-Lookup'!$AA$1:$AB$25,2)</f>
        <v>4472</v>
      </c>
      <c r="H3007" s="0" t="n">
        <f aca="false">IF(C3007&gt;1,IF(C3007&lt;99,VLOOKUP(F3007,'MSA-Lookup'!$AA$1:$AB$25,2),C3007),C3007)</f>
        <v>7362</v>
      </c>
    </row>
    <row r="3008" customFormat="false" ht="12.75" hidden="false" customHeight="false" outlineLevel="0" collapsed="false">
      <c r="A3008" s="0" t="n">
        <f aca="false">B3008*1000+C3008</f>
        <v>47016</v>
      </c>
      <c r="B3008" s="0" t="n">
        <v>47</v>
      </c>
      <c r="C3008" s="0" t="n">
        <v>16</v>
      </c>
      <c r="D3008" s="0" t="n">
        <v>0</v>
      </c>
      <c r="E3008" s="0" t="n">
        <f aca="false">VLOOKUP(B3008,'MSA-Lookup'!$H$2:$I$86,2)</f>
        <v>360</v>
      </c>
      <c r="F3008" s="0" t="n">
        <f aca="false">IF(C3008&gt;1,IF(C3008&lt;99,VLOOKUP(C3008,'MSA-Lookup'!$H$1:$I$86,2),C3008),C3008)</f>
        <v>8720</v>
      </c>
      <c r="G3008" s="0" t="n">
        <f aca="false">VLOOKUP(E3008,'MSA-Lookup'!$AA$1:$AB$25,2)</f>
        <v>4472</v>
      </c>
      <c r="H3008" s="0" t="n">
        <f aca="false">IF(C3008&gt;1,IF(C3008&lt;99,VLOOKUP(F3008,'MSA-Lookup'!$AA$1:$AB$25,2),C3008),C3008)</f>
        <v>7362</v>
      </c>
    </row>
    <row r="3009" customFormat="false" ht="12.75" hidden="false" customHeight="false" outlineLevel="0" collapsed="false">
      <c r="A3009" s="0" t="n">
        <f aca="false">B3009*1000+C3009</f>
        <v>47017</v>
      </c>
      <c r="B3009" s="0" t="n">
        <v>47</v>
      </c>
      <c r="C3009" s="0" t="n">
        <v>17</v>
      </c>
      <c r="D3009" s="0" t="n">
        <v>0</v>
      </c>
      <c r="E3009" s="0" t="n">
        <f aca="false">VLOOKUP(B3009,'MSA-Lookup'!$H$2:$I$86,2)</f>
        <v>360</v>
      </c>
      <c r="F3009" s="0" t="n">
        <f aca="false">IF(C3009&gt;1,IF(C3009&lt;99,VLOOKUP(C3009,'MSA-Lookup'!$H$1:$I$86,2),C3009),C3009)</f>
        <v>5775</v>
      </c>
      <c r="G3009" s="0" t="n">
        <f aca="false">VLOOKUP(E3009,'MSA-Lookup'!$AA$1:$AB$25,2)</f>
        <v>4472</v>
      </c>
      <c r="H3009" s="0" t="n">
        <f aca="false">IF(C3009&gt;1,IF(C3009&lt;99,VLOOKUP(F3009,'MSA-Lookup'!$AA$1:$AB$25,2),C3009),C3009)</f>
        <v>7362</v>
      </c>
    </row>
    <row r="3010" customFormat="false" ht="12.75" hidden="false" customHeight="false" outlineLevel="0" collapsed="false">
      <c r="A3010" s="0" t="n">
        <f aca="false">B3010*1000+C3010</f>
        <v>47018</v>
      </c>
      <c r="B3010" s="0" t="n">
        <v>47</v>
      </c>
      <c r="C3010" s="0" t="n">
        <v>18</v>
      </c>
      <c r="D3010" s="0" t="n">
        <v>0</v>
      </c>
      <c r="E3010" s="0" t="n">
        <f aca="false">VLOOKUP(B3010,'MSA-Lookup'!$H$2:$I$86,2)</f>
        <v>360</v>
      </c>
      <c r="F3010" s="0" t="n">
        <f aca="false">IF(C3010&gt;1,IF(C3010&lt;99,VLOOKUP(C3010,'MSA-Lookup'!$H$1:$I$86,2),C3010),C3010)</f>
        <v>5775</v>
      </c>
      <c r="G3010" s="0" t="n">
        <f aca="false">VLOOKUP(E3010,'MSA-Lookup'!$AA$1:$AB$25,2)</f>
        <v>4472</v>
      </c>
      <c r="H3010" s="0" t="n">
        <f aca="false">IF(C3010&gt;1,IF(C3010&lt;99,VLOOKUP(F3010,'MSA-Lookup'!$AA$1:$AB$25,2),C3010),C3010)</f>
        <v>7362</v>
      </c>
    </row>
    <row r="3011" customFormat="false" ht="12.75" hidden="false" customHeight="false" outlineLevel="0" collapsed="false">
      <c r="A3011" s="0" t="n">
        <f aca="false">B3011*1000+C3011</f>
        <v>47019</v>
      </c>
      <c r="B3011" s="0" t="n">
        <v>47</v>
      </c>
      <c r="C3011" s="0" t="n">
        <v>19</v>
      </c>
      <c r="D3011" s="0" t="n">
        <v>0</v>
      </c>
      <c r="E3011" s="0" t="n">
        <f aca="false">VLOOKUP(B3011,'MSA-Lookup'!$H$2:$I$86,2)</f>
        <v>360</v>
      </c>
      <c r="F3011" s="0" t="n">
        <f aca="false">IF(C3011&gt;1,IF(C3011&lt;99,VLOOKUP(C3011,'MSA-Lookup'!$H$1:$I$86,2),C3011),C3011)</f>
        <v>7360</v>
      </c>
      <c r="G3011" s="0" t="n">
        <f aca="false">VLOOKUP(E3011,'MSA-Lookup'!$AA$1:$AB$25,2)</f>
        <v>4472</v>
      </c>
      <c r="H3011" s="0" t="n">
        <f aca="false">IF(C3011&gt;1,IF(C3011&lt;99,VLOOKUP(F3011,'MSA-Lookup'!$AA$1:$AB$25,2),C3011),C3011)</f>
        <v>7362</v>
      </c>
    </row>
    <row r="3012" customFormat="false" ht="12.75" hidden="false" customHeight="false" outlineLevel="0" collapsed="false">
      <c r="A3012" s="0" t="n">
        <f aca="false">B3012*1000+C3012</f>
        <v>47020</v>
      </c>
      <c r="B3012" s="0" t="n">
        <v>47</v>
      </c>
      <c r="C3012" s="0" t="n">
        <v>20</v>
      </c>
      <c r="D3012" s="0" t="n">
        <v>0</v>
      </c>
      <c r="E3012" s="0" t="n">
        <f aca="false">VLOOKUP(B3012,'MSA-Lookup'!$H$2:$I$86,2)</f>
        <v>360</v>
      </c>
      <c r="F3012" s="0" t="n">
        <f aca="false">IF(C3012&gt;1,IF(C3012&lt;99,VLOOKUP(C3012,'MSA-Lookup'!$H$1:$I$86,2),C3012),C3012)</f>
        <v>5775</v>
      </c>
      <c r="G3012" s="0" t="n">
        <f aca="false">VLOOKUP(E3012,'MSA-Lookup'!$AA$1:$AB$25,2)</f>
        <v>4472</v>
      </c>
      <c r="H3012" s="0" t="n">
        <f aca="false">IF(C3012&gt;1,IF(C3012&lt;99,VLOOKUP(F3012,'MSA-Lookup'!$AA$1:$AB$25,2),C3012),C3012)</f>
        <v>7362</v>
      </c>
    </row>
    <row r="3013" customFormat="false" ht="12.75" hidden="false" customHeight="false" outlineLevel="0" collapsed="false">
      <c r="A3013" s="0" t="n">
        <f aca="false">B3013*1000+C3013</f>
        <v>47021</v>
      </c>
      <c r="B3013" s="0" t="n">
        <v>47</v>
      </c>
      <c r="C3013" s="0" t="n">
        <v>21</v>
      </c>
      <c r="D3013" s="0" t="n">
        <v>0</v>
      </c>
      <c r="E3013" s="0" t="n">
        <f aca="false">VLOOKUP(B3013,'MSA-Lookup'!$H$2:$I$86,2)</f>
        <v>360</v>
      </c>
      <c r="F3013" s="0" t="n">
        <f aca="false">IF(C3013&gt;1,IF(C3013&lt;99,VLOOKUP(C3013,'MSA-Lookup'!$H$1:$I$86,2),C3013),C3013)</f>
        <v>5775</v>
      </c>
      <c r="G3013" s="0" t="n">
        <f aca="false">VLOOKUP(E3013,'MSA-Lookup'!$AA$1:$AB$25,2)</f>
        <v>4472</v>
      </c>
      <c r="H3013" s="0" t="n">
        <f aca="false">IF(C3013&gt;1,IF(C3013&lt;99,VLOOKUP(F3013,'MSA-Lookup'!$AA$1:$AB$25,2),C3013),C3013)</f>
        <v>7362</v>
      </c>
    </row>
    <row r="3014" customFormat="false" ht="12.75" hidden="false" customHeight="false" outlineLevel="0" collapsed="false">
      <c r="A3014" s="0" t="n">
        <f aca="false">B3014*1000+C3014</f>
        <v>47022</v>
      </c>
      <c r="B3014" s="0" t="n">
        <v>47</v>
      </c>
      <c r="C3014" s="0" t="n">
        <v>22</v>
      </c>
      <c r="D3014" s="0" t="n">
        <v>0</v>
      </c>
      <c r="E3014" s="0" t="n">
        <f aca="false">VLOOKUP(B3014,'MSA-Lookup'!$H$2:$I$86,2)</f>
        <v>360</v>
      </c>
      <c r="F3014" s="0" t="n">
        <f aca="false">IF(C3014&gt;1,IF(C3014&lt;99,VLOOKUP(C3014,'MSA-Lookup'!$H$1:$I$86,2),C3014),C3014)</f>
        <v>7360</v>
      </c>
      <c r="G3014" s="0" t="n">
        <f aca="false">VLOOKUP(E3014,'MSA-Lookup'!$AA$1:$AB$25,2)</f>
        <v>4472</v>
      </c>
      <c r="H3014" s="0" t="n">
        <f aca="false">IF(C3014&gt;1,IF(C3014&lt;99,VLOOKUP(F3014,'MSA-Lookup'!$AA$1:$AB$25,2),C3014),C3014)</f>
        <v>7362</v>
      </c>
    </row>
    <row r="3015" customFormat="false" ht="12.75" hidden="false" customHeight="false" outlineLevel="0" collapsed="false">
      <c r="A3015" s="0" t="n">
        <f aca="false">B3015*1000+C3015</f>
        <v>47023</v>
      </c>
      <c r="B3015" s="0" t="n">
        <v>47</v>
      </c>
      <c r="C3015" s="0" t="n">
        <v>23</v>
      </c>
      <c r="D3015" s="0" t="n">
        <v>0</v>
      </c>
      <c r="E3015" s="0" t="n">
        <f aca="false">VLOOKUP(B3015,'MSA-Lookup'!$H$2:$I$86,2)</f>
        <v>360</v>
      </c>
      <c r="F3015" s="0" t="n">
        <f aca="false">IF(C3015&gt;1,IF(C3015&lt;99,VLOOKUP(C3015,'MSA-Lookup'!$H$1:$I$86,2),C3015),C3015)</f>
        <v>8120</v>
      </c>
      <c r="G3015" s="0" t="n">
        <f aca="false">VLOOKUP(E3015,'MSA-Lookup'!$AA$1:$AB$25,2)</f>
        <v>4472</v>
      </c>
      <c r="H3015" s="0" t="n">
        <f aca="false">IF(C3015&gt;1,IF(C3015&lt;99,VLOOKUP(F3015,'MSA-Lookup'!$AA$1:$AB$25,2),C3015),C3015)</f>
        <v>8120</v>
      </c>
    </row>
    <row r="3016" customFormat="false" ht="12.75" hidden="false" customHeight="false" outlineLevel="0" collapsed="false">
      <c r="A3016" s="0" t="n">
        <f aca="false">B3016*1000+C3016</f>
        <v>47024</v>
      </c>
      <c r="B3016" s="0" t="n">
        <v>47</v>
      </c>
      <c r="C3016" s="0" t="n">
        <v>24</v>
      </c>
      <c r="D3016" s="0" t="n">
        <v>0</v>
      </c>
      <c r="E3016" s="0" t="n">
        <f aca="false">VLOOKUP(B3016,'MSA-Lookup'!$H$2:$I$86,2)</f>
        <v>360</v>
      </c>
      <c r="F3016" s="0" t="n">
        <f aca="false">IF(C3016&gt;1,IF(C3016&lt;99,VLOOKUP(C3016,'MSA-Lookup'!$H$1:$I$86,2),C3016),C3016)</f>
        <v>5170</v>
      </c>
      <c r="G3016" s="0" t="n">
        <f aca="false">VLOOKUP(E3016,'MSA-Lookup'!$AA$1:$AB$25,2)</f>
        <v>4472</v>
      </c>
      <c r="H3016" s="0" t="n">
        <f aca="false">IF(C3016&gt;1,IF(C3016&lt;99,VLOOKUP(F3016,'MSA-Lookup'!$AA$1:$AB$25,2),C3016),C3016)</f>
        <v>5170</v>
      </c>
    </row>
    <row r="3017" customFormat="false" ht="12.75" hidden="false" customHeight="false" outlineLevel="0" collapsed="false">
      <c r="A3017" s="0" t="n">
        <f aca="false">B3017*1000+C3017</f>
        <v>47025</v>
      </c>
      <c r="B3017" s="0" t="n">
        <v>47</v>
      </c>
      <c r="C3017" s="0" t="n">
        <v>25</v>
      </c>
      <c r="D3017" s="0" t="n">
        <v>0</v>
      </c>
      <c r="E3017" s="0" t="n">
        <f aca="false">VLOOKUP(B3017,'MSA-Lookup'!$H$2:$I$86,2)</f>
        <v>360</v>
      </c>
      <c r="F3017" s="0" t="n">
        <f aca="false">IF(C3017&gt;1,IF(C3017&lt;99,VLOOKUP(C3017,'MSA-Lookup'!$H$1:$I$86,2),C3017),C3017)</f>
        <v>5170</v>
      </c>
      <c r="G3017" s="0" t="n">
        <f aca="false">VLOOKUP(E3017,'MSA-Lookup'!$AA$1:$AB$25,2)</f>
        <v>4472</v>
      </c>
      <c r="H3017" s="0" t="n">
        <f aca="false">IF(C3017&gt;1,IF(C3017&lt;99,VLOOKUP(F3017,'MSA-Lookup'!$AA$1:$AB$25,2),C3017),C3017)</f>
        <v>5170</v>
      </c>
    </row>
    <row r="3018" customFormat="false" ht="12.75" hidden="false" customHeight="false" outlineLevel="0" collapsed="false">
      <c r="A3018" s="0" t="n">
        <f aca="false">B3018*1000+C3018</f>
        <v>47026</v>
      </c>
      <c r="B3018" s="0" t="n">
        <v>47</v>
      </c>
      <c r="C3018" s="0" t="n">
        <v>26</v>
      </c>
      <c r="D3018" s="0" t="n">
        <v>0</v>
      </c>
      <c r="E3018" s="0" t="n">
        <f aca="false">VLOOKUP(B3018,'MSA-Lookup'!$H$2:$I$86,2)</f>
        <v>360</v>
      </c>
      <c r="F3018" s="0" t="n">
        <f aca="false">IF(C3018&gt;1,IF(C3018&lt;99,VLOOKUP(C3018,'MSA-Lookup'!$H$1:$I$86,2),C3018),C3018)</f>
        <v>9999</v>
      </c>
      <c r="G3018" s="0" t="n">
        <f aca="false">VLOOKUP(E3018,'MSA-Lookup'!$AA$1:$AB$25,2)</f>
        <v>4472</v>
      </c>
      <c r="H3018" s="0" t="n">
        <f aca="false">IF(C3018&gt;1,IF(C3018&lt;99,VLOOKUP(F3018,'MSA-Lookup'!$AA$1:$AB$25,2),C3018),C3018)</f>
        <v>9999</v>
      </c>
    </row>
    <row r="3019" customFormat="false" ht="12.75" hidden="false" customHeight="false" outlineLevel="0" collapsed="false">
      <c r="A3019" s="0" t="n">
        <f aca="false">B3019*1000+C3019</f>
        <v>47027</v>
      </c>
      <c r="B3019" s="0" t="n">
        <v>47</v>
      </c>
      <c r="C3019" s="0" t="n">
        <v>27</v>
      </c>
      <c r="D3019" s="0" t="n">
        <v>0</v>
      </c>
      <c r="E3019" s="0" t="n">
        <f aca="false">VLOOKUP(B3019,'MSA-Lookup'!$H$2:$I$86,2)</f>
        <v>360</v>
      </c>
      <c r="F3019" s="0" t="n">
        <f aca="false">IF(C3019&gt;1,IF(C3019&lt;99,VLOOKUP(C3019,'MSA-Lookup'!$H$1:$I$86,2),C3019),C3019)</f>
        <v>9999</v>
      </c>
      <c r="G3019" s="0" t="n">
        <f aca="false">VLOOKUP(E3019,'MSA-Lookup'!$AA$1:$AB$25,2)</f>
        <v>4472</v>
      </c>
      <c r="H3019" s="0" t="n">
        <f aca="false">IF(C3019&gt;1,IF(C3019&lt;99,VLOOKUP(F3019,'MSA-Lookup'!$AA$1:$AB$25,2),C3019),C3019)</f>
        <v>9999</v>
      </c>
    </row>
    <row r="3020" customFormat="false" ht="12.75" hidden="false" customHeight="false" outlineLevel="0" collapsed="false">
      <c r="A3020" s="0" t="n">
        <f aca="false">B3020*1000+C3020</f>
        <v>47028</v>
      </c>
      <c r="B3020" s="0" t="n">
        <v>47</v>
      </c>
      <c r="C3020" s="0" t="n">
        <v>28</v>
      </c>
      <c r="D3020" s="0" t="n">
        <v>0</v>
      </c>
      <c r="E3020" s="0" t="n">
        <f aca="false">VLOOKUP(B3020,'MSA-Lookup'!$H$2:$I$86,2)</f>
        <v>360</v>
      </c>
      <c r="F3020" s="0" t="n">
        <f aca="false">IF(C3020&gt;1,IF(C3020&lt;99,VLOOKUP(C3020,'MSA-Lookup'!$H$1:$I$86,2),C3020),C3020)</f>
        <v>6920</v>
      </c>
      <c r="G3020" s="0" t="n">
        <f aca="false">VLOOKUP(E3020,'MSA-Lookup'!$AA$1:$AB$25,2)</f>
        <v>4472</v>
      </c>
      <c r="H3020" s="0" t="n">
        <f aca="false">IF(C3020&gt;1,IF(C3020&lt;99,VLOOKUP(F3020,'MSA-Lookup'!$AA$1:$AB$25,2),C3020),C3020)</f>
        <v>6920</v>
      </c>
    </row>
    <row r="3021" customFormat="false" ht="12.75" hidden="false" customHeight="false" outlineLevel="0" collapsed="false">
      <c r="A3021" s="0" t="n">
        <f aca="false">B3021*1000+C3021</f>
        <v>47029</v>
      </c>
      <c r="B3021" s="0" t="n">
        <v>47</v>
      </c>
      <c r="C3021" s="0" t="n">
        <v>29</v>
      </c>
      <c r="D3021" s="0" t="n">
        <v>0</v>
      </c>
      <c r="E3021" s="0" t="n">
        <f aca="false">VLOOKUP(B3021,'MSA-Lookup'!$H$2:$I$86,2)</f>
        <v>360</v>
      </c>
      <c r="F3021" s="0" t="n">
        <f aca="false">IF(C3021&gt;1,IF(C3021&lt;99,VLOOKUP(C3021,'MSA-Lookup'!$H$1:$I$86,2),C3021),C3021)</f>
        <v>6920</v>
      </c>
      <c r="G3021" s="0" t="n">
        <f aca="false">VLOOKUP(E3021,'MSA-Lookup'!$AA$1:$AB$25,2)</f>
        <v>4472</v>
      </c>
      <c r="H3021" s="0" t="n">
        <f aca="false">IF(C3021&gt;1,IF(C3021&lt;99,VLOOKUP(F3021,'MSA-Lookup'!$AA$1:$AB$25,2),C3021),C3021)</f>
        <v>6920</v>
      </c>
    </row>
    <row r="3022" customFormat="false" ht="12.75" hidden="false" customHeight="false" outlineLevel="0" collapsed="false">
      <c r="A3022" s="0" t="n">
        <f aca="false">B3022*1000+C3022</f>
        <v>47030</v>
      </c>
      <c r="B3022" s="0" t="n">
        <v>47</v>
      </c>
      <c r="C3022" s="0" t="n">
        <v>30</v>
      </c>
      <c r="D3022" s="0" t="n">
        <v>0</v>
      </c>
      <c r="E3022" s="0" t="n">
        <f aca="false">VLOOKUP(B3022,'MSA-Lookup'!$H$2:$I$86,2)</f>
        <v>360</v>
      </c>
      <c r="F3022" s="0" t="n">
        <f aca="false">IF(C3022&gt;1,IF(C3022&lt;99,VLOOKUP(C3022,'MSA-Lookup'!$H$1:$I$86,2),C3022),C3022)</f>
        <v>4940</v>
      </c>
      <c r="G3022" s="0" t="n">
        <f aca="false">VLOOKUP(E3022,'MSA-Lookup'!$AA$1:$AB$25,2)</f>
        <v>4472</v>
      </c>
      <c r="H3022" s="0" t="n">
        <f aca="false">IF(C3022&gt;1,IF(C3022&lt;99,VLOOKUP(F3022,'MSA-Lookup'!$AA$1:$AB$25,2),C3022),C3022)</f>
        <v>4940</v>
      </c>
    </row>
    <row r="3023" customFormat="false" ht="12.75" hidden="false" customHeight="false" outlineLevel="0" collapsed="false">
      <c r="A3023" s="0" t="n">
        <f aca="false">B3023*1000+C3023</f>
        <v>47031</v>
      </c>
      <c r="B3023" s="0" t="n">
        <v>47</v>
      </c>
      <c r="C3023" s="0" t="n">
        <v>31</v>
      </c>
      <c r="D3023" s="0" t="n">
        <v>91</v>
      </c>
      <c r="E3023" s="0" t="n">
        <f aca="false">VLOOKUP(B3023,'MSA-Lookup'!$H$2:$I$86,2)</f>
        <v>360</v>
      </c>
      <c r="F3023" s="0" t="n">
        <f aca="false">IF(C3023&gt;1,IF(C3023&lt;99,VLOOKUP(C3023,'MSA-Lookup'!$H$1:$I$86,2),C3023),C3023)</f>
        <v>9999</v>
      </c>
      <c r="G3023" s="0" t="n">
        <f aca="false">VLOOKUP(E3023,'MSA-Lookup'!$AA$1:$AB$25,2)</f>
        <v>4472</v>
      </c>
      <c r="H3023" s="0" t="n">
        <f aca="false">IF(C3023&gt;1,IF(C3023&lt;99,VLOOKUP(F3023,'MSA-Lookup'!$AA$1:$AB$25,2),C3023),C3023)</f>
        <v>9999</v>
      </c>
    </row>
    <row r="3024" customFormat="false" ht="12.75" hidden="false" customHeight="false" outlineLevel="0" collapsed="false">
      <c r="A3024" s="0" t="n">
        <f aca="false">B3024*1000+C3024</f>
        <v>47032</v>
      </c>
      <c r="B3024" s="0" t="n">
        <v>47</v>
      </c>
      <c r="C3024" s="0" t="n">
        <v>32</v>
      </c>
      <c r="D3024" s="0" t="n">
        <v>78</v>
      </c>
      <c r="E3024" s="0" t="n">
        <f aca="false">VLOOKUP(B3024,'MSA-Lookup'!$H$2:$I$86,2)</f>
        <v>360</v>
      </c>
      <c r="F3024" s="0" t="n">
        <f aca="false">IF(C3024&gt;1,IF(C3024&lt;99,VLOOKUP(C3024,'MSA-Lookup'!$H$1:$I$86,2),C3024),C3024)</f>
        <v>7480</v>
      </c>
      <c r="G3024" s="0" t="n">
        <f aca="false">VLOOKUP(E3024,'MSA-Lookup'!$AA$1:$AB$25,2)</f>
        <v>4472</v>
      </c>
      <c r="H3024" s="0" t="n">
        <f aca="false">IF(C3024&gt;1,IF(C3024&lt;99,VLOOKUP(F3024,'MSA-Lookup'!$AA$1:$AB$25,2),C3024),C3024)</f>
        <v>7480</v>
      </c>
    </row>
    <row r="3025" customFormat="false" ht="12.75" hidden="false" customHeight="false" outlineLevel="0" collapsed="false">
      <c r="A3025" s="0" t="n">
        <f aca="false">B3025*1000+C3025</f>
        <v>47033</v>
      </c>
      <c r="B3025" s="0" t="n">
        <v>47</v>
      </c>
      <c r="C3025" s="0" t="n">
        <v>33</v>
      </c>
      <c r="D3025" s="0" t="n">
        <v>0</v>
      </c>
      <c r="E3025" s="0" t="n">
        <f aca="false">VLOOKUP(B3025,'MSA-Lookup'!$H$2:$I$86,2)</f>
        <v>360</v>
      </c>
      <c r="F3025" s="0" t="n">
        <f aca="false">IF(C3025&gt;1,IF(C3025&lt;99,VLOOKUP(C3025,'MSA-Lookup'!$H$1:$I$86,2),C3025),C3025)</f>
        <v>7320</v>
      </c>
      <c r="G3025" s="0" t="n">
        <f aca="false">VLOOKUP(E3025,'MSA-Lookup'!$AA$1:$AB$25,2)</f>
        <v>4472</v>
      </c>
      <c r="H3025" s="0" t="n">
        <f aca="false">IF(C3025&gt;1,IF(C3025&lt;99,VLOOKUP(F3025,'MSA-Lookup'!$AA$1:$AB$25,2),C3025),C3025)</f>
        <v>7320</v>
      </c>
    </row>
    <row r="3026" customFormat="false" ht="12.75" hidden="false" customHeight="false" outlineLevel="0" collapsed="false">
      <c r="A3026" s="0" t="n">
        <f aca="false">B3026*1000+C3026</f>
        <v>47034</v>
      </c>
      <c r="B3026" s="0" t="n">
        <v>47</v>
      </c>
      <c r="C3026" s="0" t="n">
        <v>34</v>
      </c>
      <c r="D3026" s="0" t="n">
        <v>0</v>
      </c>
      <c r="E3026" s="0" t="n">
        <f aca="false">VLOOKUP(B3026,'MSA-Lookup'!$H$2:$I$86,2)</f>
        <v>360</v>
      </c>
      <c r="F3026" s="0" t="n">
        <f aca="false">IF(C3026&gt;1,IF(C3026&lt;99,VLOOKUP(C3026,'MSA-Lookup'!$H$1:$I$86,2),C3026),C3026)</f>
        <v>7320</v>
      </c>
      <c r="G3026" s="0" t="n">
        <f aca="false">VLOOKUP(E3026,'MSA-Lookup'!$AA$1:$AB$25,2)</f>
        <v>4472</v>
      </c>
      <c r="H3026" s="0" t="n">
        <f aca="false">IF(C3026&gt;1,IF(C3026&lt;99,VLOOKUP(F3026,'MSA-Lookup'!$AA$1:$AB$25,2),C3026),C3026)</f>
        <v>7320</v>
      </c>
    </row>
    <row r="3027" customFormat="false" ht="12.75" hidden="false" customHeight="false" outlineLevel="0" collapsed="false">
      <c r="A3027" s="0" t="n">
        <f aca="false">B3027*1000+C3027</f>
        <v>47035</v>
      </c>
      <c r="B3027" s="0" t="n">
        <v>47</v>
      </c>
      <c r="C3027" s="0" t="n">
        <v>35</v>
      </c>
      <c r="D3027" s="0" t="n">
        <v>0</v>
      </c>
      <c r="E3027" s="0" t="n">
        <f aca="false">VLOOKUP(B3027,'MSA-Lookup'!$H$2:$I$86,2)</f>
        <v>360</v>
      </c>
      <c r="F3027" s="0" t="n">
        <f aca="false">IF(C3027&gt;1,IF(C3027&lt;99,VLOOKUP(C3027,'MSA-Lookup'!$H$1:$I$86,2),C3027),C3027)</f>
        <v>7320</v>
      </c>
      <c r="G3027" s="0" t="n">
        <f aca="false">VLOOKUP(E3027,'MSA-Lookup'!$AA$1:$AB$25,2)</f>
        <v>4472</v>
      </c>
      <c r="H3027" s="0" t="n">
        <f aca="false">IF(C3027&gt;1,IF(C3027&lt;99,VLOOKUP(F3027,'MSA-Lookup'!$AA$1:$AB$25,2),C3027),C3027)</f>
        <v>7320</v>
      </c>
    </row>
    <row r="3028" customFormat="false" ht="12.75" hidden="false" customHeight="false" outlineLevel="0" collapsed="false">
      <c r="A3028" s="0" t="n">
        <f aca="false">B3028*1000+C3028</f>
        <v>47036</v>
      </c>
      <c r="B3028" s="0" t="n">
        <v>47</v>
      </c>
      <c r="C3028" s="0" t="n">
        <v>36</v>
      </c>
      <c r="D3028" s="0" t="n">
        <v>0</v>
      </c>
      <c r="E3028" s="0" t="n">
        <f aca="false">VLOOKUP(B3028,'MSA-Lookup'!$H$2:$I$86,2)</f>
        <v>360</v>
      </c>
      <c r="F3028" s="0" t="n">
        <f aca="false">IF(C3028&gt;1,IF(C3028&lt;99,VLOOKUP(C3028,'MSA-Lookup'!$H$1:$I$86,2),C3028),C3028)</f>
        <v>7320</v>
      </c>
      <c r="G3028" s="0" t="n">
        <f aca="false">VLOOKUP(E3028,'MSA-Lookup'!$AA$1:$AB$25,2)</f>
        <v>4472</v>
      </c>
      <c r="H3028" s="0" t="n">
        <f aca="false">IF(C3028&gt;1,IF(C3028&lt;99,VLOOKUP(F3028,'MSA-Lookup'!$AA$1:$AB$25,2),C3028),C3028)</f>
        <v>7320</v>
      </c>
    </row>
    <row r="3029" customFormat="false" ht="12.75" hidden="false" customHeight="false" outlineLevel="0" collapsed="false">
      <c r="A3029" s="0" t="n">
        <f aca="false">B3029*1000+C3029</f>
        <v>47037</v>
      </c>
      <c r="B3029" s="0" t="n">
        <v>47</v>
      </c>
      <c r="C3029" s="0" t="n">
        <v>37</v>
      </c>
      <c r="D3029" s="0" t="n">
        <v>78</v>
      </c>
      <c r="E3029" s="0" t="n">
        <f aca="false">VLOOKUP(B3029,'MSA-Lookup'!$H$2:$I$86,2)</f>
        <v>360</v>
      </c>
      <c r="F3029" s="0" t="n">
        <f aca="false">IF(C3029&gt;1,IF(C3029&lt;99,VLOOKUP(C3029,'MSA-Lookup'!$H$1:$I$86,2),C3029),C3029)</f>
        <v>7320</v>
      </c>
      <c r="G3029" s="0" t="n">
        <f aca="false">VLOOKUP(E3029,'MSA-Lookup'!$AA$1:$AB$25,2)</f>
        <v>4472</v>
      </c>
      <c r="H3029" s="0" t="n">
        <f aca="false">IF(C3029&gt;1,IF(C3029&lt;99,VLOOKUP(F3029,'MSA-Lookup'!$AA$1:$AB$25,2),C3029),C3029)</f>
        <v>7320</v>
      </c>
    </row>
    <row r="3030" customFormat="false" ht="12.75" hidden="false" customHeight="false" outlineLevel="0" collapsed="false">
      <c r="A3030" s="0" t="n">
        <f aca="false">B3030*1000+C3030</f>
        <v>47038</v>
      </c>
      <c r="B3030" s="0" t="n">
        <v>47</v>
      </c>
      <c r="C3030" s="0" t="n">
        <v>38</v>
      </c>
      <c r="D3030" s="0" t="n">
        <v>0</v>
      </c>
      <c r="E3030" s="0" t="n">
        <f aca="false">VLOOKUP(B3030,'MSA-Lookup'!$H$2:$I$86,2)</f>
        <v>360</v>
      </c>
      <c r="F3030" s="0" t="n">
        <f aca="false">IF(C3030&gt;1,IF(C3030&lt;99,VLOOKUP(C3030,'MSA-Lookup'!$H$1:$I$86,2),C3030),C3030)</f>
        <v>7120</v>
      </c>
      <c r="G3030" s="0" t="n">
        <f aca="false">VLOOKUP(E3030,'MSA-Lookup'!$AA$1:$AB$25,2)</f>
        <v>4472</v>
      </c>
      <c r="H3030" s="0" t="n">
        <f aca="false">IF(C3030&gt;1,IF(C3030&lt;99,VLOOKUP(F3030,'MSA-Lookup'!$AA$1:$AB$25,2),C3030),C3030)</f>
        <v>7120</v>
      </c>
    </row>
    <row r="3031" customFormat="false" ht="12.75" hidden="false" customHeight="false" outlineLevel="0" collapsed="false">
      <c r="A3031" s="0" t="n">
        <f aca="false">B3031*1000+C3031</f>
        <v>47039</v>
      </c>
      <c r="B3031" s="0" t="n">
        <v>47</v>
      </c>
      <c r="C3031" s="0" t="n">
        <v>39</v>
      </c>
      <c r="D3031" s="0" t="n">
        <v>0</v>
      </c>
      <c r="E3031" s="0" t="n">
        <f aca="false">VLOOKUP(B3031,'MSA-Lookup'!$H$2:$I$86,2)</f>
        <v>360</v>
      </c>
      <c r="F3031" s="0" t="n">
        <f aca="false">IF(C3031&gt;1,IF(C3031&lt;99,VLOOKUP(C3031,'MSA-Lookup'!$H$1:$I$86,2),C3031),C3031)</f>
        <v>7120</v>
      </c>
      <c r="G3031" s="0" t="n">
        <f aca="false">VLOOKUP(E3031,'MSA-Lookup'!$AA$1:$AB$25,2)</f>
        <v>4472</v>
      </c>
      <c r="H3031" s="0" t="n">
        <f aca="false">IF(C3031&gt;1,IF(C3031&lt;99,VLOOKUP(F3031,'MSA-Lookup'!$AA$1:$AB$25,2),C3031),C3031)</f>
        <v>7120</v>
      </c>
    </row>
    <row r="3032" customFormat="false" ht="12.75" hidden="false" customHeight="false" outlineLevel="0" collapsed="false">
      <c r="A3032" s="0" t="n">
        <f aca="false">B3032*1000+C3032</f>
        <v>47040</v>
      </c>
      <c r="B3032" s="0" t="n">
        <v>47</v>
      </c>
      <c r="C3032" s="0" t="n">
        <v>40</v>
      </c>
      <c r="D3032" s="0" t="n">
        <v>0</v>
      </c>
      <c r="E3032" s="0" t="n">
        <f aca="false">VLOOKUP(B3032,'MSA-Lookup'!$H$2:$I$86,2)</f>
        <v>360</v>
      </c>
      <c r="F3032" s="0" t="n">
        <f aca="false">IF(C3032&gt;1,IF(C3032&lt;99,VLOOKUP(C3032,'MSA-Lookup'!$H$1:$I$86,2),C3032),C3032)</f>
        <v>2840</v>
      </c>
      <c r="G3032" s="0" t="n">
        <f aca="false">VLOOKUP(E3032,'MSA-Lookup'!$AA$1:$AB$25,2)</f>
        <v>4472</v>
      </c>
      <c r="H3032" s="0" t="n">
        <f aca="false">IF(C3032&gt;1,IF(C3032&lt;99,VLOOKUP(F3032,'MSA-Lookup'!$AA$1:$AB$25,2),C3032),C3032)</f>
        <v>2840</v>
      </c>
    </row>
    <row r="3033" customFormat="false" ht="12.75" hidden="false" customHeight="false" outlineLevel="0" collapsed="false">
      <c r="A3033" s="0" t="n">
        <f aca="false">B3033*1000+C3033</f>
        <v>47041</v>
      </c>
      <c r="B3033" s="0" t="n">
        <v>47</v>
      </c>
      <c r="C3033" s="0" t="n">
        <v>41</v>
      </c>
      <c r="D3033" s="0" t="n">
        <v>0</v>
      </c>
      <c r="E3033" s="0" t="n">
        <f aca="false">VLOOKUP(B3033,'MSA-Lookup'!$H$2:$I$86,2)</f>
        <v>360</v>
      </c>
      <c r="F3033" s="0" t="n">
        <f aca="false">IF(C3033&gt;1,IF(C3033&lt;99,VLOOKUP(C3033,'MSA-Lookup'!$H$1:$I$86,2),C3033),C3033)</f>
        <v>2840</v>
      </c>
      <c r="G3033" s="0" t="n">
        <f aca="false">VLOOKUP(E3033,'MSA-Lookup'!$AA$1:$AB$25,2)</f>
        <v>4472</v>
      </c>
      <c r="H3033" s="0" t="n">
        <f aca="false">IF(C3033&gt;1,IF(C3033&lt;99,VLOOKUP(F3033,'MSA-Lookup'!$AA$1:$AB$25,2),C3033),C3033)</f>
        <v>2840</v>
      </c>
    </row>
    <row r="3034" customFormat="false" ht="12.75" hidden="false" customHeight="false" outlineLevel="0" collapsed="false">
      <c r="A3034" s="0" t="n">
        <f aca="false">B3034*1000+C3034</f>
        <v>47042</v>
      </c>
      <c r="B3034" s="0" t="n">
        <v>47</v>
      </c>
      <c r="C3034" s="0" t="n">
        <v>42</v>
      </c>
      <c r="D3034" s="0" t="n">
        <v>7189</v>
      </c>
      <c r="E3034" s="0" t="n">
        <f aca="false">VLOOKUP(B3034,'MSA-Lookup'!$H$2:$I$86,2)</f>
        <v>360</v>
      </c>
      <c r="F3034" s="0" t="n">
        <f aca="false">IF(C3034&gt;1,IF(C3034&lt;99,VLOOKUP(C3034,'MSA-Lookup'!$H$1:$I$86,2),C3034),C3034)</f>
        <v>360</v>
      </c>
      <c r="G3034" s="0" t="n">
        <f aca="false">VLOOKUP(E3034,'MSA-Lookup'!$AA$1:$AB$25,2)</f>
        <v>4472</v>
      </c>
      <c r="H3034" s="0" t="n">
        <f aca="false">IF(C3034&gt;1,IF(C3034&lt;99,VLOOKUP(F3034,'MSA-Lookup'!$AA$1:$AB$25,2),C3034),C3034)</f>
        <v>4472</v>
      </c>
    </row>
    <row r="3035" customFormat="false" ht="12.75" hidden="false" customHeight="false" outlineLevel="0" collapsed="false">
      <c r="A3035" s="0" t="n">
        <f aca="false">B3035*1000+C3035</f>
        <v>47043</v>
      </c>
      <c r="B3035" s="0" t="n">
        <v>47</v>
      </c>
      <c r="C3035" s="0" t="n">
        <v>43</v>
      </c>
      <c r="D3035" s="0" t="n">
        <v>221</v>
      </c>
      <c r="E3035" s="0" t="n">
        <f aca="false">VLOOKUP(B3035,'MSA-Lookup'!$H$2:$I$86,2)</f>
        <v>360</v>
      </c>
      <c r="F3035" s="0" t="n">
        <f aca="false">IF(C3035&gt;1,IF(C3035&lt;99,VLOOKUP(C3035,'MSA-Lookup'!$H$1:$I$86,2),C3035),C3035)</f>
        <v>360</v>
      </c>
      <c r="G3035" s="0" t="n">
        <f aca="false">VLOOKUP(E3035,'MSA-Lookup'!$AA$1:$AB$25,2)</f>
        <v>4472</v>
      </c>
      <c r="H3035" s="0" t="n">
        <f aca="false">IF(C3035&gt;1,IF(C3035&lt;99,VLOOKUP(F3035,'MSA-Lookup'!$AA$1:$AB$25,2),C3035),C3035)</f>
        <v>4472</v>
      </c>
    </row>
    <row r="3036" customFormat="false" ht="12.75" hidden="false" customHeight="false" outlineLevel="0" collapsed="false">
      <c r="A3036" s="0" t="n">
        <f aca="false">B3036*1000+C3036</f>
        <v>47044</v>
      </c>
      <c r="B3036" s="0" t="n">
        <v>47</v>
      </c>
      <c r="C3036" s="0" t="n">
        <v>44</v>
      </c>
      <c r="D3036" s="0" t="n">
        <v>767</v>
      </c>
      <c r="E3036" s="0" t="n">
        <f aca="false">VLOOKUP(B3036,'MSA-Lookup'!$H$2:$I$86,2)</f>
        <v>360</v>
      </c>
      <c r="F3036" s="0" t="n">
        <f aca="false">IF(C3036&gt;1,IF(C3036&lt;99,VLOOKUP(C3036,'MSA-Lookup'!$H$1:$I$86,2),C3036),C3036)</f>
        <v>360</v>
      </c>
      <c r="G3036" s="0" t="n">
        <f aca="false">VLOOKUP(E3036,'MSA-Lookup'!$AA$1:$AB$25,2)</f>
        <v>4472</v>
      </c>
      <c r="H3036" s="0" t="n">
        <f aca="false">IF(C3036&gt;1,IF(C3036&lt;99,VLOOKUP(F3036,'MSA-Lookup'!$AA$1:$AB$25,2),C3036),C3036)</f>
        <v>4472</v>
      </c>
    </row>
    <row r="3037" customFormat="false" ht="12.75" hidden="false" customHeight="false" outlineLevel="0" collapsed="false">
      <c r="A3037" s="0" t="n">
        <f aca="false">B3037*1000+C3037</f>
        <v>47045</v>
      </c>
      <c r="B3037" s="0" t="n">
        <v>47</v>
      </c>
      <c r="C3037" s="0" t="n">
        <v>45</v>
      </c>
      <c r="D3037" s="0" t="n">
        <v>494</v>
      </c>
      <c r="E3037" s="0" t="n">
        <f aca="false">VLOOKUP(B3037,'MSA-Lookup'!$H$2:$I$86,2)</f>
        <v>360</v>
      </c>
      <c r="F3037" s="0" t="n">
        <f aca="false">IF(C3037&gt;1,IF(C3037&lt;99,VLOOKUP(C3037,'MSA-Lookup'!$H$1:$I$86,2),C3037),C3037)</f>
        <v>360</v>
      </c>
      <c r="G3037" s="0" t="n">
        <f aca="false">VLOOKUP(E3037,'MSA-Lookup'!$AA$1:$AB$25,2)</f>
        <v>4472</v>
      </c>
      <c r="H3037" s="0" t="n">
        <f aca="false">IF(C3037&gt;1,IF(C3037&lt;99,VLOOKUP(F3037,'MSA-Lookup'!$AA$1:$AB$25,2),C3037),C3037)</f>
        <v>4472</v>
      </c>
    </row>
    <row r="3038" customFormat="false" ht="12.75" hidden="false" customHeight="false" outlineLevel="0" collapsed="false">
      <c r="A3038" s="0" t="n">
        <f aca="false">B3038*1000+C3038</f>
        <v>47046</v>
      </c>
      <c r="B3038" s="0" t="n">
        <v>47</v>
      </c>
      <c r="C3038" s="0" t="n">
        <v>46</v>
      </c>
      <c r="D3038" s="0" t="n">
        <v>3978</v>
      </c>
      <c r="E3038" s="0" t="n">
        <f aca="false">VLOOKUP(B3038,'MSA-Lookup'!$H$2:$I$86,2)</f>
        <v>360</v>
      </c>
      <c r="F3038" s="0" t="n">
        <f aca="false">IF(C3038&gt;1,IF(C3038&lt;99,VLOOKUP(C3038,'MSA-Lookup'!$H$1:$I$86,2),C3038),C3038)</f>
        <v>360</v>
      </c>
      <c r="G3038" s="0" t="n">
        <f aca="false">VLOOKUP(E3038,'MSA-Lookup'!$AA$1:$AB$25,2)</f>
        <v>4472</v>
      </c>
      <c r="H3038" s="0" t="n">
        <f aca="false">IF(C3038&gt;1,IF(C3038&lt;99,VLOOKUP(F3038,'MSA-Lookup'!$AA$1:$AB$25,2),C3038),C3038)</f>
        <v>4472</v>
      </c>
    </row>
    <row r="3039" customFormat="false" ht="12.75" hidden="false" customHeight="false" outlineLevel="0" collapsed="false">
      <c r="A3039" s="0" t="n">
        <f aca="false">B3039*1000+C3039</f>
        <v>47047</v>
      </c>
      <c r="B3039" s="0" t="n">
        <v>47</v>
      </c>
      <c r="C3039" s="0" t="n">
        <v>47</v>
      </c>
      <c r="D3039" s="0" t="n">
        <v>14885</v>
      </c>
      <c r="E3039" s="0" t="n">
        <f aca="false">VLOOKUP(B3039,'MSA-Lookup'!$H$2:$I$86,2)</f>
        <v>360</v>
      </c>
      <c r="F3039" s="0" t="n">
        <f aca="false">IF(C3039&gt;1,IF(C3039&lt;99,VLOOKUP(C3039,'MSA-Lookup'!$H$1:$I$86,2),C3039),C3039)</f>
        <v>360</v>
      </c>
      <c r="G3039" s="0" t="n">
        <f aca="false">VLOOKUP(E3039,'MSA-Lookup'!$AA$1:$AB$25,2)</f>
        <v>4472</v>
      </c>
      <c r="H3039" s="0" t="n">
        <f aca="false">IF(C3039&gt;1,IF(C3039&lt;99,VLOOKUP(F3039,'MSA-Lookup'!$AA$1:$AB$25,2),C3039),C3039)</f>
        <v>4472</v>
      </c>
    </row>
    <row r="3040" customFormat="false" ht="12.75" hidden="false" customHeight="false" outlineLevel="0" collapsed="false">
      <c r="A3040" s="0" t="n">
        <f aca="false">B3040*1000+C3040</f>
        <v>47048</v>
      </c>
      <c r="B3040" s="0" t="n">
        <v>47</v>
      </c>
      <c r="C3040" s="0" t="n">
        <v>48</v>
      </c>
      <c r="D3040" s="0" t="n">
        <v>24388</v>
      </c>
      <c r="E3040" s="0" t="n">
        <f aca="false">VLOOKUP(B3040,'MSA-Lookup'!$H$2:$I$86,2)</f>
        <v>360</v>
      </c>
      <c r="F3040" s="0" t="n">
        <f aca="false">IF(C3040&gt;1,IF(C3040&lt;99,VLOOKUP(C3040,'MSA-Lookup'!$H$1:$I$86,2),C3040),C3040)</f>
        <v>360</v>
      </c>
      <c r="G3040" s="0" t="n">
        <f aca="false">VLOOKUP(E3040,'MSA-Lookup'!$AA$1:$AB$25,2)</f>
        <v>4472</v>
      </c>
      <c r="H3040" s="0" t="n">
        <f aca="false">IF(C3040&gt;1,IF(C3040&lt;99,VLOOKUP(F3040,'MSA-Lookup'!$AA$1:$AB$25,2),C3040),C3040)</f>
        <v>4472</v>
      </c>
    </row>
    <row r="3041" customFormat="false" ht="12.75" hidden="false" customHeight="false" outlineLevel="0" collapsed="false">
      <c r="A3041" s="0" t="n">
        <f aca="false">B3041*1000+C3041</f>
        <v>47049</v>
      </c>
      <c r="B3041" s="0" t="n">
        <v>47</v>
      </c>
      <c r="C3041" s="0" t="n">
        <v>49</v>
      </c>
      <c r="D3041" s="0" t="n">
        <v>0</v>
      </c>
      <c r="E3041" s="0" t="n">
        <f aca="false">VLOOKUP(B3041,'MSA-Lookup'!$H$2:$I$86,2)</f>
        <v>360</v>
      </c>
      <c r="F3041" s="0" t="n">
        <f aca="false">IF(C3041&gt;1,IF(C3041&lt;99,VLOOKUP(C3041,'MSA-Lookup'!$H$1:$I$86,2),C3041),C3041)</f>
        <v>7400</v>
      </c>
      <c r="G3041" s="0" t="n">
        <f aca="false">VLOOKUP(E3041,'MSA-Lookup'!$AA$1:$AB$25,2)</f>
        <v>4472</v>
      </c>
      <c r="H3041" s="0" t="n">
        <f aca="false">IF(C3041&gt;1,IF(C3041&lt;99,VLOOKUP(F3041,'MSA-Lookup'!$AA$1:$AB$25,2),C3041),C3041)</f>
        <v>7362</v>
      </c>
    </row>
    <row r="3042" customFormat="false" ht="12.75" hidden="false" customHeight="false" outlineLevel="0" collapsed="false">
      <c r="A3042" s="0" t="n">
        <f aca="false">B3042*1000+C3042</f>
        <v>47050</v>
      </c>
      <c r="B3042" s="0" t="n">
        <v>47</v>
      </c>
      <c r="C3042" s="0" t="n">
        <v>50</v>
      </c>
      <c r="D3042" s="0" t="n">
        <v>0</v>
      </c>
      <c r="E3042" s="0" t="n">
        <f aca="false">VLOOKUP(B3042,'MSA-Lookup'!$H$2:$I$86,2)</f>
        <v>360</v>
      </c>
      <c r="F3042" s="0" t="n">
        <f aca="false">IF(C3042&gt;1,IF(C3042&lt;99,VLOOKUP(C3042,'MSA-Lookup'!$H$1:$I$86,2),C3042),C3042)</f>
        <v>7400</v>
      </c>
      <c r="G3042" s="0" t="n">
        <f aca="false">VLOOKUP(E3042,'MSA-Lookup'!$AA$1:$AB$25,2)</f>
        <v>4472</v>
      </c>
      <c r="H3042" s="0" t="n">
        <f aca="false">IF(C3042&gt;1,IF(C3042&lt;99,VLOOKUP(F3042,'MSA-Lookup'!$AA$1:$AB$25,2),C3042),C3042)</f>
        <v>7362</v>
      </c>
    </row>
    <row r="3043" customFormat="false" ht="12.75" hidden="false" customHeight="false" outlineLevel="0" collapsed="false">
      <c r="A3043" s="0" t="n">
        <f aca="false">B3043*1000+C3043</f>
        <v>47051</v>
      </c>
      <c r="B3043" s="0" t="n">
        <v>47</v>
      </c>
      <c r="C3043" s="0" t="n">
        <v>51</v>
      </c>
      <c r="D3043" s="0" t="n">
        <v>0</v>
      </c>
      <c r="E3043" s="0" t="n">
        <f aca="false">VLOOKUP(B3043,'MSA-Lookup'!$H$2:$I$86,2)</f>
        <v>360</v>
      </c>
      <c r="F3043" s="0" t="n">
        <f aca="false">IF(C3043&gt;1,IF(C3043&lt;99,VLOOKUP(C3043,'MSA-Lookup'!$H$1:$I$86,2),C3043),C3043)</f>
        <v>7400</v>
      </c>
      <c r="G3043" s="0" t="n">
        <f aca="false">VLOOKUP(E3043,'MSA-Lookup'!$AA$1:$AB$25,2)</f>
        <v>4472</v>
      </c>
      <c r="H3043" s="0" t="n">
        <f aca="false">IF(C3043&gt;1,IF(C3043&lt;99,VLOOKUP(F3043,'MSA-Lookup'!$AA$1:$AB$25,2),C3043),C3043)</f>
        <v>7362</v>
      </c>
    </row>
    <row r="3044" customFormat="false" ht="12.75" hidden="false" customHeight="false" outlineLevel="0" collapsed="false">
      <c r="A3044" s="0" t="n">
        <f aca="false">B3044*1000+C3044</f>
        <v>47052</v>
      </c>
      <c r="B3044" s="0" t="n">
        <v>47</v>
      </c>
      <c r="C3044" s="0" t="n">
        <v>52</v>
      </c>
      <c r="D3044" s="0" t="n">
        <v>0</v>
      </c>
      <c r="E3044" s="0" t="n">
        <f aca="false">VLOOKUP(B3044,'MSA-Lookup'!$H$2:$I$86,2)</f>
        <v>360</v>
      </c>
      <c r="F3044" s="0" t="n">
        <f aca="false">IF(C3044&gt;1,IF(C3044&lt;99,VLOOKUP(C3044,'MSA-Lookup'!$H$1:$I$86,2),C3044),C3044)</f>
        <v>4480</v>
      </c>
      <c r="G3044" s="0" t="n">
        <f aca="false">VLOOKUP(E3044,'MSA-Lookup'!$AA$1:$AB$25,2)</f>
        <v>4472</v>
      </c>
      <c r="H3044" s="0" t="n">
        <f aca="false">IF(C3044&gt;1,IF(C3044&lt;99,VLOOKUP(F3044,'MSA-Lookup'!$AA$1:$AB$25,2),C3044),C3044)</f>
        <v>4472</v>
      </c>
    </row>
    <row r="3045" customFormat="false" ht="12.75" hidden="false" customHeight="false" outlineLevel="0" collapsed="false">
      <c r="A3045" s="0" t="n">
        <f aca="false">B3045*1000+C3045</f>
        <v>47053</v>
      </c>
      <c r="B3045" s="0" t="n">
        <v>47</v>
      </c>
      <c r="C3045" s="0" t="n">
        <v>53</v>
      </c>
      <c r="D3045" s="0" t="n">
        <v>182</v>
      </c>
      <c r="E3045" s="0" t="n">
        <f aca="false">VLOOKUP(B3045,'MSA-Lookup'!$H$2:$I$86,2)</f>
        <v>360</v>
      </c>
      <c r="F3045" s="0" t="n">
        <f aca="false">IF(C3045&gt;1,IF(C3045&lt;99,VLOOKUP(C3045,'MSA-Lookup'!$H$1:$I$86,2),C3045),C3045)</f>
        <v>4480</v>
      </c>
      <c r="G3045" s="0" t="n">
        <f aca="false">VLOOKUP(E3045,'MSA-Lookup'!$AA$1:$AB$25,2)</f>
        <v>4472</v>
      </c>
      <c r="H3045" s="0" t="n">
        <f aca="false">IF(C3045&gt;1,IF(C3045&lt;99,VLOOKUP(F3045,'MSA-Lookup'!$AA$1:$AB$25,2),C3045),C3045)</f>
        <v>4472</v>
      </c>
    </row>
    <row r="3046" customFormat="false" ht="12.75" hidden="false" customHeight="false" outlineLevel="0" collapsed="false">
      <c r="A3046" s="0" t="n">
        <f aca="false">B3046*1000+C3046</f>
        <v>47054</v>
      </c>
      <c r="B3046" s="0" t="n">
        <v>47</v>
      </c>
      <c r="C3046" s="0" t="n">
        <v>54</v>
      </c>
      <c r="D3046" s="0" t="n">
        <v>91</v>
      </c>
      <c r="E3046" s="0" t="n">
        <f aca="false">VLOOKUP(B3046,'MSA-Lookup'!$H$2:$I$86,2)</f>
        <v>360</v>
      </c>
      <c r="F3046" s="0" t="n">
        <f aca="false">IF(C3046&gt;1,IF(C3046&lt;99,VLOOKUP(C3046,'MSA-Lookup'!$H$1:$I$86,2),C3046),C3046)</f>
        <v>4480</v>
      </c>
      <c r="G3046" s="0" t="n">
        <f aca="false">VLOOKUP(E3046,'MSA-Lookup'!$AA$1:$AB$25,2)</f>
        <v>4472</v>
      </c>
      <c r="H3046" s="0" t="n">
        <f aca="false">IF(C3046&gt;1,IF(C3046&lt;99,VLOOKUP(F3046,'MSA-Lookup'!$AA$1:$AB$25,2),C3046),C3046)</f>
        <v>4472</v>
      </c>
    </row>
    <row r="3047" customFormat="false" ht="12.75" hidden="false" customHeight="false" outlineLevel="0" collapsed="false">
      <c r="A3047" s="0" t="n">
        <f aca="false">B3047*1000+C3047</f>
        <v>47055</v>
      </c>
      <c r="B3047" s="0" t="n">
        <v>47</v>
      </c>
      <c r="C3047" s="0" t="n">
        <v>55</v>
      </c>
      <c r="D3047" s="0" t="n">
        <v>0</v>
      </c>
      <c r="E3047" s="0" t="n">
        <f aca="false">VLOOKUP(B3047,'MSA-Lookup'!$H$2:$I$86,2)</f>
        <v>360</v>
      </c>
      <c r="F3047" s="0" t="n">
        <f aca="false">IF(C3047&gt;1,IF(C3047&lt;99,VLOOKUP(C3047,'MSA-Lookup'!$H$1:$I$86,2),C3047),C3047)</f>
        <v>4480</v>
      </c>
      <c r="G3047" s="0" t="n">
        <f aca="false">VLOOKUP(E3047,'MSA-Lookup'!$AA$1:$AB$25,2)</f>
        <v>4472</v>
      </c>
      <c r="H3047" s="0" t="n">
        <f aca="false">IF(C3047&gt;1,IF(C3047&lt;99,VLOOKUP(F3047,'MSA-Lookup'!$AA$1:$AB$25,2),C3047),C3047)</f>
        <v>4472</v>
      </c>
    </row>
    <row r="3048" customFormat="false" ht="12.75" hidden="false" customHeight="false" outlineLevel="0" collapsed="false">
      <c r="A3048" s="0" t="n">
        <f aca="false">B3048*1000+C3048</f>
        <v>47056</v>
      </c>
      <c r="B3048" s="0" t="n">
        <v>47</v>
      </c>
      <c r="C3048" s="0" t="n">
        <v>56</v>
      </c>
      <c r="D3048" s="0" t="n">
        <v>0</v>
      </c>
      <c r="E3048" s="0" t="n">
        <f aca="false">VLOOKUP(B3048,'MSA-Lookup'!$H$2:$I$86,2)</f>
        <v>360</v>
      </c>
      <c r="F3048" s="0" t="n">
        <f aca="false">IF(C3048&gt;1,IF(C3048&lt;99,VLOOKUP(C3048,'MSA-Lookup'!$H$1:$I$86,2),C3048),C3048)</f>
        <v>4480</v>
      </c>
      <c r="G3048" s="0" t="n">
        <f aca="false">VLOOKUP(E3048,'MSA-Lookup'!$AA$1:$AB$25,2)</f>
        <v>4472</v>
      </c>
      <c r="H3048" s="0" t="n">
        <f aca="false">IF(C3048&gt;1,IF(C3048&lt;99,VLOOKUP(F3048,'MSA-Lookup'!$AA$1:$AB$25,2),C3048),C3048)</f>
        <v>4472</v>
      </c>
    </row>
    <row r="3049" customFormat="false" ht="12.75" hidden="false" customHeight="false" outlineLevel="0" collapsed="false">
      <c r="A3049" s="0" t="n">
        <f aca="false">B3049*1000+C3049</f>
        <v>47057</v>
      </c>
      <c r="B3049" s="0" t="n">
        <v>47</v>
      </c>
      <c r="C3049" s="0" t="n">
        <v>57</v>
      </c>
      <c r="D3049" s="0" t="n">
        <v>91</v>
      </c>
      <c r="E3049" s="0" t="n">
        <f aca="false">VLOOKUP(B3049,'MSA-Lookup'!$H$2:$I$86,2)</f>
        <v>360</v>
      </c>
      <c r="F3049" s="0" t="n">
        <f aca="false">IF(C3049&gt;1,IF(C3049&lt;99,VLOOKUP(C3049,'MSA-Lookup'!$H$1:$I$86,2),C3049),C3049)</f>
        <v>4480</v>
      </c>
      <c r="G3049" s="0" t="n">
        <f aca="false">VLOOKUP(E3049,'MSA-Lookup'!$AA$1:$AB$25,2)</f>
        <v>4472</v>
      </c>
      <c r="H3049" s="0" t="n">
        <f aca="false">IF(C3049&gt;1,IF(C3049&lt;99,VLOOKUP(F3049,'MSA-Lookup'!$AA$1:$AB$25,2),C3049),C3049)</f>
        <v>4472</v>
      </c>
    </row>
    <row r="3050" customFormat="false" ht="12.75" hidden="false" customHeight="false" outlineLevel="0" collapsed="false">
      <c r="A3050" s="0" t="n">
        <f aca="false">B3050*1000+C3050</f>
        <v>47058</v>
      </c>
      <c r="B3050" s="0" t="n">
        <v>47</v>
      </c>
      <c r="C3050" s="0" t="n">
        <v>58</v>
      </c>
      <c r="D3050" s="0" t="n">
        <v>0</v>
      </c>
      <c r="E3050" s="0" t="n">
        <f aca="false">VLOOKUP(B3050,'MSA-Lookup'!$H$2:$I$86,2)</f>
        <v>360</v>
      </c>
      <c r="F3050" s="0" t="n">
        <f aca="false">IF(C3050&gt;1,IF(C3050&lt;99,VLOOKUP(C3050,'MSA-Lookup'!$H$1:$I$86,2),C3050),C3050)</f>
        <v>4480</v>
      </c>
      <c r="G3050" s="0" t="n">
        <f aca="false">VLOOKUP(E3050,'MSA-Lookup'!$AA$1:$AB$25,2)</f>
        <v>4472</v>
      </c>
      <c r="H3050" s="0" t="n">
        <f aca="false">IF(C3050&gt;1,IF(C3050&lt;99,VLOOKUP(F3050,'MSA-Lookup'!$AA$1:$AB$25,2),C3050),C3050)</f>
        <v>4472</v>
      </c>
    </row>
    <row r="3051" customFormat="false" ht="12.75" hidden="false" customHeight="false" outlineLevel="0" collapsed="false">
      <c r="A3051" s="0" t="n">
        <f aca="false">B3051*1000+C3051</f>
        <v>47059</v>
      </c>
      <c r="B3051" s="0" t="n">
        <v>47</v>
      </c>
      <c r="C3051" s="0" t="n">
        <v>59</v>
      </c>
      <c r="D3051" s="0" t="n">
        <v>91</v>
      </c>
      <c r="E3051" s="0" t="n">
        <f aca="false">VLOOKUP(B3051,'MSA-Lookup'!$H$2:$I$86,2)</f>
        <v>360</v>
      </c>
      <c r="F3051" s="0" t="n">
        <f aca="false">IF(C3051&gt;1,IF(C3051&lt;99,VLOOKUP(C3051,'MSA-Lookup'!$H$1:$I$86,2),C3051),C3051)</f>
        <v>4480</v>
      </c>
      <c r="G3051" s="0" t="n">
        <f aca="false">VLOOKUP(E3051,'MSA-Lookup'!$AA$1:$AB$25,2)</f>
        <v>4472</v>
      </c>
      <c r="H3051" s="0" t="n">
        <f aca="false">IF(C3051&gt;1,IF(C3051&lt;99,VLOOKUP(F3051,'MSA-Lookup'!$AA$1:$AB$25,2),C3051),C3051)</f>
        <v>4472</v>
      </c>
    </row>
    <row r="3052" customFormat="false" ht="12.75" hidden="false" customHeight="false" outlineLevel="0" collapsed="false">
      <c r="A3052" s="0" t="n">
        <f aca="false">B3052*1000+C3052</f>
        <v>47060</v>
      </c>
      <c r="B3052" s="0" t="n">
        <v>47</v>
      </c>
      <c r="C3052" s="0" t="n">
        <v>60</v>
      </c>
      <c r="D3052" s="0" t="n">
        <v>403</v>
      </c>
      <c r="E3052" s="0" t="n">
        <f aca="false">VLOOKUP(B3052,'MSA-Lookup'!$H$2:$I$86,2)</f>
        <v>360</v>
      </c>
      <c r="F3052" s="0" t="n">
        <f aca="false">IF(C3052&gt;1,IF(C3052&lt;99,VLOOKUP(C3052,'MSA-Lookup'!$H$1:$I$86,2),C3052),C3052)</f>
        <v>4480</v>
      </c>
      <c r="G3052" s="0" t="n">
        <f aca="false">VLOOKUP(E3052,'MSA-Lookup'!$AA$1:$AB$25,2)</f>
        <v>4472</v>
      </c>
      <c r="H3052" s="0" t="n">
        <f aca="false">IF(C3052&gt;1,IF(C3052&lt;99,VLOOKUP(F3052,'MSA-Lookup'!$AA$1:$AB$25,2),C3052),C3052)</f>
        <v>4472</v>
      </c>
    </row>
    <row r="3053" customFormat="false" ht="12.75" hidden="false" customHeight="false" outlineLevel="0" collapsed="false">
      <c r="A3053" s="0" t="n">
        <f aca="false">B3053*1000+C3053</f>
        <v>47061</v>
      </c>
      <c r="B3053" s="0" t="n">
        <v>47</v>
      </c>
      <c r="C3053" s="0" t="n">
        <v>61</v>
      </c>
      <c r="D3053" s="0" t="n">
        <v>143</v>
      </c>
      <c r="E3053" s="0" t="n">
        <f aca="false">VLOOKUP(B3053,'MSA-Lookup'!$H$2:$I$86,2)</f>
        <v>360</v>
      </c>
      <c r="F3053" s="0" t="n">
        <f aca="false">IF(C3053&gt;1,IF(C3053&lt;99,VLOOKUP(C3053,'MSA-Lookup'!$H$1:$I$86,2),C3053),C3053)</f>
        <v>4480</v>
      </c>
      <c r="G3053" s="0" t="n">
        <f aca="false">VLOOKUP(E3053,'MSA-Lookup'!$AA$1:$AB$25,2)</f>
        <v>4472</v>
      </c>
      <c r="H3053" s="0" t="n">
        <f aca="false">IF(C3053&gt;1,IF(C3053&lt;99,VLOOKUP(F3053,'MSA-Lookup'!$AA$1:$AB$25,2),C3053),C3053)</f>
        <v>4472</v>
      </c>
    </row>
    <row r="3054" customFormat="false" ht="12.75" hidden="false" customHeight="false" outlineLevel="0" collapsed="false">
      <c r="A3054" s="0" t="n">
        <f aca="false">B3054*1000+C3054</f>
        <v>47062</v>
      </c>
      <c r="B3054" s="0" t="n">
        <v>47</v>
      </c>
      <c r="C3054" s="0" t="n">
        <v>62</v>
      </c>
      <c r="D3054" s="0" t="n">
        <v>117</v>
      </c>
      <c r="E3054" s="0" t="n">
        <f aca="false">VLOOKUP(B3054,'MSA-Lookup'!$H$2:$I$86,2)</f>
        <v>360</v>
      </c>
      <c r="F3054" s="0" t="n">
        <f aca="false">IF(C3054&gt;1,IF(C3054&lt;99,VLOOKUP(C3054,'MSA-Lookup'!$H$1:$I$86,2),C3054),C3054)</f>
        <v>4480</v>
      </c>
      <c r="G3054" s="0" t="n">
        <f aca="false">VLOOKUP(E3054,'MSA-Lookup'!$AA$1:$AB$25,2)</f>
        <v>4472</v>
      </c>
      <c r="H3054" s="0" t="n">
        <f aca="false">IF(C3054&gt;1,IF(C3054&lt;99,VLOOKUP(F3054,'MSA-Lookup'!$AA$1:$AB$25,2),C3054),C3054)</f>
        <v>4472</v>
      </c>
    </row>
    <row r="3055" customFormat="false" ht="12.75" hidden="false" customHeight="false" outlineLevel="0" collapsed="false">
      <c r="A3055" s="0" t="n">
        <f aca="false">B3055*1000+C3055</f>
        <v>47063</v>
      </c>
      <c r="B3055" s="0" t="n">
        <v>47</v>
      </c>
      <c r="C3055" s="0" t="n">
        <v>63</v>
      </c>
      <c r="D3055" s="0" t="n">
        <v>104</v>
      </c>
      <c r="E3055" s="0" t="n">
        <f aca="false">VLOOKUP(B3055,'MSA-Lookup'!$H$2:$I$86,2)</f>
        <v>360</v>
      </c>
      <c r="F3055" s="0" t="n">
        <f aca="false">IF(C3055&gt;1,IF(C3055&lt;99,VLOOKUP(C3055,'MSA-Lookup'!$H$1:$I$86,2),C3055),C3055)</f>
        <v>4480</v>
      </c>
      <c r="G3055" s="0" t="n">
        <f aca="false">VLOOKUP(E3055,'MSA-Lookup'!$AA$1:$AB$25,2)</f>
        <v>4472</v>
      </c>
      <c r="H3055" s="0" t="n">
        <f aca="false">IF(C3055&gt;1,IF(C3055&lt;99,VLOOKUP(F3055,'MSA-Lookup'!$AA$1:$AB$25,2),C3055),C3055)</f>
        <v>4472</v>
      </c>
    </row>
    <row r="3056" customFormat="false" ht="12.75" hidden="false" customHeight="false" outlineLevel="0" collapsed="false">
      <c r="A3056" s="0" t="n">
        <f aca="false">B3056*1000+C3056</f>
        <v>47064</v>
      </c>
      <c r="B3056" s="0" t="n">
        <v>47</v>
      </c>
      <c r="C3056" s="0" t="n">
        <v>64</v>
      </c>
      <c r="D3056" s="0" t="n">
        <v>4667</v>
      </c>
      <c r="E3056" s="0" t="n">
        <f aca="false">VLOOKUP(B3056,'MSA-Lookup'!$H$2:$I$86,2)</f>
        <v>360</v>
      </c>
      <c r="F3056" s="0" t="n">
        <f aca="false">IF(C3056&gt;1,IF(C3056&lt;99,VLOOKUP(C3056,'MSA-Lookup'!$H$1:$I$86,2),C3056),C3056)</f>
        <v>4480</v>
      </c>
      <c r="G3056" s="0" t="n">
        <f aca="false">VLOOKUP(E3056,'MSA-Lookup'!$AA$1:$AB$25,2)</f>
        <v>4472</v>
      </c>
      <c r="H3056" s="0" t="n">
        <f aca="false">IF(C3056&gt;1,IF(C3056&lt;99,VLOOKUP(F3056,'MSA-Lookup'!$AA$1:$AB$25,2),C3056),C3056)</f>
        <v>4472</v>
      </c>
    </row>
    <row r="3057" customFormat="false" ht="12.75" hidden="false" customHeight="false" outlineLevel="0" collapsed="false">
      <c r="A3057" s="0" t="n">
        <f aca="false">B3057*1000+C3057</f>
        <v>47065</v>
      </c>
      <c r="B3057" s="0" t="n">
        <v>47</v>
      </c>
      <c r="C3057" s="0" t="n">
        <v>65</v>
      </c>
      <c r="D3057" s="0" t="n">
        <v>2964</v>
      </c>
      <c r="E3057" s="0" t="n">
        <f aca="false">VLOOKUP(B3057,'MSA-Lookup'!$H$2:$I$86,2)</f>
        <v>360</v>
      </c>
      <c r="F3057" s="0" t="n">
        <f aca="false">IF(C3057&gt;1,IF(C3057&lt;99,VLOOKUP(C3057,'MSA-Lookup'!$H$1:$I$86,2),C3057),C3057)</f>
        <v>4480</v>
      </c>
      <c r="G3057" s="0" t="n">
        <f aca="false">VLOOKUP(E3057,'MSA-Lookup'!$AA$1:$AB$25,2)</f>
        <v>4472</v>
      </c>
      <c r="H3057" s="0" t="n">
        <f aca="false">IF(C3057&gt;1,IF(C3057&lt;99,VLOOKUP(F3057,'MSA-Lookup'!$AA$1:$AB$25,2),C3057),C3057)</f>
        <v>4472</v>
      </c>
    </row>
    <row r="3058" customFormat="false" ht="12.75" hidden="false" customHeight="false" outlineLevel="0" collapsed="false">
      <c r="A3058" s="0" t="n">
        <f aca="false">B3058*1000+C3058</f>
        <v>47066</v>
      </c>
      <c r="B3058" s="0" t="n">
        <v>47</v>
      </c>
      <c r="C3058" s="0" t="n">
        <v>66</v>
      </c>
      <c r="D3058" s="0" t="n">
        <v>3809</v>
      </c>
      <c r="E3058" s="0" t="n">
        <f aca="false">VLOOKUP(B3058,'MSA-Lookup'!$H$2:$I$86,2)</f>
        <v>360</v>
      </c>
      <c r="F3058" s="0" t="n">
        <f aca="false">IF(C3058&gt;1,IF(C3058&lt;99,VLOOKUP(C3058,'MSA-Lookup'!$H$1:$I$86,2),C3058),C3058)</f>
        <v>4480</v>
      </c>
      <c r="G3058" s="0" t="n">
        <f aca="false">VLOOKUP(E3058,'MSA-Lookup'!$AA$1:$AB$25,2)</f>
        <v>4472</v>
      </c>
      <c r="H3058" s="0" t="n">
        <f aca="false">IF(C3058&gt;1,IF(C3058&lt;99,VLOOKUP(F3058,'MSA-Lookup'!$AA$1:$AB$25,2),C3058),C3058)</f>
        <v>4472</v>
      </c>
    </row>
    <row r="3059" customFormat="false" ht="12.75" hidden="false" customHeight="false" outlineLevel="0" collapsed="false">
      <c r="A3059" s="0" t="n">
        <f aca="false">B3059*1000+C3059</f>
        <v>47067</v>
      </c>
      <c r="B3059" s="0" t="n">
        <v>47</v>
      </c>
      <c r="C3059" s="0" t="n">
        <v>67</v>
      </c>
      <c r="D3059" s="0" t="n">
        <v>0</v>
      </c>
      <c r="E3059" s="0" t="n">
        <f aca="false">VLOOKUP(B3059,'MSA-Lookup'!$H$2:$I$86,2)</f>
        <v>360</v>
      </c>
      <c r="F3059" s="0" t="n">
        <f aca="false">IF(C3059&gt;1,IF(C3059&lt;99,VLOOKUP(C3059,'MSA-Lookup'!$H$1:$I$86,2),C3059),C3059)</f>
        <v>6000</v>
      </c>
      <c r="G3059" s="0" t="n">
        <f aca="false">VLOOKUP(E3059,'MSA-Lookup'!$AA$1:$AB$25,2)</f>
        <v>4472</v>
      </c>
      <c r="H3059" s="0" t="n">
        <f aca="false">IF(C3059&gt;1,IF(C3059&lt;99,VLOOKUP(F3059,'MSA-Lookup'!$AA$1:$AB$25,2),C3059),C3059)</f>
        <v>4472</v>
      </c>
    </row>
    <row r="3060" customFormat="false" ht="12.75" hidden="false" customHeight="false" outlineLevel="0" collapsed="false">
      <c r="A3060" s="0" t="n">
        <f aca="false">B3060*1000+C3060</f>
        <v>47068</v>
      </c>
      <c r="B3060" s="0" t="n">
        <v>47</v>
      </c>
      <c r="C3060" s="0" t="n">
        <v>68</v>
      </c>
      <c r="D3060" s="0" t="n">
        <v>0</v>
      </c>
      <c r="E3060" s="0" t="n">
        <f aca="false">VLOOKUP(B3060,'MSA-Lookup'!$H$2:$I$86,2)</f>
        <v>360</v>
      </c>
      <c r="F3060" s="0" t="n">
        <f aca="false">IF(C3060&gt;1,IF(C3060&lt;99,VLOOKUP(C3060,'MSA-Lookup'!$H$1:$I$86,2),C3060),C3060)</f>
        <v>6780</v>
      </c>
      <c r="G3060" s="0" t="n">
        <f aca="false">VLOOKUP(E3060,'MSA-Lookup'!$AA$1:$AB$25,2)</f>
        <v>4472</v>
      </c>
      <c r="H3060" s="0" t="n">
        <f aca="false">IF(C3060&gt;1,IF(C3060&lt;99,VLOOKUP(F3060,'MSA-Lookup'!$AA$1:$AB$25,2),C3060),C3060)</f>
        <v>4472</v>
      </c>
    </row>
    <row r="3061" customFormat="false" ht="12.75" hidden="false" customHeight="false" outlineLevel="0" collapsed="false">
      <c r="A3061" s="0" t="n">
        <f aca="false">B3061*1000+C3061</f>
        <v>47069</v>
      </c>
      <c r="B3061" s="0" t="n">
        <v>47</v>
      </c>
      <c r="C3061" s="0" t="n">
        <v>69</v>
      </c>
      <c r="D3061" s="0" t="n">
        <v>182</v>
      </c>
      <c r="E3061" s="0" t="n">
        <f aca="false">VLOOKUP(B3061,'MSA-Lookup'!$H$2:$I$86,2)</f>
        <v>360</v>
      </c>
      <c r="F3061" s="0" t="n">
        <f aca="false">IF(C3061&gt;1,IF(C3061&lt;99,VLOOKUP(C3061,'MSA-Lookup'!$H$1:$I$86,2),C3061),C3061)</f>
        <v>6780</v>
      </c>
      <c r="G3061" s="0" t="n">
        <f aca="false">VLOOKUP(E3061,'MSA-Lookup'!$AA$1:$AB$25,2)</f>
        <v>4472</v>
      </c>
      <c r="H3061" s="0" t="n">
        <f aca="false">IF(C3061&gt;1,IF(C3061&lt;99,VLOOKUP(F3061,'MSA-Lookup'!$AA$1:$AB$25,2),C3061),C3061)</f>
        <v>4472</v>
      </c>
    </row>
    <row r="3062" customFormat="false" ht="12.75" hidden="false" customHeight="false" outlineLevel="0" collapsed="false">
      <c r="A3062" s="0" t="n">
        <f aca="false">B3062*1000+C3062</f>
        <v>47070</v>
      </c>
      <c r="B3062" s="0" t="n">
        <v>47</v>
      </c>
      <c r="C3062" s="0" t="n">
        <v>70</v>
      </c>
      <c r="D3062" s="0" t="n">
        <v>156</v>
      </c>
      <c r="E3062" s="0" t="n">
        <f aca="false">VLOOKUP(B3062,'MSA-Lookup'!$H$2:$I$86,2)</f>
        <v>360</v>
      </c>
      <c r="F3062" s="0" t="n">
        <f aca="false">IF(C3062&gt;1,IF(C3062&lt;99,VLOOKUP(C3062,'MSA-Lookup'!$H$1:$I$86,2),C3062),C3062)</f>
        <v>6780</v>
      </c>
      <c r="G3062" s="0" t="n">
        <f aca="false">VLOOKUP(E3062,'MSA-Lookup'!$AA$1:$AB$25,2)</f>
        <v>4472</v>
      </c>
      <c r="H3062" s="0" t="n">
        <f aca="false">IF(C3062&gt;1,IF(C3062&lt;99,VLOOKUP(F3062,'MSA-Lookup'!$AA$1:$AB$25,2),C3062),C3062)</f>
        <v>4472</v>
      </c>
    </row>
    <row r="3063" customFormat="false" ht="12.75" hidden="false" customHeight="false" outlineLevel="0" collapsed="false">
      <c r="A3063" s="0" t="n">
        <f aca="false">B3063*1000+C3063</f>
        <v>47071</v>
      </c>
      <c r="B3063" s="0" t="n">
        <v>47</v>
      </c>
      <c r="C3063" s="0" t="n">
        <v>71</v>
      </c>
      <c r="D3063" s="0" t="n">
        <v>91</v>
      </c>
      <c r="E3063" s="0" t="n">
        <f aca="false">VLOOKUP(B3063,'MSA-Lookup'!$H$2:$I$86,2)</f>
        <v>360</v>
      </c>
      <c r="F3063" s="0" t="n">
        <f aca="false">IF(C3063&gt;1,IF(C3063&lt;99,VLOOKUP(C3063,'MSA-Lookup'!$H$1:$I$86,2),C3063),C3063)</f>
        <v>6780</v>
      </c>
      <c r="G3063" s="0" t="n">
        <f aca="false">VLOOKUP(E3063,'MSA-Lookup'!$AA$1:$AB$25,2)</f>
        <v>4472</v>
      </c>
      <c r="H3063" s="0" t="n">
        <f aca="false">IF(C3063&gt;1,IF(C3063&lt;99,VLOOKUP(F3063,'MSA-Lookup'!$AA$1:$AB$25,2),C3063),C3063)</f>
        <v>4472</v>
      </c>
    </row>
    <row r="3064" customFormat="false" ht="12.75" hidden="false" customHeight="false" outlineLevel="0" collapsed="false">
      <c r="A3064" s="0" t="n">
        <f aca="false">B3064*1000+C3064</f>
        <v>47072</v>
      </c>
      <c r="B3064" s="0" t="n">
        <v>47</v>
      </c>
      <c r="C3064" s="0" t="n">
        <v>72</v>
      </c>
      <c r="D3064" s="0" t="n">
        <v>806</v>
      </c>
      <c r="E3064" s="0" t="n">
        <f aca="false">VLOOKUP(B3064,'MSA-Lookup'!$H$2:$I$86,2)</f>
        <v>360</v>
      </c>
      <c r="F3064" s="0" t="n">
        <f aca="false">IF(C3064&gt;1,IF(C3064&lt;99,VLOOKUP(C3064,'MSA-Lookup'!$H$1:$I$86,2),C3064),C3064)</f>
        <v>6780</v>
      </c>
      <c r="G3064" s="0" t="n">
        <f aca="false">VLOOKUP(E3064,'MSA-Lookup'!$AA$1:$AB$25,2)</f>
        <v>4472</v>
      </c>
      <c r="H3064" s="0" t="n">
        <f aca="false">IF(C3064&gt;1,IF(C3064&lt;99,VLOOKUP(F3064,'MSA-Lookup'!$AA$1:$AB$25,2),C3064),C3064)</f>
        <v>4472</v>
      </c>
    </row>
    <row r="3065" customFormat="false" ht="12.75" hidden="false" customHeight="false" outlineLevel="0" collapsed="false">
      <c r="A3065" s="0" t="n">
        <f aca="false">B3065*1000+C3065</f>
        <v>47073</v>
      </c>
      <c r="B3065" s="0" t="n">
        <v>47</v>
      </c>
      <c r="C3065" s="0" t="n">
        <v>73</v>
      </c>
      <c r="D3065" s="0" t="n">
        <v>0</v>
      </c>
      <c r="E3065" s="0" t="n">
        <f aca="false">VLOOKUP(B3065,'MSA-Lookup'!$H$2:$I$86,2)</f>
        <v>360</v>
      </c>
      <c r="F3065" s="0" t="n">
        <f aca="false">IF(C3065&gt;1,IF(C3065&lt;99,VLOOKUP(C3065,'MSA-Lookup'!$H$1:$I$86,2),C3065),C3065)</f>
        <v>8720</v>
      </c>
      <c r="G3065" s="0" t="n">
        <f aca="false">VLOOKUP(E3065,'MSA-Lookup'!$AA$1:$AB$25,2)</f>
        <v>4472</v>
      </c>
      <c r="H3065" s="0" t="n">
        <f aca="false">IF(C3065&gt;1,IF(C3065&lt;99,VLOOKUP(F3065,'MSA-Lookup'!$AA$1:$AB$25,2),C3065),C3065)</f>
        <v>7362</v>
      </c>
    </row>
    <row r="3066" customFormat="false" ht="12.75" hidden="false" customHeight="false" outlineLevel="0" collapsed="false">
      <c r="A3066" s="0" t="n">
        <f aca="false">B3066*1000+C3066</f>
        <v>47075</v>
      </c>
      <c r="B3066" s="0" t="n">
        <v>47</v>
      </c>
      <c r="C3066" s="0" t="n">
        <v>75</v>
      </c>
      <c r="D3066" s="0" t="n">
        <v>0</v>
      </c>
      <c r="E3066" s="0" t="n">
        <f aca="false">VLOOKUP(B3066,'MSA-Lookup'!$H$2:$I$86,2)</f>
        <v>360</v>
      </c>
      <c r="F3066" s="0" t="n">
        <f aca="false">IF(C3066&gt;1,IF(C3066&lt;99,VLOOKUP(C3066,'MSA-Lookup'!$H$1:$I$86,2),C3066),C3066)</f>
        <v>8780</v>
      </c>
      <c r="G3066" s="0" t="n">
        <f aca="false">VLOOKUP(E3066,'MSA-Lookup'!$AA$1:$AB$25,2)</f>
        <v>4472</v>
      </c>
      <c r="H3066" s="0" t="n">
        <f aca="false">IF(C3066&gt;1,IF(C3066&lt;99,VLOOKUP(F3066,'MSA-Lookup'!$AA$1:$AB$25,2),C3066),C3066)</f>
        <v>8780</v>
      </c>
    </row>
    <row r="3067" customFormat="false" ht="12.75" hidden="false" customHeight="false" outlineLevel="0" collapsed="false">
      <c r="A3067" s="0" t="n">
        <f aca="false">B3067*1000+C3067</f>
        <v>47076</v>
      </c>
      <c r="B3067" s="0" t="n">
        <v>47</v>
      </c>
      <c r="C3067" s="0" t="n">
        <v>76</v>
      </c>
      <c r="D3067" s="0" t="n">
        <v>0</v>
      </c>
      <c r="E3067" s="0" t="n">
        <f aca="false">VLOOKUP(B3067,'MSA-Lookup'!$H$2:$I$86,2)</f>
        <v>360</v>
      </c>
      <c r="F3067" s="0" t="n">
        <f aca="false">IF(C3067&gt;1,IF(C3067&lt;99,VLOOKUP(C3067,'MSA-Lookup'!$H$1:$I$86,2),C3067),C3067)</f>
        <v>7485</v>
      </c>
      <c r="G3067" s="0" t="n">
        <f aca="false">VLOOKUP(E3067,'MSA-Lookup'!$AA$1:$AB$25,2)</f>
        <v>4472</v>
      </c>
      <c r="H3067" s="0" t="n">
        <f aca="false">IF(C3067&gt;1,IF(C3067&lt;99,VLOOKUP(F3067,'MSA-Lookup'!$AA$1:$AB$25,2),C3067),C3067)</f>
        <v>7362</v>
      </c>
    </row>
    <row r="3068" customFormat="false" ht="12.75" hidden="false" customHeight="false" outlineLevel="0" collapsed="false">
      <c r="A3068" s="0" t="n">
        <f aca="false">B3068*1000+C3068</f>
        <v>47077</v>
      </c>
      <c r="B3068" s="0" t="n">
        <v>47</v>
      </c>
      <c r="C3068" s="0" t="n">
        <v>77</v>
      </c>
      <c r="D3068" s="0" t="n">
        <v>0</v>
      </c>
      <c r="E3068" s="0" t="n">
        <f aca="false">VLOOKUP(B3068,'MSA-Lookup'!$H$2:$I$86,2)</f>
        <v>360</v>
      </c>
      <c r="F3068" s="0" t="n">
        <f aca="false">IF(C3068&gt;1,IF(C3068&lt;99,VLOOKUP(C3068,'MSA-Lookup'!$H$1:$I$86,2),C3068),C3068)</f>
        <v>9999</v>
      </c>
      <c r="G3068" s="0" t="n">
        <f aca="false">VLOOKUP(E3068,'MSA-Lookup'!$AA$1:$AB$25,2)</f>
        <v>4472</v>
      </c>
      <c r="H3068" s="0" t="n">
        <f aca="false">IF(C3068&gt;1,IF(C3068&lt;99,VLOOKUP(F3068,'MSA-Lookup'!$AA$1:$AB$25,2),C3068),C3068)</f>
        <v>9999</v>
      </c>
    </row>
    <row r="3069" customFormat="false" ht="12.75" hidden="false" customHeight="false" outlineLevel="0" collapsed="false">
      <c r="A3069" s="0" t="n">
        <f aca="false">B3069*1000+C3069</f>
        <v>47079</v>
      </c>
      <c r="B3069" s="0" t="n">
        <v>47</v>
      </c>
      <c r="C3069" s="0" t="n">
        <v>79</v>
      </c>
      <c r="D3069" s="0" t="n">
        <v>0</v>
      </c>
      <c r="E3069" s="0" t="n">
        <f aca="false">VLOOKUP(B3069,'MSA-Lookup'!$H$2:$I$86,2)</f>
        <v>360</v>
      </c>
      <c r="F3069" s="0" t="n">
        <f aca="false">IF(C3069&gt;1,IF(C3069&lt;99,VLOOKUP(C3069,'MSA-Lookup'!$H$1:$I$86,2),C3069),C3069)</f>
        <v>680</v>
      </c>
      <c r="G3069" s="0" t="n">
        <f aca="false">VLOOKUP(E3069,'MSA-Lookup'!$AA$1:$AB$25,2)</f>
        <v>4472</v>
      </c>
      <c r="H3069" s="0" t="n">
        <f aca="false">IF(C3069&gt;1,IF(C3069&lt;99,VLOOKUP(F3069,'MSA-Lookup'!$AA$1:$AB$25,2),C3069),C3069)</f>
        <v>680</v>
      </c>
    </row>
    <row r="3070" customFormat="false" ht="12.75" hidden="false" customHeight="false" outlineLevel="0" collapsed="false">
      <c r="A3070" s="0" t="n">
        <f aca="false">B3070*1000+C3070</f>
        <v>47080</v>
      </c>
      <c r="B3070" s="0" t="n">
        <v>47</v>
      </c>
      <c r="C3070" s="0" t="n">
        <v>80</v>
      </c>
      <c r="D3070" s="0" t="n">
        <v>0</v>
      </c>
      <c r="E3070" s="0" t="n">
        <f aca="false">VLOOKUP(B3070,'MSA-Lookup'!$H$2:$I$86,2)</f>
        <v>360</v>
      </c>
      <c r="F3070" s="0" t="n">
        <f aca="false">IF(C3070&gt;1,IF(C3070&lt;99,VLOOKUP(C3070,'MSA-Lookup'!$H$1:$I$86,2),C3070),C3070)</f>
        <v>9999</v>
      </c>
      <c r="G3070" s="0" t="n">
        <f aca="false">VLOOKUP(E3070,'MSA-Lookup'!$AA$1:$AB$25,2)</f>
        <v>4472</v>
      </c>
      <c r="H3070" s="0" t="n">
        <f aca="false">IF(C3070&gt;1,IF(C3070&lt;99,VLOOKUP(F3070,'MSA-Lookup'!$AA$1:$AB$25,2),C3070),C3070)</f>
        <v>9999</v>
      </c>
    </row>
    <row r="3071" customFormat="false" ht="12.75" hidden="false" customHeight="false" outlineLevel="0" collapsed="false">
      <c r="A3071" s="0" t="n">
        <f aca="false">B3071*1000+C3071</f>
        <v>47081</v>
      </c>
      <c r="B3071" s="0" t="n">
        <v>47</v>
      </c>
      <c r="C3071" s="0" t="n">
        <v>81</v>
      </c>
      <c r="D3071" s="0" t="n">
        <v>0</v>
      </c>
      <c r="E3071" s="0" t="n">
        <f aca="false">VLOOKUP(B3071,'MSA-Lookup'!$H$2:$I$86,2)</f>
        <v>360</v>
      </c>
      <c r="F3071" s="0" t="n">
        <f aca="false">IF(C3071&gt;1,IF(C3071&lt;99,VLOOKUP(C3071,'MSA-Lookup'!$H$1:$I$86,2),C3071),C3071)</f>
        <v>6780</v>
      </c>
      <c r="G3071" s="0" t="n">
        <f aca="false">VLOOKUP(E3071,'MSA-Lookup'!$AA$1:$AB$25,2)</f>
        <v>4472</v>
      </c>
      <c r="H3071" s="0" t="n">
        <f aca="false">IF(C3071&gt;1,IF(C3071&lt;99,VLOOKUP(F3071,'MSA-Lookup'!$AA$1:$AB$25,2),C3071),C3071)</f>
        <v>4472</v>
      </c>
    </row>
    <row r="3072" customFormat="false" ht="12.75" hidden="false" customHeight="false" outlineLevel="0" collapsed="false">
      <c r="A3072" s="0" t="n">
        <f aca="false">B3072*1000+C3072</f>
        <v>47082</v>
      </c>
      <c r="B3072" s="0" t="n">
        <v>47</v>
      </c>
      <c r="C3072" s="0" t="n">
        <v>82</v>
      </c>
      <c r="D3072" s="0" t="n">
        <v>0</v>
      </c>
      <c r="E3072" s="0" t="n">
        <f aca="false">VLOOKUP(B3072,'MSA-Lookup'!$H$2:$I$86,2)</f>
        <v>360</v>
      </c>
      <c r="F3072" s="0" t="n">
        <f aca="false">IF(C3072&gt;1,IF(C3072&lt;99,VLOOKUP(C3072,'MSA-Lookup'!$H$1:$I$86,2),C3072),C3072)</f>
        <v>6780</v>
      </c>
      <c r="G3072" s="0" t="n">
        <f aca="false">VLOOKUP(E3072,'MSA-Lookup'!$AA$1:$AB$25,2)</f>
        <v>4472</v>
      </c>
      <c r="H3072" s="0" t="n">
        <f aca="false">IF(C3072&gt;1,IF(C3072&lt;99,VLOOKUP(F3072,'MSA-Lookup'!$AA$1:$AB$25,2),C3072),C3072)</f>
        <v>4472</v>
      </c>
    </row>
    <row r="3073" customFormat="false" ht="12.75" hidden="false" customHeight="false" outlineLevel="0" collapsed="false">
      <c r="A3073" s="0" t="n">
        <f aca="false">B3073*1000+C3073</f>
        <v>47083</v>
      </c>
      <c r="B3073" s="0" t="n">
        <v>47</v>
      </c>
      <c r="C3073" s="0" t="n">
        <v>83</v>
      </c>
      <c r="D3073" s="0" t="n">
        <v>0</v>
      </c>
      <c r="E3073" s="0" t="n">
        <f aca="false">VLOOKUP(B3073,'MSA-Lookup'!$H$2:$I$86,2)</f>
        <v>360</v>
      </c>
      <c r="F3073" s="0" t="n">
        <f aca="false">IF(C3073&gt;1,IF(C3073&lt;99,VLOOKUP(C3073,'MSA-Lookup'!$H$1:$I$86,2),C3073),C3073)</f>
        <v>6000</v>
      </c>
      <c r="G3073" s="0" t="n">
        <f aca="false">VLOOKUP(E3073,'MSA-Lookup'!$AA$1:$AB$25,2)</f>
        <v>4472</v>
      </c>
      <c r="H3073" s="0" t="n">
        <f aca="false">IF(C3073&gt;1,IF(C3073&lt;99,VLOOKUP(F3073,'MSA-Lookup'!$AA$1:$AB$25,2),C3073),C3073)</f>
        <v>4472</v>
      </c>
    </row>
    <row r="3074" customFormat="false" ht="12.75" hidden="false" customHeight="false" outlineLevel="0" collapsed="false">
      <c r="A3074" s="0" t="n">
        <f aca="false">B3074*1000+C3074</f>
        <v>47084</v>
      </c>
      <c r="B3074" s="0" t="n">
        <v>47</v>
      </c>
      <c r="C3074" s="0" t="n">
        <v>84</v>
      </c>
      <c r="D3074" s="0" t="n">
        <v>6214</v>
      </c>
      <c r="E3074" s="0" t="n">
        <f aca="false">VLOOKUP(B3074,'MSA-Lookup'!$H$2:$I$86,2)</f>
        <v>360</v>
      </c>
      <c r="F3074" s="0" t="n">
        <f aca="false">IF(C3074&gt;1,IF(C3074&lt;99,VLOOKUP(C3074,'MSA-Lookup'!$H$1:$I$86,2),C3074),C3074)</f>
        <v>360</v>
      </c>
      <c r="G3074" s="0" t="n">
        <f aca="false">VLOOKUP(E3074,'MSA-Lookup'!$AA$1:$AB$25,2)</f>
        <v>4472</v>
      </c>
      <c r="H3074" s="0" t="n">
        <f aca="false">IF(C3074&gt;1,IF(C3074&lt;99,VLOOKUP(F3074,'MSA-Lookup'!$AA$1:$AB$25,2),C3074),C3074)</f>
        <v>4472</v>
      </c>
    </row>
    <row r="3075" customFormat="false" ht="12.75" hidden="false" customHeight="false" outlineLevel="0" collapsed="false">
      <c r="A3075" s="0" t="n">
        <f aca="false">B3075*1000+C3075</f>
        <v>47085</v>
      </c>
      <c r="B3075" s="0" t="n">
        <v>47</v>
      </c>
      <c r="C3075" s="0" t="n">
        <v>85</v>
      </c>
      <c r="D3075" s="0" t="n">
        <v>0</v>
      </c>
      <c r="E3075" s="0" t="n">
        <f aca="false">VLOOKUP(B3075,'MSA-Lookup'!$H$2:$I$86,2)</f>
        <v>360</v>
      </c>
      <c r="F3075" s="0" t="n">
        <f aca="false">IF(C3075&gt;1,IF(C3075&lt;99,VLOOKUP(C3075,'MSA-Lookup'!$H$1:$I$86,2),C3075),C3075)</f>
        <v>8120</v>
      </c>
      <c r="G3075" s="0" t="n">
        <f aca="false">VLOOKUP(E3075,'MSA-Lookup'!$AA$1:$AB$25,2)</f>
        <v>4472</v>
      </c>
      <c r="H3075" s="0" t="n">
        <f aca="false">IF(C3075&gt;1,IF(C3075&lt;99,VLOOKUP(F3075,'MSA-Lookup'!$AA$1:$AB$25,2),C3075),C3075)</f>
        <v>8120</v>
      </c>
    </row>
    <row r="3076" customFormat="false" ht="12.75" hidden="false" customHeight="false" outlineLevel="0" collapsed="false">
      <c r="A3076" s="0" t="n">
        <f aca="false">B3076*1000+C3076</f>
        <v>47858</v>
      </c>
      <c r="B3076" s="0" t="n">
        <v>47</v>
      </c>
      <c r="C3076" s="0" t="n">
        <v>858</v>
      </c>
      <c r="D3076" s="0" t="n">
        <v>0</v>
      </c>
      <c r="E3076" s="0" t="n">
        <f aca="false">VLOOKUP(B3076,'MSA-Lookup'!$H$2:$I$86,2)</f>
        <v>360</v>
      </c>
      <c r="F3076" s="0" t="n">
        <f aca="false">IF(C3076&gt;1,IF(C3076&lt;99,VLOOKUP(C3076,'MSA-Lookup'!$H$1:$I$86,2),C3076),C3076)</f>
        <v>858</v>
      </c>
      <c r="G3076" s="0" t="n">
        <f aca="false">VLOOKUP(E3076,'MSA-Lookup'!$AA$1:$AB$25,2)</f>
        <v>4472</v>
      </c>
      <c r="H3076" s="0" t="n">
        <f aca="false">IF(C3076&gt;1,IF(C3076&lt;99,VLOOKUP(F3076,'MSA-Lookup'!$AA$1:$AB$25,2),C3076),C3076)</f>
        <v>858</v>
      </c>
    </row>
    <row r="3077" customFormat="false" ht="12.75" hidden="false" customHeight="false" outlineLevel="0" collapsed="false">
      <c r="A3077" s="0" t="n">
        <f aca="false">B3077*1000+C3077</f>
        <v>47983</v>
      </c>
      <c r="B3077" s="0" t="n">
        <v>47</v>
      </c>
      <c r="C3077" s="0" t="n">
        <v>983</v>
      </c>
      <c r="D3077" s="0" t="n">
        <v>0</v>
      </c>
      <c r="E3077" s="0" t="n">
        <f aca="false">VLOOKUP(B3077,'MSA-Lookup'!$H$2:$I$86,2)</f>
        <v>360</v>
      </c>
      <c r="F3077" s="0" t="n">
        <f aca="false">IF(C3077&gt;1,IF(C3077&lt;99,VLOOKUP(C3077,'MSA-Lookup'!$H$1:$I$86,2),C3077),C3077)</f>
        <v>983</v>
      </c>
      <c r="G3077" s="0" t="n">
        <f aca="false">VLOOKUP(E3077,'MSA-Lookup'!$AA$1:$AB$25,2)</f>
        <v>4472</v>
      </c>
      <c r="H3077" s="0" t="n">
        <f aca="false">IF(C3077&gt;1,IF(C3077&lt;99,VLOOKUP(F3077,'MSA-Lookup'!$AA$1:$AB$25,2),C3077),C3077)</f>
        <v>983</v>
      </c>
    </row>
    <row r="3078" customFormat="false" ht="12.75" hidden="false" customHeight="false" outlineLevel="0" collapsed="false">
      <c r="A3078" s="0" t="n">
        <f aca="false">B3078*1000+C3078</f>
        <v>47999</v>
      </c>
      <c r="B3078" s="0" t="n">
        <v>47</v>
      </c>
      <c r="C3078" s="0" t="n">
        <v>999</v>
      </c>
      <c r="D3078" s="0" t="n">
        <v>143</v>
      </c>
      <c r="E3078" s="0" t="n">
        <f aca="false">VLOOKUP(B3078,'MSA-Lookup'!$H$2:$I$86,2)</f>
        <v>360</v>
      </c>
      <c r="F3078" s="0" t="n">
        <f aca="false">IF(C3078&gt;1,IF(C3078&lt;99,VLOOKUP(C3078,'MSA-Lookup'!$H$1:$I$86,2),C3078),C3078)</f>
        <v>999</v>
      </c>
      <c r="G3078" s="0" t="n">
        <f aca="false">VLOOKUP(E3078,'MSA-Lookup'!$AA$1:$AB$25,2)</f>
        <v>4472</v>
      </c>
      <c r="H3078" s="0" t="n">
        <f aca="false">IF(C3078&gt;1,IF(C3078&lt;99,VLOOKUP(F3078,'MSA-Lookup'!$AA$1:$AB$25,2),C3078),C3078)</f>
        <v>999</v>
      </c>
    </row>
    <row r="3079" customFormat="false" ht="12.75" hidden="false" customHeight="false" outlineLevel="0" collapsed="false">
      <c r="A3079" s="0" t="n">
        <f aca="false">B3079*1000+C3079</f>
        <v>48000</v>
      </c>
      <c r="B3079" s="0" t="n">
        <v>48</v>
      </c>
      <c r="C3079" s="0" t="n">
        <v>0</v>
      </c>
      <c r="D3079" s="0" t="n">
        <v>542152</v>
      </c>
      <c r="E3079" s="0" t="n">
        <f aca="false">VLOOKUP(B3079,'MSA-Lookup'!$H$2:$I$86,2)</f>
        <v>360</v>
      </c>
      <c r="F3079" s="0" t="n">
        <f aca="false">IF(C3079&gt;1,IF(C3079&lt;99,VLOOKUP(C3079,'MSA-Lookup'!$H$1:$I$86,2),C3079),C3079)</f>
        <v>0</v>
      </c>
      <c r="G3079" s="0" t="n">
        <f aca="false">VLOOKUP(E3079,'MSA-Lookup'!$AA$1:$AB$25,2)</f>
        <v>4472</v>
      </c>
      <c r="H3079" s="0" t="n">
        <f aca="false">IF(C3079&gt;1,IF(C3079&lt;99,VLOOKUP(F3079,'MSA-Lookup'!$AA$1:$AB$25,2),C3079),C3079)</f>
        <v>0</v>
      </c>
    </row>
    <row r="3080" customFormat="false" ht="12.75" hidden="false" customHeight="false" outlineLevel="0" collapsed="false">
      <c r="A3080" s="0" t="n">
        <f aca="false">B3080*1000+C3080</f>
        <v>48001</v>
      </c>
      <c r="B3080" s="0" t="n">
        <v>48</v>
      </c>
      <c r="C3080" s="0" t="n">
        <v>1</v>
      </c>
      <c r="D3080" s="0" t="n">
        <v>234</v>
      </c>
      <c r="E3080" s="0" t="n">
        <f aca="false">VLOOKUP(B3080,'MSA-Lookup'!$H$2:$I$86,2)</f>
        <v>360</v>
      </c>
      <c r="F3080" s="0" t="n">
        <f aca="false">IF(C3080&gt;1,IF(C3080&lt;99,VLOOKUP(C3080,'MSA-Lookup'!$H$1:$I$86,2),C3080),C3080)</f>
        <v>1</v>
      </c>
      <c r="G3080" s="0" t="n">
        <f aca="false">VLOOKUP(E3080,'MSA-Lookup'!$AA$1:$AB$25,2)</f>
        <v>4472</v>
      </c>
      <c r="H3080" s="0" t="n">
        <f aca="false">IF(C3080&gt;1,IF(C3080&lt;99,VLOOKUP(F3080,'MSA-Lookup'!$AA$1:$AB$25,2),C3080),C3080)</f>
        <v>1</v>
      </c>
    </row>
    <row r="3081" customFormat="false" ht="12.75" hidden="false" customHeight="false" outlineLevel="0" collapsed="false">
      <c r="A3081" s="0" t="n">
        <f aca="false">B3081*1000+C3081</f>
        <v>48002</v>
      </c>
      <c r="B3081" s="0" t="n">
        <v>48</v>
      </c>
      <c r="C3081" s="0" t="n">
        <v>2</v>
      </c>
      <c r="D3081" s="0" t="n">
        <v>104</v>
      </c>
      <c r="E3081" s="0" t="n">
        <f aca="false">VLOOKUP(B3081,'MSA-Lookup'!$H$2:$I$86,2)</f>
        <v>360</v>
      </c>
      <c r="F3081" s="0" t="n">
        <f aca="false">IF(C3081&gt;1,IF(C3081&lt;99,VLOOKUP(C3081,'MSA-Lookup'!$H$1:$I$86,2),C3081),C3081)</f>
        <v>9999</v>
      </c>
      <c r="G3081" s="0" t="n">
        <f aca="false">VLOOKUP(E3081,'MSA-Lookup'!$AA$1:$AB$25,2)</f>
        <v>4472</v>
      </c>
      <c r="H3081" s="0" t="n">
        <f aca="false">IF(C3081&gt;1,IF(C3081&lt;99,VLOOKUP(F3081,'MSA-Lookup'!$AA$1:$AB$25,2),C3081),C3081)</f>
        <v>9999</v>
      </c>
    </row>
    <row r="3082" customFormat="false" ht="12.75" hidden="false" customHeight="false" outlineLevel="0" collapsed="false">
      <c r="A3082" s="0" t="n">
        <f aca="false">B3082*1000+C3082</f>
        <v>48003</v>
      </c>
      <c r="B3082" s="0" t="n">
        <v>48</v>
      </c>
      <c r="C3082" s="0" t="n">
        <v>3</v>
      </c>
      <c r="D3082" s="0" t="n">
        <v>130</v>
      </c>
      <c r="E3082" s="0" t="n">
        <f aca="false">VLOOKUP(B3082,'MSA-Lookup'!$H$2:$I$86,2)</f>
        <v>360</v>
      </c>
      <c r="F3082" s="0" t="n">
        <f aca="false">IF(C3082&gt;1,IF(C3082&lt;99,VLOOKUP(C3082,'MSA-Lookup'!$H$1:$I$86,2),C3082),C3082)</f>
        <v>6690</v>
      </c>
      <c r="G3082" s="0" t="n">
        <f aca="false">VLOOKUP(E3082,'MSA-Lookup'!$AA$1:$AB$25,2)</f>
        <v>4472</v>
      </c>
      <c r="H3082" s="0" t="n">
        <f aca="false">IF(C3082&gt;1,IF(C3082&lt;99,VLOOKUP(F3082,'MSA-Lookup'!$AA$1:$AB$25,2),C3082),C3082)</f>
        <v>6690</v>
      </c>
    </row>
    <row r="3083" customFormat="false" ht="12.75" hidden="false" customHeight="false" outlineLevel="0" collapsed="false">
      <c r="A3083" s="0" t="n">
        <f aca="false">B3083*1000+C3083</f>
        <v>48004</v>
      </c>
      <c r="B3083" s="0" t="n">
        <v>48</v>
      </c>
      <c r="C3083" s="0" t="n">
        <v>4</v>
      </c>
      <c r="D3083" s="0" t="n">
        <v>182</v>
      </c>
      <c r="E3083" s="0" t="n">
        <f aca="false">VLOOKUP(B3083,'MSA-Lookup'!$H$2:$I$86,2)</f>
        <v>360</v>
      </c>
      <c r="F3083" s="0" t="n">
        <f aca="false">IF(C3083&gt;1,IF(C3083&lt;99,VLOOKUP(C3083,'MSA-Lookup'!$H$1:$I$86,2),C3083),C3083)</f>
        <v>9999</v>
      </c>
      <c r="G3083" s="0" t="n">
        <f aca="false">VLOOKUP(E3083,'MSA-Lookup'!$AA$1:$AB$25,2)</f>
        <v>4472</v>
      </c>
      <c r="H3083" s="0" t="n">
        <f aca="false">IF(C3083&gt;1,IF(C3083&lt;99,VLOOKUP(F3083,'MSA-Lookup'!$AA$1:$AB$25,2),C3083),C3083)</f>
        <v>9999</v>
      </c>
    </row>
    <row r="3084" customFormat="false" ht="12.75" hidden="false" customHeight="false" outlineLevel="0" collapsed="false">
      <c r="A3084" s="0" t="n">
        <f aca="false">B3084*1000+C3084</f>
        <v>48005</v>
      </c>
      <c r="B3084" s="0" t="n">
        <v>48</v>
      </c>
      <c r="C3084" s="0" t="n">
        <v>5</v>
      </c>
      <c r="D3084" s="0" t="n">
        <v>65</v>
      </c>
      <c r="E3084" s="0" t="n">
        <f aca="false">VLOOKUP(B3084,'MSA-Lookup'!$H$2:$I$86,2)</f>
        <v>360</v>
      </c>
      <c r="F3084" s="0" t="n">
        <f aca="false">IF(C3084&gt;1,IF(C3084&lt;99,VLOOKUP(C3084,'MSA-Lookup'!$H$1:$I$86,2),C3084),C3084)</f>
        <v>9999</v>
      </c>
      <c r="G3084" s="0" t="n">
        <f aca="false">VLOOKUP(E3084,'MSA-Lookup'!$AA$1:$AB$25,2)</f>
        <v>4472</v>
      </c>
      <c r="H3084" s="0" t="n">
        <f aca="false">IF(C3084&gt;1,IF(C3084&lt;99,VLOOKUP(F3084,'MSA-Lookup'!$AA$1:$AB$25,2),C3084),C3084)</f>
        <v>9999</v>
      </c>
    </row>
    <row r="3085" customFormat="false" ht="12.75" hidden="false" customHeight="false" outlineLevel="0" collapsed="false">
      <c r="A3085" s="0" t="n">
        <f aca="false">B3085*1000+C3085</f>
        <v>48006</v>
      </c>
      <c r="B3085" s="0" t="n">
        <v>48</v>
      </c>
      <c r="C3085" s="0" t="n">
        <v>6</v>
      </c>
      <c r="D3085" s="0" t="n">
        <v>0</v>
      </c>
      <c r="E3085" s="0" t="n">
        <f aca="false">VLOOKUP(B3085,'MSA-Lookup'!$H$2:$I$86,2)</f>
        <v>360</v>
      </c>
      <c r="F3085" s="0" t="n">
        <f aca="false">IF(C3085&gt;1,IF(C3085&lt;99,VLOOKUP(C3085,'MSA-Lookup'!$H$1:$I$86,2),C3085),C3085)</f>
        <v>1620</v>
      </c>
      <c r="G3085" s="0" t="n">
        <f aca="false">VLOOKUP(E3085,'MSA-Lookup'!$AA$1:$AB$25,2)</f>
        <v>4472</v>
      </c>
      <c r="H3085" s="0" t="n">
        <f aca="false">IF(C3085&gt;1,IF(C3085&lt;99,VLOOKUP(F3085,'MSA-Lookup'!$AA$1:$AB$25,2),C3085),C3085)</f>
        <v>1620</v>
      </c>
    </row>
    <row r="3086" customFormat="false" ht="12.75" hidden="false" customHeight="false" outlineLevel="0" collapsed="false">
      <c r="A3086" s="0" t="n">
        <f aca="false">B3086*1000+C3086</f>
        <v>48007</v>
      </c>
      <c r="B3086" s="0" t="n">
        <v>48</v>
      </c>
      <c r="C3086" s="0" t="n">
        <v>7</v>
      </c>
      <c r="D3086" s="0" t="n">
        <v>0</v>
      </c>
      <c r="E3086" s="0" t="n">
        <f aca="false">VLOOKUP(B3086,'MSA-Lookup'!$H$2:$I$86,2)</f>
        <v>360</v>
      </c>
      <c r="F3086" s="0" t="n">
        <f aca="false">IF(C3086&gt;1,IF(C3086&lt;99,VLOOKUP(C3086,'MSA-Lookup'!$H$1:$I$86,2),C3086),C3086)</f>
        <v>9999</v>
      </c>
      <c r="G3086" s="0" t="n">
        <f aca="false">VLOOKUP(E3086,'MSA-Lookup'!$AA$1:$AB$25,2)</f>
        <v>4472</v>
      </c>
      <c r="H3086" s="0" t="n">
        <f aca="false">IF(C3086&gt;1,IF(C3086&lt;99,VLOOKUP(F3086,'MSA-Lookup'!$AA$1:$AB$25,2),C3086),C3086)</f>
        <v>9999</v>
      </c>
    </row>
    <row r="3087" customFormat="false" ht="12.75" hidden="false" customHeight="false" outlineLevel="0" collapsed="false">
      <c r="A3087" s="0" t="n">
        <f aca="false">B3087*1000+C3087</f>
        <v>48008</v>
      </c>
      <c r="B3087" s="0" t="n">
        <v>48</v>
      </c>
      <c r="C3087" s="0" t="n">
        <v>8</v>
      </c>
      <c r="D3087" s="0" t="n">
        <v>0</v>
      </c>
      <c r="E3087" s="0" t="n">
        <f aca="false">VLOOKUP(B3087,'MSA-Lookup'!$H$2:$I$86,2)</f>
        <v>360</v>
      </c>
      <c r="F3087" s="0" t="n">
        <f aca="false">IF(C3087&gt;1,IF(C3087&lt;99,VLOOKUP(C3087,'MSA-Lookup'!$H$1:$I$86,2),C3087),C3087)</f>
        <v>9340</v>
      </c>
      <c r="G3087" s="0" t="n">
        <f aca="false">VLOOKUP(E3087,'MSA-Lookup'!$AA$1:$AB$25,2)</f>
        <v>4472</v>
      </c>
      <c r="H3087" s="0" t="n">
        <f aca="false">IF(C3087&gt;1,IF(C3087&lt;99,VLOOKUP(F3087,'MSA-Lookup'!$AA$1:$AB$25,2),C3087),C3087)</f>
        <v>9340</v>
      </c>
    </row>
    <row r="3088" customFormat="false" ht="12.75" hidden="false" customHeight="false" outlineLevel="0" collapsed="false">
      <c r="A3088" s="0" t="n">
        <f aca="false">B3088*1000+C3088</f>
        <v>48009</v>
      </c>
      <c r="B3088" s="0" t="n">
        <v>48</v>
      </c>
      <c r="C3088" s="0" t="n">
        <v>9</v>
      </c>
      <c r="D3088" s="0" t="n">
        <v>221</v>
      </c>
      <c r="E3088" s="0" t="n">
        <f aca="false">VLOOKUP(B3088,'MSA-Lookup'!$H$2:$I$86,2)</f>
        <v>360</v>
      </c>
      <c r="F3088" s="0" t="n">
        <f aca="false">IF(C3088&gt;1,IF(C3088&lt;99,VLOOKUP(C3088,'MSA-Lookup'!$H$1:$I$86,2),C3088),C3088)</f>
        <v>8720</v>
      </c>
      <c r="G3088" s="0" t="n">
        <f aca="false">VLOOKUP(E3088,'MSA-Lookup'!$AA$1:$AB$25,2)</f>
        <v>4472</v>
      </c>
      <c r="H3088" s="0" t="n">
        <f aca="false">IF(C3088&gt;1,IF(C3088&lt;99,VLOOKUP(F3088,'MSA-Lookup'!$AA$1:$AB$25,2),C3088),C3088)</f>
        <v>7362</v>
      </c>
    </row>
    <row r="3089" customFormat="false" ht="12.75" hidden="false" customHeight="false" outlineLevel="0" collapsed="false">
      <c r="A3089" s="0" t="n">
        <f aca="false">B3089*1000+C3089</f>
        <v>48010</v>
      </c>
      <c r="B3089" s="0" t="n">
        <v>48</v>
      </c>
      <c r="C3089" s="0" t="n">
        <v>10</v>
      </c>
      <c r="D3089" s="0" t="n">
        <v>221</v>
      </c>
      <c r="E3089" s="0" t="n">
        <f aca="false">VLOOKUP(B3089,'MSA-Lookup'!$H$2:$I$86,2)</f>
        <v>360</v>
      </c>
      <c r="F3089" s="0" t="n">
        <f aca="false">IF(C3089&gt;1,IF(C3089&lt;99,VLOOKUP(C3089,'MSA-Lookup'!$H$1:$I$86,2),C3089),C3089)</f>
        <v>6920</v>
      </c>
      <c r="G3089" s="0" t="n">
        <f aca="false">VLOOKUP(E3089,'MSA-Lookup'!$AA$1:$AB$25,2)</f>
        <v>4472</v>
      </c>
      <c r="H3089" s="0" t="n">
        <f aca="false">IF(C3089&gt;1,IF(C3089&lt;99,VLOOKUP(F3089,'MSA-Lookup'!$AA$1:$AB$25,2),C3089),C3089)</f>
        <v>6920</v>
      </c>
    </row>
    <row r="3090" customFormat="false" ht="12.75" hidden="false" customHeight="false" outlineLevel="0" collapsed="false">
      <c r="A3090" s="0" t="n">
        <f aca="false">B3090*1000+C3090</f>
        <v>48011</v>
      </c>
      <c r="B3090" s="0" t="n">
        <v>48</v>
      </c>
      <c r="C3090" s="0" t="n">
        <v>11</v>
      </c>
      <c r="D3090" s="0" t="n">
        <v>182</v>
      </c>
      <c r="E3090" s="0" t="n">
        <f aca="false">VLOOKUP(B3090,'MSA-Lookup'!$H$2:$I$86,2)</f>
        <v>360</v>
      </c>
      <c r="F3090" s="0" t="n">
        <f aca="false">IF(C3090&gt;1,IF(C3090&lt;99,VLOOKUP(C3090,'MSA-Lookup'!$H$1:$I$86,2),C3090),C3090)</f>
        <v>6920</v>
      </c>
      <c r="G3090" s="0" t="n">
        <f aca="false">VLOOKUP(E3090,'MSA-Lookup'!$AA$1:$AB$25,2)</f>
        <v>4472</v>
      </c>
      <c r="H3090" s="0" t="n">
        <f aca="false">IF(C3090&gt;1,IF(C3090&lt;99,VLOOKUP(F3090,'MSA-Lookup'!$AA$1:$AB$25,2),C3090),C3090)</f>
        <v>6920</v>
      </c>
    </row>
    <row r="3091" customFormat="false" ht="12.75" hidden="false" customHeight="false" outlineLevel="0" collapsed="false">
      <c r="A3091" s="0" t="n">
        <f aca="false">B3091*1000+C3091</f>
        <v>48012</v>
      </c>
      <c r="B3091" s="0" t="n">
        <v>48</v>
      </c>
      <c r="C3091" s="0" t="n">
        <v>12</v>
      </c>
      <c r="D3091" s="0" t="n">
        <v>78</v>
      </c>
      <c r="E3091" s="0" t="n">
        <f aca="false">VLOOKUP(B3091,'MSA-Lookup'!$H$2:$I$86,2)</f>
        <v>360</v>
      </c>
      <c r="F3091" s="0" t="n">
        <f aca="false">IF(C3091&gt;1,IF(C3091&lt;99,VLOOKUP(C3091,'MSA-Lookup'!$H$1:$I$86,2),C3091),C3091)</f>
        <v>6920</v>
      </c>
      <c r="G3091" s="0" t="n">
        <f aca="false">VLOOKUP(E3091,'MSA-Lookup'!$AA$1:$AB$25,2)</f>
        <v>4472</v>
      </c>
      <c r="H3091" s="0" t="n">
        <f aca="false">IF(C3091&gt;1,IF(C3091&lt;99,VLOOKUP(F3091,'MSA-Lookup'!$AA$1:$AB$25,2),C3091),C3091)</f>
        <v>6920</v>
      </c>
    </row>
    <row r="3092" customFormat="false" ht="12.75" hidden="false" customHeight="false" outlineLevel="0" collapsed="false">
      <c r="A3092" s="0" t="n">
        <f aca="false">B3092*1000+C3092</f>
        <v>48013</v>
      </c>
      <c r="B3092" s="0" t="n">
        <v>48</v>
      </c>
      <c r="C3092" s="0" t="n">
        <v>13</v>
      </c>
      <c r="D3092" s="0" t="n">
        <v>0</v>
      </c>
      <c r="E3092" s="0" t="n">
        <f aca="false">VLOOKUP(B3092,'MSA-Lookup'!$H$2:$I$86,2)</f>
        <v>360</v>
      </c>
      <c r="F3092" s="0" t="n">
        <f aca="false">IF(C3092&gt;1,IF(C3092&lt;99,VLOOKUP(C3092,'MSA-Lookup'!$H$1:$I$86,2),C3092),C3092)</f>
        <v>7500</v>
      </c>
      <c r="G3092" s="0" t="n">
        <f aca="false">VLOOKUP(E3092,'MSA-Lookup'!$AA$1:$AB$25,2)</f>
        <v>4472</v>
      </c>
      <c r="H3092" s="0" t="n">
        <f aca="false">IF(C3092&gt;1,IF(C3092&lt;99,VLOOKUP(F3092,'MSA-Lookup'!$AA$1:$AB$25,2),C3092),C3092)</f>
        <v>7362</v>
      </c>
    </row>
    <row r="3093" customFormat="false" ht="12.75" hidden="false" customHeight="false" outlineLevel="0" collapsed="false">
      <c r="A3093" s="0" t="n">
        <f aca="false">B3093*1000+C3093</f>
        <v>48014</v>
      </c>
      <c r="B3093" s="0" t="n">
        <v>48</v>
      </c>
      <c r="C3093" s="0" t="n">
        <v>14</v>
      </c>
      <c r="D3093" s="0" t="n">
        <v>78</v>
      </c>
      <c r="E3093" s="0" t="n">
        <f aca="false">VLOOKUP(B3093,'MSA-Lookup'!$H$2:$I$86,2)</f>
        <v>360</v>
      </c>
      <c r="F3093" s="0" t="n">
        <f aca="false">IF(C3093&gt;1,IF(C3093&lt;99,VLOOKUP(C3093,'MSA-Lookup'!$H$1:$I$86,2),C3093),C3093)</f>
        <v>7500</v>
      </c>
      <c r="G3093" s="0" t="n">
        <f aca="false">VLOOKUP(E3093,'MSA-Lookup'!$AA$1:$AB$25,2)</f>
        <v>4472</v>
      </c>
      <c r="H3093" s="0" t="n">
        <f aca="false">IF(C3093&gt;1,IF(C3093&lt;99,VLOOKUP(F3093,'MSA-Lookup'!$AA$1:$AB$25,2),C3093),C3093)</f>
        <v>7362</v>
      </c>
    </row>
    <row r="3094" customFormat="false" ht="12.75" hidden="false" customHeight="false" outlineLevel="0" collapsed="false">
      <c r="A3094" s="0" t="n">
        <f aca="false">B3094*1000+C3094</f>
        <v>48015</v>
      </c>
      <c r="B3094" s="0" t="n">
        <v>48</v>
      </c>
      <c r="C3094" s="0" t="n">
        <v>15</v>
      </c>
      <c r="D3094" s="0" t="n">
        <v>0</v>
      </c>
      <c r="E3094" s="0" t="n">
        <f aca="false">VLOOKUP(B3094,'MSA-Lookup'!$H$2:$I$86,2)</f>
        <v>360</v>
      </c>
      <c r="F3094" s="0" t="n">
        <f aca="false">IF(C3094&gt;1,IF(C3094&lt;99,VLOOKUP(C3094,'MSA-Lookup'!$H$1:$I$86,2),C3094),C3094)</f>
        <v>7360</v>
      </c>
      <c r="G3094" s="0" t="n">
        <f aca="false">VLOOKUP(E3094,'MSA-Lookup'!$AA$1:$AB$25,2)</f>
        <v>4472</v>
      </c>
      <c r="H3094" s="0" t="n">
        <f aca="false">IF(C3094&gt;1,IF(C3094&lt;99,VLOOKUP(F3094,'MSA-Lookup'!$AA$1:$AB$25,2),C3094),C3094)</f>
        <v>7362</v>
      </c>
    </row>
    <row r="3095" customFormat="false" ht="12.75" hidden="false" customHeight="false" outlineLevel="0" collapsed="false">
      <c r="A3095" s="0" t="n">
        <f aca="false">B3095*1000+C3095</f>
        <v>48016</v>
      </c>
      <c r="B3095" s="0" t="n">
        <v>48</v>
      </c>
      <c r="C3095" s="0" t="n">
        <v>16</v>
      </c>
      <c r="D3095" s="0" t="n">
        <v>0</v>
      </c>
      <c r="E3095" s="0" t="n">
        <f aca="false">VLOOKUP(B3095,'MSA-Lookup'!$H$2:$I$86,2)</f>
        <v>360</v>
      </c>
      <c r="F3095" s="0" t="n">
        <f aca="false">IF(C3095&gt;1,IF(C3095&lt;99,VLOOKUP(C3095,'MSA-Lookup'!$H$1:$I$86,2),C3095),C3095)</f>
        <v>8720</v>
      </c>
      <c r="G3095" s="0" t="n">
        <f aca="false">VLOOKUP(E3095,'MSA-Lookup'!$AA$1:$AB$25,2)</f>
        <v>4472</v>
      </c>
      <c r="H3095" s="0" t="n">
        <f aca="false">IF(C3095&gt;1,IF(C3095&lt;99,VLOOKUP(F3095,'MSA-Lookup'!$AA$1:$AB$25,2),C3095),C3095)</f>
        <v>7362</v>
      </c>
    </row>
    <row r="3096" customFormat="false" ht="12.75" hidden="false" customHeight="false" outlineLevel="0" collapsed="false">
      <c r="A3096" s="0" t="n">
        <f aca="false">B3096*1000+C3096</f>
        <v>48017</v>
      </c>
      <c r="B3096" s="0" t="n">
        <v>48</v>
      </c>
      <c r="C3096" s="0" t="n">
        <v>17</v>
      </c>
      <c r="D3096" s="0" t="n">
        <v>0</v>
      </c>
      <c r="E3096" s="0" t="n">
        <f aca="false">VLOOKUP(B3096,'MSA-Lookup'!$H$2:$I$86,2)</f>
        <v>360</v>
      </c>
      <c r="F3096" s="0" t="n">
        <f aca="false">IF(C3096&gt;1,IF(C3096&lt;99,VLOOKUP(C3096,'MSA-Lookup'!$H$1:$I$86,2),C3096),C3096)</f>
        <v>5775</v>
      </c>
      <c r="G3096" s="0" t="n">
        <f aca="false">VLOOKUP(E3096,'MSA-Lookup'!$AA$1:$AB$25,2)</f>
        <v>4472</v>
      </c>
      <c r="H3096" s="0" t="n">
        <f aca="false">IF(C3096&gt;1,IF(C3096&lt;99,VLOOKUP(F3096,'MSA-Lookup'!$AA$1:$AB$25,2),C3096),C3096)</f>
        <v>7362</v>
      </c>
    </row>
    <row r="3097" customFormat="false" ht="12.75" hidden="false" customHeight="false" outlineLevel="0" collapsed="false">
      <c r="A3097" s="0" t="n">
        <f aca="false">B3097*1000+C3097</f>
        <v>48018</v>
      </c>
      <c r="B3097" s="0" t="n">
        <v>48</v>
      </c>
      <c r="C3097" s="0" t="n">
        <v>18</v>
      </c>
      <c r="D3097" s="0" t="n">
        <v>65</v>
      </c>
      <c r="E3097" s="0" t="n">
        <f aca="false">VLOOKUP(B3097,'MSA-Lookup'!$H$2:$I$86,2)</f>
        <v>360</v>
      </c>
      <c r="F3097" s="0" t="n">
        <f aca="false">IF(C3097&gt;1,IF(C3097&lt;99,VLOOKUP(C3097,'MSA-Lookup'!$H$1:$I$86,2),C3097),C3097)</f>
        <v>5775</v>
      </c>
      <c r="G3097" s="0" t="n">
        <f aca="false">VLOOKUP(E3097,'MSA-Lookup'!$AA$1:$AB$25,2)</f>
        <v>4472</v>
      </c>
      <c r="H3097" s="0" t="n">
        <f aca="false">IF(C3097&gt;1,IF(C3097&lt;99,VLOOKUP(F3097,'MSA-Lookup'!$AA$1:$AB$25,2),C3097),C3097)</f>
        <v>7362</v>
      </c>
    </row>
    <row r="3098" customFormat="false" ht="12.75" hidden="false" customHeight="false" outlineLevel="0" collapsed="false">
      <c r="A3098" s="0" t="n">
        <f aca="false">B3098*1000+C3098</f>
        <v>48019</v>
      </c>
      <c r="B3098" s="0" t="n">
        <v>48</v>
      </c>
      <c r="C3098" s="0" t="n">
        <v>19</v>
      </c>
      <c r="D3098" s="0" t="n">
        <v>390</v>
      </c>
      <c r="E3098" s="0" t="n">
        <f aca="false">VLOOKUP(B3098,'MSA-Lookup'!$H$2:$I$86,2)</f>
        <v>360</v>
      </c>
      <c r="F3098" s="0" t="n">
        <f aca="false">IF(C3098&gt;1,IF(C3098&lt;99,VLOOKUP(C3098,'MSA-Lookup'!$H$1:$I$86,2),C3098),C3098)</f>
        <v>7360</v>
      </c>
      <c r="G3098" s="0" t="n">
        <f aca="false">VLOOKUP(E3098,'MSA-Lookup'!$AA$1:$AB$25,2)</f>
        <v>4472</v>
      </c>
      <c r="H3098" s="0" t="n">
        <f aca="false">IF(C3098&gt;1,IF(C3098&lt;99,VLOOKUP(F3098,'MSA-Lookup'!$AA$1:$AB$25,2),C3098),C3098)</f>
        <v>7362</v>
      </c>
    </row>
    <row r="3099" customFormat="false" ht="12.75" hidden="false" customHeight="false" outlineLevel="0" collapsed="false">
      <c r="A3099" s="0" t="n">
        <f aca="false">B3099*1000+C3099</f>
        <v>48020</v>
      </c>
      <c r="B3099" s="0" t="n">
        <v>48</v>
      </c>
      <c r="C3099" s="0" t="n">
        <v>20</v>
      </c>
      <c r="D3099" s="0" t="n">
        <v>130</v>
      </c>
      <c r="E3099" s="0" t="n">
        <f aca="false">VLOOKUP(B3099,'MSA-Lookup'!$H$2:$I$86,2)</f>
        <v>360</v>
      </c>
      <c r="F3099" s="0" t="n">
        <f aca="false">IF(C3099&gt;1,IF(C3099&lt;99,VLOOKUP(C3099,'MSA-Lookup'!$H$1:$I$86,2),C3099),C3099)</f>
        <v>5775</v>
      </c>
      <c r="G3099" s="0" t="n">
        <f aca="false">VLOOKUP(E3099,'MSA-Lookup'!$AA$1:$AB$25,2)</f>
        <v>4472</v>
      </c>
      <c r="H3099" s="0" t="n">
        <f aca="false">IF(C3099&gt;1,IF(C3099&lt;99,VLOOKUP(F3099,'MSA-Lookup'!$AA$1:$AB$25,2),C3099),C3099)</f>
        <v>7362</v>
      </c>
    </row>
    <row r="3100" customFormat="false" ht="12.75" hidden="false" customHeight="false" outlineLevel="0" collapsed="false">
      <c r="A3100" s="0" t="n">
        <f aca="false">B3100*1000+C3100</f>
        <v>48021</v>
      </c>
      <c r="B3100" s="0" t="n">
        <v>48</v>
      </c>
      <c r="C3100" s="0" t="n">
        <v>21</v>
      </c>
      <c r="D3100" s="0" t="n">
        <v>104</v>
      </c>
      <c r="E3100" s="0" t="n">
        <f aca="false">VLOOKUP(B3100,'MSA-Lookup'!$H$2:$I$86,2)</f>
        <v>360</v>
      </c>
      <c r="F3100" s="0" t="n">
        <f aca="false">IF(C3100&gt;1,IF(C3100&lt;99,VLOOKUP(C3100,'MSA-Lookup'!$H$1:$I$86,2),C3100),C3100)</f>
        <v>5775</v>
      </c>
      <c r="G3100" s="0" t="n">
        <f aca="false">VLOOKUP(E3100,'MSA-Lookup'!$AA$1:$AB$25,2)</f>
        <v>4472</v>
      </c>
      <c r="H3100" s="0" t="n">
        <f aca="false">IF(C3100&gt;1,IF(C3100&lt;99,VLOOKUP(F3100,'MSA-Lookup'!$AA$1:$AB$25,2),C3100),C3100)</f>
        <v>7362</v>
      </c>
    </row>
    <row r="3101" customFormat="false" ht="12.75" hidden="false" customHeight="false" outlineLevel="0" collapsed="false">
      <c r="A3101" s="0" t="n">
        <f aca="false">B3101*1000+C3101</f>
        <v>48022</v>
      </c>
      <c r="B3101" s="0" t="n">
        <v>48</v>
      </c>
      <c r="C3101" s="0" t="n">
        <v>22</v>
      </c>
      <c r="D3101" s="0" t="n">
        <v>65</v>
      </c>
      <c r="E3101" s="0" t="n">
        <f aca="false">VLOOKUP(B3101,'MSA-Lookup'!$H$2:$I$86,2)</f>
        <v>360</v>
      </c>
      <c r="F3101" s="0" t="n">
        <f aca="false">IF(C3101&gt;1,IF(C3101&lt;99,VLOOKUP(C3101,'MSA-Lookup'!$H$1:$I$86,2),C3101),C3101)</f>
        <v>7360</v>
      </c>
      <c r="G3101" s="0" t="n">
        <f aca="false">VLOOKUP(E3101,'MSA-Lookup'!$AA$1:$AB$25,2)</f>
        <v>4472</v>
      </c>
      <c r="H3101" s="0" t="n">
        <f aca="false">IF(C3101&gt;1,IF(C3101&lt;99,VLOOKUP(F3101,'MSA-Lookup'!$AA$1:$AB$25,2),C3101),C3101)</f>
        <v>7362</v>
      </c>
    </row>
    <row r="3102" customFormat="false" ht="12.75" hidden="false" customHeight="false" outlineLevel="0" collapsed="false">
      <c r="A3102" s="0" t="n">
        <f aca="false">B3102*1000+C3102</f>
        <v>48023</v>
      </c>
      <c r="B3102" s="0" t="n">
        <v>48</v>
      </c>
      <c r="C3102" s="0" t="n">
        <v>23</v>
      </c>
      <c r="D3102" s="0" t="n">
        <v>0</v>
      </c>
      <c r="E3102" s="0" t="n">
        <f aca="false">VLOOKUP(B3102,'MSA-Lookup'!$H$2:$I$86,2)</f>
        <v>360</v>
      </c>
      <c r="F3102" s="0" t="n">
        <f aca="false">IF(C3102&gt;1,IF(C3102&lt;99,VLOOKUP(C3102,'MSA-Lookup'!$H$1:$I$86,2),C3102),C3102)</f>
        <v>8120</v>
      </c>
      <c r="G3102" s="0" t="n">
        <f aca="false">VLOOKUP(E3102,'MSA-Lookup'!$AA$1:$AB$25,2)</f>
        <v>4472</v>
      </c>
      <c r="H3102" s="0" t="n">
        <f aca="false">IF(C3102&gt;1,IF(C3102&lt;99,VLOOKUP(F3102,'MSA-Lookup'!$AA$1:$AB$25,2),C3102),C3102)</f>
        <v>8120</v>
      </c>
    </row>
    <row r="3103" customFormat="false" ht="12.75" hidden="false" customHeight="false" outlineLevel="0" collapsed="false">
      <c r="A3103" s="0" t="n">
        <f aca="false">B3103*1000+C3103</f>
        <v>48024</v>
      </c>
      <c r="B3103" s="0" t="n">
        <v>48</v>
      </c>
      <c r="C3103" s="0" t="n">
        <v>24</v>
      </c>
      <c r="D3103" s="0" t="n">
        <v>0</v>
      </c>
      <c r="E3103" s="0" t="n">
        <f aca="false">VLOOKUP(B3103,'MSA-Lookup'!$H$2:$I$86,2)</f>
        <v>360</v>
      </c>
      <c r="F3103" s="0" t="n">
        <f aca="false">IF(C3103&gt;1,IF(C3103&lt;99,VLOOKUP(C3103,'MSA-Lookup'!$H$1:$I$86,2),C3103),C3103)</f>
        <v>5170</v>
      </c>
      <c r="G3103" s="0" t="n">
        <f aca="false">VLOOKUP(E3103,'MSA-Lookup'!$AA$1:$AB$25,2)</f>
        <v>4472</v>
      </c>
      <c r="H3103" s="0" t="n">
        <f aca="false">IF(C3103&gt;1,IF(C3103&lt;99,VLOOKUP(F3103,'MSA-Lookup'!$AA$1:$AB$25,2),C3103),C3103)</f>
        <v>5170</v>
      </c>
    </row>
    <row r="3104" customFormat="false" ht="12.75" hidden="false" customHeight="false" outlineLevel="0" collapsed="false">
      <c r="A3104" s="0" t="n">
        <f aca="false">B3104*1000+C3104</f>
        <v>48025</v>
      </c>
      <c r="B3104" s="0" t="n">
        <v>48</v>
      </c>
      <c r="C3104" s="0" t="n">
        <v>25</v>
      </c>
      <c r="D3104" s="0" t="n">
        <v>0</v>
      </c>
      <c r="E3104" s="0" t="n">
        <f aca="false">VLOOKUP(B3104,'MSA-Lookup'!$H$2:$I$86,2)</f>
        <v>360</v>
      </c>
      <c r="F3104" s="0" t="n">
        <f aca="false">IF(C3104&gt;1,IF(C3104&lt;99,VLOOKUP(C3104,'MSA-Lookup'!$H$1:$I$86,2),C3104),C3104)</f>
        <v>5170</v>
      </c>
      <c r="G3104" s="0" t="n">
        <f aca="false">VLOOKUP(E3104,'MSA-Lookup'!$AA$1:$AB$25,2)</f>
        <v>4472</v>
      </c>
      <c r="H3104" s="0" t="n">
        <f aca="false">IF(C3104&gt;1,IF(C3104&lt;99,VLOOKUP(F3104,'MSA-Lookup'!$AA$1:$AB$25,2),C3104),C3104)</f>
        <v>5170</v>
      </c>
    </row>
    <row r="3105" customFormat="false" ht="12.75" hidden="false" customHeight="false" outlineLevel="0" collapsed="false">
      <c r="A3105" s="0" t="n">
        <f aca="false">B3105*1000+C3105</f>
        <v>48026</v>
      </c>
      <c r="B3105" s="0" t="n">
        <v>48</v>
      </c>
      <c r="C3105" s="0" t="n">
        <v>26</v>
      </c>
      <c r="D3105" s="0" t="n">
        <v>0</v>
      </c>
      <c r="E3105" s="0" t="n">
        <f aca="false">VLOOKUP(B3105,'MSA-Lookup'!$H$2:$I$86,2)</f>
        <v>360</v>
      </c>
      <c r="F3105" s="0" t="n">
        <f aca="false">IF(C3105&gt;1,IF(C3105&lt;99,VLOOKUP(C3105,'MSA-Lookup'!$H$1:$I$86,2),C3105),C3105)</f>
        <v>9999</v>
      </c>
      <c r="G3105" s="0" t="n">
        <f aca="false">VLOOKUP(E3105,'MSA-Lookup'!$AA$1:$AB$25,2)</f>
        <v>4472</v>
      </c>
      <c r="H3105" s="0" t="n">
        <f aca="false">IF(C3105&gt;1,IF(C3105&lt;99,VLOOKUP(F3105,'MSA-Lookup'!$AA$1:$AB$25,2),C3105),C3105)</f>
        <v>9999</v>
      </c>
    </row>
    <row r="3106" customFormat="false" ht="12.75" hidden="false" customHeight="false" outlineLevel="0" collapsed="false">
      <c r="A3106" s="0" t="n">
        <f aca="false">B3106*1000+C3106</f>
        <v>48027</v>
      </c>
      <c r="B3106" s="0" t="n">
        <v>48</v>
      </c>
      <c r="C3106" s="0" t="n">
        <v>27</v>
      </c>
      <c r="D3106" s="0" t="n">
        <v>0</v>
      </c>
      <c r="E3106" s="0" t="n">
        <f aca="false">VLOOKUP(B3106,'MSA-Lookup'!$H$2:$I$86,2)</f>
        <v>360</v>
      </c>
      <c r="F3106" s="0" t="n">
        <f aca="false">IF(C3106&gt;1,IF(C3106&lt;99,VLOOKUP(C3106,'MSA-Lookup'!$H$1:$I$86,2),C3106),C3106)</f>
        <v>9999</v>
      </c>
      <c r="G3106" s="0" t="n">
        <f aca="false">VLOOKUP(E3106,'MSA-Lookup'!$AA$1:$AB$25,2)</f>
        <v>4472</v>
      </c>
      <c r="H3106" s="0" t="n">
        <f aca="false">IF(C3106&gt;1,IF(C3106&lt;99,VLOOKUP(F3106,'MSA-Lookup'!$AA$1:$AB$25,2),C3106),C3106)</f>
        <v>9999</v>
      </c>
    </row>
    <row r="3107" customFormat="false" ht="12.75" hidden="false" customHeight="false" outlineLevel="0" collapsed="false">
      <c r="A3107" s="0" t="n">
        <f aca="false">B3107*1000+C3107</f>
        <v>48028</v>
      </c>
      <c r="B3107" s="0" t="n">
        <v>48</v>
      </c>
      <c r="C3107" s="0" t="n">
        <v>28</v>
      </c>
      <c r="D3107" s="0" t="n">
        <v>0</v>
      </c>
      <c r="E3107" s="0" t="n">
        <f aca="false">VLOOKUP(B3107,'MSA-Lookup'!$H$2:$I$86,2)</f>
        <v>360</v>
      </c>
      <c r="F3107" s="0" t="n">
        <f aca="false">IF(C3107&gt;1,IF(C3107&lt;99,VLOOKUP(C3107,'MSA-Lookup'!$H$1:$I$86,2),C3107),C3107)</f>
        <v>6920</v>
      </c>
      <c r="G3107" s="0" t="n">
        <f aca="false">VLOOKUP(E3107,'MSA-Lookup'!$AA$1:$AB$25,2)</f>
        <v>4472</v>
      </c>
      <c r="H3107" s="0" t="n">
        <f aca="false">IF(C3107&gt;1,IF(C3107&lt;99,VLOOKUP(F3107,'MSA-Lookup'!$AA$1:$AB$25,2),C3107),C3107)</f>
        <v>6920</v>
      </c>
    </row>
    <row r="3108" customFormat="false" ht="12.75" hidden="false" customHeight="false" outlineLevel="0" collapsed="false">
      <c r="A3108" s="0" t="n">
        <f aca="false">B3108*1000+C3108</f>
        <v>48029</v>
      </c>
      <c r="B3108" s="0" t="n">
        <v>48</v>
      </c>
      <c r="C3108" s="0" t="n">
        <v>29</v>
      </c>
      <c r="D3108" s="0" t="n">
        <v>78</v>
      </c>
      <c r="E3108" s="0" t="n">
        <f aca="false">VLOOKUP(B3108,'MSA-Lookup'!$H$2:$I$86,2)</f>
        <v>360</v>
      </c>
      <c r="F3108" s="0" t="n">
        <f aca="false">IF(C3108&gt;1,IF(C3108&lt;99,VLOOKUP(C3108,'MSA-Lookup'!$H$1:$I$86,2),C3108),C3108)</f>
        <v>6920</v>
      </c>
      <c r="G3108" s="0" t="n">
        <f aca="false">VLOOKUP(E3108,'MSA-Lookup'!$AA$1:$AB$25,2)</f>
        <v>4472</v>
      </c>
      <c r="H3108" s="0" t="n">
        <f aca="false">IF(C3108&gt;1,IF(C3108&lt;99,VLOOKUP(F3108,'MSA-Lookup'!$AA$1:$AB$25,2),C3108),C3108)</f>
        <v>6920</v>
      </c>
    </row>
    <row r="3109" customFormat="false" ht="12.75" hidden="false" customHeight="false" outlineLevel="0" collapsed="false">
      <c r="A3109" s="0" t="n">
        <f aca="false">B3109*1000+C3109</f>
        <v>48030</v>
      </c>
      <c r="B3109" s="0" t="n">
        <v>48</v>
      </c>
      <c r="C3109" s="0" t="n">
        <v>30</v>
      </c>
      <c r="D3109" s="0" t="n">
        <v>0</v>
      </c>
      <c r="E3109" s="0" t="n">
        <f aca="false">VLOOKUP(B3109,'MSA-Lookup'!$H$2:$I$86,2)</f>
        <v>360</v>
      </c>
      <c r="F3109" s="0" t="n">
        <f aca="false">IF(C3109&gt;1,IF(C3109&lt;99,VLOOKUP(C3109,'MSA-Lookup'!$H$1:$I$86,2),C3109),C3109)</f>
        <v>4940</v>
      </c>
      <c r="G3109" s="0" t="n">
        <f aca="false">VLOOKUP(E3109,'MSA-Lookup'!$AA$1:$AB$25,2)</f>
        <v>4472</v>
      </c>
      <c r="H3109" s="0" t="n">
        <f aca="false">IF(C3109&gt;1,IF(C3109&lt;99,VLOOKUP(F3109,'MSA-Lookup'!$AA$1:$AB$25,2),C3109),C3109)</f>
        <v>4940</v>
      </c>
    </row>
    <row r="3110" customFormat="false" ht="12.75" hidden="false" customHeight="false" outlineLevel="0" collapsed="false">
      <c r="A3110" s="0" t="n">
        <f aca="false">B3110*1000+C3110</f>
        <v>48031</v>
      </c>
      <c r="B3110" s="0" t="n">
        <v>48</v>
      </c>
      <c r="C3110" s="0" t="n">
        <v>31</v>
      </c>
      <c r="D3110" s="0" t="n">
        <v>104</v>
      </c>
      <c r="E3110" s="0" t="n">
        <f aca="false">VLOOKUP(B3110,'MSA-Lookup'!$H$2:$I$86,2)</f>
        <v>360</v>
      </c>
      <c r="F3110" s="0" t="n">
        <f aca="false">IF(C3110&gt;1,IF(C3110&lt;99,VLOOKUP(C3110,'MSA-Lookup'!$H$1:$I$86,2),C3110),C3110)</f>
        <v>9999</v>
      </c>
      <c r="G3110" s="0" t="n">
        <f aca="false">VLOOKUP(E3110,'MSA-Lookup'!$AA$1:$AB$25,2)</f>
        <v>4472</v>
      </c>
      <c r="H3110" s="0" t="n">
        <f aca="false">IF(C3110&gt;1,IF(C3110&lt;99,VLOOKUP(F3110,'MSA-Lookup'!$AA$1:$AB$25,2),C3110),C3110)</f>
        <v>9999</v>
      </c>
    </row>
    <row r="3111" customFormat="false" ht="12.75" hidden="false" customHeight="false" outlineLevel="0" collapsed="false">
      <c r="A3111" s="0" t="n">
        <f aca="false">B3111*1000+C3111</f>
        <v>48032</v>
      </c>
      <c r="B3111" s="0" t="n">
        <v>48</v>
      </c>
      <c r="C3111" s="0" t="n">
        <v>32</v>
      </c>
      <c r="D3111" s="0" t="n">
        <v>533</v>
      </c>
      <c r="E3111" s="0" t="n">
        <f aca="false">VLOOKUP(B3111,'MSA-Lookup'!$H$2:$I$86,2)</f>
        <v>360</v>
      </c>
      <c r="F3111" s="0" t="n">
        <f aca="false">IF(C3111&gt;1,IF(C3111&lt;99,VLOOKUP(C3111,'MSA-Lookup'!$H$1:$I$86,2),C3111),C3111)</f>
        <v>7480</v>
      </c>
      <c r="G3111" s="0" t="n">
        <f aca="false">VLOOKUP(E3111,'MSA-Lookup'!$AA$1:$AB$25,2)</f>
        <v>4472</v>
      </c>
      <c r="H3111" s="0" t="n">
        <f aca="false">IF(C3111&gt;1,IF(C3111&lt;99,VLOOKUP(F3111,'MSA-Lookup'!$AA$1:$AB$25,2),C3111),C3111)</f>
        <v>7480</v>
      </c>
    </row>
    <row r="3112" customFormat="false" ht="12.75" hidden="false" customHeight="false" outlineLevel="0" collapsed="false">
      <c r="A3112" s="0" t="n">
        <f aca="false">B3112*1000+C3112</f>
        <v>48033</v>
      </c>
      <c r="B3112" s="0" t="n">
        <v>48</v>
      </c>
      <c r="C3112" s="0" t="n">
        <v>33</v>
      </c>
      <c r="D3112" s="0" t="n">
        <v>1547</v>
      </c>
      <c r="E3112" s="0" t="n">
        <f aca="false">VLOOKUP(B3112,'MSA-Lookup'!$H$2:$I$86,2)</f>
        <v>360</v>
      </c>
      <c r="F3112" s="0" t="n">
        <f aca="false">IF(C3112&gt;1,IF(C3112&lt;99,VLOOKUP(C3112,'MSA-Lookup'!$H$1:$I$86,2),C3112),C3112)</f>
        <v>7320</v>
      </c>
      <c r="G3112" s="0" t="n">
        <f aca="false">VLOOKUP(E3112,'MSA-Lookup'!$AA$1:$AB$25,2)</f>
        <v>4472</v>
      </c>
      <c r="H3112" s="0" t="n">
        <f aca="false">IF(C3112&gt;1,IF(C3112&lt;99,VLOOKUP(F3112,'MSA-Lookup'!$AA$1:$AB$25,2),C3112),C3112)</f>
        <v>7320</v>
      </c>
    </row>
    <row r="3113" customFormat="false" ht="12.75" hidden="false" customHeight="false" outlineLevel="0" collapsed="false">
      <c r="A3113" s="0" t="n">
        <f aca="false">B3113*1000+C3113</f>
        <v>48034</v>
      </c>
      <c r="B3113" s="0" t="n">
        <v>48</v>
      </c>
      <c r="C3113" s="0" t="n">
        <v>34</v>
      </c>
      <c r="D3113" s="0" t="n">
        <v>364</v>
      </c>
      <c r="E3113" s="0" t="n">
        <f aca="false">VLOOKUP(B3113,'MSA-Lookup'!$H$2:$I$86,2)</f>
        <v>360</v>
      </c>
      <c r="F3113" s="0" t="n">
        <f aca="false">IF(C3113&gt;1,IF(C3113&lt;99,VLOOKUP(C3113,'MSA-Lookup'!$H$1:$I$86,2),C3113),C3113)</f>
        <v>7320</v>
      </c>
      <c r="G3113" s="0" t="n">
        <f aca="false">VLOOKUP(E3113,'MSA-Lookup'!$AA$1:$AB$25,2)</f>
        <v>4472</v>
      </c>
      <c r="H3113" s="0" t="n">
        <f aca="false">IF(C3113&gt;1,IF(C3113&lt;99,VLOOKUP(F3113,'MSA-Lookup'!$AA$1:$AB$25,2),C3113),C3113)</f>
        <v>7320</v>
      </c>
    </row>
    <row r="3114" customFormat="false" ht="12.75" hidden="false" customHeight="false" outlineLevel="0" collapsed="false">
      <c r="A3114" s="0" t="n">
        <f aca="false">B3114*1000+C3114</f>
        <v>48035</v>
      </c>
      <c r="B3114" s="0" t="n">
        <v>48</v>
      </c>
      <c r="C3114" s="0" t="n">
        <v>35</v>
      </c>
      <c r="D3114" s="0" t="n">
        <v>182</v>
      </c>
      <c r="E3114" s="0" t="n">
        <f aca="false">VLOOKUP(B3114,'MSA-Lookup'!$H$2:$I$86,2)</f>
        <v>360</v>
      </c>
      <c r="F3114" s="0" t="n">
        <f aca="false">IF(C3114&gt;1,IF(C3114&lt;99,VLOOKUP(C3114,'MSA-Lookup'!$H$1:$I$86,2),C3114),C3114)</f>
        <v>7320</v>
      </c>
      <c r="G3114" s="0" t="n">
        <f aca="false">VLOOKUP(E3114,'MSA-Lookup'!$AA$1:$AB$25,2)</f>
        <v>4472</v>
      </c>
      <c r="H3114" s="0" t="n">
        <f aca="false">IF(C3114&gt;1,IF(C3114&lt;99,VLOOKUP(F3114,'MSA-Lookup'!$AA$1:$AB$25,2),C3114),C3114)</f>
        <v>7320</v>
      </c>
    </row>
    <row r="3115" customFormat="false" ht="12.75" hidden="false" customHeight="false" outlineLevel="0" collapsed="false">
      <c r="A3115" s="0" t="n">
        <f aca="false">B3115*1000+C3115</f>
        <v>48036</v>
      </c>
      <c r="B3115" s="0" t="n">
        <v>48</v>
      </c>
      <c r="C3115" s="0" t="n">
        <v>36</v>
      </c>
      <c r="D3115" s="0" t="n">
        <v>0</v>
      </c>
      <c r="E3115" s="0" t="n">
        <f aca="false">VLOOKUP(B3115,'MSA-Lookup'!$H$2:$I$86,2)</f>
        <v>360</v>
      </c>
      <c r="F3115" s="0" t="n">
        <f aca="false">IF(C3115&gt;1,IF(C3115&lt;99,VLOOKUP(C3115,'MSA-Lookup'!$H$1:$I$86,2),C3115),C3115)</f>
        <v>7320</v>
      </c>
      <c r="G3115" s="0" t="n">
        <f aca="false">VLOOKUP(E3115,'MSA-Lookup'!$AA$1:$AB$25,2)</f>
        <v>4472</v>
      </c>
      <c r="H3115" s="0" t="n">
        <f aca="false">IF(C3115&gt;1,IF(C3115&lt;99,VLOOKUP(F3115,'MSA-Lookup'!$AA$1:$AB$25,2),C3115),C3115)</f>
        <v>7320</v>
      </c>
    </row>
    <row r="3116" customFormat="false" ht="12.75" hidden="false" customHeight="false" outlineLevel="0" collapsed="false">
      <c r="A3116" s="0" t="n">
        <f aca="false">B3116*1000+C3116</f>
        <v>48037</v>
      </c>
      <c r="B3116" s="0" t="n">
        <v>48</v>
      </c>
      <c r="C3116" s="0" t="n">
        <v>37</v>
      </c>
      <c r="D3116" s="0" t="n">
        <v>520</v>
      </c>
      <c r="E3116" s="0" t="n">
        <f aca="false">VLOOKUP(B3116,'MSA-Lookup'!$H$2:$I$86,2)</f>
        <v>360</v>
      </c>
      <c r="F3116" s="0" t="n">
        <f aca="false">IF(C3116&gt;1,IF(C3116&lt;99,VLOOKUP(C3116,'MSA-Lookup'!$H$1:$I$86,2),C3116),C3116)</f>
        <v>7320</v>
      </c>
      <c r="G3116" s="0" t="n">
        <f aca="false">VLOOKUP(E3116,'MSA-Lookup'!$AA$1:$AB$25,2)</f>
        <v>4472</v>
      </c>
      <c r="H3116" s="0" t="n">
        <f aca="false">IF(C3116&gt;1,IF(C3116&lt;99,VLOOKUP(F3116,'MSA-Lookup'!$AA$1:$AB$25,2),C3116),C3116)</f>
        <v>7320</v>
      </c>
    </row>
    <row r="3117" customFormat="false" ht="12.75" hidden="false" customHeight="false" outlineLevel="0" collapsed="false">
      <c r="A3117" s="0" t="n">
        <f aca="false">B3117*1000+C3117</f>
        <v>48038</v>
      </c>
      <c r="B3117" s="0" t="n">
        <v>48</v>
      </c>
      <c r="C3117" s="0" t="n">
        <v>38</v>
      </c>
      <c r="D3117" s="0" t="n">
        <v>0</v>
      </c>
      <c r="E3117" s="0" t="n">
        <f aca="false">VLOOKUP(B3117,'MSA-Lookup'!$H$2:$I$86,2)</f>
        <v>360</v>
      </c>
      <c r="F3117" s="0" t="n">
        <f aca="false">IF(C3117&gt;1,IF(C3117&lt;99,VLOOKUP(C3117,'MSA-Lookup'!$H$1:$I$86,2),C3117),C3117)</f>
        <v>7120</v>
      </c>
      <c r="G3117" s="0" t="n">
        <f aca="false">VLOOKUP(E3117,'MSA-Lookup'!$AA$1:$AB$25,2)</f>
        <v>4472</v>
      </c>
      <c r="H3117" s="0" t="n">
        <f aca="false">IF(C3117&gt;1,IF(C3117&lt;99,VLOOKUP(F3117,'MSA-Lookup'!$AA$1:$AB$25,2),C3117),C3117)</f>
        <v>7120</v>
      </c>
    </row>
    <row r="3118" customFormat="false" ht="12.75" hidden="false" customHeight="false" outlineLevel="0" collapsed="false">
      <c r="A3118" s="0" t="n">
        <f aca="false">B3118*1000+C3118</f>
        <v>48039</v>
      </c>
      <c r="B3118" s="0" t="n">
        <v>48</v>
      </c>
      <c r="C3118" s="0" t="n">
        <v>39</v>
      </c>
      <c r="D3118" s="0" t="n">
        <v>0</v>
      </c>
      <c r="E3118" s="0" t="n">
        <f aca="false">VLOOKUP(B3118,'MSA-Lookup'!$H$2:$I$86,2)</f>
        <v>360</v>
      </c>
      <c r="F3118" s="0" t="n">
        <f aca="false">IF(C3118&gt;1,IF(C3118&lt;99,VLOOKUP(C3118,'MSA-Lookup'!$H$1:$I$86,2),C3118),C3118)</f>
        <v>7120</v>
      </c>
      <c r="G3118" s="0" t="n">
        <f aca="false">VLOOKUP(E3118,'MSA-Lookup'!$AA$1:$AB$25,2)</f>
        <v>4472</v>
      </c>
      <c r="H3118" s="0" t="n">
        <f aca="false">IF(C3118&gt;1,IF(C3118&lt;99,VLOOKUP(F3118,'MSA-Lookup'!$AA$1:$AB$25,2),C3118),C3118)</f>
        <v>7120</v>
      </c>
    </row>
    <row r="3119" customFormat="false" ht="12.75" hidden="false" customHeight="false" outlineLevel="0" collapsed="false">
      <c r="A3119" s="0" t="n">
        <f aca="false">B3119*1000+C3119</f>
        <v>48040</v>
      </c>
      <c r="B3119" s="0" t="n">
        <v>48</v>
      </c>
      <c r="C3119" s="0" t="n">
        <v>40</v>
      </c>
      <c r="D3119" s="0" t="n">
        <v>0</v>
      </c>
      <c r="E3119" s="0" t="n">
        <f aca="false">VLOOKUP(B3119,'MSA-Lookup'!$H$2:$I$86,2)</f>
        <v>360</v>
      </c>
      <c r="F3119" s="0" t="n">
        <f aca="false">IF(C3119&gt;1,IF(C3119&lt;99,VLOOKUP(C3119,'MSA-Lookup'!$H$1:$I$86,2),C3119),C3119)</f>
        <v>2840</v>
      </c>
      <c r="G3119" s="0" t="n">
        <f aca="false">VLOOKUP(E3119,'MSA-Lookup'!$AA$1:$AB$25,2)</f>
        <v>4472</v>
      </c>
      <c r="H3119" s="0" t="n">
        <f aca="false">IF(C3119&gt;1,IF(C3119&lt;99,VLOOKUP(F3119,'MSA-Lookup'!$AA$1:$AB$25,2),C3119),C3119)</f>
        <v>2840</v>
      </c>
    </row>
    <row r="3120" customFormat="false" ht="12.75" hidden="false" customHeight="false" outlineLevel="0" collapsed="false">
      <c r="A3120" s="0" t="n">
        <f aca="false">B3120*1000+C3120</f>
        <v>48041</v>
      </c>
      <c r="B3120" s="0" t="n">
        <v>48</v>
      </c>
      <c r="C3120" s="0" t="n">
        <v>41</v>
      </c>
      <c r="D3120" s="0" t="n">
        <v>143</v>
      </c>
      <c r="E3120" s="0" t="n">
        <f aca="false">VLOOKUP(B3120,'MSA-Lookup'!$H$2:$I$86,2)</f>
        <v>360</v>
      </c>
      <c r="F3120" s="0" t="n">
        <f aca="false">IF(C3120&gt;1,IF(C3120&lt;99,VLOOKUP(C3120,'MSA-Lookup'!$H$1:$I$86,2),C3120),C3120)</f>
        <v>2840</v>
      </c>
      <c r="G3120" s="0" t="n">
        <f aca="false">VLOOKUP(E3120,'MSA-Lookup'!$AA$1:$AB$25,2)</f>
        <v>4472</v>
      </c>
      <c r="H3120" s="0" t="n">
        <f aca="false">IF(C3120&gt;1,IF(C3120&lt;99,VLOOKUP(F3120,'MSA-Lookup'!$AA$1:$AB$25,2),C3120),C3120)</f>
        <v>2840</v>
      </c>
    </row>
    <row r="3121" customFormat="false" ht="12.75" hidden="false" customHeight="false" outlineLevel="0" collapsed="false">
      <c r="A3121" s="0" t="n">
        <f aca="false">B3121*1000+C3121</f>
        <v>48042</v>
      </c>
      <c r="B3121" s="0" t="n">
        <v>48</v>
      </c>
      <c r="C3121" s="0" t="n">
        <v>42</v>
      </c>
      <c r="D3121" s="0" t="n">
        <v>47411</v>
      </c>
      <c r="E3121" s="0" t="n">
        <f aca="false">VLOOKUP(B3121,'MSA-Lookup'!$H$2:$I$86,2)</f>
        <v>360</v>
      </c>
      <c r="F3121" s="0" t="n">
        <f aca="false">IF(C3121&gt;1,IF(C3121&lt;99,VLOOKUP(C3121,'MSA-Lookup'!$H$1:$I$86,2),C3121),C3121)</f>
        <v>360</v>
      </c>
      <c r="G3121" s="0" t="n">
        <f aca="false">VLOOKUP(E3121,'MSA-Lookup'!$AA$1:$AB$25,2)</f>
        <v>4472</v>
      </c>
      <c r="H3121" s="0" t="n">
        <f aca="false">IF(C3121&gt;1,IF(C3121&lt;99,VLOOKUP(F3121,'MSA-Lookup'!$AA$1:$AB$25,2),C3121),C3121)</f>
        <v>4472</v>
      </c>
    </row>
    <row r="3122" customFormat="false" ht="12.75" hidden="false" customHeight="false" outlineLevel="0" collapsed="false">
      <c r="A3122" s="0" t="n">
        <f aca="false">B3122*1000+C3122</f>
        <v>48043</v>
      </c>
      <c r="B3122" s="0" t="n">
        <v>48</v>
      </c>
      <c r="C3122" s="0" t="n">
        <v>43</v>
      </c>
      <c r="D3122" s="0" t="n">
        <v>5577</v>
      </c>
      <c r="E3122" s="0" t="n">
        <f aca="false">VLOOKUP(B3122,'MSA-Lookup'!$H$2:$I$86,2)</f>
        <v>360</v>
      </c>
      <c r="F3122" s="0" t="n">
        <f aca="false">IF(C3122&gt;1,IF(C3122&lt;99,VLOOKUP(C3122,'MSA-Lookup'!$H$1:$I$86,2),C3122),C3122)</f>
        <v>360</v>
      </c>
      <c r="G3122" s="0" t="n">
        <f aca="false">VLOOKUP(E3122,'MSA-Lookup'!$AA$1:$AB$25,2)</f>
        <v>4472</v>
      </c>
      <c r="H3122" s="0" t="n">
        <f aca="false">IF(C3122&gt;1,IF(C3122&lt;99,VLOOKUP(F3122,'MSA-Lookup'!$AA$1:$AB$25,2),C3122),C3122)</f>
        <v>4472</v>
      </c>
    </row>
    <row r="3123" customFormat="false" ht="12.75" hidden="false" customHeight="false" outlineLevel="0" collapsed="false">
      <c r="A3123" s="0" t="n">
        <f aca="false">B3123*1000+C3123</f>
        <v>48044</v>
      </c>
      <c r="B3123" s="0" t="n">
        <v>48</v>
      </c>
      <c r="C3123" s="0" t="n">
        <v>44</v>
      </c>
      <c r="D3123" s="0" t="n">
        <v>7254</v>
      </c>
      <c r="E3123" s="0" t="n">
        <f aca="false">VLOOKUP(B3123,'MSA-Lookup'!$H$2:$I$86,2)</f>
        <v>360</v>
      </c>
      <c r="F3123" s="0" t="n">
        <f aca="false">IF(C3123&gt;1,IF(C3123&lt;99,VLOOKUP(C3123,'MSA-Lookup'!$H$1:$I$86,2),C3123),C3123)</f>
        <v>360</v>
      </c>
      <c r="G3123" s="0" t="n">
        <f aca="false">VLOOKUP(E3123,'MSA-Lookup'!$AA$1:$AB$25,2)</f>
        <v>4472</v>
      </c>
      <c r="H3123" s="0" t="n">
        <f aca="false">IF(C3123&gt;1,IF(C3123&lt;99,VLOOKUP(F3123,'MSA-Lookup'!$AA$1:$AB$25,2),C3123),C3123)</f>
        <v>4472</v>
      </c>
    </row>
    <row r="3124" customFormat="false" ht="12.75" hidden="false" customHeight="false" outlineLevel="0" collapsed="false">
      <c r="A3124" s="0" t="n">
        <f aca="false">B3124*1000+C3124</f>
        <v>48045</v>
      </c>
      <c r="B3124" s="0" t="n">
        <v>48</v>
      </c>
      <c r="C3124" s="0" t="n">
        <v>45</v>
      </c>
      <c r="D3124" s="0" t="n">
        <v>2795</v>
      </c>
      <c r="E3124" s="0" t="n">
        <f aca="false">VLOOKUP(B3124,'MSA-Lookup'!$H$2:$I$86,2)</f>
        <v>360</v>
      </c>
      <c r="F3124" s="0" t="n">
        <f aca="false">IF(C3124&gt;1,IF(C3124&lt;99,VLOOKUP(C3124,'MSA-Lookup'!$H$1:$I$86,2),C3124),C3124)</f>
        <v>360</v>
      </c>
      <c r="G3124" s="0" t="n">
        <f aca="false">VLOOKUP(E3124,'MSA-Lookup'!$AA$1:$AB$25,2)</f>
        <v>4472</v>
      </c>
      <c r="H3124" s="0" t="n">
        <f aca="false">IF(C3124&gt;1,IF(C3124&lt;99,VLOOKUP(F3124,'MSA-Lookup'!$AA$1:$AB$25,2),C3124),C3124)</f>
        <v>4472</v>
      </c>
    </row>
    <row r="3125" customFormat="false" ht="12.75" hidden="false" customHeight="false" outlineLevel="0" collapsed="false">
      <c r="A3125" s="0" t="n">
        <f aca="false">B3125*1000+C3125</f>
        <v>48046</v>
      </c>
      <c r="B3125" s="0" t="n">
        <v>48</v>
      </c>
      <c r="C3125" s="0" t="n">
        <v>46</v>
      </c>
      <c r="D3125" s="0" t="n">
        <v>15912</v>
      </c>
      <c r="E3125" s="0" t="n">
        <f aca="false">VLOOKUP(B3125,'MSA-Lookup'!$H$2:$I$86,2)</f>
        <v>360</v>
      </c>
      <c r="F3125" s="0" t="n">
        <f aca="false">IF(C3125&gt;1,IF(C3125&lt;99,VLOOKUP(C3125,'MSA-Lookup'!$H$1:$I$86,2),C3125),C3125)</f>
        <v>360</v>
      </c>
      <c r="G3125" s="0" t="n">
        <f aca="false">VLOOKUP(E3125,'MSA-Lookup'!$AA$1:$AB$25,2)</f>
        <v>4472</v>
      </c>
      <c r="H3125" s="0" t="n">
        <f aca="false">IF(C3125&gt;1,IF(C3125&lt;99,VLOOKUP(F3125,'MSA-Lookup'!$AA$1:$AB$25,2),C3125),C3125)</f>
        <v>4472</v>
      </c>
    </row>
    <row r="3126" customFormat="false" ht="12.75" hidden="false" customHeight="false" outlineLevel="0" collapsed="false">
      <c r="A3126" s="0" t="n">
        <f aca="false">B3126*1000+C3126</f>
        <v>48047</v>
      </c>
      <c r="B3126" s="0" t="n">
        <v>48</v>
      </c>
      <c r="C3126" s="0" t="n">
        <v>47</v>
      </c>
      <c r="D3126" s="0" t="n">
        <v>18044</v>
      </c>
      <c r="E3126" s="0" t="n">
        <f aca="false">VLOOKUP(B3126,'MSA-Lookup'!$H$2:$I$86,2)</f>
        <v>360</v>
      </c>
      <c r="F3126" s="0" t="n">
        <f aca="false">IF(C3126&gt;1,IF(C3126&lt;99,VLOOKUP(C3126,'MSA-Lookup'!$H$1:$I$86,2),C3126),C3126)</f>
        <v>360</v>
      </c>
      <c r="G3126" s="0" t="n">
        <f aca="false">VLOOKUP(E3126,'MSA-Lookup'!$AA$1:$AB$25,2)</f>
        <v>4472</v>
      </c>
      <c r="H3126" s="0" t="n">
        <f aca="false">IF(C3126&gt;1,IF(C3126&lt;99,VLOOKUP(F3126,'MSA-Lookup'!$AA$1:$AB$25,2),C3126),C3126)</f>
        <v>4472</v>
      </c>
    </row>
    <row r="3127" customFormat="false" ht="12.75" hidden="false" customHeight="false" outlineLevel="0" collapsed="false">
      <c r="A3127" s="0" t="n">
        <f aca="false">B3127*1000+C3127</f>
        <v>48048</v>
      </c>
      <c r="B3127" s="0" t="n">
        <v>48</v>
      </c>
      <c r="C3127" s="0" t="n">
        <v>48</v>
      </c>
      <c r="D3127" s="0" t="n">
        <v>361075</v>
      </c>
      <c r="E3127" s="0" t="n">
        <f aca="false">VLOOKUP(B3127,'MSA-Lookup'!$H$2:$I$86,2)</f>
        <v>360</v>
      </c>
      <c r="F3127" s="0" t="n">
        <f aca="false">IF(C3127&gt;1,IF(C3127&lt;99,VLOOKUP(C3127,'MSA-Lookup'!$H$1:$I$86,2),C3127),C3127)</f>
        <v>360</v>
      </c>
      <c r="G3127" s="0" t="n">
        <f aca="false">VLOOKUP(E3127,'MSA-Lookup'!$AA$1:$AB$25,2)</f>
        <v>4472</v>
      </c>
      <c r="H3127" s="0" t="n">
        <f aca="false">IF(C3127&gt;1,IF(C3127&lt;99,VLOOKUP(F3127,'MSA-Lookup'!$AA$1:$AB$25,2),C3127),C3127)</f>
        <v>4472</v>
      </c>
    </row>
    <row r="3128" customFormat="false" ht="12.75" hidden="false" customHeight="false" outlineLevel="0" collapsed="false">
      <c r="A3128" s="0" t="n">
        <f aca="false">B3128*1000+C3128</f>
        <v>48049</v>
      </c>
      <c r="B3128" s="0" t="n">
        <v>48</v>
      </c>
      <c r="C3128" s="0" t="n">
        <v>49</v>
      </c>
      <c r="D3128" s="0" t="n">
        <v>0</v>
      </c>
      <c r="E3128" s="0" t="n">
        <f aca="false">VLOOKUP(B3128,'MSA-Lookup'!$H$2:$I$86,2)</f>
        <v>360</v>
      </c>
      <c r="F3128" s="0" t="n">
        <f aca="false">IF(C3128&gt;1,IF(C3128&lt;99,VLOOKUP(C3128,'MSA-Lookup'!$H$1:$I$86,2),C3128),C3128)</f>
        <v>7400</v>
      </c>
      <c r="G3128" s="0" t="n">
        <f aca="false">VLOOKUP(E3128,'MSA-Lookup'!$AA$1:$AB$25,2)</f>
        <v>4472</v>
      </c>
      <c r="H3128" s="0" t="n">
        <f aca="false">IF(C3128&gt;1,IF(C3128&lt;99,VLOOKUP(F3128,'MSA-Lookup'!$AA$1:$AB$25,2),C3128),C3128)</f>
        <v>7362</v>
      </c>
    </row>
    <row r="3129" customFormat="false" ht="12.75" hidden="false" customHeight="false" outlineLevel="0" collapsed="false">
      <c r="A3129" s="0" t="n">
        <f aca="false">B3129*1000+C3129</f>
        <v>48050</v>
      </c>
      <c r="B3129" s="0" t="n">
        <v>48</v>
      </c>
      <c r="C3129" s="0" t="n">
        <v>50</v>
      </c>
      <c r="D3129" s="0" t="n">
        <v>130</v>
      </c>
      <c r="E3129" s="0" t="n">
        <f aca="false">VLOOKUP(B3129,'MSA-Lookup'!$H$2:$I$86,2)</f>
        <v>360</v>
      </c>
      <c r="F3129" s="0" t="n">
        <f aca="false">IF(C3129&gt;1,IF(C3129&lt;99,VLOOKUP(C3129,'MSA-Lookup'!$H$1:$I$86,2),C3129),C3129)</f>
        <v>7400</v>
      </c>
      <c r="G3129" s="0" t="n">
        <f aca="false">VLOOKUP(E3129,'MSA-Lookup'!$AA$1:$AB$25,2)</f>
        <v>4472</v>
      </c>
      <c r="H3129" s="0" t="n">
        <f aca="false">IF(C3129&gt;1,IF(C3129&lt;99,VLOOKUP(F3129,'MSA-Lookup'!$AA$1:$AB$25,2),C3129),C3129)</f>
        <v>7362</v>
      </c>
    </row>
    <row r="3130" customFormat="false" ht="12.75" hidden="false" customHeight="false" outlineLevel="0" collapsed="false">
      <c r="A3130" s="0" t="n">
        <f aca="false">B3130*1000+C3130</f>
        <v>48051</v>
      </c>
      <c r="B3130" s="0" t="n">
        <v>48</v>
      </c>
      <c r="C3130" s="0" t="n">
        <v>51</v>
      </c>
      <c r="D3130" s="0" t="n">
        <v>104</v>
      </c>
      <c r="E3130" s="0" t="n">
        <f aca="false">VLOOKUP(B3130,'MSA-Lookup'!$H$2:$I$86,2)</f>
        <v>360</v>
      </c>
      <c r="F3130" s="0" t="n">
        <f aca="false">IF(C3130&gt;1,IF(C3130&lt;99,VLOOKUP(C3130,'MSA-Lookup'!$H$1:$I$86,2),C3130),C3130)</f>
        <v>7400</v>
      </c>
      <c r="G3130" s="0" t="n">
        <f aca="false">VLOOKUP(E3130,'MSA-Lookup'!$AA$1:$AB$25,2)</f>
        <v>4472</v>
      </c>
      <c r="H3130" s="0" t="n">
        <f aca="false">IF(C3130&gt;1,IF(C3130&lt;99,VLOOKUP(F3130,'MSA-Lookup'!$AA$1:$AB$25,2),C3130),C3130)</f>
        <v>7362</v>
      </c>
    </row>
    <row r="3131" customFormat="false" ht="12.75" hidden="false" customHeight="false" outlineLevel="0" collapsed="false">
      <c r="A3131" s="0" t="n">
        <f aca="false">B3131*1000+C3131</f>
        <v>48052</v>
      </c>
      <c r="B3131" s="0" t="n">
        <v>48</v>
      </c>
      <c r="C3131" s="0" t="n">
        <v>52</v>
      </c>
      <c r="D3131" s="0" t="n">
        <v>780</v>
      </c>
      <c r="E3131" s="0" t="n">
        <f aca="false">VLOOKUP(B3131,'MSA-Lookup'!$H$2:$I$86,2)</f>
        <v>360</v>
      </c>
      <c r="F3131" s="0" t="n">
        <f aca="false">IF(C3131&gt;1,IF(C3131&lt;99,VLOOKUP(C3131,'MSA-Lookup'!$H$1:$I$86,2),C3131),C3131)</f>
        <v>4480</v>
      </c>
      <c r="G3131" s="0" t="n">
        <f aca="false">VLOOKUP(E3131,'MSA-Lookup'!$AA$1:$AB$25,2)</f>
        <v>4472</v>
      </c>
      <c r="H3131" s="0" t="n">
        <f aca="false">IF(C3131&gt;1,IF(C3131&lt;99,VLOOKUP(F3131,'MSA-Lookup'!$AA$1:$AB$25,2),C3131),C3131)</f>
        <v>4472</v>
      </c>
    </row>
    <row r="3132" customFormat="false" ht="12.75" hidden="false" customHeight="false" outlineLevel="0" collapsed="false">
      <c r="A3132" s="0" t="n">
        <f aca="false">B3132*1000+C3132</f>
        <v>48053</v>
      </c>
      <c r="B3132" s="0" t="n">
        <v>48</v>
      </c>
      <c r="C3132" s="0" t="n">
        <v>53</v>
      </c>
      <c r="D3132" s="0" t="n">
        <v>754</v>
      </c>
      <c r="E3132" s="0" t="n">
        <f aca="false">VLOOKUP(B3132,'MSA-Lookup'!$H$2:$I$86,2)</f>
        <v>360</v>
      </c>
      <c r="F3132" s="0" t="n">
        <f aca="false">IF(C3132&gt;1,IF(C3132&lt;99,VLOOKUP(C3132,'MSA-Lookup'!$H$1:$I$86,2),C3132),C3132)</f>
        <v>4480</v>
      </c>
      <c r="G3132" s="0" t="n">
        <f aca="false">VLOOKUP(E3132,'MSA-Lookup'!$AA$1:$AB$25,2)</f>
        <v>4472</v>
      </c>
      <c r="H3132" s="0" t="n">
        <f aca="false">IF(C3132&gt;1,IF(C3132&lt;99,VLOOKUP(F3132,'MSA-Lookup'!$AA$1:$AB$25,2),C3132),C3132)</f>
        <v>4472</v>
      </c>
    </row>
    <row r="3133" customFormat="false" ht="12.75" hidden="false" customHeight="false" outlineLevel="0" collapsed="false">
      <c r="A3133" s="0" t="n">
        <f aca="false">B3133*1000+C3133</f>
        <v>48054</v>
      </c>
      <c r="B3133" s="0" t="n">
        <v>48</v>
      </c>
      <c r="C3133" s="0" t="n">
        <v>54</v>
      </c>
      <c r="D3133" s="0" t="n">
        <v>1105</v>
      </c>
      <c r="E3133" s="0" t="n">
        <f aca="false">VLOOKUP(B3133,'MSA-Lookup'!$H$2:$I$86,2)</f>
        <v>360</v>
      </c>
      <c r="F3133" s="0" t="n">
        <f aca="false">IF(C3133&gt;1,IF(C3133&lt;99,VLOOKUP(C3133,'MSA-Lookup'!$H$1:$I$86,2),C3133),C3133)</f>
        <v>4480</v>
      </c>
      <c r="G3133" s="0" t="n">
        <f aca="false">VLOOKUP(E3133,'MSA-Lookup'!$AA$1:$AB$25,2)</f>
        <v>4472</v>
      </c>
      <c r="H3133" s="0" t="n">
        <f aca="false">IF(C3133&gt;1,IF(C3133&lt;99,VLOOKUP(F3133,'MSA-Lookup'!$AA$1:$AB$25,2),C3133),C3133)</f>
        <v>4472</v>
      </c>
    </row>
    <row r="3134" customFormat="false" ht="12.75" hidden="false" customHeight="false" outlineLevel="0" collapsed="false">
      <c r="A3134" s="0" t="n">
        <f aca="false">B3134*1000+C3134</f>
        <v>48055</v>
      </c>
      <c r="B3134" s="0" t="n">
        <v>48</v>
      </c>
      <c r="C3134" s="0" t="n">
        <v>55</v>
      </c>
      <c r="D3134" s="0" t="n">
        <v>494</v>
      </c>
      <c r="E3134" s="0" t="n">
        <f aca="false">VLOOKUP(B3134,'MSA-Lookup'!$H$2:$I$86,2)</f>
        <v>360</v>
      </c>
      <c r="F3134" s="0" t="n">
        <f aca="false">IF(C3134&gt;1,IF(C3134&lt;99,VLOOKUP(C3134,'MSA-Lookup'!$H$1:$I$86,2),C3134),C3134)</f>
        <v>4480</v>
      </c>
      <c r="G3134" s="0" t="n">
        <f aca="false">VLOOKUP(E3134,'MSA-Lookup'!$AA$1:$AB$25,2)</f>
        <v>4472</v>
      </c>
      <c r="H3134" s="0" t="n">
        <f aca="false">IF(C3134&gt;1,IF(C3134&lt;99,VLOOKUP(F3134,'MSA-Lookup'!$AA$1:$AB$25,2),C3134),C3134)</f>
        <v>4472</v>
      </c>
    </row>
    <row r="3135" customFormat="false" ht="12.75" hidden="false" customHeight="false" outlineLevel="0" collapsed="false">
      <c r="A3135" s="0" t="n">
        <f aca="false">B3135*1000+C3135</f>
        <v>48056</v>
      </c>
      <c r="B3135" s="0" t="n">
        <v>48</v>
      </c>
      <c r="C3135" s="0" t="n">
        <v>56</v>
      </c>
      <c r="D3135" s="0" t="n">
        <v>884</v>
      </c>
      <c r="E3135" s="0" t="n">
        <f aca="false">VLOOKUP(B3135,'MSA-Lookup'!$H$2:$I$86,2)</f>
        <v>360</v>
      </c>
      <c r="F3135" s="0" t="n">
        <f aca="false">IF(C3135&gt;1,IF(C3135&lt;99,VLOOKUP(C3135,'MSA-Lookup'!$H$1:$I$86,2),C3135),C3135)</f>
        <v>4480</v>
      </c>
      <c r="G3135" s="0" t="n">
        <f aca="false">VLOOKUP(E3135,'MSA-Lookup'!$AA$1:$AB$25,2)</f>
        <v>4472</v>
      </c>
      <c r="H3135" s="0" t="n">
        <f aca="false">IF(C3135&gt;1,IF(C3135&lt;99,VLOOKUP(F3135,'MSA-Lookup'!$AA$1:$AB$25,2),C3135),C3135)</f>
        <v>4472</v>
      </c>
    </row>
    <row r="3136" customFormat="false" ht="12.75" hidden="false" customHeight="false" outlineLevel="0" collapsed="false">
      <c r="A3136" s="0" t="n">
        <f aca="false">B3136*1000+C3136</f>
        <v>48057</v>
      </c>
      <c r="B3136" s="0" t="n">
        <v>48</v>
      </c>
      <c r="C3136" s="0" t="n">
        <v>57</v>
      </c>
      <c r="D3136" s="0" t="n">
        <v>1924</v>
      </c>
      <c r="E3136" s="0" t="n">
        <f aca="false">VLOOKUP(B3136,'MSA-Lookup'!$H$2:$I$86,2)</f>
        <v>360</v>
      </c>
      <c r="F3136" s="0" t="n">
        <f aca="false">IF(C3136&gt;1,IF(C3136&lt;99,VLOOKUP(C3136,'MSA-Lookup'!$H$1:$I$86,2),C3136),C3136)</f>
        <v>4480</v>
      </c>
      <c r="G3136" s="0" t="n">
        <f aca="false">VLOOKUP(E3136,'MSA-Lookup'!$AA$1:$AB$25,2)</f>
        <v>4472</v>
      </c>
      <c r="H3136" s="0" t="n">
        <f aca="false">IF(C3136&gt;1,IF(C3136&lt;99,VLOOKUP(F3136,'MSA-Lookup'!$AA$1:$AB$25,2),C3136),C3136)</f>
        <v>4472</v>
      </c>
    </row>
    <row r="3137" customFormat="false" ht="12.75" hidden="false" customHeight="false" outlineLevel="0" collapsed="false">
      <c r="A3137" s="0" t="n">
        <f aca="false">B3137*1000+C3137</f>
        <v>48058</v>
      </c>
      <c r="B3137" s="0" t="n">
        <v>48</v>
      </c>
      <c r="C3137" s="0" t="n">
        <v>58</v>
      </c>
      <c r="D3137" s="0" t="n">
        <v>624</v>
      </c>
      <c r="E3137" s="0" t="n">
        <f aca="false">VLOOKUP(B3137,'MSA-Lookup'!$H$2:$I$86,2)</f>
        <v>360</v>
      </c>
      <c r="F3137" s="0" t="n">
        <f aca="false">IF(C3137&gt;1,IF(C3137&lt;99,VLOOKUP(C3137,'MSA-Lookup'!$H$1:$I$86,2),C3137),C3137)</f>
        <v>4480</v>
      </c>
      <c r="G3137" s="0" t="n">
        <f aca="false">VLOOKUP(E3137,'MSA-Lookup'!$AA$1:$AB$25,2)</f>
        <v>4472</v>
      </c>
      <c r="H3137" s="0" t="n">
        <f aca="false">IF(C3137&gt;1,IF(C3137&lt;99,VLOOKUP(F3137,'MSA-Lookup'!$AA$1:$AB$25,2),C3137),C3137)</f>
        <v>4472</v>
      </c>
    </row>
    <row r="3138" customFormat="false" ht="12.75" hidden="false" customHeight="false" outlineLevel="0" collapsed="false">
      <c r="A3138" s="0" t="n">
        <f aca="false">B3138*1000+C3138</f>
        <v>48059</v>
      </c>
      <c r="B3138" s="0" t="n">
        <v>48</v>
      </c>
      <c r="C3138" s="0" t="n">
        <v>59</v>
      </c>
      <c r="D3138" s="0" t="n">
        <v>988</v>
      </c>
      <c r="E3138" s="0" t="n">
        <f aca="false">VLOOKUP(B3138,'MSA-Lookup'!$H$2:$I$86,2)</f>
        <v>360</v>
      </c>
      <c r="F3138" s="0" t="n">
        <f aca="false">IF(C3138&gt;1,IF(C3138&lt;99,VLOOKUP(C3138,'MSA-Lookup'!$H$1:$I$86,2),C3138),C3138)</f>
        <v>4480</v>
      </c>
      <c r="G3138" s="0" t="n">
        <f aca="false">VLOOKUP(E3138,'MSA-Lookup'!$AA$1:$AB$25,2)</f>
        <v>4472</v>
      </c>
      <c r="H3138" s="0" t="n">
        <f aca="false">IF(C3138&gt;1,IF(C3138&lt;99,VLOOKUP(F3138,'MSA-Lookup'!$AA$1:$AB$25,2),C3138),C3138)</f>
        <v>4472</v>
      </c>
    </row>
    <row r="3139" customFormat="false" ht="12.75" hidden="false" customHeight="false" outlineLevel="0" collapsed="false">
      <c r="A3139" s="0" t="n">
        <f aca="false">B3139*1000+C3139</f>
        <v>48060</v>
      </c>
      <c r="B3139" s="0" t="n">
        <v>48</v>
      </c>
      <c r="C3139" s="0" t="n">
        <v>60</v>
      </c>
      <c r="D3139" s="0" t="n">
        <v>3796</v>
      </c>
      <c r="E3139" s="0" t="n">
        <f aca="false">VLOOKUP(B3139,'MSA-Lookup'!$H$2:$I$86,2)</f>
        <v>360</v>
      </c>
      <c r="F3139" s="0" t="n">
        <f aca="false">IF(C3139&gt;1,IF(C3139&lt;99,VLOOKUP(C3139,'MSA-Lookup'!$H$1:$I$86,2),C3139),C3139)</f>
        <v>4480</v>
      </c>
      <c r="G3139" s="0" t="n">
        <f aca="false">VLOOKUP(E3139,'MSA-Lookup'!$AA$1:$AB$25,2)</f>
        <v>4472</v>
      </c>
      <c r="H3139" s="0" t="n">
        <f aca="false">IF(C3139&gt;1,IF(C3139&lt;99,VLOOKUP(F3139,'MSA-Lookup'!$AA$1:$AB$25,2),C3139),C3139)</f>
        <v>4472</v>
      </c>
    </row>
    <row r="3140" customFormat="false" ht="12.75" hidden="false" customHeight="false" outlineLevel="0" collapsed="false">
      <c r="A3140" s="0" t="n">
        <f aca="false">B3140*1000+C3140</f>
        <v>48061</v>
      </c>
      <c r="B3140" s="0" t="n">
        <v>48</v>
      </c>
      <c r="C3140" s="0" t="n">
        <v>61</v>
      </c>
      <c r="D3140" s="0" t="n">
        <v>312</v>
      </c>
      <c r="E3140" s="0" t="n">
        <f aca="false">VLOOKUP(B3140,'MSA-Lookup'!$H$2:$I$86,2)</f>
        <v>360</v>
      </c>
      <c r="F3140" s="0" t="n">
        <f aca="false">IF(C3140&gt;1,IF(C3140&lt;99,VLOOKUP(C3140,'MSA-Lookup'!$H$1:$I$86,2),C3140),C3140)</f>
        <v>4480</v>
      </c>
      <c r="G3140" s="0" t="n">
        <f aca="false">VLOOKUP(E3140,'MSA-Lookup'!$AA$1:$AB$25,2)</f>
        <v>4472</v>
      </c>
      <c r="H3140" s="0" t="n">
        <f aca="false">IF(C3140&gt;1,IF(C3140&lt;99,VLOOKUP(F3140,'MSA-Lookup'!$AA$1:$AB$25,2),C3140),C3140)</f>
        <v>4472</v>
      </c>
    </row>
    <row r="3141" customFormat="false" ht="12.75" hidden="false" customHeight="false" outlineLevel="0" collapsed="false">
      <c r="A3141" s="0" t="n">
        <f aca="false">B3141*1000+C3141</f>
        <v>48062</v>
      </c>
      <c r="B3141" s="0" t="n">
        <v>48</v>
      </c>
      <c r="C3141" s="0" t="n">
        <v>62</v>
      </c>
      <c r="D3141" s="0" t="n">
        <v>1066</v>
      </c>
      <c r="E3141" s="0" t="n">
        <f aca="false">VLOOKUP(B3141,'MSA-Lookup'!$H$2:$I$86,2)</f>
        <v>360</v>
      </c>
      <c r="F3141" s="0" t="n">
        <f aca="false">IF(C3141&gt;1,IF(C3141&lt;99,VLOOKUP(C3141,'MSA-Lookup'!$H$1:$I$86,2),C3141),C3141)</f>
        <v>4480</v>
      </c>
      <c r="G3141" s="0" t="n">
        <f aca="false">VLOOKUP(E3141,'MSA-Lookup'!$AA$1:$AB$25,2)</f>
        <v>4472</v>
      </c>
      <c r="H3141" s="0" t="n">
        <f aca="false">IF(C3141&gt;1,IF(C3141&lt;99,VLOOKUP(F3141,'MSA-Lookup'!$AA$1:$AB$25,2),C3141),C3141)</f>
        <v>4472</v>
      </c>
    </row>
    <row r="3142" customFormat="false" ht="12.75" hidden="false" customHeight="false" outlineLevel="0" collapsed="false">
      <c r="A3142" s="0" t="n">
        <f aca="false">B3142*1000+C3142</f>
        <v>48063</v>
      </c>
      <c r="B3142" s="0" t="n">
        <v>48</v>
      </c>
      <c r="C3142" s="0" t="n">
        <v>63</v>
      </c>
      <c r="D3142" s="0" t="n">
        <v>949</v>
      </c>
      <c r="E3142" s="0" t="n">
        <f aca="false">VLOOKUP(B3142,'MSA-Lookup'!$H$2:$I$86,2)</f>
        <v>360</v>
      </c>
      <c r="F3142" s="0" t="n">
        <f aca="false">IF(C3142&gt;1,IF(C3142&lt;99,VLOOKUP(C3142,'MSA-Lookup'!$H$1:$I$86,2),C3142),C3142)</f>
        <v>4480</v>
      </c>
      <c r="G3142" s="0" t="n">
        <f aca="false">VLOOKUP(E3142,'MSA-Lookup'!$AA$1:$AB$25,2)</f>
        <v>4472</v>
      </c>
      <c r="H3142" s="0" t="n">
        <f aca="false">IF(C3142&gt;1,IF(C3142&lt;99,VLOOKUP(F3142,'MSA-Lookup'!$AA$1:$AB$25,2),C3142),C3142)</f>
        <v>4472</v>
      </c>
    </row>
    <row r="3143" customFormat="false" ht="12.75" hidden="false" customHeight="false" outlineLevel="0" collapsed="false">
      <c r="A3143" s="0" t="n">
        <f aca="false">B3143*1000+C3143</f>
        <v>48064</v>
      </c>
      <c r="B3143" s="0" t="n">
        <v>48</v>
      </c>
      <c r="C3143" s="0" t="n">
        <v>64</v>
      </c>
      <c r="D3143" s="0" t="n">
        <v>67912</v>
      </c>
      <c r="E3143" s="0" t="n">
        <f aca="false">VLOOKUP(B3143,'MSA-Lookup'!$H$2:$I$86,2)</f>
        <v>360</v>
      </c>
      <c r="F3143" s="0" t="n">
        <f aca="false">IF(C3143&gt;1,IF(C3143&lt;99,VLOOKUP(C3143,'MSA-Lookup'!$H$1:$I$86,2),C3143),C3143)</f>
        <v>4480</v>
      </c>
      <c r="G3143" s="0" t="n">
        <f aca="false">VLOOKUP(E3143,'MSA-Lookup'!$AA$1:$AB$25,2)</f>
        <v>4472</v>
      </c>
      <c r="H3143" s="0" t="n">
        <f aca="false">IF(C3143&gt;1,IF(C3143&lt;99,VLOOKUP(F3143,'MSA-Lookup'!$AA$1:$AB$25,2),C3143),C3143)</f>
        <v>4472</v>
      </c>
    </row>
    <row r="3144" customFormat="false" ht="12.75" hidden="false" customHeight="false" outlineLevel="0" collapsed="false">
      <c r="A3144" s="0" t="n">
        <f aca="false">B3144*1000+C3144</f>
        <v>48065</v>
      </c>
      <c r="B3144" s="0" t="n">
        <v>48</v>
      </c>
      <c r="C3144" s="0" t="n">
        <v>65</v>
      </c>
      <c r="D3144" s="0" t="n">
        <v>21957</v>
      </c>
      <c r="E3144" s="0" t="n">
        <f aca="false">VLOOKUP(B3144,'MSA-Lookup'!$H$2:$I$86,2)</f>
        <v>360</v>
      </c>
      <c r="F3144" s="0" t="n">
        <f aca="false">IF(C3144&gt;1,IF(C3144&lt;99,VLOOKUP(C3144,'MSA-Lookup'!$H$1:$I$86,2),C3144),C3144)</f>
        <v>4480</v>
      </c>
      <c r="G3144" s="0" t="n">
        <f aca="false">VLOOKUP(E3144,'MSA-Lookup'!$AA$1:$AB$25,2)</f>
        <v>4472</v>
      </c>
      <c r="H3144" s="0" t="n">
        <f aca="false">IF(C3144&gt;1,IF(C3144&lt;99,VLOOKUP(F3144,'MSA-Lookup'!$AA$1:$AB$25,2),C3144),C3144)</f>
        <v>4472</v>
      </c>
    </row>
    <row r="3145" customFormat="false" ht="12.75" hidden="false" customHeight="false" outlineLevel="0" collapsed="false">
      <c r="A3145" s="0" t="n">
        <f aca="false">B3145*1000+C3145</f>
        <v>48066</v>
      </c>
      <c r="B3145" s="0" t="n">
        <v>48</v>
      </c>
      <c r="C3145" s="0" t="n">
        <v>66</v>
      </c>
      <c r="D3145" s="0" t="n">
        <v>25610</v>
      </c>
      <c r="E3145" s="0" t="n">
        <f aca="false">VLOOKUP(B3145,'MSA-Lookup'!$H$2:$I$86,2)</f>
        <v>360</v>
      </c>
      <c r="F3145" s="0" t="n">
        <f aca="false">IF(C3145&gt;1,IF(C3145&lt;99,VLOOKUP(C3145,'MSA-Lookup'!$H$1:$I$86,2),C3145),C3145)</f>
        <v>4480</v>
      </c>
      <c r="G3145" s="0" t="n">
        <f aca="false">VLOOKUP(E3145,'MSA-Lookup'!$AA$1:$AB$25,2)</f>
        <v>4472</v>
      </c>
      <c r="H3145" s="0" t="n">
        <f aca="false">IF(C3145&gt;1,IF(C3145&lt;99,VLOOKUP(F3145,'MSA-Lookup'!$AA$1:$AB$25,2),C3145),C3145)</f>
        <v>4472</v>
      </c>
    </row>
    <row r="3146" customFormat="false" ht="12.75" hidden="false" customHeight="false" outlineLevel="0" collapsed="false">
      <c r="A3146" s="0" t="n">
        <f aca="false">B3146*1000+C3146</f>
        <v>48067</v>
      </c>
      <c r="B3146" s="0" t="n">
        <v>48</v>
      </c>
      <c r="C3146" s="0" t="n">
        <v>67</v>
      </c>
      <c r="D3146" s="0" t="n">
        <v>156</v>
      </c>
      <c r="E3146" s="0" t="n">
        <f aca="false">VLOOKUP(B3146,'MSA-Lookup'!$H$2:$I$86,2)</f>
        <v>360</v>
      </c>
      <c r="F3146" s="0" t="n">
        <f aca="false">IF(C3146&gt;1,IF(C3146&lt;99,VLOOKUP(C3146,'MSA-Lookup'!$H$1:$I$86,2),C3146),C3146)</f>
        <v>6000</v>
      </c>
      <c r="G3146" s="0" t="n">
        <f aca="false">VLOOKUP(E3146,'MSA-Lookup'!$AA$1:$AB$25,2)</f>
        <v>4472</v>
      </c>
      <c r="H3146" s="0" t="n">
        <f aca="false">IF(C3146&gt;1,IF(C3146&lt;99,VLOOKUP(F3146,'MSA-Lookup'!$AA$1:$AB$25,2),C3146),C3146)</f>
        <v>4472</v>
      </c>
    </row>
    <row r="3147" customFormat="false" ht="12.75" hidden="false" customHeight="false" outlineLevel="0" collapsed="false">
      <c r="A3147" s="0" t="n">
        <f aca="false">B3147*1000+C3147</f>
        <v>48068</v>
      </c>
      <c r="B3147" s="0" t="n">
        <v>48</v>
      </c>
      <c r="C3147" s="0" t="n">
        <v>68</v>
      </c>
      <c r="D3147" s="0" t="n">
        <v>0</v>
      </c>
      <c r="E3147" s="0" t="n">
        <f aca="false">VLOOKUP(B3147,'MSA-Lookup'!$H$2:$I$86,2)</f>
        <v>360</v>
      </c>
      <c r="F3147" s="0" t="n">
        <f aca="false">IF(C3147&gt;1,IF(C3147&lt;99,VLOOKUP(C3147,'MSA-Lookup'!$H$1:$I$86,2),C3147),C3147)</f>
        <v>6780</v>
      </c>
      <c r="G3147" s="0" t="n">
        <f aca="false">VLOOKUP(E3147,'MSA-Lookup'!$AA$1:$AB$25,2)</f>
        <v>4472</v>
      </c>
      <c r="H3147" s="0" t="n">
        <f aca="false">IF(C3147&gt;1,IF(C3147&lt;99,VLOOKUP(F3147,'MSA-Lookup'!$AA$1:$AB$25,2),C3147),C3147)</f>
        <v>4472</v>
      </c>
    </row>
    <row r="3148" customFormat="false" ht="12.75" hidden="false" customHeight="false" outlineLevel="0" collapsed="false">
      <c r="A3148" s="0" t="n">
        <f aca="false">B3148*1000+C3148</f>
        <v>48069</v>
      </c>
      <c r="B3148" s="0" t="n">
        <v>48</v>
      </c>
      <c r="C3148" s="0" t="n">
        <v>69</v>
      </c>
      <c r="D3148" s="0" t="n">
        <v>3510</v>
      </c>
      <c r="E3148" s="0" t="n">
        <f aca="false">VLOOKUP(B3148,'MSA-Lookup'!$H$2:$I$86,2)</f>
        <v>360</v>
      </c>
      <c r="F3148" s="0" t="n">
        <f aca="false">IF(C3148&gt;1,IF(C3148&lt;99,VLOOKUP(C3148,'MSA-Lookup'!$H$1:$I$86,2),C3148),C3148)</f>
        <v>6780</v>
      </c>
      <c r="G3148" s="0" t="n">
        <f aca="false">VLOOKUP(E3148,'MSA-Lookup'!$AA$1:$AB$25,2)</f>
        <v>4472</v>
      </c>
      <c r="H3148" s="0" t="n">
        <f aca="false">IF(C3148&gt;1,IF(C3148&lt;99,VLOOKUP(F3148,'MSA-Lookup'!$AA$1:$AB$25,2),C3148),C3148)</f>
        <v>4472</v>
      </c>
    </row>
    <row r="3149" customFormat="false" ht="12.75" hidden="false" customHeight="false" outlineLevel="0" collapsed="false">
      <c r="A3149" s="0" t="n">
        <f aca="false">B3149*1000+C3149</f>
        <v>48070</v>
      </c>
      <c r="B3149" s="0" t="n">
        <v>48</v>
      </c>
      <c r="C3149" s="0" t="n">
        <v>70</v>
      </c>
      <c r="D3149" s="0" t="n">
        <v>260</v>
      </c>
      <c r="E3149" s="0" t="n">
        <f aca="false">VLOOKUP(B3149,'MSA-Lookup'!$H$2:$I$86,2)</f>
        <v>360</v>
      </c>
      <c r="F3149" s="0" t="n">
        <f aca="false">IF(C3149&gt;1,IF(C3149&lt;99,VLOOKUP(C3149,'MSA-Lookup'!$H$1:$I$86,2),C3149),C3149)</f>
        <v>6780</v>
      </c>
      <c r="G3149" s="0" t="n">
        <f aca="false">VLOOKUP(E3149,'MSA-Lookup'!$AA$1:$AB$25,2)</f>
        <v>4472</v>
      </c>
      <c r="H3149" s="0" t="n">
        <f aca="false">IF(C3149&gt;1,IF(C3149&lt;99,VLOOKUP(F3149,'MSA-Lookup'!$AA$1:$AB$25,2),C3149),C3149)</f>
        <v>4472</v>
      </c>
    </row>
    <row r="3150" customFormat="false" ht="12.75" hidden="false" customHeight="false" outlineLevel="0" collapsed="false">
      <c r="A3150" s="0" t="n">
        <f aca="false">B3150*1000+C3150</f>
        <v>48071</v>
      </c>
      <c r="B3150" s="0" t="n">
        <v>48</v>
      </c>
      <c r="C3150" s="0" t="n">
        <v>71</v>
      </c>
      <c r="D3150" s="0" t="n">
        <v>1157</v>
      </c>
      <c r="E3150" s="0" t="n">
        <f aca="false">VLOOKUP(B3150,'MSA-Lookup'!$H$2:$I$86,2)</f>
        <v>360</v>
      </c>
      <c r="F3150" s="0" t="n">
        <f aca="false">IF(C3150&gt;1,IF(C3150&lt;99,VLOOKUP(C3150,'MSA-Lookup'!$H$1:$I$86,2),C3150),C3150)</f>
        <v>6780</v>
      </c>
      <c r="G3150" s="0" t="n">
        <f aca="false">VLOOKUP(E3150,'MSA-Lookup'!$AA$1:$AB$25,2)</f>
        <v>4472</v>
      </c>
      <c r="H3150" s="0" t="n">
        <f aca="false">IF(C3150&gt;1,IF(C3150&lt;99,VLOOKUP(F3150,'MSA-Lookup'!$AA$1:$AB$25,2),C3150),C3150)</f>
        <v>4472</v>
      </c>
    </row>
    <row r="3151" customFormat="false" ht="12.75" hidden="false" customHeight="false" outlineLevel="0" collapsed="false">
      <c r="A3151" s="0" t="n">
        <f aca="false">B3151*1000+C3151</f>
        <v>48072</v>
      </c>
      <c r="B3151" s="0" t="n">
        <v>48</v>
      </c>
      <c r="C3151" s="0" t="n">
        <v>72</v>
      </c>
      <c r="D3151" s="0" t="n">
        <v>2990</v>
      </c>
      <c r="E3151" s="0" t="n">
        <f aca="false">VLOOKUP(B3151,'MSA-Lookup'!$H$2:$I$86,2)</f>
        <v>360</v>
      </c>
      <c r="F3151" s="0" t="n">
        <f aca="false">IF(C3151&gt;1,IF(C3151&lt;99,VLOOKUP(C3151,'MSA-Lookup'!$H$1:$I$86,2),C3151),C3151)</f>
        <v>6780</v>
      </c>
      <c r="G3151" s="0" t="n">
        <f aca="false">VLOOKUP(E3151,'MSA-Lookup'!$AA$1:$AB$25,2)</f>
        <v>4472</v>
      </c>
      <c r="H3151" s="0" t="n">
        <f aca="false">IF(C3151&gt;1,IF(C3151&lt;99,VLOOKUP(F3151,'MSA-Lookup'!$AA$1:$AB$25,2),C3151),C3151)</f>
        <v>4472</v>
      </c>
    </row>
    <row r="3152" customFormat="false" ht="12.75" hidden="false" customHeight="false" outlineLevel="0" collapsed="false">
      <c r="A3152" s="0" t="n">
        <f aca="false">B3152*1000+C3152</f>
        <v>48073</v>
      </c>
      <c r="B3152" s="0" t="n">
        <v>48</v>
      </c>
      <c r="C3152" s="0" t="n">
        <v>73</v>
      </c>
      <c r="D3152" s="0" t="n">
        <v>0</v>
      </c>
      <c r="E3152" s="0" t="n">
        <f aca="false">VLOOKUP(B3152,'MSA-Lookup'!$H$2:$I$86,2)</f>
        <v>360</v>
      </c>
      <c r="F3152" s="0" t="n">
        <f aca="false">IF(C3152&gt;1,IF(C3152&lt;99,VLOOKUP(C3152,'MSA-Lookup'!$H$1:$I$86,2),C3152),C3152)</f>
        <v>8720</v>
      </c>
      <c r="G3152" s="0" t="n">
        <f aca="false">VLOOKUP(E3152,'MSA-Lookup'!$AA$1:$AB$25,2)</f>
        <v>4472</v>
      </c>
      <c r="H3152" s="0" t="n">
        <f aca="false">IF(C3152&gt;1,IF(C3152&lt;99,VLOOKUP(F3152,'MSA-Lookup'!$AA$1:$AB$25,2),C3152),C3152)</f>
        <v>7362</v>
      </c>
    </row>
    <row r="3153" customFormat="false" ht="12.75" hidden="false" customHeight="false" outlineLevel="0" collapsed="false">
      <c r="A3153" s="0" t="n">
        <f aca="false">B3153*1000+C3153</f>
        <v>48075</v>
      </c>
      <c r="B3153" s="0" t="n">
        <v>48</v>
      </c>
      <c r="C3153" s="0" t="n">
        <v>75</v>
      </c>
      <c r="D3153" s="0" t="n">
        <v>0</v>
      </c>
      <c r="E3153" s="0" t="n">
        <f aca="false">VLOOKUP(B3153,'MSA-Lookup'!$H$2:$I$86,2)</f>
        <v>360</v>
      </c>
      <c r="F3153" s="0" t="n">
        <f aca="false">IF(C3153&gt;1,IF(C3153&lt;99,VLOOKUP(C3153,'MSA-Lookup'!$H$1:$I$86,2),C3153),C3153)</f>
        <v>8780</v>
      </c>
      <c r="G3153" s="0" t="n">
        <f aca="false">VLOOKUP(E3153,'MSA-Lookup'!$AA$1:$AB$25,2)</f>
        <v>4472</v>
      </c>
      <c r="H3153" s="0" t="n">
        <f aca="false">IF(C3153&gt;1,IF(C3153&lt;99,VLOOKUP(F3153,'MSA-Lookup'!$AA$1:$AB$25,2),C3153),C3153)</f>
        <v>8780</v>
      </c>
    </row>
    <row r="3154" customFormat="false" ht="12.75" hidden="false" customHeight="false" outlineLevel="0" collapsed="false">
      <c r="A3154" s="0" t="n">
        <f aca="false">B3154*1000+C3154</f>
        <v>48076</v>
      </c>
      <c r="B3154" s="0" t="n">
        <v>48</v>
      </c>
      <c r="C3154" s="0" t="n">
        <v>76</v>
      </c>
      <c r="D3154" s="0" t="n">
        <v>0</v>
      </c>
      <c r="E3154" s="0" t="n">
        <f aca="false">VLOOKUP(B3154,'MSA-Lookup'!$H$2:$I$86,2)</f>
        <v>360</v>
      </c>
      <c r="F3154" s="0" t="n">
        <f aca="false">IF(C3154&gt;1,IF(C3154&lt;99,VLOOKUP(C3154,'MSA-Lookup'!$H$1:$I$86,2),C3154),C3154)</f>
        <v>7485</v>
      </c>
      <c r="G3154" s="0" t="n">
        <f aca="false">VLOOKUP(E3154,'MSA-Lookup'!$AA$1:$AB$25,2)</f>
        <v>4472</v>
      </c>
      <c r="H3154" s="0" t="n">
        <f aca="false">IF(C3154&gt;1,IF(C3154&lt;99,VLOOKUP(F3154,'MSA-Lookup'!$AA$1:$AB$25,2),C3154),C3154)</f>
        <v>7362</v>
      </c>
    </row>
    <row r="3155" customFormat="false" ht="12.75" hidden="false" customHeight="false" outlineLevel="0" collapsed="false">
      <c r="A3155" s="0" t="n">
        <f aca="false">B3155*1000+C3155</f>
        <v>48077</v>
      </c>
      <c r="B3155" s="0" t="n">
        <v>48</v>
      </c>
      <c r="C3155" s="0" t="n">
        <v>77</v>
      </c>
      <c r="D3155" s="0" t="n">
        <v>247</v>
      </c>
      <c r="E3155" s="0" t="n">
        <f aca="false">VLOOKUP(B3155,'MSA-Lookup'!$H$2:$I$86,2)</f>
        <v>360</v>
      </c>
      <c r="F3155" s="0" t="n">
        <f aca="false">IF(C3155&gt;1,IF(C3155&lt;99,VLOOKUP(C3155,'MSA-Lookup'!$H$1:$I$86,2),C3155),C3155)</f>
        <v>9999</v>
      </c>
      <c r="G3155" s="0" t="n">
        <f aca="false">VLOOKUP(E3155,'MSA-Lookup'!$AA$1:$AB$25,2)</f>
        <v>4472</v>
      </c>
      <c r="H3155" s="0" t="n">
        <f aca="false">IF(C3155&gt;1,IF(C3155&lt;99,VLOOKUP(F3155,'MSA-Lookup'!$AA$1:$AB$25,2),C3155),C3155)</f>
        <v>9999</v>
      </c>
    </row>
    <row r="3156" customFormat="false" ht="12.75" hidden="false" customHeight="false" outlineLevel="0" collapsed="false">
      <c r="A3156" s="0" t="n">
        <f aca="false">B3156*1000+C3156</f>
        <v>48078</v>
      </c>
      <c r="B3156" s="0" t="n">
        <v>48</v>
      </c>
      <c r="C3156" s="0" t="n">
        <v>78</v>
      </c>
      <c r="D3156" s="0" t="n">
        <v>156</v>
      </c>
      <c r="E3156" s="0" t="n">
        <f aca="false">VLOOKUP(B3156,'MSA-Lookup'!$H$2:$I$86,2)</f>
        <v>360</v>
      </c>
      <c r="F3156" s="0" t="n">
        <f aca="false">IF(C3156&gt;1,IF(C3156&lt;99,VLOOKUP(C3156,'MSA-Lookup'!$H$1:$I$86,2),C3156),C3156)</f>
        <v>680</v>
      </c>
      <c r="G3156" s="0" t="n">
        <f aca="false">VLOOKUP(E3156,'MSA-Lookup'!$AA$1:$AB$25,2)</f>
        <v>4472</v>
      </c>
      <c r="H3156" s="0" t="n">
        <f aca="false">IF(C3156&gt;1,IF(C3156&lt;99,VLOOKUP(F3156,'MSA-Lookup'!$AA$1:$AB$25,2),C3156),C3156)</f>
        <v>680</v>
      </c>
    </row>
    <row r="3157" customFormat="false" ht="12.75" hidden="false" customHeight="false" outlineLevel="0" collapsed="false">
      <c r="A3157" s="0" t="n">
        <f aca="false">B3157*1000+C3157</f>
        <v>48079</v>
      </c>
      <c r="B3157" s="0" t="n">
        <v>48</v>
      </c>
      <c r="C3157" s="0" t="n">
        <v>79</v>
      </c>
      <c r="D3157" s="0" t="n">
        <v>65</v>
      </c>
      <c r="E3157" s="0" t="n">
        <f aca="false">VLOOKUP(B3157,'MSA-Lookup'!$H$2:$I$86,2)</f>
        <v>360</v>
      </c>
      <c r="F3157" s="0" t="n">
        <f aca="false">IF(C3157&gt;1,IF(C3157&lt;99,VLOOKUP(C3157,'MSA-Lookup'!$H$1:$I$86,2),C3157),C3157)</f>
        <v>680</v>
      </c>
      <c r="G3157" s="0" t="n">
        <f aca="false">VLOOKUP(E3157,'MSA-Lookup'!$AA$1:$AB$25,2)</f>
        <v>4472</v>
      </c>
      <c r="H3157" s="0" t="n">
        <f aca="false">IF(C3157&gt;1,IF(C3157&lt;99,VLOOKUP(F3157,'MSA-Lookup'!$AA$1:$AB$25,2),C3157),C3157)</f>
        <v>680</v>
      </c>
    </row>
    <row r="3158" customFormat="false" ht="12.75" hidden="false" customHeight="false" outlineLevel="0" collapsed="false">
      <c r="A3158" s="0" t="n">
        <f aca="false">B3158*1000+C3158</f>
        <v>48080</v>
      </c>
      <c r="B3158" s="0" t="n">
        <v>48</v>
      </c>
      <c r="C3158" s="0" t="n">
        <v>80</v>
      </c>
      <c r="D3158" s="0" t="n">
        <v>39</v>
      </c>
      <c r="E3158" s="0" t="n">
        <f aca="false">VLOOKUP(B3158,'MSA-Lookup'!$H$2:$I$86,2)</f>
        <v>360</v>
      </c>
      <c r="F3158" s="0" t="n">
        <f aca="false">IF(C3158&gt;1,IF(C3158&lt;99,VLOOKUP(C3158,'MSA-Lookup'!$H$1:$I$86,2),C3158),C3158)</f>
        <v>9999</v>
      </c>
      <c r="G3158" s="0" t="n">
        <f aca="false">VLOOKUP(E3158,'MSA-Lookup'!$AA$1:$AB$25,2)</f>
        <v>4472</v>
      </c>
      <c r="H3158" s="0" t="n">
        <f aca="false">IF(C3158&gt;1,IF(C3158&lt;99,VLOOKUP(F3158,'MSA-Lookup'!$AA$1:$AB$25,2),C3158),C3158)</f>
        <v>9999</v>
      </c>
    </row>
    <row r="3159" customFormat="false" ht="12.75" hidden="false" customHeight="false" outlineLevel="0" collapsed="false">
      <c r="A3159" s="0" t="n">
        <f aca="false">B3159*1000+C3159</f>
        <v>48081</v>
      </c>
      <c r="B3159" s="0" t="n">
        <v>48</v>
      </c>
      <c r="C3159" s="0" t="n">
        <v>81</v>
      </c>
      <c r="D3159" s="0" t="n">
        <v>1612</v>
      </c>
      <c r="E3159" s="0" t="n">
        <f aca="false">VLOOKUP(B3159,'MSA-Lookup'!$H$2:$I$86,2)</f>
        <v>360</v>
      </c>
      <c r="F3159" s="0" t="n">
        <f aca="false">IF(C3159&gt;1,IF(C3159&lt;99,VLOOKUP(C3159,'MSA-Lookup'!$H$1:$I$86,2),C3159),C3159)</f>
        <v>6780</v>
      </c>
      <c r="G3159" s="0" t="n">
        <f aca="false">VLOOKUP(E3159,'MSA-Lookup'!$AA$1:$AB$25,2)</f>
        <v>4472</v>
      </c>
      <c r="H3159" s="0" t="n">
        <f aca="false">IF(C3159&gt;1,IF(C3159&lt;99,VLOOKUP(F3159,'MSA-Lookup'!$AA$1:$AB$25,2),C3159),C3159)</f>
        <v>4472</v>
      </c>
    </row>
    <row r="3160" customFormat="false" ht="12.75" hidden="false" customHeight="false" outlineLevel="0" collapsed="false">
      <c r="A3160" s="0" t="n">
        <f aca="false">B3160*1000+C3160</f>
        <v>48082</v>
      </c>
      <c r="B3160" s="0" t="n">
        <v>48</v>
      </c>
      <c r="C3160" s="0" t="n">
        <v>82</v>
      </c>
      <c r="D3160" s="0" t="n">
        <v>377</v>
      </c>
      <c r="E3160" s="0" t="n">
        <f aca="false">VLOOKUP(B3160,'MSA-Lookup'!$H$2:$I$86,2)</f>
        <v>360</v>
      </c>
      <c r="F3160" s="0" t="n">
        <f aca="false">IF(C3160&gt;1,IF(C3160&lt;99,VLOOKUP(C3160,'MSA-Lookup'!$H$1:$I$86,2),C3160),C3160)</f>
        <v>6780</v>
      </c>
      <c r="G3160" s="0" t="n">
        <f aca="false">VLOOKUP(E3160,'MSA-Lookup'!$AA$1:$AB$25,2)</f>
        <v>4472</v>
      </c>
      <c r="H3160" s="0" t="n">
        <f aca="false">IF(C3160&gt;1,IF(C3160&lt;99,VLOOKUP(F3160,'MSA-Lookup'!$AA$1:$AB$25,2),C3160),C3160)</f>
        <v>4472</v>
      </c>
    </row>
    <row r="3161" customFormat="false" ht="12.75" hidden="false" customHeight="false" outlineLevel="0" collapsed="false">
      <c r="A3161" s="0" t="n">
        <f aca="false">B3161*1000+C3161</f>
        <v>48083</v>
      </c>
      <c r="B3161" s="0" t="n">
        <v>48</v>
      </c>
      <c r="C3161" s="0" t="n">
        <v>83</v>
      </c>
      <c r="D3161" s="0" t="n">
        <v>0</v>
      </c>
      <c r="E3161" s="0" t="n">
        <f aca="false">VLOOKUP(B3161,'MSA-Lookup'!$H$2:$I$86,2)</f>
        <v>360</v>
      </c>
      <c r="F3161" s="0" t="n">
        <f aca="false">IF(C3161&gt;1,IF(C3161&lt;99,VLOOKUP(C3161,'MSA-Lookup'!$H$1:$I$86,2),C3161),C3161)</f>
        <v>6000</v>
      </c>
      <c r="G3161" s="0" t="n">
        <f aca="false">VLOOKUP(E3161,'MSA-Lookup'!$AA$1:$AB$25,2)</f>
        <v>4472</v>
      </c>
      <c r="H3161" s="0" t="n">
        <f aca="false">IF(C3161&gt;1,IF(C3161&lt;99,VLOOKUP(F3161,'MSA-Lookup'!$AA$1:$AB$25,2),C3161),C3161)</f>
        <v>4472</v>
      </c>
    </row>
    <row r="3162" customFormat="false" ht="12.75" hidden="false" customHeight="false" outlineLevel="0" collapsed="false">
      <c r="A3162" s="0" t="n">
        <f aca="false">B3162*1000+C3162</f>
        <v>48084</v>
      </c>
      <c r="B3162" s="0" t="n">
        <v>48</v>
      </c>
      <c r="C3162" s="0" t="n">
        <v>84</v>
      </c>
      <c r="D3162" s="0" t="n">
        <v>54197</v>
      </c>
      <c r="E3162" s="0" t="n">
        <f aca="false">VLOOKUP(B3162,'MSA-Lookup'!$H$2:$I$86,2)</f>
        <v>360</v>
      </c>
      <c r="F3162" s="0" t="n">
        <f aca="false">IF(C3162&gt;1,IF(C3162&lt;99,VLOOKUP(C3162,'MSA-Lookup'!$H$1:$I$86,2),C3162),C3162)</f>
        <v>360</v>
      </c>
      <c r="G3162" s="0" t="n">
        <f aca="false">VLOOKUP(E3162,'MSA-Lookup'!$AA$1:$AB$25,2)</f>
        <v>4472</v>
      </c>
      <c r="H3162" s="0" t="n">
        <f aca="false">IF(C3162&gt;1,IF(C3162&lt;99,VLOOKUP(F3162,'MSA-Lookup'!$AA$1:$AB$25,2),C3162),C3162)</f>
        <v>4472</v>
      </c>
    </row>
    <row r="3163" customFormat="false" ht="12.75" hidden="false" customHeight="false" outlineLevel="0" collapsed="false">
      <c r="A3163" s="0" t="n">
        <f aca="false">B3163*1000+C3163</f>
        <v>48085</v>
      </c>
      <c r="B3163" s="0" t="n">
        <v>48</v>
      </c>
      <c r="C3163" s="0" t="n">
        <v>85</v>
      </c>
      <c r="D3163" s="0" t="n">
        <v>0</v>
      </c>
      <c r="E3163" s="0" t="n">
        <f aca="false">VLOOKUP(B3163,'MSA-Lookup'!$H$2:$I$86,2)</f>
        <v>360</v>
      </c>
      <c r="F3163" s="0" t="n">
        <f aca="false">IF(C3163&gt;1,IF(C3163&lt;99,VLOOKUP(C3163,'MSA-Lookup'!$H$1:$I$86,2),C3163),C3163)</f>
        <v>8120</v>
      </c>
      <c r="G3163" s="0" t="n">
        <f aca="false">VLOOKUP(E3163,'MSA-Lookup'!$AA$1:$AB$25,2)</f>
        <v>4472</v>
      </c>
      <c r="H3163" s="0" t="n">
        <f aca="false">IF(C3163&gt;1,IF(C3163&lt;99,VLOOKUP(F3163,'MSA-Lookup'!$AA$1:$AB$25,2),C3163),C3163)</f>
        <v>8120</v>
      </c>
    </row>
    <row r="3164" customFormat="false" ht="12.75" hidden="false" customHeight="false" outlineLevel="0" collapsed="false">
      <c r="A3164" s="0" t="n">
        <f aca="false">B3164*1000+C3164</f>
        <v>48858</v>
      </c>
      <c r="B3164" s="0" t="n">
        <v>48</v>
      </c>
      <c r="C3164" s="0" t="n">
        <v>858</v>
      </c>
      <c r="D3164" s="0" t="n">
        <v>0</v>
      </c>
      <c r="E3164" s="0" t="n">
        <f aca="false">VLOOKUP(B3164,'MSA-Lookup'!$H$2:$I$86,2)</f>
        <v>360</v>
      </c>
      <c r="F3164" s="0" t="n">
        <f aca="false">IF(C3164&gt;1,IF(C3164&lt;99,VLOOKUP(C3164,'MSA-Lookup'!$H$1:$I$86,2),C3164),C3164)</f>
        <v>858</v>
      </c>
      <c r="G3164" s="0" t="n">
        <f aca="false">VLOOKUP(E3164,'MSA-Lookup'!$AA$1:$AB$25,2)</f>
        <v>4472</v>
      </c>
      <c r="H3164" s="0" t="n">
        <f aca="false">IF(C3164&gt;1,IF(C3164&lt;99,VLOOKUP(F3164,'MSA-Lookup'!$AA$1:$AB$25,2),C3164),C3164)</f>
        <v>858</v>
      </c>
    </row>
    <row r="3165" customFormat="false" ht="12.75" hidden="false" customHeight="false" outlineLevel="0" collapsed="false">
      <c r="A3165" s="0" t="n">
        <f aca="false">B3165*1000+C3165</f>
        <v>48983</v>
      </c>
      <c r="B3165" s="0" t="n">
        <v>48</v>
      </c>
      <c r="C3165" s="0" t="n">
        <v>983</v>
      </c>
      <c r="D3165" s="0" t="n">
        <v>0</v>
      </c>
      <c r="E3165" s="0" t="n">
        <f aca="false">VLOOKUP(B3165,'MSA-Lookup'!$H$2:$I$86,2)</f>
        <v>360</v>
      </c>
      <c r="F3165" s="0" t="n">
        <f aca="false">IF(C3165&gt;1,IF(C3165&lt;99,VLOOKUP(C3165,'MSA-Lookup'!$H$1:$I$86,2),C3165),C3165)</f>
        <v>983</v>
      </c>
      <c r="G3165" s="0" t="n">
        <f aca="false">VLOOKUP(E3165,'MSA-Lookup'!$AA$1:$AB$25,2)</f>
        <v>4472</v>
      </c>
      <c r="H3165" s="0" t="n">
        <f aca="false">IF(C3165&gt;1,IF(C3165&lt;99,VLOOKUP(F3165,'MSA-Lookup'!$AA$1:$AB$25,2),C3165),C3165)</f>
        <v>983</v>
      </c>
    </row>
    <row r="3166" customFormat="false" ht="12.75" hidden="false" customHeight="false" outlineLevel="0" collapsed="false">
      <c r="A3166" s="0" t="n">
        <f aca="false">B3166*1000+C3166</f>
        <v>48999</v>
      </c>
      <c r="B3166" s="0" t="n">
        <v>48</v>
      </c>
      <c r="C3166" s="0" t="n">
        <v>999</v>
      </c>
      <c r="D3166" s="0" t="n">
        <v>169</v>
      </c>
      <c r="E3166" s="0" t="n">
        <f aca="false">VLOOKUP(B3166,'MSA-Lookup'!$H$2:$I$86,2)</f>
        <v>360</v>
      </c>
      <c r="F3166" s="0" t="n">
        <f aca="false">IF(C3166&gt;1,IF(C3166&lt;99,VLOOKUP(C3166,'MSA-Lookup'!$H$1:$I$86,2),C3166),C3166)</f>
        <v>999</v>
      </c>
      <c r="G3166" s="0" t="n">
        <f aca="false">VLOOKUP(E3166,'MSA-Lookup'!$AA$1:$AB$25,2)</f>
        <v>4472</v>
      </c>
      <c r="H3166" s="0" t="n">
        <f aca="false">IF(C3166&gt;1,IF(C3166&lt;99,VLOOKUP(F3166,'MSA-Lookup'!$AA$1:$AB$25,2),C3166),C3166)</f>
        <v>999</v>
      </c>
    </row>
    <row r="3167" customFormat="false" ht="12.75" hidden="false" customHeight="false" outlineLevel="0" collapsed="false">
      <c r="A3167" s="0" t="n">
        <f aca="false">B3167*1000+C3167</f>
        <v>49000</v>
      </c>
      <c r="B3167" s="0" t="n">
        <v>49</v>
      </c>
      <c r="C3167" s="0" t="n">
        <v>0</v>
      </c>
      <c r="D3167" s="0" t="n">
        <v>269724</v>
      </c>
      <c r="E3167" s="0" t="n">
        <f aca="false">VLOOKUP(B3167,'MSA-Lookup'!$H$2:$I$86,2)</f>
        <v>7400</v>
      </c>
      <c r="F3167" s="0" t="n">
        <f aca="false">IF(C3167&gt;1,IF(C3167&lt;99,VLOOKUP(C3167,'MSA-Lookup'!$H$1:$I$86,2),C3167),C3167)</f>
        <v>0</v>
      </c>
      <c r="G3167" s="0" t="n">
        <f aca="false">VLOOKUP(E3167,'MSA-Lookup'!$AA$1:$AB$25,2)</f>
        <v>7362</v>
      </c>
      <c r="H3167" s="0" t="n">
        <f aca="false">IF(C3167&gt;1,IF(C3167&lt;99,VLOOKUP(F3167,'MSA-Lookup'!$AA$1:$AB$25,2),C3167),C3167)</f>
        <v>0</v>
      </c>
    </row>
    <row r="3168" customFormat="false" ht="12.75" hidden="false" customHeight="false" outlineLevel="0" collapsed="false">
      <c r="A3168" s="0" t="n">
        <f aca="false">B3168*1000+C3168</f>
        <v>49001</v>
      </c>
      <c r="B3168" s="0" t="n">
        <v>49</v>
      </c>
      <c r="C3168" s="0" t="n">
        <v>1</v>
      </c>
      <c r="D3168" s="0" t="n">
        <v>91</v>
      </c>
      <c r="E3168" s="0" t="n">
        <f aca="false">VLOOKUP(B3168,'MSA-Lookup'!$H$2:$I$86,2)</f>
        <v>7400</v>
      </c>
      <c r="F3168" s="0" t="n">
        <f aca="false">IF(C3168&gt;1,IF(C3168&lt;99,VLOOKUP(C3168,'MSA-Lookup'!$H$1:$I$86,2),C3168),C3168)</f>
        <v>1</v>
      </c>
      <c r="G3168" s="0" t="n">
        <f aca="false">VLOOKUP(E3168,'MSA-Lookup'!$AA$1:$AB$25,2)</f>
        <v>7362</v>
      </c>
      <c r="H3168" s="0" t="n">
        <f aca="false">IF(C3168&gt;1,IF(C3168&lt;99,VLOOKUP(F3168,'MSA-Lookup'!$AA$1:$AB$25,2),C3168),C3168)</f>
        <v>1</v>
      </c>
    </row>
    <row r="3169" customFormat="false" ht="12.75" hidden="false" customHeight="false" outlineLevel="0" collapsed="false">
      <c r="A3169" s="0" t="n">
        <f aca="false">B3169*1000+C3169</f>
        <v>49002</v>
      </c>
      <c r="B3169" s="0" t="n">
        <v>49</v>
      </c>
      <c r="C3169" s="0" t="n">
        <v>2</v>
      </c>
      <c r="D3169" s="0" t="n">
        <v>143</v>
      </c>
      <c r="E3169" s="0" t="n">
        <f aca="false">VLOOKUP(B3169,'MSA-Lookup'!$H$2:$I$86,2)</f>
        <v>7400</v>
      </c>
      <c r="F3169" s="0" t="n">
        <f aca="false">IF(C3169&gt;1,IF(C3169&lt;99,VLOOKUP(C3169,'MSA-Lookup'!$H$1:$I$86,2),C3169),C3169)</f>
        <v>9999</v>
      </c>
      <c r="G3169" s="0" t="n">
        <f aca="false">VLOOKUP(E3169,'MSA-Lookup'!$AA$1:$AB$25,2)</f>
        <v>7362</v>
      </c>
      <c r="H3169" s="0" t="n">
        <f aca="false">IF(C3169&gt;1,IF(C3169&lt;99,VLOOKUP(F3169,'MSA-Lookup'!$AA$1:$AB$25,2),C3169),C3169)</f>
        <v>9999</v>
      </c>
    </row>
    <row r="3170" customFormat="false" ht="12.75" hidden="false" customHeight="false" outlineLevel="0" collapsed="false">
      <c r="A3170" s="0" t="n">
        <f aca="false">B3170*1000+C3170</f>
        <v>49003</v>
      </c>
      <c r="B3170" s="0" t="n">
        <v>49</v>
      </c>
      <c r="C3170" s="0" t="n">
        <v>3</v>
      </c>
      <c r="D3170" s="0" t="n">
        <v>234</v>
      </c>
      <c r="E3170" s="0" t="n">
        <f aca="false">VLOOKUP(B3170,'MSA-Lookup'!$H$2:$I$86,2)</f>
        <v>7400</v>
      </c>
      <c r="F3170" s="0" t="n">
        <f aca="false">IF(C3170&gt;1,IF(C3170&lt;99,VLOOKUP(C3170,'MSA-Lookup'!$H$1:$I$86,2),C3170),C3170)</f>
        <v>6690</v>
      </c>
      <c r="G3170" s="0" t="n">
        <f aca="false">VLOOKUP(E3170,'MSA-Lookup'!$AA$1:$AB$25,2)</f>
        <v>7362</v>
      </c>
      <c r="H3170" s="0" t="n">
        <f aca="false">IF(C3170&gt;1,IF(C3170&lt;99,VLOOKUP(F3170,'MSA-Lookup'!$AA$1:$AB$25,2),C3170),C3170)</f>
        <v>6690</v>
      </c>
    </row>
    <row r="3171" customFormat="false" ht="12.75" hidden="false" customHeight="false" outlineLevel="0" collapsed="false">
      <c r="A3171" s="0" t="n">
        <f aca="false">B3171*1000+C3171</f>
        <v>49004</v>
      </c>
      <c r="B3171" s="0" t="n">
        <v>49</v>
      </c>
      <c r="C3171" s="0" t="n">
        <v>4</v>
      </c>
      <c r="D3171" s="0" t="n">
        <v>182</v>
      </c>
      <c r="E3171" s="0" t="n">
        <f aca="false">VLOOKUP(B3171,'MSA-Lookup'!$H$2:$I$86,2)</f>
        <v>7400</v>
      </c>
      <c r="F3171" s="0" t="n">
        <f aca="false">IF(C3171&gt;1,IF(C3171&lt;99,VLOOKUP(C3171,'MSA-Lookup'!$H$1:$I$86,2),C3171),C3171)</f>
        <v>9999</v>
      </c>
      <c r="G3171" s="0" t="n">
        <f aca="false">VLOOKUP(E3171,'MSA-Lookup'!$AA$1:$AB$25,2)</f>
        <v>7362</v>
      </c>
      <c r="H3171" s="0" t="n">
        <f aca="false">IF(C3171&gt;1,IF(C3171&lt;99,VLOOKUP(F3171,'MSA-Lookup'!$AA$1:$AB$25,2),C3171),C3171)</f>
        <v>9999</v>
      </c>
    </row>
    <row r="3172" customFormat="false" ht="12.75" hidden="false" customHeight="false" outlineLevel="0" collapsed="false">
      <c r="A3172" s="0" t="n">
        <f aca="false">B3172*1000+C3172</f>
        <v>49005</v>
      </c>
      <c r="B3172" s="0" t="n">
        <v>49</v>
      </c>
      <c r="C3172" s="0" t="n">
        <v>5</v>
      </c>
      <c r="D3172" s="0" t="n">
        <v>0</v>
      </c>
      <c r="E3172" s="0" t="n">
        <f aca="false">VLOOKUP(B3172,'MSA-Lookup'!$H$2:$I$86,2)</f>
        <v>7400</v>
      </c>
      <c r="F3172" s="0" t="n">
        <f aca="false">IF(C3172&gt;1,IF(C3172&lt;99,VLOOKUP(C3172,'MSA-Lookup'!$H$1:$I$86,2),C3172),C3172)</f>
        <v>9999</v>
      </c>
      <c r="G3172" s="0" t="n">
        <f aca="false">VLOOKUP(E3172,'MSA-Lookup'!$AA$1:$AB$25,2)</f>
        <v>7362</v>
      </c>
      <c r="H3172" s="0" t="n">
        <f aca="false">IF(C3172&gt;1,IF(C3172&lt;99,VLOOKUP(F3172,'MSA-Lookup'!$AA$1:$AB$25,2),C3172),C3172)</f>
        <v>9999</v>
      </c>
    </row>
    <row r="3173" customFormat="false" ht="12.75" hidden="false" customHeight="false" outlineLevel="0" collapsed="false">
      <c r="A3173" s="0" t="n">
        <f aca="false">B3173*1000+C3173</f>
        <v>49006</v>
      </c>
      <c r="B3173" s="0" t="n">
        <v>49</v>
      </c>
      <c r="C3173" s="0" t="n">
        <v>6</v>
      </c>
      <c r="D3173" s="0" t="n">
        <v>0</v>
      </c>
      <c r="E3173" s="0" t="n">
        <f aca="false">VLOOKUP(B3173,'MSA-Lookup'!$H$2:$I$86,2)</f>
        <v>7400</v>
      </c>
      <c r="F3173" s="0" t="n">
        <f aca="false">IF(C3173&gt;1,IF(C3173&lt;99,VLOOKUP(C3173,'MSA-Lookup'!$H$1:$I$86,2),C3173),C3173)</f>
        <v>1620</v>
      </c>
      <c r="G3173" s="0" t="n">
        <f aca="false">VLOOKUP(E3173,'MSA-Lookup'!$AA$1:$AB$25,2)</f>
        <v>7362</v>
      </c>
      <c r="H3173" s="0" t="n">
        <f aca="false">IF(C3173&gt;1,IF(C3173&lt;99,VLOOKUP(F3173,'MSA-Lookup'!$AA$1:$AB$25,2),C3173),C3173)</f>
        <v>1620</v>
      </c>
    </row>
    <row r="3174" customFormat="false" ht="12.75" hidden="false" customHeight="false" outlineLevel="0" collapsed="false">
      <c r="A3174" s="0" t="n">
        <f aca="false">B3174*1000+C3174</f>
        <v>49007</v>
      </c>
      <c r="B3174" s="0" t="n">
        <v>49</v>
      </c>
      <c r="C3174" s="0" t="n">
        <v>7</v>
      </c>
      <c r="D3174" s="0" t="n">
        <v>0</v>
      </c>
      <c r="E3174" s="0" t="n">
        <f aca="false">VLOOKUP(B3174,'MSA-Lookup'!$H$2:$I$86,2)</f>
        <v>7400</v>
      </c>
      <c r="F3174" s="0" t="n">
        <f aca="false">IF(C3174&gt;1,IF(C3174&lt;99,VLOOKUP(C3174,'MSA-Lookup'!$H$1:$I$86,2),C3174),C3174)</f>
        <v>9999</v>
      </c>
      <c r="G3174" s="0" t="n">
        <f aca="false">VLOOKUP(E3174,'MSA-Lookup'!$AA$1:$AB$25,2)</f>
        <v>7362</v>
      </c>
      <c r="H3174" s="0" t="n">
        <f aca="false">IF(C3174&gt;1,IF(C3174&lt;99,VLOOKUP(F3174,'MSA-Lookup'!$AA$1:$AB$25,2),C3174),C3174)</f>
        <v>9999</v>
      </c>
    </row>
    <row r="3175" customFormat="false" ht="12.75" hidden="false" customHeight="false" outlineLevel="0" collapsed="false">
      <c r="A3175" s="0" t="n">
        <f aca="false">B3175*1000+C3175</f>
        <v>49008</v>
      </c>
      <c r="B3175" s="0" t="n">
        <v>49</v>
      </c>
      <c r="C3175" s="0" t="n">
        <v>8</v>
      </c>
      <c r="D3175" s="0" t="n">
        <v>0</v>
      </c>
      <c r="E3175" s="0" t="n">
        <f aca="false">VLOOKUP(B3175,'MSA-Lookup'!$H$2:$I$86,2)</f>
        <v>7400</v>
      </c>
      <c r="F3175" s="0" t="n">
        <f aca="false">IF(C3175&gt;1,IF(C3175&lt;99,VLOOKUP(C3175,'MSA-Lookup'!$H$1:$I$86,2),C3175),C3175)</f>
        <v>9340</v>
      </c>
      <c r="G3175" s="0" t="n">
        <f aca="false">VLOOKUP(E3175,'MSA-Lookup'!$AA$1:$AB$25,2)</f>
        <v>7362</v>
      </c>
      <c r="H3175" s="0" t="n">
        <f aca="false">IF(C3175&gt;1,IF(C3175&lt;99,VLOOKUP(F3175,'MSA-Lookup'!$AA$1:$AB$25,2),C3175),C3175)</f>
        <v>9340</v>
      </c>
    </row>
    <row r="3176" customFormat="false" ht="12.75" hidden="false" customHeight="false" outlineLevel="0" collapsed="false">
      <c r="A3176" s="0" t="n">
        <f aca="false">B3176*1000+C3176</f>
        <v>49009</v>
      </c>
      <c r="B3176" s="0" t="n">
        <v>49</v>
      </c>
      <c r="C3176" s="0" t="n">
        <v>9</v>
      </c>
      <c r="D3176" s="0" t="n">
        <v>0</v>
      </c>
      <c r="E3176" s="0" t="n">
        <f aca="false">VLOOKUP(B3176,'MSA-Lookup'!$H$2:$I$86,2)</f>
        <v>7400</v>
      </c>
      <c r="F3176" s="0" t="n">
        <f aca="false">IF(C3176&gt;1,IF(C3176&lt;99,VLOOKUP(C3176,'MSA-Lookup'!$H$1:$I$86,2),C3176),C3176)</f>
        <v>8720</v>
      </c>
      <c r="G3176" s="0" t="n">
        <f aca="false">VLOOKUP(E3176,'MSA-Lookup'!$AA$1:$AB$25,2)</f>
        <v>7362</v>
      </c>
      <c r="H3176" s="0" t="n">
        <f aca="false">IF(C3176&gt;1,IF(C3176&lt;99,VLOOKUP(F3176,'MSA-Lookup'!$AA$1:$AB$25,2),C3176),C3176)</f>
        <v>7362</v>
      </c>
    </row>
    <row r="3177" customFormat="false" ht="12.75" hidden="false" customHeight="false" outlineLevel="0" collapsed="false">
      <c r="A3177" s="0" t="n">
        <f aca="false">B3177*1000+C3177</f>
        <v>49010</v>
      </c>
      <c r="B3177" s="0" t="n">
        <v>49</v>
      </c>
      <c r="C3177" s="0" t="n">
        <v>10</v>
      </c>
      <c r="D3177" s="0" t="n">
        <v>0</v>
      </c>
      <c r="E3177" s="0" t="n">
        <f aca="false">VLOOKUP(B3177,'MSA-Lookup'!$H$2:$I$86,2)</f>
        <v>7400</v>
      </c>
      <c r="F3177" s="0" t="n">
        <f aca="false">IF(C3177&gt;1,IF(C3177&lt;99,VLOOKUP(C3177,'MSA-Lookup'!$H$1:$I$86,2),C3177),C3177)</f>
        <v>6920</v>
      </c>
      <c r="G3177" s="0" t="n">
        <f aca="false">VLOOKUP(E3177,'MSA-Lookup'!$AA$1:$AB$25,2)</f>
        <v>7362</v>
      </c>
      <c r="H3177" s="0" t="n">
        <f aca="false">IF(C3177&gt;1,IF(C3177&lt;99,VLOOKUP(F3177,'MSA-Lookup'!$AA$1:$AB$25,2),C3177),C3177)</f>
        <v>6920</v>
      </c>
    </row>
    <row r="3178" customFormat="false" ht="12.75" hidden="false" customHeight="false" outlineLevel="0" collapsed="false">
      <c r="A3178" s="0" t="n">
        <f aca="false">B3178*1000+C3178</f>
        <v>49011</v>
      </c>
      <c r="B3178" s="0" t="n">
        <v>49</v>
      </c>
      <c r="C3178" s="0" t="n">
        <v>11</v>
      </c>
      <c r="D3178" s="0" t="n">
        <v>78</v>
      </c>
      <c r="E3178" s="0" t="n">
        <f aca="false">VLOOKUP(B3178,'MSA-Lookup'!$H$2:$I$86,2)</f>
        <v>7400</v>
      </c>
      <c r="F3178" s="0" t="n">
        <f aca="false">IF(C3178&gt;1,IF(C3178&lt;99,VLOOKUP(C3178,'MSA-Lookup'!$H$1:$I$86,2),C3178),C3178)</f>
        <v>6920</v>
      </c>
      <c r="G3178" s="0" t="n">
        <f aca="false">VLOOKUP(E3178,'MSA-Lookup'!$AA$1:$AB$25,2)</f>
        <v>7362</v>
      </c>
      <c r="H3178" s="0" t="n">
        <f aca="false">IF(C3178&gt;1,IF(C3178&lt;99,VLOOKUP(F3178,'MSA-Lookup'!$AA$1:$AB$25,2),C3178),C3178)</f>
        <v>6920</v>
      </c>
    </row>
    <row r="3179" customFormat="false" ht="12.75" hidden="false" customHeight="false" outlineLevel="0" collapsed="false">
      <c r="A3179" s="0" t="n">
        <f aca="false">B3179*1000+C3179</f>
        <v>49012</v>
      </c>
      <c r="B3179" s="0" t="n">
        <v>49</v>
      </c>
      <c r="C3179" s="0" t="n">
        <v>12</v>
      </c>
      <c r="D3179" s="0" t="n">
        <v>52</v>
      </c>
      <c r="E3179" s="0" t="n">
        <f aca="false">VLOOKUP(B3179,'MSA-Lookup'!$H$2:$I$86,2)</f>
        <v>7400</v>
      </c>
      <c r="F3179" s="0" t="n">
        <f aca="false">IF(C3179&gt;1,IF(C3179&lt;99,VLOOKUP(C3179,'MSA-Lookup'!$H$1:$I$86,2),C3179),C3179)</f>
        <v>6920</v>
      </c>
      <c r="G3179" s="0" t="n">
        <f aca="false">VLOOKUP(E3179,'MSA-Lookup'!$AA$1:$AB$25,2)</f>
        <v>7362</v>
      </c>
      <c r="H3179" s="0" t="n">
        <f aca="false">IF(C3179&gt;1,IF(C3179&lt;99,VLOOKUP(F3179,'MSA-Lookup'!$AA$1:$AB$25,2),C3179),C3179)</f>
        <v>6920</v>
      </c>
    </row>
    <row r="3180" customFormat="false" ht="12.75" hidden="false" customHeight="false" outlineLevel="0" collapsed="false">
      <c r="A3180" s="0" t="n">
        <f aca="false">B3180*1000+C3180</f>
        <v>49013</v>
      </c>
      <c r="B3180" s="0" t="n">
        <v>49</v>
      </c>
      <c r="C3180" s="0" t="n">
        <v>13</v>
      </c>
      <c r="D3180" s="0" t="n">
        <v>273</v>
      </c>
      <c r="E3180" s="0" t="n">
        <f aca="false">VLOOKUP(B3180,'MSA-Lookup'!$H$2:$I$86,2)</f>
        <v>7400</v>
      </c>
      <c r="F3180" s="0" t="n">
        <f aca="false">IF(C3180&gt;1,IF(C3180&lt;99,VLOOKUP(C3180,'MSA-Lookup'!$H$1:$I$86,2),C3180),C3180)</f>
        <v>7500</v>
      </c>
      <c r="G3180" s="0" t="n">
        <f aca="false">VLOOKUP(E3180,'MSA-Lookup'!$AA$1:$AB$25,2)</f>
        <v>7362</v>
      </c>
      <c r="H3180" s="0" t="n">
        <f aca="false">IF(C3180&gt;1,IF(C3180&lt;99,VLOOKUP(F3180,'MSA-Lookup'!$AA$1:$AB$25,2),C3180),C3180)</f>
        <v>7362</v>
      </c>
    </row>
    <row r="3181" customFormat="false" ht="12.75" hidden="false" customHeight="false" outlineLevel="0" collapsed="false">
      <c r="A3181" s="0" t="n">
        <f aca="false">B3181*1000+C3181</f>
        <v>49014</v>
      </c>
      <c r="B3181" s="0" t="n">
        <v>49</v>
      </c>
      <c r="C3181" s="0" t="n">
        <v>14</v>
      </c>
      <c r="D3181" s="0" t="n">
        <v>0</v>
      </c>
      <c r="E3181" s="0" t="n">
        <f aca="false">VLOOKUP(B3181,'MSA-Lookup'!$H$2:$I$86,2)</f>
        <v>7400</v>
      </c>
      <c r="F3181" s="0" t="n">
        <f aca="false">IF(C3181&gt;1,IF(C3181&lt;99,VLOOKUP(C3181,'MSA-Lookup'!$H$1:$I$86,2),C3181),C3181)</f>
        <v>7500</v>
      </c>
      <c r="G3181" s="0" t="n">
        <f aca="false">VLOOKUP(E3181,'MSA-Lookup'!$AA$1:$AB$25,2)</f>
        <v>7362</v>
      </c>
      <c r="H3181" s="0" t="n">
        <f aca="false">IF(C3181&gt;1,IF(C3181&lt;99,VLOOKUP(F3181,'MSA-Lookup'!$AA$1:$AB$25,2),C3181),C3181)</f>
        <v>7362</v>
      </c>
    </row>
    <row r="3182" customFormat="false" ht="12.75" hidden="false" customHeight="false" outlineLevel="0" collapsed="false">
      <c r="A3182" s="0" t="n">
        <f aca="false">B3182*1000+C3182</f>
        <v>49015</v>
      </c>
      <c r="B3182" s="0" t="n">
        <v>49</v>
      </c>
      <c r="C3182" s="0" t="n">
        <v>15</v>
      </c>
      <c r="D3182" s="0" t="n">
        <v>390</v>
      </c>
      <c r="E3182" s="0" t="n">
        <f aca="false">VLOOKUP(B3182,'MSA-Lookup'!$H$2:$I$86,2)</f>
        <v>7400</v>
      </c>
      <c r="F3182" s="0" t="n">
        <f aca="false">IF(C3182&gt;1,IF(C3182&lt;99,VLOOKUP(C3182,'MSA-Lookup'!$H$1:$I$86,2),C3182),C3182)</f>
        <v>7360</v>
      </c>
      <c r="G3182" s="0" t="n">
        <f aca="false">VLOOKUP(E3182,'MSA-Lookup'!$AA$1:$AB$25,2)</f>
        <v>7362</v>
      </c>
      <c r="H3182" s="0" t="n">
        <f aca="false">IF(C3182&gt;1,IF(C3182&lt;99,VLOOKUP(F3182,'MSA-Lookup'!$AA$1:$AB$25,2),C3182),C3182)</f>
        <v>7362</v>
      </c>
    </row>
    <row r="3183" customFormat="false" ht="12.75" hidden="false" customHeight="false" outlineLevel="0" collapsed="false">
      <c r="A3183" s="0" t="n">
        <f aca="false">B3183*1000+C3183</f>
        <v>49016</v>
      </c>
      <c r="B3183" s="0" t="n">
        <v>49</v>
      </c>
      <c r="C3183" s="0" t="n">
        <v>16</v>
      </c>
      <c r="D3183" s="0" t="n">
        <v>0</v>
      </c>
      <c r="E3183" s="0" t="n">
        <f aca="false">VLOOKUP(B3183,'MSA-Lookup'!$H$2:$I$86,2)</f>
        <v>7400</v>
      </c>
      <c r="F3183" s="0" t="n">
        <f aca="false">IF(C3183&gt;1,IF(C3183&lt;99,VLOOKUP(C3183,'MSA-Lookup'!$H$1:$I$86,2),C3183),C3183)</f>
        <v>8720</v>
      </c>
      <c r="G3183" s="0" t="n">
        <f aca="false">VLOOKUP(E3183,'MSA-Lookup'!$AA$1:$AB$25,2)</f>
        <v>7362</v>
      </c>
      <c r="H3183" s="0" t="n">
        <f aca="false">IF(C3183&gt;1,IF(C3183&lt;99,VLOOKUP(F3183,'MSA-Lookup'!$AA$1:$AB$25,2),C3183),C3183)</f>
        <v>7362</v>
      </c>
    </row>
    <row r="3184" customFormat="false" ht="12.75" hidden="false" customHeight="false" outlineLevel="0" collapsed="false">
      <c r="A3184" s="0" t="n">
        <f aca="false">B3184*1000+C3184</f>
        <v>49017</v>
      </c>
      <c r="B3184" s="0" t="n">
        <v>49</v>
      </c>
      <c r="C3184" s="0" t="n">
        <v>17</v>
      </c>
      <c r="D3184" s="0" t="n">
        <v>78</v>
      </c>
      <c r="E3184" s="0" t="n">
        <f aca="false">VLOOKUP(B3184,'MSA-Lookup'!$H$2:$I$86,2)</f>
        <v>7400</v>
      </c>
      <c r="F3184" s="0" t="n">
        <f aca="false">IF(C3184&gt;1,IF(C3184&lt;99,VLOOKUP(C3184,'MSA-Lookup'!$H$1:$I$86,2),C3184),C3184)</f>
        <v>5775</v>
      </c>
      <c r="G3184" s="0" t="n">
        <f aca="false">VLOOKUP(E3184,'MSA-Lookup'!$AA$1:$AB$25,2)</f>
        <v>7362</v>
      </c>
      <c r="H3184" s="0" t="n">
        <f aca="false">IF(C3184&gt;1,IF(C3184&lt;99,VLOOKUP(F3184,'MSA-Lookup'!$AA$1:$AB$25,2),C3184),C3184)</f>
        <v>7362</v>
      </c>
    </row>
    <row r="3185" customFormat="false" ht="12.75" hidden="false" customHeight="false" outlineLevel="0" collapsed="false">
      <c r="A3185" s="0" t="n">
        <f aca="false">B3185*1000+C3185</f>
        <v>49018</v>
      </c>
      <c r="B3185" s="0" t="n">
        <v>49</v>
      </c>
      <c r="C3185" s="0" t="n">
        <v>18</v>
      </c>
      <c r="D3185" s="0" t="n">
        <v>6253</v>
      </c>
      <c r="E3185" s="0" t="n">
        <f aca="false">VLOOKUP(B3185,'MSA-Lookup'!$H$2:$I$86,2)</f>
        <v>7400</v>
      </c>
      <c r="F3185" s="0" t="n">
        <f aca="false">IF(C3185&gt;1,IF(C3185&lt;99,VLOOKUP(C3185,'MSA-Lookup'!$H$1:$I$86,2),C3185),C3185)</f>
        <v>5775</v>
      </c>
      <c r="G3185" s="0" t="n">
        <f aca="false">VLOOKUP(E3185,'MSA-Lookup'!$AA$1:$AB$25,2)</f>
        <v>7362</v>
      </c>
      <c r="H3185" s="0" t="n">
        <f aca="false">IF(C3185&gt;1,IF(C3185&lt;99,VLOOKUP(F3185,'MSA-Lookup'!$AA$1:$AB$25,2),C3185),C3185)</f>
        <v>7362</v>
      </c>
    </row>
    <row r="3186" customFormat="false" ht="12.75" hidden="false" customHeight="false" outlineLevel="0" collapsed="false">
      <c r="A3186" s="0" t="n">
        <f aca="false">B3186*1000+C3186</f>
        <v>49019</v>
      </c>
      <c r="B3186" s="0" t="n">
        <v>49</v>
      </c>
      <c r="C3186" s="0" t="n">
        <v>19</v>
      </c>
      <c r="D3186" s="0" t="n">
        <v>3237</v>
      </c>
      <c r="E3186" s="0" t="n">
        <f aca="false">VLOOKUP(B3186,'MSA-Lookup'!$H$2:$I$86,2)</f>
        <v>7400</v>
      </c>
      <c r="F3186" s="0" t="n">
        <f aca="false">IF(C3186&gt;1,IF(C3186&lt;99,VLOOKUP(C3186,'MSA-Lookup'!$H$1:$I$86,2),C3186),C3186)</f>
        <v>7360</v>
      </c>
      <c r="G3186" s="0" t="n">
        <f aca="false">VLOOKUP(E3186,'MSA-Lookup'!$AA$1:$AB$25,2)</f>
        <v>7362</v>
      </c>
      <c r="H3186" s="0" t="n">
        <f aca="false">IF(C3186&gt;1,IF(C3186&lt;99,VLOOKUP(F3186,'MSA-Lookup'!$AA$1:$AB$25,2),C3186),C3186)</f>
        <v>7362</v>
      </c>
    </row>
    <row r="3187" customFormat="false" ht="12.75" hidden="false" customHeight="false" outlineLevel="0" collapsed="false">
      <c r="A3187" s="0" t="n">
        <f aca="false">B3187*1000+C3187</f>
        <v>49020</v>
      </c>
      <c r="B3187" s="0" t="n">
        <v>49</v>
      </c>
      <c r="C3187" s="0" t="n">
        <v>20</v>
      </c>
      <c r="D3187" s="0" t="n">
        <v>572</v>
      </c>
      <c r="E3187" s="0" t="n">
        <f aca="false">VLOOKUP(B3187,'MSA-Lookup'!$H$2:$I$86,2)</f>
        <v>7400</v>
      </c>
      <c r="F3187" s="0" t="n">
        <f aca="false">IF(C3187&gt;1,IF(C3187&lt;99,VLOOKUP(C3187,'MSA-Lookup'!$H$1:$I$86,2),C3187),C3187)</f>
        <v>5775</v>
      </c>
      <c r="G3187" s="0" t="n">
        <f aca="false">VLOOKUP(E3187,'MSA-Lookup'!$AA$1:$AB$25,2)</f>
        <v>7362</v>
      </c>
      <c r="H3187" s="0" t="n">
        <f aca="false">IF(C3187&gt;1,IF(C3187&lt;99,VLOOKUP(F3187,'MSA-Lookup'!$AA$1:$AB$25,2),C3187),C3187)</f>
        <v>7362</v>
      </c>
    </row>
    <row r="3188" customFormat="false" ht="12.75" hidden="false" customHeight="false" outlineLevel="0" collapsed="false">
      <c r="A3188" s="0" t="n">
        <f aca="false">B3188*1000+C3188</f>
        <v>49021</v>
      </c>
      <c r="B3188" s="0" t="n">
        <v>49</v>
      </c>
      <c r="C3188" s="0" t="n">
        <v>21</v>
      </c>
      <c r="D3188" s="0" t="n">
        <v>8151</v>
      </c>
      <c r="E3188" s="0" t="n">
        <f aca="false">VLOOKUP(B3188,'MSA-Lookup'!$H$2:$I$86,2)</f>
        <v>7400</v>
      </c>
      <c r="F3188" s="0" t="n">
        <f aca="false">IF(C3188&gt;1,IF(C3188&lt;99,VLOOKUP(C3188,'MSA-Lookup'!$H$1:$I$86,2),C3188),C3188)</f>
        <v>5775</v>
      </c>
      <c r="G3188" s="0" t="n">
        <f aca="false">VLOOKUP(E3188,'MSA-Lookup'!$AA$1:$AB$25,2)</f>
        <v>7362</v>
      </c>
      <c r="H3188" s="0" t="n">
        <f aca="false">IF(C3188&gt;1,IF(C3188&lt;99,VLOOKUP(F3188,'MSA-Lookup'!$AA$1:$AB$25,2),C3188),C3188)</f>
        <v>7362</v>
      </c>
    </row>
    <row r="3189" customFormat="false" ht="12.75" hidden="false" customHeight="false" outlineLevel="0" collapsed="false">
      <c r="A3189" s="0" t="n">
        <f aca="false">B3189*1000+C3189</f>
        <v>49022</v>
      </c>
      <c r="B3189" s="0" t="n">
        <v>49</v>
      </c>
      <c r="C3189" s="0" t="n">
        <v>22</v>
      </c>
      <c r="D3189" s="0" t="n">
        <v>18473</v>
      </c>
      <c r="E3189" s="0" t="n">
        <f aca="false">VLOOKUP(B3189,'MSA-Lookup'!$H$2:$I$86,2)</f>
        <v>7400</v>
      </c>
      <c r="F3189" s="0" t="n">
        <f aca="false">IF(C3189&gt;1,IF(C3189&lt;99,VLOOKUP(C3189,'MSA-Lookup'!$H$1:$I$86,2),C3189),C3189)</f>
        <v>7360</v>
      </c>
      <c r="G3189" s="0" t="n">
        <f aca="false">VLOOKUP(E3189,'MSA-Lookup'!$AA$1:$AB$25,2)</f>
        <v>7362</v>
      </c>
      <c r="H3189" s="0" t="n">
        <f aca="false">IF(C3189&gt;1,IF(C3189&lt;99,VLOOKUP(F3189,'MSA-Lookup'!$AA$1:$AB$25,2),C3189),C3189)</f>
        <v>7362</v>
      </c>
    </row>
    <row r="3190" customFormat="false" ht="12.75" hidden="false" customHeight="false" outlineLevel="0" collapsed="false">
      <c r="A3190" s="0" t="n">
        <f aca="false">B3190*1000+C3190</f>
        <v>49023</v>
      </c>
      <c r="B3190" s="0" t="n">
        <v>49</v>
      </c>
      <c r="C3190" s="0" t="n">
        <v>23</v>
      </c>
      <c r="D3190" s="0" t="n">
        <v>130</v>
      </c>
      <c r="E3190" s="0" t="n">
        <f aca="false">VLOOKUP(B3190,'MSA-Lookup'!$H$2:$I$86,2)</f>
        <v>7400</v>
      </c>
      <c r="F3190" s="0" t="n">
        <f aca="false">IF(C3190&gt;1,IF(C3190&lt;99,VLOOKUP(C3190,'MSA-Lookup'!$H$1:$I$86,2),C3190),C3190)</f>
        <v>8120</v>
      </c>
      <c r="G3190" s="0" t="n">
        <f aca="false">VLOOKUP(E3190,'MSA-Lookup'!$AA$1:$AB$25,2)</f>
        <v>7362</v>
      </c>
      <c r="H3190" s="0" t="n">
        <f aca="false">IF(C3190&gt;1,IF(C3190&lt;99,VLOOKUP(F3190,'MSA-Lookup'!$AA$1:$AB$25,2),C3190),C3190)</f>
        <v>8120</v>
      </c>
    </row>
    <row r="3191" customFormat="false" ht="12.75" hidden="false" customHeight="false" outlineLevel="0" collapsed="false">
      <c r="A3191" s="0" t="n">
        <f aca="false">B3191*1000+C3191</f>
        <v>49024</v>
      </c>
      <c r="B3191" s="0" t="n">
        <v>49</v>
      </c>
      <c r="C3191" s="0" t="n">
        <v>24</v>
      </c>
      <c r="D3191" s="0" t="n">
        <v>0</v>
      </c>
      <c r="E3191" s="0" t="n">
        <f aca="false">VLOOKUP(B3191,'MSA-Lookup'!$H$2:$I$86,2)</f>
        <v>7400</v>
      </c>
      <c r="F3191" s="0" t="n">
        <f aca="false">IF(C3191&gt;1,IF(C3191&lt;99,VLOOKUP(C3191,'MSA-Lookup'!$H$1:$I$86,2),C3191),C3191)</f>
        <v>5170</v>
      </c>
      <c r="G3191" s="0" t="n">
        <f aca="false">VLOOKUP(E3191,'MSA-Lookup'!$AA$1:$AB$25,2)</f>
        <v>7362</v>
      </c>
      <c r="H3191" s="0" t="n">
        <f aca="false">IF(C3191&gt;1,IF(C3191&lt;99,VLOOKUP(F3191,'MSA-Lookup'!$AA$1:$AB$25,2),C3191),C3191)</f>
        <v>5170</v>
      </c>
    </row>
    <row r="3192" customFormat="false" ht="12.75" hidden="false" customHeight="false" outlineLevel="0" collapsed="false">
      <c r="A3192" s="0" t="n">
        <f aca="false">B3192*1000+C3192</f>
        <v>49025</v>
      </c>
      <c r="B3192" s="0" t="n">
        <v>49</v>
      </c>
      <c r="C3192" s="0" t="n">
        <v>25</v>
      </c>
      <c r="D3192" s="0" t="n">
        <v>156</v>
      </c>
      <c r="E3192" s="0" t="n">
        <f aca="false">VLOOKUP(B3192,'MSA-Lookup'!$H$2:$I$86,2)</f>
        <v>7400</v>
      </c>
      <c r="F3192" s="0" t="n">
        <f aca="false">IF(C3192&gt;1,IF(C3192&lt;99,VLOOKUP(C3192,'MSA-Lookup'!$H$1:$I$86,2),C3192),C3192)</f>
        <v>5170</v>
      </c>
      <c r="G3192" s="0" t="n">
        <f aca="false">VLOOKUP(E3192,'MSA-Lookup'!$AA$1:$AB$25,2)</f>
        <v>7362</v>
      </c>
      <c r="H3192" s="0" t="n">
        <f aca="false">IF(C3192&gt;1,IF(C3192&lt;99,VLOOKUP(F3192,'MSA-Lookup'!$AA$1:$AB$25,2),C3192),C3192)</f>
        <v>5170</v>
      </c>
    </row>
    <row r="3193" customFormat="false" ht="12.75" hidden="false" customHeight="false" outlineLevel="0" collapsed="false">
      <c r="A3193" s="0" t="n">
        <f aca="false">B3193*1000+C3193</f>
        <v>49026</v>
      </c>
      <c r="B3193" s="0" t="n">
        <v>49</v>
      </c>
      <c r="C3193" s="0" t="n">
        <v>26</v>
      </c>
      <c r="D3193" s="0" t="n">
        <v>0</v>
      </c>
      <c r="E3193" s="0" t="n">
        <f aca="false">VLOOKUP(B3193,'MSA-Lookup'!$H$2:$I$86,2)</f>
        <v>7400</v>
      </c>
      <c r="F3193" s="0" t="n">
        <f aca="false">IF(C3193&gt;1,IF(C3193&lt;99,VLOOKUP(C3193,'MSA-Lookup'!$H$1:$I$86,2),C3193),C3193)</f>
        <v>9999</v>
      </c>
      <c r="G3193" s="0" t="n">
        <f aca="false">VLOOKUP(E3193,'MSA-Lookup'!$AA$1:$AB$25,2)</f>
        <v>7362</v>
      </c>
      <c r="H3193" s="0" t="n">
        <f aca="false">IF(C3193&gt;1,IF(C3193&lt;99,VLOOKUP(F3193,'MSA-Lookup'!$AA$1:$AB$25,2),C3193),C3193)</f>
        <v>9999</v>
      </c>
    </row>
    <row r="3194" customFormat="false" ht="12.75" hidden="false" customHeight="false" outlineLevel="0" collapsed="false">
      <c r="A3194" s="0" t="n">
        <f aca="false">B3194*1000+C3194</f>
        <v>49027</v>
      </c>
      <c r="B3194" s="0" t="n">
        <v>49</v>
      </c>
      <c r="C3194" s="0" t="n">
        <v>27</v>
      </c>
      <c r="D3194" s="0" t="n">
        <v>1079</v>
      </c>
      <c r="E3194" s="0" t="n">
        <f aca="false">VLOOKUP(B3194,'MSA-Lookup'!$H$2:$I$86,2)</f>
        <v>7400</v>
      </c>
      <c r="F3194" s="0" t="n">
        <f aca="false">IF(C3194&gt;1,IF(C3194&lt;99,VLOOKUP(C3194,'MSA-Lookup'!$H$1:$I$86,2),C3194),C3194)</f>
        <v>9999</v>
      </c>
      <c r="G3194" s="0" t="n">
        <f aca="false">VLOOKUP(E3194,'MSA-Lookup'!$AA$1:$AB$25,2)</f>
        <v>7362</v>
      </c>
      <c r="H3194" s="0" t="n">
        <f aca="false">IF(C3194&gt;1,IF(C3194&lt;99,VLOOKUP(F3194,'MSA-Lookup'!$AA$1:$AB$25,2),C3194),C3194)</f>
        <v>9999</v>
      </c>
    </row>
    <row r="3195" customFormat="false" ht="12.75" hidden="false" customHeight="false" outlineLevel="0" collapsed="false">
      <c r="A3195" s="0" t="n">
        <f aca="false">B3195*1000+C3195</f>
        <v>49028</v>
      </c>
      <c r="B3195" s="0" t="n">
        <v>49</v>
      </c>
      <c r="C3195" s="0" t="n">
        <v>28</v>
      </c>
      <c r="D3195" s="0" t="n">
        <v>143</v>
      </c>
      <c r="E3195" s="0" t="n">
        <f aca="false">VLOOKUP(B3195,'MSA-Lookup'!$H$2:$I$86,2)</f>
        <v>7400</v>
      </c>
      <c r="F3195" s="0" t="n">
        <f aca="false">IF(C3195&gt;1,IF(C3195&lt;99,VLOOKUP(C3195,'MSA-Lookup'!$H$1:$I$86,2),C3195),C3195)</f>
        <v>6920</v>
      </c>
      <c r="G3195" s="0" t="n">
        <f aca="false">VLOOKUP(E3195,'MSA-Lookup'!$AA$1:$AB$25,2)</f>
        <v>7362</v>
      </c>
      <c r="H3195" s="0" t="n">
        <f aca="false">IF(C3195&gt;1,IF(C3195&lt;99,VLOOKUP(F3195,'MSA-Lookup'!$AA$1:$AB$25,2),C3195),C3195)</f>
        <v>6920</v>
      </c>
    </row>
    <row r="3196" customFormat="false" ht="12.75" hidden="false" customHeight="false" outlineLevel="0" collapsed="false">
      <c r="A3196" s="0" t="n">
        <f aca="false">B3196*1000+C3196</f>
        <v>49029</v>
      </c>
      <c r="B3196" s="0" t="n">
        <v>49</v>
      </c>
      <c r="C3196" s="0" t="n">
        <v>29</v>
      </c>
      <c r="D3196" s="0" t="n">
        <v>0</v>
      </c>
      <c r="E3196" s="0" t="n">
        <f aca="false">VLOOKUP(B3196,'MSA-Lookup'!$H$2:$I$86,2)</f>
        <v>7400</v>
      </c>
      <c r="F3196" s="0" t="n">
        <f aca="false">IF(C3196&gt;1,IF(C3196&lt;99,VLOOKUP(C3196,'MSA-Lookup'!$H$1:$I$86,2),C3196),C3196)</f>
        <v>6920</v>
      </c>
      <c r="G3196" s="0" t="n">
        <f aca="false">VLOOKUP(E3196,'MSA-Lookup'!$AA$1:$AB$25,2)</f>
        <v>7362</v>
      </c>
      <c r="H3196" s="0" t="n">
        <f aca="false">IF(C3196&gt;1,IF(C3196&lt;99,VLOOKUP(F3196,'MSA-Lookup'!$AA$1:$AB$25,2),C3196),C3196)</f>
        <v>6920</v>
      </c>
    </row>
    <row r="3197" customFormat="false" ht="12.75" hidden="false" customHeight="false" outlineLevel="0" collapsed="false">
      <c r="A3197" s="0" t="n">
        <f aca="false">B3197*1000+C3197</f>
        <v>49030</v>
      </c>
      <c r="B3197" s="0" t="n">
        <v>49</v>
      </c>
      <c r="C3197" s="0" t="n">
        <v>30</v>
      </c>
      <c r="D3197" s="0" t="n">
        <v>0</v>
      </c>
      <c r="E3197" s="0" t="n">
        <f aca="false">VLOOKUP(B3197,'MSA-Lookup'!$H$2:$I$86,2)</f>
        <v>7400</v>
      </c>
      <c r="F3197" s="0" t="n">
        <f aca="false">IF(C3197&gt;1,IF(C3197&lt;99,VLOOKUP(C3197,'MSA-Lookup'!$H$1:$I$86,2),C3197),C3197)</f>
        <v>4940</v>
      </c>
      <c r="G3197" s="0" t="n">
        <f aca="false">VLOOKUP(E3197,'MSA-Lookup'!$AA$1:$AB$25,2)</f>
        <v>7362</v>
      </c>
      <c r="H3197" s="0" t="n">
        <f aca="false">IF(C3197&gt;1,IF(C3197&lt;99,VLOOKUP(F3197,'MSA-Lookup'!$AA$1:$AB$25,2),C3197),C3197)</f>
        <v>4940</v>
      </c>
    </row>
    <row r="3198" customFormat="false" ht="12.75" hidden="false" customHeight="false" outlineLevel="0" collapsed="false">
      <c r="A3198" s="0" t="n">
        <f aca="false">B3198*1000+C3198</f>
        <v>49031</v>
      </c>
      <c r="B3198" s="0" t="n">
        <v>49</v>
      </c>
      <c r="C3198" s="0" t="n">
        <v>31</v>
      </c>
      <c r="D3198" s="0" t="n">
        <v>0</v>
      </c>
      <c r="E3198" s="0" t="n">
        <f aca="false">VLOOKUP(B3198,'MSA-Lookup'!$H$2:$I$86,2)</f>
        <v>7400</v>
      </c>
      <c r="F3198" s="0" t="n">
        <f aca="false">IF(C3198&gt;1,IF(C3198&lt;99,VLOOKUP(C3198,'MSA-Lookup'!$H$1:$I$86,2),C3198),C3198)</f>
        <v>9999</v>
      </c>
      <c r="G3198" s="0" t="n">
        <f aca="false">VLOOKUP(E3198,'MSA-Lookup'!$AA$1:$AB$25,2)</f>
        <v>7362</v>
      </c>
      <c r="H3198" s="0" t="n">
        <f aca="false">IF(C3198&gt;1,IF(C3198&lt;99,VLOOKUP(F3198,'MSA-Lookup'!$AA$1:$AB$25,2),C3198),C3198)</f>
        <v>9999</v>
      </c>
    </row>
    <row r="3199" customFormat="false" ht="12.75" hidden="false" customHeight="false" outlineLevel="0" collapsed="false">
      <c r="A3199" s="0" t="n">
        <f aca="false">B3199*1000+C3199</f>
        <v>49032</v>
      </c>
      <c r="B3199" s="0" t="n">
        <v>49</v>
      </c>
      <c r="C3199" s="0" t="n">
        <v>32</v>
      </c>
      <c r="D3199" s="0" t="n">
        <v>0</v>
      </c>
      <c r="E3199" s="0" t="n">
        <f aca="false">VLOOKUP(B3199,'MSA-Lookup'!$H$2:$I$86,2)</f>
        <v>7400</v>
      </c>
      <c r="F3199" s="0" t="n">
        <f aca="false">IF(C3199&gt;1,IF(C3199&lt;99,VLOOKUP(C3199,'MSA-Lookup'!$H$1:$I$86,2),C3199),C3199)</f>
        <v>7480</v>
      </c>
      <c r="G3199" s="0" t="n">
        <f aca="false">VLOOKUP(E3199,'MSA-Lookup'!$AA$1:$AB$25,2)</f>
        <v>7362</v>
      </c>
      <c r="H3199" s="0" t="n">
        <f aca="false">IF(C3199&gt;1,IF(C3199&lt;99,VLOOKUP(F3199,'MSA-Lookup'!$AA$1:$AB$25,2),C3199),C3199)</f>
        <v>7480</v>
      </c>
    </row>
    <row r="3200" customFormat="false" ht="12.75" hidden="false" customHeight="false" outlineLevel="0" collapsed="false">
      <c r="A3200" s="0" t="n">
        <f aca="false">B3200*1000+C3200</f>
        <v>49033</v>
      </c>
      <c r="B3200" s="0" t="n">
        <v>49</v>
      </c>
      <c r="C3200" s="0" t="n">
        <v>33</v>
      </c>
      <c r="D3200" s="0" t="n">
        <v>78</v>
      </c>
      <c r="E3200" s="0" t="n">
        <f aca="false">VLOOKUP(B3200,'MSA-Lookup'!$H$2:$I$86,2)</f>
        <v>7400</v>
      </c>
      <c r="F3200" s="0" t="n">
        <f aca="false">IF(C3200&gt;1,IF(C3200&lt;99,VLOOKUP(C3200,'MSA-Lookup'!$H$1:$I$86,2),C3200),C3200)</f>
        <v>7320</v>
      </c>
      <c r="G3200" s="0" t="n">
        <f aca="false">VLOOKUP(E3200,'MSA-Lookup'!$AA$1:$AB$25,2)</f>
        <v>7362</v>
      </c>
      <c r="H3200" s="0" t="n">
        <f aca="false">IF(C3200&gt;1,IF(C3200&lt;99,VLOOKUP(F3200,'MSA-Lookup'!$AA$1:$AB$25,2),C3200),C3200)</f>
        <v>7320</v>
      </c>
    </row>
    <row r="3201" customFormat="false" ht="12.75" hidden="false" customHeight="false" outlineLevel="0" collapsed="false">
      <c r="A3201" s="0" t="n">
        <f aca="false">B3201*1000+C3201</f>
        <v>49034</v>
      </c>
      <c r="B3201" s="0" t="n">
        <v>49</v>
      </c>
      <c r="C3201" s="0" t="n">
        <v>34</v>
      </c>
      <c r="D3201" s="0" t="n">
        <v>0</v>
      </c>
      <c r="E3201" s="0" t="n">
        <f aca="false">VLOOKUP(B3201,'MSA-Lookup'!$H$2:$I$86,2)</f>
        <v>7400</v>
      </c>
      <c r="F3201" s="0" t="n">
        <f aca="false">IF(C3201&gt;1,IF(C3201&lt;99,VLOOKUP(C3201,'MSA-Lookup'!$H$1:$I$86,2),C3201),C3201)</f>
        <v>7320</v>
      </c>
      <c r="G3201" s="0" t="n">
        <f aca="false">VLOOKUP(E3201,'MSA-Lookup'!$AA$1:$AB$25,2)</f>
        <v>7362</v>
      </c>
      <c r="H3201" s="0" t="n">
        <f aca="false">IF(C3201&gt;1,IF(C3201&lt;99,VLOOKUP(F3201,'MSA-Lookup'!$AA$1:$AB$25,2),C3201),C3201)</f>
        <v>7320</v>
      </c>
    </row>
    <row r="3202" customFormat="false" ht="12.75" hidden="false" customHeight="false" outlineLevel="0" collapsed="false">
      <c r="A3202" s="0" t="n">
        <f aca="false">B3202*1000+C3202</f>
        <v>49035</v>
      </c>
      <c r="B3202" s="0" t="n">
        <v>49</v>
      </c>
      <c r="C3202" s="0" t="n">
        <v>35</v>
      </c>
      <c r="D3202" s="0" t="n">
        <v>0</v>
      </c>
      <c r="E3202" s="0" t="n">
        <f aca="false">VLOOKUP(B3202,'MSA-Lookup'!$H$2:$I$86,2)</f>
        <v>7400</v>
      </c>
      <c r="F3202" s="0" t="n">
        <f aca="false">IF(C3202&gt;1,IF(C3202&lt;99,VLOOKUP(C3202,'MSA-Lookup'!$H$1:$I$86,2),C3202),C3202)</f>
        <v>7320</v>
      </c>
      <c r="G3202" s="0" t="n">
        <f aca="false">VLOOKUP(E3202,'MSA-Lookup'!$AA$1:$AB$25,2)</f>
        <v>7362</v>
      </c>
      <c r="H3202" s="0" t="n">
        <f aca="false">IF(C3202&gt;1,IF(C3202&lt;99,VLOOKUP(F3202,'MSA-Lookup'!$AA$1:$AB$25,2),C3202),C3202)</f>
        <v>7320</v>
      </c>
    </row>
    <row r="3203" customFormat="false" ht="12.75" hidden="false" customHeight="false" outlineLevel="0" collapsed="false">
      <c r="A3203" s="0" t="n">
        <f aca="false">B3203*1000+C3203</f>
        <v>49036</v>
      </c>
      <c r="B3203" s="0" t="n">
        <v>49</v>
      </c>
      <c r="C3203" s="0" t="n">
        <v>36</v>
      </c>
      <c r="D3203" s="0" t="n">
        <v>65</v>
      </c>
      <c r="E3203" s="0" t="n">
        <f aca="false">VLOOKUP(B3203,'MSA-Lookup'!$H$2:$I$86,2)</f>
        <v>7400</v>
      </c>
      <c r="F3203" s="0" t="n">
        <f aca="false">IF(C3203&gt;1,IF(C3203&lt;99,VLOOKUP(C3203,'MSA-Lookup'!$H$1:$I$86,2),C3203),C3203)</f>
        <v>7320</v>
      </c>
      <c r="G3203" s="0" t="n">
        <f aca="false">VLOOKUP(E3203,'MSA-Lookup'!$AA$1:$AB$25,2)</f>
        <v>7362</v>
      </c>
      <c r="H3203" s="0" t="n">
        <f aca="false">IF(C3203&gt;1,IF(C3203&lt;99,VLOOKUP(F3203,'MSA-Lookup'!$AA$1:$AB$25,2),C3203),C3203)</f>
        <v>7320</v>
      </c>
    </row>
    <row r="3204" customFormat="false" ht="12.75" hidden="false" customHeight="false" outlineLevel="0" collapsed="false">
      <c r="A3204" s="0" t="n">
        <f aca="false">B3204*1000+C3204</f>
        <v>49037</v>
      </c>
      <c r="B3204" s="0" t="n">
        <v>49</v>
      </c>
      <c r="C3204" s="0" t="n">
        <v>37</v>
      </c>
      <c r="D3204" s="0" t="n">
        <v>0</v>
      </c>
      <c r="E3204" s="0" t="n">
        <f aca="false">VLOOKUP(B3204,'MSA-Lookup'!$H$2:$I$86,2)</f>
        <v>7400</v>
      </c>
      <c r="F3204" s="0" t="n">
        <f aca="false">IF(C3204&gt;1,IF(C3204&lt;99,VLOOKUP(C3204,'MSA-Lookup'!$H$1:$I$86,2),C3204),C3204)</f>
        <v>7320</v>
      </c>
      <c r="G3204" s="0" t="n">
        <f aca="false">VLOOKUP(E3204,'MSA-Lookup'!$AA$1:$AB$25,2)</f>
        <v>7362</v>
      </c>
      <c r="H3204" s="0" t="n">
        <f aca="false">IF(C3204&gt;1,IF(C3204&lt;99,VLOOKUP(F3204,'MSA-Lookup'!$AA$1:$AB$25,2),C3204),C3204)</f>
        <v>7320</v>
      </c>
    </row>
    <row r="3205" customFormat="false" ht="12.75" hidden="false" customHeight="false" outlineLevel="0" collapsed="false">
      <c r="A3205" s="0" t="n">
        <f aca="false">B3205*1000+C3205</f>
        <v>49038</v>
      </c>
      <c r="B3205" s="0" t="n">
        <v>49</v>
      </c>
      <c r="C3205" s="0" t="n">
        <v>38</v>
      </c>
      <c r="D3205" s="0" t="n">
        <v>78</v>
      </c>
      <c r="E3205" s="0" t="n">
        <f aca="false">VLOOKUP(B3205,'MSA-Lookup'!$H$2:$I$86,2)</f>
        <v>7400</v>
      </c>
      <c r="F3205" s="0" t="n">
        <f aca="false">IF(C3205&gt;1,IF(C3205&lt;99,VLOOKUP(C3205,'MSA-Lookup'!$H$1:$I$86,2),C3205),C3205)</f>
        <v>7120</v>
      </c>
      <c r="G3205" s="0" t="n">
        <f aca="false">VLOOKUP(E3205,'MSA-Lookup'!$AA$1:$AB$25,2)</f>
        <v>7362</v>
      </c>
      <c r="H3205" s="0" t="n">
        <f aca="false">IF(C3205&gt;1,IF(C3205&lt;99,VLOOKUP(F3205,'MSA-Lookup'!$AA$1:$AB$25,2),C3205),C3205)</f>
        <v>7120</v>
      </c>
    </row>
    <row r="3206" customFormat="false" ht="12.75" hidden="false" customHeight="false" outlineLevel="0" collapsed="false">
      <c r="A3206" s="0" t="n">
        <f aca="false">B3206*1000+C3206</f>
        <v>49039</v>
      </c>
      <c r="B3206" s="0" t="n">
        <v>49</v>
      </c>
      <c r="C3206" s="0" t="n">
        <v>39</v>
      </c>
      <c r="D3206" s="0" t="n">
        <v>273</v>
      </c>
      <c r="E3206" s="0" t="n">
        <f aca="false">VLOOKUP(B3206,'MSA-Lookup'!$H$2:$I$86,2)</f>
        <v>7400</v>
      </c>
      <c r="F3206" s="0" t="n">
        <f aca="false">IF(C3206&gt;1,IF(C3206&lt;99,VLOOKUP(C3206,'MSA-Lookup'!$H$1:$I$86,2),C3206),C3206)</f>
        <v>7120</v>
      </c>
      <c r="G3206" s="0" t="n">
        <f aca="false">VLOOKUP(E3206,'MSA-Lookup'!$AA$1:$AB$25,2)</f>
        <v>7362</v>
      </c>
      <c r="H3206" s="0" t="n">
        <f aca="false">IF(C3206&gt;1,IF(C3206&lt;99,VLOOKUP(F3206,'MSA-Lookup'!$AA$1:$AB$25,2),C3206),C3206)</f>
        <v>7120</v>
      </c>
    </row>
    <row r="3207" customFormat="false" ht="12.75" hidden="false" customHeight="false" outlineLevel="0" collapsed="false">
      <c r="A3207" s="0" t="n">
        <f aca="false">B3207*1000+C3207</f>
        <v>49040</v>
      </c>
      <c r="B3207" s="0" t="n">
        <v>49</v>
      </c>
      <c r="C3207" s="0" t="n">
        <v>40</v>
      </c>
      <c r="D3207" s="0" t="n">
        <v>0</v>
      </c>
      <c r="E3207" s="0" t="n">
        <f aca="false">VLOOKUP(B3207,'MSA-Lookup'!$H$2:$I$86,2)</f>
        <v>7400</v>
      </c>
      <c r="F3207" s="0" t="n">
        <f aca="false">IF(C3207&gt;1,IF(C3207&lt;99,VLOOKUP(C3207,'MSA-Lookup'!$H$1:$I$86,2),C3207),C3207)</f>
        <v>2840</v>
      </c>
      <c r="G3207" s="0" t="n">
        <f aca="false">VLOOKUP(E3207,'MSA-Lookup'!$AA$1:$AB$25,2)</f>
        <v>7362</v>
      </c>
      <c r="H3207" s="0" t="n">
        <f aca="false">IF(C3207&gt;1,IF(C3207&lt;99,VLOOKUP(F3207,'MSA-Lookup'!$AA$1:$AB$25,2),C3207),C3207)</f>
        <v>2840</v>
      </c>
    </row>
    <row r="3208" customFormat="false" ht="12.75" hidden="false" customHeight="false" outlineLevel="0" collapsed="false">
      <c r="A3208" s="0" t="n">
        <f aca="false">B3208*1000+C3208</f>
        <v>49041</v>
      </c>
      <c r="B3208" s="0" t="n">
        <v>49</v>
      </c>
      <c r="C3208" s="0" t="n">
        <v>41</v>
      </c>
      <c r="D3208" s="0" t="n">
        <v>0</v>
      </c>
      <c r="E3208" s="0" t="n">
        <f aca="false">VLOOKUP(B3208,'MSA-Lookup'!$H$2:$I$86,2)</f>
        <v>7400</v>
      </c>
      <c r="F3208" s="0" t="n">
        <f aca="false">IF(C3208&gt;1,IF(C3208&lt;99,VLOOKUP(C3208,'MSA-Lookup'!$H$1:$I$86,2),C3208),C3208)</f>
        <v>2840</v>
      </c>
      <c r="G3208" s="0" t="n">
        <f aca="false">VLOOKUP(E3208,'MSA-Lookup'!$AA$1:$AB$25,2)</f>
        <v>7362</v>
      </c>
      <c r="H3208" s="0" t="n">
        <f aca="false">IF(C3208&gt;1,IF(C3208&lt;99,VLOOKUP(F3208,'MSA-Lookup'!$AA$1:$AB$25,2),C3208),C3208)</f>
        <v>2840</v>
      </c>
    </row>
    <row r="3209" customFormat="false" ht="12.75" hidden="false" customHeight="false" outlineLevel="0" collapsed="false">
      <c r="A3209" s="0" t="n">
        <f aca="false">B3209*1000+C3209</f>
        <v>49042</v>
      </c>
      <c r="B3209" s="0" t="n">
        <v>49</v>
      </c>
      <c r="C3209" s="0" t="n">
        <v>42</v>
      </c>
      <c r="D3209" s="0" t="n">
        <v>0</v>
      </c>
      <c r="E3209" s="0" t="n">
        <f aca="false">VLOOKUP(B3209,'MSA-Lookup'!$H$2:$I$86,2)</f>
        <v>7400</v>
      </c>
      <c r="F3209" s="0" t="n">
        <f aca="false">IF(C3209&gt;1,IF(C3209&lt;99,VLOOKUP(C3209,'MSA-Lookup'!$H$1:$I$86,2),C3209),C3209)</f>
        <v>360</v>
      </c>
      <c r="G3209" s="0" t="n">
        <f aca="false">VLOOKUP(E3209,'MSA-Lookup'!$AA$1:$AB$25,2)</f>
        <v>7362</v>
      </c>
      <c r="H3209" s="0" t="n">
        <f aca="false">IF(C3209&gt;1,IF(C3209&lt;99,VLOOKUP(F3209,'MSA-Lookup'!$AA$1:$AB$25,2),C3209),C3209)</f>
        <v>4472</v>
      </c>
    </row>
    <row r="3210" customFormat="false" ht="12.75" hidden="false" customHeight="false" outlineLevel="0" collapsed="false">
      <c r="A3210" s="0" t="n">
        <f aca="false">B3210*1000+C3210</f>
        <v>49043</v>
      </c>
      <c r="B3210" s="0" t="n">
        <v>49</v>
      </c>
      <c r="C3210" s="0" t="n">
        <v>43</v>
      </c>
      <c r="D3210" s="0" t="n">
        <v>0</v>
      </c>
      <c r="E3210" s="0" t="n">
        <f aca="false">VLOOKUP(B3210,'MSA-Lookup'!$H$2:$I$86,2)</f>
        <v>7400</v>
      </c>
      <c r="F3210" s="0" t="n">
        <f aca="false">IF(C3210&gt;1,IF(C3210&lt;99,VLOOKUP(C3210,'MSA-Lookup'!$H$1:$I$86,2),C3210),C3210)</f>
        <v>360</v>
      </c>
      <c r="G3210" s="0" t="n">
        <f aca="false">VLOOKUP(E3210,'MSA-Lookup'!$AA$1:$AB$25,2)</f>
        <v>7362</v>
      </c>
      <c r="H3210" s="0" t="n">
        <f aca="false">IF(C3210&gt;1,IF(C3210&lt;99,VLOOKUP(F3210,'MSA-Lookup'!$AA$1:$AB$25,2),C3210),C3210)</f>
        <v>4472</v>
      </c>
    </row>
    <row r="3211" customFormat="false" ht="12.75" hidden="false" customHeight="false" outlineLevel="0" collapsed="false">
      <c r="A3211" s="0" t="n">
        <f aca="false">B3211*1000+C3211</f>
        <v>49044</v>
      </c>
      <c r="B3211" s="0" t="n">
        <v>49</v>
      </c>
      <c r="C3211" s="0" t="n">
        <v>44</v>
      </c>
      <c r="D3211" s="0" t="n">
        <v>91</v>
      </c>
      <c r="E3211" s="0" t="n">
        <f aca="false">VLOOKUP(B3211,'MSA-Lookup'!$H$2:$I$86,2)</f>
        <v>7400</v>
      </c>
      <c r="F3211" s="0" t="n">
        <f aca="false">IF(C3211&gt;1,IF(C3211&lt;99,VLOOKUP(C3211,'MSA-Lookup'!$H$1:$I$86,2),C3211),C3211)</f>
        <v>360</v>
      </c>
      <c r="G3211" s="0" t="n">
        <f aca="false">VLOOKUP(E3211,'MSA-Lookup'!$AA$1:$AB$25,2)</f>
        <v>7362</v>
      </c>
      <c r="H3211" s="0" t="n">
        <f aca="false">IF(C3211&gt;1,IF(C3211&lt;99,VLOOKUP(F3211,'MSA-Lookup'!$AA$1:$AB$25,2),C3211),C3211)</f>
        <v>4472</v>
      </c>
    </row>
    <row r="3212" customFormat="false" ht="12.75" hidden="false" customHeight="false" outlineLevel="0" collapsed="false">
      <c r="A3212" s="0" t="n">
        <f aca="false">B3212*1000+C3212</f>
        <v>49045</v>
      </c>
      <c r="B3212" s="0" t="n">
        <v>49</v>
      </c>
      <c r="C3212" s="0" t="n">
        <v>45</v>
      </c>
      <c r="D3212" s="0" t="n">
        <v>0</v>
      </c>
      <c r="E3212" s="0" t="n">
        <f aca="false">VLOOKUP(B3212,'MSA-Lookup'!$H$2:$I$86,2)</f>
        <v>7400</v>
      </c>
      <c r="F3212" s="0" t="n">
        <f aca="false">IF(C3212&gt;1,IF(C3212&lt;99,VLOOKUP(C3212,'MSA-Lookup'!$H$1:$I$86,2),C3212),C3212)</f>
        <v>360</v>
      </c>
      <c r="G3212" s="0" t="n">
        <f aca="false">VLOOKUP(E3212,'MSA-Lookup'!$AA$1:$AB$25,2)</f>
        <v>7362</v>
      </c>
      <c r="H3212" s="0" t="n">
        <f aca="false">IF(C3212&gt;1,IF(C3212&lt;99,VLOOKUP(F3212,'MSA-Lookup'!$AA$1:$AB$25,2),C3212),C3212)</f>
        <v>4472</v>
      </c>
    </row>
    <row r="3213" customFormat="false" ht="12.75" hidden="false" customHeight="false" outlineLevel="0" collapsed="false">
      <c r="A3213" s="0" t="n">
        <f aca="false">B3213*1000+C3213</f>
        <v>49046</v>
      </c>
      <c r="B3213" s="0" t="n">
        <v>49</v>
      </c>
      <c r="C3213" s="0" t="n">
        <v>46</v>
      </c>
      <c r="D3213" s="0" t="n">
        <v>0</v>
      </c>
      <c r="E3213" s="0" t="n">
        <f aca="false">VLOOKUP(B3213,'MSA-Lookup'!$H$2:$I$86,2)</f>
        <v>7400</v>
      </c>
      <c r="F3213" s="0" t="n">
        <f aca="false">IF(C3213&gt;1,IF(C3213&lt;99,VLOOKUP(C3213,'MSA-Lookup'!$H$1:$I$86,2),C3213),C3213)</f>
        <v>360</v>
      </c>
      <c r="G3213" s="0" t="n">
        <f aca="false">VLOOKUP(E3213,'MSA-Lookup'!$AA$1:$AB$25,2)</f>
        <v>7362</v>
      </c>
      <c r="H3213" s="0" t="n">
        <f aca="false">IF(C3213&gt;1,IF(C3213&lt;99,VLOOKUP(F3213,'MSA-Lookup'!$AA$1:$AB$25,2),C3213),C3213)</f>
        <v>4472</v>
      </c>
    </row>
    <row r="3214" customFormat="false" ht="12.75" hidden="false" customHeight="false" outlineLevel="0" collapsed="false">
      <c r="A3214" s="0" t="n">
        <f aca="false">B3214*1000+C3214</f>
        <v>49047</v>
      </c>
      <c r="B3214" s="0" t="n">
        <v>49</v>
      </c>
      <c r="C3214" s="0" t="n">
        <v>47</v>
      </c>
      <c r="D3214" s="0" t="n">
        <v>0</v>
      </c>
      <c r="E3214" s="0" t="n">
        <f aca="false">VLOOKUP(B3214,'MSA-Lookup'!$H$2:$I$86,2)</f>
        <v>7400</v>
      </c>
      <c r="F3214" s="0" t="n">
        <f aca="false">IF(C3214&gt;1,IF(C3214&lt;99,VLOOKUP(C3214,'MSA-Lookup'!$H$1:$I$86,2),C3214),C3214)</f>
        <v>360</v>
      </c>
      <c r="G3214" s="0" t="n">
        <f aca="false">VLOOKUP(E3214,'MSA-Lookup'!$AA$1:$AB$25,2)</f>
        <v>7362</v>
      </c>
      <c r="H3214" s="0" t="n">
        <f aca="false">IF(C3214&gt;1,IF(C3214&lt;99,VLOOKUP(F3214,'MSA-Lookup'!$AA$1:$AB$25,2),C3214),C3214)</f>
        <v>4472</v>
      </c>
    </row>
    <row r="3215" customFormat="false" ht="12.75" hidden="false" customHeight="false" outlineLevel="0" collapsed="false">
      <c r="A3215" s="0" t="n">
        <f aca="false">B3215*1000+C3215</f>
        <v>49048</v>
      </c>
      <c r="B3215" s="0" t="n">
        <v>49</v>
      </c>
      <c r="C3215" s="0" t="n">
        <v>48</v>
      </c>
      <c r="D3215" s="0" t="n">
        <v>0</v>
      </c>
      <c r="E3215" s="0" t="n">
        <f aca="false">VLOOKUP(B3215,'MSA-Lookup'!$H$2:$I$86,2)</f>
        <v>7400</v>
      </c>
      <c r="F3215" s="0" t="n">
        <f aca="false">IF(C3215&gt;1,IF(C3215&lt;99,VLOOKUP(C3215,'MSA-Lookup'!$H$1:$I$86,2),C3215),C3215)</f>
        <v>360</v>
      </c>
      <c r="G3215" s="0" t="n">
        <f aca="false">VLOOKUP(E3215,'MSA-Lookup'!$AA$1:$AB$25,2)</f>
        <v>7362</v>
      </c>
      <c r="H3215" s="0" t="n">
        <f aca="false">IF(C3215&gt;1,IF(C3215&lt;99,VLOOKUP(F3215,'MSA-Lookup'!$AA$1:$AB$25,2),C3215),C3215)</f>
        <v>4472</v>
      </c>
    </row>
    <row r="3216" customFormat="false" ht="12.75" hidden="false" customHeight="false" outlineLevel="0" collapsed="false">
      <c r="A3216" s="0" t="n">
        <f aca="false">B3216*1000+C3216</f>
        <v>49049</v>
      </c>
      <c r="B3216" s="0" t="n">
        <v>49</v>
      </c>
      <c r="C3216" s="0" t="n">
        <v>49</v>
      </c>
      <c r="D3216" s="0" t="n">
        <v>177047</v>
      </c>
      <c r="E3216" s="0" t="n">
        <f aca="false">VLOOKUP(B3216,'MSA-Lookup'!$H$2:$I$86,2)</f>
        <v>7400</v>
      </c>
      <c r="F3216" s="0" t="n">
        <f aca="false">IF(C3216&gt;1,IF(C3216&lt;99,VLOOKUP(C3216,'MSA-Lookup'!$H$1:$I$86,2),C3216),C3216)</f>
        <v>7400</v>
      </c>
      <c r="G3216" s="0" t="n">
        <f aca="false">VLOOKUP(E3216,'MSA-Lookup'!$AA$1:$AB$25,2)</f>
        <v>7362</v>
      </c>
      <c r="H3216" s="0" t="n">
        <f aca="false">IF(C3216&gt;1,IF(C3216&lt;99,VLOOKUP(F3216,'MSA-Lookup'!$AA$1:$AB$25,2),C3216),C3216)</f>
        <v>7362</v>
      </c>
    </row>
    <row r="3217" customFormat="false" ht="12.75" hidden="false" customHeight="false" outlineLevel="0" collapsed="false">
      <c r="A3217" s="0" t="n">
        <f aca="false">B3217*1000+C3217</f>
        <v>49050</v>
      </c>
      <c r="B3217" s="0" t="n">
        <v>49</v>
      </c>
      <c r="C3217" s="0" t="n">
        <v>50</v>
      </c>
      <c r="D3217" s="0" t="n">
        <v>35828</v>
      </c>
      <c r="E3217" s="0" t="n">
        <f aca="false">VLOOKUP(B3217,'MSA-Lookup'!$H$2:$I$86,2)</f>
        <v>7400</v>
      </c>
      <c r="F3217" s="0" t="n">
        <f aca="false">IF(C3217&gt;1,IF(C3217&lt;99,VLOOKUP(C3217,'MSA-Lookup'!$H$1:$I$86,2),C3217),C3217)</f>
        <v>7400</v>
      </c>
      <c r="G3217" s="0" t="n">
        <f aca="false">VLOOKUP(E3217,'MSA-Lookup'!$AA$1:$AB$25,2)</f>
        <v>7362</v>
      </c>
      <c r="H3217" s="0" t="n">
        <f aca="false">IF(C3217&gt;1,IF(C3217&lt;99,VLOOKUP(F3217,'MSA-Lookup'!$AA$1:$AB$25,2),C3217),C3217)</f>
        <v>7362</v>
      </c>
    </row>
    <row r="3218" customFormat="false" ht="12.75" hidden="false" customHeight="false" outlineLevel="0" collapsed="false">
      <c r="A3218" s="0" t="n">
        <f aca="false">B3218*1000+C3218</f>
        <v>49051</v>
      </c>
      <c r="B3218" s="0" t="n">
        <v>49</v>
      </c>
      <c r="C3218" s="0" t="n">
        <v>51</v>
      </c>
      <c r="D3218" s="0" t="n">
        <v>72020</v>
      </c>
      <c r="E3218" s="0" t="n">
        <f aca="false">VLOOKUP(B3218,'MSA-Lookup'!$H$2:$I$86,2)</f>
        <v>7400</v>
      </c>
      <c r="F3218" s="0" t="n">
        <f aca="false">IF(C3218&gt;1,IF(C3218&lt;99,VLOOKUP(C3218,'MSA-Lookup'!$H$1:$I$86,2),C3218),C3218)</f>
        <v>7400</v>
      </c>
      <c r="G3218" s="0" t="n">
        <f aca="false">VLOOKUP(E3218,'MSA-Lookup'!$AA$1:$AB$25,2)</f>
        <v>7362</v>
      </c>
      <c r="H3218" s="0" t="n">
        <f aca="false">IF(C3218&gt;1,IF(C3218&lt;99,VLOOKUP(F3218,'MSA-Lookup'!$AA$1:$AB$25,2),C3218),C3218)</f>
        <v>7362</v>
      </c>
    </row>
    <row r="3219" customFormat="false" ht="12.75" hidden="false" customHeight="false" outlineLevel="0" collapsed="false">
      <c r="A3219" s="0" t="n">
        <f aca="false">B3219*1000+C3219</f>
        <v>49052</v>
      </c>
      <c r="B3219" s="0" t="n">
        <v>49</v>
      </c>
      <c r="C3219" s="0" t="n">
        <v>52</v>
      </c>
      <c r="D3219" s="0" t="n">
        <v>0</v>
      </c>
      <c r="E3219" s="0" t="n">
        <f aca="false">VLOOKUP(B3219,'MSA-Lookup'!$H$2:$I$86,2)</f>
        <v>7400</v>
      </c>
      <c r="F3219" s="0" t="n">
        <f aca="false">IF(C3219&gt;1,IF(C3219&lt;99,VLOOKUP(C3219,'MSA-Lookup'!$H$1:$I$86,2),C3219),C3219)</f>
        <v>4480</v>
      </c>
      <c r="G3219" s="0" t="n">
        <f aca="false">VLOOKUP(E3219,'MSA-Lookup'!$AA$1:$AB$25,2)</f>
        <v>7362</v>
      </c>
      <c r="H3219" s="0" t="n">
        <f aca="false">IF(C3219&gt;1,IF(C3219&lt;99,VLOOKUP(F3219,'MSA-Lookup'!$AA$1:$AB$25,2),C3219),C3219)</f>
        <v>4472</v>
      </c>
    </row>
    <row r="3220" customFormat="false" ht="12.75" hidden="false" customHeight="false" outlineLevel="0" collapsed="false">
      <c r="A3220" s="0" t="n">
        <f aca="false">B3220*1000+C3220</f>
        <v>49053</v>
      </c>
      <c r="B3220" s="0" t="n">
        <v>49</v>
      </c>
      <c r="C3220" s="0" t="n">
        <v>53</v>
      </c>
      <c r="D3220" s="0" t="n">
        <v>0</v>
      </c>
      <c r="E3220" s="0" t="n">
        <f aca="false">VLOOKUP(B3220,'MSA-Lookup'!$H$2:$I$86,2)</f>
        <v>7400</v>
      </c>
      <c r="F3220" s="0" t="n">
        <f aca="false">IF(C3220&gt;1,IF(C3220&lt;99,VLOOKUP(C3220,'MSA-Lookup'!$H$1:$I$86,2),C3220),C3220)</f>
        <v>4480</v>
      </c>
      <c r="G3220" s="0" t="n">
        <f aca="false">VLOOKUP(E3220,'MSA-Lookup'!$AA$1:$AB$25,2)</f>
        <v>7362</v>
      </c>
      <c r="H3220" s="0" t="n">
        <f aca="false">IF(C3220&gt;1,IF(C3220&lt;99,VLOOKUP(F3220,'MSA-Lookup'!$AA$1:$AB$25,2),C3220),C3220)</f>
        <v>4472</v>
      </c>
    </row>
    <row r="3221" customFormat="false" ht="12.75" hidden="false" customHeight="false" outlineLevel="0" collapsed="false">
      <c r="A3221" s="0" t="n">
        <f aca="false">B3221*1000+C3221</f>
        <v>49054</v>
      </c>
      <c r="B3221" s="0" t="n">
        <v>49</v>
      </c>
      <c r="C3221" s="0" t="n">
        <v>54</v>
      </c>
      <c r="D3221" s="0" t="n">
        <v>0</v>
      </c>
      <c r="E3221" s="0" t="n">
        <f aca="false">VLOOKUP(B3221,'MSA-Lookup'!$H$2:$I$86,2)</f>
        <v>7400</v>
      </c>
      <c r="F3221" s="0" t="n">
        <f aca="false">IF(C3221&gt;1,IF(C3221&lt;99,VLOOKUP(C3221,'MSA-Lookup'!$H$1:$I$86,2),C3221),C3221)</f>
        <v>4480</v>
      </c>
      <c r="G3221" s="0" t="n">
        <f aca="false">VLOOKUP(E3221,'MSA-Lookup'!$AA$1:$AB$25,2)</f>
        <v>7362</v>
      </c>
      <c r="H3221" s="0" t="n">
        <f aca="false">IF(C3221&gt;1,IF(C3221&lt;99,VLOOKUP(F3221,'MSA-Lookup'!$AA$1:$AB$25,2),C3221),C3221)</f>
        <v>4472</v>
      </c>
    </row>
    <row r="3222" customFormat="false" ht="12.75" hidden="false" customHeight="false" outlineLevel="0" collapsed="false">
      <c r="A3222" s="0" t="n">
        <f aca="false">B3222*1000+C3222</f>
        <v>49055</v>
      </c>
      <c r="B3222" s="0" t="n">
        <v>49</v>
      </c>
      <c r="C3222" s="0" t="n">
        <v>55</v>
      </c>
      <c r="D3222" s="0" t="n">
        <v>0</v>
      </c>
      <c r="E3222" s="0" t="n">
        <f aca="false">VLOOKUP(B3222,'MSA-Lookup'!$H$2:$I$86,2)</f>
        <v>7400</v>
      </c>
      <c r="F3222" s="0" t="n">
        <f aca="false">IF(C3222&gt;1,IF(C3222&lt;99,VLOOKUP(C3222,'MSA-Lookup'!$H$1:$I$86,2),C3222),C3222)</f>
        <v>4480</v>
      </c>
      <c r="G3222" s="0" t="n">
        <f aca="false">VLOOKUP(E3222,'MSA-Lookup'!$AA$1:$AB$25,2)</f>
        <v>7362</v>
      </c>
      <c r="H3222" s="0" t="n">
        <f aca="false">IF(C3222&gt;1,IF(C3222&lt;99,VLOOKUP(F3222,'MSA-Lookup'!$AA$1:$AB$25,2),C3222),C3222)</f>
        <v>4472</v>
      </c>
    </row>
    <row r="3223" customFormat="false" ht="12.75" hidden="false" customHeight="false" outlineLevel="0" collapsed="false">
      <c r="A3223" s="0" t="n">
        <f aca="false">B3223*1000+C3223</f>
        <v>49056</v>
      </c>
      <c r="B3223" s="0" t="n">
        <v>49</v>
      </c>
      <c r="C3223" s="0" t="n">
        <v>56</v>
      </c>
      <c r="D3223" s="0" t="n">
        <v>0</v>
      </c>
      <c r="E3223" s="0" t="n">
        <f aca="false">VLOOKUP(B3223,'MSA-Lookup'!$H$2:$I$86,2)</f>
        <v>7400</v>
      </c>
      <c r="F3223" s="0" t="n">
        <f aca="false">IF(C3223&gt;1,IF(C3223&lt;99,VLOOKUP(C3223,'MSA-Lookup'!$H$1:$I$86,2),C3223),C3223)</f>
        <v>4480</v>
      </c>
      <c r="G3223" s="0" t="n">
        <f aca="false">VLOOKUP(E3223,'MSA-Lookup'!$AA$1:$AB$25,2)</f>
        <v>7362</v>
      </c>
      <c r="H3223" s="0" t="n">
        <f aca="false">IF(C3223&gt;1,IF(C3223&lt;99,VLOOKUP(F3223,'MSA-Lookup'!$AA$1:$AB$25,2),C3223),C3223)</f>
        <v>4472</v>
      </c>
    </row>
    <row r="3224" customFormat="false" ht="12.75" hidden="false" customHeight="false" outlineLevel="0" collapsed="false">
      <c r="A3224" s="0" t="n">
        <f aca="false">B3224*1000+C3224</f>
        <v>49057</v>
      </c>
      <c r="B3224" s="0" t="n">
        <v>49</v>
      </c>
      <c r="C3224" s="0" t="n">
        <v>57</v>
      </c>
      <c r="D3224" s="0" t="n">
        <v>0</v>
      </c>
      <c r="E3224" s="0" t="n">
        <f aca="false">VLOOKUP(B3224,'MSA-Lookup'!$H$2:$I$86,2)</f>
        <v>7400</v>
      </c>
      <c r="F3224" s="0" t="n">
        <f aca="false">IF(C3224&gt;1,IF(C3224&lt;99,VLOOKUP(C3224,'MSA-Lookup'!$H$1:$I$86,2),C3224),C3224)</f>
        <v>4480</v>
      </c>
      <c r="G3224" s="0" t="n">
        <f aca="false">VLOOKUP(E3224,'MSA-Lookup'!$AA$1:$AB$25,2)</f>
        <v>7362</v>
      </c>
      <c r="H3224" s="0" t="n">
        <f aca="false">IF(C3224&gt;1,IF(C3224&lt;99,VLOOKUP(F3224,'MSA-Lookup'!$AA$1:$AB$25,2),C3224),C3224)</f>
        <v>4472</v>
      </c>
    </row>
    <row r="3225" customFormat="false" ht="12.75" hidden="false" customHeight="false" outlineLevel="0" collapsed="false">
      <c r="A3225" s="0" t="n">
        <f aca="false">B3225*1000+C3225</f>
        <v>49058</v>
      </c>
      <c r="B3225" s="0" t="n">
        <v>49</v>
      </c>
      <c r="C3225" s="0" t="n">
        <v>58</v>
      </c>
      <c r="D3225" s="0" t="n">
        <v>0</v>
      </c>
      <c r="E3225" s="0" t="n">
        <f aca="false">VLOOKUP(B3225,'MSA-Lookup'!$H$2:$I$86,2)</f>
        <v>7400</v>
      </c>
      <c r="F3225" s="0" t="n">
        <f aca="false">IF(C3225&gt;1,IF(C3225&lt;99,VLOOKUP(C3225,'MSA-Lookup'!$H$1:$I$86,2),C3225),C3225)</f>
        <v>4480</v>
      </c>
      <c r="G3225" s="0" t="n">
        <f aca="false">VLOOKUP(E3225,'MSA-Lookup'!$AA$1:$AB$25,2)</f>
        <v>7362</v>
      </c>
      <c r="H3225" s="0" t="n">
        <f aca="false">IF(C3225&gt;1,IF(C3225&lt;99,VLOOKUP(F3225,'MSA-Lookup'!$AA$1:$AB$25,2),C3225),C3225)</f>
        <v>4472</v>
      </c>
    </row>
    <row r="3226" customFormat="false" ht="12.75" hidden="false" customHeight="false" outlineLevel="0" collapsed="false">
      <c r="A3226" s="0" t="n">
        <f aca="false">B3226*1000+C3226</f>
        <v>49059</v>
      </c>
      <c r="B3226" s="0" t="n">
        <v>49</v>
      </c>
      <c r="C3226" s="0" t="n">
        <v>59</v>
      </c>
      <c r="D3226" s="0" t="n">
        <v>0</v>
      </c>
      <c r="E3226" s="0" t="n">
        <f aca="false">VLOOKUP(B3226,'MSA-Lookup'!$H$2:$I$86,2)</f>
        <v>7400</v>
      </c>
      <c r="F3226" s="0" t="n">
        <f aca="false">IF(C3226&gt;1,IF(C3226&lt;99,VLOOKUP(C3226,'MSA-Lookup'!$H$1:$I$86,2),C3226),C3226)</f>
        <v>4480</v>
      </c>
      <c r="G3226" s="0" t="n">
        <f aca="false">VLOOKUP(E3226,'MSA-Lookup'!$AA$1:$AB$25,2)</f>
        <v>7362</v>
      </c>
      <c r="H3226" s="0" t="n">
        <f aca="false">IF(C3226&gt;1,IF(C3226&lt;99,VLOOKUP(F3226,'MSA-Lookup'!$AA$1:$AB$25,2),C3226),C3226)</f>
        <v>4472</v>
      </c>
    </row>
    <row r="3227" customFormat="false" ht="12.75" hidden="false" customHeight="false" outlineLevel="0" collapsed="false">
      <c r="A3227" s="0" t="n">
        <f aca="false">B3227*1000+C3227</f>
        <v>49060</v>
      </c>
      <c r="B3227" s="0" t="n">
        <v>49</v>
      </c>
      <c r="C3227" s="0" t="n">
        <v>60</v>
      </c>
      <c r="D3227" s="0" t="n">
        <v>0</v>
      </c>
      <c r="E3227" s="0" t="n">
        <f aca="false">VLOOKUP(B3227,'MSA-Lookup'!$H$2:$I$86,2)</f>
        <v>7400</v>
      </c>
      <c r="F3227" s="0" t="n">
        <f aca="false">IF(C3227&gt;1,IF(C3227&lt;99,VLOOKUP(C3227,'MSA-Lookup'!$H$1:$I$86,2),C3227),C3227)</f>
        <v>4480</v>
      </c>
      <c r="G3227" s="0" t="n">
        <f aca="false">VLOOKUP(E3227,'MSA-Lookup'!$AA$1:$AB$25,2)</f>
        <v>7362</v>
      </c>
      <c r="H3227" s="0" t="n">
        <f aca="false">IF(C3227&gt;1,IF(C3227&lt;99,VLOOKUP(F3227,'MSA-Lookup'!$AA$1:$AB$25,2),C3227),C3227)</f>
        <v>4472</v>
      </c>
    </row>
    <row r="3228" customFormat="false" ht="12.75" hidden="false" customHeight="false" outlineLevel="0" collapsed="false">
      <c r="A3228" s="0" t="n">
        <f aca="false">B3228*1000+C3228</f>
        <v>49061</v>
      </c>
      <c r="B3228" s="0" t="n">
        <v>49</v>
      </c>
      <c r="C3228" s="0" t="n">
        <v>61</v>
      </c>
      <c r="D3228" s="0" t="n">
        <v>0</v>
      </c>
      <c r="E3228" s="0" t="n">
        <f aca="false">VLOOKUP(B3228,'MSA-Lookup'!$H$2:$I$86,2)</f>
        <v>7400</v>
      </c>
      <c r="F3228" s="0" t="n">
        <f aca="false">IF(C3228&gt;1,IF(C3228&lt;99,VLOOKUP(C3228,'MSA-Lookup'!$H$1:$I$86,2),C3228),C3228)</f>
        <v>4480</v>
      </c>
      <c r="G3228" s="0" t="n">
        <f aca="false">VLOOKUP(E3228,'MSA-Lookup'!$AA$1:$AB$25,2)</f>
        <v>7362</v>
      </c>
      <c r="H3228" s="0" t="n">
        <f aca="false">IF(C3228&gt;1,IF(C3228&lt;99,VLOOKUP(F3228,'MSA-Lookup'!$AA$1:$AB$25,2),C3228),C3228)</f>
        <v>4472</v>
      </c>
    </row>
    <row r="3229" customFormat="false" ht="12.75" hidden="false" customHeight="false" outlineLevel="0" collapsed="false">
      <c r="A3229" s="0" t="n">
        <f aca="false">B3229*1000+C3229</f>
        <v>49062</v>
      </c>
      <c r="B3229" s="0" t="n">
        <v>49</v>
      </c>
      <c r="C3229" s="0" t="n">
        <v>62</v>
      </c>
      <c r="D3229" s="0" t="n">
        <v>0</v>
      </c>
      <c r="E3229" s="0" t="n">
        <f aca="false">VLOOKUP(B3229,'MSA-Lookup'!$H$2:$I$86,2)</f>
        <v>7400</v>
      </c>
      <c r="F3229" s="0" t="n">
        <f aca="false">IF(C3229&gt;1,IF(C3229&lt;99,VLOOKUP(C3229,'MSA-Lookup'!$H$1:$I$86,2),C3229),C3229)</f>
        <v>4480</v>
      </c>
      <c r="G3229" s="0" t="n">
        <f aca="false">VLOOKUP(E3229,'MSA-Lookup'!$AA$1:$AB$25,2)</f>
        <v>7362</v>
      </c>
      <c r="H3229" s="0" t="n">
        <f aca="false">IF(C3229&gt;1,IF(C3229&lt;99,VLOOKUP(F3229,'MSA-Lookup'!$AA$1:$AB$25,2),C3229),C3229)</f>
        <v>4472</v>
      </c>
    </row>
    <row r="3230" customFormat="false" ht="12.75" hidden="false" customHeight="false" outlineLevel="0" collapsed="false">
      <c r="A3230" s="0" t="n">
        <f aca="false">B3230*1000+C3230</f>
        <v>49063</v>
      </c>
      <c r="B3230" s="0" t="n">
        <v>49</v>
      </c>
      <c r="C3230" s="0" t="n">
        <v>63</v>
      </c>
      <c r="D3230" s="0" t="n">
        <v>455</v>
      </c>
      <c r="E3230" s="0" t="n">
        <f aca="false">VLOOKUP(B3230,'MSA-Lookup'!$H$2:$I$86,2)</f>
        <v>7400</v>
      </c>
      <c r="F3230" s="0" t="n">
        <f aca="false">IF(C3230&gt;1,IF(C3230&lt;99,VLOOKUP(C3230,'MSA-Lookup'!$H$1:$I$86,2),C3230),C3230)</f>
        <v>4480</v>
      </c>
      <c r="G3230" s="0" t="n">
        <f aca="false">VLOOKUP(E3230,'MSA-Lookup'!$AA$1:$AB$25,2)</f>
        <v>7362</v>
      </c>
      <c r="H3230" s="0" t="n">
        <f aca="false">IF(C3230&gt;1,IF(C3230&lt;99,VLOOKUP(F3230,'MSA-Lookup'!$AA$1:$AB$25,2),C3230),C3230)</f>
        <v>4472</v>
      </c>
    </row>
    <row r="3231" customFormat="false" ht="12.75" hidden="false" customHeight="false" outlineLevel="0" collapsed="false">
      <c r="A3231" s="0" t="n">
        <f aca="false">B3231*1000+C3231</f>
        <v>49064</v>
      </c>
      <c r="B3231" s="0" t="n">
        <v>49</v>
      </c>
      <c r="C3231" s="0" t="n">
        <v>64</v>
      </c>
      <c r="D3231" s="0" t="n">
        <v>78</v>
      </c>
      <c r="E3231" s="0" t="n">
        <f aca="false">VLOOKUP(B3231,'MSA-Lookup'!$H$2:$I$86,2)</f>
        <v>7400</v>
      </c>
      <c r="F3231" s="0" t="n">
        <f aca="false">IF(C3231&gt;1,IF(C3231&lt;99,VLOOKUP(C3231,'MSA-Lookup'!$H$1:$I$86,2),C3231),C3231)</f>
        <v>4480</v>
      </c>
      <c r="G3231" s="0" t="n">
        <f aca="false">VLOOKUP(E3231,'MSA-Lookup'!$AA$1:$AB$25,2)</f>
        <v>7362</v>
      </c>
      <c r="H3231" s="0" t="n">
        <f aca="false">IF(C3231&gt;1,IF(C3231&lt;99,VLOOKUP(F3231,'MSA-Lookup'!$AA$1:$AB$25,2),C3231),C3231)</f>
        <v>4472</v>
      </c>
    </row>
    <row r="3232" customFormat="false" ht="12.75" hidden="false" customHeight="false" outlineLevel="0" collapsed="false">
      <c r="A3232" s="0" t="n">
        <f aca="false">B3232*1000+C3232</f>
        <v>49065</v>
      </c>
      <c r="B3232" s="0" t="n">
        <v>49</v>
      </c>
      <c r="C3232" s="0" t="n">
        <v>65</v>
      </c>
      <c r="D3232" s="0" t="n">
        <v>78</v>
      </c>
      <c r="E3232" s="0" t="n">
        <f aca="false">VLOOKUP(B3232,'MSA-Lookup'!$H$2:$I$86,2)</f>
        <v>7400</v>
      </c>
      <c r="F3232" s="0" t="n">
        <f aca="false">IF(C3232&gt;1,IF(C3232&lt;99,VLOOKUP(C3232,'MSA-Lookup'!$H$1:$I$86,2),C3232),C3232)</f>
        <v>4480</v>
      </c>
      <c r="G3232" s="0" t="n">
        <f aca="false">VLOOKUP(E3232,'MSA-Lookup'!$AA$1:$AB$25,2)</f>
        <v>7362</v>
      </c>
      <c r="H3232" s="0" t="n">
        <f aca="false">IF(C3232&gt;1,IF(C3232&lt;99,VLOOKUP(F3232,'MSA-Lookup'!$AA$1:$AB$25,2),C3232),C3232)</f>
        <v>4472</v>
      </c>
    </row>
    <row r="3233" customFormat="false" ht="12.75" hidden="false" customHeight="false" outlineLevel="0" collapsed="false">
      <c r="A3233" s="0" t="n">
        <f aca="false">B3233*1000+C3233</f>
        <v>49066</v>
      </c>
      <c r="B3233" s="0" t="n">
        <v>49</v>
      </c>
      <c r="C3233" s="0" t="n">
        <v>66</v>
      </c>
      <c r="D3233" s="0" t="n">
        <v>0</v>
      </c>
      <c r="E3233" s="0" t="n">
        <f aca="false">VLOOKUP(B3233,'MSA-Lookup'!$H$2:$I$86,2)</f>
        <v>7400</v>
      </c>
      <c r="F3233" s="0" t="n">
        <f aca="false">IF(C3233&gt;1,IF(C3233&lt;99,VLOOKUP(C3233,'MSA-Lookup'!$H$1:$I$86,2),C3233),C3233)</f>
        <v>4480</v>
      </c>
      <c r="G3233" s="0" t="n">
        <f aca="false">VLOOKUP(E3233,'MSA-Lookup'!$AA$1:$AB$25,2)</f>
        <v>7362</v>
      </c>
      <c r="H3233" s="0" t="n">
        <f aca="false">IF(C3233&gt;1,IF(C3233&lt;99,VLOOKUP(F3233,'MSA-Lookup'!$AA$1:$AB$25,2),C3233),C3233)</f>
        <v>4472</v>
      </c>
    </row>
    <row r="3234" customFormat="false" ht="12.75" hidden="false" customHeight="false" outlineLevel="0" collapsed="false">
      <c r="A3234" s="0" t="n">
        <f aca="false">B3234*1000+C3234</f>
        <v>49067</v>
      </c>
      <c r="B3234" s="0" t="n">
        <v>49</v>
      </c>
      <c r="C3234" s="0" t="n">
        <v>67</v>
      </c>
      <c r="D3234" s="0" t="n">
        <v>130</v>
      </c>
      <c r="E3234" s="0" t="n">
        <f aca="false">VLOOKUP(B3234,'MSA-Lookup'!$H$2:$I$86,2)</f>
        <v>7400</v>
      </c>
      <c r="F3234" s="0" t="n">
        <f aca="false">IF(C3234&gt;1,IF(C3234&lt;99,VLOOKUP(C3234,'MSA-Lookup'!$H$1:$I$86,2),C3234),C3234)</f>
        <v>6000</v>
      </c>
      <c r="G3234" s="0" t="n">
        <f aca="false">VLOOKUP(E3234,'MSA-Lookup'!$AA$1:$AB$25,2)</f>
        <v>7362</v>
      </c>
      <c r="H3234" s="0" t="n">
        <f aca="false">IF(C3234&gt;1,IF(C3234&lt;99,VLOOKUP(F3234,'MSA-Lookup'!$AA$1:$AB$25,2),C3234),C3234)</f>
        <v>4472</v>
      </c>
    </row>
    <row r="3235" customFormat="false" ht="12.75" hidden="false" customHeight="false" outlineLevel="0" collapsed="false">
      <c r="A3235" s="0" t="n">
        <f aca="false">B3235*1000+C3235</f>
        <v>49068</v>
      </c>
      <c r="B3235" s="0" t="n">
        <v>49</v>
      </c>
      <c r="C3235" s="0" t="n">
        <v>68</v>
      </c>
      <c r="D3235" s="0" t="n">
        <v>0</v>
      </c>
      <c r="E3235" s="0" t="n">
        <f aca="false">VLOOKUP(B3235,'MSA-Lookup'!$H$2:$I$86,2)</f>
        <v>7400</v>
      </c>
      <c r="F3235" s="0" t="n">
        <f aca="false">IF(C3235&gt;1,IF(C3235&lt;99,VLOOKUP(C3235,'MSA-Lookup'!$H$1:$I$86,2),C3235),C3235)</f>
        <v>6780</v>
      </c>
      <c r="G3235" s="0" t="n">
        <f aca="false">VLOOKUP(E3235,'MSA-Lookup'!$AA$1:$AB$25,2)</f>
        <v>7362</v>
      </c>
      <c r="H3235" s="0" t="n">
        <f aca="false">IF(C3235&gt;1,IF(C3235&lt;99,VLOOKUP(F3235,'MSA-Lookup'!$AA$1:$AB$25,2),C3235),C3235)</f>
        <v>4472</v>
      </c>
    </row>
    <row r="3236" customFormat="false" ht="12.75" hidden="false" customHeight="false" outlineLevel="0" collapsed="false">
      <c r="A3236" s="0" t="n">
        <f aca="false">B3236*1000+C3236</f>
        <v>49069</v>
      </c>
      <c r="B3236" s="0" t="n">
        <v>49</v>
      </c>
      <c r="C3236" s="0" t="n">
        <v>69</v>
      </c>
      <c r="D3236" s="0" t="n">
        <v>0</v>
      </c>
      <c r="E3236" s="0" t="n">
        <f aca="false">VLOOKUP(B3236,'MSA-Lookup'!$H$2:$I$86,2)</f>
        <v>7400</v>
      </c>
      <c r="F3236" s="0" t="n">
        <f aca="false">IF(C3236&gt;1,IF(C3236&lt;99,VLOOKUP(C3236,'MSA-Lookup'!$H$1:$I$86,2),C3236),C3236)</f>
        <v>6780</v>
      </c>
      <c r="G3236" s="0" t="n">
        <f aca="false">VLOOKUP(E3236,'MSA-Lookup'!$AA$1:$AB$25,2)</f>
        <v>7362</v>
      </c>
      <c r="H3236" s="0" t="n">
        <f aca="false">IF(C3236&gt;1,IF(C3236&lt;99,VLOOKUP(F3236,'MSA-Lookup'!$AA$1:$AB$25,2),C3236),C3236)</f>
        <v>4472</v>
      </c>
    </row>
    <row r="3237" customFormat="false" ht="12.75" hidden="false" customHeight="false" outlineLevel="0" collapsed="false">
      <c r="A3237" s="0" t="n">
        <f aca="false">B3237*1000+C3237</f>
        <v>49070</v>
      </c>
      <c r="B3237" s="0" t="n">
        <v>49</v>
      </c>
      <c r="C3237" s="0" t="n">
        <v>70</v>
      </c>
      <c r="D3237" s="0" t="n">
        <v>0</v>
      </c>
      <c r="E3237" s="0" t="n">
        <f aca="false">VLOOKUP(B3237,'MSA-Lookup'!$H$2:$I$86,2)</f>
        <v>7400</v>
      </c>
      <c r="F3237" s="0" t="n">
        <f aca="false">IF(C3237&gt;1,IF(C3237&lt;99,VLOOKUP(C3237,'MSA-Lookup'!$H$1:$I$86,2),C3237),C3237)</f>
        <v>6780</v>
      </c>
      <c r="G3237" s="0" t="n">
        <f aca="false">VLOOKUP(E3237,'MSA-Lookup'!$AA$1:$AB$25,2)</f>
        <v>7362</v>
      </c>
      <c r="H3237" s="0" t="n">
        <f aca="false">IF(C3237&gt;1,IF(C3237&lt;99,VLOOKUP(F3237,'MSA-Lookup'!$AA$1:$AB$25,2),C3237),C3237)</f>
        <v>4472</v>
      </c>
    </row>
    <row r="3238" customFormat="false" ht="12.75" hidden="false" customHeight="false" outlineLevel="0" collapsed="false">
      <c r="A3238" s="0" t="n">
        <f aca="false">B3238*1000+C3238</f>
        <v>49071</v>
      </c>
      <c r="B3238" s="0" t="n">
        <v>49</v>
      </c>
      <c r="C3238" s="0" t="n">
        <v>71</v>
      </c>
      <c r="D3238" s="0" t="n">
        <v>0</v>
      </c>
      <c r="E3238" s="0" t="n">
        <f aca="false">VLOOKUP(B3238,'MSA-Lookup'!$H$2:$I$86,2)</f>
        <v>7400</v>
      </c>
      <c r="F3238" s="0" t="n">
        <f aca="false">IF(C3238&gt;1,IF(C3238&lt;99,VLOOKUP(C3238,'MSA-Lookup'!$H$1:$I$86,2),C3238),C3238)</f>
        <v>6780</v>
      </c>
      <c r="G3238" s="0" t="n">
        <f aca="false">VLOOKUP(E3238,'MSA-Lookup'!$AA$1:$AB$25,2)</f>
        <v>7362</v>
      </c>
      <c r="H3238" s="0" t="n">
        <f aca="false">IF(C3238&gt;1,IF(C3238&lt;99,VLOOKUP(F3238,'MSA-Lookup'!$AA$1:$AB$25,2),C3238),C3238)</f>
        <v>4472</v>
      </c>
    </row>
    <row r="3239" customFormat="false" ht="12.75" hidden="false" customHeight="false" outlineLevel="0" collapsed="false">
      <c r="A3239" s="0" t="n">
        <f aca="false">B3239*1000+C3239</f>
        <v>49072</v>
      </c>
      <c r="B3239" s="0" t="n">
        <v>49</v>
      </c>
      <c r="C3239" s="0" t="n">
        <v>72</v>
      </c>
      <c r="D3239" s="0" t="n">
        <v>0</v>
      </c>
      <c r="E3239" s="0" t="n">
        <f aca="false">VLOOKUP(B3239,'MSA-Lookup'!$H$2:$I$86,2)</f>
        <v>7400</v>
      </c>
      <c r="F3239" s="0" t="n">
        <f aca="false">IF(C3239&gt;1,IF(C3239&lt;99,VLOOKUP(C3239,'MSA-Lookup'!$H$1:$I$86,2),C3239),C3239)</f>
        <v>6780</v>
      </c>
      <c r="G3239" s="0" t="n">
        <f aca="false">VLOOKUP(E3239,'MSA-Lookup'!$AA$1:$AB$25,2)</f>
        <v>7362</v>
      </c>
      <c r="H3239" s="0" t="n">
        <f aca="false">IF(C3239&gt;1,IF(C3239&lt;99,VLOOKUP(F3239,'MSA-Lookup'!$AA$1:$AB$25,2),C3239),C3239)</f>
        <v>4472</v>
      </c>
    </row>
    <row r="3240" customFormat="false" ht="12.75" hidden="false" customHeight="false" outlineLevel="0" collapsed="false">
      <c r="A3240" s="0" t="n">
        <f aca="false">B3240*1000+C3240</f>
        <v>49073</v>
      </c>
      <c r="B3240" s="0" t="n">
        <v>49</v>
      </c>
      <c r="C3240" s="0" t="n">
        <v>73</v>
      </c>
      <c r="D3240" s="0" t="n">
        <v>0</v>
      </c>
      <c r="E3240" s="0" t="n">
        <f aca="false">VLOOKUP(B3240,'MSA-Lookup'!$H$2:$I$86,2)</f>
        <v>7400</v>
      </c>
      <c r="F3240" s="0" t="n">
        <f aca="false">IF(C3240&gt;1,IF(C3240&lt;99,VLOOKUP(C3240,'MSA-Lookup'!$H$1:$I$86,2),C3240),C3240)</f>
        <v>8720</v>
      </c>
      <c r="G3240" s="0" t="n">
        <f aca="false">VLOOKUP(E3240,'MSA-Lookup'!$AA$1:$AB$25,2)</f>
        <v>7362</v>
      </c>
      <c r="H3240" s="0" t="n">
        <f aca="false">IF(C3240&gt;1,IF(C3240&lt;99,VLOOKUP(F3240,'MSA-Lookup'!$AA$1:$AB$25,2),C3240),C3240)</f>
        <v>7362</v>
      </c>
    </row>
    <row r="3241" customFormat="false" ht="12.75" hidden="false" customHeight="false" outlineLevel="0" collapsed="false">
      <c r="A3241" s="0" t="n">
        <f aca="false">B3241*1000+C3241</f>
        <v>49075</v>
      </c>
      <c r="B3241" s="0" t="n">
        <v>49</v>
      </c>
      <c r="C3241" s="0" t="n">
        <v>75</v>
      </c>
      <c r="D3241" s="0" t="n">
        <v>0</v>
      </c>
      <c r="E3241" s="0" t="n">
        <f aca="false">VLOOKUP(B3241,'MSA-Lookup'!$H$2:$I$86,2)</f>
        <v>7400</v>
      </c>
      <c r="F3241" s="0" t="n">
        <f aca="false">IF(C3241&gt;1,IF(C3241&lt;99,VLOOKUP(C3241,'MSA-Lookup'!$H$1:$I$86,2),C3241),C3241)</f>
        <v>8780</v>
      </c>
      <c r="G3241" s="0" t="n">
        <f aca="false">VLOOKUP(E3241,'MSA-Lookup'!$AA$1:$AB$25,2)</f>
        <v>7362</v>
      </c>
      <c r="H3241" s="0" t="n">
        <f aca="false">IF(C3241&gt;1,IF(C3241&lt;99,VLOOKUP(F3241,'MSA-Lookup'!$AA$1:$AB$25,2),C3241),C3241)</f>
        <v>8780</v>
      </c>
    </row>
    <row r="3242" customFormat="false" ht="12.75" hidden="false" customHeight="false" outlineLevel="0" collapsed="false">
      <c r="A3242" s="0" t="n">
        <f aca="false">B3242*1000+C3242</f>
        <v>49076</v>
      </c>
      <c r="B3242" s="0" t="n">
        <v>49</v>
      </c>
      <c r="C3242" s="0" t="n">
        <v>76</v>
      </c>
      <c r="D3242" s="0" t="n">
        <v>2405</v>
      </c>
      <c r="E3242" s="0" t="n">
        <f aca="false">VLOOKUP(B3242,'MSA-Lookup'!$H$2:$I$86,2)</f>
        <v>7400</v>
      </c>
      <c r="F3242" s="0" t="n">
        <f aca="false">IF(C3242&gt;1,IF(C3242&lt;99,VLOOKUP(C3242,'MSA-Lookup'!$H$1:$I$86,2),C3242),C3242)</f>
        <v>7485</v>
      </c>
      <c r="G3242" s="0" t="n">
        <f aca="false">VLOOKUP(E3242,'MSA-Lookup'!$AA$1:$AB$25,2)</f>
        <v>7362</v>
      </c>
      <c r="H3242" s="0" t="n">
        <f aca="false">IF(C3242&gt;1,IF(C3242&lt;99,VLOOKUP(F3242,'MSA-Lookup'!$AA$1:$AB$25,2),C3242),C3242)</f>
        <v>7362</v>
      </c>
    </row>
    <row r="3243" customFormat="false" ht="12.75" hidden="false" customHeight="false" outlineLevel="0" collapsed="false">
      <c r="A3243" s="0" t="n">
        <f aca="false">B3243*1000+C3243</f>
        <v>49077</v>
      </c>
      <c r="B3243" s="0" t="n">
        <v>49</v>
      </c>
      <c r="C3243" s="0" t="n">
        <v>77</v>
      </c>
      <c r="D3243" s="0" t="n">
        <v>0</v>
      </c>
      <c r="E3243" s="0" t="n">
        <f aca="false">VLOOKUP(B3243,'MSA-Lookup'!$H$2:$I$86,2)</f>
        <v>7400</v>
      </c>
      <c r="F3243" s="0" t="n">
        <f aca="false">IF(C3243&gt;1,IF(C3243&lt;99,VLOOKUP(C3243,'MSA-Lookup'!$H$1:$I$86,2),C3243),C3243)</f>
        <v>9999</v>
      </c>
      <c r="G3243" s="0" t="n">
        <f aca="false">VLOOKUP(E3243,'MSA-Lookup'!$AA$1:$AB$25,2)</f>
        <v>7362</v>
      </c>
      <c r="H3243" s="0" t="n">
        <f aca="false">IF(C3243&gt;1,IF(C3243&lt;99,VLOOKUP(F3243,'MSA-Lookup'!$AA$1:$AB$25,2),C3243),C3243)</f>
        <v>9999</v>
      </c>
    </row>
    <row r="3244" customFormat="false" ht="12.75" hidden="false" customHeight="false" outlineLevel="0" collapsed="false">
      <c r="A3244" s="0" t="n">
        <f aca="false">B3244*1000+C3244</f>
        <v>49078</v>
      </c>
      <c r="B3244" s="0" t="n">
        <v>49</v>
      </c>
      <c r="C3244" s="0" t="n">
        <v>78</v>
      </c>
      <c r="D3244" s="0" t="n">
        <v>65</v>
      </c>
      <c r="E3244" s="0" t="n">
        <f aca="false">VLOOKUP(B3244,'MSA-Lookup'!$H$2:$I$86,2)</f>
        <v>7400</v>
      </c>
      <c r="F3244" s="0" t="n">
        <f aca="false">IF(C3244&gt;1,IF(C3244&lt;99,VLOOKUP(C3244,'MSA-Lookup'!$H$1:$I$86,2),C3244),C3244)</f>
        <v>680</v>
      </c>
      <c r="G3244" s="0" t="n">
        <f aca="false">VLOOKUP(E3244,'MSA-Lookup'!$AA$1:$AB$25,2)</f>
        <v>7362</v>
      </c>
      <c r="H3244" s="0" t="n">
        <f aca="false">IF(C3244&gt;1,IF(C3244&lt;99,VLOOKUP(F3244,'MSA-Lookup'!$AA$1:$AB$25,2),C3244),C3244)</f>
        <v>680</v>
      </c>
    </row>
    <row r="3245" customFormat="false" ht="12.75" hidden="false" customHeight="false" outlineLevel="0" collapsed="false">
      <c r="A3245" s="0" t="n">
        <f aca="false">B3245*1000+C3245</f>
        <v>49079</v>
      </c>
      <c r="B3245" s="0" t="n">
        <v>49</v>
      </c>
      <c r="C3245" s="0" t="n">
        <v>79</v>
      </c>
      <c r="D3245" s="0" t="n">
        <v>130</v>
      </c>
      <c r="E3245" s="0" t="n">
        <f aca="false">VLOOKUP(B3245,'MSA-Lookup'!$H$2:$I$86,2)</f>
        <v>7400</v>
      </c>
      <c r="F3245" s="0" t="n">
        <f aca="false">IF(C3245&gt;1,IF(C3245&lt;99,VLOOKUP(C3245,'MSA-Lookup'!$H$1:$I$86,2),C3245),C3245)</f>
        <v>680</v>
      </c>
      <c r="G3245" s="0" t="n">
        <f aca="false">VLOOKUP(E3245,'MSA-Lookup'!$AA$1:$AB$25,2)</f>
        <v>7362</v>
      </c>
      <c r="H3245" s="0" t="n">
        <f aca="false">IF(C3245&gt;1,IF(C3245&lt;99,VLOOKUP(F3245,'MSA-Lookup'!$AA$1:$AB$25,2),C3245),C3245)</f>
        <v>680</v>
      </c>
    </row>
    <row r="3246" customFormat="false" ht="12.75" hidden="false" customHeight="false" outlineLevel="0" collapsed="false">
      <c r="A3246" s="0" t="n">
        <f aca="false">B3246*1000+C3246</f>
        <v>49080</v>
      </c>
      <c r="B3246" s="0" t="n">
        <v>49</v>
      </c>
      <c r="C3246" s="0" t="n">
        <v>80</v>
      </c>
      <c r="D3246" s="0" t="n">
        <v>130</v>
      </c>
      <c r="E3246" s="0" t="n">
        <f aca="false">VLOOKUP(B3246,'MSA-Lookup'!$H$2:$I$86,2)</f>
        <v>7400</v>
      </c>
      <c r="F3246" s="0" t="n">
        <f aca="false">IF(C3246&gt;1,IF(C3246&lt;99,VLOOKUP(C3246,'MSA-Lookup'!$H$1:$I$86,2),C3246),C3246)</f>
        <v>9999</v>
      </c>
      <c r="G3246" s="0" t="n">
        <f aca="false">VLOOKUP(E3246,'MSA-Lookup'!$AA$1:$AB$25,2)</f>
        <v>7362</v>
      </c>
      <c r="H3246" s="0" t="n">
        <f aca="false">IF(C3246&gt;1,IF(C3246&lt;99,VLOOKUP(F3246,'MSA-Lookup'!$AA$1:$AB$25,2),C3246),C3246)</f>
        <v>9999</v>
      </c>
    </row>
    <row r="3247" customFormat="false" ht="12.75" hidden="false" customHeight="false" outlineLevel="0" collapsed="false">
      <c r="A3247" s="0" t="n">
        <f aca="false">B3247*1000+C3247</f>
        <v>49081</v>
      </c>
      <c r="B3247" s="0" t="n">
        <v>49</v>
      </c>
      <c r="C3247" s="0" t="n">
        <v>81</v>
      </c>
      <c r="D3247" s="0" t="n">
        <v>0</v>
      </c>
      <c r="E3247" s="0" t="n">
        <f aca="false">VLOOKUP(B3247,'MSA-Lookup'!$H$2:$I$86,2)</f>
        <v>7400</v>
      </c>
      <c r="F3247" s="0" t="n">
        <f aca="false">IF(C3247&gt;1,IF(C3247&lt;99,VLOOKUP(C3247,'MSA-Lookup'!$H$1:$I$86,2),C3247),C3247)</f>
        <v>6780</v>
      </c>
      <c r="G3247" s="0" t="n">
        <f aca="false">VLOOKUP(E3247,'MSA-Lookup'!$AA$1:$AB$25,2)</f>
        <v>7362</v>
      </c>
      <c r="H3247" s="0" t="n">
        <f aca="false">IF(C3247&gt;1,IF(C3247&lt;99,VLOOKUP(F3247,'MSA-Lookup'!$AA$1:$AB$25,2),C3247),C3247)</f>
        <v>4472</v>
      </c>
    </row>
    <row r="3248" customFormat="false" ht="12.75" hidden="false" customHeight="false" outlineLevel="0" collapsed="false">
      <c r="A3248" s="0" t="n">
        <f aca="false">B3248*1000+C3248</f>
        <v>49082</v>
      </c>
      <c r="B3248" s="0" t="n">
        <v>49</v>
      </c>
      <c r="C3248" s="0" t="n">
        <v>82</v>
      </c>
      <c r="D3248" s="0" t="n">
        <v>0</v>
      </c>
      <c r="E3248" s="0" t="n">
        <f aca="false">VLOOKUP(B3248,'MSA-Lookup'!$H$2:$I$86,2)</f>
        <v>7400</v>
      </c>
      <c r="F3248" s="0" t="n">
        <f aca="false">IF(C3248&gt;1,IF(C3248&lt;99,VLOOKUP(C3248,'MSA-Lookup'!$H$1:$I$86,2),C3248),C3248)</f>
        <v>6780</v>
      </c>
      <c r="G3248" s="0" t="n">
        <f aca="false">VLOOKUP(E3248,'MSA-Lookup'!$AA$1:$AB$25,2)</f>
        <v>7362</v>
      </c>
      <c r="H3248" s="0" t="n">
        <f aca="false">IF(C3248&gt;1,IF(C3248&lt;99,VLOOKUP(F3248,'MSA-Lookup'!$AA$1:$AB$25,2),C3248),C3248)</f>
        <v>4472</v>
      </c>
    </row>
    <row r="3249" customFormat="false" ht="12.75" hidden="false" customHeight="false" outlineLevel="0" collapsed="false">
      <c r="A3249" s="0" t="n">
        <f aca="false">B3249*1000+C3249</f>
        <v>49083</v>
      </c>
      <c r="B3249" s="0" t="n">
        <v>49</v>
      </c>
      <c r="C3249" s="0" t="n">
        <v>83</v>
      </c>
      <c r="D3249" s="0" t="n">
        <v>0</v>
      </c>
      <c r="E3249" s="0" t="n">
        <f aca="false">VLOOKUP(B3249,'MSA-Lookup'!$H$2:$I$86,2)</f>
        <v>7400</v>
      </c>
      <c r="F3249" s="0" t="n">
        <f aca="false">IF(C3249&gt;1,IF(C3249&lt;99,VLOOKUP(C3249,'MSA-Lookup'!$H$1:$I$86,2),C3249),C3249)</f>
        <v>6000</v>
      </c>
      <c r="G3249" s="0" t="n">
        <f aca="false">VLOOKUP(E3249,'MSA-Lookup'!$AA$1:$AB$25,2)</f>
        <v>7362</v>
      </c>
      <c r="H3249" s="0" t="n">
        <f aca="false">IF(C3249&gt;1,IF(C3249&lt;99,VLOOKUP(F3249,'MSA-Lookup'!$AA$1:$AB$25,2),C3249),C3249)</f>
        <v>4472</v>
      </c>
    </row>
    <row r="3250" customFormat="false" ht="12.75" hidden="false" customHeight="false" outlineLevel="0" collapsed="false">
      <c r="A3250" s="0" t="n">
        <f aca="false">B3250*1000+C3250</f>
        <v>49084</v>
      </c>
      <c r="B3250" s="0" t="n">
        <v>49</v>
      </c>
      <c r="C3250" s="0" t="n">
        <v>84</v>
      </c>
      <c r="D3250" s="0" t="n">
        <v>0</v>
      </c>
      <c r="E3250" s="0" t="n">
        <f aca="false">VLOOKUP(B3250,'MSA-Lookup'!$H$2:$I$86,2)</f>
        <v>7400</v>
      </c>
      <c r="F3250" s="0" t="n">
        <f aca="false">IF(C3250&gt;1,IF(C3250&lt;99,VLOOKUP(C3250,'MSA-Lookup'!$H$1:$I$86,2),C3250),C3250)</f>
        <v>360</v>
      </c>
      <c r="G3250" s="0" t="n">
        <f aca="false">VLOOKUP(E3250,'MSA-Lookup'!$AA$1:$AB$25,2)</f>
        <v>7362</v>
      </c>
      <c r="H3250" s="0" t="n">
        <f aca="false">IF(C3250&gt;1,IF(C3250&lt;99,VLOOKUP(F3250,'MSA-Lookup'!$AA$1:$AB$25,2),C3250),C3250)</f>
        <v>4472</v>
      </c>
    </row>
    <row r="3251" customFormat="false" ht="12.75" hidden="false" customHeight="false" outlineLevel="0" collapsed="false">
      <c r="A3251" s="0" t="n">
        <f aca="false">B3251*1000+C3251</f>
        <v>49085</v>
      </c>
      <c r="B3251" s="0" t="n">
        <v>49</v>
      </c>
      <c r="C3251" s="0" t="n">
        <v>85</v>
      </c>
      <c r="D3251" s="0" t="n">
        <v>0</v>
      </c>
      <c r="E3251" s="0" t="n">
        <f aca="false">VLOOKUP(B3251,'MSA-Lookup'!$H$2:$I$86,2)</f>
        <v>7400</v>
      </c>
      <c r="F3251" s="0" t="n">
        <f aca="false">IF(C3251&gt;1,IF(C3251&lt;99,VLOOKUP(C3251,'MSA-Lookup'!$H$1:$I$86,2),C3251),C3251)</f>
        <v>8120</v>
      </c>
      <c r="G3251" s="0" t="n">
        <f aca="false">VLOOKUP(E3251,'MSA-Lookup'!$AA$1:$AB$25,2)</f>
        <v>7362</v>
      </c>
      <c r="H3251" s="0" t="n">
        <f aca="false">IF(C3251&gt;1,IF(C3251&lt;99,VLOOKUP(F3251,'MSA-Lookup'!$AA$1:$AB$25,2),C3251),C3251)</f>
        <v>8120</v>
      </c>
    </row>
    <row r="3252" customFormat="false" ht="12.75" hidden="false" customHeight="false" outlineLevel="0" collapsed="false">
      <c r="A3252" s="0" t="n">
        <f aca="false">B3252*1000+C3252</f>
        <v>49858</v>
      </c>
      <c r="B3252" s="0" t="n">
        <v>49</v>
      </c>
      <c r="C3252" s="0" t="n">
        <v>858</v>
      </c>
      <c r="D3252" s="0" t="n">
        <v>0</v>
      </c>
      <c r="E3252" s="0" t="n">
        <f aca="false">VLOOKUP(B3252,'MSA-Lookup'!$H$2:$I$86,2)</f>
        <v>7400</v>
      </c>
      <c r="F3252" s="0" t="n">
        <f aca="false">IF(C3252&gt;1,IF(C3252&lt;99,VLOOKUP(C3252,'MSA-Lookup'!$H$1:$I$86,2),C3252),C3252)</f>
        <v>858</v>
      </c>
      <c r="G3252" s="0" t="n">
        <f aca="false">VLOOKUP(E3252,'MSA-Lookup'!$AA$1:$AB$25,2)</f>
        <v>7362</v>
      </c>
      <c r="H3252" s="0" t="n">
        <f aca="false">IF(C3252&gt;1,IF(C3252&lt;99,VLOOKUP(F3252,'MSA-Lookup'!$AA$1:$AB$25,2),C3252),C3252)</f>
        <v>858</v>
      </c>
    </row>
    <row r="3253" customFormat="false" ht="12.75" hidden="false" customHeight="false" outlineLevel="0" collapsed="false">
      <c r="A3253" s="0" t="n">
        <f aca="false">B3253*1000+C3253</f>
        <v>49983</v>
      </c>
      <c r="B3253" s="0" t="n">
        <v>49</v>
      </c>
      <c r="C3253" s="0" t="n">
        <v>983</v>
      </c>
      <c r="D3253" s="0" t="n">
        <v>0</v>
      </c>
      <c r="E3253" s="0" t="n">
        <f aca="false">VLOOKUP(B3253,'MSA-Lookup'!$H$2:$I$86,2)</f>
        <v>7400</v>
      </c>
      <c r="F3253" s="0" t="n">
        <f aca="false">IF(C3253&gt;1,IF(C3253&lt;99,VLOOKUP(C3253,'MSA-Lookup'!$H$1:$I$86,2),C3253),C3253)</f>
        <v>983</v>
      </c>
      <c r="G3253" s="0" t="n">
        <f aca="false">VLOOKUP(E3253,'MSA-Lookup'!$AA$1:$AB$25,2)</f>
        <v>7362</v>
      </c>
      <c r="H3253" s="0" t="n">
        <f aca="false">IF(C3253&gt;1,IF(C3253&lt;99,VLOOKUP(F3253,'MSA-Lookup'!$AA$1:$AB$25,2),C3253),C3253)</f>
        <v>983</v>
      </c>
    </row>
    <row r="3254" customFormat="false" ht="12.75" hidden="false" customHeight="false" outlineLevel="0" collapsed="false">
      <c r="A3254" s="0" t="n">
        <f aca="false">B3254*1000+C3254</f>
        <v>49999</v>
      </c>
      <c r="B3254" s="0" t="n">
        <v>49</v>
      </c>
      <c r="C3254" s="0" t="n">
        <v>999</v>
      </c>
      <c r="D3254" s="0" t="n">
        <v>182</v>
      </c>
      <c r="E3254" s="0" t="n">
        <f aca="false">VLOOKUP(B3254,'MSA-Lookup'!$H$2:$I$86,2)</f>
        <v>7400</v>
      </c>
      <c r="F3254" s="0" t="n">
        <f aca="false">IF(C3254&gt;1,IF(C3254&lt;99,VLOOKUP(C3254,'MSA-Lookup'!$H$1:$I$86,2),C3254),C3254)</f>
        <v>999</v>
      </c>
      <c r="G3254" s="0" t="n">
        <f aca="false">VLOOKUP(E3254,'MSA-Lookup'!$AA$1:$AB$25,2)</f>
        <v>7362</v>
      </c>
      <c r="H3254" s="0" t="n">
        <f aca="false">IF(C3254&gt;1,IF(C3254&lt;99,VLOOKUP(F3254,'MSA-Lookup'!$AA$1:$AB$25,2),C3254),C3254)</f>
        <v>999</v>
      </c>
    </row>
    <row r="3255" customFormat="false" ht="12.75" hidden="false" customHeight="false" outlineLevel="0" collapsed="false">
      <c r="A3255" s="0" t="n">
        <f aca="false">B3255*1000+C3255</f>
        <v>50000</v>
      </c>
      <c r="B3255" s="0" t="n">
        <v>50</v>
      </c>
      <c r="C3255" s="0" t="n">
        <v>0</v>
      </c>
      <c r="D3255" s="0" t="n">
        <v>44824</v>
      </c>
      <c r="E3255" s="0" t="n">
        <f aca="false">VLOOKUP(B3255,'MSA-Lookup'!$H$2:$I$86,2)</f>
        <v>7400</v>
      </c>
      <c r="F3255" s="0" t="n">
        <f aca="false">IF(C3255&gt;1,IF(C3255&lt;99,VLOOKUP(C3255,'MSA-Lookup'!$H$1:$I$86,2),C3255),C3255)</f>
        <v>0</v>
      </c>
      <c r="G3255" s="0" t="n">
        <f aca="false">VLOOKUP(E3255,'MSA-Lookup'!$AA$1:$AB$25,2)</f>
        <v>7362</v>
      </c>
      <c r="H3255" s="0" t="n">
        <f aca="false">IF(C3255&gt;1,IF(C3255&lt;99,VLOOKUP(F3255,'MSA-Lookup'!$AA$1:$AB$25,2),C3255),C3255)</f>
        <v>0</v>
      </c>
    </row>
    <row r="3256" customFormat="false" ht="12.75" hidden="false" customHeight="false" outlineLevel="0" collapsed="false">
      <c r="A3256" s="0" t="n">
        <f aca="false">B3256*1000+C3256</f>
        <v>50001</v>
      </c>
      <c r="B3256" s="0" t="n">
        <v>50</v>
      </c>
      <c r="C3256" s="0" t="n">
        <v>1</v>
      </c>
      <c r="D3256" s="0" t="n">
        <v>0</v>
      </c>
      <c r="E3256" s="0" t="n">
        <f aca="false">VLOOKUP(B3256,'MSA-Lookup'!$H$2:$I$86,2)</f>
        <v>7400</v>
      </c>
      <c r="F3256" s="0" t="n">
        <f aca="false">IF(C3256&gt;1,IF(C3256&lt;99,VLOOKUP(C3256,'MSA-Lookup'!$H$1:$I$86,2),C3256),C3256)</f>
        <v>1</v>
      </c>
      <c r="G3256" s="0" t="n">
        <f aca="false">VLOOKUP(E3256,'MSA-Lookup'!$AA$1:$AB$25,2)</f>
        <v>7362</v>
      </c>
      <c r="H3256" s="0" t="n">
        <f aca="false">IF(C3256&gt;1,IF(C3256&lt;99,VLOOKUP(F3256,'MSA-Lookup'!$AA$1:$AB$25,2),C3256),C3256)</f>
        <v>1</v>
      </c>
    </row>
    <row r="3257" customFormat="false" ht="12.75" hidden="false" customHeight="false" outlineLevel="0" collapsed="false">
      <c r="A3257" s="0" t="n">
        <f aca="false">B3257*1000+C3257</f>
        <v>50002</v>
      </c>
      <c r="B3257" s="0" t="n">
        <v>50</v>
      </c>
      <c r="C3257" s="0" t="n">
        <v>2</v>
      </c>
      <c r="D3257" s="0" t="n">
        <v>0</v>
      </c>
      <c r="E3257" s="0" t="n">
        <f aca="false">VLOOKUP(B3257,'MSA-Lookup'!$H$2:$I$86,2)</f>
        <v>7400</v>
      </c>
      <c r="F3257" s="0" t="n">
        <f aca="false">IF(C3257&gt;1,IF(C3257&lt;99,VLOOKUP(C3257,'MSA-Lookup'!$H$1:$I$86,2),C3257),C3257)</f>
        <v>9999</v>
      </c>
      <c r="G3257" s="0" t="n">
        <f aca="false">VLOOKUP(E3257,'MSA-Lookup'!$AA$1:$AB$25,2)</f>
        <v>7362</v>
      </c>
      <c r="H3257" s="0" t="n">
        <f aca="false">IF(C3257&gt;1,IF(C3257&lt;99,VLOOKUP(F3257,'MSA-Lookup'!$AA$1:$AB$25,2),C3257),C3257)</f>
        <v>9999</v>
      </c>
    </row>
    <row r="3258" customFormat="false" ht="12.75" hidden="false" customHeight="false" outlineLevel="0" collapsed="false">
      <c r="A3258" s="0" t="n">
        <f aca="false">B3258*1000+C3258</f>
        <v>50003</v>
      </c>
      <c r="B3258" s="0" t="n">
        <v>50</v>
      </c>
      <c r="C3258" s="0" t="n">
        <v>3</v>
      </c>
      <c r="D3258" s="0" t="n">
        <v>0</v>
      </c>
      <c r="E3258" s="0" t="n">
        <f aca="false">VLOOKUP(B3258,'MSA-Lookup'!$H$2:$I$86,2)</f>
        <v>7400</v>
      </c>
      <c r="F3258" s="0" t="n">
        <f aca="false">IF(C3258&gt;1,IF(C3258&lt;99,VLOOKUP(C3258,'MSA-Lookup'!$H$1:$I$86,2),C3258),C3258)</f>
        <v>6690</v>
      </c>
      <c r="G3258" s="0" t="n">
        <f aca="false">VLOOKUP(E3258,'MSA-Lookup'!$AA$1:$AB$25,2)</f>
        <v>7362</v>
      </c>
      <c r="H3258" s="0" t="n">
        <f aca="false">IF(C3258&gt;1,IF(C3258&lt;99,VLOOKUP(F3258,'MSA-Lookup'!$AA$1:$AB$25,2),C3258),C3258)</f>
        <v>6690</v>
      </c>
    </row>
    <row r="3259" customFormat="false" ht="12.75" hidden="false" customHeight="false" outlineLevel="0" collapsed="false">
      <c r="A3259" s="0" t="n">
        <f aca="false">B3259*1000+C3259</f>
        <v>50004</v>
      </c>
      <c r="B3259" s="0" t="n">
        <v>50</v>
      </c>
      <c r="C3259" s="0" t="n">
        <v>4</v>
      </c>
      <c r="D3259" s="0" t="n">
        <v>0</v>
      </c>
      <c r="E3259" s="0" t="n">
        <f aca="false">VLOOKUP(B3259,'MSA-Lookup'!$H$2:$I$86,2)</f>
        <v>7400</v>
      </c>
      <c r="F3259" s="0" t="n">
        <f aca="false">IF(C3259&gt;1,IF(C3259&lt;99,VLOOKUP(C3259,'MSA-Lookup'!$H$1:$I$86,2),C3259),C3259)</f>
        <v>9999</v>
      </c>
      <c r="G3259" s="0" t="n">
        <f aca="false">VLOOKUP(E3259,'MSA-Lookup'!$AA$1:$AB$25,2)</f>
        <v>7362</v>
      </c>
      <c r="H3259" s="0" t="n">
        <f aca="false">IF(C3259&gt;1,IF(C3259&lt;99,VLOOKUP(F3259,'MSA-Lookup'!$AA$1:$AB$25,2),C3259),C3259)</f>
        <v>9999</v>
      </c>
    </row>
    <row r="3260" customFormat="false" ht="12.75" hidden="false" customHeight="false" outlineLevel="0" collapsed="false">
      <c r="A3260" s="0" t="n">
        <f aca="false">B3260*1000+C3260</f>
        <v>50005</v>
      </c>
      <c r="B3260" s="0" t="n">
        <v>50</v>
      </c>
      <c r="C3260" s="0" t="n">
        <v>5</v>
      </c>
      <c r="D3260" s="0" t="n">
        <v>0</v>
      </c>
      <c r="E3260" s="0" t="n">
        <f aca="false">VLOOKUP(B3260,'MSA-Lookup'!$H$2:$I$86,2)</f>
        <v>7400</v>
      </c>
      <c r="F3260" s="0" t="n">
        <f aca="false">IF(C3260&gt;1,IF(C3260&lt;99,VLOOKUP(C3260,'MSA-Lookup'!$H$1:$I$86,2),C3260),C3260)</f>
        <v>9999</v>
      </c>
      <c r="G3260" s="0" t="n">
        <f aca="false">VLOOKUP(E3260,'MSA-Lookup'!$AA$1:$AB$25,2)</f>
        <v>7362</v>
      </c>
      <c r="H3260" s="0" t="n">
        <f aca="false">IF(C3260&gt;1,IF(C3260&lt;99,VLOOKUP(F3260,'MSA-Lookup'!$AA$1:$AB$25,2),C3260),C3260)</f>
        <v>9999</v>
      </c>
    </row>
    <row r="3261" customFormat="false" ht="12.75" hidden="false" customHeight="false" outlineLevel="0" collapsed="false">
      <c r="A3261" s="0" t="n">
        <f aca="false">B3261*1000+C3261</f>
        <v>50006</v>
      </c>
      <c r="B3261" s="0" t="n">
        <v>50</v>
      </c>
      <c r="C3261" s="0" t="n">
        <v>6</v>
      </c>
      <c r="D3261" s="0" t="n">
        <v>0</v>
      </c>
      <c r="E3261" s="0" t="n">
        <f aca="false">VLOOKUP(B3261,'MSA-Lookup'!$H$2:$I$86,2)</f>
        <v>7400</v>
      </c>
      <c r="F3261" s="0" t="n">
        <f aca="false">IF(C3261&gt;1,IF(C3261&lt;99,VLOOKUP(C3261,'MSA-Lookup'!$H$1:$I$86,2),C3261),C3261)</f>
        <v>1620</v>
      </c>
      <c r="G3261" s="0" t="n">
        <f aca="false">VLOOKUP(E3261,'MSA-Lookup'!$AA$1:$AB$25,2)</f>
        <v>7362</v>
      </c>
      <c r="H3261" s="0" t="n">
        <f aca="false">IF(C3261&gt;1,IF(C3261&lt;99,VLOOKUP(F3261,'MSA-Lookup'!$AA$1:$AB$25,2),C3261),C3261)</f>
        <v>1620</v>
      </c>
    </row>
    <row r="3262" customFormat="false" ht="12.75" hidden="false" customHeight="false" outlineLevel="0" collapsed="false">
      <c r="A3262" s="0" t="n">
        <f aca="false">B3262*1000+C3262</f>
        <v>50007</v>
      </c>
      <c r="B3262" s="0" t="n">
        <v>50</v>
      </c>
      <c r="C3262" s="0" t="n">
        <v>7</v>
      </c>
      <c r="D3262" s="0" t="n">
        <v>0</v>
      </c>
      <c r="E3262" s="0" t="n">
        <f aca="false">VLOOKUP(B3262,'MSA-Lookup'!$H$2:$I$86,2)</f>
        <v>7400</v>
      </c>
      <c r="F3262" s="0" t="n">
        <f aca="false">IF(C3262&gt;1,IF(C3262&lt;99,VLOOKUP(C3262,'MSA-Lookup'!$H$1:$I$86,2),C3262),C3262)</f>
        <v>9999</v>
      </c>
      <c r="G3262" s="0" t="n">
        <f aca="false">VLOOKUP(E3262,'MSA-Lookup'!$AA$1:$AB$25,2)</f>
        <v>7362</v>
      </c>
      <c r="H3262" s="0" t="n">
        <f aca="false">IF(C3262&gt;1,IF(C3262&lt;99,VLOOKUP(F3262,'MSA-Lookup'!$AA$1:$AB$25,2),C3262),C3262)</f>
        <v>9999</v>
      </c>
    </row>
    <row r="3263" customFormat="false" ht="12.75" hidden="false" customHeight="false" outlineLevel="0" collapsed="false">
      <c r="A3263" s="0" t="n">
        <f aca="false">B3263*1000+C3263</f>
        <v>50008</v>
      </c>
      <c r="B3263" s="0" t="n">
        <v>50</v>
      </c>
      <c r="C3263" s="0" t="n">
        <v>8</v>
      </c>
      <c r="D3263" s="0" t="n">
        <v>0</v>
      </c>
      <c r="E3263" s="0" t="n">
        <f aca="false">VLOOKUP(B3263,'MSA-Lookup'!$H$2:$I$86,2)</f>
        <v>7400</v>
      </c>
      <c r="F3263" s="0" t="n">
        <f aca="false">IF(C3263&gt;1,IF(C3263&lt;99,VLOOKUP(C3263,'MSA-Lookup'!$H$1:$I$86,2),C3263),C3263)</f>
        <v>9340</v>
      </c>
      <c r="G3263" s="0" t="n">
        <f aca="false">VLOOKUP(E3263,'MSA-Lookup'!$AA$1:$AB$25,2)</f>
        <v>7362</v>
      </c>
      <c r="H3263" s="0" t="n">
        <f aca="false">IF(C3263&gt;1,IF(C3263&lt;99,VLOOKUP(F3263,'MSA-Lookup'!$AA$1:$AB$25,2),C3263),C3263)</f>
        <v>9340</v>
      </c>
    </row>
    <row r="3264" customFormat="false" ht="12.75" hidden="false" customHeight="false" outlineLevel="0" collapsed="false">
      <c r="A3264" s="0" t="n">
        <f aca="false">B3264*1000+C3264</f>
        <v>50009</v>
      </c>
      <c r="B3264" s="0" t="n">
        <v>50</v>
      </c>
      <c r="C3264" s="0" t="n">
        <v>9</v>
      </c>
      <c r="D3264" s="0" t="n">
        <v>0</v>
      </c>
      <c r="E3264" s="0" t="n">
        <f aca="false">VLOOKUP(B3264,'MSA-Lookup'!$H$2:$I$86,2)</f>
        <v>7400</v>
      </c>
      <c r="F3264" s="0" t="n">
        <f aca="false">IF(C3264&gt;1,IF(C3264&lt;99,VLOOKUP(C3264,'MSA-Lookup'!$H$1:$I$86,2),C3264),C3264)</f>
        <v>8720</v>
      </c>
      <c r="G3264" s="0" t="n">
        <f aca="false">VLOOKUP(E3264,'MSA-Lookup'!$AA$1:$AB$25,2)</f>
        <v>7362</v>
      </c>
      <c r="H3264" s="0" t="n">
        <f aca="false">IF(C3264&gt;1,IF(C3264&lt;99,VLOOKUP(F3264,'MSA-Lookup'!$AA$1:$AB$25,2),C3264),C3264)</f>
        <v>7362</v>
      </c>
    </row>
    <row r="3265" customFormat="false" ht="12.75" hidden="false" customHeight="false" outlineLevel="0" collapsed="false">
      <c r="A3265" s="0" t="n">
        <f aca="false">B3265*1000+C3265</f>
        <v>50010</v>
      </c>
      <c r="B3265" s="0" t="n">
        <v>50</v>
      </c>
      <c r="C3265" s="0" t="n">
        <v>10</v>
      </c>
      <c r="D3265" s="0" t="n">
        <v>117</v>
      </c>
      <c r="E3265" s="0" t="n">
        <f aca="false">VLOOKUP(B3265,'MSA-Lookup'!$H$2:$I$86,2)</f>
        <v>7400</v>
      </c>
      <c r="F3265" s="0" t="n">
        <f aca="false">IF(C3265&gt;1,IF(C3265&lt;99,VLOOKUP(C3265,'MSA-Lookup'!$H$1:$I$86,2),C3265),C3265)</f>
        <v>6920</v>
      </c>
      <c r="G3265" s="0" t="n">
        <f aca="false">VLOOKUP(E3265,'MSA-Lookup'!$AA$1:$AB$25,2)</f>
        <v>7362</v>
      </c>
      <c r="H3265" s="0" t="n">
        <f aca="false">IF(C3265&gt;1,IF(C3265&lt;99,VLOOKUP(F3265,'MSA-Lookup'!$AA$1:$AB$25,2),C3265),C3265)</f>
        <v>6920</v>
      </c>
    </row>
    <row r="3266" customFormat="false" ht="12.75" hidden="false" customHeight="false" outlineLevel="0" collapsed="false">
      <c r="A3266" s="0" t="n">
        <f aca="false">B3266*1000+C3266</f>
        <v>50011</v>
      </c>
      <c r="B3266" s="0" t="n">
        <v>50</v>
      </c>
      <c r="C3266" s="0" t="n">
        <v>11</v>
      </c>
      <c r="D3266" s="0" t="n">
        <v>0</v>
      </c>
      <c r="E3266" s="0" t="n">
        <f aca="false">VLOOKUP(B3266,'MSA-Lookup'!$H$2:$I$86,2)</f>
        <v>7400</v>
      </c>
      <c r="F3266" s="0" t="n">
        <f aca="false">IF(C3266&gt;1,IF(C3266&lt;99,VLOOKUP(C3266,'MSA-Lookup'!$H$1:$I$86,2),C3266),C3266)</f>
        <v>6920</v>
      </c>
      <c r="G3266" s="0" t="n">
        <f aca="false">VLOOKUP(E3266,'MSA-Lookup'!$AA$1:$AB$25,2)</f>
        <v>7362</v>
      </c>
      <c r="H3266" s="0" t="n">
        <f aca="false">IF(C3266&gt;1,IF(C3266&lt;99,VLOOKUP(F3266,'MSA-Lookup'!$AA$1:$AB$25,2),C3266),C3266)</f>
        <v>6920</v>
      </c>
    </row>
    <row r="3267" customFormat="false" ht="12.75" hidden="false" customHeight="false" outlineLevel="0" collapsed="false">
      <c r="A3267" s="0" t="n">
        <f aca="false">B3267*1000+C3267</f>
        <v>50012</v>
      </c>
      <c r="B3267" s="0" t="n">
        <v>50</v>
      </c>
      <c r="C3267" s="0" t="n">
        <v>12</v>
      </c>
      <c r="D3267" s="0" t="n">
        <v>0</v>
      </c>
      <c r="E3267" s="0" t="n">
        <f aca="false">VLOOKUP(B3267,'MSA-Lookup'!$H$2:$I$86,2)</f>
        <v>7400</v>
      </c>
      <c r="F3267" s="0" t="n">
        <f aca="false">IF(C3267&gt;1,IF(C3267&lt;99,VLOOKUP(C3267,'MSA-Lookup'!$H$1:$I$86,2),C3267),C3267)</f>
        <v>6920</v>
      </c>
      <c r="G3267" s="0" t="n">
        <f aca="false">VLOOKUP(E3267,'MSA-Lookup'!$AA$1:$AB$25,2)</f>
        <v>7362</v>
      </c>
      <c r="H3267" s="0" t="n">
        <f aca="false">IF(C3267&gt;1,IF(C3267&lt;99,VLOOKUP(F3267,'MSA-Lookup'!$AA$1:$AB$25,2),C3267),C3267)</f>
        <v>6920</v>
      </c>
    </row>
    <row r="3268" customFormat="false" ht="12.75" hidden="false" customHeight="false" outlineLevel="0" collapsed="false">
      <c r="A3268" s="0" t="n">
        <f aca="false">B3268*1000+C3268</f>
        <v>50013</v>
      </c>
      <c r="B3268" s="0" t="n">
        <v>50</v>
      </c>
      <c r="C3268" s="0" t="n">
        <v>13</v>
      </c>
      <c r="D3268" s="0" t="n">
        <v>0</v>
      </c>
      <c r="E3268" s="0" t="n">
        <f aca="false">VLOOKUP(B3268,'MSA-Lookup'!$H$2:$I$86,2)</f>
        <v>7400</v>
      </c>
      <c r="F3268" s="0" t="n">
        <f aca="false">IF(C3268&gt;1,IF(C3268&lt;99,VLOOKUP(C3268,'MSA-Lookup'!$H$1:$I$86,2),C3268),C3268)</f>
        <v>7500</v>
      </c>
      <c r="G3268" s="0" t="n">
        <f aca="false">VLOOKUP(E3268,'MSA-Lookup'!$AA$1:$AB$25,2)</f>
        <v>7362</v>
      </c>
      <c r="H3268" s="0" t="n">
        <f aca="false">IF(C3268&gt;1,IF(C3268&lt;99,VLOOKUP(F3268,'MSA-Lookup'!$AA$1:$AB$25,2),C3268),C3268)</f>
        <v>7362</v>
      </c>
    </row>
    <row r="3269" customFormat="false" ht="12.75" hidden="false" customHeight="false" outlineLevel="0" collapsed="false">
      <c r="A3269" s="0" t="n">
        <f aca="false">B3269*1000+C3269</f>
        <v>50014</v>
      </c>
      <c r="B3269" s="0" t="n">
        <v>50</v>
      </c>
      <c r="C3269" s="0" t="n">
        <v>14</v>
      </c>
      <c r="D3269" s="0" t="n">
        <v>0</v>
      </c>
      <c r="E3269" s="0" t="n">
        <f aca="false">VLOOKUP(B3269,'MSA-Lookup'!$H$2:$I$86,2)</f>
        <v>7400</v>
      </c>
      <c r="F3269" s="0" t="n">
        <f aca="false">IF(C3269&gt;1,IF(C3269&lt;99,VLOOKUP(C3269,'MSA-Lookup'!$H$1:$I$86,2),C3269),C3269)</f>
        <v>7500</v>
      </c>
      <c r="G3269" s="0" t="n">
        <f aca="false">VLOOKUP(E3269,'MSA-Lookup'!$AA$1:$AB$25,2)</f>
        <v>7362</v>
      </c>
      <c r="H3269" s="0" t="n">
        <f aca="false">IF(C3269&gt;1,IF(C3269&lt;99,VLOOKUP(F3269,'MSA-Lookup'!$AA$1:$AB$25,2),C3269),C3269)</f>
        <v>7362</v>
      </c>
    </row>
    <row r="3270" customFormat="false" ht="12.75" hidden="false" customHeight="false" outlineLevel="0" collapsed="false">
      <c r="A3270" s="0" t="n">
        <f aca="false">B3270*1000+C3270</f>
        <v>50015</v>
      </c>
      <c r="B3270" s="0" t="n">
        <v>50</v>
      </c>
      <c r="C3270" s="0" t="n">
        <v>15</v>
      </c>
      <c r="D3270" s="0" t="n">
        <v>0</v>
      </c>
      <c r="E3270" s="0" t="n">
        <f aca="false">VLOOKUP(B3270,'MSA-Lookup'!$H$2:$I$86,2)</f>
        <v>7400</v>
      </c>
      <c r="F3270" s="0" t="n">
        <f aca="false">IF(C3270&gt;1,IF(C3270&lt;99,VLOOKUP(C3270,'MSA-Lookup'!$H$1:$I$86,2),C3270),C3270)</f>
        <v>7360</v>
      </c>
      <c r="G3270" s="0" t="n">
        <f aca="false">VLOOKUP(E3270,'MSA-Lookup'!$AA$1:$AB$25,2)</f>
        <v>7362</v>
      </c>
      <c r="H3270" s="0" t="n">
        <f aca="false">IF(C3270&gt;1,IF(C3270&lt;99,VLOOKUP(F3270,'MSA-Lookup'!$AA$1:$AB$25,2),C3270),C3270)</f>
        <v>7362</v>
      </c>
    </row>
    <row r="3271" customFormat="false" ht="12.75" hidden="false" customHeight="false" outlineLevel="0" collapsed="false">
      <c r="A3271" s="0" t="n">
        <f aca="false">B3271*1000+C3271</f>
        <v>50016</v>
      </c>
      <c r="B3271" s="0" t="n">
        <v>50</v>
      </c>
      <c r="C3271" s="0" t="n">
        <v>16</v>
      </c>
      <c r="D3271" s="0" t="n">
        <v>0</v>
      </c>
      <c r="E3271" s="0" t="n">
        <f aca="false">VLOOKUP(B3271,'MSA-Lookup'!$H$2:$I$86,2)</f>
        <v>7400</v>
      </c>
      <c r="F3271" s="0" t="n">
        <f aca="false">IF(C3271&gt;1,IF(C3271&lt;99,VLOOKUP(C3271,'MSA-Lookup'!$H$1:$I$86,2),C3271),C3271)</f>
        <v>8720</v>
      </c>
      <c r="G3271" s="0" t="n">
        <f aca="false">VLOOKUP(E3271,'MSA-Lookup'!$AA$1:$AB$25,2)</f>
        <v>7362</v>
      </c>
      <c r="H3271" s="0" t="n">
        <f aca="false">IF(C3271&gt;1,IF(C3271&lt;99,VLOOKUP(F3271,'MSA-Lookup'!$AA$1:$AB$25,2),C3271),C3271)</f>
        <v>7362</v>
      </c>
    </row>
    <row r="3272" customFormat="false" ht="12.75" hidden="false" customHeight="false" outlineLevel="0" collapsed="false">
      <c r="A3272" s="0" t="n">
        <f aca="false">B3272*1000+C3272</f>
        <v>50017</v>
      </c>
      <c r="B3272" s="0" t="n">
        <v>50</v>
      </c>
      <c r="C3272" s="0" t="n">
        <v>17</v>
      </c>
      <c r="D3272" s="0" t="n">
        <v>91</v>
      </c>
      <c r="E3272" s="0" t="n">
        <f aca="false">VLOOKUP(B3272,'MSA-Lookup'!$H$2:$I$86,2)</f>
        <v>7400</v>
      </c>
      <c r="F3272" s="0" t="n">
        <f aca="false">IF(C3272&gt;1,IF(C3272&lt;99,VLOOKUP(C3272,'MSA-Lookup'!$H$1:$I$86,2),C3272),C3272)</f>
        <v>5775</v>
      </c>
      <c r="G3272" s="0" t="n">
        <f aca="false">VLOOKUP(E3272,'MSA-Lookup'!$AA$1:$AB$25,2)</f>
        <v>7362</v>
      </c>
      <c r="H3272" s="0" t="n">
        <f aca="false">IF(C3272&gt;1,IF(C3272&lt;99,VLOOKUP(F3272,'MSA-Lookup'!$AA$1:$AB$25,2),C3272),C3272)</f>
        <v>7362</v>
      </c>
    </row>
    <row r="3273" customFormat="false" ht="12.75" hidden="false" customHeight="false" outlineLevel="0" collapsed="false">
      <c r="A3273" s="0" t="n">
        <f aca="false">B3273*1000+C3273</f>
        <v>50018</v>
      </c>
      <c r="B3273" s="0" t="n">
        <v>50</v>
      </c>
      <c r="C3273" s="0" t="n">
        <v>18</v>
      </c>
      <c r="D3273" s="0" t="n">
        <v>1729</v>
      </c>
      <c r="E3273" s="0" t="n">
        <f aca="false">VLOOKUP(B3273,'MSA-Lookup'!$H$2:$I$86,2)</f>
        <v>7400</v>
      </c>
      <c r="F3273" s="0" t="n">
        <f aca="false">IF(C3273&gt;1,IF(C3273&lt;99,VLOOKUP(C3273,'MSA-Lookup'!$H$1:$I$86,2),C3273),C3273)</f>
        <v>5775</v>
      </c>
      <c r="G3273" s="0" t="n">
        <f aca="false">VLOOKUP(E3273,'MSA-Lookup'!$AA$1:$AB$25,2)</f>
        <v>7362</v>
      </c>
      <c r="H3273" s="0" t="n">
        <f aca="false">IF(C3273&gt;1,IF(C3273&lt;99,VLOOKUP(F3273,'MSA-Lookup'!$AA$1:$AB$25,2),C3273),C3273)</f>
        <v>7362</v>
      </c>
    </row>
    <row r="3274" customFormat="false" ht="12.75" hidden="false" customHeight="false" outlineLevel="0" collapsed="false">
      <c r="A3274" s="0" t="n">
        <f aca="false">B3274*1000+C3274</f>
        <v>50019</v>
      </c>
      <c r="B3274" s="0" t="n">
        <v>50</v>
      </c>
      <c r="C3274" s="0" t="n">
        <v>19</v>
      </c>
      <c r="D3274" s="0" t="n">
        <v>819</v>
      </c>
      <c r="E3274" s="0" t="n">
        <f aca="false">VLOOKUP(B3274,'MSA-Lookup'!$H$2:$I$86,2)</f>
        <v>7400</v>
      </c>
      <c r="F3274" s="0" t="n">
        <f aca="false">IF(C3274&gt;1,IF(C3274&lt;99,VLOOKUP(C3274,'MSA-Lookup'!$H$1:$I$86,2),C3274),C3274)</f>
        <v>7360</v>
      </c>
      <c r="G3274" s="0" t="n">
        <f aca="false">VLOOKUP(E3274,'MSA-Lookup'!$AA$1:$AB$25,2)</f>
        <v>7362</v>
      </c>
      <c r="H3274" s="0" t="n">
        <f aca="false">IF(C3274&gt;1,IF(C3274&lt;99,VLOOKUP(F3274,'MSA-Lookup'!$AA$1:$AB$25,2),C3274),C3274)</f>
        <v>7362</v>
      </c>
    </row>
    <row r="3275" customFormat="false" ht="12.75" hidden="false" customHeight="false" outlineLevel="0" collapsed="false">
      <c r="A3275" s="0" t="n">
        <f aca="false">B3275*1000+C3275</f>
        <v>50020</v>
      </c>
      <c r="B3275" s="0" t="n">
        <v>50</v>
      </c>
      <c r="C3275" s="0" t="n">
        <v>20</v>
      </c>
      <c r="D3275" s="0" t="n">
        <v>117</v>
      </c>
      <c r="E3275" s="0" t="n">
        <f aca="false">VLOOKUP(B3275,'MSA-Lookup'!$H$2:$I$86,2)</f>
        <v>7400</v>
      </c>
      <c r="F3275" s="0" t="n">
        <f aca="false">IF(C3275&gt;1,IF(C3275&lt;99,VLOOKUP(C3275,'MSA-Lookup'!$H$1:$I$86,2),C3275),C3275)</f>
        <v>5775</v>
      </c>
      <c r="G3275" s="0" t="n">
        <f aca="false">VLOOKUP(E3275,'MSA-Lookup'!$AA$1:$AB$25,2)</f>
        <v>7362</v>
      </c>
      <c r="H3275" s="0" t="n">
        <f aca="false">IF(C3275&gt;1,IF(C3275&lt;99,VLOOKUP(F3275,'MSA-Lookup'!$AA$1:$AB$25,2),C3275),C3275)</f>
        <v>7362</v>
      </c>
    </row>
    <row r="3276" customFormat="false" ht="12.75" hidden="false" customHeight="false" outlineLevel="0" collapsed="false">
      <c r="A3276" s="0" t="n">
        <f aca="false">B3276*1000+C3276</f>
        <v>50021</v>
      </c>
      <c r="B3276" s="0" t="n">
        <v>50</v>
      </c>
      <c r="C3276" s="0" t="n">
        <v>21</v>
      </c>
      <c r="D3276" s="0" t="n">
        <v>1794</v>
      </c>
      <c r="E3276" s="0" t="n">
        <f aca="false">VLOOKUP(B3276,'MSA-Lookup'!$H$2:$I$86,2)</f>
        <v>7400</v>
      </c>
      <c r="F3276" s="0" t="n">
        <f aca="false">IF(C3276&gt;1,IF(C3276&lt;99,VLOOKUP(C3276,'MSA-Lookup'!$H$1:$I$86,2),C3276),C3276)</f>
        <v>5775</v>
      </c>
      <c r="G3276" s="0" t="n">
        <f aca="false">VLOOKUP(E3276,'MSA-Lookup'!$AA$1:$AB$25,2)</f>
        <v>7362</v>
      </c>
      <c r="H3276" s="0" t="n">
        <f aca="false">IF(C3276&gt;1,IF(C3276&lt;99,VLOOKUP(F3276,'MSA-Lookup'!$AA$1:$AB$25,2),C3276),C3276)</f>
        <v>7362</v>
      </c>
    </row>
    <row r="3277" customFormat="false" ht="12.75" hidden="false" customHeight="false" outlineLevel="0" collapsed="false">
      <c r="A3277" s="0" t="n">
        <f aca="false">B3277*1000+C3277</f>
        <v>50022</v>
      </c>
      <c r="B3277" s="0" t="n">
        <v>50</v>
      </c>
      <c r="C3277" s="0" t="n">
        <v>22</v>
      </c>
      <c r="D3277" s="0" t="n">
        <v>3796</v>
      </c>
      <c r="E3277" s="0" t="n">
        <f aca="false">VLOOKUP(B3277,'MSA-Lookup'!$H$2:$I$86,2)</f>
        <v>7400</v>
      </c>
      <c r="F3277" s="0" t="n">
        <f aca="false">IF(C3277&gt;1,IF(C3277&lt;99,VLOOKUP(C3277,'MSA-Lookup'!$H$1:$I$86,2),C3277),C3277)</f>
        <v>7360</v>
      </c>
      <c r="G3277" s="0" t="n">
        <f aca="false">VLOOKUP(E3277,'MSA-Lookup'!$AA$1:$AB$25,2)</f>
        <v>7362</v>
      </c>
      <c r="H3277" s="0" t="n">
        <f aca="false">IF(C3277&gt;1,IF(C3277&lt;99,VLOOKUP(F3277,'MSA-Lookup'!$AA$1:$AB$25,2),C3277),C3277)</f>
        <v>7362</v>
      </c>
    </row>
    <row r="3278" customFormat="false" ht="12.75" hidden="false" customHeight="false" outlineLevel="0" collapsed="false">
      <c r="A3278" s="0" t="n">
        <f aca="false">B3278*1000+C3278</f>
        <v>50023</v>
      </c>
      <c r="B3278" s="0" t="n">
        <v>50</v>
      </c>
      <c r="C3278" s="0" t="n">
        <v>23</v>
      </c>
      <c r="D3278" s="0" t="n">
        <v>0</v>
      </c>
      <c r="E3278" s="0" t="n">
        <f aca="false">VLOOKUP(B3278,'MSA-Lookup'!$H$2:$I$86,2)</f>
        <v>7400</v>
      </c>
      <c r="F3278" s="0" t="n">
        <f aca="false">IF(C3278&gt;1,IF(C3278&lt;99,VLOOKUP(C3278,'MSA-Lookup'!$H$1:$I$86,2),C3278),C3278)</f>
        <v>8120</v>
      </c>
      <c r="G3278" s="0" t="n">
        <f aca="false">VLOOKUP(E3278,'MSA-Lookup'!$AA$1:$AB$25,2)</f>
        <v>7362</v>
      </c>
      <c r="H3278" s="0" t="n">
        <f aca="false">IF(C3278&gt;1,IF(C3278&lt;99,VLOOKUP(F3278,'MSA-Lookup'!$AA$1:$AB$25,2),C3278),C3278)</f>
        <v>8120</v>
      </c>
    </row>
    <row r="3279" customFormat="false" ht="12.75" hidden="false" customHeight="false" outlineLevel="0" collapsed="false">
      <c r="A3279" s="0" t="n">
        <f aca="false">B3279*1000+C3279</f>
        <v>50024</v>
      </c>
      <c r="B3279" s="0" t="n">
        <v>50</v>
      </c>
      <c r="C3279" s="0" t="n">
        <v>24</v>
      </c>
      <c r="D3279" s="0" t="n">
        <v>0</v>
      </c>
      <c r="E3279" s="0" t="n">
        <f aca="false">VLOOKUP(B3279,'MSA-Lookup'!$H$2:$I$86,2)</f>
        <v>7400</v>
      </c>
      <c r="F3279" s="0" t="n">
        <f aca="false">IF(C3279&gt;1,IF(C3279&lt;99,VLOOKUP(C3279,'MSA-Lookup'!$H$1:$I$86,2),C3279),C3279)</f>
        <v>5170</v>
      </c>
      <c r="G3279" s="0" t="n">
        <f aca="false">VLOOKUP(E3279,'MSA-Lookup'!$AA$1:$AB$25,2)</f>
        <v>7362</v>
      </c>
      <c r="H3279" s="0" t="n">
        <f aca="false">IF(C3279&gt;1,IF(C3279&lt;99,VLOOKUP(F3279,'MSA-Lookup'!$AA$1:$AB$25,2),C3279),C3279)</f>
        <v>5170</v>
      </c>
    </row>
    <row r="3280" customFormat="false" ht="12.75" hidden="false" customHeight="false" outlineLevel="0" collapsed="false">
      <c r="A3280" s="0" t="n">
        <f aca="false">B3280*1000+C3280</f>
        <v>50025</v>
      </c>
      <c r="B3280" s="0" t="n">
        <v>50</v>
      </c>
      <c r="C3280" s="0" t="n">
        <v>25</v>
      </c>
      <c r="D3280" s="0" t="n">
        <v>0</v>
      </c>
      <c r="E3280" s="0" t="n">
        <f aca="false">VLOOKUP(B3280,'MSA-Lookup'!$H$2:$I$86,2)</f>
        <v>7400</v>
      </c>
      <c r="F3280" s="0" t="n">
        <f aca="false">IF(C3280&gt;1,IF(C3280&lt;99,VLOOKUP(C3280,'MSA-Lookup'!$H$1:$I$86,2),C3280),C3280)</f>
        <v>5170</v>
      </c>
      <c r="G3280" s="0" t="n">
        <f aca="false">VLOOKUP(E3280,'MSA-Lookup'!$AA$1:$AB$25,2)</f>
        <v>7362</v>
      </c>
      <c r="H3280" s="0" t="n">
        <f aca="false">IF(C3280&gt;1,IF(C3280&lt;99,VLOOKUP(F3280,'MSA-Lookup'!$AA$1:$AB$25,2),C3280),C3280)</f>
        <v>5170</v>
      </c>
    </row>
    <row r="3281" customFormat="false" ht="12.75" hidden="false" customHeight="false" outlineLevel="0" collapsed="false">
      <c r="A3281" s="0" t="n">
        <f aca="false">B3281*1000+C3281</f>
        <v>50026</v>
      </c>
      <c r="B3281" s="0" t="n">
        <v>50</v>
      </c>
      <c r="C3281" s="0" t="n">
        <v>26</v>
      </c>
      <c r="D3281" s="0" t="n">
        <v>0</v>
      </c>
      <c r="E3281" s="0" t="n">
        <f aca="false">VLOOKUP(B3281,'MSA-Lookup'!$H$2:$I$86,2)</f>
        <v>7400</v>
      </c>
      <c r="F3281" s="0" t="n">
        <f aca="false">IF(C3281&gt;1,IF(C3281&lt;99,VLOOKUP(C3281,'MSA-Lookup'!$H$1:$I$86,2),C3281),C3281)</f>
        <v>9999</v>
      </c>
      <c r="G3281" s="0" t="n">
        <f aca="false">VLOOKUP(E3281,'MSA-Lookup'!$AA$1:$AB$25,2)</f>
        <v>7362</v>
      </c>
      <c r="H3281" s="0" t="n">
        <f aca="false">IF(C3281&gt;1,IF(C3281&lt;99,VLOOKUP(F3281,'MSA-Lookup'!$AA$1:$AB$25,2),C3281),C3281)</f>
        <v>9999</v>
      </c>
    </row>
    <row r="3282" customFormat="false" ht="12.75" hidden="false" customHeight="false" outlineLevel="0" collapsed="false">
      <c r="A3282" s="0" t="n">
        <f aca="false">B3282*1000+C3282</f>
        <v>50027</v>
      </c>
      <c r="B3282" s="0" t="n">
        <v>50</v>
      </c>
      <c r="C3282" s="0" t="n">
        <v>27</v>
      </c>
      <c r="D3282" s="0" t="n">
        <v>0</v>
      </c>
      <c r="E3282" s="0" t="n">
        <f aca="false">VLOOKUP(B3282,'MSA-Lookup'!$H$2:$I$86,2)</f>
        <v>7400</v>
      </c>
      <c r="F3282" s="0" t="n">
        <f aca="false">IF(C3282&gt;1,IF(C3282&lt;99,VLOOKUP(C3282,'MSA-Lookup'!$H$1:$I$86,2),C3282),C3282)</f>
        <v>9999</v>
      </c>
      <c r="G3282" s="0" t="n">
        <f aca="false">VLOOKUP(E3282,'MSA-Lookup'!$AA$1:$AB$25,2)</f>
        <v>7362</v>
      </c>
      <c r="H3282" s="0" t="n">
        <f aca="false">IF(C3282&gt;1,IF(C3282&lt;99,VLOOKUP(F3282,'MSA-Lookup'!$AA$1:$AB$25,2),C3282),C3282)</f>
        <v>9999</v>
      </c>
    </row>
    <row r="3283" customFormat="false" ht="12.75" hidden="false" customHeight="false" outlineLevel="0" collapsed="false">
      <c r="A3283" s="0" t="n">
        <f aca="false">B3283*1000+C3283</f>
        <v>50028</v>
      </c>
      <c r="B3283" s="0" t="n">
        <v>50</v>
      </c>
      <c r="C3283" s="0" t="n">
        <v>28</v>
      </c>
      <c r="D3283" s="0" t="n">
        <v>0</v>
      </c>
      <c r="E3283" s="0" t="n">
        <f aca="false">VLOOKUP(B3283,'MSA-Lookup'!$H$2:$I$86,2)</f>
        <v>7400</v>
      </c>
      <c r="F3283" s="0" t="n">
        <f aca="false">IF(C3283&gt;1,IF(C3283&lt;99,VLOOKUP(C3283,'MSA-Lookup'!$H$1:$I$86,2),C3283),C3283)</f>
        <v>6920</v>
      </c>
      <c r="G3283" s="0" t="n">
        <f aca="false">VLOOKUP(E3283,'MSA-Lookup'!$AA$1:$AB$25,2)</f>
        <v>7362</v>
      </c>
      <c r="H3283" s="0" t="n">
        <f aca="false">IF(C3283&gt;1,IF(C3283&lt;99,VLOOKUP(F3283,'MSA-Lookup'!$AA$1:$AB$25,2),C3283),C3283)</f>
        <v>6920</v>
      </c>
    </row>
    <row r="3284" customFormat="false" ht="12.75" hidden="false" customHeight="false" outlineLevel="0" collapsed="false">
      <c r="A3284" s="0" t="n">
        <f aca="false">B3284*1000+C3284</f>
        <v>50029</v>
      </c>
      <c r="B3284" s="0" t="n">
        <v>50</v>
      </c>
      <c r="C3284" s="0" t="n">
        <v>29</v>
      </c>
      <c r="D3284" s="0" t="n">
        <v>0</v>
      </c>
      <c r="E3284" s="0" t="n">
        <f aca="false">VLOOKUP(B3284,'MSA-Lookup'!$H$2:$I$86,2)</f>
        <v>7400</v>
      </c>
      <c r="F3284" s="0" t="n">
        <f aca="false">IF(C3284&gt;1,IF(C3284&lt;99,VLOOKUP(C3284,'MSA-Lookup'!$H$1:$I$86,2),C3284),C3284)</f>
        <v>6920</v>
      </c>
      <c r="G3284" s="0" t="n">
        <f aca="false">VLOOKUP(E3284,'MSA-Lookup'!$AA$1:$AB$25,2)</f>
        <v>7362</v>
      </c>
      <c r="H3284" s="0" t="n">
        <f aca="false">IF(C3284&gt;1,IF(C3284&lt;99,VLOOKUP(F3284,'MSA-Lookup'!$AA$1:$AB$25,2),C3284),C3284)</f>
        <v>6920</v>
      </c>
    </row>
    <row r="3285" customFormat="false" ht="12.75" hidden="false" customHeight="false" outlineLevel="0" collapsed="false">
      <c r="A3285" s="0" t="n">
        <f aca="false">B3285*1000+C3285</f>
        <v>50030</v>
      </c>
      <c r="B3285" s="0" t="n">
        <v>50</v>
      </c>
      <c r="C3285" s="0" t="n">
        <v>30</v>
      </c>
      <c r="D3285" s="0" t="n">
        <v>0</v>
      </c>
      <c r="E3285" s="0" t="n">
        <f aca="false">VLOOKUP(B3285,'MSA-Lookup'!$H$2:$I$86,2)</f>
        <v>7400</v>
      </c>
      <c r="F3285" s="0" t="n">
        <f aca="false">IF(C3285&gt;1,IF(C3285&lt;99,VLOOKUP(C3285,'MSA-Lookup'!$H$1:$I$86,2),C3285),C3285)</f>
        <v>4940</v>
      </c>
      <c r="G3285" s="0" t="n">
        <f aca="false">VLOOKUP(E3285,'MSA-Lookup'!$AA$1:$AB$25,2)</f>
        <v>7362</v>
      </c>
      <c r="H3285" s="0" t="n">
        <f aca="false">IF(C3285&gt;1,IF(C3285&lt;99,VLOOKUP(F3285,'MSA-Lookup'!$AA$1:$AB$25,2),C3285),C3285)</f>
        <v>4940</v>
      </c>
    </row>
    <row r="3286" customFormat="false" ht="12.75" hidden="false" customHeight="false" outlineLevel="0" collapsed="false">
      <c r="A3286" s="0" t="n">
        <f aca="false">B3286*1000+C3286</f>
        <v>50031</v>
      </c>
      <c r="B3286" s="0" t="n">
        <v>50</v>
      </c>
      <c r="C3286" s="0" t="n">
        <v>31</v>
      </c>
      <c r="D3286" s="0" t="n">
        <v>0</v>
      </c>
      <c r="E3286" s="0" t="n">
        <f aca="false">VLOOKUP(B3286,'MSA-Lookup'!$H$2:$I$86,2)</f>
        <v>7400</v>
      </c>
      <c r="F3286" s="0" t="n">
        <f aca="false">IF(C3286&gt;1,IF(C3286&lt;99,VLOOKUP(C3286,'MSA-Lookup'!$H$1:$I$86,2),C3286),C3286)</f>
        <v>9999</v>
      </c>
      <c r="G3286" s="0" t="n">
        <f aca="false">VLOOKUP(E3286,'MSA-Lookup'!$AA$1:$AB$25,2)</f>
        <v>7362</v>
      </c>
      <c r="H3286" s="0" t="n">
        <f aca="false">IF(C3286&gt;1,IF(C3286&lt;99,VLOOKUP(F3286,'MSA-Lookup'!$AA$1:$AB$25,2),C3286),C3286)</f>
        <v>9999</v>
      </c>
    </row>
    <row r="3287" customFormat="false" ht="12.75" hidden="false" customHeight="false" outlineLevel="0" collapsed="false">
      <c r="A3287" s="0" t="n">
        <f aca="false">B3287*1000+C3287</f>
        <v>50032</v>
      </c>
      <c r="B3287" s="0" t="n">
        <v>50</v>
      </c>
      <c r="C3287" s="0" t="n">
        <v>32</v>
      </c>
      <c r="D3287" s="0" t="n">
        <v>0</v>
      </c>
      <c r="E3287" s="0" t="n">
        <f aca="false">VLOOKUP(B3287,'MSA-Lookup'!$H$2:$I$86,2)</f>
        <v>7400</v>
      </c>
      <c r="F3287" s="0" t="n">
        <f aca="false">IF(C3287&gt;1,IF(C3287&lt;99,VLOOKUP(C3287,'MSA-Lookup'!$H$1:$I$86,2),C3287),C3287)</f>
        <v>7480</v>
      </c>
      <c r="G3287" s="0" t="n">
        <f aca="false">VLOOKUP(E3287,'MSA-Lookup'!$AA$1:$AB$25,2)</f>
        <v>7362</v>
      </c>
      <c r="H3287" s="0" t="n">
        <f aca="false">IF(C3287&gt;1,IF(C3287&lt;99,VLOOKUP(F3287,'MSA-Lookup'!$AA$1:$AB$25,2),C3287),C3287)</f>
        <v>7480</v>
      </c>
    </row>
    <row r="3288" customFormat="false" ht="12.75" hidden="false" customHeight="false" outlineLevel="0" collapsed="false">
      <c r="A3288" s="0" t="n">
        <f aca="false">B3288*1000+C3288</f>
        <v>50033</v>
      </c>
      <c r="B3288" s="0" t="n">
        <v>50</v>
      </c>
      <c r="C3288" s="0" t="n">
        <v>33</v>
      </c>
      <c r="D3288" s="0" t="n">
        <v>0</v>
      </c>
      <c r="E3288" s="0" t="n">
        <f aca="false">VLOOKUP(B3288,'MSA-Lookup'!$H$2:$I$86,2)</f>
        <v>7400</v>
      </c>
      <c r="F3288" s="0" t="n">
        <f aca="false">IF(C3288&gt;1,IF(C3288&lt;99,VLOOKUP(C3288,'MSA-Lookup'!$H$1:$I$86,2),C3288),C3288)</f>
        <v>7320</v>
      </c>
      <c r="G3288" s="0" t="n">
        <f aca="false">VLOOKUP(E3288,'MSA-Lookup'!$AA$1:$AB$25,2)</f>
        <v>7362</v>
      </c>
      <c r="H3288" s="0" t="n">
        <f aca="false">IF(C3288&gt;1,IF(C3288&lt;99,VLOOKUP(F3288,'MSA-Lookup'!$AA$1:$AB$25,2),C3288),C3288)</f>
        <v>7320</v>
      </c>
    </row>
    <row r="3289" customFormat="false" ht="12.75" hidden="false" customHeight="false" outlineLevel="0" collapsed="false">
      <c r="A3289" s="0" t="n">
        <f aca="false">B3289*1000+C3289</f>
        <v>50034</v>
      </c>
      <c r="B3289" s="0" t="n">
        <v>50</v>
      </c>
      <c r="C3289" s="0" t="n">
        <v>34</v>
      </c>
      <c r="D3289" s="0" t="n">
        <v>0</v>
      </c>
      <c r="E3289" s="0" t="n">
        <f aca="false">VLOOKUP(B3289,'MSA-Lookup'!$H$2:$I$86,2)</f>
        <v>7400</v>
      </c>
      <c r="F3289" s="0" t="n">
        <f aca="false">IF(C3289&gt;1,IF(C3289&lt;99,VLOOKUP(C3289,'MSA-Lookup'!$H$1:$I$86,2),C3289),C3289)</f>
        <v>7320</v>
      </c>
      <c r="G3289" s="0" t="n">
        <f aca="false">VLOOKUP(E3289,'MSA-Lookup'!$AA$1:$AB$25,2)</f>
        <v>7362</v>
      </c>
      <c r="H3289" s="0" t="n">
        <f aca="false">IF(C3289&gt;1,IF(C3289&lt;99,VLOOKUP(F3289,'MSA-Lookup'!$AA$1:$AB$25,2),C3289),C3289)</f>
        <v>7320</v>
      </c>
    </row>
    <row r="3290" customFormat="false" ht="12.75" hidden="false" customHeight="false" outlineLevel="0" collapsed="false">
      <c r="A3290" s="0" t="n">
        <f aca="false">B3290*1000+C3290</f>
        <v>50035</v>
      </c>
      <c r="B3290" s="0" t="n">
        <v>50</v>
      </c>
      <c r="C3290" s="0" t="n">
        <v>35</v>
      </c>
      <c r="D3290" s="0" t="n">
        <v>0</v>
      </c>
      <c r="E3290" s="0" t="n">
        <f aca="false">VLOOKUP(B3290,'MSA-Lookup'!$H$2:$I$86,2)</f>
        <v>7400</v>
      </c>
      <c r="F3290" s="0" t="n">
        <f aca="false">IF(C3290&gt;1,IF(C3290&lt;99,VLOOKUP(C3290,'MSA-Lookup'!$H$1:$I$86,2),C3290),C3290)</f>
        <v>7320</v>
      </c>
      <c r="G3290" s="0" t="n">
        <f aca="false">VLOOKUP(E3290,'MSA-Lookup'!$AA$1:$AB$25,2)</f>
        <v>7362</v>
      </c>
      <c r="H3290" s="0" t="n">
        <f aca="false">IF(C3290&gt;1,IF(C3290&lt;99,VLOOKUP(F3290,'MSA-Lookup'!$AA$1:$AB$25,2),C3290),C3290)</f>
        <v>7320</v>
      </c>
    </row>
    <row r="3291" customFormat="false" ht="12.75" hidden="false" customHeight="false" outlineLevel="0" collapsed="false">
      <c r="A3291" s="0" t="n">
        <f aca="false">B3291*1000+C3291</f>
        <v>50036</v>
      </c>
      <c r="B3291" s="0" t="n">
        <v>50</v>
      </c>
      <c r="C3291" s="0" t="n">
        <v>36</v>
      </c>
      <c r="D3291" s="0" t="n">
        <v>0</v>
      </c>
      <c r="E3291" s="0" t="n">
        <f aca="false">VLOOKUP(B3291,'MSA-Lookup'!$H$2:$I$86,2)</f>
        <v>7400</v>
      </c>
      <c r="F3291" s="0" t="n">
        <f aca="false">IF(C3291&gt;1,IF(C3291&lt;99,VLOOKUP(C3291,'MSA-Lookup'!$H$1:$I$86,2),C3291),C3291)</f>
        <v>7320</v>
      </c>
      <c r="G3291" s="0" t="n">
        <f aca="false">VLOOKUP(E3291,'MSA-Lookup'!$AA$1:$AB$25,2)</f>
        <v>7362</v>
      </c>
      <c r="H3291" s="0" t="n">
        <f aca="false">IF(C3291&gt;1,IF(C3291&lt;99,VLOOKUP(F3291,'MSA-Lookup'!$AA$1:$AB$25,2),C3291),C3291)</f>
        <v>7320</v>
      </c>
    </row>
    <row r="3292" customFormat="false" ht="12.75" hidden="false" customHeight="false" outlineLevel="0" collapsed="false">
      <c r="A3292" s="0" t="n">
        <f aca="false">B3292*1000+C3292</f>
        <v>50037</v>
      </c>
      <c r="B3292" s="0" t="n">
        <v>50</v>
      </c>
      <c r="C3292" s="0" t="n">
        <v>37</v>
      </c>
      <c r="D3292" s="0" t="n">
        <v>0</v>
      </c>
      <c r="E3292" s="0" t="n">
        <f aca="false">VLOOKUP(B3292,'MSA-Lookup'!$H$2:$I$86,2)</f>
        <v>7400</v>
      </c>
      <c r="F3292" s="0" t="n">
        <f aca="false">IF(C3292&gt;1,IF(C3292&lt;99,VLOOKUP(C3292,'MSA-Lookup'!$H$1:$I$86,2),C3292),C3292)</f>
        <v>7320</v>
      </c>
      <c r="G3292" s="0" t="n">
        <f aca="false">VLOOKUP(E3292,'MSA-Lookup'!$AA$1:$AB$25,2)</f>
        <v>7362</v>
      </c>
      <c r="H3292" s="0" t="n">
        <f aca="false">IF(C3292&gt;1,IF(C3292&lt;99,VLOOKUP(F3292,'MSA-Lookup'!$AA$1:$AB$25,2),C3292),C3292)</f>
        <v>7320</v>
      </c>
    </row>
    <row r="3293" customFormat="false" ht="12.75" hidden="false" customHeight="false" outlineLevel="0" collapsed="false">
      <c r="A3293" s="0" t="n">
        <f aca="false">B3293*1000+C3293</f>
        <v>50038</v>
      </c>
      <c r="B3293" s="0" t="n">
        <v>50</v>
      </c>
      <c r="C3293" s="0" t="n">
        <v>38</v>
      </c>
      <c r="D3293" s="0" t="n">
        <v>0</v>
      </c>
      <c r="E3293" s="0" t="n">
        <f aca="false">VLOOKUP(B3293,'MSA-Lookup'!$H$2:$I$86,2)</f>
        <v>7400</v>
      </c>
      <c r="F3293" s="0" t="n">
        <f aca="false">IF(C3293&gt;1,IF(C3293&lt;99,VLOOKUP(C3293,'MSA-Lookup'!$H$1:$I$86,2),C3293),C3293)</f>
        <v>7120</v>
      </c>
      <c r="G3293" s="0" t="n">
        <f aca="false">VLOOKUP(E3293,'MSA-Lookup'!$AA$1:$AB$25,2)</f>
        <v>7362</v>
      </c>
      <c r="H3293" s="0" t="n">
        <f aca="false">IF(C3293&gt;1,IF(C3293&lt;99,VLOOKUP(F3293,'MSA-Lookup'!$AA$1:$AB$25,2),C3293),C3293)</f>
        <v>7120</v>
      </c>
    </row>
    <row r="3294" customFormat="false" ht="12.75" hidden="false" customHeight="false" outlineLevel="0" collapsed="false">
      <c r="A3294" s="0" t="n">
        <f aca="false">B3294*1000+C3294</f>
        <v>50039</v>
      </c>
      <c r="B3294" s="0" t="n">
        <v>50</v>
      </c>
      <c r="C3294" s="0" t="n">
        <v>39</v>
      </c>
      <c r="D3294" s="0" t="n">
        <v>0</v>
      </c>
      <c r="E3294" s="0" t="n">
        <f aca="false">VLOOKUP(B3294,'MSA-Lookup'!$H$2:$I$86,2)</f>
        <v>7400</v>
      </c>
      <c r="F3294" s="0" t="n">
        <f aca="false">IF(C3294&gt;1,IF(C3294&lt;99,VLOOKUP(C3294,'MSA-Lookup'!$H$1:$I$86,2),C3294),C3294)</f>
        <v>7120</v>
      </c>
      <c r="G3294" s="0" t="n">
        <f aca="false">VLOOKUP(E3294,'MSA-Lookup'!$AA$1:$AB$25,2)</f>
        <v>7362</v>
      </c>
      <c r="H3294" s="0" t="n">
        <f aca="false">IF(C3294&gt;1,IF(C3294&lt;99,VLOOKUP(F3294,'MSA-Lookup'!$AA$1:$AB$25,2),C3294),C3294)</f>
        <v>7120</v>
      </c>
    </row>
    <row r="3295" customFormat="false" ht="12.75" hidden="false" customHeight="false" outlineLevel="0" collapsed="false">
      <c r="A3295" s="0" t="n">
        <f aca="false">B3295*1000+C3295</f>
        <v>50040</v>
      </c>
      <c r="B3295" s="0" t="n">
        <v>50</v>
      </c>
      <c r="C3295" s="0" t="n">
        <v>40</v>
      </c>
      <c r="D3295" s="0" t="n">
        <v>0</v>
      </c>
      <c r="E3295" s="0" t="n">
        <f aca="false">VLOOKUP(B3295,'MSA-Lookup'!$H$2:$I$86,2)</f>
        <v>7400</v>
      </c>
      <c r="F3295" s="0" t="n">
        <f aca="false">IF(C3295&gt;1,IF(C3295&lt;99,VLOOKUP(C3295,'MSA-Lookup'!$H$1:$I$86,2),C3295),C3295)</f>
        <v>2840</v>
      </c>
      <c r="G3295" s="0" t="n">
        <f aca="false">VLOOKUP(E3295,'MSA-Lookup'!$AA$1:$AB$25,2)</f>
        <v>7362</v>
      </c>
      <c r="H3295" s="0" t="n">
        <f aca="false">IF(C3295&gt;1,IF(C3295&lt;99,VLOOKUP(F3295,'MSA-Lookup'!$AA$1:$AB$25,2),C3295),C3295)</f>
        <v>2840</v>
      </c>
    </row>
    <row r="3296" customFormat="false" ht="12.75" hidden="false" customHeight="false" outlineLevel="0" collapsed="false">
      <c r="A3296" s="0" t="n">
        <f aca="false">B3296*1000+C3296</f>
        <v>50041</v>
      </c>
      <c r="B3296" s="0" t="n">
        <v>50</v>
      </c>
      <c r="C3296" s="0" t="n">
        <v>41</v>
      </c>
      <c r="D3296" s="0" t="n">
        <v>0</v>
      </c>
      <c r="E3296" s="0" t="n">
        <f aca="false">VLOOKUP(B3296,'MSA-Lookup'!$H$2:$I$86,2)</f>
        <v>7400</v>
      </c>
      <c r="F3296" s="0" t="n">
        <f aca="false">IF(C3296&gt;1,IF(C3296&lt;99,VLOOKUP(C3296,'MSA-Lookup'!$H$1:$I$86,2),C3296),C3296)</f>
        <v>2840</v>
      </c>
      <c r="G3296" s="0" t="n">
        <f aca="false">VLOOKUP(E3296,'MSA-Lookup'!$AA$1:$AB$25,2)</f>
        <v>7362</v>
      </c>
      <c r="H3296" s="0" t="n">
        <f aca="false">IF(C3296&gt;1,IF(C3296&lt;99,VLOOKUP(F3296,'MSA-Lookup'!$AA$1:$AB$25,2),C3296),C3296)</f>
        <v>2840</v>
      </c>
    </row>
    <row r="3297" customFormat="false" ht="12.75" hidden="false" customHeight="false" outlineLevel="0" collapsed="false">
      <c r="A3297" s="0" t="n">
        <f aca="false">B3297*1000+C3297</f>
        <v>50042</v>
      </c>
      <c r="B3297" s="0" t="n">
        <v>50</v>
      </c>
      <c r="C3297" s="0" t="n">
        <v>42</v>
      </c>
      <c r="D3297" s="0" t="n">
        <v>0</v>
      </c>
      <c r="E3297" s="0" t="n">
        <f aca="false">VLOOKUP(B3297,'MSA-Lookup'!$H$2:$I$86,2)</f>
        <v>7400</v>
      </c>
      <c r="F3297" s="0" t="n">
        <f aca="false">IF(C3297&gt;1,IF(C3297&lt;99,VLOOKUP(C3297,'MSA-Lookup'!$H$1:$I$86,2),C3297),C3297)</f>
        <v>360</v>
      </c>
      <c r="G3297" s="0" t="n">
        <f aca="false">VLOOKUP(E3297,'MSA-Lookup'!$AA$1:$AB$25,2)</f>
        <v>7362</v>
      </c>
      <c r="H3297" s="0" t="n">
        <f aca="false">IF(C3297&gt;1,IF(C3297&lt;99,VLOOKUP(F3297,'MSA-Lookup'!$AA$1:$AB$25,2),C3297),C3297)</f>
        <v>4472</v>
      </c>
    </row>
    <row r="3298" customFormat="false" ht="12.75" hidden="false" customHeight="false" outlineLevel="0" collapsed="false">
      <c r="A3298" s="0" t="n">
        <f aca="false">B3298*1000+C3298</f>
        <v>50043</v>
      </c>
      <c r="B3298" s="0" t="n">
        <v>50</v>
      </c>
      <c r="C3298" s="0" t="n">
        <v>43</v>
      </c>
      <c r="D3298" s="0" t="n">
        <v>0</v>
      </c>
      <c r="E3298" s="0" t="n">
        <f aca="false">VLOOKUP(B3298,'MSA-Lookup'!$H$2:$I$86,2)</f>
        <v>7400</v>
      </c>
      <c r="F3298" s="0" t="n">
        <f aca="false">IF(C3298&gt;1,IF(C3298&lt;99,VLOOKUP(C3298,'MSA-Lookup'!$H$1:$I$86,2),C3298),C3298)</f>
        <v>360</v>
      </c>
      <c r="G3298" s="0" t="n">
        <f aca="false">VLOOKUP(E3298,'MSA-Lookup'!$AA$1:$AB$25,2)</f>
        <v>7362</v>
      </c>
      <c r="H3298" s="0" t="n">
        <f aca="false">IF(C3298&gt;1,IF(C3298&lt;99,VLOOKUP(F3298,'MSA-Lookup'!$AA$1:$AB$25,2),C3298),C3298)</f>
        <v>4472</v>
      </c>
    </row>
    <row r="3299" customFormat="false" ht="12.75" hidden="false" customHeight="false" outlineLevel="0" collapsed="false">
      <c r="A3299" s="0" t="n">
        <f aca="false">B3299*1000+C3299</f>
        <v>50044</v>
      </c>
      <c r="B3299" s="0" t="n">
        <v>50</v>
      </c>
      <c r="C3299" s="0" t="n">
        <v>44</v>
      </c>
      <c r="D3299" s="0" t="n">
        <v>0</v>
      </c>
      <c r="E3299" s="0" t="n">
        <f aca="false">VLOOKUP(B3299,'MSA-Lookup'!$H$2:$I$86,2)</f>
        <v>7400</v>
      </c>
      <c r="F3299" s="0" t="n">
        <f aca="false">IF(C3299&gt;1,IF(C3299&lt;99,VLOOKUP(C3299,'MSA-Lookup'!$H$1:$I$86,2),C3299),C3299)</f>
        <v>360</v>
      </c>
      <c r="G3299" s="0" t="n">
        <f aca="false">VLOOKUP(E3299,'MSA-Lookup'!$AA$1:$AB$25,2)</f>
        <v>7362</v>
      </c>
      <c r="H3299" s="0" t="n">
        <f aca="false">IF(C3299&gt;1,IF(C3299&lt;99,VLOOKUP(F3299,'MSA-Lookup'!$AA$1:$AB$25,2),C3299),C3299)</f>
        <v>4472</v>
      </c>
    </row>
    <row r="3300" customFormat="false" ht="12.75" hidden="false" customHeight="false" outlineLevel="0" collapsed="false">
      <c r="A3300" s="0" t="n">
        <f aca="false">B3300*1000+C3300</f>
        <v>50045</v>
      </c>
      <c r="B3300" s="0" t="n">
        <v>50</v>
      </c>
      <c r="C3300" s="0" t="n">
        <v>45</v>
      </c>
      <c r="D3300" s="0" t="n">
        <v>0</v>
      </c>
      <c r="E3300" s="0" t="n">
        <f aca="false">VLOOKUP(B3300,'MSA-Lookup'!$H$2:$I$86,2)</f>
        <v>7400</v>
      </c>
      <c r="F3300" s="0" t="n">
        <f aca="false">IF(C3300&gt;1,IF(C3300&lt;99,VLOOKUP(C3300,'MSA-Lookup'!$H$1:$I$86,2),C3300),C3300)</f>
        <v>360</v>
      </c>
      <c r="G3300" s="0" t="n">
        <f aca="false">VLOOKUP(E3300,'MSA-Lookup'!$AA$1:$AB$25,2)</f>
        <v>7362</v>
      </c>
      <c r="H3300" s="0" t="n">
        <f aca="false">IF(C3300&gt;1,IF(C3300&lt;99,VLOOKUP(F3300,'MSA-Lookup'!$AA$1:$AB$25,2),C3300),C3300)</f>
        <v>4472</v>
      </c>
    </row>
    <row r="3301" customFormat="false" ht="12.75" hidden="false" customHeight="false" outlineLevel="0" collapsed="false">
      <c r="A3301" s="0" t="n">
        <f aca="false">B3301*1000+C3301</f>
        <v>50046</v>
      </c>
      <c r="B3301" s="0" t="n">
        <v>50</v>
      </c>
      <c r="C3301" s="0" t="n">
        <v>46</v>
      </c>
      <c r="D3301" s="0" t="n">
        <v>0</v>
      </c>
      <c r="E3301" s="0" t="n">
        <f aca="false">VLOOKUP(B3301,'MSA-Lookup'!$H$2:$I$86,2)</f>
        <v>7400</v>
      </c>
      <c r="F3301" s="0" t="n">
        <f aca="false">IF(C3301&gt;1,IF(C3301&lt;99,VLOOKUP(C3301,'MSA-Lookup'!$H$1:$I$86,2),C3301),C3301)</f>
        <v>360</v>
      </c>
      <c r="G3301" s="0" t="n">
        <f aca="false">VLOOKUP(E3301,'MSA-Lookup'!$AA$1:$AB$25,2)</f>
        <v>7362</v>
      </c>
      <c r="H3301" s="0" t="n">
        <f aca="false">IF(C3301&gt;1,IF(C3301&lt;99,VLOOKUP(F3301,'MSA-Lookup'!$AA$1:$AB$25,2),C3301),C3301)</f>
        <v>4472</v>
      </c>
    </row>
    <row r="3302" customFormat="false" ht="12.75" hidden="false" customHeight="false" outlineLevel="0" collapsed="false">
      <c r="A3302" s="0" t="n">
        <f aca="false">B3302*1000+C3302</f>
        <v>50047</v>
      </c>
      <c r="B3302" s="0" t="n">
        <v>50</v>
      </c>
      <c r="C3302" s="0" t="n">
        <v>47</v>
      </c>
      <c r="D3302" s="0" t="n">
        <v>0</v>
      </c>
      <c r="E3302" s="0" t="n">
        <f aca="false">VLOOKUP(B3302,'MSA-Lookup'!$H$2:$I$86,2)</f>
        <v>7400</v>
      </c>
      <c r="F3302" s="0" t="n">
        <f aca="false">IF(C3302&gt;1,IF(C3302&lt;99,VLOOKUP(C3302,'MSA-Lookup'!$H$1:$I$86,2),C3302),C3302)</f>
        <v>360</v>
      </c>
      <c r="G3302" s="0" t="n">
        <f aca="false">VLOOKUP(E3302,'MSA-Lookup'!$AA$1:$AB$25,2)</f>
        <v>7362</v>
      </c>
      <c r="H3302" s="0" t="n">
        <f aca="false">IF(C3302&gt;1,IF(C3302&lt;99,VLOOKUP(F3302,'MSA-Lookup'!$AA$1:$AB$25,2),C3302),C3302)</f>
        <v>4472</v>
      </c>
    </row>
    <row r="3303" customFormat="false" ht="12.75" hidden="false" customHeight="false" outlineLevel="0" collapsed="false">
      <c r="A3303" s="0" t="n">
        <f aca="false">B3303*1000+C3303</f>
        <v>50048</v>
      </c>
      <c r="B3303" s="0" t="n">
        <v>50</v>
      </c>
      <c r="C3303" s="0" t="n">
        <v>48</v>
      </c>
      <c r="D3303" s="0" t="n">
        <v>0</v>
      </c>
      <c r="E3303" s="0" t="n">
        <f aca="false">VLOOKUP(B3303,'MSA-Lookup'!$H$2:$I$86,2)</f>
        <v>7400</v>
      </c>
      <c r="F3303" s="0" t="n">
        <f aca="false">IF(C3303&gt;1,IF(C3303&lt;99,VLOOKUP(C3303,'MSA-Lookup'!$H$1:$I$86,2),C3303),C3303)</f>
        <v>360</v>
      </c>
      <c r="G3303" s="0" t="n">
        <f aca="false">VLOOKUP(E3303,'MSA-Lookup'!$AA$1:$AB$25,2)</f>
        <v>7362</v>
      </c>
      <c r="H3303" s="0" t="n">
        <f aca="false">IF(C3303&gt;1,IF(C3303&lt;99,VLOOKUP(F3303,'MSA-Lookup'!$AA$1:$AB$25,2),C3303),C3303)</f>
        <v>4472</v>
      </c>
    </row>
    <row r="3304" customFormat="false" ht="12.75" hidden="false" customHeight="false" outlineLevel="0" collapsed="false">
      <c r="A3304" s="0" t="n">
        <f aca="false">B3304*1000+C3304</f>
        <v>50049</v>
      </c>
      <c r="B3304" s="0" t="n">
        <v>50</v>
      </c>
      <c r="C3304" s="0" t="n">
        <v>49</v>
      </c>
      <c r="D3304" s="0" t="n">
        <v>26182</v>
      </c>
      <c r="E3304" s="0" t="n">
        <f aca="false">VLOOKUP(B3304,'MSA-Lookup'!$H$2:$I$86,2)</f>
        <v>7400</v>
      </c>
      <c r="F3304" s="0" t="n">
        <f aca="false">IF(C3304&gt;1,IF(C3304&lt;99,VLOOKUP(C3304,'MSA-Lookup'!$H$1:$I$86,2),C3304),C3304)</f>
        <v>7400</v>
      </c>
      <c r="G3304" s="0" t="n">
        <f aca="false">VLOOKUP(E3304,'MSA-Lookup'!$AA$1:$AB$25,2)</f>
        <v>7362</v>
      </c>
      <c r="H3304" s="0" t="n">
        <f aca="false">IF(C3304&gt;1,IF(C3304&lt;99,VLOOKUP(F3304,'MSA-Lookup'!$AA$1:$AB$25,2),C3304),C3304)</f>
        <v>7362</v>
      </c>
    </row>
    <row r="3305" customFormat="false" ht="12.75" hidden="false" customHeight="false" outlineLevel="0" collapsed="false">
      <c r="A3305" s="0" t="n">
        <f aca="false">B3305*1000+C3305</f>
        <v>50050</v>
      </c>
      <c r="B3305" s="0" t="n">
        <v>50</v>
      </c>
      <c r="C3305" s="0" t="n">
        <v>50</v>
      </c>
      <c r="D3305" s="0" t="n">
        <v>23049</v>
      </c>
      <c r="E3305" s="0" t="n">
        <f aca="false">VLOOKUP(B3305,'MSA-Lookup'!$H$2:$I$86,2)</f>
        <v>7400</v>
      </c>
      <c r="F3305" s="0" t="n">
        <f aca="false">IF(C3305&gt;1,IF(C3305&lt;99,VLOOKUP(C3305,'MSA-Lookup'!$H$1:$I$86,2),C3305),C3305)</f>
        <v>7400</v>
      </c>
      <c r="G3305" s="0" t="n">
        <f aca="false">VLOOKUP(E3305,'MSA-Lookup'!$AA$1:$AB$25,2)</f>
        <v>7362</v>
      </c>
      <c r="H3305" s="0" t="n">
        <f aca="false">IF(C3305&gt;1,IF(C3305&lt;99,VLOOKUP(F3305,'MSA-Lookup'!$AA$1:$AB$25,2),C3305),C3305)</f>
        <v>7362</v>
      </c>
    </row>
    <row r="3306" customFormat="false" ht="12.75" hidden="false" customHeight="false" outlineLevel="0" collapsed="false">
      <c r="A3306" s="0" t="n">
        <f aca="false">B3306*1000+C3306</f>
        <v>50051</v>
      </c>
      <c r="B3306" s="0" t="n">
        <v>50</v>
      </c>
      <c r="C3306" s="0" t="n">
        <v>51</v>
      </c>
      <c r="D3306" s="0" t="n">
        <v>8125</v>
      </c>
      <c r="E3306" s="0" t="n">
        <f aca="false">VLOOKUP(B3306,'MSA-Lookup'!$H$2:$I$86,2)</f>
        <v>7400</v>
      </c>
      <c r="F3306" s="0" t="n">
        <f aca="false">IF(C3306&gt;1,IF(C3306&lt;99,VLOOKUP(C3306,'MSA-Lookup'!$H$1:$I$86,2),C3306),C3306)</f>
        <v>7400</v>
      </c>
      <c r="G3306" s="0" t="n">
        <f aca="false">VLOOKUP(E3306,'MSA-Lookup'!$AA$1:$AB$25,2)</f>
        <v>7362</v>
      </c>
      <c r="H3306" s="0" t="n">
        <f aca="false">IF(C3306&gt;1,IF(C3306&lt;99,VLOOKUP(F3306,'MSA-Lookup'!$AA$1:$AB$25,2),C3306),C3306)</f>
        <v>7362</v>
      </c>
    </row>
    <row r="3307" customFormat="false" ht="12.75" hidden="false" customHeight="false" outlineLevel="0" collapsed="false">
      <c r="A3307" s="0" t="n">
        <f aca="false">B3307*1000+C3307</f>
        <v>50052</v>
      </c>
      <c r="B3307" s="0" t="n">
        <v>50</v>
      </c>
      <c r="C3307" s="0" t="n">
        <v>52</v>
      </c>
      <c r="D3307" s="0" t="n">
        <v>0</v>
      </c>
      <c r="E3307" s="0" t="n">
        <f aca="false">VLOOKUP(B3307,'MSA-Lookup'!$H$2:$I$86,2)</f>
        <v>7400</v>
      </c>
      <c r="F3307" s="0" t="n">
        <f aca="false">IF(C3307&gt;1,IF(C3307&lt;99,VLOOKUP(C3307,'MSA-Lookup'!$H$1:$I$86,2),C3307),C3307)</f>
        <v>4480</v>
      </c>
      <c r="G3307" s="0" t="n">
        <f aca="false">VLOOKUP(E3307,'MSA-Lookup'!$AA$1:$AB$25,2)</f>
        <v>7362</v>
      </c>
      <c r="H3307" s="0" t="n">
        <f aca="false">IF(C3307&gt;1,IF(C3307&lt;99,VLOOKUP(F3307,'MSA-Lookup'!$AA$1:$AB$25,2),C3307),C3307)</f>
        <v>4472</v>
      </c>
    </row>
    <row r="3308" customFormat="false" ht="12.75" hidden="false" customHeight="false" outlineLevel="0" collapsed="false">
      <c r="A3308" s="0" t="n">
        <f aca="false">B3308*1000+C3308</f>
        <v>50053</v>
      </c>
      <c r="B3308" s="0" t="n">
        <v>50</v>
      </c>
      <c r="C3308" s="0" t="n">
        <v>53</v>
      </c>
      <c r="D3308" s="0" t="n">
        <v>0</v>
      </c>
      <c r="E3308" s="0" t="n">
        <f aca="false">VLOOKUP(B3308,'MSA-Lookup'!$H$2:$I$86,2)</f>
        <v>7400</v>
      </c>
      <c r="F3308" s="0" t="n">
        <f aca="false">IF(C3308&gt;1,IF(C3308&lt;99,VLOOKUP(C3308,'MSA-Lookup'!$H$1:$I$86,2),C3308),C3308)</f>
        <v>4480</v>
      </c>
      <c r="G3308" s="0" t="n">
        <f aca="false">VLOOKUP(E3308,'MSA-Lookup'!$AA$1:$AB$25,2)</f>
        <v>7362</v>
      </c>
      <c r="H3308" s="0" t="n">
        <f aca="false">IF(C3308&gt;1,IF(C3308&lt;99,VLOOKUP(F3308,'MSA-Lookup'!$AA$1:$AB$25,2),C3308),C3308)</f>
        <v>4472</v>
      </c>
    </row>
    <row r="3309" customFormat="false" ht="12.75" hidden="false" customHeight="false" outlineLevel="0" collapsed="false">
      <c r="A3309" s="0" t="n">
        <f aca="false">B3309*1000+C3309</f>
        <v>50054</v>
      </c>
      <c r="B3309" s="0" t="n">
        <v>50</v>
      </c>
      <c r="C3309" s="0" t="n">
        <v>54</v>
      </c>
      <c r="D3309" s="0" t="n">
        <v>0</v>
      </c>
      <c r="E3309" s="0" t="n">
        <f aca="false">VLOOKUP(B3309,'MSA-Lookup'!$H$2:$I$86,2)</f>
        <v>7400</v>
      </c>
      <c r="F3309" s="0" t="n">
        <f aca="false">IF(C3309&gt;1,IF(C3309&lt;99,VLOOKUP(C3309,'MSA-Lookup'!$H$1:$I$86,2),C3309),C3309)</f>
        <v>4480</v>
      </c>
      <c r="G3309" s="0" t="n">
        <f aca="false">VLOOKUP(E3309,'MSA-Lookup'!$AA$1:$AB$25,2)</f>
        <v>7362</v>
      </c>
      <c r="H3309" s="0" t="n">
        <f aca="false">IF(C3309&gt;1,IF(C3309&lt;99,VLOOKUP(F3309,'MSA-Lookup'!$AA$1:$AB$25,2),C3309),C3309)</f>
        <v>4472</v>
      </c>
    </row>
    <row r="3310" customFormat="false" ht="12.75" hidden="false" customHeight="false" outlineLevel="0" collapsed="false">
      <c r="A3310" s="0" t="n">
        <f aca="false">B3310*1000+C3310</f>
        <v>50055</v>
      </c>
      <c r="B3310" s="0" t="n">
        <v>50</v>
      </c>
      <c r="C3310" s="0" t="n">
        <v>55</v>
      </c>
      <c r="D3310" s="0" t="n">
        <v>0</v>
      </c>
      <c r="E3310" s="0" t="n">
        <f aca="false">VLOOKUP(B3310,'MSA-Lookup'!$H$2:$I$86,2)</f>
        <v>7400</v>
      </c>
      <c r="F3310" s="0" t="n">
        <f aca="false">IF(C3310&gt;1,IF(C3310&lt;99,VLOOKUP(C3310,'MSA-Lookup'!$H$1:$I$86,2),C3310),C3310)</f>
        <v>4480</v>
      </c>
      <c r="G3310" s="0" t="n">
        <f aca="false">VLOOKUP(E3310,'MSA-Lookup'!$AA$1:$AB$25,2)</f>
        <v>7362</v>
      </c>
      <c r="H3310" s="0" t="n">
        <f aca="false">IF(C3310&gt;1,IF(C3310&lt;99,VLOOKUP(F3310,'MSA-Lookup'!$AA$1:$AB$25,2),C3310),C3310)</f>
        <v>4472</v>
      </c>
    </row>
    <row r="3311" customFormat="false" ht="12.75" hidden="false" customHeight="false" outlineLevel="0" collapsed="false">
      <c r="A3311" s="0" t="n">
        <f aca="false">B3311*1000+C3311</f>
        <v>50056</v>
      </c>
      <c r="B3311" s="0" t="n">
        <v>50</v>
      </c>
      <c r="C3311" s="0" t="n">
        <v>56</v>
      </c>
      <c r="D3311" s="0" t="n">
        <v>0</v>
      </c>
      <c r="E3311" s="0" t="n">
        <f aca="false">VLOOKUP(B3311,'MSA-Lookup'!$H$2:$I$86,2)</f>
        <v>7400</v>
      </c>
      <c r="F3311" s="0" t="n">
        <f aca="false">IF(C3311&gt;1,IF(C3311&lt;99,VLOOKUP(C3311,'MSA-Lookup'!$H$1:$I$86,2),C3311),C3311)</f>
        <v>4480</v>
      </c>
      <c r="G3311" s="0" t="n">
        <f aca="false">VLOOKUP(E3311,'MSA-Lookup'!$AA$1:$AB$25,2)</f>
        <v>7362</v>
      </c>
      <c r="H3311" s="0" t="n">
        <f aca="false">IF(C3311&gt;1,IF(C3311&lt;99,VLOOKUP(F3311,'MSA-Lookup'!$AA$1:$AB$25,2),C3311),C3311)</f>
        <v>4472</v>
      </c>
    </row>
    <row r="3312" customFormat="false" ht="12.75" hidden="false" customHeight="false" outlineLevel="0" collapsed="false">
      <c r="A3312" s="0" t="n">
        <f aca="false">B3312*1000+C3312</f>
        <v>50057</v>
      </c>
      <c r="B3312" s="0" t="n">
        <v>50</v>
      </c>
      <c r="C3312" s="0" t="n">
        <v>57</v>
      </c>
      <c r="D3312" s="0" t="n">
        <v>0</v>
      </c>
      <c r="E3312" s="0" t="n">
        <f aca="false">VLOOKUP(B3312,'MSA-Lookup'!$H$2:$I$86,2)</f>
        <v>7400</v>
      </c>
      <c r="F3312" s="0" t="n">
        <f aca="false">IF(C3312&gt;1,IF(C3312&lt;99,VLOOKUP(C3312,'MSA-Lookup'!$H$1:$I$86,2),C3312),C3312)</f>
        <v>4480</v>
      </c>
      <c r="G3312" s="0" t="n">
        <f aca="false">VLOOKUP(E3312,'MSA-Lookup'!$AA$1:$AB$25,2)</f>
        <v>7362</v>
      </c>
      <c r="H3312" s="0" t="n">
        <f aca="false">IF(C3312&gt;1,IF(C3312&lt;99,VLOOKUP(F3312,'MSA-Lookup'!$AA$1:$AB$25,2),C3312),C3312)</f>
        <v>4472</v>
      </c>
    </row>
    <row r="3313" customFormat="false" ht="12.75" hidden="false" customHeight="false" outlineLevel="0" collapsed="false">
      <c r="A3313" s="0" t="n">
        <f aca="false">B3313*1000+C3313</f>
        <v>50058</v>
      </c>
      <c r="B3313" s="0" t="n">
        <v>50</v>
      </c>
      <c r="C3313" s="0" t="n">
        <v>58</v>
      </c>
      <c r="D3313" s="0" t="n">
        <v>0</v>
      </c>
      <c r="E3313" s="0" t="n">
        <f aca="false">VLOOKUP(B3313,'MSA-Lookup'!$H$2:$I$86,2)</f>
        <v>7400</v>
      </c>
      <c r="F3313" s="0" t="n">
        <f aca="false">IF(C3313&gt;1,IF(C3313&lt;99,VLOOKUP(C3313,'MSA-Lookup'!$H$1:$I$86,2),C3313),C3313)</f>
        <v>4480</v>
      </c>
      <c r="G3313" s="0" t="n">
        <f aca="false">VLOOKUP(E3313,'MSA-Lookup'!$AA$1:$AB$25,2)</f>
        <v>7362</v>
      </c>
      <c r="H3313" s="0" t="n">
        <f aca="false">IF(C3313&gt;1,IF(C3313&lt;99,VLOOKUP(F3313,'MSA-Lookup'!$AA$1:$AB$25,2),C3313),C3313)</f>
        <v>4472</v>
      </c>
    </row>
    <row r="3314" customFormat="false" ht="12.75" hidden="false" customHeight="false" outlineLevel="0" collapsed="false">
      <c r="A3314" s="0" t="n">
        <f aca="false">B3314*1000+C3314</f>
        <v>50059</v>
      </c>
      <c r="B3314" s="0" t="n">
        <v>50</v>
      </c>
      <c r="C3314" s="0" t="n">
        <v>59</v>
      </c>
      <c r="D3314" s="0" t="n">
        <v>0</v>
      </c>
      <c r="E3314" s="0" t="n">
        <f aca="false">VLOOKUP(B3314,'MSA-Lookup'!$H$2:$I$86,2)</f>
        <v>7400</v>
      </c>
      <c r="F3314" s="0" t="n">
        <f aca="false">IF(C3314&gt;1,IF(C3314&lt;99,VLOOKUP(C3314,'MSA-Lookup'!$H$1:$I$86,2),C3314),C3314)</f>
        <v>4480</v>
      </c>
      <c r="G3314" s="0" t="n">
        <f aca="false">VLOOKUP(E3314,'MSA-Lookup'!$AA$1:$AB$25,2)</f>
        <v>7362</v>
      </c>
      <c r="H3314" s="0" t="n">
        <f aca="false">IF(C3314&gt;1,IF(C3314&lt;99,VLOOKUP(F3314,'MSA-Lookup'!$AA$1:$AB$25,2),C3314),C3314)</f>
        <v>4472</v>
      </c>
    </row>
    <row r="3315" customFormat="false" ht="12.75" hidden="false" customHeight="false" outlineLevel="0" collapsed="false">
      <c r="A3315" s="0" t="n">
        <f aca="false">B3315*1000+C3315</f>
        <v>50060</v>
      </c>
      <c r="B3315" s="0" t="n">
        <v>50</v>
      </c>
      <c r="C3315" s="0" t="n">
        <v>60</v>
      </c>
      <c r="D3315" s="0" t="n">
        <v>0</v>
      </c>
      <c r="E3315" s="0" t="n">
        <f aca="false">VLOOKUP(B3315,'MSA-Lookup'!$H$2:$I$86,2)</f>
        <v>7400</v>
      </c>
      <c r="F3315" s="0" t="n">
        <f aca="false">IF(C3315&gt;1,IF(C3315&lt;99,VLOOKUP(C3315,'MSA-Lookup'!$H$1:$I$86,2),C3315),C3315)</f>
        <v>4480</v>
      </c>
      <c r="G3315" s="0" t="n">
        <f aca="false">VLOOKUP(E3315,'MSA-Lookup'!$AA$1:$AB$25,2)</f>
        <v>7362</v>
      </c>
      <c r="H3315" s="0" t="n">
        <f aca="false">IF(C3315&gt;1,IF(C3315&lt;99,VLOOKUP(F3315,'MSA-Lookup'!$AA$1:$AB$25,2),C3315),C3315)</f>
        <v>4472</v>
      </c>
    </row>
    <row r="3316" customFormat="false" ht="12.75" hidden="false" customHeight="false" outlineLevel="0" collapsed="false">
      <c r="A3316" s="0" t="n">
        <f aca="false">B3316*1000+C3316</f>
        <v>50061</v>
      </c>
      <c r="B3316" s="0" t="n">
        <v>50</v>
      </c>
      <c r="C3316" s="0" t="n">
        <v>61</v>
      </c>
      <c r="D3316" s="0" t="n">
        <v>0</v>
      </c>
      <c r="E3316" s="0" t="n">
        <f aca="false">VLOOKUP(B3316,'MSA-Lookup'!$H$2:$I$86,2)</f>
        <v>7400</v>
      </c>
      <c r="F3316" s="0" t="n">
        <f aca="false">IF(C3316&gt;1,IF(C3316&lt;99,VLOOKUP(C3316,'MSA-Lookup'!$H$1:$I$86,2),C3316),C3316)</f>
        <v>4480</v>
      </c>
      <c r="G3316" s="0" t="n">
        <f aca="false">VLOOKUP(E3316,'MSA-Lookup'!$AA$1:$AB$25,2)</f>
        <v>7362</v>
      </c>
      <c r="H3316" s="0" t="n">
        <f aca="false">IF(C3316&gt;1,IF(C3316&lt;99,VLOOKUP(F3316,'MSA-Lookup'!$AA$1:$AB$25,2),C3316),C3316)</f>
        <v>4472</v>
      </c>
    </row>
    <row r="3317" customFormat="false" ht="12.75" hidden="false" customHeight="false" outlineLevel="0" collapsed="false">
      <c r="A3317" s="0" t="n">
        <f aca="false">B3317*1000+C3317</f>
        <v>50062</v>
      </c>
      <c r="B3317" s="0" t="n">
        <v>50</v>
      </c>
      <c r="C3317" s="0" t="n">
        <v>62</v>
      </c>
      <c r="D3317" s="0" t="n">
        <v>0</v>
      </c>
      <c r="E3317" s="0" t="n">
        <f aca="false">VLOOKUP(B3317,'MSA-Lookup'!$H$2:$I$86,2)</f>
        <v>7400</v>
      </c>
      <c r="F3317" s="0" t="n">
        <f aca="false">IF(C3317&gt;1,IF(C3317&lt;99,VLOOKUP(C3317,'MSA-Lookup'!$H$1:$I$86,2),C3317),C3317)</f>
        <v>4480</v>
      </c>
      <c r="G3317" s="0" t="n">
        <f aca="false">VLOOKUP(E3317,'MSA-Lookup'!$AA$1:$AB$25,2)</f>
        <v>7362</v>
      </c>
      <c r="H3317" s="0" t="n">
        <f aca="false">IF(C3317&gt;1,IF(C3317&lt;99,VLOOKUP(F3317,'MSA-Lookup'!$AA$1:$AB$25,2),C3317),C3317)</f>
        <v>4472</v>
      </c>
    </row>
    <row r="3318" customFormat="false" ht="12.75" hidden="false" customHeight="false" outlineLevel="0" collapsed="false">
      <c r="A3318" s="0" t="n">
        <f aca="false">B3318*1000+C3318</f>
        <v>50063</v>
      </c>
      <c r="B3318" s="0" t="n">
        <v>50</v>
      </c>
      <c r="C3318" s="0" t="n">
        <v>63</v>
      </c>
      <c r="D3318" s="0" t="n">
        <v>0</v>
      </c>
      <c r="E3318" s="0" t="n">
        <f aca="false">VLOOKUP(B3318,'MSA-Lookup'!$H$2:$I$86,2)</f>
        <v>7400</v>
      </c>
      <c r="F3318" s="0" t="n">
        <f aca="false">IF(C3318&gt;1,IF(C3318&lt;99,VLOOKUP(C3318,'MSA-Lookup'!$H$1:$I$86,2),C3318),C3318)</f>
        <v>4480</v>
      </c>
      <c r="G3318" s="0" t="n">
        <f aca="false">VLOOKUP(E3318,'MSA-Lookup'!$AA$1:$AB$25,2)</f>
        <v>7362</v>
      </c>
      <c r="H3318" s="0" t="n">
        <f aca="false">IF(C3318&gt;1,IF(C3318&lt;99,VLOOKUP(F3318,'MSA-Lookup'!$AA$1:$AB$25,2),C3318),C3318)</f>
        <v>4472</v>
      </c>
    </row>
    <row r="3319" customFormat="false" ht="12.75" hidden="false" customHeight="false" outlineLevel="0" collapsed="false">
      <c r="A3319" s="0" t="n">
        <f aca="false">B3319*1000+C3319</f>
        <v>50064</v>
      </c>
      <c r="B3319" s="0" t="n">
        <v>50</v>
      </c>
      <c r="C3319" s="0" t="n">
        <v>64</v>
      </c>
      <c r="D3319" s="0" t="n">
        <v>0</v>
      </c>
      <c r="E3319" s="0" t="n">
        <f aca="false">VLOOKUP(B3319,'MSA-Lookup'!$H$2:$I$86,2)</f>
        <v>7400</v>
      </c>
      <c r="F3319" s="0" t="n">
        <f aca="false">IF(C3319&gt;1,IF(C3319&lt;99,VLOOKUP(C3319,'MSA-Lookup'!$H$1:$I$86,2),C3319),C3319)</f>
        <v>4480</v>
      </c>
      <c r="G3319" s="0" t="n">
        <f aca="false">VLOOKUP(E3319,'MSA-Lookup'!$AA$1:$AB$25,2)</f>
        <v>7362</v>
      </c>
      <c r="H3319" s="0" t="n">
        <f aca="false">IF(C3319&gt;1,IF(C3319&lt;99,VLOOKUP(F3319,'MSA-Lookup'!$AA$1:$AB$25,2),C3319),C3319)</f>
        <v>4472</v>
      </c>
    </row>
    <row r="3320" customFormat="false" ht="12.75" hidden="false" customHeight="false" outlineLevel="0" collapsed="false">
      <c r="A3320" s="0" t="n">
        <f aca="false">B3320*1000+C3320</f>
        <v>50065</v>
      </c>
      <c r="B3320" s="0" t="n">
        <v>50</v>
      </c>
      <c r="C3320" s="0" t="n">
        <v>65</v>
      </c>
      <c r="D3320" s="0" t="n">
        <v>0</v>
      </c>
      <c r="E3320" s="0" t="n">
        <f aca="false">VLOOKUP(B3320,'MSA-Lookup'!$H$2:$I$86,2)</f>
        <v>7400</v>
      </c>
      <c r="F3320" s="0" t="n">
        <f aca="false">IF(C3320&gt;1,IF(C3320&lt;99,VLOOKUP(C3320,'MSA-Lookup'!$H$1:$I$86,2),C3320),C3320)</f>
        <v>4480</v>
      </c>
      <c r="G3320" s="0" t="n">
        <f aca="false">VLOOKUP(E3320,'MSA-Lookup'!$AA$1:$AB$25,2)</f>
        <v>7362</v>
      </c>
      <c r="H3320" s="0" t="n">
        <f aca="false">IF(C3320&gt;1,IF(C3320&lt;99,VLOOKUP(F3320,'MSA-Lookup'!$AA$1:$AB$25,2),C3320),C3320)</f>
        <v>4472</v>
      </c>
    </row>
    <row r="3321" customFormat="false" ht="12.75" hidden="false" customHeight="false" outlineLevel="0" collapsed="false">
      <c r="A3321" s="0" t="n">
        <f aca="false">B3321*1000+C3321</f>
        <v>50066</v>
      </c>
      <c r="B3321" s="0" t="n">
        <v>50</v>
      </c>
      <c r="C3321" s="0" t="n">
        <v>66</v>
      </c>
      <c r="D3321" s="0" t="n">
        <v>0</v>
      </c>
      <c r="E3321" s="0" t="n">
        <f aca="false">VLOOKUP(B3321,'MSA-Lookup'!$H$2:$I$86,2)</f>
        <v>7400</v>
      </c>
      <c r="F3321" s="0" t="n">
        <f aca="false">IF(C3321&gt;1,IF(C3321&lt;99,VLOOKUP(C3321,'MSA-Lookup'!$H$1:$I$86,2),C3321),C3321)</f>
        <v>4480</v>
      </c>
      <c r="G3321" s="0" t="n">
        <f aca="false">VLOOKUP(E3321,'MSA-Lookup'!$AA$1:$AB$25,2)</f>
        <v>7362</v>
      </c>
      <c r="H3321" s="0" t="n">
        <f aca="false">IF(C3321&gt;1,IF(C3321&lt;99,VLOOKUP(F3321,'MSA-Lookup'!$AA$1:$AB$25,2),C3321),C3321)</f>
        <v>4472</v>
      </c>
    </row>
    <row r="3322" customFormat="false" ht="12.75" hidden="false" customHeight="false" outlineLevel="0" collapsed="false">
      <c r="A3322" s="0" t="n">
        <f aca="false">B3322*1000+C3322</f>
        <v>50067</v>
      </c>
      <c r="B3322" s="0" t="n">
        <v>50</v>
      </c>
      <c r="C3322" s="0" t="n">
        <v>67</v>
      </c>
      <c r="D3322" s="0" t="n">
        <v>0</v>
      </c>
      <c r="E3322" s="0" t="n">
        <f aca="false">VLOOKUP(B3322,'MSA-Lookup'!$H$2:$I$86,2)</f>
        <v>7400</v>
      </c>
      <c r="F3322" s="0" t="n">
        <f aca="false">IF(C3322&gt;1,IF(C3322&lt;99,VLOOKUP(C3322,'MSA-Lookup'!$H$1:$I$86,2),C3322),C3322)</f>
        <v>6000</v>
      </c>
      <c r="G3322" s="0" t="n">
        <f aca="false">VLOOKUP(E3322,'MSA-Lookup'!$AA$1:$AB$25,2)</f>
        <v>7362</v>
      </c>
      <c r="H3322" s="0" t="n">
        <f aca="false">IF(C3322&gt;1,IF(C3322&lt;99,VLOOKUP(F3322,'MSA-Lookup'!$AA$1:$AB$25,2),C3322),C3322)</f>
        <v>4472</v>
      </c>
    </row>
    <row r="3323" customFormat="false" ht="12.75" hidden="false" customHeight="false" outlineLevel="0" collapsed="false">
      <c r="A3323" s="0" t="n">
        <f aca="false">B3323*1000+C3323</f>
        <v>50068</v>
      </c>
      <c r="B3323" s="0" t="n">
        <v>50</v>
      </c>
      <c r="C3323" s="0" t="n">
        <v>68</v>
      </c>
      <c r="D3323" s="0" t="n">
        <v>0</v>
      </c>
      <c r="E3323" s="0" t="n">
        <f aca="false">VLOOKUP(B3323,'MSA-Lookup'!$H$2:$I$86,2)</f>
        <v>7400</v>
      </c>
      <c r="F3323" s="0" t="n">
        <f aca="false">IF(C3323&gt;1,IF(C3323&lt;99,VLOOKUP(C3323,'MSA-Lookup'!$H$1:$I$86,2),C3323),C3323)</f>
        <v>6780</v>
      </c>
      <c r="G3323" s="0" t="n">
        <f aca="false">VLOOKUP(E3323,'MSA-Lookup'!$AA$1:$AB$25,2)</f>
        <v>7362</v>
      </c>
      <c r="H3323" s="0" t="n">
        <f aca="false">IF(C3323&gt;1,IF(C3323&lt;99,VLOOKUP(F3323,'MSA-Lookup'!$AA$1:$AB$25,2),C3323),C3323)</f>
        <v>4472</v>
      </c>
    </row>
    <row r="3324" customFormat="false" ht="12.75" hidden="false" customHeight="false" outlineLevel="0" collapsed="false">
      <c r="A3324" s="0" t="n">
        <f aca="false">B3324*1000+C3324</f>
        <v>50069</v>
      </c>
      <c r="B3324" s="0" t="n">
        <v>50</v>
      </c>
      <c r="C3324" s="0" t="n">
        <v>69</v>
      </c>
      <c r="D3324" s="0" t="n">
        <v>0</v>
      </c>
      <c r="E3324" s="0" t="n">
        <f aca="false">VLOOKUP(B3324,'MSA-Lookup'!$H$2:$I$86,2)</f>
        <v>7400</v>
      </c>
      <c r="F3324" s="0" t="n">
        <f aca="false">IF(C3324&gt;1,IF(C3324&lt;99,VLOOKUP(C3324,'MSA-Lookup'!$H$1:$I$86,2),C3324),C3324)</f>
        <v>6780</v>
      </c>
      <c r="G3324" s="0" t="n">
        <f aca="false">VLOOKUP(E3324,'MSA-Lookup'!$AA$1:$AB$25,2)</f>
        <v>7362</v>
      </c>
      <c r="H3324" s="0" t="n">
        <f aca="false">IF(C3324&gt;1,IF(C3324&lt;99,VLOOKUP(F3324,'MSA-Lookup'!$AA$1:$AB$25,2),C3324),C3324)</f>
        <v>4472</v>
      </c>
    </row>
    <row r="3325" customFormat="false" ht="12.75" hidden="false" customHeight="false" outlineLevel="0" collapsed="false">
      <c r="A3325" s="0" t="n">
        <f aca="false">B3325*1000+C3325</f>
        <v>50070</v>
      </c>
      <c r="B3325" s="0" t="n">
        <v>50</v>
      </c>
      <c r="C3325" s="0" t="n">
        <v>70</v>
      </c>
      <c r="D3325" s="0" t="n">
        <v>0</v>
      </c>
      <c r="E3325" s="0" t="n">
        <f aca="false">VLOOKUP(B3325,'MSA-Lookup'!$H$2:$I$86,2)</f>
        <v>7400</v>
      </c>
      <c r="F3325" s="0" t="n">
        <f aca="false">IF(C3325&gt;1,IF(C3325&lt;99,VLOOKUP(C3325,'MSA-Lookup'!$H$1:$I$86,2),C3325),C3325)</f>
        <v>6780</v>
      </c>
      <c r="G3325" s="0" t="n">
        <f aca="false">VLOOKUP(E3325,'MSA-Lookup'!$AA$1:$AB$25,2)</f>
        <v>7362</v>
      </c>
      <c r="H3325" s="0" t="n">
        <f aca="false">IF(C3325&gt;1,IF(C3325&lt;99,VLOOKUP(F3325,'MSA-Lookup'!$AA$1:$AB$25,2),C3325),C3325)</f>
        <v>4472</v>
      </c>
    </row>
    <row r="3326" customFormat="false" ht="12.75" hidden="false" customHeight="false" outlineLevel="0" collapsed="false">
      <c r="A3326" s="0" t="n">
        <f aca="false">B3326*1000+C3326</f>
        <v>50071</v>
      </c>
      <c r="B3326" s="0" t="n">
        <v>50</v>
      </c>
      <c r="C3326" s="0" t="n">
        <v>71</v>
      </c>
      <c r="D3326" s="0" t="n">
        <v>0</v>
      </c>
      <c r="E3326" s="0" t="n">
        <f aca="false">VLOOKUP(B3326,'MSA-Lookup'!$H$2:$I$86,2)</f>
        <v>7400</v>
      </c>
      <c r="F3326" s="0" t="n">
        <f aca="false">IF(C3326&gt;1,IF(C3326&lt;99,VLOOKUP(C3326,'MSA-Lookup'!$H$1:$I$86,2),C3326),C3326)</f>
        <v>6780</v>
      </c>
      <c r="G3326" s="0" t="n">
        <f aca="false">VLOOKUP(E3326,'MSA-Lookup'!$AA$1:$AB$25,2)</f>
        <v>7362</v>
      </c>
      <c r="H3326" s="0" t="n">
        <f aca="false">IF(C3326&gt;1,IF(C3326&lt;99,VLOOKUP(F3326,'MSA-Lookup'!$AA$1:$AB$25,2),C3326),C3326)</f>
        <v>4472</v>
      </c>
    </row>
    <row r="3327" customFormat="false" ht="12.75" hidden="false" customHeight="false" outlineLevel="0" collapsed="false">
      <c r="A3327" s="0" t="n">
        <f aca="false">B3327*1000+C3327</f>
        <v>50072</v>
      </c>
      <c r="B3327" s="0" t="n">
        <v>50</v>
      </c>
      <c r="C3327" s="0" t="n">
        <v>72</v>
      </c>
      <c r="D3327" s="0" t="n">
        <v>0</v>
      </c>
      <c r="E3327" s="0" t="n">
        <f aca="false">VLOOKUP(B3327,'MSA-Lookup'!$H$2:$I$86,2)</f>
        <v>7400</v>
      </c>
      <c r="F3327" s="0" t="n">
        <f aca="false">IF(C3327&gt;1,IF(C3327&lt;99,VLOOKUP(C3327,'MSA-Lookup'!$H$1:$I$86,2),C3327),C3327)</f>
        <v>6780</v>
      </c>
      <c r="G3327" s="0" t="n">
        <f aca="false">VLOOKUP(E3327,'MSA-Lookup'!$AA$1:$AB$25,2)</f>
        <v>7362</v>
      </c>
      <c r="H3327" s="0" t="n">
        <f aca="false">IF(C3327&gt;1,IF(C3327&lt;99,VLOOKUP(F3327,'MSA-Lookup'!$AA$1:$AB$25,2),C3327),C3327)</f>
        <v>4472</v>
      </c>
    </row>
    <row r="3328" customFormat="false" ht="12.75" hidden="false" customHeight="false" outlineLevel="0" collapsed="false">
      <c r="A3328" s="0" t="n">
        <f aca="false">B3328*1000+C3328</f>
        <v>50073</v>
      </c>
      <c r="B3328" s="0" t="n">
        <v>50</v>
      </c>
      <c r="C3328" s="0" t="n">
        <v>73</v>
      </c>
      <c r="D3328" s="0" t="n">
        <v>0</v>
      </c>
      <c r="E3328" s="0" t="n">
        <f aca="false">VLOOKUP(B3328,'MSA-Lookup'!$H$2:$I$86,2)</f>
        <v>7400</v>
      </c>
      <c r="F3328" s="0" t="n">
        <f aca="false">IF(C3328&gt;1,IF(C3328&lt;99,VLOOKUP(C3328,'MSA-Lookup'!$H$1:$I$86,2),C3328),C3328)</f>
        <v>8720</v>
      </c>
      <c r="G3328" s="0" t="n">
        <f aca="false">VLOOKUP(E3328,'MSA-Lookup'!$AA$1:$AB$25,2)</f>
        <v>7362</v>
      </c>
      <c r="H3328" s="0" t="n">
        <f aca="false">IF(C3328&gt;1,IF(C3328&lt;99,VLOOKUP(F3328,'MSA-Lookup'!$AA$1:$AB$25,2),C3328),C3328)</f>
        <v>7362</v>
      </c>
    </row>
    <row r="3329" customFormat="false" ht="12.75" hidden="false" customHeight="false" outlineLevel="0" collapsed="false">
      <c r="A3329" s="0" t="n">
        <f aca="false">B3329*1000+C3329</f>
        <v>50075</v>
      </c>
      <c r="B3329" s="0" t="n">
        <v>50</v>
      </c>
      <c r="C3329" s="0" t="n">
        <v>75</v>
      </c>
      <c r="D3329" s="0" t="n">
        <v>0</v>
      </c>
      <c r="E3329" s="0" t="n">
        <f aca="false">VLOOKUP(B3329,'MSA-Lookup'!$H$2:$I$86,2)</f>
        <v>7400</v>
      </c>
      <c r="F3329" s="0" t="n">
        <f aca="false">IF(C3329&gt;1,IF(C3329&lt;99,VLOOKUP(C3329,'MSA-Lookup'!$H$1:$I$86,2),C3329),C3329)</f>
        <v>8780</v>
      </c>
      <c r="G3329" s="0" t="n">
        <f aca="false">VLOOKUP(E3329,'MSA-Lookup'!$AA$1:$AB$25,2)</f>
        <v>7362</v>
      </c>
      <c r="H3329" s="0" t="n">
        <f aca="false">IF(C3329&gt;1,IF(C3329&lt;99,VLOOKUP(F3329,'MSA-Lookup'!$AA$1:$AB$25,2),C3329),C3329)</f>
        <v>8780</v>
      </c>
    </row>
    <row r="3330" customFormat="false" ht="12.75" hidden="false" customHeight="false" outlineLevel="0" collapsed="false">
      <c r="A3330" s="0" t="n">
        <f aca="false">B3330*1000+C3330</f>
        <v>50076</v>
      </c>
      <c r="B3330" s="0" t="n">
        <v>50</v>
      </c>
      <c r="C3330" s="0" t="n">
        <v>76</v>
      </c>
      <c r="D3330" s="0" t="n">
        <v>0</v>
      </c>
      <c r="E3330" s="0" t="n">
        <f aca="false">VLOOKUP(B3330,'MSA-Lookup'!$H$2:$I$86,2)</f>
        <v>7400</v>
      </c>
      <c r="F3330" s="0" t="n">
        <f aca="false">IF(C3330&gt;1,IF(C3330&lt;99,VLOOKUP(C3330,'MSA-Lookup'!$H$1:$I$86,2),C3330),C3330)</f>
        <v>7485</v>
      </c>
      <c r="G3330" s="0" t="n">
        <f aca="false">VLOOKUP(E3330,'MSA-Lookup'!$AA$1:$AB$25,2)</f>
        <v>7362</v>
      </c>
      <c r="H3330" s="0" t="n">
        <f aca="false">IF(C3330&gt;1,IF(C3330&lt;99,VLOOKUP(F3330,'MSA-Lookup'!$AA$1:$AB$25,2),C3330),C3330)</f>
        <v>7362</v>
      </c>
    </row>
    <row r="3331" customFormat="false" ht="12.75" hidden="false" customHeight="false" outlineLevel="0" collapsed="false">
      <c r="A3331" s="0" t="n">
        <f aca="false">B3331*1000+C3331</f>
        <v>50077</v>
      </c>
      <c r="B3331" s="0" t="n">
        <v>50</v>
      </c>
      <c r="C3331" s="0" t="n">
        <v>77</v>
      </c>
      <c r="D3331" s="0" t="n">
        <v>0</v>
      </c>
      <c r="E3331" s="0" t="n">
        <f aca="false">VLOOKUP(B3331,'MSA-Lookup'!$H$2:$I$86,2)</f>
        <v>7400</v>
      </c>
      <c r="F3331" s="0" t="n">
        <f aca="false">IF(C3331&gt;1,IF(C3331&lt;99,VLOOKUP(C3331,'MSA-Lookup'!$H$1:$I$86,2),C3331),C3331)</f>
        <v>9999</v>
      </c>
      <c r="G3331" s="0" t="n">
        <f aca="false">VLOOKUP(E3331,'MSA-Lookup'!$AA$1:$AB$25,2)</f>
        <v>7362</v>
      </c>
      <c r="H3331" s="0" t="n">
        <f aca="false">IF(C3331&gt;1,IF(C3331&lt;99,VLOOKUP(F3331,'MSA-Lookup'!$AA$1:$AB$25,2),C3331),C3331)</f>
        <v>9999</v>
      </c>
    </row>
    <row r="3332" customFormat="false" ht="12.75" hidden="false" customHeight="false" outlineLevel="0" collapsed="false">
      <c r="A3332" s="0" t="n">
        <f aca="false">B3332*1000+C3332</f>
        <v>50078</v>
      </c>
      <c r="B3332" s="0" t="n">
        <v>50</v>
      </c>
      <c r="C3332" s="0" t="n">
        <v>78</v>
      </c>
      <c r="D3332" s="0" t="n">
        <v>0</v>
      </c>
      <c r="E3332" s="0" t="n">
        <f aca="false">VLOOKUP(B3332,'MSA-Lookup'!$H$2:$I$86,2)</f>
        <v>7400</v>
      </c>
      <c r="F3332" s="0" t="n">
        <f aca="false">IF(C3332&gt;1,IF(C3332&lt;99,VLOOKUP(C3332,'MSA-Lookup'!$H$1:$I$86,2),C3332),C3332)</f>
        <v>680</v>
      </c>
      <c r="G3332" s="0" t="n">
        <f aca="false">VLOOKUP(E3332,'MSA-Lookup'!$AA$1:$AB$25,2)</f>
        <v>7362</v>
      </c>
      <c r="H3332" s="0" t="n">
        <f aca="false">IF(C3332&gt;1,IF(C3332&lt;99,VLOOKUP(F3332,'MSA-Lookup'!$AA$1:$AB$25,2),C3332),C3332)</f>
        <v>680</v>
      </c>
    </row>
    <row r="3333" customFormat="false" ht="12.75" hidden="false" customHeight="false" outlineLevel="0" collapsed="false">
      <c r="A3333" s="0" t="n">
        <f aca="false">B3333*1000+C3333</f>
        <v>50079</v>
      </c>
      <c r="B3333" s="0" t="n">
        <v>50</v>
      </c>
      <c r="C3333" s="0" t="n">
        <v>79</v>
      </c>
      <c r="D3333" s="0" t="n">
        <v>0</v>
      </c>
      <c r="E3333" s="0" t="n">
        <f aca="false">VLOOKUP(B3333,'MSA-Lookup'!$H$2:$I$86,2)</f>
        <v>7400</v>
      </c>
      <c r="F3333" s="0" t="n">
        <f aca="false">IF(C3333&gt;1,IF(C3333&lt;99,VLOOKUP(C3333,'MSA-Lookup'!$H$1:$I$86,2),C3333),C3333)</f>
        <v>680</v>
      </c>
      <c r="G3333" s="0" t="n">
        <f aca="false">VLOOKUP(E3333,'MSA-Lookup'!$AA$1:$AB$25,2)</f>
        <v>7362</v>
      </c>
      <c r="H3333" s="0" t="n">
        <f aca="false">IF(C3333&gt;1,IF(C3333&lt;99,VLOOKUP(F3333,'MSA-Lookup'!$AA$1:$AB$25,2),C3333),C3333)</f>
        <v>680</v>
      </c>
    </row>
    <row r="3334" customFormat="false" ht="12.75" hidden="false" customHeight="false" outlineLevel="0" collapsed="false">
      <c r="A3334" s="0" t="n">
        <f aca="false">B3334*1000+C3334</f>
        <v>50080</v>
      </c>
      <c r="B3334" s="0" t="n">
        <v>50</v>
      </c>
      <c r="C3334" s="0" t="n">
        <v>80</v>
      </c>
      <c r="D3334" s="0" t="n">
        <v>0</v>
      </c>
      <c r="E3334" s="0" t="n">
        <f aca="false">VLOOKUP(B3334,'MSA-Lookup'!$H$2:$I$86,2)</f>
        <v>7400</v>
      </c>
      <c r="F3334" s="0" t="n">
        <f aca="false">IF(C3334&gt;1,IF(C3334&lt;99,VLOOKUP(C3334,'MSA-Lookup'!$H$1:$I$86,2),C3334),C3334)</f>
        <v>9999</v>
      </c>
      <c r="G3334" s="0" t="n">
        <f aca="false">VLOOKUP(E3334,'MSA-Lookup'!$AA$1:$AB$25,2)</f>
        <v>7362</v>
      </c>
      <c r="H3334" s="0" t="n">
        <f aca="false">IF(C3334&gt;1,IF(C3334&lt;99,VLOOKUP(F3334,'MSA-Lookup'!$AA$1:$AB$25,2),C3334),C3334)</f>
        <v>9999</v>
      </c>
    </row>
    <row r="3335" customFormat="false" ht="12.75" hidden="false" customHeight="false" outlineLevel="0" collapsed="false">
      <c r="A3335" s="0" t="n">
        <f aca="false">B3335*1000+C3335</f>
        <v>50081</v>
      </c>
      <c r="B3335" s="0" t="n">
        <v>50</v>
      </c>
      <c r="C3335" s="0" t="n">
        <v>81</v>
      </c>
      <c r="D3335" s="0" t="n">
        <v>0</v>
      </c>
      <c r="E3335" s="0" t="n">
        <f aca="false">VLOOKUP(B3335,'MSA-Lookup'!$H$2:$I$86,2)</f>
        <v>7400</v>
      </c>
      <c r="F3335" s="0" t="n">
        <f aca="false">IF(C3335&gt;1,IF(C3335&lt;99,VLOOKUP(C3335,'MSA-Lookup'!$H$1:$I$86,2),C3335),C3335)</f>
        <v>6780</v>
      </c>
      <c r="G3335" s="0" t="n">
        <f aca="false">VLOOKUP(E3335,'MSA-Lookup'!$AA$1:$AB$25,2)</f>
        <v>7362</v>
      </c>
      <c r="H3335" s="0" t="n">
        <f aca="false">IF(C3335&gt;1,IF(C3335&lt;99,VLOOKUP(F3335,'MSA-Lookup'!$AA$1:$AB$25,2),C3335),C3335)</f>
        <v>4472</v>
      </c>
    </row>
    <row r="3336" customFormat="false" ht="12.75" hidden="false" customHeight="false" outlineLevel="0" collapsed="false">
      <c r="A3336" s="0" t="n">
        <f aca="false">B3336*1000+C3336</f>
        <v>50082</v>
      </c>
      <c r="B3336" s="0" t="n">
        <v>50</v>
      </c>
      <c r="C3336" s="0" t="n">
        <v>82</v>
      </c>
      <c r="D3336" s="0" t="n">
        <v>0</v>
      </c>
      <c r="E3336" s="0" t="n">
        <f aca="false">VLOOKUP(B3336,'MSA-Lookup'!$H$2:$I$86,2)</f>
        <v>7400</v>
      </c>
      <c r="F3336" s="0" t="n">
        <f aca="false">IF(C3336&gt;1,IF(C3336&lt;99,VLOOKUP(C3336,'MSA-Lookup'!$H$1:$I$86,2),C3336),C3336)</f>
        <v>6780</v>
      </c>
      <c r="G3336" s="0" t="n">
        <f aca="false">VLOOKUP(E3336,'MSA-Lookup'!$AA$1:$AB$25,2)</f>
        <v>7362</v>
      </c>
      <c r="H3336" s="0" t="n">
        <f aca="false">IF(C3336&gt;1,IF(C3336&lt;99,VLOOKUP(F3336,'MSA-Lookup'!$AA$1:$AB$25,2),C3336),C3336)</f>
        <v>4472</v>
      </c>
    </row>
    <row r="3337" customFormat="false" ht="12.75" hidden="false" customHeight="false" outlineLevel="0" collapsed="false">
      <c r="A3337" s="0" t="n">
        <f aca="false">B3337*1000+C3337</f>
        <v>50083</v>
      </c>
      <c r="B3337" s="0" t="n">
        <v>50</v>
      </c>
      <c r="C3337" s="0" t="n">
        <v>83</v>
      </c>
      <c r="D3337" s="0" t="n">
        <v>0</v>
      </c>
      <c r="E3337" s="0" t="n">
        <f aca="false">VLOOKUP(B3337,'MSA-Lookup'!$H$2:$I$86,2)</f>
        <v>7400</v>
      </c>
      <c r="F3337" s="0" t="n">
        <f aca="false">IF(C3337&gt;1,IF(C3337&lt;99,VLOOKUP(C3337,'MSA-Lookup'!$H$1:$I$86,2),C3337),C3337)</f>
        <v>6000</v>
      </c>
      <c r="G3337" s="0" t="n">
        <f aca="false">VLOOKUP(E3337,'MSA-Lookup'!$AA$1:$AB$25,2)</f>
        <v>7362</v>
      </c>
      <c r="H3337" s="0" t="n">
        <f aca="false">IF(C3337&gt;1,IF(C3337&lt;99,VLOOKUP(F3337,'MSA-Lookup'!$AA$1:$AB$25,2),C3337),C3337)</f>
        <v>4472</v>
      </c>
    </row>
    <row r="3338" customFormat="false" ht="12.75" hidden="false" customHeight="false" outlineLevel="0" collapsed="false">
      <c r="A3338" s="0" t="n">
        <f aca="false">B3338*1000+C3338</f>
        <v>50084</v>
      </c>
      <c r="B3338" s="0" t="n">
        <v>50</v>
      </c>
      <c r="C3338" s="0" t="n">
        <v>84</v>
      </c>
      <c r="D3338" s="0" t="n">
        <v>0</v>
      </c>
      <c r="E3338" s="0" t="n">
        <f aca="false">VLOOKUP(B3338,'MSA-Lookup'!$H$2:$I$86,2)</f>
        <v>7400</v>
      </c>
      <c r="F3338" s="0" t="n">
        <f aca="false">IF(C3338&gt;1,IF(C3338&lt;99,VLOOKUP(C3338,'MSA-Lookup'!$H$1:$I$86,2),C3338),C3338)</f>
        <v>360</v>
      </c>
      <c r="G3338" s="0" t="n">
        <f aca="false">VLOOKUP(E3338,'MSA-Lookup'!$AA$1:$AB$25,2)</f>
        <v>7362</v>
      </c>
      <c r="H3338" s="0" t="n">
        <f aca="false">IF(C3338&gt;1,IF(C3338&lt;99,VLOOKUP(F3338,'MSA-Lookup'!$AA$1:$AB$25,2),C3338),C3338)</f>
        <v>4472</v>
      </c>
    </row>
    <row r="3339" customFormat="false" ht="12.75" hidden="false" customHeight="false" outlineLevel="0" collapsed="false">
      <c r="A3339" s="0" t="n">
        <f aca="false">B3339*1000+C3339</f>
        <v>50085</v>
      </c>
      <c r="B3339" s="0" t="n">
        <v>50</v>
      </c>
      <c r="C3339" s="0" t="n">
        <v>85</v>
      </c>
      <c r="D3339" s="0" t="n">
        <v>91</v>
      </c>
      <c r="E3339" s="0" t="n">
        <f aca="false">VLOOKUP(B3339,'MSA-Lookup'!$H$2:$I$86,2)</f>
        <v>7400</v>
      </c>
      <c r="F3339" s="0" t="n">
        <f aca="false">IF(C3339&gt;1,IF(C3339&lt;99,VLOOKUP(C3339,'MSA-Lookup'!$H$1:$I$86,2),C3339),C3339)</f>
        <v>8120</v>
      </c>
      <c r="G3339" s="0" t="n">
        <f aca="false">VLOOKUP(E3339,'MSA-Lookup'!$AA$1:$AB$25,2)</f>
        <v>7362</v>
      </c>
      <c r="H3339" s="0" t="n">
        <f aca="false">IF(C3339&gt;1,IF(C3339&lt;99,VLOOKUP(F3339,'MSA-Lookup'!$AA$1:$AB$25,2),C3339),C3339)</f>
        <v>8120</v>
      </c>
    </row>
    <row r="3340" customFormat="false" ht="12.75" hidden="false" customHeight="false" outlineLevel="0" collapsed="false">
      <c r="A3340" s="0" t="n">
        <f aca="false">B3340*1000+C3340</f>
        <v>50858</v>
      </c>
      <c r="B3340" s="0" t="n">
        <v>50</v>
      </c>
      <c r="C3340" s="0" t="n">
        <v>858</v>
      </c>
      <c r="D3340" s="0" t="n">
        <v>0</v>
      </c>
      <c r="E3340" s="0" t="n">
        <f aca="false">VLOOKUP(B3340,'MSA-Lookup'!$H$2:$I$86,2)</f>
        <v>7400</v>
      </c>
      <c r="F3340" s="0" t="n">
        <f aca="false">IF(C3340&gt;1,IF(C3340&lt;99,VLOOKUP(C3340,'MSA-Lookup'!$H$1:$I$86,2),C3340),C3340)</f>
        <v>858</v>
      </c>
      <c r="G3340" s="0" t="n">
        <f aca="false">VLOOKUP(E3340,'MSA-Lookup'!$AA$1:$AB$25,2)</f>
        <v>7362</v>
      </c>
      <c r="H3340" s="0" t="n">
        <f aca="false">IF(C3340&gt;1,IF(C3340&lt;99,VLOOKUP(F3340,'MSA-Lookup'!$AA$1:$AB$25,2),C3340),C3340)</f>
        <v>858</v>
      </c>
    </row>
    <row r="3341" customFormat="false" ht="12.75" hidden="false" customHeight="false" outlineLevel="0" collapsed="false">
      <c r="A3341" s="0" t="n">
        <f aca="false">B3341*1000+C3341</f>
        <v>50983</v>
      </c>
      <c r="B3341" s="0" t="n">
        <v>50</v>
      </c>
      <c r="C3341" s="0" t="n">
        <v>983</v>
      </c>
      <c r="D3341" s="0" t="n">
        <v>0</v>
      </c>
      <c r="E3341" s="0" t="n">
        <f aca="false">VLOOKUP(B3341,'MSA-Lookup'!$H$2:$I$86,2)</f>
        <v>7400</v>
      </c>
      <c r="F3341" s="0" t="n">
        <f aca="false">IF(C3341&gt;1,IF(C3341&lt;99,VLOOKUP(C3341,'MSA-Lookup'!$H$1:$I$86,2),C3341),C3341)</f>
        <v>983</v>
      </c>
      <c r="G3341" s="0" t="n">
        <f aca="false">VLOOKUP(E3341,'MSA-Lookup'!$AA$1:$AB$25,2)</f>
        <v>7362</v>
      </c>
      <c r="H3341" s="0" t="n">
        <f aca="false">IF(C3341&gt;1,IF(C3341&lt;99,VLOOKUP(F3341,'MSA-Lookup'!$AA$1:$AB$25,2),C3341),C3341)</f>
        <v>983</v>
      </c>
    </row>
    <row r="3342" customFormat="false" ht="12.75" hidden="false" customHeight="false" outlineLevel="0" collapsed="false">
      <c r="A3342" s="0" t="n">
        <f aca="false">B3342*1000+C3342</f>
        <v>50999</v>
      </c>
      <c r="B3342" s="0" t="n">
        <v>50</v>
      </c>
      <c r="C3342" s="0" t="n">
        <v>999</v>
      </c>
      <c r="D3342" s="0" t="n">
        <v>0</v>
      </c>
      <c r="E3342" s="0" t="n">
        <f aca="false">VLOOKUP(B3342,'MSA-Lookup'!$H$2:$I$86,2)</f>
        <v>7400</v>
      </c>
      <c r="F3342" s="0" t="n">
        <f aca="false">IF(C3342&gt;1,IF(C3342&lt;99,VLOOKUP(C3342,'MSA-Lookup'!$H$1:$I$86,2),C3342),C3342)</f>
        <v>999</v>
      </c>
      <c r="G3342" s="0" t="n">
        <f aca="false">VLOOKUP(E3342,'MSA-Lookup'!$AA$1:$AB$25,2)</f>
        <v>7362</v>
      </c>
      <c r="H3342" s="0" t="n">
        <f aca="false">IF(C3342&gt;1,IF(C3342&lt;99,VLOOKUP(F3342,'MSA-Lookup'!$AA$1:$AB$25,2),C3342),C3342)</f>
        <v>999</v>
      </c>
    </row>
    <row r="3343" customFormat="false" ht="12.75" hidden="false" customHeight="false" outlineLevel="0" collapsed="false">
      <c r="A3343" s="0" t="n">
        <f aca="false">B3343*1000+C3343</f>
        <v>51000</v>
      </c>
      <c r="B3343" s="0" t="n">
        <v>51</v>
      </c>
      <c r="C3343" s="0" t="n">
        <v>0</v>
      </c>
      <c r="D3343" s="0" t="n">
        <v>371969</v>
      </c>
      <c r="E3343" s="0" t="n">
        <f aca="false">VLOOKUP(B3343,'MSA-Lookup'!$H$2:$I$86,2)</f>
        <v>7400</v>
      </c>
      <c r="F3343" s="0" t="n">
        <f aca="false">IF(C3343&gt;1,IF(C3343&lt;99,VLOOKUP(C3343,'MSA-Lookup'!$H$1:$I$86,2),C3343),C3343)</f>
        <v>0</v>
      </c>
      <c r="G3343" s="0" t="n">
        <f aca="false">VLOOKUP(E3343,'MSA-Lookup'!$AA$1:$AB$25,2)</f>
        <v>7362</v>
      </c>
      <c r="H3343" s="0" t="n">
        <f aca="false">IF(C3343&gt;1,IF(C3343&lt;99,VLOOKUP(F3343,'MSA-Lookup'!$AA$1:$AB$25,2),C3343),C3343)</f>
        <v>0</v>
      </c>
    </row>
    <row r="3344" customFormat="false" ht="12.75" hidden="false" customHeight="false" outlineLevel="0" collapsed="false">
      <c r="A3344" s="0" t="n">
        <f aca="false">B3344*1000+C3344</f>
        <v>51001</v>
      </c>
      <c r="B3344" s="0" t="n">
        <v>51</v>
      </c>
      <c r="C3344" s="0" t="n">
        <v>1</v>
      </c>
      <c r="D3344" s="0" t="n">
        <v>0</v>
      </c>
      <c r="E3344" s="0" t="n">
        <f aca="false">VLOOKUP(B3344,'MSA-Lookup'!$H$2:$I$86,2)</f>
        <v>7400</v>
      </c>
      <c r="F3344" s="0" t="n">
        <f aca="false">IF(C3344&gt;1,IF(C3344&lt;99,VLOOKUP(C3344,'MSA-Lookup'!$H$1:$I$86,2),C3344),C3344)</f>
        <v>1</v>
      </c>
      <c r="G3344" s="0" t="n">
        <f aca="false">VLOOKUP(E3344,'MSA-Lookup'!$AA$1:$AB$25,2)</f>
        <v>7362</v>
      </c>
      <c r="H3344" s="0" t="n">
        <f aca="false">IF(C3344&gt;1,IF(C3344&lt;99,VLOOKUP(F3344,'MSA-Lookup'!$AA$1:$AB$25,2),C3344),C3344)</f>
        <v>1</v>
      </c>
    </row>
    <row r="3345" customFormat="false" ht="12.75" hidden="false" customHeight="false" outlineLevel="0" collapsed="false">
      <c r="A3345" s="0" t="n">
        <f aca="false">B3345*1000+C3345</f>
        <v>51002</v>
      </c>
      <c r="B3345" s="0" t="n">
        <v>51</v>
      </c>
      <c r="C3345" s="0" t="n">
        <v>2</v>
      </c>
      <c r="D3345" s="0" t="n">
        <v>0</v>
      </c>
      <c r="E3345" s="0" t="n">
        <f aca="false">VLOOKUP(B3345,'MSA-Lookup'!$H$2:$I$86,2)</f>
        <v>7400</v>
      </c>
      <c r="F3345" s="0" t="n">
        <f aca="false">IF(C3345&gt;1,IF(C3345&lt;99,VLOOKUP(C3345,'MSA-Lookup'!$H$1:$I$86,2),C3345),C3345)</f>
        <v>9999</v>
      </c>
      <c r="G3345" s="0" t="n">
        <f aca="false">VLOOKUP(E3345,'MSA-Lookup'!$AA$1:$AB$25,2)</f>
        <v>7362</v>
      </c>
      <c r="H3345" s="0" t="n">
        <f aca="false">IF(C3345&gt;1,IF(C3345&lt;99,VLOOKUP(F3345,'MSA-Lookup'!$AA$1:$AB$25,2),C3345),C3345)</f>
        <v>9999</v>
      </c>
    </row>
    <row r="3346" customFormat="false" ht="12.75" hidden="false" customHeight="false" outlineLevel="0" collapsed="false">
      <c r="A3346" s="0" t="n">
        <f aca="false">B3346*1000+C3346</f>
        <v>51003</v>
      </c>
      <c r="B3346" s="0" t="n">
        <v>51</v>
      </c>
      <c r="C3346" s="0" t="n">
        <v>3</v>
      </c>
      <c r="D3346" s="0" t="n">
        <v>0</v>
      </c>
      <c r="E3346" s="0" t="n">
        <f aca="false">VLOOKUP(B3346,'MSA-Lookup'!$H$2:$I$86,2)</f>
        <v>7400</v>
      </c>
      <c r="F3346" s="0" t="n">
        <f aca="false">IF(C3346&gt;1,IF(C3346&lt;99,VLOOKUP(C3346,'MSA-Lookup'!$H$1:$I$86,2),C3346),C3346)</f>
        <v>6690</v>
      </c>
      <c r="G3346" s="0" t="n">
        <f aca="false">VLOOKUP(E3346,'MSA-Lookup'!$AA$1:$AB$25,2)</f>
        <v>7362</v>
      </c>
      <c r="H3346" s="0" t="n">
        <f aca="false">IF(C3346&gt;1,IF(C3346&lt;99,VLOOKUP(F3346,'MSA-Lookup'!$AA$1:$AB$25,2),C3346),C3346)</f>
        <v>6690</v>
      </c>
    </row>
    <row r="3347" customFormat="false" ht="12.75" hidden="false" customHeight="false" outlineLevel="0" collapsed="false">
      <c r="A3347" s="0" t="n">
        <f aca="false">B3347*1000+C3347</f>
        <v>51004</v>
      </c>
      <c r="B3347" s="0" t="n">
        <v>51</v>
      </c>
      <c r="C3347" s="0" t="n">
        <v>4</v>
      </c>
      <c r="D3347" s="0" t="n">
        <v>0</v>
      </c>
      <c r="E3347" s="0" t="n">
        <f aca="false">VLOOKUP(B3347,'MSA-Lookup'!$H$2:$I$86,2)</f>
        <v>7400</v>
      </c>
      <c r="F3347" s="0" t="n">
        <f aca="false">IF(C3347&gt;1,IF(C3347&lt;99,VLOOKUP(C3347,'MSA-Lookup'!$H$1:$I$86,2),C3347),C3347)</f>
        <v>9999</v>
      </c>
      <c r="G3347" s="0" t="n">
        <f aca="false">VLOOKUP(E3347,'MSA-Lookup'!$AA$1:$AB$25,2)</f>
        <v>7362</v>
      </c>
      <c r="H3347" s="0" t="n">
        <f aca="false">IF(C3347&gt;1,IF(C3347&lt;99,VLOOKUP(F3347,'MSA-Lookup'!$AA$1:$AB$25,2),C3347),C3347)</f>
        <v>9999</v>
      </c>
    </row>
    <row r="3348" customFormat="false" ht="12.75" hidden="false" customHeight="false" outlineLevel="0" collapsed="false">
      <c r="A3348" s="0" t="n">
        <f aca="false">B3348*1000+C3348</f>
        <v>51005</v>
      </c>
      <c r="B3348" s="0" t="n">
        <v>51</v>
      </c>
      <c r="C3348" s="0" t="n">
        <v>5</v>
      </c>
      <c r="D3348" s="0" t="n">
        <v>0</v>
      </c>
      <c r="E3348" s="0" t="n">
        <f aca="false">VLOOKUP(B3348,'MSA-Lookup'!$H$2:$I$86,2)</f>
        <v>7400</v>
      </c>
      <c r="F3348" s="0" t="n">
        <f aca="false">IF(C3348&gt;1,IF(C3348&lt;99,VLOOKUP(C3348,'MSA-Lookup'!$H$1:$I$86,2),C3348),C3348)</f>
        <v>9999</v>
      </c>
      <c r="G3348" s="0" t="n">
        <f aca="false">VLOOKUP(E3348,'MSA-Lookup'!$AA$1:$AB$25,2)</f>
        <v>7362</v>
      </c>
      <c r="H3348" s="0" t="n">
        <f aca="false">IF(C3348&gt;1,IF(C3348&lt;99,VLOOKUP(F3348,'MSA-Lookup'!$AA$1:$AB$25,2),C3348),C3348)</f>
        <v>9999</v>
      </c>
    </row>
    <row r="3349" customFormat="false" ht="12.75" hidden="false" customHeight="false" outlineLevel="0" collapsed="false">
      <c r="A3349" s="0" t="n">
        <f aca="false">B3349*1000+C3349</f>
        <v>51006</v>
      </c>
      <c r="B3349" s="0" t="n">
        <v>51</v>
      </c>
      <c r="C3349" s="0" t="n">
        <v>6</v>
      </c>
      <c r="D3349" s="0" t="n">
        <v>0</v>
      </c>
      <c r="E3349" s="0" t="n">
        <f aca="false">VLOOKUP(B3349,'MSA-Lookup'!$H$2:$I$86,2)</f>
        <v>7400</v>
      </c>
      <c r="F3349" s="0" t="n">
        <f aca="false">IF(C3349&gt;1,IF(C3349&lt;99,VLOOKUP(C3349,'MSA-Lookup'!$H$1:$I$86,2),C3349),C3349)</f>
        <v>1620</v>
      </c>
      <c r="G3349" s="0" t="n">
        <f aca="false">VLOOKUP(E3349,'MSA-Lookup'!$AA$1:$AB$25,2)</f>
        <v>7362</v>
      </c>
      <c r="H3349" s="0" t="n">
        <f aca="false">IF(C3349&gt;1,IF(C3349&lt;99,VLOOKUP(F3349,'MSA-Lookup'!$AA$1:$AB$25,2),C3349),C3349)</f>
        <v>1620</v>
      </c>
    </row>
    <row r="3350" customFormat="false" ht="12.75" hidden="false" customHeight="false" outlineLevel="0" collapsed="false">
      <c r="A3350" s="0" t="n">
        <f aca="false">B3350*1000+C3350</f>
        <v>51007</v>
      </c>
      <c r="B3350" s="0" t="n">
        <v>51</v>
      </c>
      <c r="C3350" s="0" t="n">
        <v>7</v>
      </c>
      <c r="D3350" s="0" t="n">
        <v>0</v>
      </c>
      <c r="E3350" s="0" t="n">
        <f aca="false">VLOOKUP(B3350,'MSA-Lookup'!$H$2:$I$86,2)</f>
        <v>7400</v>
      </c>
      <c r="F3350" s="0" t="n">
        <f aca="false">IF(C3350&gt;1,IF(C3350&lt;99,VLOOKUP(C3350,'MSA-Lookup'!$H$1:$I$86,2),C3350),C3350)</f>
        <v>9999</v>
      </c>
      <c r="G3350" s="0" t="n">
        <f aca="false">VLOOKUP(E3350,'MSA-Lookup'!$AA$1:$AB$25,2)</f>
        <v>7362</v>
      </c>
      <c r="H3350" s="0" t="n">
        <f aca="false">IF(C3350&gt;1,IF(C3350&lt;99,VLOOKUP(F3350,'MSA-Lookup'!$AA$1:$AB$25,2),C3350),C3350)</f>
        <v>9999</v>
      </c>
    </row>
    <row r="3351" customFormat="false" ht="12.75" hidden="false" customHeight="false" outlineLevel="0" collapsed="false">
      <c r="A3351" s="0" t="n">
        <f aca="false">B3351*1000+C3351</f>
        <v>51008</v>
      </c>
      <c r="B3351" s="0" t="n">
        <v>51</v>
      </c>
      <c r="C3351" s="0" t="n">
        <v>8</v>
      </c>
      <c r="D3351" s="0" t="n">
        <v>0</v>
      </c>
      <c r="E3351" s="0" t="n">
        <f aca="false">VLOOKUP(B3351,'MSA-Lookup'!$H$2:$I$86,2)</f>
        <v>7400</v>
      </c>
      <c r="F3351" s="0" t="n">
        <f aca="false">IF(C3351&gt;1,IF(C3351&lt;99,VLOOKUP(C3351,'MSA-Lookup'!$H$1:$I$86,2),C3351),C3351)</f>
        <v>9340</v>
      </c>
      <c r="G3351" s="0" t="n">
        <f aca="false">VLOOKUP(E3351,'MSA-Lookup'!$AA$1:$AB$25,2)</f>
        <v>7362</v>
      </c>
      <c r="H3351" s="0" t="n">
        <f aca="false">IF(C3351&gt;1,IF(C3351&lt;99,VLOOKUP(F3351,'MSA-Lookup'!$AA$1:$AB$25,2),C3351),C3351)</f>
        <v>9340</v>
      </c>
    </row>
    <row r="3352" customFormat="false" ht="12.75" hidden="false" customHeight="false" outlineLevel="0" collapsed="false">
      <c r="A3352" s="0" t="n">
        <f aca="false">B3352*1000+C3352</f>
        <v>51009</v>
      </c>
      <c r="B3352" s="0" t="n">
        <v>51</v>
      </c>
      <c r="C3352" s="0" t="n">
        <v>9</v>
      </c>
      <c r="D3352" s="0" t="n">
        <v>0</v>
      </c>
      <c r="E3352" s="0" t="n">
        <f aca="false">VLOOKUP(B3352,'MSA-Lookup'!$H$2:$I$86,2)</f>
        <v>7400</v>
      </c>
      <c r="F3352" s="0" t="n">
        <f aca="false">IF(C3352&gt;1,IF(C3352&lt;99,VLOOKUP(C3352,'MSA-Lookup'!$H$1:$I$86,2),C3352),C3352)</f>
        <v>8720</v>
      </c>
      <c r="G3352" s="0" t="n">
        <f aca="false">VLOOKUP(E3352,'MSA-Lookup'!$AA$1:$AB$25,2)</f>
        <v>7362</v>
      </c>
      <c r="H3352" s="0" t="n">
        <f aca="false">IF(C3352&gt;1,IF(C3352&lt;99,VLOOKUP(F3352,'MSA-Lookup'!$AA$1:$AB$25,2),C3352),C3352)</f>
        <v>7362</v>
      </c>
    </row>
    <row r="3353" customFormat="false" ht="12.75" hidden="false" customHeight="false" outlineLevel="0" collapsed="false">
      <c r="A3353" s="0" t="n">
        <f aca="false">B3353*1000+C3353</f>
        <v>51010</v>
      </c>
      <c r="B3353" s="0" t="n">
        <v>51</v>
      </c>
      <c r="C3353" s="0" t="n">
        <v>10</v>
      </c>
      <c r="D3353" s="0" t="n">
        <v>221</v>
      </c>
      <c r="E3353" s="0" t="n">
        <f aca="false">VLOOKUP(B3353,'MSA-Lookup'!$H$2:$I$86,2)</f>
        <v>7400</v>
      </c>
      <c r="F3353" s="0" t="n">
        <f aca="false">IF(C3353&gt;1,IF(C3353&lt;99,VLOOKUP(C3353,'MSA-Lookup'!$H$1:$I$86,2),C3353),C3353)</f>
        <v>6920</v>
      </c>
      <c r="G3353" s="0" t="n">
        <f aca="false">VLOOKUP(E3353,'MSA-Lookup'!$AA$1:$AB$25,2)</f>
        <v>7362</v>
      </c>
      <c r="H3353" s="0" t="n">
        <f aca="false">IF(C3353&gt;1,IF(C3353&lt;99,VLOOKUP(F3353,'MSA-Lookup'!$AA$1:$AB$25,2),C3353),C3353)</f>
        <v>6920</v>
      </c>
    </row>
    <row r="3354" customFormat="false" ht="12.75" hidden="false" customHeight="false" outlineLevel="0" collapsed="false">
      <c r="A3354" s="0" t="n">
        <f aca="false">B3354*1000+C3354</f>
        <v>51011</v>
      </c>
      <c r="B3354" s="0" t="n">
        <v>51</v>
      </c>
      <c r="C3354" s="0" t="n">
        <v>11</v>
      </c>
      <c r="D3354" s="0" t="n">
        <v>78</v>
      </c>
      <c r="E3354" s="0" t="n">
        <f aca="false">VLOOKUP(B3354,'MSA-Lookup'!$H$2:$I$86,2)</f>
        <v>7400</v>
      </c>
      <c r="F3354" s="0" t="n">
        <f aca="false">IF(C3354&gt;1,IF(C3354&lt;99,VLOOKUP(C3354,'MSA-Lookup'!$H$1:$I$86,2),C3354),C3354)</f>
        <v>6920</v>
      </c>
      <c r="G3354" s="0" t="n">
        <f aca="false">VLOOKUP(E3354,'MSA-Lookup'!$AA$1:$AB$25,2)</f>
        <v>7362</v>
      </c>
      <c r="H3354" s="0" t="n">
        <f aca="false">IF(C3354&gt;1,IF(C3354&lt;99,VLOOKUP(F3354,'MSA-Lookup'!$AA$1:$AB$25,2),C3354),C3354)</f>
        <v>6920</v>
      </c>
    </row>
    <row r="3355" customFormat="false" ht="12.75" hidden="false" customHeight="false" outlineLevel="0" collapsed="false">
      <c r="A3355" s="0" t="n">
        <f aca="false">B3355*1000+C3355</f>
        <v>51012</v>
      </c>
      <c r="B3355" s="0" t="n">
        <v>51</v>
      </c>
      <c r="C3355" s="0" t="n">
        <v>12</v>
      </c>
      <c r="D3355" s="0" t="n">
        <v>0</v>
      </c>
      <c r="E3355" s="0" t="n">
        <f aca="false">VLOOKUP(B3355,'MSA-Lookup'!$H$2:$I$86,2)</f>
        <v>7400</v>
      </c>
      <c r="F3355" s="0" t="n">
        <f aca="false">IF(C3355&gt;1,IF(C3355&lt;99,VLOOKUP(C3355,'MSA-Lookup'!$H$1:$I$86,2),C3355),C3355)</f>
        <v>6920</v>
      </c>
      <c r="G3355" s="0" t="n">
        <f aca="false">VLOOKUP(E3355,'MSA-Lookup'!$AA$1:$AB$25,2)</f>
        <v>7362</v>
      </c>
      <c r="H3355" s="0" t="n">
        <f aca="false">IF(C3355&gt;1,IF(C3355&lt;99,VLOOKUP(F3355,'MSA-Lookup'!$AA$1:$AB$25,2),C3355),C3355)</f>
        <v>6920</v>
      </c>
    </row>
    <row r="3356" customFormat="false" ht="12.75" hidden="false" customHeight="false" outlineLevel="0" collapsed="false">
      <c r="A3356" s="0" t="n">
        <f aca="false">B3356*1000+C3356</f>
        <v>51013</v>
      </c>
      <c r="B3356" s="0" t="n">
        <v>51</v>
      </c>
      <c r="C3356" s="0" t="n">
        <v>13</v>
      </c>
      <c r="D3356" s="0" t="n">
        <v>0</v>
      </c>
      <c r="E3356" s="0" t="n">
        <f aca="false">VLOOKUP(B3356,'MSA-Lookup'!$H$2:$I$86,2)</f>
        <v>7400</v>
      </c>
      <c r="F3356" s="0" t="n">
        <f aca="false">IF(C3356&gt;1,IF(C3356&lt;99,VLOOKUP(C3356,'MSA-Lookup'!$H$1:$I$86,2),C3356),C3356)</f>
        <v>7500</v>
      </c>
      <c r="G3356" s="0" t="n">
        <f aca="false">VLOOKUP(E3356,'MSA-Lookup'!$AA$1:$AB$25,2)</f>
        <v>7362</v>
      </c>
      <c r="H3356" s="0" t="n">
        <f aca="false">IF(C3356&gt;1,IF(C3356&lt;99,VLOOKUP(F3356,'MSA-Lookup'!$AA$1:$AB$25,2),C3356),C3356)</f>
        <v>7362</v>
      </c>
    </row>
    <row r="3357" customFormat="false" ht="12.75" hidden="false" customHeight="false" outlineLevel="0" collapsed="false">
      <c r="A3357" s="0" t="n">
        <f aca="false">B3357*1000+C3357</f>
        <v>51014</v>
      </c>
      <c r="B3357" s="0" t="n">
        <v>51</v>
      </c>
      <c r="C3357" s="0" t="n">
        <v>14</v>
      </c>
      <c r="D3357" s="0" t="n">
        <v>0</v>
      </c>
      <c r="E3357" s="0" t="n">
        <f aca="false">VLOOKUP(B3357,'MSA-Lookup'!$H$2:$I$86,2)</f>
        <v>7400</v>
      </c>
      <c r="F3357" s="0" t="n">
        <f aca="false">IF(C3357&gt;1,IF(C3357&lt;99,VLOOKUP(C3357,'MSA-Lookup'!$H$1:$I$86,2),C3357),C3357)</f>
        <v>7500</v>
      </c>
      <c r="G3357" s="0" t="n">
        <f aca="false">VLOOKUP(E3357,'MSA-Lookup'!$AA$1:$AB$25,2)</f>
        <v>7362</v>
      </c>
      <c r="H3357" s="0" t="n">
        <f aca="false">IF(C3357&gt;1,IF(C3357&lt;99,VLOOKUP(F3357,'MSA-Lookup'!$AA$1:$AB$25,2),C3357),C3357)</f>
        <v>7362</v>
      </c>
    </row>
    <row r="3358" customFormat="false" ht="12.75" hidden="false" customHeight="false" outlineLevel="0" collapsed="false">
      <c r="A3358" s="0" t="n">
        <f aca="false">B3358*1000+C3358</f>
        <v>51015</v>
      </c>
      <c r="B3358" s="0" t="n">
        <v>51</v>
      </c>
      <c r="C3358" s="0" t="n">
        <v>15</v>
      </c>
      <c r="D3358" s="0" t="n">
        <v>78</v>
      </c>
      <c r="E3358" s="0" t="n">
        <f aca="false">VLOOKUP(B3358,'MSA-Lookup'!$H$2:$I$86,2)</f>
        <v>7400</v>
      </c>
      <c r="F3358" s="0" t="n">
        <f aca="false">IF(C3358&gt;1,IF(C3358&lt;99,VLOOKUP(C3358,'MSA-Lookup'!$H$1:$I$86,2),C3358),C3358)</f>
        <v>7360</v>
      </c>
      <c r="G3358" s="0" t="n">
        <f aca="false">VLOOKUP(E3358,'MSA-Lookup'!$AA$1:$AB$25,2)</f>
        <v>7362</v>
      </c>
      <c r="H3358" s="0" t="n">
        <f aca="false">IF(C3358&gt;1,IF(C3358&lt;99,VLOOKUP(F3358,'MSA-Lookup'!$AA$1:$AB$25,2),C3358),C3358)</f>
        <v>7362</v>
      </c>
    </row>
    <row r="3359" customFormat="false" ht="12.75" hidden="false" customHeight="false" outlineLevel="0" collapsed="false">
      <c r="A3359" s="0" t="n">
        <f aca="false">B3359*1000+C3359</f>
        <v>51016</v>
      </c>
      <c r="B3359" s="0" t="n">
        <v>51</v>
      </c>
      <c r="C3359" s="0" t="n">
        <v>16</v>
      </c>
      <c r="D3359" s="0" t="n">
        <v>273</v>
      </c>
      <c r="E3359" s="0" t="n">
        <f aca="false">VLOOKUP(B3359,'MSA-Lookup'!$H$2:$I$86,2)</f>
        <v>7400</v>
      </c>
      <c r="F3359" s="0" t="n">
        <f aca="false">IF(C3359&gt;1,IF(C3359&lt;99,VLOOKUP(C3359,'MSA-Lookup'!$H$1:$I$86,2),C3359),C3359)</f>
        <v>8720</v>
      </c>
      <c r="G3359" s="0" t="n">
        <f aca="false">VLOOKUP(E3359,'MSA-Lookup'!$AA$1:$AB$25,2)</f>
        <v>7362</v>
      </c>
      <c r="H3359" s="0" t="n">
        <f aca="false">IF(C3359&gt;1,IF(C3359&lt;99,VLOOKUP(F3359,'MSA-Lookup'!$AA$1:$AB$25,2),C3359),C3359)</f>
        <v>7362</v>
      </c>
    </row>
    <row r="3360" customFormat="false" ht="12.75" hidden="false" customHeight="false" outlineLevel="0" collapsed="false">
      <c r="A3360" s="0" t="n">
        <f aca="false">B3360*1000+C3360</f>
        <v>51017</v>
      </c>
      <c r="B3360" s="0" t="n">
        <v>51</v>
      </c>
      <c r="C3360" s="0" t="n">
        <v>17</v>
      </c>
      <c r="D3360" s="0" t="n">
        <v>65</v>
      </c>
      <c r="E3360" s="0" t="n">
        <f aca="false">VLOOKUP(B3360,'MSA-Lookup'!$H$2:$I$86,2)</f>
        <v>7400</v>
      </c>
      <c r="F3360" s="0" t="n">
        <f aca="false">IF(C3360&gt;1,IF(C3360&lt;99,VLOOKUP(C3360,'MSA-Lookup'!$H$1:$I$86,2),C3360),C3360)</f>
        <v>5775</v>
      </c>
      <c r="G3360" s="0" t="n">
        <f aca="false">VLOOKUP(E3360,'MSA-Lookup'!$AA$1:$AB$25,2)</f>
        <v>7362</v>
      </c>
      <c r="H3360" s="0" t="n">
        <f aca="false">IF(C3360&gt;1,IF(C3360&lt;99,VLOOKUP(F3360,'MSA-Lookup'!$AA$1:$AB$25,2),C3360),C3360)</f>
        <v>7362</v>
      </c>
    </row>
    <row r="3361" customFormat="false" ht="12.75" hidden="false" customHeight="false" outlineLevel="0" collapsed="false">
      <c r="A3361" s="0" t="n">
        <f aca="false">B3361*1000+C3361</f>
        <v>51018</v>
      </c>
      <c r="B3361" s="0" t="n">
        <v>51</v>
      </c>
      <c r="C3361" s="0" t="n">
        <v>18</v>
      </c>
      <c r="D3361" s="0" t="n">
        <v>4173</v>
      </c>
      <c r="E3361" s="0" t="n">
        <f aca="false">VLOOKUP(B3361,'MSA-Lookup'!$H$2:$I$86,2)</f>
        <v>7400</v>
      </c>
      <c r="F3361" s="0" t="n">
        <f aca="false">IF(C3361&gt;1,IF(C3361&lt;99,VLOOKUP(C3361,'MSA-Lookup'!$H$1:$I$86,2),C3361),C3361)</f>
        <v>5775</v>
      </c>
      <c r="G3361" s="0" t="n">
        <f aca="false">VLOOKUP(E3361,'MSA-Lookup'!$AA$1:$AB$25,2)</f>
        <v>7362</v>
      </c>
      <c r="H3361" s="0" t="n">
        <f aca="false">IF(C3361&gt;1,IF(C3361&lt;99,VLOOKUP(F3361,'MSA-Lookup'!$AA$1:$AB$25,2),C3361),C3361)</f>
        <v>7362</v>
      </c>
    </row>
    <row r="3362" customFormat="false" ht="12.75" hidden="false" customHeight="false" outlineLevel="0" collapsed="false">
      <c r="A3362" s="0" t="n">
        <f aca="false">B3362*1000+C3362</f>
        <v>51019</v>
      </c>
      <c r="B3362" s="0" t="n">
        <v>51</v>
      </c>
      <c r="C3362" s="0" t="n">
        <v>19</v>
      </c>
      <c r="D3362" s="0" t="n">
        <v>4056</v>
      </c>
      <c r="E3362" s="0" t="n">
        <f aca="false">VLOOKUP(B3362,'MSA-Lookup'!$H$2:$I$86,2)</f>
        <v>7400</v>
      </c>
      <c r="F3362" s="0" t="n">
        <f aca="false">IF(C3362&gt;1,IF(C3362&lt;99,VLOOKUP(C3362,'MSA-Lookup'!$H$1:$I$86,2),C3362),C3362)</f>
        <v>7360</v>
      </c>
      <c r="G3362" s="0" t="n">
        <f aca="false">VLOOKUP(E3362,'MSA-Lookup'!$AA$1:$AB$25,2)</f>
        <v>7362</v>
      </c>
      <c r="H3362" s="0" t="n">
        <f aca="false">IF(C3362&gt;1,IF(C3362&lt;99,VLOOKUP(F3362,'MSA-Lookup'!$AA$1:$AB$25,2),C3362),C3362)</f>
        <v>7362</v>
      </c>
    </row>
    <row r="3363" customFormat="false" ht="12.75" hidden="false" customHeight="false" outlineLevel="0" collapsed="false">
      <c r="A3363" s="0" t="n">
        <f aca="false">B3363*1000+C3363</f>
        <v>51020</v>
      </c>
      <c r="B3363" s="0" t="n">
        <v>51</v>
      </c>
      <c r="C3363" s="0" t="n">
        <v>20</v>
      </c>
      <c r="D3363" s="0" t="n">
        <v>247</v>
      </c>
      <c r="E3363" s="0" t="n">
        <f aca="false">VLOOKUP(B3363,'MSA-Lookup'!$H$2:$I$86,2)</f>
        <v>7400</v>
      </c>
      <c r="F3363" s="0" t="n">
        <f aca="false">IF(C3363&gt;1,IF(C3363&lt;99,VLOOKUP(C3363,'MSA-Lookup'!$H$1:$I$86,2),C3363),C3363)</f>
        <v>5775</v>
      </c>
      <c r="G3363" s="0" t="n">
        <f aca="false">VLOOKUP(E3363,'MSA-Lookup'!$AA$1:$AB$25,2)</f>
        <v>7362</v>
      </c>
      <c r="H3363" s="0" t="n">
        <f aca="false">IF(C3363&gt;1,IF(C3363&lt;99,VLOOKUP(F3363,'MSA-Lookup'!$AA$1:$AB$25,2),C3363),C3363)</f>
        <v>7362</v>
      </c>
    </row>
    <row r="3364" customFormat="false" ht="12.75" hidden="false" customHeight="false" outlineLevel="0" collapsed="false">
      <c r="A3364" s="0" t="n">
        <f aca="false">B3364*1000+C3364</f>
        <v>51021</v>
      </c>
      <c r="B3364" s="0" t="n">
        <v>51</v>
      </c>
      <c r="C3364" s="0" t="n">
        <v>21</v>
      </c>
      <c r="D3364" s="0" t="n">
        <v>12883</v>
      </c>
      <c r="E3364" s="0" t="n">
        <f aca="false">VLOOKUP(B3364,'MSA-Lookup'!$H$2:$I$86,2)</f>
        <v>7400</v>
      </c>
      <c r="F3364" s="0" t="n">
        <f aca="false">IF(C3364&gt;1,IF(C3364&lt;99,VLOOKUP(C3364,'MSA-Lookup'!$H$1:$I$86,2),C3364),C3364)</f>
        <v>5775</v>
      </c>
      <c r="G3364" s="0" t="n">
        <f aca="false">VLOOKUP(E3364,'MSA-Lookup'!$AA$1:$AB$25,2)</f>
        <v>7362</v>
      </c>
      <c r="H3364" s="0" t="n">
        <f aca="false">IF(C3364&gt;1,IF(C3364&lt;99,VLOOKUP(F3364,'MSA-Lookup'!$AA$1:$AB$25,2),C3364),C3364)</f>
        <v>7362</v>
      </c>
    </row>
    <row r="3365" customFormat="false" ht="12.75" hidden="false" customHeight="false" outlineLevel="0" collapsed="false">
      <c r="A3365" s="0" t="n">
        <f aca="false">B3365*1000+C3365</f>
        <v>51022</v>
      </c>
      <c r="B3365" s="0" t="n">
        <v>51</v>
      </c>
      <c r="C3365" s="0" t="n">
        <v>22</v>
      </c>
      <c r="D3365" s="0" t="n">
        <v>9919</v>
      </c>
      <c r="E3365" s="0" t="n">
        <f aca="false">VLOOKUP(B3365,'MSA-Lookup'!$H$2:$I$86,2)</f>
        <v>7400</v>
      </c>
      <c r="F3365" s="0" t="n">
        <f aca="false">IF(C3365&gt;1,IF(C3365&lt;99,VLOOKUP(C3365,'MSA-Lookup'!$H$1:$I$86,2),C3365),C3365)</f>
        <v>7360</v>
      </c>
      <c r="G3365" s="0" t="n">
        <f aca="false">VLOOKUP(E3365,'MSA-Lookup'!$AA$1:$AB$25,2)</f>
        <v>7362</v>
      </c>
      <c r="H3365" s="0" t="n">
        <f aca="false">IF(C3365&gt;1,IF(C3365&lt;99,VLOOKUP(F3365,'MSA-Lookup'!$AA$1:$AB$25,2),C3365),C3365)</f>
        <v>7362</v>
      </c>
    </row>
    <row r="3366" customFormat="false" ht="12.75" hidden="false" customHeight="false" outlineLevel="0" collapsed="false">
      <c r="A3366" s="0" t="n">
        <f aca="false">B3366*1000+C3366</f>
        <v>51023</v>
      </c>
      <c r="B3366" s="0" t="n">
        <v>51</v>
      </c>
      <c r="C3366" s="0" t="n">
        <v>23</v>
      </c>
      <c r="D3366" s="0" t="n">
        <v>0</v>
      </c>
      <c r="E3366" s="0" t="n">
        <f aca="false">VLOOKUP(B3366,'MSA-Lookup'!$H$2:$I$86,2)</f>
        <v>7400</v>
      </c>
      <c r="F3366" s="0" t="n">
        <f aca="false">IF(C3366&gt;1,IF(C3366&lt;99,VLOOKUP(C3366,'MSA-Lookup'!$H$1:$I$86,2),C3366),C3366)</f>
        <v>8120</v>
      </c>
      <c r="G3366" s="0" t="n">
        <f aca="false">VLOOKUP(E3366,'MSA-Lookup'!$AA$1:$AB$25,2)</f>
        <v>7362</v>
      </c>
      <c r="H3366" s="0" t="n">
        <f aca="false">IF(C3366&gt;1,IF(C3366&lt;99,VLOOKUP(F3366,'MSA-Lookup'!$AA$1:$AB$25,2),C3366),C3366)</f>
        <v>8120</v>
      </c>
    </row>
    <row r="3367" customFormat="false" ht="12.75" hidden="false" customHeight="false" outlineLevel="0" collapsed="false">
      <c r="A3367" s="0" t="n">
        <f aca="false">B3367*1000+C3367</f>
        <v>51024</v>
      </c>
      <c r="B3367" s="0" t="n">
        <v>51</v>
      </c>
      <c r="C3367" s="0" t="n">
        <v>24</v>
      </c>
      <c r="D3367" s="0" t="n">
        <v>0</v>
      </c>
      <c r="E3367" s="0" t="n">
        <f aca="false">VLOOKUP(B3367,'MSA-Lookup'!$H$2:$I$86,2)</f>
        <v>7400</v>
      </c>
      <c r="F3367" s="0" t="n">
        <f aca="false">IF(C3367&gt;1,IF(C3367&lt;99,VLOOKUP(C3367,'MSA-Lookup'!$H$1:$I$86,2),C3367),C3367)</f>
        <v>5170</v>
      </c>
      <c r="G3367" s="0" t="n">
        <f aca="false">VLOOKUP(E3367,'MSA-Lookup'!$AA$1:$AB$25,2)</f>
        <v>7362</v>
      </c>
      <c r="H3367" s="0" t="n">
        <f aca="false">IF(C3367&gt;1,IF(C3367&lt;99,VLOOKUP(F3367,'MSA-Lookup'!$AA$1:$AB$25,2),C3367),C3367)</f>
        <v>5170</v>
      </c>
    </row>
    <row r="3368" customFormat="false" ht="12.75" hidden="false" customHeight="false" outlineLevel="0" collapsed="false">
      <c r="A3368" s="0" t="n">
        <f aca="false">B3368*1000+C3368</f>
        <v>51025</v>
      </c>
      <c r="B3368" s="0" t="n">
        <v>51</v>
      </c>
      <c r="C3368" s="0" t="n">
        <v>25</v>
      </c>
      <c r="D3368" s="0" t="n">
        <v>0</v>
      </c>
      <c r="E3368" s="0" t="n">
        <f aca="false">VLOOKUP(B3368,'MSA-Lookup'!$H$2:$I$86,2)</f>
        <v>7400</v>
      </c>
      <c r="F3368" s="0" t="n">
        <f aca="false">IF(C3368&gt;1,IF(C3368&lt;99,VLOOKUP(C3368,'MSA-Lookup'!$H$1:$I$86,2),C3368),C3368)</f>
        <v>5170</v>
      </c>
      <c r="G3368" s="0" t="n">
        <f aca="false">VLOOKUP(E3368,'MSA-Lookup'!$AA$1:$AB$25,2)</f>
        <v>7362</v>
      </c>
      <c r="H3368" s="0" t="n">
        <f aca="false">IF(C3368&gt;1,IF(C3368&lt;99,VLOOKUP(F3368,'MSA-Lookup'!$AA$1:$AB$25,2),C3368),C3368)</f>
        <v>5170</v>
      </c>
    </row>
    <row r="3369" customFormat="false" ht="12.75" hidden="false" customHeight="false" outlineLevel="0" collapsed="false">
      <c r="A3369" s="0" t="n">
        <f aca="false">B3369*1000+C3369</f>
        <v>51026</v>
      </c>
      <c r="B3369" s="0" t="n">
        <v>51</v>
      </c>
      <c r="C3369" s="0" t="n">
        <v>26</v>
      </c>
      <c r="D3369" s="0" t="n">
        <v>0</v>
      </c>
      <c r="E3369" s="0" t="n">
        <f aca="false">VLOOKUP(B3369,'MSA-Lookup'!$H$2:$I$86,2)</f>
        <v>7400</v>
      </c>
      <c r="F3369" s="0" t="n">
        <f aca="false">IF(C3369&gt;1,IF(C3369&lt;99,VLOOKUP(C3369,'MSA-Lookup'!$H$1:$I$86,2),C3369),C3369)</f>
        <v>9999</v>
      </c>
      <c r="G3369" s="0" t="n">
        <f aca="false">VLOOKUP(E3369,'MSA-Lookup'!$AA$1:$AB$25,2)</f>
        <v>7362</v>
      </c>
      <c r="H3369" s="0" t="n">
        <f aca="false">IF(C3369&gt;1,IF(C3369&lt;99,VLOOKUP(F3369,'MSA-Lookup'!$AA$1:$AB$25,2),C3369),C3369)</f>
        <v>9999</v>
      </c>
    </row>
    <row r="3370" customFormat="false" ht="12.75" hidden="false" customHeight="false" outlineLevel="0" collapsed="false">
      <c r="A3370" s="0" t="n">
        <f aca="false">B3370*1000+C3370</f>
        <v>51027</v>
      </c>
      <c r="B3370" s="0" t="n">
        <v>51</v>
      </c>
      <c r="C3370" s="0" t="n">
        <v>27</v>
      </c>
      <c r="D3370" s="0" t="n">
        <v>104</v>
      </c>
      <c r="E3370" s="0" t="n">
        <f aca="false">VLOOKUP(B3370,'MSA-Lookup'!$H$2:$I$86,2)</f>
        <v>7400</v>
      </c>
      <c r="F3370" s="0" t="n">
        <f aca="false">IF(C3370&gt;1,IF(C3370&lt;99,VLOOKUP(C3370,'MSA-Lookup'!$H$1:$I$86,2),C3370),C3370)</f>
        <v>9999</v>
      </c>
      <c r="G3370" s="0" t="n">
        <f aca="false">VLOOKUP(E3370,'MSA-Lookup'!$AA$1:$AB$25,2)</f>
        <v>7362</v>
      </c>
      <c r="H3370" s="0" t="n">
        <f aca="false">IF(C3370&gt;1,IF(C3370&lt;99,VLOOKUP(F3370,'MSA-Lookup'!$AA$1:$AB$25,2),C3370),C3370)</f>
        <v>9999</v>
      </c>
    </row>
    <row r="3371" customFormat="false" ht="12.75" hidden="false" customHeight="false" outlineLevel="0" collapsed="false">
      <c r="A3371" s="0" t="n">
        <f aca="false">B3371*1000+C3371</f>
        <v>51028</v>
      </c>
      <c r="B3371" s="0" t="n">
        <v>51</v>
      </c>
      <c r="C3371" s="0" t="n">
        <v>28</v>
      </c>
      <c r="D3371" s="0" t="n">
        <v>130</v>
      </c>
      <c r="E3371" s="0" t="n">
        <f aca="false">VLOOKUP(B3371,'MSA-Lookup'!$H$2:$I$86,2)</f>
        <v>7400</v>
      </c>
      <c r="F3371" s="0" t="n">
        <f aca="false">IF(C3371&gt;1,IF(C3371&lt;99,VLOOKUP(C3371,'MSA-Lookup'!$H$1:$I$86,2),C3371),C3371)</f>
        <v>6920</v>
      </c>
      <c r="G3371" s="0" t="n">
        <f aca="false">VLOOKUP(E3371,'MSA-Lookup'!$AA$1:$AB$25,2)</f>
        <v>7362</v>
      </c>
      <c r="H3371" s="0" t="n">
        <f aca="false">IF(C3371&gt;1,IF(C3371&lt;99,VLOOKUP(F3371,'MSA-Lookup'!$AA$1:$AB$25,2),C3371),C3371)</f>
        <v>6920</v>
      </c>
    </row>
    <row r="3372" customFormat="false" ht="12.75" hidden="false" customHeight="false" outlineLevel="0" collapsed="false">
      <c r="A3372" s="0" t="n">
        <f aca="false">B3372*1000+C3372</f>
        <v>51029</v>
      </c>
      <c r="B3372" s="0" t="n">
        <v>51</v>
      </c>
      <c r="C3372" s="0" t="n">
        <v>29</v>
      </c>
      <c r="D3372" s="0" t="n">
        <v>468</v>
      </c>
      <c r="E3372" s="0" t="n">
        <f aca="false">VLOOKUP(B3372,'MSA-Lookup'!$H$2:$I$86,2)</f>
        <v>7400</v>
      </c>
      <c r="F3372" s="0" t="n">
        <f aca="false">IF(C3372&gt;1,IF(C3372&lt;99,VLOOKUP(C3372,'MSA-Lookup'!$H$1:$I$86,2),C3372),C3372)</f>
        <v>6920</v>
      </c>
      <c r="G3372" s="0" t="n">
        <f aca="false">VLOOKUP(E3372,'MSA-Lookup'!$AA$1:$AB$25,2)</f>
        <v>7362</v>
      </c>
      <c r="H3372" s="0" t="n">
        <f aca="false">IF(C3372&gt;1,IF(C3372&lt;99,VLOOKUP(F3372,'MSA-Lookup'!$AA$1:$AB$25,2),C3372),C3372)</f>
        <v>6920</v>
      </c>
    </row>
    <row r="3373" customFormat="false" ht="12.75" hidden="false" customHeight="false" outlineLevel="0" collapsed="false">
      <c r="A3373" s="0" t="n">
        <f aca="false">B3373*1000+C3373</f>
        <v>51030</v>
      </c>
      <c r="B3373" s="0" t="n">
        <v>51</v>
      </c>
      <c r="C3373" s="0" t="n">
        <v>30</v>
      </c>
      <c r="D3373" s="0" t="n">
        <v>0</v>
      </c>
      <c r="E3373" s="0" t="n">
        <f aca="false">VLOOKUP(B3373,'MSA-Lookup'!$H$2:$I$86,2)</f>
        <v>7400</v>
      </c>
      <c r="F3373" s="0" t="n">
        <f aca="false">IF(C3373&gt;1,IF(C3373&lt;99,VLOOKUP(C3373,'MSA-Lookup'!$H$1:$I$86,2),C3373),C3373)</f>
        <v>4940</v>
      </c>
      <c r="G3373" s="0" t="n">
        <f aca="false">VLOOKUP(E3373,'MSA-Lookup'!$AA$1:$AB$25,2)</f>
        <v>7362</v>
      </c>
      <c r="H3373" s="0" t="n">
        <f aca="false">IF(C3373&gt;1,IF(C3373&lt;99,VLOOKUP(F3373,'MSA-Lookup'!$AA$1:$AB$25,2),C3373),C3373)</f>
        <v>4940</v>
      </c>
    </row>
    <row r="3374" customFormat="false" ht="12.75" hidden="false" customHeight="false" outlineLevel="0" collapsed="false">
      <c r="A3374" s="0" t="n">
        <f aca="false">B3374*1000+C3374</f>
        <v>51031</v>
      </c>
      <c r="B3374" s="0" t="n">
        <v>51</v>
      </c>
      <c r="C3374" s="0" t="n">
        <v>31</v>
      </c>
      <c r="D3374" s="0" t="n">
        <v>0</v>
      </c>
      <c r="E3374" s="0" t="n">
        <f aca="false">VLOOKUP(B3374,'MSA-Lookup'!$H$2:$I$86,2)</f>
        <v>7400</v>
      </c>
      <c r="F3374" s="0" t="n">
        <f aca="false">IF(C3374&gt;1,IF(C3374&lt;99,VLOOKUP(C3374,'MSA-Lookup'!$H$1:$I$86,2),C3374),C3374)</f>
        <v>9999</v>
      </c>
      <c r="G3374" s="0" t="n">
        <f aca="false">VLOOKUP(E3374,'MSA-Lookup'!$AA$1:$AB$25,2)</f>
        <v>7362</v>
      </c>
      <c r="H3374" s="0" t="n">
        <f aca="false">IF(C3374&gt;1,IF(C3374&lt;99,VLOOKUP(F3374,'MSA-Lookup'!$AA$1:$AB$25,2),C3374),C3374)</f>
        <v>9999</v>
      </c>
    </row>
    <row r="3375" customFormat="false" ht="12.75" hidden="false" customHeight="false" outlineLevel="0" collapsed="false">
      <c r="A3375" s="0" t="n">
        <f aca="false">B3375*1000+C3375</f>
        <v>51032</v>
      </c>
      <c r="B3375" s="0" t="n">
        <v>51</v>
      </c>
      <c r="C3375" s="0" t="n">
        <v>32</v>
      </c>
      <c r="D3375" s="0" t="n">
        <v>65</v>
      </c>
      <c r="E3375" s="0" t="n">
        <f aca="false">VLOOKUP(B3375,'MSA-Lookup'!$H$2:$I$86,2)</f>
        <v>7400</v>
      </c>
      <c r="F3375" s="0" t="n">
        <f aca="false">IF(C3375&gt;1,IF(C3375&lt;99,VLOOKUP(C3375,'MSA-Lookup'!$H$1:$I$86,2),C3375),C3375)</f>
        <v>7480</v>
      </c>
      <c r="G3375" s="0" t="n">
        <f aca="false">VLOOKUP(E3375,'MSA-Lookup'!$AA$1:$AB$25,2)</f>
        <v>7362</v>
      </c>
      <c r="H3375" s="0" t="n">
        <f aca="false">IF(C3375&gt;1,IF(C3375&lt;99,VLOOKUP(F3375,'MSA-Lookup'!$AA$1:$AB$25,2),C3375),C3375)</f>
        <v>7480</v>
      </c>
    </row>
    <row r="3376" customFormat="false" ht="12.75" hidden="false" customHeight="false" outlineLevel="0" collapsed="false">
      <c r="A3376" s="0" t="n">
        <f aca="false">B3376*1000+C3376</f>
        <v>51033</v>
      </c>
      <c r="B3376" s="0" t="n">
        <v>51</v>
      </c>
      <c r="C3376" s="0" t="n">
        <v>33</v>
      </c>
      <c r="D3376" s="0" t="n">
        <v>0</v>
      </c>
      <c r="E3376" s="0" t="n">
        <f aca="false">VLOOKUP(B3376,'MSA-Lookup'!$H$2:$I$86,2)</f>
        <v>7400</v>
      </c>
      <c r="F3376" s="0" t="n">
        <f aca="false">IF(C3376&gt;1,IF(C3376&lt;99,VLOOKUP(C3376,'MSA-Lookup'!$H$1:$I$86,2),C3376),C3376)</f>
        <v>7320</v>
      </c>
      <c r="G3376" s="0" t="n">
        <f aca="false">VLOOKUP(E3376,'MSA-Lookup'!$AA$1:$AB$25,2)</f>
        <v>7362</v>
      </c>
      <c r="H3376" s="0" t="n">
        <f aca="false">IF(C3376&gt;1,IF(C3376&lt;99,VLOOKUP(F3376,'MSA-Lookup'!$AA$1:$AB$25,2),C3376),C3376)</f>
        <v>7320</v>
      </c>
    </row>
    <row r="3377" customFormat="false" ht="12.75" hidden="false" customHeight="false" outlineLevel="0" collapsed="false">
      <c r="A3377" s="0" t="n">
        <f aca="false">B3377*1000+C3377</f>
        <v>51034</v>
      </c>
      <c r="B3377" s="0" t="n">
        <v>51</v>
      </c>
      <c r="C3377" s="0" t="n">
        <v>34</v>
      </c>
      <c r="D3377" s="0" t="n">
        <v>0</v>
      </c>
      <c r="E3377" s="0" t="n">
        <f aca="false">VLOOKUP(B3377,'MSA-Lookup'!$H$2:$I$86,2)</f>
        <v>7400</v>
      </c>
      <c r="F3377" s="0" t="n">
        <f aca="false">IF(C3377&gt;1,IF(C3377&lt;99,VLOOKUP(C3377,'MSA-Lookup'!$H$1:$I$86,2),C3377),C3377)</f>
        <v>7320</v>
      </c>
      <c r="G3377" s="0" t="n">
        <f aca="false">VLOOKUP(E3377,'MSA-Lookup'!$AA$1:$AB$25,2)</f>
        <v>7362</v>
      </c>
      <c r="H3377" s="0" t="n">
        <f aca="false">IF(C3377&gt;1,IF(C3377&lt;99,VLOOKUP(F3377,'MSA-Lookup'!$AA$1:$AB$25,2),C3377),C3377)</f>
        <v>7320</v>
      </c>
    </row>
    <row r="3378" customFormat="false" ht="12.75" hidden="false" customHeight="false" outlineLevel="0" collapsed="false">
      <c r="A3378" s="0" t="n">
        <f aca="false">B3378*1000+C3378</f>
        <v>51035</v>
      </c>
      <c r="B3378" s="0" t="n">
        <v>51</v>
      </c>
      <c r="C3378" s="0" t="n">
        <v>35</v>
      </c>
      <c r="D3378" s="0" t="n">
        <v>0</v>
      </c>
      <c r="E3378" s="0" t="n">
        <f aca="false">VLOOKUP(B3378,'MSA-Lookup'!$H$2:$I$86,2)</f>
        <v>7400</v>
      </c>
      <c r="F3378" s="0" t="n">
        <f aca="false">IF(C3378&gt;1,IF(C3378&lt;99,VLOOKUP(C3378,'MSA-Lookup'!$H$1:$I$86,2),C3378),C3378)</f>
        <v>7320</v>
      </c>
      <c r="G3378" s="0" t="n">
        <f aca="false">VLOOKUP(E3378,'MSA-Lookup'!$AA$1:$AB$25,2)</f>
        <v>7362</v>
      </c>
      <c r="H3378" s="0" t="n">
        <f aca="false">IF(C3378&gt;1,IF(C3378&lt;99,VLOOKUP(F3378,'MSA-Lookup'!$AA$1:$AB$25,2),C3378),C3378)</f>
        <v>7320</v>
      </c>
    </row>
    <row r="3379" customFormat="false" ht="12.75" hidden="false" customHeight="false" outlineLevel="0" collapsed="false">
      <c r="A3379" s="0" t="n">
        <f aca="false">B3379*1000+C3379</f>
        <v>51036</v>
      </c>
      <c r="B3379" s="0" t="n">
        <v>51</v>
      </c>
      <c r="C3379" s="0" t="n">
        <v>36</v>
      </c>
      <c r="D3379" s="0" t="n">
        <v>0</v>
      </c>
      <c r="E3379" s="0" t="n">
        <f aca="false">VLOOKUP(B3379,'MSA-Lookup'!$H$2:$I$86,2)</f>
        <v>7400</v>
      </c>
      <c r="F3379" s="0" t="n">
        <f aca="false">IF(C3379&gt;1,IF(C3379&lt;99,VLOOKUP(C3379,'MSA-Lookup'!$H$1:$I$86,2),C3379),C3379)</f>
        <v>7320</v>
      </c>
      <c r="G3379" s="0" t="n">
        <f aca="false">VLOOKUP(E3379,'MSA-Lookup'!$AA$1:$AB$25,2)</f>
        <v>7362</v>
      </c>
      <c r="H3379" s="0" t="n">
        <f aca="false">IF(C3379&gt;1,IF(C3379&lt;99,VLOOKUP(F3379,'MSA-Lookup'!$AA$1:$AB$25,2),C3379),C3379)</f>
        <v>7320</v>
      </c>
    </row>
    <row r="3380" customFormat="false" ht="12.75" hidden="false" customHeight="false" outlineLevel="0" collapsed="false">
      <c r="A3380" s="0" t="n">
        <f aca="false">B3380*1000+C3380</f>
        <v>51037</v>
      </c>
      <c r="B3380" s="0" t="n">
        <v>51</v>
      </c>
      <c r="C3380" s="0" t="n">
        <v>37</v>
      </c>
      <c r="D3380" s="0" t="n">
        <v>78</v>
      </c>
      <c r="E3380" s="0" t="n">
        <f aca="false">VLOOKUP(B3380,'MSA-Lookup'!$H$2:$I$86,2)</f>
        <v>7400</v>
      </c>
      <c r="F3380" s="0" t="n">
        <f aca="false">IF(C3380&gt;1,IF(C3380&lt;99,VLOOKUP(C3380,'MSA-Lookup'!$H$1:$I$86,2),C3380),C3380)</f>
        <v>7320</v>
      </c>
      <c r="G3380" s="0" t="n">
        <f aca="false">VLOOKUP(E3380,'MSA-Lookup'!$AA$1:$AB$25,2)</f>
        <v>7362</v>
      </c>
      <c r="H3380" s="0" t="n">
        <f aca="false">IF(C3380&gt;1,IF(C3380&lt;99,VLOOKUP(F3380,'MSA-Lookup'!$AA$1:$AB$25,2),C3380),C3380)</f>
        <v>7320</v>
      </c>
    </row>
    <row r="3381" customFormat="false" ht="12.75" hidden="false" customHeight="false" outlineLevel="0" collapsed="false">
      <c r="A3381" s="0" t="n">
        <f aca="false">B3381*1000+C3381</f>
        <v>51038</v>
      </c>
      <c r="B3381" s="0" t="n">
        <v>51</v>
      </c>
      <c r="C3381" s="0" t="n">
        <v>38</v>
      </c>
      <c r="D3381" s="0" t="n">
        <v>91</v>
      </c>
      <c r="E3381" s="0" t="n">
        <f aca="false">VLOOKUP(B3381,'MSA-Lookup'!$H$2:$I$86,2)</f>
        <v>7400</v>
      </c>
      <c r="F3381" s="0" t="n">
        <f aca="false">IF(C3381&gt;1,IF(C3381&lt;99,VLOOKUP(C3381,'MSA-Lookup'!$H$1:$I$86,2),C3381),C3381)</f>
        <v>7120</v>
      </c>
      <c r="G3381" s="0" t="n">
        <f aca="false">VLOOKUP(E3381,'MSA-Lookup'!$AA$1:$AB$25,2)</f>
        <v>7362</v>
      </c>
      <c r="H3381" s="0" t="n">
        <f aca="false">IF(C3381&gt;1,IF(C3381&lt;99,VLOOKUP(F3381,'MSA-Lookup'!$AA$1:$AB$25,2),C3381),C3381)</f>
        <v>7120</v>
      </c>
    </row>
    <row r="3382" customFormat="false" ht="12.75" hidden="false" customHeight="false" outlineLevel="0" collapsed="false">
      <c r="A3382" s="0" t="n">
        <f aca="false">B3382*1000+C3382</f>
        <v>51039</v>
      </c>
      <c r="B3382" s="0" t="n">
        <v>51</v>
      </c>
      <c r="C3382" s="0" t="n">
        <v>39</v>
      </c>
      <c r="D3382" s="0" t="n">
        <v>273</v>
      </c>
      <c r="E3382" s="0" t="n">
        <f aca="false">VLOOKUP(B3382,'MSA-Lookup'!$H$2:$I$86,2)</f>
        <v>7400</v>
      </c>
      <c r="F3382" s="0" t="n">
        <f aca="false">IF(C3382&gt;1,IF(C3382&lt;99,VLOOKUP(C3382,'MSA-Lookup'!$H$1:$I$86,2),C3382),C3382)</f>
        <v>7120</v>
      </c>
      <c r="G3382" s="0" t="n">
        <f aca="false">VLOOKUP(E3382,'MSA-Lookup'!$AA$1:$AB$25,2)</f>
        <v>7362</v>
      </c>
      <c r="H3382" s="0" t="n">
        <f aca="false">IF(C3382&gt;1,IF(C3382&lt;99,VLOOKUP(F3382,'MSA-Lookup'!$AA$1:$AB$25,2),C3382),C3382)</f>
        <v>7120</v>
      </c>
    </row>
    <row r="3383" customFormat="false" ht="12.75" hidden="false" customHeight="false" outlineLevel="0" collapsed="false">
      <c r="A3383" s="0" t="n">
        <f aca="false">B3383*1000+C3383</f>
        <v>51040</v>
      </c>
      <c r="B3383" s="0" t="n">
        <v>51</v>
      </c>
      <c r="C3383" s="0" t="n">
        <v>40</v>
      </c>
      <c r="D3383" s="0" t="n">
        <v>0</v>
      </c>
      <c r="E3383" s="0" t="n">
        <f aca="false">VLOOKUP(B3383,'MSA-Lookup'!$H$2:$I$86,2)</f>
        <v>7400</v>
      </c>
      <c r="F3383" s="0" t="n">
        <f aca="false">IF(C3383&gt;1,IF(C3383&lt;99,VLOOKUP(C3383,'MSA-Lookup'!$H$1:$I$86,2),C3383),C3383)</f>
        <v>2840</v>
      </c>
      <c r="G3383" s="0" t="n">
        <f aca="false">VLOOKUP(E3383,'MSA-Lookup'!$AA$1:$AB$25,2)</f>
        <v>7362</v>
      </c>
      <c r="H3383" s="0" t="n">
        <f aca="false">IF(C3383&gt;1,IF(C3383&lt;99,VLOOKUP(F3383,'MSA-Lookup'!$AA$1:$AB$25,2),C3383),C3383)</f>
        <v>2840</v>
      </c>
    </row>
    <row r="3384" customFormat="false" ht="12.75" hidden="false" customHeight="false" outlineLevel="0" collapsed="false">
      <c r="A3384" s="0" t="n">
        <f aca="false">B3384*1000+C3384</f>
        <v>51041</v>
      </c>
      <c r="B3384" s="0" t="n">
        <v>51</v>
      </c>
      <c r="C3384" s="0" t="n">
        <v>41</v>
      </c>
      <c r="D3384" s="0" t="n">
        <v>0</v>
      </c>
      <c r="E3384" s="0" t="n">
        <f aca="false">VLOOKUP(B3384,'MSA-Lookup'!$H$2:$I$86,2)</f>
        <v>7400</v>
      </c>
      <c r="F3384" s="0" t="n">
        <f aca="false">IF(C3384&gt;1,IF(C3384&lt;99,VLOOKUP(C3384,'MSA-Lookup'!$H$1:$I$86,2),C3384),C3384)</f>
        <v>2840</v>
      </c>
      <c r="G3384" s="0" t="n">
        <f aca="false">VLOOKUP(E3384,'MSA-Lookup'!$AA$1:$AB$25,2)</f>
        <v>7362</v>
      </c>
      <c r="H3384" s="0" t="n">
        <f aca="false">IF(C3384&gt;1,IF(C3384&lt;99,VLOOKUP(F3384,'MSA-Lookup'!$AA$1:$AB$25,2),C3384),C3384)</f>
        <v>2840</v>
      </c>
    </row>
    <row r="3385" customFormat="false" ht="12.75" hidden="false" customHeight="false" outlineLevel="0" collapsed="false">
      <c r="A3385" s="0" t="n">
        <f aca="false">B3385*1000+C3385</f>
        <v>51042</v>
      </c>
      <c r="B3385" s="0" t="n">
        <v>51</v>
      </c>
      <c r="C3385" s="0" t="n">
        <v>42</v>
      </c>
      <c r="D3385" s="0" t="n">
        <v>0</v>
      </c>
      <c r="E3385" s="0" t="n">
        <f aca="false">VLOOKUP(B3385,'MSA-Lookup'!$H$2:$I$86,2)</f>
        <v>7400</v>
      </c>
      <c r="F3385" s="0" t="n">
        <f aca="false">IF(C3385&gt;1,IF(C3385&lt;99,VLOOKUP(C3385,'MSA-Lookup'!$H$1:$I$86,2),C3385),C3385)</f>
        <v>360</v>
      </c>
      <c r="G3385" s="0" t="n">
        <f aca="false">VLOOKUP(E3385,'MSA-Lookup'!$AA$1:$AB$25,2)</f>
        <v>7362</v>
      </c>
      <c r="H3385" s="0" t="n">
        <f aca="false">IF(C3385&gt;1,IF(C3385&lt;99,VLOOKUP(F3385,'MSA-Lookup'!$AA$1:$AB$25,2),C3385),C3385)</f>
        <v>4472</v>
      </c>
    </row>
    <row r="3386" customFormat="false" ht="12.75" hidden="false" customHeight="false" outlineLevel="0" collapsed="false">
      <c r="A3386" s="0" t="n">
        <f aca="false">B3386*1000+C3386</f>
        <v>51043</v>
      </c>
      <c r="B3386" s="0" t="n">
        <v>51</v>
      </c>
      <c r="C3386" s="0" t="n">
        <v>43</v>
      </c>
      <c r="D3386" s="0" t="n">
        <v>0</v>
      </c>
      <c r="E3386" s="0" t="n">
        <f aca="false">VLOOKUP(B3386,'MSA-Lookup'!$H$2:$I$86,2)</f>
        <v>7400</v>
      </c>
      <c r="F3386" s="0" t="n">
        <f aca="false">IF(C3386&gt;1,IF(C3386&lt;99,VLOOKUP(C3386,'MSA-Lookup'!$H$1:$I$86,2),C3386),C3386)</f>
        <v>360</v>
      </c>
      <c r="G3386" s="0" t="n">
        <f aca="false">VLOOKUP(E3386,'MSA-Lookup'!$AA$1:$AB$25,2)</f>
        <v>7362</v>
      </c>
      <c r="H3386" s="0" t="n">
        <f aca="false">IF(C3386&gt;1,IF(C3386&lt;99,VLOOKUP(F3386,'MSA-Lookup'!$AA$1:$AB$25,2),C3386),C3386)</f>
        <v>4472</v>
      </c>
    </row>
    <row r="3387" customFormat="false" ht="12.75" hidden="false" customHeight="false" outlineLevel="0" collapsed="false">
      <c r="A3387" s="0" t="n">
        <f aca="false">B3387*1000+C3387</f>
        <v>51044</v>
      </c>
      <c r="B3387" s="0" t="n">
        <v>51</v>
      </c>
      <c r="C3387" s="0" t="n">
        <v>44</v>
      </c>
      <c r="D3387" s="0" t="n">
        <v>0</v>
      </c>
      <c r="E3387" s="0" t="n">
        <f aca="false">VLOOKUP(B3387,'MSA-Lookup'!$H$2:$I$86,2)</f>
        <v>7400</v>
      </c>
      <c r="F3387" s="0" t="n">
        <f aca="false">IF(C3387&gt;1,IF(C3387&lt;99,VLOOKUP(C3387,'MSA-Lookup'!$H$1:$I$86,2),C3387),C3387)</f>
        <v>360</v>
      </c>
      <c r="G3387" s="0" t="n">
        <f aca="false">VLOOKUP(E3387,'MSA-Lookup'!$AA$1:$AB$25,2)</f>
        <v>7362</v>
      </c>
      <c r="H3387" s="0" t="n">
        <f aca="false">IF(C3387&gt;1,IF(C3387&lt;99,VLOOKUP(F3387,'MSA-Lookup'!$AA$1:$AB$25,2),C3387),C3387)</f>
        <v>4472</v>
      </c>
    </row>
    <row r="3388" customFormat="false" ht="12.75" hidden="false" customHeight="false" outlineLevel="0" collapsed="false">
      <c r="A3388" s="0" t="n">
        <f aca="false">B3388*1000+C3388</f>
        <v>51045</v>
      </c>
      <c r="B3388" s="0" t="n">
        <v>51</v>
      </c>
      <c r="C3388" s="0" t="n">
        <v>45</v>
      </c>
      <c r="D3388" s="0" t="n">
        <v>0</v>
      </c>
      <c r="E3388" s="0" t="n">
        <f aca="false">VLOOKUP(B3388,'MSA-Lookup'!$H$2:$I$86,2)</f>
        <v>7400</v>
      </c>
      <c r="F3388" s="0" t="n">
        <f aca="false">IF(C3388&gt;1,IF(C3388&lt;99,VLOOKUP(C3388,'MSA-Lookup'!$H$1:$I$86,2),C3388),C3388)</f>
        <v>360</v>
      </c>
      <c r="G3388" s="0" t="n">
        <f aca="false">VLOOKUP(E3388,'MSA-Lookup'!$AA$1:$AB$25,2)</f>
        <v>7362</v>
      </c>
      <c r="H3388" s="0" t="n">
        <f aca="false">IF(C3388&gt;1,IF(C3388&lt;99,VLOOKUP(F3388,'MSA-Lookup'!$AA$1:$AB$25,2),C3388),C3388)</f>
        <v>4472</v>
      </c>
    </row>
    <row r="3389" customFormat="false" ht="12.75" hidden="false" customHeight="false" outlineLevel="0" collapsed="false">
      <c r="A3389" s="0" t="n">
        <f aca="false">B3389*1000+C3389</f>
        <v>51046</v>
      </c>
      <c r="B3389" s="0" t="n">
        <v>51</v>
      </c>
      <c r="C3389" s="0" t="n">
        <v>46</v>
      </c>
      <c r="D3389" s="0" t="n">
        <v>0</v>
      </c>
      <c r="E3389" s="0" t="n">
        <f aca="false">VLOOKUP(B3389,'MSA-Lookup'!$H$2:$I$86,2)</f>
        <v>7400</v>
      </c>
      <c r="F3389" s="0" t="n">
        <f aca="false">IF(C3389&gt;1,IF(C3389&lt;99,VLOOKUP(C3389,'MSA-Lookup'!$H$1:$I$86,2),C3389),C3389)</f>
        <v>360</v>
      </c>
      <c r="G3389" s="0" t="n">
        <f aca="false">VLOOKUP(E3389,'MSA-Lookup'!$AA$1:$AB$25,2)</f>
        <v>7362</v>
      </c>
      <c r="H3389" s="0" t="n">
        <f aca="false">IF(C3389&gt;1,IF(C3389&lt;99,VLOOKUP(F3389,'MSA-Lookup'!$AA$1:$AB$25,2),C3389),C3389)</f>
        <v>4472</v>
      </c>
    </row>
    <row r="3390" customFormat="false" ht="12.75" hidden="false" customHeight="false" outlineLevel="0" collapsed="false">
      <c r="A3390" s="0" t="n">
        <f aca="false">B3390*1000+C3390</f>
        <v>51047</v>
      </c>
      <c r="B3390" s="0" t="n">
        <v>51</v>
      </c>
      <c r="C3390" s="0" t="n">
        <v>47</v>
      </c>
      <c r="D3390" s="0" t="n">
        <v>0</v>
      </c>
      <c r="E3390" s="0" t="n">
        <f aca="false">VLOOKUP(B3390,'MSA-Lookup'!$H$2:$I$86,2)</f>
        <v>7400</v>
      </c>
      <c r="F3390" s="0" t="n">
        <f aca="false">IF(C3390&gt;1,IF(C3390&lt;99,VLOOKUP(C3390,'MSA-Lookup'!$H$1:$I$86,2),C3390),C3390)</f>
        <v>360</v>
      </c>
      <c r="G3390" s="0" t="n">
        <f aca="false">VLOOKUP(E3390,'MSA-Lookup'!$AA$1:$AB$25,2)</f>
        <v>7362</v>
      </c>
      <c r="H3390" s="0" t="n">
        <f aca="false">IF(C3390&gt;1,IF(C3390&lt;99,VLOOKUP(F3390,'MSA-Lookup'!$AA$1:$AB$25,2),C3390),C3390)</f>
        <v>4472</v>
      </c>
    </row>
    <row r="3391" customFormat="false" ht="12.75" hidden="false" customHeight="false" outlineLevel="0" collapsed="false">
      <c r="A3391" s="0" t="n">
        <f aca="false">B3391*1000+C3391</f>
        <v>51048</v>
      </c>
      <c r="B3391" s="0" t="n">
        <v>51</v>
      </c>
      <c r="C3391" s="0" t="n">
        <v>48</v>
      </c>
      <c r="D3391" s="0" t="n">
        <v>65</v>
      </c>
      <c r="E3391" s="0" t="n">
        <f aca="false">VLOOKUP(B3391,'MSA-Lookup'!$H$2:$I$86,2)</f>
        <v>7400</v>
      </c>
      <c r="F3391" s="0" t="n">
        <f aca="false">IF(C3391&gt;1,IF(C3391&lt;99,VLOOKUP(C3391,'MSA-Lookup'!$H$1:$I$86,2),C3391),C3391)</f>
        <v>360</v>
      </c>
      <c r="G3391" s="0" t="n">
        <f aca="false">VLOOKUP(E3391,'MSA-Lookup'!$AA$1:$AB$25,2)</f>
        <v>7362</v>
      </c>
      <c r="H3391" s="0" t="n">
        <f aca="false">IF(C3391&gt;1,IF(C3391&lt;99,VLOOKUP(F3391,'MSA-Lookup'!$AA$1:$AB$25,2),C3391),C3391)</f>
        <v>4472</v>
      </c>
    </row>
    <row r="3392" customFormat="false" ht="12.75" hidden="false" customHeight="false" outlineLevel="0" collapsed="false">
      <c r="A3392" s="0" t="n">
        <f aca="false">B3392*1000+C3392</f>
        <v>51049</v>
      </c>
      <c r="B3392" s="0" t="n">
        <v>51</v>
      </c>
      <c r="C3392" s="0" t="n">
        <v>49</v>
      </c>
      <c r="D3392" s="0" t="n">
        <v>127478</v>
      </c>
      <c r="E3392" s="0" t="n">
        <f aca="false">VLOOKUP(B3392,'MSA-Lookup'!$H$2:$I$86,2)</f>
        <v>7400</v>
      </c>
      <c r="F3392" s="0" t="n">
        <f aca="false">IF(C3392&gt;1,IF(C3392&lt;99,VLOOKUP(C3392,'MSA-Lookup'!$H$1:$I$86,2),C3392),C3392)</f>
        <v>7400</v>
      </c>
      <c r="G3392" s="0" t="n">
        <f aca="false">VLOOKUP(E3392,'MSA-Lookup'!$AA$1:$AB$25,2)</f>
        <v>7362</v>
      </c>
      <c r="H3392" s="0" t="n">
        <f aca="false">IF(C3392&gt;1,IF(C3392&lt;99,VLOOKUP(F3392,'MSA-Lookup'!$AA$1:$AB$25,2),C3392),C3392)</f>
        <v>7362</v>
      </c>
    </row>
    <row r="3393" customFormat="false" ht="12.75" hidden="false" customHeight="false" outlineLevel="0" collapsed="false">
      <c r="A3393" s="0" t="n">
        <f aca="false">B3393*1000+C3393</f>
        <v>51050</v>
      </c>
      <c r="B3393" s="0" t="n">
        <v>51</v>
      </c>
      <c r="C3393" s="0" t="n">
        <v>50</v>
      </c>
      <c r="D3393" s="0" t="n">
        <v>33527</v>
      </c>
      <c r="E3393" s="0" t="n">
        <f aca="false">VLOOKUP(B3393,'MSA-Lookup'!$H$2:$I$86,2)</f>
        <v>7400</v>
      </c>
      <c r="F3393" s="0" t="n">
        <f aca="false">IF(C3393&gt;1,IF(C3393&lt;99,VLOOKUP(C3393,'MSA-Lookup'!$H$1:$I$86,2),C3393),C3393)</f>
        <v>7400</v>
      </c>
      <c r="G3393" s="0" t="n">
        <f aca="false">VLOOKUP(E3393,'MSA-Lookup'!$AA$1:$AB$25,2)</f>
        <v>7362</v>
      </c>
      <c r="H3393" s="0" t="n">
        <f aca="false">IF(C3393&gt;1,IF(C3393&lt;99,VLOOKUP(F3393,'MSA-Lookup'!$AA$1:$AB$25,2),C3393),C3393)</f>
        <v>7362</v>
      </c>
    </row>
    <row r="3394" customFormat="false" ht="12.75" hidden="false" customHeight="false" outlineLevel="0" collapsed="false">
      <c r="A3394" s="0" t="n">
        <f aca="false">B3394*1000+C3394</f>
        <v>51051</v>
      </c>
      <c r="B3394" s="0" t="n">
        <v>51</v>
      </c>
      <c r="C3394" s="0" t="n">
        <v>51</v>
      </c>
      <c r="D3394" s="0" t="n">
        <v>211692</v>
      </c>
      <c r="E3394" s="0" t="n">
        <f aca="false">VLOOKUP(B3394,'MSA-Lookup'!$H$2:$I$86,2)</f>
        <v>7400</v>
      </c>
      <c r="F3394" s="0" t="n">
        <f aca="false">IF(C3394&gt;1,IF(C3394&lt;99,VLOOKUP(C3394,'MSA-Lookup'!$H$1:$I$86,2),C3394),C3394)</f>
        <v>7400</v>
      </c>
      <c r="G3394" s="0" t="n">
        <f aca="false">VLOOKUP(E3394,'MSA-Lookup'!$AA$1:$AB$25,2)</f>
        <v>7362</v>
      </c>
      <c r="H3394" s="0" t="n">
        <f aca="false">IF(C3394&gt;1,IF(C3394&lt;99,VLOOKUP(F3394,'MSA-Lookup'!$AA$1:$AB$25,2),C3394),C3394)</f>
        <v>7362</v>
      </c>
    </row>
    <row r="3395" customFormat="false" ht="12.75" hidden="false" customHeight="false" outlineLevel="0" collapsed="false">
      <c r="A3395" s="0" t="n">
        <f aca="false">B3395*1000+C3395</f>
        <v>51052</v>
      </c>
      <c r="B3395" s="0" t="n">
        <v>51</v>
      </c>
      <c r="C3395" s="0" t="n">
        <v>52</v>
      </c>
      <c r="D3395" s="0" t="n">
        <v>78</v>
      </c>
      <c r="E3395" s="0" t="n">
        <f aca="false">VLOOKUP(B3395,'MSA-Lookup'!$H$2:$I$86,2)</f>
        <v>7400</v>
      </c>
      <c r="F3395" s="0" t="n">
        <f aca="false">IF(C3395&gt;1,IF(C3395&lt;99,VLOOKUP(C3395,'MSA-Lookup'!$H$1:$I$86,2),C3395),C3395)</f>
        <v>4480</v>
      </c>
      <c r="G3395" s="0" t="n">
        <f aca="false">VLOOKUP(E3395,'MSA-Lookup'!$AA$1:$AB$25,2)</f>
        <v>7362</v>
      </c>
      <c r="H3395" s="0" t="n">
        <f aca="false">IF(C3395&gt;1,IF(C3395&lt;99,VLOOKUP(F3395,'MSA-Lookup'!$AA$1:$AB$25,2),C3395),C3395)</f>
        <v>4472</v>
      </c>
    </row>
    <row r="3396" customFormat="false" ht="12.75" hidden="false" customHeight="false" outlineLevel="0" collapsed="false">
      <c r="A3396" s="0" t="n">
        <f aca="false">B3396*1000+C3396</f>
        <v>51053</v>
      </c>
      <c r="B3396" s="0" t="n">
        <v>51</v>
      </c>
      <c r="C3396" s="0" t="n">
        <v>53</v>
      </c>
      <c r="D3396" s="0" t="n">
        <v>0</v>
      </c>
      <c r="E3396" s="0" t="n">
        <f aca="false">VLOOKUP(B3396,'MSA-Lookup'!$H$2:$I$86,2)</f>
        <v>7400</v>
      </c>
      <c r="F3396" s="0" t="n">
        <f aca="false">IF(C3396&gt;1,IF(C3396&lt;99,VLOOKUP(C3396,'MSA-Lookup'!$H$1:$I$86,2),C3396),C3396)</f>
        <v>4480</v>
      </c>
      <c r="G3396" s="0" t="n">
        <f aca="false">VLOOKUP(E3396,'MSA-Lookup'!$AA$1:$AB$25,2)</f>
        <v>7362</v>
      </c>
      <c r="H3396" s="0" t="n">
        <f aca="false">IF(C3396&gt;1,IF(C3396&lt;99,VLOOKUP(F3396,'MSA-Lookup'!$AA$1:$AB$25,2),C3396),C3396)</f>
        <v>4472</v>
      </c>
    </row>
    <row r="3397" customFormat="false" ht="12.75" hidden="false" customHeight="false" outlineLevel="0" collapsed="false">
      <c r="A3397" s="0" t="n">
        <f aca="false">B3397*1000+C3397</f>
        <v>51054</v>
      </c>
      <c r="B3397" s="0" t="n">
        <v>51</v>
      </c>
      <c r="C3397" s="0" t="n">
        <v>54</v>
      </c>
      <c r="D3397" s="0" t="n">
        <v>0</v>
      </c>
      <c r="E3397" s="0" t="n">
        <f aca="false">VLOOKUP(B3397,'MSA-Lookup'!$H$2:$I$86,2)</f>
        <v>7400</v>
      </c>
      <c r="F3397" s="0" t="n">
        <f aca="false">IF(C3397&gt;1,IF(C3397&lt;99,VLOOKUP(C3397,'MSA-Lookup'!$H$1:$I$86,2),C3397),C3397)</f>
        <v>4480</v>
      </c>
      <c r="G3397" s="0" t="n">
        <f aca="false">VLOOKUP(E3397,'MSA-Lookup'!$AA$1:$AB$25,2)</f>
        <v>7362</v>
      </c>
      <c r="H3397" s="0" t="n">
        <f aca="false">IF(C3397&gt;1,IF(C3397&lt;99,VLOOKUP(F3397,'MSA-Lookup'!$AA$1:$AB$25,2),C3397),C3397)</f>
        <v>4472</v>
      </c>
    </row>
    <row r="3398" customFormat="false" ht="12.75" hidden="false" customHeight="false" outlineLevel="0" collapsed="false">
      <c r="A3398" s="0" t="n">
        <f aca="false">B3398*1000+C3398</f>
        <v>51055</v>
      </c>
      <c r="B3398" s="0" t="n">
        <v>51</v>
      </c>
      <c r="C3398" s="0" t="n">
        <v>55</v>
      </c>
      <c r="D3398" s="0" t="n">
        <v>52</v>
      </c>
      <c r="E3398" s="0" t="n">
        <f aca="false">VLOOKUP(B3398,'MSA-Lookup'!$H$2:$I$86,2)</f>
        <v>7400</v>
      </c>
      <c r="F3398" s="0" t="n">
        <f aca="false">IF(C3398&gt;1,IF(C3398&lt;99,VLOOKUP(C3398,'MSA-Lookup'!$H$1:$I$86,2),C3398),C3398)</f>
        <v>4480</v>
      </c>
      <c r="G3398" s="0" t="n">
        <f aca="false">VLOOKUP(E3398,'MSA-Lookup'!$AA$1:$AB$25,2)</f>
        <v>7362</v>
      </c>
      <c r="H3398" s="0" t="n">
        <f aca="false">IF(C3398&gt;1,IF(C3398&lt;99,VLOOKUP(F3398,'MSA-Lookup'!$AA$1:$AB$25,2),C3398),C3398)</f>
        <v>4472</v>
      </c>
    </row>
    <row r="3399" customFormat="false" ht="12.75" hidden="false" customHeight="false" outlineLevel="0" collapsed="false">
      <c r="A3399" s="0" t="n">
        <f aca="false">B3399*1000+C3399</f>
        <v>51056</v>
      </c>
      <c r="B3399" s="0" t="n">
        <v>51</v>
      </c>
      <c r="C3399" s="0" t="n">
        <v>56</v>
      </c>
      <c r="D3399" s="0" t="n">
        <v>0</v>
      </c>
      <c r="E3399" s="0" t="n">
        <f aca="false">VLOOKUP(B3399,'MSA-Lookup'!$H$2:$I$86,2)</f>
        <v>7400</v>
      </c>
      <c r="F3399" s="0" t="n">
        <f aca="false">IF(C3399&gt;1,IF(C3399&lt;99,VLOOKUP(C3399,'MSA-Lookup'!$H$1:$I$86,2),C3399),C3399)</f>
        <v>4480</v>
      </c>
      <c r="G3399" s="0" t="n">
        <f aca="false">VLOOKUP(E3399,'MSA-Lookup'!$AA$1:$AB$25,2)</f>
        <v>7362</v>
      </c>
      <c r="H3399" s="0" t="n">
        <f aca="false">IF(C3399&gt;1,IF(C3399&lt;99,VLOOKUP(F3399,'MSA-Lookup'!$AA$1:$AB$25,2),C3399),C3399)</f>
        <v>4472</v>
      </c>
    </row>
    <row r="3400" customFormat="false" ht="12.75" hidden="false" customHeight="false" outlineLevel="0" collapsed="false">
      <c r="A3400" s="0" t="n">
        <f aca="false">B3400*1000+C3400</f>
        <v>51057</v>
      </c>
      <c r="B3400" s="0" t="n">
        <v>51</v>
      </c>
      <c r="C3400" s="0" t="n">
        <v>57</v>
      </c>
      <c r="D3400" s="0" t="n">
        <v>0</v>
      </c>
      <c r="E3400" s="0" t="n">
        <f aca="false">VLOOKUP(B3400,'MSA-Lookup'!$H$2:$I$86,2)</f>
        <v>7400</v>
      </c>
      <c r="F3400" s="0" t="n">
        <f aca="false">IF(C3400&gt;1,IF(C3400&lt;99,VLOOKUP(C3400,'MSA-Lookup'!$H$1:$I$86,2),C3400),C3400)</f>
        <v>4480</v>
      </c>
      <c r="G3400" s="0" t="n">
        <f aca="false">VLOOKUP(E3400,'MSA-Lookup'!$AA$1:$AB$25,2)</f>
        <v>7362</v>
      </c>
      <c r="H3400" s="0" t="n">
        <f aca="false">IF(C3400&gt;1,IF(C3400&lt;99,VLOOKUP(F3400,'MSA-Lookup'!$AA$1:$AB$25,2),C3400),C3400)</f>
        <v>4472</v>
      </c>
    </row>
    <row r="3401" customFormat="false" ht="12.75" hidden="false" customHeight="false" outlineLevel="0" collapsed="false">
      <c r="A3401" s="0" t="n">
        <f aca="false">B3401*1000+C3401</f>
        <v>51058</v>
      </c>
      <c r="B3401" s="0" t="n">
        <v>51</v>
      </c>
      <c r="C3401" s="0" t="n">
        <v>58</v>
      </c>
      <c r="D3401" s="0" t="n">
        <v>0</v>
      </c>
      <c r="E3401" s="0" t="n">
        <f aca="false">VLOOKUP(B3401,'MSA-Lookup'!$H$2:$I$86,2)</f>
        <v>7400</v>
      </c>
      <c r="F3401" s="0" t="n">
        <f aca="false">IF(C3401&gt;1,IF(C3401&lt;99,VLOOKUP(C3401,'MSA-Lookup'!$H$1:$I$86,2),C3401),C3401)</f>
        <v>4480</v>
      </c>
      <c r="G3401" s="0" t="n">
        <f aca="false">VLOOKUP(E3401,'MSA-Lookup'!$AA$1:$AB$25,2)</f>
        <v>7362</v>
      </c>
      <c r="H3401" s="0" t="n">
        <f aca="false">IF(C3401&gt;1,IF(C3401&lt;99,VLOOKUP(F3401,'MSA-Lookup'!$AA$1:$AB$25,2),C3401),C3401)</f>
        <v>4472</v>
      </c>
    </row>
    <row r="3402" customFormat="false" ht="12.75" hidden="false" customHeight="false" outlineLevel="0" collapsed="false">
      <c r="A3402" s="0" t="n">
        <f aca="false">B3402*1000+C3402</f>
        <v>51059</v>
      </c>
      <c r="B3402" s="0" t="n">
        <v>51</v>
      </c>
      <c r="C3402" s="0" t="n">
        <v>59</v>
      </c>
      <c r="D3402" s="0" t="n">
        <v>0</v>
      </c>
      <c r="E3402" s="0" t="n">
        <f aca="false">VLOOKUP(B3402,'MSA-Lookup'!$H$2:$I$86,2)</f>
        <v>7400</v>
      </c>
      <c r="F3402" s="0" t="n">
        <f aca="false">IF(C3402&gt;1,IF(C3402&lt;99,VLOOKUP(C3402,'MSA-Lookup'!$H$1:$I$86,2),C3402),C3402)</f>
        <v>4480</v>
      </c>
      <c r="G3402" s="0" t="n">
        <f aca="false">VLOOKUP(E3402,'MSA-Lookup'!$AA$1:$AB$25,2)</f>
        <v>7362</v>
      </c>
      <c r="H3402" s="0" t="n">
        <f aca="false">IF(C3402&gt;1,IF(C3402&lt;99,VLOOKUP(F3402,'MSA-Lookup'!$AA$1:$AB$25,2),C3402),C3402)</f>
        <v>4472</v>
      </c>
    </row>
    <row r="3403" customFormat="false" ht="12.75" hidden="false" customHeight="false" outlineLevel="0" collapsed="false">
      <c r="A3403" s="0" t="n">
        <f aca="false">B3403*1000+C3403</f>
        <v>51060</v>
      </c>
      <c r="B3403" s="0" t="n">
        <v>51</v>
      </c>
      <c r="C3403" s="0" t="n">
        <v>60</v>
      </c>
      <c r="D3403" s="0" t="n">
        <v>0</v>
      </c>
      <c r="E3403" s="0" t="n">
        <f aca="false">VLOOKUP(B3403,'MSA-Lookup'!$H$2:$I$86,2)</f>
        <v>7400</v>
      </c>
      <c r="F3403" s="0" t="n">
        <f aca="false">IF(C3403&gt;1,IF(C3403&lt;99,VLOOKUP(C3403,'MSA-Lookup'!$H$1:$I$86,2),C3403),C3403)</f>
        <v>4480</v>
      </c>
      <c r="G3403" s="0" t="n">
        <f aca="false">VLOOKUP(E3403,'MSA-Lookup'!$AA$1:$AB$25,2)</f>
        <v>7362</v>
      </c>
      <c r="H3403" s="0" t="n">
        <f aca="false">IF(C3403&gt;1,IF(C3403&lt;99,VLOOKUP(F3403,'MSA-Lookup'!$AA$1:$AB$25,2),C3403),C3403)</f>
        <v>4472</v>
      </c>
    </row>
    <row r="3404" customFormat="false" ht="12.75" hidden="false" customHeight="false" outlineLevel="0" collapsed="false">
      <c r="A3404" s="0" t="n">
        <f aca="false">B3404*1000+C3404</f>
        <v>51061</v>
      </c>
      <c r="B3404" s="0" t="n">
        <v>51</v>
      </c>
      <c r="C3404" s="0" t="n">
        <v>61</v>
      </c>
      <c r="D3404" s="0" t="n">
        <v>0</v>
      </c>
      <c r="E3404" s="0" t="n">
        <f aca="false">VLOOKUP(B3404,'MSA-Lookup'!$H$2:$I$86,2)</f>
        <v>7400</v>
      </c>
      <c r="F3404" s="0" t="n">
        <f aca="false">IF(C3404&gt;1,IF(C3404&lt;99,VLOOKUP(C3404,'MSA-Lookup'!$H$1:$I$86,2),C3404),C3404)</f>
        <v>4480</v>
      </c>
      <c r="G3404" s="0" t="n">
        <f aca="false">VLOOKUP(E3404,'MSA-Lookup'!$AA$1:$AB$25,2)</f>
        <v>7362</v>
      </c>
      <c r="H3404" s="0" t="n">
        <f aca="false">IF(C3404&gt;1,IF(C3404&lt;99,VLOOKUP(F3404,'MSA-Lookup'!$AA$1:$AB$25,2),C3404),C3404)</f>
        <v>4472</v>
      </c>
    </row>
    <row r="3405" customFormat="false" ht="12.75" hidden="false" customHeight="false" outlineLevel="0" collapsed="false">
      <c r="A3405" s="0" t="n">
        <f aca="false">B3405*1000+C3405</f>
        <v>51062</v>
      </c>
      <c r="B3405" s="0" t="n">
        <v>51</v>
      </c>
      <c r="C3405" s="0" t="n">
        <v>62</v>
      </c>
      <c r="D3405" s="0" t="n">
        <v>0</v>
      </c>
      <c r="E3405" s="0" t="n">
        <f aca="false">VLOOKUP(B3405,'MSA-Lookup'!$H$2:$I$86,2)</f>
        <v>7400</v>
      </c>
      <c r="F3405" s="0" t="n">
        <f aca="false">IF(C3405&gt;1,IF(C3405&lt;99,VLOOKUP(C3405,'MSA-Lookup'!$H$1:$I$86,2),C3405),C3405)</f>
        <v>4480</v>
      </c>
      <c r="G3405" s="0" t="n">
        <f aca="false">VLOOKUP(E3405,'MSA-Lookup'!$AA$1:$AB$25,2)</f>
        <v>7362</v>
      </c>
      <c r="H3405" s="0" t="n">
        <f aca="false">IF(C3405&gt;1,IF(C3405&lt;99,VLOOKUP(F3405,'MSA-Lookup'!$AA$1:$AB$25,2),C3405),C3405)</f>
        <v>4472</v>
      </c>
    </row>
    <row r="3406" customFormat="false" ht="12.75" hidden="false" customHeight="false" outlineLevel="0" collapsed="false">
      <c r="A3406" s="0" t="n">
        <f aca="false">B3406*1000+C3406</f>
        <v>51063</v>
      </c>
      <c r="B3406" s="0" t="n">
        <v>51</v>
      </c>
      <c r="C3406" s="0" t="n">
        <v>63</v>
      </c>
      <c r="D3406" s="0" t="n">
        <v>0</v>
      </c>
      <c r="E3406" s="0" t="n">
        <f aca="false">VLOOKUP(B3406,'MSA-Lookup'!$H$2:$I$86,2)</f>
        <v>7400</v>
      </c>
      <c r="F3406" s="0" t="n">
        <f aca="false">IF(C3406&gt;1,IF(C3406&lt;99,VLOOKUP(C3406,'MSA-Lookup'!$H$1:$I$86,2),C3406),C3406)</f>
        <v>4480</v>
      </c>
      <c r="G3406" s="0" t="n">
        <f aca="false">VLOOKUP(E3406,'MSA-Lookup'!$AA$1:$AB$25,2)</f>
        <v>7362</v>
      </c>
      <c r="H3406" s="0" t="n">
        <f aca="false">IF(C3406&gt;1,IF(C3406&lt;99,VLOOKUP(F3406,'MSA-Lookup'!$AA$1:$AB$25,2),C3406),C3406)</f>
        <v>4472</v>
      </c>
    </row>
    <row r="3407" customFormat="false" ht="12.75" hidden="false" customHeight="false" outlineLevel="0" collapsed="false">
      <c r="A3407" s="0" t="n">
        <f aca="false">B3407*1000+C3407</f>
        <v>51064</v>
      </c>
      <c r="B3407" s="0" t="n">
        <v>51</v>
      </c>
      <c r="C3407" s="0" t="n">
        <v>64</v>
      </c>
      <c r="D3407" s="0" t="n">
        <v>0</v>
      </c>
      <c r="E3407" s="0" t="n">
        <f aca="false">VLOOKUP(B3407,'MSA-Lookup'!$H$2:$I$86,2)</f>
        <v>7400</v>
      </c>
      <c r="F3407" s="0" t="n">
        <f aca="false">IF(C3407&gt;1,IF(C3407&lt;99,VLOOKUP(C3407,'MSA-Lookup'!$H$1:$I$86,2),C3407),C3407)</f>
        <v>4480</v>
      </c>
      <c r="G3407" s="0" t="n">
        <f aca="false">VLOOKUP(E3407,'MSA-Lookup'!$AA$1:$AB$25,2)</f>
        <v>7362</v>
      </c>
      <c r="H3407" s="0" t="n">
        <f aca="false">IF(C3407&gt;1,IF(C3407&lt;99,VLOOKUP(F3407,'MSA-Lookup'!$AA$1:$AB$25,2),C3407),C3407)</f>
        <v>4472</v>
      </c>
    </row>
    <row r="3408" customFormat="false" ht="12.75" hidden="false" customHeight="false" outlineLevel="0" collapsed="false">
      <c r="A3408" s="0" t="n">
        <f aca="false">B3408*1000+C3408</f>
        <v>51065</v>
      </c>
      <c r="B3408" s="0" t="n">
        <v>51</v>
      </c>
      <c r="C3408" s="0" t="n">
        <v>65</v>
      </c>
      <c r="D3408" s="0" t="n">
        <v>234</v>
      </c>
      <c r="E3408" s="0" t="n">
        <f aca="false">VLOOKUP(B3408,'MSA-Lookup'!$H$2:$I$86,2)</f>
        <v>7400</v>
      </c>
      <c r="F3408" s="0" t="n">
        <f aca="false">IF(C3408&gt;1,IF(C3408&lt;99,VLOOKUP(C3408,'MSA-Lookup'!$H$1:$I$86,2),C3408),C3408)</f>
        <v>4480</v>
      </c>
      <c r="G3408" s="0" t="n">
        <f aca="false">VLOOKUP(E3408,'MSA-Lookup'!$AA$1:$AB$25,2)</f>
        <v>7362</v>
      </c>
      <c r="H3408" s="0" t="n">
        <f aca="false">IF(C3408&gt;1,IF(C3408&lt;99,VLOOKUP(F3408,'MSA-Lookup'!$AA$1:$AB$25,2),C3408),C3408)</f>
        <v>4472</v>
      </c>
    </row>
    <row r="3409" customFormat="false" ht="12.75" hidden="false" customHeight="false" outlineLevel="0" collapsed="false">
      <c r="A3409" s="0" t="n">
        <f aca="false">B3409*1000+C3409</f>
        <v>51066</v>
      </c>
      <c r="B3409" s="0" t="n">
        <v>51</v>
      </c>
      <c r="C3409" s="0" t="n">
        <v>66</v>
      </c>
      <c r="D3409" s="0" t="n">
        <v>0</v>
      </c>
      <c r="E3409" s="0" t="n">
        <f aca="false">VLOOKUP(B3409,'MSA-Lookup'!$H$2:$I$86,2)</f>
        <v>7400</v>
      </c>
      <c r="F3409" s="0" t="n">
        <f aca="false">IF(C3409&gt;1,IF(C3409&lt;99,VLOOKUP(C3409,'MSA-Lookup'!$H$1:$I$86,2),C3409),C3409)</f>
        <v>4480</v>
      </c>
      <c r="G3409" s="0" t="n">
        <f aca="false">VLOOKUP(E3409,'MSA-Lookup'!$AA$1:$AB$25,2)</f>
        <v>7362</v>
      </c>
      <c r="H3409" s="0" t="n">
        <f aca="false">IF(C3409&gt;1,IF(C3409&lt;99,VLOOKUP(F3409,'MSA-Lookup'!$AA$1:$AB$25,2),C3409),C3409)</f>
        <v>4472</v>
      </c>
    </row>
    <row r="3410" customFormat="false" ht="12.75" hidden="false" customHeight="false" outlineLevel="0" collapsed="false">
      <c r="A3410" s="0" t="n">
        <f aca="false">B3410*1000+C3410</f>
        <v>51067</v>
      </c>
      <c r="B3410" s="0" t="n">
        <v>51</v>
      </c>
      <c r="C3410" s="0" t="n">
        <v>67</v>
      </c>
      <c r="D3410" s="0" t="n">
        <v>0</v>
      </c>
      <c r="E3410" s="0" t="n">
        <f aca="false">VLOOKUP(B3410,'MSA-Lookup'!$H$2:$I$86,2)</f>
        <v>7400</v>
      </c>
      <c r="F3410" s="0" t="n">
        <f aca="false">IF(C3410&gt;1,IF(C3410&lt;99,VLOOKUP(C3410,'MSA-Lookup'!$H$1:$I$86,2),C3410),C3410)</f>
        <v>6000</v>
      </c>
      <c r="G3410" s="0" t="n">
        <f aca="false">VLOOKUP(E3410,'MSA-Lookup'!$AA$1:$AB$25,2)</f>
        <v>7362</v>
      </c>
      <c r="H3410" s="0" t="n">
        <f aca="false">IF(C3410&gt;1,IF(C3410&lt;99,VLOOKUP(F3410,'MSA-Lookup'!$AA$1:$AB$25,2),C3410),C3410)</f>
        <v>4472</v>
      </c>
    </row>
    <row r="3411" customFormat="false" ht="12.75" hidden="false" customHeight="false" outlineLevel="0" collapsed="false">
      <c r="A3411" s="0" t="n">
        <f aca="false">B3411*1000+C3411</f>
        <v>51068</v>
      </c>
      <c r="B3411" s="0" t="n">
        <v>51</v>
      </c>
      <c r="C3411" s="0" t="n">
        <v>68</v>
      </c>
      <c r="D3411" s="0" t="n">
        <v>0</v>
      </c>
      <c r="E3411" s="0" t="n">
        <f aca="false">VLOOKUP(B3411,'MSA-Lookup'!$H$2:$I$86,2)</f>
        <v>7400</v>
      </c>
      <c r="F3411" s="0" t="n">
        <f aca="false">IF(C3411&gt;1,IF(C3411&lt;99,VLOOKUP(C3411,'MSA-Lookup'!$H$1:$I$86,2),C3411),C3411)</f>
        <v>6780</v>
      </c>
      <c r="G3411" s="0" t="n">
        <f aca="false">VLOOKUP(E3411,'MSA-Lookup'!$AA$1:$AB$25,2)</f>
        <v>7362</v>
      </c>
      <c r="H3411" s="0" t="n">
        <f aca="false">IF(C3411&gt;1,IF(C3411&lt;99,VLOOKUP(F3411,'MSA-Lookup'!$AA$1:$AB$25,2),C3411),C3411)</f>
        <v>4472</v>
      </c>
    </row>
    <row r="3412" customFormat="false" ht="12.75" hidden="false" customHeight="false" outlineLevel="0" collapsed="false">
      <c r="A3412" s="0" t="n">
        <f aca="false">B3412*1000+C3412</f>
        <v>51069</v>
      </c>
      <c r="B3412" s="0" t="n">
        <v>51</v>
      </c>
      <c r="C3412" s="0" t="n">
        <v>69</v>
      </c>
      <c r="D3412" s="0" t="n">
        <v>0</v>
      </c>
      <c r="E3412" s="0" t="n">
        <f aca="false">VLOOKUP(B3412,'MSA-Lookup'!$H$2:$I$86,2)</f>
        <v>7400</v>
      </c>
      <c r="F3412" s="0" t="n">
        <f aca="false">IF(C3412&gt;1,IF(C3412&lt;99,VLOOKUP(C3412,'MSA-Lookup'!$H$1:$I$86,2),C3412),C3412)</f>
        <v>6780</v>
      </c>
      <c r="G3412" s="0" t="n">
        <f aca="false">VLOOKUP(E3412,'MSA-Lookup'!$AA$1:$AB$25,2)</f>
        <v>7362</v>
      </c>
      <c r="H3412" s="0" t="n">
        <f aca="false">IF(C3412&gt;1,IF(C3412&lt;99,VLOOKUP(F3412,'MSA-Lookup'!$AA$1:$AB$25,2),C3412),C3412)</f>
        <v>4472</v>
      </c>
    </row>
    <row r="3413" customFormat="false" ht="12.75" hidden="false" customHeight="false" outlineLevel="0" collapsed="false">
      <c r="A3413" s="0" t="n">
        <f aca="false">B3413*1000+C3413</f>
        <v>51070</v>
      </c>
      <c r="B3413" s="0" t="n">
        <v>51</v>
      </c>
      <c r="C3413" s="0" t="n">
        <v>70</v>
      </c>
      <c r="D3413" s="0" t="n">
        <v>0</v>
      </c>
      <c r="E3413" s="0" t="n">
        <f aca="false">VLOOKUP(B3413,'MSA-Lookup'!$H$2:$I$86,2)</f>
        <v>7400</v>
      </c>
      <c r="F3413" s="0" t="n">
        <f aca="false">IF(C3413&gt;1,IF(C3413&lt;99,VLOOKUP(C3413,'MSA-Lookup'!$H$1:$I$86,2),C3413),C3413)</f>
        <v>6780</v>
      </c>
      <c r="G3413" s="0" t="n">
        <f aca="false">VLOOKUP(E3413,'MSA-Lookup'!$AA$1:$AB$25,2)</f>
        <v>7362</v>
      </c>
      <c r="H3413" s="0" t="n">
        <f aca="false">IF(C3413&gt;1,IF(C3413&lt;99,VLOOKUP(F3413,'MSA-Lookup'!$AA$1:$AB$25,2),C3413),C3413)</f>
        <v>4472</v>
      </c>
    </row>
    <row r="3414" customFormat="false" ht="12.75" hidden="false" customHeight="false" outlineLevel="0" collapsed="false">
      <c r="A3414" s="0" t="n">
        <f aca="false">B3414*1000+C3414</f>
        <v>51071</v>
      </c>
      <c r="B3414" s="0" t="n">
        <v>51</v>
      </c>
      <c r="C3414" s="0" t="n">
        <v>71</v>
      </c>
      <c r="D3414" s="0" t="n">
        <v>0</v>
      </c>
      <c r="E3414" s="0" t="n">
        <f aca="false">VLOOKUP(B3414,'MSA-Lookup'!$H$2:$I$86,2)</f>
        <v>7400</v>
      </c>
      <c r="F3414" s="0" t="n">
        <f aca="false">IF(C3414&gt;1,IF(C3414&lt;99,VLOOKUP(C3414,'MSA-Lookup'!$H$1:$I$86,2),C3414),C3414)</f>
        <v>6780</v>
      </c>
      <c r="G3414" s="0" t="n">
        <f aca="false">VLOOKUP(E3414,'MSA-Lookup'!$AA$1:$AB$25,2)</f>
        <v>7362</v>
      </c>
      <c r="H3414" s="0" t="n">
        <f aca="false">IF(C3414&gt;1,IF(C3414&lt;99,VLOOKUP(F3414,'MSA-Lookup'!$AA$1:$AB$25,2),C3414),C3414)</f>
        <v>4472</v>
      </c>
    </row>
    <row r="3415" customFormat="false" ht="12.75" hidden="false" customHeight="false" outlineLevel="0" collapsed="false">
      <c r="A3415" s="0" t="n">
        <f aca="false">B3415*1000+C3415</f>
        <v>51072</v>
      </c>
      <c r="B3415" s="0" t="n">
        <v>51</v>
      </c>
      <c r="C3415" s="0" t="n">
        <v>72</v>
      </c>
      <c r="D3415" s="0" t="n">
        <v>0</v>
      </c>
      <c r="E3415" s="0" t="n">
        <f aca="false">VLOOKUP(B3415,'MSA-Lookup'!$H$2:$I$86,2)</f>
        <v>7400</v>
      </c>
      <c r="F3415" s="0" t="n">
        <f aca="false">IF(C3415&gt;1,IF(C3415&lt;99,VLOOKUP(C3415,'MSA-Lookup'!$H$1:$I$86,2),C3415),C3415)</f>
        <v>6780</v>
      </c>
      <c r="G3415" s="0" t="n">
        <f aca="false">VLOOKUP(E3415,'MSA-Lookup'!$AA$1:$AB$25,2)</f>
        <v>7362</v>
      </c>
      <c r="H3415" s="0" t="n">
        <f aca="false">IF(C3415&gt;1,IF(C3415&lt;99,VLOOKUP(F3415,'MSA-Lookup'!$AA$1:$AB$25,2),C3415),C3415)</f>
        <v>4472</v>
      </c>
    </row>
    <row r="3416" customFormat="false" ht="12.75" hidden="false" customHeight="false" outlineLevel="0" collapsed="false">
      <c r="A3416" s="0" t="n">
        <f aca="false">B3416*1000+C3416</f>
        <v>51073</v>
      </c>
      <c r="B3416" s="0" t="n">
        <v>51</v>
      </c>
      <c r="C3416" s="0" t="n">
        <v>73</v>
      </c>
      <c r="D3416" s="0" t="n">
        <v>130</v>
      </c>
      <c r="E3416" s="0" t="n">
        <f aca="false">VLOOKUP(B3416,'MSA-Lookup'!$H$2:$I$86,2)</f>
        <v>7400</v>
      </c>
      <c r="F3416" s="0" t="n">
        <f aca="false">IF(C3416&gt;1,IF(C3416&lt;99,VLOOKUP(C3416,'MSA-Lookup'!$H$1:$I$86,2),C3416),C3416)</f>
        <v>8720</v>
      </c>
      <c r="G3416" s="0" t="n">
        <f aca="false">VLOOKUP(E3416,'MSA-Lookup'!$AA$1:$AB$25,2)</f>
        <v>7362</v>
      </c>
      <c r="H3416" s="0" t="n">
        <f aca="false">IF(C3416&gt;1,IF(C3416&lt;99,VLOOKUP(F3416,'MSA-Lookup'!$AA$1:$AB$25,2),C3416),C3416)</f>
        <v>7362</v>
      </c>
    </row>
    <row r="3417" customFormat="false" ht="12.75" hidden="false" customHeight="false" outlineLevel="0" collapsed="false">
      <c r="A3417" s="0" t="n">
        <f aca="false">B3417*1000+C3417</f>
        <v>51075</v>
      </c>
      <c r="B3417" s="0" t="n">
        <v>51</v>
      </c>
      <c r="C3417" s="0" t="n">
        <v>75</v>
      </c>
      <c r="D3417" s="0" t="n">
        <v>0</v>
      </c>
      <c r="E3417" s="0" t="n">
        <f aca="false">VLOOKUP(B3417,'MSA-Lookup'!$H$2:$I$86,2)</f>
        <v>7400</v>
      </c>
      <c r="F3417" s="0" t="n">
        <f aca="false">IF(C3417&gt;1,IF(C3417&lt;99,VLOOKUP(C3417,'MSA-Lookup'!$H$1:$I$86,2),C3417),C3417)</f>
        <v>8780</v>
      </c>
      <c r="G3417" s="0" t="n">
        <f aca="false">VLOOKUP(E3417,'MSA-Lookup'!$AA$1:$AB$25,2)</f>
        <v>7362</v>
      </c>
      <c r="H3417" s="0" t="n">
        <f aca="false">IF(C3417&gt;1,IF(C3417&lt;99,VLOOKUP(F3417,'MSA-Lookup'!$AA$1:$AB$25,2),C3417),C3417)</f>
        <v>8780</v>
      </c>
    </row>
    <row r="3418" customFormat="false" ht="12.75" hidden="false" customHeight="false" outlineLevel="0" collapsed="false">
      <c r="A3418" s="0" t="n">
        <f aca="false">B3418*1000+C3418</f>
        <v>51076</v>
      </c>
      <c r="B3418" s="0" t="n">
        <v>51</v>
      </c>
      <c r="C3418" s="0" t="n">
        <v>76</v>
      </c>
      <c r="D3418" s="0" t="n">
        <v>2470</v>
      </c>
      <c r="E3418" s="0" t="n">
        <f aca="false">VLOOKUP(B3418,'MSA-Lookup'!$H$2:$I$86,2)</f>
        <v>7400</v>
      </c>
      <c r="F3418" s="0" t="n">
        <f aca="false">IF(C3418&gt;1,IF(C3418&lt;99,VLOOKUP(C3418,'MSA-Lookup'!$H$1:$I$86,2),C3418),C3418)</f>
        <v>7485</v>
      </c>
      <c r="G3418" s="0" t="n">
        <f aca="false">VLOOKUP(E3418,'MSA-Lookup'!$AA$1:$AB$25,2)</f>
        <v>7362</v>
      </c>
      <c r="H3418" s="0" t="n">
        <f aca="false">IF(C3418&gt;1,IF(C3418&lt;99,VLOOKUP(F3418,'MSA-Lookup'!$AA$1:$AB$25,2),C3418),C3418)</f>
        <v>7362</v>
      </c>
    </row>
    <row r="3419" customFormat="false" ht="12.75" hidden="false" customHeight="false" outlineLevel="0" collapsed="false">
      <c r="A3419" s="0" t="n">
        <f aca="false">B3419*1000+C3419</f>
        <v>51077</v>
      </c>
      <c r="B3419" s="0" t="n">
        <v>51</v>
      </c>
      <c r="C3419" s="0" t="n">
        <v>77</v>
      </c>
      <c r="D3419" s="0" t="n">
        <v>0</v>
      </c>
      <c r="E3419" s="0" t="n">
        <f aca="false">VLOOKUP(B3419,'MSA-Lookup'!$H$2:$I$86,2)</f>
        <v>7400</v>
      </c>
      <c r="F3419" s="0" t="n">
        <f aca="false">IF(C3419&gt;1,IF(C3419&lt;99,VLOOKUP(C3419,'MSA-Lookup'!$H$1:$I$86,2),C3419),C3419)</f>
        <v>9999</v>
      </c>
      <c r="G3419" s="0" t="n">
        <f aca="false">VLOOKUP(E3419,'MSA-Lookup'!$AA$1:$AB$25,2)</f>
        <v>7362</v>
      </c>
      <c r="H3419" s="0" t="n">
        <f aca="false">IF(C3419&gt;1,IF(C3419&lt;99,VLOOKUP(F3419,'MSA-Lookup'!$AA$1:$AB$25,2),C3419),C3419)</f>
        <v>9999</v>
      </c>
    </row>
    <row r="3420" customFormat="false" ht="12.75" hidden="false" customHeight="false" outlineLevel="0" collapsed="false">
      <c r="A3420" s="0" t="n">
        <f aca="false">B3420*1000+C3420</f>
        <v>51078</v>
      </c>
      <c r="B3420" s="0" t="n">
        <v>51</v>
      </c>
      <c r="C3420" s="0" t="n">
        <v>78</v>
      </c>
      <c r="D3420" s="0" t="n">
        <v>0</v>
      </c>
      <c r="E3420" s="0" t="n">
        <f aca="false">VLOOKUP(B3420,'MSA-Lookup'!$H$2:$I$86,2)</f>
        <v>7400</v>
      </c>
      <c r="F3420" s="0" t="n">
        <f aca="false">IF(C3420&gt;1,IF(C3420&lt;99,VLOOKUP(C3420,'MSA-Lookup'!$H$1:$I$86,2),C3420),C3420)</f>
        <v>680</v>
      </c>
      <c r="G3420" s="0" t="n">
        <f aca="false">VLOOKUP(E3420,'MSA-Lookup'!$AA$1:$AB$25,2)</f>
        <v>7362</v>
      </c>
      <c r="H3420" s="0" t="n">
        <f aca="false">IF(C3420&gt;1,IF(C3420&lt;99,VLOOKUP(F3420,'MSA-Lookup'!$AA$1:$AB$25,2),C3420),C3420)</f>
        <v>680</v>
      </c>
    </row>
    <row r="3421" customFormat="false" ht="12.75" hidden="false" customHeight="false" outlineLevel="0" collapsed="false">
      <c r="A3421" s="0" t="n">
        <f aca="false">B3421*1000+C3421</f>
        <v>51079</v>
      </c>
      <c r="B3421" s="0" t="n">
        <v>51</v>
      </c>
      <c r="C3421" s="0" t="n">
        <v>79</v>
      </c>
      <c r="D3421" s="0" t="n">
        <v>0</v>
      </c>
      <c r="E3421" s="0" t="n">
        <f aca="false">VLOOKUP(B3421,'MSA-Lookup'!$H$2:$I$86,2)</f>
        <v>7400</v>
      </c>
      <c r="F3421" s="0" t="n">
        <f aca="false">IF(C3421&gt;1,IF(C3421&lt;99,VLOOKUP(C3421,'MSA-Lookup'!$H$1:$I$86,2),C3421),C3421)</f>
        <v>680</v>
      </c>
      <c r="G3421" s="0" t="n">
        <f aca="false">VLOOKUP(E3421,'MSA-Lookup'!$AA$1:$AB$25,2)</f>
        <v>7362</v>
      </c>
      <c r="H3421" s="0" t="n">
        <f aca="false">IF(C3421&gt;1,IF(C3421&lt;99,VLOOKUP(F3421,'MSA-Lookup'!$AA$1:$AB$25,2),C3421),C3421)</f>
        <v>680</v>
      </c>
    </row>
    <row r="3422" customFormat="false" ht="12.75" hidden="false" customHeight="false" outlineLevel="0" collapsed="false">
      <c r="A3422" s="0" t="n">
        <f aca="false">B3422*1000+C3422</f>
        <v>51080</v>
      </c>
      <c r="B3422" s="0" t="n">
        <v>51</v>
      </c>
      <c r="C3422" s="0" t="n">
        <v>80</v>
      </c>
      <c r="D3422" s="0" t="n">
        <v>0</v>
      </c>
      <c r="E3422" s="0" t="n">
        <f aca="false">VLOOKUP(B3422,'MSA-Lookup'!$H$2:$I$86,2)</f>
        <v>7400</v>
      </c>
      <c r="F3422" s="0" t="n">
        <f aca="false">IF(C3422&gt;1,IF(C3422&lt;99,VLOOKUP(C3422,'MSA-Lookup'!$H$1:$I$86,2),C3422),C3422)</f>
        <v>9999</v>
      </c>
      <c r="G3422" s="0" t="n">
        <f aca="false">VLOOKUP(E3422,'MSA-Lookup'!$AA$1:$AB$25,2)</f>
        <v>7362</v>
      </c>
      <c r="H3422" s="0" t="n">
        <f aca="false">IF(C3422&gt;1,IF(C3422&lt;99,VLOOKUP(F3422,'MSA-Lookup'!$AA$1:$AB$25,2),C3422),C3422)</f>
        <v>9999</v>
      </c>
    </row>
    <row r="3423" customFormat="false" ht="12.75" hidden="false" customHeight="false" outlineLevel="0" collapsed="false">
      <c r="A3423" s="0" t="n">
        <f aca="false">B3423*1000+C3423</f>
        <v>51081</v>
      </c>
      <c r="B3423" s="0" t="n">
        <v>51</v>
      </c>
      <c r="C3423" s="0" t="n">
        <v>81</v>
      </c>
      <c r="D3423" s="0" t="n">
        <v>0</v>
      </c>
      <c r="E3423" s="0" t="n">
        <f aca="false">VLOOKUP(B3423,'MSA-Lookup'!$H$2:$I$86,2)</f>
        <v>7400</v>
      </c>
      <c r="F3423" s="0" t="n">
        <f aca="false">IF(C3423&gt;1,IF(C3423&lt;99,VLOOKUP(C3423,'MSA-Lookup'!$H$1:$I$86,2),C3423),C3423)</f>
        <v>6780</v>
      </c>
      <c r="G3423" s="0" t="n">
        <f aca="false">VLOOKUP(E3423,'MSA-Lookup'!$AA$1:$AB$25,2)</f>
        <v>7362</v>
      </c>
      <c r="H3423" s="0" t="n">
        <f aca="false">IF(C3423&gt;1,IF(C3423&lt;99,VLOOKUP(F3423,'MSA-Lookup'!$AA$1:$AB$25,2),C3423),C3423)</f>
        <v>4472</v>
      </c>
    </row>
    <row r="3424" customFormat="false" ht="12.75" hidden="false" customHeight="false" outlineLevel="0" collapsed="false">
      <c r="A3424" s="0" t="n">
        <f aca="false">B3424*1000+C3424</f>
        <v>51082</v>
      </c>
      <c r="B3424" s="0" t="n">
        <v>51</v>
      </c>
      <c r="C3424" s="0" t="n">
        <v>82</v>
      </c>
      <c r="D3424" s="0" t="n">
        <v>0</v>
      </c>
      <c r="E3424" s="0" t="n">
        <f aca="false">VLOOKUP(B3424,'MSA-Lookup'!$H$2:$I$86,2)</f>
        <v>7400</v>
      </c>
      <c r="F3424" s="0" t="n">
        <f aca="false">IF(C3424&gt;1,IF(C3424&lt;99,VLOOKUP(C3424,'MSA-Lookup'!$H$1:$I$86,2),C3424),C3424)</f>
        <v>6780</v>
      </c>
      <c r="G3424" s="0" t="n">
        <f aca="false">VLOOKUP(E3424,'MSA-Lookup'!$AA$1:$AB$25,2)</f>
        <v>7362</v>
      </c>
      <c r="H3424" s="0" t="n">
        <f aca="false">IF(C3424&gt;1,IF(C3424&lt;99,VLOOKUP(F3424,'MSA-Lookup'!$AA$1:$AB$25,2),C3424),C3424)</f>
        <v>4472</v>
      </c>
    </row>
    <row r="3425" customFormat="false" ht="12.75" hidden="false" customHeight="false" outlineLevel="0" collapsed="false">
      <c r="A3425" s="0" t="n">
        <f aca="false">B3425*1000+C3425</f>
        <v>51083</v>
      </c>
      <c r="B3425" s="0" t="n">
        <v>51</v>
      </c>
      <c r="C3425" s="0" t="n">
        <v>83</v>
      </c>
      <c r="D3425" s="0" t="n">
        <v>0</v>
      </c>
      <c r="E3425" s="0" t="n">
        <f aca="false">VLOOKUP(B3425,'MSA-Lookup'!$H$2:$I$86,2)</f>
        <v>7400</v>
      </c>
      <c r="F3425" s="0" t="n">
        <f aca="false">IF(C3425&gt;1,IF(C3425&lt;99,VLOOKUP(C3425,'MSA-Lookup'!$H$1:$I$86,2),C3425),C3425)</f>
        <v>6000</v>
      </c>
      <c r="G3425" s="0" t="n">
        <f aca="false">VLOOKUP(E3425,'MSA-Lookup'!$AA$1:$AB$25,2)</f>
        <v>7362</v>
      </c>
      <c r="H3425" s="0" t="n">
        <f aca="false">IF(C3425&gt;1,IF(C3425&lt;99,VLOOKUP(F3425,'MSA-Lookup'!$AA$1:$AB$25,2),C3425),C3425)</f>
        <v>4472</v>
      </c>
    </row>
    <row r="3426" customFormat="false" ht="12.75" hidden="false" customHeight="false" outlineLevel="0" collapsed="false">
      <c r="A3426" s="0" t="n">
        <f aca="false">B3426*1000+C3426</f>
        <v>51084</v>
      </c>
      <c r="B3426" s="0" t="n">
        <v>51</v>
      </c>
      <c r="C3426" s="0" t="n">
        <v>84</v>
      </c>
      <c r="D3426" s="0" t="n">
        <v>0</v>
      </c>
      <c r="E3426" s="0" t="n">
        <f aca="false">VLOOKUP(B3426,'MSA-Lookup'!$H$2:$I$86,2)</f>
        <v>7400</v>
      </c>
      <c r="F3426" s="0" t="n">
        <f aca="false">IF(C3426&gt;1,IF(C3426&lt;99,VLOOKUP(C3426,'MSA-Lookup'!$H$1:$I$86,2),C3426),C3426)</f>
        <v>360</v>
      </c>
      <c r="G3426" s="0" t="n">
        <f aca="false">VLOOKUP(E3426,'MSA-Lookup'!$AA$1:$AB$25,2)</f>
        <v>7362</v>
      </c>
      <c r="H3426" s="0" t="n">
        <f aca="false">IF(C3426&gt;1,IF(C3426&lt;99,VLOOKUP(F3426,'MSA-Lookup'!$AA$1:$AB$25,2),C3426),C3426)</f>
        <v>4472</v>
      </c>
    </row>
    <row r="3427" customFormat="false" ht="12.75" hidden="false" customHeight="false" outlineLevel="0" collapsed="false">
      <c r="A3427" s="0" t="n">
        <f aca="false">B3427*1000+C3427</f>
        <v>51085</v>
      </c>
      <c r="B3427" s="0" t="n">
        <v>51</v>
      </c>
      <c r="C3427" s="0" t="n">
        <v>85</v>
      </c>
      <c r="D3427" s="0" t="n">
        <v>559</v>
      </c>
      <c r="E3427" s="0" t="n">
        <f aca="false">VLOOKUP(B3427,'MSA-Lookup'!$H$2:$I$86,2)</f>
        <v>7400</v>
      </c>
      <c r="F3427" s="0" t="n">
        <f aca="false">IF(C3427&gt;1,IF(C3427&lt;99,VLOOKUP(C3427,'MSA-Lookup'!$H$1:$I$86,2),C3427),C3427)</f>
        <v>8120</v>
      </c>
      <c r="G3427" s="0" t="n">
        <f aca="false">VLOOKUP(E3427,'MSA-Lookup'!$AA$1:$AB$25,2)</f>
        <v>7362</v>
      </c>
      <c r="H3427" s="0" t="n">
        <f aca="false">IF(C3427&gt;1,IF(C3427&lt;99,VLOOKUP(F3427,'MSA-Lookup'!$AA$1:$AB$25,2),C3427),C3427)</f>
        <v>8120</v>
      </c>
    </row>
    <row r="3428" customFormat="false" ht="12.75" hidden="false" customHeight="false" outlineLevel="0" collapsed="false">
      <c r="A3428" s="0" t="n">
        <f aca="false">B3428*1000+C3428</f>
        <v>51858</v>
      </c>
      <c r="B3428" s="0" t="n">
        <v>51</v>
      </c>
      <c r="C3428" s="0" t="n">
        <v>858</v>
      </c>
      <c r="D3428" s="0" t="n">
        <v>0</v>
      </c>
      <c r="E3428" s="0" t="n">
        <f aca="false">VLOOKUP(B3428,'MSA-Lookup'!$H$2:$I$86,2)</f>
        <v>7400</v>
      </c>
      <c r="F3428" s="0" t="n">
        <f aca="false">IF(C3428&gt;1,IF(C3428&lt;99,VLOOKUP(C3428,'MSA-Lookup'!$H$1:$I$86,2),C3428),C3428)</f>
        <v>858</v>
      </c>
      <c r="G3428" s="0" t="n">
        <f aca="false">VLOOKUP(E3428,'MSA-Lookup'!$AA$1:$AB$25,2)</f>
        <v>7362</v>
      </c>
      <c r="H3428" s="0" t="n">
        <f aca="false">IF(C3428&gt;1,IF(C3428&lt;99,VLOOKUP(F3428,'MSA-Lookup'!$AA$1:$AB$25,2),C3428),C3428)</f>
        <v>858</v>
      </c>
    </row>
    <row r="3429" customFormat="false" ht="12.75" hidden="false" customHeight="false" outlineLevel="0" collapsed="false">
      <c r="A3429" s="0" t="n">
        <f aca="false">B3429*1000+C3429</f>
        <v>51983</v>
      </c>
      <c r="B3429" s="0" t="n">
        <v>51</v>
      </c>
      <c r="C3429" s="0" t="n">
        <v>983</v>
      </c>
      <c r="D3429" s="0" t="n">
        <v>0</v>
      </c>
      <c r="E3429" s="0" t="n">
        <f aca="false">VLOOKUP(B3429,'MSA-Lookup'!$H$2:$I$86,2)</f>
        <v>7400</v>
      </c>
      <c r="F3429" s="0" t="n">
        <f aca="false">IF(C3429&gt;1,IF(C3429&lt;99,VLOOKUP(C3429,'MSA-Lookup'!$H$1:$I$86,2),C3429),C3429)</f>
        <v>983</v>
      </c>
      <c r="G3429" s="0" t="n">
        <f aca="false">VLOOKUP(E3429,'MSA-Lookup'!$AA$1:$AB$25,2)</f>
        <v>7362</v>
      </c>
      <c r="H3429" s="0" t="n">
        <f aca="false">IF(C3429&gt;1,IF(C3429&lt;99,VLOOKUP(F3429,'MSA-Lookup'!$AA$1:$AB$25,2),C3429),C3429)</f>
        <v>983</v>
      </c>
    </row>
    <row r="3430" customFormat="false" ht="12.75" hidden="false" customHeight="false" outlineLevel="0" collapsed="false">
      <c r="A3430" s="0" t="n">
        <f aca="false">B3430*1000+C3430</f>
        <v>51999</v>
      </c>
      <c r="B3430" s="0" t="n">
        <v>51</v>
      </c>
      <c r="C3430" s="0" t="n">
        <v>999</v>
      </c>
      <c r="D3430" s="0" t="n">
        <v>0</v>
      </c>
      <c r="E3430" s="0" t="n">
        <f aca="false">VLOOKUP(B3430,'MSA-Lookup'!$H$2:$I$86,2)</f>
        <v>7400</v>
      </c>
      <c r="F3430" s="0" t="n">
        <f aca="false">IF(C3430&gt;1,IF(C3430&lt;99,VLOOKUP(C3430,'MSA-Lookup'!$H$1:$I$86,2),C3430),C3430)</f>
        <v>999</v>
      </c>
      <c r="G3430" s="0" t="n">
        <f aca="false">VLOOKUP(E3430,'MSA-Lookup'!$AA$1:$AB$25,2)</f>
        <v>7362</v>
      </c>
      <c r="H3430" s="0" t="n">
        <f aca="false">IF(C3430&gt;1,IF(C3430&lt;99,VLOOKUP(F3430,'MSA-Lookup'!$AA$1:$AB$25,2),C3430),C3430)</f>
        <v>999</v>
      </c>
    </row>
    <row r="3431" customFormat="false" ht="12.75" hidden="false" customHeight="false" outlineLevel="0" collapsed="false">
      <c r="A3431" s="0" t="n">
        <f aca="false">B3431*1000+C3431</f>
        <v>52000</v>
      </c>
      <c r="B3431" s="0" t="n">
        <v>52</v>
      </c>
      <c r="C3431" s="0" t="n">
        <v>0</v>
      </c>
      <c r="D3431" s="0" t="n">
        <v>57447</v>
      </c>
      <c r="E3431" s="0" t="n">
        <f aca="false">VLOOKUP(B3431,'MSA-Lookup'!$H$2:$I$86,2)</f>
        <v>4480</v>
      </c>
      <c r="F3431" s="0" t="n">
        <f aca="false">IF(C3431&gt;1,IF(C3431&lt;99,VLOOKUP(C3431,'MSA-Lookup'!$H$1:$I$86,2),C3431),C3431)</f>
        <v>0</v>
      </c>
      <c r="G3431" s="0" t="n">
        <f aca="false">VLOOKUP(E3431,'MSA-Lookup'!$AA$1:$AB$25,2)</f>
        <v>4472</v>
      </c>
      <c r="H3431" s="0" t="n">
        <f aca="false">IF(C3431&gt;1,IF(C3431&lt;99,VLOOKUP(F3431,'MSA-Lookup'!$AA$1:$AB$25,2),C3431),C3431)</f>
        <v>0</v>
      </c>
    </row>
    <row r="3432" customFormat="false" ht="12.75" hidden="false" customHeight="false" outlineLevel="0" collapsed="false">
      <c r="A3432" s="0" t="n">
        <f aca="false">B3432*1000+C3432</f>
        <v>52001</v>
      </c>
      <c r="B3432" s="0" t="n">
        <v>52</v>
      </c>
      <c r="C3432" s="0" t="n">
        <v>1</v>
      </c>
      <c r="D3432" s="0" t="n">
        <v>0</v>
      </c>
      <c r="E3432" s="0" t="n">
        <f aca="false">VLOOKUP(B3432,'MSA-Lookup'!$H$2:$I$86,2)</f>
        <v>4480</v>
      </c>
      <c r="F3432" s="0" t="n">
        <f aca="false">IF(C3432&gt;1,IF(C3432&lt;99,VLOOKUP(C3432,'MSA-Lookup'!$H$1:$I$86,2),C3432),C3432)</f>
        <v>1</v>
      </c>
      <c r="G3432" s="0" t="n">
        <f aca="false">VLOOKUP(E3432,'MSA-Lookup'!$AA$1:$AB$25,2)</f>
        <v>4472</v>
      </c>
      <c r="H3432" s="0" t="n">
        <f aca="false">IF(C3432&gt;1,IF(C3432&lt;99,VLOOKUP(F3432,'MSA-Lookup'!$AA$1:$AB$25,2),C3432),C3432)</f>
        <v>1</v>
      </c>
    </row>
    <row r="3433" customFormat="false" ht="12.75" hidden="false" customHeight="false" outlineLevel="0" collapsed="false">
      <c r="A3433" s="0" t="n">
        <f aca="false">B3433*1000+C3433</f>
        <v>52002</v>
      </c>
      <c r="B3433" s="0" t="n">
        <v>52</v>
      </c>
      <c r="C3433" s="0" t="n">
        <v>2</v>
      </c>
      <c r="D3433" s="0" t="n">
        <v>104</v>
      </c>
      <c r="E3433" s="0" t="n">
        <f aca="false">VLOOKUP(B3433,'MSA-Lookup'!$H$2:$I$86,2)</f>
        <v>4480</v>
      </c>
      <c r="F3433" s="0" t="n">
        <f aca="false">IF(C3433&gt;1,IF(C3433&lt;99,VLOOKUP(C3433,'MSA-Lookup'!$H$1:$I$86,2),C3433),C3433)</f>
        <v>9999</v>
      </c>
      <c r="G3433" s="0" t="n">
        <f aca="false">VLOOKUP(E3433,'MSA-Lookup'!$AA$1:$AB$25,2)</f>
        <v>4472</v>
      </c>
      <c r="H3433" s="0" t="n">
        <f aca="false">IF(C3433&gt;1,IF(C3433&lt;99,VLOOKUP(F3433,'MSA-Lookup'!$AA$1:$AB$25,2),C3433),C3433)</f>
        <v>9999</v>
      </c>
    </row>
    <row r="3434" customFormat="false" ht="12.75" hidden="false" customHeight="false" outlineLevel="0" collapsed="false">
      <c r="A3434" s="0" t="n">
        <f aca="false">B3434*1000+C3434</f>
        <v>52003</v>
      </c>
      <c r="B3434" s="0" t="n">
        <v>52</v>
      </c>
      <c r="C3434" s="0" t="n">
        <v>3</v>
      </c>
      <c r="D3434" s="0" t="n">
        <v>0</v>
      </c>
      <c r="E3434" s="0" t="n">
        <f aca="false">VLOOKUP(B3434,'MSA-Lookup'!$H$2:$I$86,2)</f>
        <v>4480</v>
      </c>
      <c r="F3434" s="0" t="n">
        <f aca="false">IF(C3434&gt;1,IF(C3434&lt;99,VLOOKUP(C3434,'MSA-Lookup'!$H$1:$I$86,2),C3434),C3434)</f>
        <v>6690</v>
      </c>
      <c r="G3434" s="0" t="n">
        <f aca="false">VLOOKUP(E3434,'MSA-Lookup'!$AA$1:$AB$25,2)</f>
        <v>4472</v>
      </c>
      <c r="H3434" s="0" t="n">
        <f aca="false">IF(C3434&gt;1,IF(C3434&lt;99,VLOOKUP(F3434,'MSA-Lookup'!$AA$1:$AB$25,2),C3434),C3434)</f>
        <v>6690</v>
      </c>
    </row>
    <row r="3435" customFormat="false" ht="12.75" hidden="false" customHeight="false" outlineLevel="0" collapsed="false">
      <c r="A3435" s="0" t="n">
        <f aca="false">B3435*1000+C3435</f>
        <v>52004</v>
      </c>
      <c r="B3435" s="0" t="n">
        <v>52</v>
      </c>
      <c r="C3435" s="0" t="n">
        <v>4</v>
      </c>
      <c r="D3435" s="0" t="n">
        <v>0</v>
      </c>
      <c r="E3435" s="0" t="n">
        <f aca="false">VLOOKUP(B3435,'MSA-Lookup'!$H$2:$I$86,2)</f>
        <v>4480</v>
      </c>
      <c r="F3435" s="0" t="n">
        <f aca="false">IF(C3435&gt;1,IF(C3435&lt;99,VLOOKUP(C3435,'MSA-Lookup'!$H$1:$I$86,2),C3435),C3435)</f>
        <v>9999</v>
      </c>
      <c r="G3435" s="0" t="n">
        <f aca="false">VLOOKUP(E3435,'MSA-Lookup'!$AA$1:$AB$25,2)</f>
        <v>4472</v>
      </c>
      <c r="H3435" s="0" t="n">
        <f aca="false">IF(C3435&gt;1,IF(C3435&lt;99,VLOOKUP(F3435,'MSA-Lookup'!$AA$1:$AB$25,2),C3435),C3435)</f>
        <v>9999</v>
      </c>
    </row>
    <row r="3436" customFormat="false" ht="12.75" hidden="false" customHeight="false" outlineLevel="0" collapsed="false">
      <c r="A3436" s="0" t="n">
        <f aca="false">B3436*1000+C3436</f>
        <v>52005</v>
      </c>
      <c r="B3436" s="0" t="n">
        <v>52</v>
      </c>
      <c r="C3436" s="0" t="n">
        <v>5</v>
      </c>
      <c r="D3436" s="0" t="n">
        <v>0</v>
      </c>
      <c r="E3436" s="0" t="n">
        <f aca="false">VLOOKUP(B3436,'MSA-Lookup'!$H$2:$I$86,2)</f>
        <v>4480</v>
      </c>
      <c r="F3436" s="0" t="n">
        <f aca="false">IF(C3436&gt;1,IF(C3436&lt;99,VLOOKUP(C3436,'MSA-Lookup'!$H$1:$I$86,2),C3436),C3436)</f>
        <v>9999</v>
      </c>
      <c r="G3436" s="0" t="n">
        <f aca="false">VLOOKUP(E3436,'MSA-Lookup'!$AA$1:$AB$25,2)</f>
        <v>4472</v>
      </c>
      <c r="H3436" s="0" t="n">
        <f aca="false">IF(C3436&gt;1,IF(C3436&lt;99,VLOOKUP(F3436,'MSA-Lookup'!$AA$1:$AB$25,2),C3436),C3436)</f>
        <v>9999</v>
      </c>
    </row>
    <row r="3437" customFormat="false" ht="12.75" hidden="false" customHeight="false" outlineLevel="0" collapsed="false">
      <c r="A3437" s="0" t="n">
        <f aca="false">B3437*1000+C3437</f>
        <v>52006</v>
      </c>
      <c r="B3437" s="0" t="n">
        <v>52</v>
      </c>
      <c r="C3437" s="0" t="n">
        <v>6</v>
      </c>
      <c r="D3437" s="0" t="n">
        <v>0</v>
      </c>
      <c r="E3437" s="0" t="n">
        <f aca="false">VLOOKUP(B3437,'MSA-Lookup'!$H$2:$I$86,2)</f>
        <v>4480</v>
      </c>
      <c r="F3437" s="0" t="n">
        <f aca="false">IF(C3437&gt;1,IF(C3437&lt;99,VLOOKUP(C3437,'MSA-Lookup'!$H$1:$I$86,2),C3437),C3437)</f>
        <v>1620</v>
      </c>
      <c r="G3437" s="0" t="n">
        <f aca="false">VLOOKUP(E3437,'MSA-Lookup'!$AA$1:$AB$25,2)</f>
        <v>4472</v>
      </c>
      <c r="H3437" s="0" t="n">
        <f aca="false">IF(C3437&gt;1,IF(C3437&lt;99,VLOOKUP(F3437,'MSA-Lookup'!$AA$1:$AB$25,2),C3437),C3437)</f>
        <v>1620</v>
      </c>
    </row>
    <row r="3438" customFormat="false" ht="12.75" hidden="false" customHeight="false" outlineLevel="0" collapsed="false">
      <c r="A3438" s="0" t="n">
        <f aca="false">B3438*1000+C3438</f>
        <v>52007</v>
      </c>
      <c r="B3438" s="0" t="n">
        <v>52</v>
      </c>
      <c r="C3438" s="0" t="n">
        <v>7</v>
      </c>
      <c r="D3438" s="0" t="n">
        <v>0</v>
      </c>
      <c r="E3438" s="0" t="n">
        <f aca="false">VLOOKUP(B3438,'MSA-Lookup'!$H$2:$I$86,2)</f>
        <v>4480</v>
      </c>
      <c r="F3438" s="0" t="n">
        <f aca="false">IF(C3438&gt;1,IF(C3438&lt;99,VLOOKUP(C3438,'MSA-Lookup'!$H$1:$I$86,2),C3438),C3438)</f>
        <v>9999</v>
      </c>
      <c r="G3438" s="0" t="n">
        <f aca="false">VLOOKUP(E3438,'MSA-Lookup'!$AA$1:$AB$25,2)</f>
        <v>4472</v>
      </c>
      <c r="H3438" s="0" t="n">
        <f aca="false">IF(C3438&gt;1,IF(C3438&lt;99,VLOOKUP(F3438,'MSA-Lookup'!$AA$1:$AB$25,2),C3438),C3438)</f>
        <v>9999</v>
      </c>
    </row>
    <row r="3439" customFormat="false" ht="12.75" hidden="false" customHeight="false" outlineLevel="0" collapsed="false">
      <c r="A3439" s="0" t="n">
        <f aca="false">B3439*1000+C3439</f>
        <v>52008</v>
      </c>
      <c r="B3439" s="0" t="n">
        <v>52</v>
      </c>
      <c r="C3439" s="0" t="n">
        <v>8</v>
      </c>
      <c r="D3439" s="0" t="n">
        <v>0</v>
      </c>
      <c r="E3439" s="0" t="n">
        <f aca="false">VLOOKUP(B3439,'MSA-Lookup'!$H$2:$I$86,2)</f>
        <v>4480</v>
      </c>
      <c r="F3439" s="0" t="n">
        <f aca="false">IF(C3439&gt;1,IF(C3439&lt;99,VLOOKUP(C3439,'MSA-Lookup'!$H$1:$I$86,2),C3439),C3439)</f>
        <v>9340</v>
      </c>
      <c r="G3439" s="0" t="n">
        <f aca="false">VLOOKUP(E3439,'MSA-Lookup'!$AA$1:$AB$25,2)</f>
        <v>4472</v>
      </c>
      <c r="H3439" s="0" t="n">
        <f aca="false">IF(C3439&gt;1,IF(C3439&lt;99,VLOOKUP(F3439,'MSA-Lookup'!$AA$1:$AB$25,2),C3439),C3439)</f>
        <v>9340</v>
      </c>
    </row>
    <row r="3440" customFormat="false" ht="12.75" hidden="false" customHeight="false" outlineLevel="0" collapsed="false">
      <c r="A3440" s="0" t="n">
        <f aca="false">B3440*1000+C3440</f>
        <v>52009</v>
      </c>
      <c r="B3440" s="0" t="n">
        <v>52</v>
      </c>
      <c r="C3440" s="0" t="n">
        <v>9</v>
      </c>
      <c r="D3440" s="0" t="n">
        <v>0</v>
      </c>
      <c r="E3440" s="0" t="n">
        <f aca="false">VLOOKUP(B3440,'MSA-Lookup'!$H$2:$I$86,2)</f>
        <v>4480</v>
      </c>
      <c r="F3440" s="0" t="n">
        <f aca="false">IF(C3440&gt;1,IF(C3440&lt;99,VLOOKUP(C3440,'MSA-Lookup'!$H$1:$I$86,2),C3440),C3440)</f>
        <v>8720</v>
      </c>
      <c r="G3440" s="0" t="n">
        <f aca="false">VLOOKUP(E3440,'MSA-Lookup'!$AA$1:$AB$25,2)</f>
        <v>4472</v>
      </c>
      <c r="H3440" s="0" t="n">
        <f aca="false">IF(C3440&gt;1,IF(C3440&lt;99,VLOOKUP(F3440,'MSA-Lookup'!$AA$1:$AB$25,2),C3440),C3440)</f>
        <v>7362</v>
      </c>
    </row>
    <row r="3441" customFormat="false" ht="12.75" hidden="false" customHeight="false" outlineLevel="0" collapsed="false">
      <c r="A3441" s="0" t="n">
        <f aca="false">B3441*1000+C3441</f>
        <v>52010</v>
      </c>
      <c r="B3441" s="0" t="n">
        <v>52</v>
      </c>
      <c r="C3441" s="0" t="n">
        <v>10</v>
      </c>
      <c r="D3441" s="0" t="n">
        <v>0</v>
      </c>
      <c r="E3441" s="0" t="n">
        <f aca="false">VLOOKUP(B3441,'MSA-Lookup'!$H$2:$I$86,2)</f>
        <v>4480</v>
      </c>
      <c r="F3441" s="0" t="n">
        <f aca="false">IF(C3441&gt;1,IF(C3441&lt;99,VLOOKUP(C3441,'MSA-Lookup'!$H$1:$I$86,2),C3441),C3441)</f>
        <v>6920</v>
      </c>
      <c r="G3441" s="0" t="n">
        <f aca="false">VLOOKUP(E3441,'MSA-Lookup'!$AA$1:$AB$25,2)</f>
        <v>4472</v>
      </c>
      <c r="H3441" s="0" t="n">
        <f aca="false">IF(C3441&gt;1,IF(C3441&lt;99,VLOOKUP(F3441,'MSA-Lookup'!$AA$1:$AB$25,2),C3441),C3441)</f>
        <v>6920</v>
      </c>
    </row>
    <row r="3442" customFormat="false" ht="12.75" hidden="false" customHeight="false" outlineLevel="0" collapsed="false">
      <c r="A3442" s="0" t="n">
        <f aca="false">B3442*1000+C3442</f>
        <v>52011</v>
      </c>
      <c r="B3442" s="0" t="n">
        <v>52</v>
      </c>
      <c r="C3442" s="0" t="n">
        <v>11</v>
      </c>
      <c r="D3442" s="0" t="n">
        <v>0</v>
      </c>
      <c r="E3442" s="0" t="n">
        <f aca="false">VLOOKUP(B3442,'MSA-Lookup'!$H$2:$I$86,2)</f>
        <v>4480</v>
      </c>
      <c r="F3442" s="0" t="n">
        <f aca="false">IF(C3442&gt;1,IF(C3442&lt;99,VLOOKUP(C3442,'MSA-Lookup'!$H$1:$I$86,2),C3442),C3442)</f>
        <v>6920</v>
      </c>
      <c r="G3442" s="0" t="n">
        <f aca="false">VLOOKUP(E3442,'MSA-Lookup'!$AA$1:$AB$25,2)</f>
        <v>4472</v>
      </c>
      <c r="H3442" s="0" t="n">
        <f aca="false">IF(C3442&gt;1,IF(C3442&lt;99,VLOOKUP(F3442,'MSA-Lookup'!$AA$1:$AB$25,2),C3442),C3442)</f>
        <v>6920</v>
      </c>
    </row>
    <row r="3443" customFormat="false" ht="12.75" hidden="false" customHeight="false" outlineLevel="0" collapsed="false">
      <c r="A3443" s="0" t="n">
        <f aca="false">B3443*1000+C3443</f>
        <v>52012</v>
      </c>
      <c r="B3443" s="0" t="n">
        <v>52</v>
      </c>
      <c r="C3443" s="0" t="n">
        <v>12</v>
      </c>
      <c r="D3443" s="0" t="n">
        <v>0</v>
      </c>
      <c r="E3443" s="0" t="n">
        <f aca="false">VLOOKUP(B3443,'MSA-Lookup'!$H$2:$I$86,2)</f>
        <v>4480</v>
      </c>
      <c r="F3443" s="0" t="n">
        <f aca="false">IF(C3443&gt;1,IF(C3443&lt;99,VLOOKUP(C3443,'MSA-Lookup'!$H$1:$I$86,2),C3443),C3443)</f>
        <v>6920</v>
      </c>
      <c r="G3443" s="0" t="n">
        <f aca="false">VLOOKUP(E3443,'MSA-Lookup'!$AA$1:$AB$25,2)</f>
        <v>4472</v>
      </c>
      <c r="H3443" s="0" t="n">
        <f aca="false">IF(C3443&gt;1,IF(C3443&lt;99,VLOOKUP(F3443,'MSA-Lookup'!$AA$1:$AB$25,2),C3443),C3443)</f>
        <v>6920</v>
      </c>
    </row>
    <row r="3444" customFormat="false" ht="12.75" hidden="false" customHeight="false" outlineLevel="0" collapsed="false">
      <c r="A3444" s="0" t="n">
        <f aca="false">B3444*1000+C3444</f>
        <v>52013</v>
      </c>
      <c r="B3444" s="0" t="n">
        <v>52</v>
      </c>
      <c r="C3444" s="0" t="n">
        <v>13</v>
      </c>
      <c r="D3444" s="0" t="n">
        <v>0</v>
      </c>
      <c r="E3444" s="0" t="n">
        <f aca="false">VLOOKUP(B3444,'MSA-Lookup'!$H$2:$I$86,2)</f>
        <v>4480</v>
      </c>
      <c r="F3444" s="0" t="n">
        <f aca="false">IF(C3444&gt;1,IF(C3444&lt;99,VLOOKUP(C3444,'MSA-Lookup'!$H$1:$I$86,2),C3444),C3444)</f>
        <v>7500</v>
      </c>
      <c r="G3444" s="0" t="n">
        <f aca="false">VLOOKUP(E3444,'MSA-Lookup'!$AA$1:$AB$25,2)</f>
        <v>4472</v>
      </c>
      <c r="H3444" s="0" t="n">
        <f aca="false">IF(C3444&gt;1,IF(C3444&lt;99,VLOOKUP(F3444,'MSA-Lookup'!$AA$1:$AB$25,2),C3444),C3444)</f>
        <v>7362</v>
      </c>
    </row>
    <row r="3445" customFormat="false" ht="12.75" hidden="false" customHeight="false" outlineLevel="0" collapsed="false">
      <c r="A3445" s="0" t="n">
        <f aca="false">B3445*1000+C3445</f>
        <v>52014</v>
      </c>
      <c r="B3445" s="0" t="n">
        <v>52</v>
      </c>
      <c r="C3445" s="0" t="n">
        <v>14</v>
      </c>
      <c r="D3445" s="0" t="n">
        <v>0</v>
      </c>
      <c r="E3445" s="0" t="n">
        <f aca="false">VLOOKUP(B3445,'MSA-Lookup'!$H$2:$I$86,2)</f>
        <v>4480</v>
      </c>
      <c r="F3445" s="0" t="n">
        <f aca="false">IF(C3445&gt;1,IF(C3445&lt;99,VLOOKUP(C3445,'MSA-Lookup'!$H$1:$I$86,2),C3445),C3445)</f>
        <v>7500</v>
      </c>
      <c r="G3445" s="0" t="n">
        <f aca="false">VLOOKUP(E3445,'MSA-Lookup'!$AA$1:$AB$25,2)</f>
        <v>4472</v>
      </c>
      <c r="H3445" s="0" t="n">
        <f aca="false">IF(C3445&gt;1,IF(C3445&lt;99,VLOOKUP(F3445,'MSA-Lookup'!$AA$1:$AB$25,2),C3445),C3445)</f>
        <v>7362</v>
      </c>
    </row>
    <row r="3446" customFormat="false" ht="12.75" hidden="false" customHeight="false" outlineLevel="0" collapsed="false">
      <c r="A3446" s="0" t="n">
        <f aca="false">B3446*1000+C3446</f>
        <v>52015</v>
      </c>
      <c r="B3446" s="0" t="n">
        <v>52</v>
      </c>
      <c r="C3446" s="0" t="n">
        <v>15</v>
      </c>
      <c r="D3446" s="0" t="n">
        <v>0</v>
      </c>
      <c r="E3446" s="0" t="n">
        <f aca="false">VLOOKUP(B3446,'MSA-Lookup'!$H$2:$I$86,2)</f>
        <v>4480</v>
      </c>
      <c r="F3446" s="0" t="n">
        <f aca="false">IF(C3446&gt;1,IF(C3446&lt;99,VLOOKUP(C3446,'MSA-Lookup'!$H$1:$I$86,2),C3446),C3446)</f>
        <v>7360</v>
      </c>
      <c r="G3446" s="0" t="n">
        <f aca="false">VLOOKUP(E3446,'MSA-Lookup'!$AA$1:$AB$25,2)</f>
        <v>4472</v>
      </c>
      <c r="H3446" s="0" t="n">
        <f aca="false">IF(C3446&gt;1,IF(C3446&lt;99,VLOOKUP(F3446,'MSA-Lookup'!$AA$1:$AB$25,2),C3446),C3446)</f>
        <v>7362</v>
      </c>
    </row>
    <row r="3447" customFormat="false" ht="12.75" hidden="false" customHeight="false" outlineLevel="0" collapsed="false">
      <c r="A3447" s="0" t="n">
        <f aca="false">B3447*1000+C3447</f>
        <v>52016</v>
      </c>
      <c r="B3447" s="0" t="n">
        <v>52</v>
      </c>
      <c r="C3447" s="0" t="n">
        <v>16</v>
      </c>
      <c r="D3447" s="0" t="n">
        <v>0</v>
      </c>
      <c r="E3447" s="0" t="n">
        <f aca="false">VLOOKUP(B3447,'MSA-Lookup'!$H$2:$I$86,2)</f>
        <v>4480</v>
      </c>
      <c r="F3447" s="0" t="n">
        <f aca="false">IF(C3447&gt;1,IF(C3447&lt;99,VLOOKUP(C3447,'MSA-Lookup'!$H$1:$I$86,2),C3447),C3447)</f>
        <v>8720</v>
      </c>
      <c r="G3447" s="0" t="n">
        <f aca="false">VLOOKUP(E3447,'MSA-Lookup'!$AA$1:$AB$25,2)</f>
        <v>4472</v>
      </c>
      <c r="H3447" s="0" t="n">
        <f aca="false">IF(C3447&gt;1,IF(C3447&lt;99,VLOOKUP(F3447,'MSA-Lookup'!$AA$1:$AB$25,2),C3447),C3447)</f>
        <v>7362</v>
      </c>
    </row>
    <row r="3448" customFormat="false" ht="12.75" hidden="false" customHeight="false" outlineLevel="0" collapsed="false">
      <c r="A3448" s="0" t="n">
        <f aca="false">B3448*1000+C3448</f>
        <v>52017</v>
      </c>
      <c r="B3448" s="0" t="n">
        <v>52</v>
      </c>
      <c r="C3448" s="0" t="n">
        <v>17</v>
      </c>
      <c r="D3448" s="0" t="n">
        <v>0</v>
      </c>
      <c r="E3448" s="0" t="n">
        <f aca="false">VLOOKUP(B3448,'MSA-Lookup'!$H$2:$I$86,2)</f>
        <v>4480</v>
      </c>
      <c r="F3448" s="0" t="n">
        <f aca="false">IF(C3448&gt;1,IF(C3448&lt;99,VLOOKUP(C3448,'MSA-Lookup'!$H$1:$I$86,2),C3448),C3448)</f>
        <v>5775</v>
      </c>
      <c r="G3448" s="0" t="n">
        <f aca="false">VLOOKUP(E3448,'MSA-Lookup'!$AA$1:$AB$25,2)</f>
        <v>4472</v>
      </c>
      <c r="H3448" s="0" t="n">
        <f aca="false">IF(C3448&gt;1,IF(C3448&lt;99,VLOOKUP(F3448,'MSA-Lookup'!$AA$1:$AB$25,2),C3448),C3448)</f>
        <v>7362</v>
      </c>
    </row>
    <row r="3449" customFormat="false" ht="12.75" hidden="false" customHeight="false" outlineLevel="0" collapsed="false">
      <c r="A3449" s="0" t="n">
        <f aca="false">B3449*1000+C3449</f>
        <v>52018</v>
      </c>
      <c r="B3449" s="0" t="n">
        <v>52</v>
      </c>
      <c r="C3449" s="0" t="n">
        <v>18</v>
      </c>
      <c r="D3449" s="0" t="n">
        <v>0</v>
      </c>
      <c r="E3449" s="0" t="n">
        <f aca="false">VLOOKUP(B3449,'MSA-Lookup'!$H$2:$I$86,2)</f>
        <v>4480</v>
      </c>
      <c r="F3449" s="0" t="n">
        <f aca="false">IF(C3449&gt;1,IF(C3449&lt;99,VLOOKUP(C3449,'MSA-Lookup'!$H$1:$I$86,2),C3449),C3449)</f>
        <v>5775</v>
      </c>
      <c r="G3449" s="0" t="n">
        <f aca="false">VLOOKUP(E3449,'MSA-Lookup'!$AA$1:$AB$25,2)</f>
        <v>4472</v>
      </c>
      <c r="H3449" s="0" t="n">
        <f aca="false">IF(C3449&gt;1,IF(C3449&lt;99,VLOOKUP(F3449,'MSA-Lookup'!$AA$1:$AB$25,2),C3449),C3449)</f>
        <v>7362</v>
      </c>
    </row>
    <row r="3450" customFormat="false" ht="12.75" hidden="false" customHeight="false" outlineLevel="0" collapsed="false">
      <c r="A3450" s="0" t="n">
        <f aca="false">B3450*1000+C3450</f>
        <v>52019</v>
      </c>
      <c r="B3450" s="0" t="n">
        <v>52</v>
      </c>
      <c r="C3450" s="0" t="n">
        <v>19</v>
      </c>
      <c r="D3450" s="0" t="n">
        <v>234</v>
      </c>
      <c r="E3450" s="0" t="n">
        <f aca="false">VLOOKUP(B3450,'MSA-Lookup'!$H$2:$I$86,2)</f>
        <v>4480</v>
      </c>
      <c r="F3450" s="0" t="n">
        <f aca="false">IF(C3450&gt;1,IF(C3450&lt;99,VLOOKUP(C3450,'MSA-Lookup'!$H$1:$I$86,2),C3450),C3450)</f>
        <v>7360</v>
      </c>
      <c r="G3450" s="0" t="n">
        <f aca="false">VLOOKUP(E3450,'MSA-Lookup'!$AA$1:$AB$25,2)</f>
        <v>4472</v>
      </c>
      <c r="H3450" s="0" t="n">
        <f aca="false">IF(C3450&gt;1,IF(C3450&lt;99,VLOOKUP(F3450,'MSA-Lookup'!$AA$1:$AB$25,2),C3450),C3450)</f>
        <v>7362</v>
      </c>
    </row>
    <row r="3451" customFormat="false" ht="12.75" hidden="false" customHeight="false" outlineLevel="0" collapsed="false">
      <c r="A3451" s="0" t="n">
        <f aca="false">B3451*1000+C3451</f>
        <v>52020</v>
      </c>
      <c r="B3451" s="0" t="n">
        <v>52</v>
      </c>
      <c r="C3451" s="0" t="n">
        <v>20</v>
      </c>
      <c r="D3451" s="0" t="n">
        <v>0</v>
      </c>
      <c r="E3451" s="0" t="n">
        <f aca="false">VLOOKUP(B3451,'MSA-Lookup'!$H$2:$I$86,2)</f>
        <v>4480</v>
      </c>
      <c r="F3451" s="0" t="n">
        <f aca="false">IF(C3451&gt;1,IF(C3451&lt;99,VLOOKUP(C3451,'MSA-Lookup'!$H$1:$I$86,2),C3451),C3451)</f>
        <v>5775</v>
      </c>
      <c r="G3451" s="0" t="n">
        <f aca="false">VLOOKUP(E3451,'MSA-Lookup'!$AA$1:$AB$25,2)</f>
        <v>4472</v>
      </c>
      <c r="H3451" s="0" t="n">
        <f aca="false">IF(C3451&gt;1,IF(C3451&lt;99,VLOOKUP(F3451,'MSA-Lookup'!$AA$1:$AB$25,2),C3451),C3451)</f>
        <v>7362</v>
      </c>
    </row>
    <row r="3452" customFormat="false" ht="12.75" hidden="false" customHeight="false" outlineLevel="0" collapsed="false">
      <c r="A3452" s="0" t="n">
        <f aca="false">B3452*1000+C3452</f>
        <v>52021</v>
      </c>
      <c r="B3452" s="0" t="n">
        <v>52</v>
      </c>
      <c r="C3452" s="0" t="n">
        <v>21</v>
      </c>
      <c r="D3452" s="0" t="n">
        <v>156</v>
      </c>
      <c r="E3452" s="0" t="n">
        <f aca="false">VLOOKUP(B3452,'MSA-Lookup'!$H$2:$I$86,2)</f>
        <v>4480</v>
      </c>
      <c r="F3452" s="0" t="n">
        <f aca="false">IF(C3452&gt;1,IF(C3452&lt;99,VLOOKUP(C3452,'MSA-Lookup'!$H$1:$I$86,2),C3452),C3452)</f>
        <v>5775</v>
      </c>
      <c r="G3452" s="0" t="n">
        <f aca="false">VLOOKUP(E3452,'MSA-Lookup'!$AA$1:$AB$25,2)</f>
        <v>4472</v>
      </c>
      <c r="H3452" s="0" t="n">
        <f aca="false">IF(C3452&gt;1,IF(C3452&lt;99,VLOOKUP(F3452,'MSA-Lookup'!$AA$1:$AB$25,2),C3452),C3452)</f>
        <v>7362</v>
      </c>
    </row>
    <row r="3453" customFormat="false" ht="12.75" hidden="false" customHeight="false" outlineLevel="0" collapsed="false">
      <c r="A3453" s="0" t="n">
        <f aca="false">B3453*1000+C3453</f>
        <v>52022</v>
      </c>
      <c r="B3453" s="0" t="n">
        <v>52</v>
      </c>
      <c r="C3453" s="0" t="n">
        <v>22</v>
      </c>
      <c r="D3453" s="0" t="n">
        <v>0</v>
      </c>
      <c r="E3453" s="0" t="n">
        <f aca="false">VLOOKUP(B3453,'MSA-Lookup'!$H$2:$I$86,2)</f>
        <v>4480</v>
      </c>
      <c r="F3453" s="0" t="n">
        <f aca="false">IF(C3453&gt;1,IF(C3453&lt;99,VLOOKUP(C3453,'MSA-Lookup'!$H$1:$I$86,2),C3453),C3453)</f>
        <v>7360</v>
      </c>
      <c r="G3453" s="0" t="n">
        <f aca="false">VLOOKUP(E3453,'MSA-Lookup'!$AA$1:$AB$25,2)</f>
        <v>4472</v>
      </c>
      <c r="H3453" s="0" t="n">
        <f aca="false">IF(C3453&gt;1,IF(C3453&lt;99,VLOOKUP(F3453,'MSA-Lookup'!$AA$1:$AB$25,2),C3453),C3453)</f>
        <v>7362</v>
      </c>
    </row>
    <row r="3454" customFormat="false" ht="12.75" hidden="false" customHeight="false" outlineLevel="0" collapsed="false">
      <c r="A3454" s="0" t="n">
        <f aca="false">B3454*1000+C3454</f>
        <v>52023</v>
      </c>
      <c r="B3454" s="0" t="n">
        <v>52</v>
      </c>
      <c r="C3454" s="0" t="n">
        <v>23</v>
      </c>
      <c r="D3454" s="0" t="n">
        <v>0</v>
      </c>
      <c r="E3454" s="0" t="n">
        <f aca="false">VLOOKUP(B3454,'MSA-Lookup'!$H$2:$I$86,2)</f>
        <v>4480</v>
      </c>
      <c r="F3454" s="0" t="n">
        <f aca="false">IF(C3454&gt;1,IF(C3454&lt;99,VLOOKUP(C3454,'MSA-Lookup'!$H$1:$I$86,2),C3454),C3454)</f>
        <v>8120</v>
      </c>
      <c r="G3454" s="0" t="n">
        <f aca="false">VLOOKUP(E3454,'MSA-Lookup'!$AA$1:$AB$25,2)</f>
        <v>4472</v>
      </c>
      <c r="H3454" s="0" t="n">
        <f aca="false">IF(C3454&gt;1,IF(C3454&lt;99,VLOOKUP(F3454,'MSA-Lookup'!$AA$1:$AB$25,2),C3454),C3454)</f>
        <v>8120</v>
      </c>
    </row>
    <row r="3455" customFormat="false" ht="12.75" hidden="false" customHeight="false" outlineLevel="0" collapsed="false">
      <c r="A3455" s="0" t="n">
        <f aca="false">B3455*1000+C3455</f>
        <v>52024</v>
      </c>
      <c r="B3455" s="0" t="n">
        <v>52</v>
      </c>
      <c r="C3455" s="0" t="n">
        <v>24</v>
      </c>
      <c r="D3455" s="0" t="n">
        <v>0</v>
      </c>
      <c r="E3455" s="0" t="n">
        <f aca="false">VLOOKUP(B3455,'MSA-Lookup'!$H$2:$I$86,2)</f>
        <v>4480</v>
      </c>
      <c r="F3455" s="0" t="n">
        <f aca="false">IF(C3455&gt;1,IF(C3455&lt;99,VLOOKUP(C3455,'MSA-Lookup'!$H$1:$I$86,2),C3455),C3455)</f>
        <v>5170</v>
      </c>
      <c r="G3455" s="0" t="n">
        <f aca="false">VLOOKUP(E3455,'MSA-Lookup'!$AA$1:$AB$25,2)</f>
        <v>4472</v>
      </c>
      <c r="H3455" s="0" t="n">
        <f aca="false">IF(C3455&gt;1,IF(C3455&lt;99,VLOOKUP(F3455,'MSA-Lookup'!$AA$1:$AB$25,2),C3455),C3455)</f>
        <v>5170</v>
      </c>
    </row>
    <row r="3456" customFormat="false" ht="12.75" hidden="false" customHeight="false" outlineLevel="0" collapsed="false">
      <c r="A3456" s="0" t="n">
        <f aca="false">B3456*1000+C3456</f>
        <v>52025</v>
      </c>
      <c r="B3456" s="0" t="n">
        <v>52</v>
      </c>
      <c r="C3456" s="0" t="n">
        <v>25</v>
      </c>
      <c r="D3456" s="0" t="n">
        <v>0</v>
      </c>
      <c r="E3456" s="0" t="n">
        <f aca="false">VLOOKUP(B3456,'MSA-Lookup'!$H$2:$I$86,2)</f>
        <v>4480</v>
      </c>
      <c r="F3456" s="0" t="n">
        <f aca="false">IF(C3456&gt;1,IF(C3456&lt;99,VLOOKUP(C3456,'MSA-Lookup'!$H$1:$I$86,2),C3456),C3456)</f>
        <v>5170</v>
      </c>
      <c r="G3456" s="0" t="n">
        <f aca="false">VLOOKUP(E3456,'MSA-Lookup'!$AA$1:$AB$25,2)</f>
        <v>4472</v>
      </c>
      <c r="H3456" s="0" t="n">
        <f aca="false">IF(C3456&gt;1,IF(C3456&lt;99,VLOOKUP(F3456,'MSA-Lookup'!$AA$1:$AB$25,2),C3456),C3456)</f>
        <v>5170</v>
      </c>
    </row>
    <row r="3457" customFormat="false" ht="12.75" hidden="false" customHeight="false" outlineLevel="0" collapsed="false">
      <c r="A3457" s="0" t="n">
        <f aca="false">B3457*1000+C3457</f>
        <v>52026</v>
      </c>
      <c r="B3457" s="0" t="n">
        <v>52</v>
      </c>
      <c r="C3457" s="0" t="n">
        <v>26</v>
      </c>
      <c r="D3457" s="0" t="n">
        <v>0</v>
      </c>
      <c r="E3457" s="0" t="n">
        <f aca="false">VLOOKUP(B3457,'MSA-Lookup'!$H$2:$I$86,2)</f>
        <v>4480</v>
      </c>
      <c r="F3457" s="0" t="n">
        <f aca="false">IF(C3457&gt;1,IF(C3457&lt;99,VLOOKUP(C3457,'MSA-Lookup'!$H$1:$I$86,2),C3457),C3457)</f>
        <v>9999</v>
      </c>
      <c r="G3457" s="0" t="n">
        <f aca="false">VLOOKUP(E3457,'MSA-Lookup'!$AA$1:$AB$25,2)</f>
        <v>4472</v>
      </c>
      <c r="H3457" s="0" t="n">
        <f aca="false">IF(C3457&gt;1,IF(C3457&lt;99,VLOOKUP(F3457,'MSA-Lookup'!$AA$1:$AB$25,2),C3457),C3457)</f>
        <v>9999</v>
      </c>
    </row>
    <row r="3458" customFormat="false" ht="12.75" hidden="false" customHeight="false" outlineLevel="0" collapsed="false">
      <c r="A3458" s="0" t="n">
        <f aca="false">B3458*1000+C3458</f>
        <v>52027</v>
      </c>
      <c r="B3458" s="0" t="n">
        <v>52</v>
      </c>
      <c r="C3458" s="0" t="n">
        <v>27</v>
      </c>
      <c r="D3458" s="0" t="n">
        <v>0</v>
      </c>
      <c r="E3458" s="0" t="n">
        <f aca="false">VLOOKUP(B3458,'MSA-Lookup'!$H$2:$I$86,2)</f>
        <v>4480</v>
      </c>
      <c r="F3458" s="0" t="n">
        <f aca="false">IF(C3458&gt;1,IF(C3458&lt;99,VLOOKUP(C3458,'MSA-Lookup'!$H$1:$I$86,2),C3458),C3458)</f>
        <v>9999</v>
      </c>
      <c r="G3458" s="0" t="n">
        <f aca="false">VLOOKUP(E3458,'MSA-Lookup'!$AA$1:$AB$25,2)</f>
        <v>4472</v>
      </c>
      <c r="H3458" s="0" t="n">
        <f aca="false">IF(C3458&gt;1,IF(C3458&lt;99,VLOOKUP(F3458,'MSA-Lookup'!$AA$1:$AB$25,2),C3458),C3458)</f>
        <v>9999</v>
      </c>
    </row>
    <row r="3459" customFormat="false" ht="12.75" hidden="false" customHeight="false" outlineLevel="0" collapsed="false">
      <c r="A3459" s="0" t="n">
        <f aca="false">B3459*1000+C3459</f>
        <v>52028</v>
      </c>
      <c r="B3459" s="0" t="n">
        <v>52</v>
      </c>
      <c r="C3459" s="0" t="n">
        <v>28</v>
      </c>
      <c r="D3459" s="0" t="n">
        <v>104</v>
      </c>
      <c r="E3459" s="0" t="n">
        <f aca="false">VLOOKUP(B3459,'MSA-Lookup'!$H$2:$I$86,2)</f>
        <v>4480</v>
      </c>
      <c r="F3459" s="0" t="n">
        <f aca="false">IF(C3459&gt;1,IF(C3459&lt;99,VLOOKUP(C3459,'MSA-Lookup'!$H$1:$I$86,2),C3459),C3459)</f>
        <v>6920</v>
      </c>
      <c r="G3459" s="0" t="n">
        <f aca="false">VLOOKUP(E3459,'MSA-Lookup'!$AA$1:$AB$25,2)</f>
        <v>4472</v>
      </c>
      <c r="H3459" s="0" t="n">
        <f aca="false">IF(C3459&gt;1,IF(C3459&lt;99,VLOOKUP(F3459,'MSA-Lookup'!$AA$1:$AB$25,2),C3459),C3459)</f>
        <v>6920</v>
      </c>
    </row>
    <row r="3460" customFormat="false" ht="12.75" hidden="false" customHeight="false" outlineLevel="0" collapsed="false">
      <c r="A3460" s="0" t="n">
        <f aca="false">B3460*1000+C3460</f>
        <v>52029</v>
      </c>
      <c r="B3460" s="0" t="n">
        <v>52</v>
      </c>
      <c r="C3460" s="0" t="n">
        <v>29</v>
      </c>
      <c r="D3460" s="0" t="n">
        <v>0</v>
      </c>
      <c r="E3460" s="0" t="n">
        <f aca="false">VLOOKUP(B3460,'MSA-Lookup'!$H$2:$I$86,2)</f>
        <v>4480</v>
      </c>
      <c r="F3460" s="0" t="n">
        <f aca="false">IF(C3460&gt;1,IF(C3460&lt;99,VLOOKUP(C3460,'MSA-Lookup'!$H$1:$I$86,2),C3460),C3460)</f>
        <v>6920</v>
      </c>
      <c r="G3460" s="0" t="n">
        <f aca="false">VLOOKUP(E3460,'MSA-Lookup'!$AA$1:$AB$25,2)</f>
        <v>4472</v>
      </c>
      <c r="H3460" s="0" t="n">
        <f aca="false">IF(C3460&gt;1,IF(C3460&lt;99,VLOOKUP(F3460,'MSA-Lookup'!$AA$1:$AB$25,2),C3460),C3460)</f>
        <v>6920</v>
      </c>
    </row>
    <row r="3461" customFormat="false" ht="12.75" hidden="false" customHeight="false" outlineLevel="0" collapsed="false">
      <c r="A3461" s="0" t="n">
        <f aca="false">B3461*1000+C3461</f>
        <v>52030</v>
      </c>
      <c r="B3461" s="0" t="n">
        <v>52</v>
      </c>
      <c r="C3461" s="0" t="n">
        <v>30</v>
      </c>
      <c r="D3461" s="0" t="n">
        <v>0</v>
      </c>
      <c r="E3461" s="0" t="n">
        <f aca="false">VLOOKUP(B3461,'MSA-Lookup'!$H$2:$I$86,2)</f>
        <v>4480</v>
      </c>
      <c r="F3461" s="0" t="n">
        <f aca="false">IF(C3461&gt;1,IF(C3461&lt;99,VLOOKUP(C3461,'MSA-Lookup'!$H$1:$I$86,2),C3461),C3461)</f>
        <v>4940</v>
      </c>
      <c r="G3461" s="0" t="n">
        <f aca="false">VLOOKUP(E3461,'MSA-Lookup'!$AA$1:$AB$25,2)</f>
        <v>4472</v>
      </c>
      <c r="H3461" s="0" t="n">
        <f aca="false">IF(C3461&gt;1,IF(C3461&lt;99,VLOOKUP(F3461,'MSA-Lookup'!$AA$1:$AB$25,2),C3461),C3461)</f>
        <v>4940</v>
      </c>
    </row>
    <row r="3462" customFormat="false" ht="12.75" hidden="false" customHeight="false" outlineLevel="0" collapsed="false">
      <c r="A3462" s="0" t="n">
        <f aca="false">B3462*1000+C3462</f>
        <v>52031</v>
      </c>
      <c r="B3462" s="0" t="n">
        <v>52</v>
      </c>
      <c r="C3462" s="0" t="n">
        <v>31</v>
      </c>
      <c r="D3462" s="0" t="n">
        <v>156</v>
      </c>
      <c r="E3462" s="0" t="n">
        <f aca="false">VLOOKUP(B3462,'MSA-Lookup'!$H$2:$I$86,2)</f>
        <v>4480</v>
      </c>
      <c r="F3462" s="0" t="n">
        <f aca="false">IF(C3462&gt;1,IF(C3462&lt;99,VLOOKUP(C3462,'MSA-Lookup'!$H$1:$I$86,2),C3462),C3462)</f>
        <v>9999</v>
      </c>
      <c r="G3462" s="0" t="n">
        <f aca="false">VLOOKUP(E3462,'MSA-Lookup'!$AA$1:$AB$25,2)</f>
        <v>4472</v>
      </c>
      <c r="H3462" s="0" t="n">
        <f aca="false">IF(C3462&gt;1,IF(C3462&lt;99,VLOOKUP(F3462,'MSA-Lookup'!$AA$1:$AB$25,2),C3462),C3462)</f>
        <v>9999</v>
      </c>
    </row>
    <row r="3463" customFormat="false" ht="12.75" hidden="false" customHeight="false" outlineLevel="0" collapsed="false">
      <c r="A3463" s="0" t="n">
        <f aca="false">B3463*1000+C3463</f>
        <v>52032</v>
      </c>
      <c r="B3463" s="0" t="n">
        <v>52</v>
      </c>
      <c r="C3463" s="0" t="n">
        <v>32</v>
      </c>
      <c r="D3463" s="0" t="n">
        <v>0</v>
      </c>
      <c r="E3463" s="0" t="n">
        <f aca="false">VLOOKUP(B3463,'MSA-Lookup'!$H$2:$I$86,2)</f>
        <v>4480</v>
      </c>
      <c r="F3463" s="0" t="n">
        <f aca="false">IF(C3463&gt;1,IF(C3463&lt;99,VLOOKUP(C3463,'MSA-Lookup'!$H$1:$I$86,2),C3463),C3463)</f>
        <v>7480</v>
      </c>
      <c r="G3463" s="0" t="n">
        <f aca="false">VLOOKUP(E3463,'MSA-Lookup'!$AA$1:$AB$25,2)</f>
        <v>4472</v>
      </c>
      <c r="H3463" s="0" t="n">
        <f aca="false">IF(C3463&gt;1,IF(C3463&lt;99,VLOOKUP(F3463,'MSA-Lookup'!$AA$1:$AB$25,2),C3463),C3463)</f>
        <v>7480</v>
      </c>
    </row>
    <row r="3464" customFormat="false" ht="12.75" hidden="false" customHeight="false" outlineLevel="0" collapsed="false">
      <c r="A3464" s="0" t="n">
        <f aca="false">B3464*1000+C3464</f>
        <v>52033</v>
      </c>
      <c r="B3464" s="0" t="n">
        <v>52</v>
      </c>
      <c r="C3464" s="0" t="n">
        <v>33</v>
      </c>
      <c r="D3464" s="0" t="n">
        <v>52</v>
      </c>
      <c r="E3464" s="0" t="n">
        <f aca="false">VLOOKUP(B3464,'MSA-Lookup'!$H$2:$I$86,2)</f>
        <v>4480</v>
      </c>
      <c r="F3464" s="0" t="n">
        <f aca="false">IF(C3464&gt;1,IF(C3464&lt;99,VLOOKUP(C3464,'MSA-Lookup'!$H$1:$I$86,2),C3464),C3464)</f>
        <v>7320</v>
      </c>
      <c r="G3464" s="0" t="n">
        <f aca="false">VLOOKUP(E3464,'MSA-Lookup'!$AA$1:$AB$25,2)</f>
        <v>4472</v>
      </c>
      <c r="H3464" s="0" t="n">
        <f aca="false">IF(C3464&gt;1,IF(C3464&lt;99,VLOOKUP(F3464,'MSA-Lookup'!$AA$1:$AB$25,2),C3464),C3464)</f>
        <v>7320</v>
      </c>
    </row>
    <row r="3465" customFormat="false" ht="12.75" hidden="false" customHeight="false" outlineLevel="0" collapsed="false">
      <c r="A3465" s="0" t="n">
        <f aca="false">B3465*1000+C3465</f>
        <v>52034</v>
      </c>
      <c r="B3465" s="0" t="n">
        <v>52</v>
      </c>
      <c r="C3465" s="0" t="n">
        <v>34</v>
      </c>
      <c r="D3465" s="0" t="n">
        <v>0</v>
      </c>
      <c r="E3465" s="0" t="n">
        <f aca="false">VLOOKUP(B3465,'MSA-Lookup'!$H$2:$I$86,2)</f>
        <v>4480</v>
      </c>
      <c r="F3465" s="0" t="n">
        <f aca="false">IF(C3465&gt;1,IF(C3465&lt;99,VLOOKUP(C3465,'MSA-Lookup'!$H$1:$I$86,2),C3465),C3465)</f>
        <v>7320</v>
      </c>
      <c r="G3465" s="0" t="n">
        <f aca="false">VLOOKUP(E3465,'MSA-Lookup'!$AA$1:$AB$25,2)</f>
        <v>4472</v>
      </c>
      <c r="H3465" s="0" t="n">
        <f aca="false">IF(C3465&gt;1,IF(C3465&lt;99,VLOOKUP(F3465,'MSA-Lookup'!$AA$1:$AB$25,2),C3465),C3465)</f>
        <v>7320</v>
      </c>
    </row>
    <row r="3466" customFormat="false" ht="12.75" hidden="false" customHeight="false" outlineLevel="0" collapsed="false">
      <c r="A3466" s="0" t="n">
        <f aca="false">B3466*1000+C3466</f>
        <v>52035</v>
      </c>
      <c r="B3466" s="0" t="n">
        <v>52</v>
      </c>
      <c r="C3466" s="0" t="n">
        <v>35</v>
      </c>
      <c r="D3466" s="0" t="n">
        <v>0</v>
      </c>
      <c r="E3466" s="0" t="n">
        <f aca="false">VLOOKUP(B3466,'MSA-Lookup'!$H$2:$I$86,2)</f>
        <v>4480</v>
      </c>
      <c r="F3466" s="0" t="n">
        <f aca="false">IF(C3466&gt;1,IF(C3466&lt;99,VLOOKUP(C3466,'MSA-Lookup'!$H$1:$I$86,2),C3466),C3466)</f>
        <v>7320</v>
      </c>
      <c r="G3466" s="0" t="n">
        <f aca="false">VLOOKUP(E3466,'MSA-Lookup'!$AA$1:$AB$25,2)</f>
        <v>4472</v>
      </c>
      <c r="H3466" s="0" t="n">
        <f aca="false">IF(C3466&gt;1,IF(C3466&lt;99,VLOOKUP(F3466,'MSA-Lookup'!$AA$1:$AB$25,2),C3466),C3466)</f>
        <v>7320</v>
      </c>
    </row>
    <row r="3467" customFormat="false" ht="12.75" hidden="false" customHeight="false" outlineLevel="0" collapsed="false">
      <c r="A3467" s="0" t="n">
        <f aca="false">B3467*1000+C3467</f>
        <v>52036</v>
      </c>
      <c r="B3467" s="0" t="n">
        <v>52</v>
      </c>
      <c r="C3467" s="0" t="n">
        <v>36</v>
      </c>
      <c r="D3467" s="0" t="n">
        <v>0</v>
      </c>
      <c r="E3467" s="0" t="n">
        <f aca="false">VLOOKUP(B3467,'MSA-Lookup'!$H$2:$I$86,2)</f>
        <v>4480</v>
      </c>
      <c r="F3467" s="0" t="n">
        <f aca="false">IF(C3467&gt;1,IF(C3467&lt;99,VLOOKUP(C3467,'MSA-Lookup'!$H$1:$I$86,2),C3467),C3467)</f>
        <v>7320</v>
      </c>
      <c r="G3467" s="0" t="n">
        <f aca="false">VLOOKUP(E3467,'MSA-Lookup'!$AA$1:$AB$25,2)</f>
        <v>4472</v>
      </c>
      <c r="H3467" s="0" t="n">
        <f aca="false">IF(C3467&gt;1,IF(C3467&lt;99,VLOOKUP(F3467,'MSA-Lookup'!$AA$1:$AB$25,2),C3467),C3467)</f>
        <v>7320</v>
      </c>
    </row>
    <row r="3468" customFormat="false" ht="12.75" hidden="false" customHeight="false" outlineLevel="0" collapsed="false">
      <c r="A3468" s="0" t="n">
        <f aca="false">B3468*1000+C3468</f>
        <v>52037</v>
      </c>
      <c r="B3468" s="0" t="n">
        <v>52</v>
      </c>
      <c r="C3468" s="0" t="n">
        <v>37</v>
      </c>
      <c r="D3468" s="0" t="n">
        <v>0</v>
      </c>
      <c r="E3468" s="0" t="n">
        <f aca="false">VLOOKUP(B3468,'MSA-Lookup'!$H$2:$I$86,2)</f>
        <v>4480</v>
      </c>
      <c r="F3468" s="0" t="n">
        <f aca="false">IF(C3468&gt;1,IF(C3468&lt;99,VLOOKUP(C3468,'MSA-Lookup'!$H$1:$I$86,2),C3468),C3468)</f>
        <v>7320</v>
      </c>
      <c r="G3468" s="0" t="n">
        <f aca="false">VLOOKUP(E3468,'MSA-Lookup'!$AA$1:$AB$25,2)</f>
        <v>4472</v>
      </c>
      <c r="H3468" s="0" t="n">
        <f aca="false">IF(C3468&gt;1,IF(C3468&lt;99,VLOOKUP(F3468,'MSA-Lookup'!$AA$1:$AB$25,2),C3468),C3468)</f>
        <v>7320</v>
      </c>
    </row>
    <row r="3469" customFormat="false" ht="12.75" hidden="false" customHeight="false" outlineLevel="0" collapsed="false">
      <c r="A3469" s="0" t="n">
        <f aca="false">B3469*1000+C3469</f>
        <v>52038</v>
      </c>
      <c r="B3469" s="0" t="n">
        <v>52</v>
      </c>
      <c r="C3469" s="0" t="n">
        <v>38</v>
      </c>
      <c r="D3469" s="0" t="n">
        <v>0</v>
      </c>
      <c r="E3469" s="0" t="n">
        <f aca="false">VLOOKUP(B3469,'MSA-Lookup'!$H$2:$I$86,2)</f>
        <v>4480</v>
      </c>
      <c r="F3469" s="0" t="n">
        <f aca="false">IF(C3469&gt;1,IF(C3469&lt;99,VLOOKUP(C3469,'MSA-Lookup'!$H$1:$I$86,2),C3469),C3469)</f>
        <v>7120</v>
      </c>
      <c r="G3469" s="0" t="n">
        <f aca="false">VLOOKUP(E3469,'MSA-Lookup'!$AA$1:$AB$25,2)</f>
        <v>4472</v>
      </c>
      <c r="H3469" s="0" t="n">
        <f aca="false">IF(C3469&gt;1,IF(C3469&lt;99,VLOOKUP(F3469,'MSA-Lookup'!$AA$1:$AB$25,2),C3469),C3469)</f>
        <v>7120</v>
      </c>
    </row>
    <row r="3470" customFormat="false" ht="12.75" hidden="false" customHeight="false" outlineLevel="0" collapsed="false">
      <c r="A3470" s="0" t="n">
        <f aca="false">B3470*1000+C3470</f>
        <v>52039</v>
      </c>
      <c r="B3470" s="0" t="n">
        <v>52</v>
      </c>
      <c r="C3470" s="0" t="n">
        <v>39</v>
      </c>
      <c r="D3470" s="0" t="n">
        <v>0</v>
      </c>
      <c r="E3470" s="0" t="n">
        <f aca="false">VLOOKUP(B3470,'MSA-Lookup'!$H$2:$I$86,2)</f>
        <v>4480</v>
      </c>
      <c r="F3470" s="0" t="n">
        <f aca="false">IF(C3470&gt;1,IF(C3470&lt;99,VLOOKUP(C3470,'MSA-Lookup'!$H$1:$I$86,2),C3470),C3470)</f>
        <v>7120</v>
      </c>
      <c r="G3470" s="0" t="n">
        <f aca="false">VLOOKUP(E3470,'MSA-Lookup'!$AA$1:$AB$25,2)</f>
        <v>4472</v>
      </c>
      <c r="H3470" s="0" t="n">
        <f aca="false">IF(C3470&gt;1,IF(C3470&lt;99,VLOOKUP(F3470,'MSA-Lookup'!$AA$1:$AB$25,2),C3470),C3470)</f>
        <v>7120</v>
      </c>
    </row>
    <row r="3471" customFormat="false" ht="12.75" hidden="false" customHeight="false" outlineLevel="0" collapsed="false">
      <c r="A3471" s="0" t="n">
        <f aca="false">B3471*1000+C3471</f>
        <v>52040</v>
      </c>
      <c r="B3471" s="0" t="n">
        <v>52</v>
      </c>
      <c r="C3471" s="0" t="n">
        <v>40</v>
      </c>
      <c r="D3471" s="0" t="n">
        <v>0</v>
      </c>
      <c r="E3471" s="0" t="n">
        <f aca="false">VLOOKUP(B3471,'MSA-Lookup'!$H$2:$I$86,2)</f>
        <v>4480</v>
      </c>
      <c r="F3471" s="0" t="n">
        <f aca="false">IF(C3471&gt;1,IF(C3471&lt;99,VLOOKUP(C3471,'MSA-Lookup'!$H$1:$I$86,2),C3471),C3471)</f>
        <v>2840</v>
      </c>
      <c r="G3471" s="0" t="n">
        <f aca="false">VLOOKUP(E3471,'MSA-Lookup'!$AA$1:$AB$25,2)</f>
        <v>4472</v>
      </c>
      <c r="H3471" s="0" t="n">
        <f aca="false">IF(C3471&gt;1,IF(C3471&lt;99,VLOOKUP(F3471,'MSA-Lookup'!$AA$1:$AB$25,2),C3471),C3471)</f>
        <v>2840</v>
      </c>
    </row>
    <row r="3472" customFormat="false" ht="12.75" hidden="false" customHeight="false" outlineLevel="0" collapsed="false">
      <c r="A3472" s="0" t="n">
        <f aca="false">B3472*1000+C3472</f>
        <v>52041</v>
      </c>
      <c r="B3472" s="0" t="n">
        <v>52</v>
      </c>
      <c r="C3472" s="0" t="n">
        <v>41</v>
      </c>
      <c r="D3472" s="0" t="n">
        <v>0</v>
      </c>
      <c r="E3472" s="0" t="n">
        <f aca="false">VLOOKUP(B3472,'MSA-Lookup'!$H$2:$I$86,2)</f>
        <v>4480</v>
      </c>
      <c r="F3472" s="0" t="n">
        <f aca="false">IF(C3472&gt;1,IF(C3472&lt;99,VLOOKUP(C3472,'MSA-Lookup'!$H$1:$I$86,2),C3472),C3472)</f>
        <v>2840</v>
      </c>
      <c r="G3472" s="0" t="n">
        <f aca="false">VLOOKUP(E3472,'MSA-Lookup'!$AA$1:$AB$25,2)</f>
        <v>4472</v>
      </c>
      <c r="H3472" s="0" t="n">
        <f aca="false">IF(C3472&gt;1,IF(C3472&lt;99,VLOOKUP(F3472,'MSA-Lookup'!$AA$1:$AB$25,2),C3472),C3472)</f>
        <v>2840</v>
      </c>
    </row>
    <row r="3473" customFormat="false" ht="12.75" hidden="false" customHeight="false" outlineLevel="0" collapsed="false">
      <c r="A3473" s="0" t="n">
        <f aca="false">B3473*1000+C3473</f>
        <v>52042</v>
      </c>
      <c r="B3473" s="0" t="n">
        <v>52</v>
      </c>
      <c r="C3473" s="0" t="n">
        <v>42</v>
      </c>
      <c r="D3473" s="0" t="n">
        <v>0</v>
      </c>
      <c r="E3473" s="0" t="n">
        <f aca="false">VLOOKUP(B3473,'MSA-Lookup'!$H$2:$I$86,2)</f>
        <v>4480</v>
      </c>
      <c r="F3473" s="0" t="n">
        <f aca="false">IF(C3473&gt;1,IF(C3473&lt;99,VLOOKUP(C3473,'MSA-Lookup'!$H$1:$I$86,2),C3473),C3473)</f>
        <v>360</v>
      </c>
      <c r="G3473" s="0" t="n">
        <f aca="false">VLOOKUP(E3473,'MSA-Lookup'!$AA$1:$AB$25,2)</f>
        <v>4472</v>
      </c>
      <c r="H3473" s="0" t="n">
        <f aca="false">IF(C3473&gt;1,IF(C3473&lt;99,VLOOKUP(F3473,'MSA-Lookup'!$AA$1:$AB$25,2),C3473),C3473)</f>
        <v>4472</v>
      </c>
    </row>
    <row r="3474" customFormat="false" ht="12.75" hidden="false" customHeight="false" outlineLevel="0" collapsed="false">
      <c r="A3474" s="0" t="n">
        <f aca="false">B3474*1000+C3474</f>
        <v>52043</v>
      </c>
      <c r="B3474" s="0" t="n">
        <v>52</v>
      </c>
      <c r="C3474" s="0" t="n">
        <v>43</v>
      </c>
      <c r="D3474" s="0" t="n">
        <v>0</v>
      </c>
      <c r="E3474" s="0" t="n">
        <f aca="false">VLOOKUP(B3474,'MSA-Lookup'!$H$2:$I$86,2)</f>
        <v>4480</v>
      </c>
      <c r="F3474" s="0" t="n">
        <f aca="false">IF(C3474&gt;1,IF(C3474&lt;99,VLOOKUP(C3474,'MSA-Lookup'!$H$1:$I$86,2),C3474),C3474)</f>
        <v>360</v>
      </c>
      <c r="G3474" s="0" t="n">
        <f aca="false">VLOOKUP(E3474,'MSA-Lookup'!$AA$1:$AB$25,2)</f>
        <v>4472</v>
      </c>
      <c r="H3474" s="0" t="n">
        <f aca="false">IF(C3474&gt;1,IF(C3474&lt;99,VLOOKUP(F3474,'MSA-Lookup'!$AA$1:$AB$25,2),C3474),C3474)</f>
        <v>4472</v>
      </c>
    </row>
    <row r="3475" customFormat="false" ht="12.75" hidden="false" customHeight="false" outlineLevel="0" collapsed="false">
      <c r="A3475" s="0" t="n">
        <f aca="false">B3475*1000+C3475</f>
        <v>52044</v>
      </c>
      <c r="B3475" s="0" t="n">
        <v>52</v>
      </c>
      <c r="C3475" s="0" t="n">
        <v>44</v>
      </c>
      <c r="D3475" s="0" t="n">
        <v>0</v>
      </c>
      <c r="E3475" s="0" t="n">
        <f aca="false">VLOOKUP(B3475,'MSA-Lookup'!$H$2:$I$86,2)</f>
        <v>4480</v>
      </c>
      <c r="F3475" s="0" t="n">
        <f aca="false">IF(C3475&gt;1,IF(C3475&lt;99,VLOOKUP(C3475,'MSA-Lookup'!$H$1:$I$86,2),C3475),C3475)</f>
        <v>360</v>
      </c>
      <c r="G3475" s="0" t="n">
        <f aca="false">VLOOKUP(E3475,'MSA-Lookup'!$AA$1:$AB$25,2)</f>
        <v>4472</v>
      </c>
      <c r="H3475" s="0" t="n">
        <f aca="false">IF(C3475&gt;1,IF(C3475&lt;99,VLOOKUP(F3475,'MSA-Lookup'!$AA$1:$AB$25,2),C3475),C3475)</f>
        <v>4472</v>
      </c>
    </row>
    <row r="3476" customFormat="false" ht="12.75" hidden="false" customHeight="false" outlineLevel="0" collapsed="false">
      <c r="A3476" s="0" t="n">
        <f aca="false">B3476*1000+C3476</f>
        <v>52045</v>
      </c>
      <c r="B3476" s="0" t="n">
        <v>52</v>
      </c>
      <c r="C3476" s="0" t="n">
        <v>45</v>
      </c>
      <c r="D3476" s="0" t="n">
        <v>0</v>
      </c>
      <c r="E3476" s="0" t="n">
        <f aca="false">VLOOKUP(B3476,'MSA-Lookup'!$H$2:$I$86,2)</f>
        <v>4480</v>
      </c>
      <c r="F3476" s="0" t="n">
        <f aca="false">IF(C3476&gt;1,IF(C3476&lt;99,VLOOKUP(C3476,'MSA-Lookup'!$H$1:$I$86,2),C3476),C3476)</f>
        <v>360</v>
      </c>
      <c r="G3476" s="0" t="n">
        <f aca="false">VLOOKUP(E3476,'MSA-Lookup'!$AA$1:$AB$25,2)</f>
        <v>4472</v>
      </c>
      <c r="H3476" s="0" t="n">
        <f aca="false">IF(C3476&gt;1,IF(C3476&lt;99,VLOOKUP(F3476,'MSA-Lookup'!$AA$1:$AB$25,2),C3476),C3476)</f>
        <v>4472</v>
      </c>
    </row>
    <row r="3477" customFormat="false" ht="12.75" hidden="false" customHeight="false" outlineLevel="0" collapsed="false">
      <c r="A3477" s="0" t="n">
        <f aca="false">B3477*1000+C3477</f>
        <v>52046</v>
      </c>
      <c r="B3477" s="0" t="n">
        <v>52</v>
      </c>
      <c r="C3477" s="0" t="n">
        <v>46</v>
      </c>
      <c r="D3477" s="0" t="n">
        <v>104</v>
      </c>
      <c r="E3477" s="0" t="n">
        <f aca="false">VLOOKUP(B3477,'MSA-Lookup'!$H$2:$I$86,2)</f>
        <v>4480</v>
      </c>
      <c r="F3477" s="0" t="n">
        <f aca="false">IF(C3477&gt;1,IF(C3477&lt;99,VLOOKUP(C3477,'MSA-Lookup'!$H$1:$I$86,2),C3477),C3477)</f>
        <v>360</v>
      </c>
      <c r="G3477" s="0" t="n">
        <f aca="false">VLOOKUP(E3477,'MSA-Lookup'!$AA$1:$AB$25,2)</f>
        <v>4472</v>
      </c>
      <c r="H3477" s="0" t="n">
        <f aca="false">IF(C3477&gt;1,IF(C3477&lt;99,VLOOKUP(F3477,'MSA-Lookup'!$AA$1:$AB$25,2),C3477),C3477)</f>
        <v>4472</v>
      </c>
    </row>
    <row r="3478" customFormat="false" ht="12.75" hidden="false" customHeight="false" outlineLevel="0" collapsed="false">
      <c r="A3478" s="0" t="n">
        <f aca="false">B3478*1000+C3478</f>
        <v>52047</v>
      </c>
      <c r="B3478" s="0" t="n">
        <v>52</v>
      </c>
      <c r="C3478" s="0" t="n">
        <v>47</v>
      </c>
      <c r="D3478" s="0" t="n">
        <v>0</v>
      </c>
      <c r="E3478" s="0" t="n">
        <f aca="false">VLOOKUP(B3478,'MSA-Lookup'!$H$2:$I$86,2)</f>
        <v>4480</v>
      </c>
      <c r="F3478" s="0" t="n">
        <f aca="false">IF(C3478&gt;1,IF(C3478&lt;99,VLOOKUP(C3478,'MSA-Lookup'!$H$1:$I$86,2),C3478),C3478)</f>
        <v>360</v>
      </c>
      <c r="G3478" s="0" t="n">
        <f aca="false">VLOOKUP(E3478,'MSA-Lookup'!$AA$1:$AB$25,2)</f>
        <v>4472</v>
      </c>
      <c r="H3478" s="0" t="n">
        <f aca="false">IF(C3478&gt;1,IF(C3478&lt;99,VLOOKUP(F3478,'MSA-Lookup'!$AA$1:$AB$25,2),C3478),C3478)</f>
        <v>4472</v>
      </c>
    </row>
    <row r="3479" customFormat="false" ht="12.75" hidden="false" customHeight="false" outlineLevel="0" collapsed="false">
      <c r="A3479" s="0" t="n">
        <f aca="false">B3479*1000+C3479</f>
        <v>52048</v>
      </c>
      <c r="B3479" s="0" t="n">
        <v>52</v>
      </c>
      <c r="C3479" s="0" t="n">
        <v>48</v>
      </c>
      <c r="D3479" s="0" t="n">
        <v>338</v>
      </c>
      <c r="E3479" s="0" t="n">
        <f aca="false">VLOOKUP(B3479,'MSA-Lookup'!$H$2:$I$86,2)</f>
        <v>4480</v>
      </c>
      <c r="F3479" s="0" t="n">
        <f aca="false">IF(C3479&gt;1,IF(C3479&lt;99,VLOOKUP(C3479,'MSA-Lookup'!$H$1:$I$86,2),C3479),C3479)</f>
        <v>360</v>
      </c>
      <c r="G3479" s="0" t="n">
        <f aca="false">VLOOKUP(E3479,'MSA-Lookup'!$AA$1:$AB$25,2)</f>
        <v>4472</v>
      </c>
      <c r="H3479" s="0" t="n">
        <f aca="false">IF(C3479&gt;1,IF(C3479&lt;99,VLOOKUP(F3479,'MSA-Lookup'!$AA$1:$AB$25,2),C3479),C3479)</f>
        <v>4472</v>
      </c>
    </row>
    <row r="3480" customFormat="false" ht="12.75" hidden="false" customHeight="false" outlineLevel="0" collapsed="false">
      <c r="A3480" s="0" t="n">
        <f aca="false">B3480*1000+C3480</f>
        <v>52049</v>
      </c>
      <c r="B3480" s="0" t="n">
        <v>52</v>
      </c>
      <c r="C3480" s="0" t="n">
        <v>49</v>
      </c>
      <c r="D3480" s="0" t="n">
        <v>0</v>
      </c>
      <c r="E3480" s="0" t="n">
        <f aca="false">VLOOKUP(B3480,'MSA-Lookup'!$H$2:$I$86,2)</f>
        <v>4480</v>
      </c>
      <c r="F3480" s="0" t="n">
        <f aca="false">IF(C3480&gt;1,IF(C3480&lt;99,VLOOKUP(C3480,'MSA-Lookup'!$H$1:$I$86,2),C3480),C3480)</f>
        <v>7400</v>
      </c>
      <c r="G3480" s="0" t="n">
        <f aca="false">VLOOKUP(E3480,'MSA-Lookup'!$AA$1:$AB$25,2)</f>
        <v>4472</v>
      </c>
      <c r="H3480" s="0" t="n">
        <f aca="false">IF(C3480&gt;1,IF(C3480&lt;99,VLOOKUP(F3480,'MSA-Lookup'!$AA$1:$AB$25,2),C3480),C3480)</f>
        <v>7362</v>
      </c>
    </row>
    <row r="3481" customFormat="false" ht="12.75" hidden="false" customHeight="false" outlineLevel="0" collapsed="false">
      <c r="A3481" s="0" t="n">
        <f aca="false">B3481*1000+C3481</f>
        <v>52050</v>
      </c>
      <c r="B3481" s="0" t="n">
        <v>52</v>
      </c>
      <c r="C3481" s="0" t="n">
        <v>50</v>
      </c>
      <c r="D3481" s="0" t="n">
        <v>0</v>
      </c>
      <c r="E3481" s="0" t="n">
        <f aca="false">VLOOKUP(B3481,'MSA-Lookup'!$H$2:$I$86,2)</f>
        <v>4480</v>
      </c>
      <c r="F3481" s="0" t="n">
        <f aca="false">IF(C3481&gt;1,IF(C3481&lt;99,VLOOKUP(C3481,'MSA-Lookup'!$H$1:$I$86,2),C3481),C3481)</f>
        <v>7400</v>
      </c>
      <c r="G3481" s="0" t="n">
        <f aca="false">VLOOKUP(E3481,'MSA-Lookup'!$AA$1:$AB$25,2)</f>
        <v>4472</v>
      </c>
      <c r="H3481" s="0" t="n">
        <f aca="false">IF(C3481&gt;1,IF(C3481&lt;99,VLOOKUP(F3481,'MSA-Lookup'!$AA$1:$AB$25,2),C3481),C3481)</f>
        <v>7362</v>
      </c>
    </row>
    <row r="3482" customFormat="false" ht="12.75" hidden="false" customHeight="false" outlineLevel="0" collapsed="false">
      <c r="A3482" s="0" t="n">
        <f aca="false">B3482*1000+C3482</f>
        <v>52051</v>
      </c>
      <c r="B3482" s="0" t="n">
        <v>52</v>
      </c>
      <c r="C3482" s="0" t="n">
        <v>51</v>
      </c>
      <c r="D3482" s="0" t="n">
        <v>0</v>
      </c>
      <c r="E3482" s="0" t="n">
        <f aca="false">VLOOKUP(B3482,'MSA-Lookup'!$H$2:$I$86,2)</f>
        <v>4480</v>
      </c>
      <c r="F3482" s="0" t="n">
        <f aca="false">IF(C3482&gt;1,IF(C3482&lt;99,VLOOKUP(C3482,'MSA-Lookup'!$H$1:$I$86,2),C3482),C3482)</f>
        <v>7400</v>
      </c>
      <c r="G3482" s="0" t="n">
        <f aca="false">VLOOKUP(E3482,'MSA-Lookup'!$AA$1:$AB$25,2)</f>
        <v>4472</v>
      </c>
      <c r="H3482" s="0" t="n">
        <f aca="false">IF(C3482&gt;1,IF(C3482&lt;99,VLOOKUP(F3482,'MSA-Lookup'!$AA$1:$AB$25,2),C3482),C3482)</f>
        <v>7362</v>
      </c>
    </row>
    <row r="3483" customFormat="false" ht="12.75" hidden="false" customHeight="false" outlineLevel="0" collapsed="false">
      <c r="A3483" s="0" t="n">
        <f aca="false">B3483*1000+C3483</f>
        <v>52052</v>
      </c>
      <c r="B3483" s="0" t="n">
        <v>52</v>
      </c>
      <c r="C3483" s="0" t="n">
        <v>52</v>
      </c>
      <c r="D3483" s="0" t="n">
        <v>21307</v>
      </c>
      <c r="E3483" s="0" t="n">
        <f aca="false">VLOOKUP(B3483,'MSA-Lookup'!$H$2:$I$86,2)</f>
        <v>4480</v>
      </c>
      <c r="F3483" s="0" t="n">
        <f aca="false">IF(C3483&gt;1,IF(C3483&lt;99,VLOOKUP(C3483,'MSA-Lookup'!$H$1:$I$86,2),C3483),C3483)</f>
        <v>4480</v>
      </c>
      <c r="G3483" s="0" t="n">
        <f aca="false">VLOOKUP(E3483,'MSA-Lookup'!$AA$1:$AB$25,2)</f>
        <v>4472</v>
      </c>
      <c r="H3483" s="0" t="n">
        <f aca="false">IF(C3483&gt;1,IF(C3483&lt;99,VLOOKUP(F3483,'MSA-Lookup'!$AA$1:$AB$25,2),C3483),C3483)</f>
        <v>4472</v>
      </c>
    </row>
    <row r="3484" customFormat="false" ht="12.75" hidden="false" customHeight="false" outlineLevel="0" collapsed="false">
      <c r="A3484" s="0" t="n">
        <f aca="false">B3484*1000+C3484</f>
        <v>52053</v>
      </c>
      <c r="B3484" s="0" t="n">
        <v>52</v>
      </c>
      <c r="C3484" s="0" t="n">
        <v>53</v>
      </c>
      <c r="D3484" s="0" t="n">
        <v>5239</v>
      </c>
      <c r="E3484" s="0" t="n">
        <f aca="false">VLOOKUP(B3484,'MSA-Lookup'!$H$2:$I$86,2)</f>
        <v>4480</v>
      </c>
      <c r="F3484" s="0" t="n">
        <f aca="false">IF(C3484&gt;1,IF(C3484&lt;99,VLOOKUP(C3484,'MSA-Lookup'!$H$1:$I$86,2),C3484),C3484)</f>
        <v>4480</v>
      </c>
      <c r="G3484" s="0" t="n">
        <f aca="false">VLOOKUP(E3484,'MSA-Lookup'!$AA$1:$AB$25,2)</f>
        <v>4472</v>
      </c>
      <c r="H3484" s="0" t="n">
        <f aca="false">IF(C3484&gt;1,IF(C3484&lt;99,VLOOKUP(F3484,'MSA-Lookup'!$AA$1:$AB$25,2),C3484),C3484)</f>
        <v>4472</v>
      </c>
    </row>
    <row r="3485" customFormat="false" ht="12.75" hidden="false" customHeight="false" outlineLevel="0" collapsed="false">
      <c r="A3485" s="0" t="n">
        <f aca="false">B3485*1000+C3485</f>
        <v>52054</v>
      </c>
      <c r="B3485" s="0" t="n">
        <v>52</v>
      </c>
      <c r="C3485" s="0" t="n">
        <v>54</v>
      </c>
      <c r="D3485" s="0" t="n">
        <v>91</v>
      </c>
      <c r="E3485" s="0" t="n">
        <f aca="false">VLOOKUP(B3485,'MSA-Lookup'!$H$2:$I$86,2)</f>
        <v>4480</v>
      </c>
      <c r="F3485" s="0" t="n">
        <f aca="false">IF(C3485&gt;1,IF(C3485&lt;99,VLOOKUP(C3485,'MSA-Lookup'!$H$1:$I$86,2),C3485),C3485)</f>
        <v>4480</v>
      </c>
      <c r="G3485" s="0" t="n">
        <f aca="false">VLOOKUP(E3485,'MSA-Lookup'!$AA$1:$AB$25,2)</f>
        <v>4472</v>
      </c>
      <c r="H3485" s="0" t="n">
        <f aca="false">IF(C3485&gt;1,IF(C3485&lt;99,VLOOKUP(F3485,'MSA-Lookup'!$AA$1:$AB$25,2),C3485),C3485)</f>
        <v>4472</v>
      </c>
    </row>
    <row r="3486" customFormat="false" ht="12.75" hidden="false" customHeight="false" outlineLevel="0" collapsed="false">
      <c r="A3486" s="0" t="n">
        <f aca="false">B3486*1000+C3486</f>
        <v>52055</v>
      </c>
      <c r="B3486" s="0" t="n">
        <v>52</v>
      </c>
      <c r="C3486" s="0" t="n">
        <v>55</v>
      </c>
      <c r="D3486" s="0" t="n">
        <v>78</v>
      </c>
      <c r="E3486" s="0" t="n">
        <f aca="false">VLOOKUP(B3486,'MSA-Lookup'!$H$2:$I$86,2)</f>
        <v>4480</v>
      </c>
      <c r="F3486" s="0" t="n">
        <f aca="false">IF(C3486&gt;1,IF(C3486&lt;99,VLOOKUP(C3486,'MSA-Lookup'!$H$1:$I$86,2),C3486),C3486)</f>
        <v>4480</v>
      </c>
      <c r="G3486" s="0" t="n">
        <f aca="false">VLOOKUP(E3486,'MSA-Lookup'!$AA$1:$AB$25,2)</f>
        <v>4472</v>
      </c>
      <c r="H3486" s="0" t="n">
        <f aca="false">IF(C3486&gt;1,IF(C3486&lt;99,VLOOKUP(F3486,'MSA-Lookup'!$AA$1:$AB$25,2),C3486),C3486)</f>
        <v>4472</v>
      </c>
    </row>
    <row r="3487" customFormat="false" ht="12.75" hidden="false" customHeight="false" outlineLevel="0" collapsed="false">
      <c r="A3487" s="0" t="n">
        <f aca="false">B3487*1000+C3487</f>
        <v>52056</v>
      </c>
      <c r="B3487" s="0" t="n">
        <v>52</v>
      </c>
      <c r="C3487" s="0" t="n">
        <v>56</v>
      </c>
      <c r="D3487" s="0" t="n">
        <v>598</v>
      </c>
      <c r="E3487" s="0" t="n">
        <f aca="false">VLOOKUP(B3487,'MSA-Lookup'!$H$2:$I$86,2)</f>
        <v>4480</v>
      </c>
      <c r="F3487" s="0" t="n">
        <f aca="false">IF(C3487&gt;1,IF(C3487&lt;99,VLOOKUP(C3487,'MSA-Lookup'!$H$1:$I$86,2),C3487),C3487)</f>
        <v>4480</v>
      </c>
      <c r="G3487" s="0" t="n">
        <f aca="false">VLOOKUP(E3487,'MSA-Lookup'!$AA$1:$AB$25,2)</f>
        <v>4472</v>
      </c>
      <c r="H3487" s="0" t="n">
        <f aca="false">IF(C3487&gt;1,IF(C3487&lt;99,VLOOKUP(F3487,'MSA-Lookup'!$AA$1:$AB$25,2),C3487),C3487)</f>
        <v>4472</v>
      </c>
    </row>
    <row r="3488" customFormat="false" ht="12.75" hidden="false" customHeight="false" outlineLevel="0" collapsed="false">
      <c r="A3488" s="0" t="n">
        <f aca="false">B3488*1000+C3488</f>
        <v>52057</v>
      </c>
      <c r="B3488" s="0" t="n">
        <v>52</v>
      </c>
      <c r="C3488" s="0" t="n">
        <v>57</v>
      </c>
      <c r="D3488" s="0" t="n">
        <v>117</v>
      </c>
      <c r="E3488" s="0" t="n">
        <f aca="false">VLOOKUP(B3488,'MSA-Lookup'!$H$2:$I$86,2)</f>
        <v>4480</v>
      </c>
      <c r="F3488" s="0" t="n">
        <f aca="false">IF(C3488&gt;1,IF(C3488&lt;99,VLOOKUP(C3488,'MSA-Lookup'!$H$1:$I$86,2),C3488),C3488)</f>
        <v>4480</v>
      </c>
      <c r="G3488" s="0" t="n">
        <f aca="false">VLOOKUP(E3488,'MSA-Lookup'!$AA$1:$AB$25,2)</f>
        <v>4472</v>
      </c>
      <c r="H3488" s="0" t="n">
        <f aca="false">IF(C3488&gt;1,IF(C3488&lt;99,VLOOKUP(F3488,'MSA-Lookup'!$AA$1:$AB$25,2),C3488),C3488)</f>
        <v>4472</v>
      </c>
    </row>
    <row r="3489" customFormat="false" ht="12.75" hidden="false" customHeight="false" outlineLevel="0" collapsed="false">
      <c r="A3489" s="0" t="n">
        <f aca="false">B3489*1000+C3489</f>
        <v>52058</v>
      </c>
      <c r="B3489" s="0" t="n">
        <v>52</v>
      </c>
      <c r="C3489" s="0" t="n">
        <v>58</v>
      </c>
      <c r="D3489" s="0" t="n">
        <v>117</v>
      </c>
      <c r="E3489" s="0" t="n">
        <f aca="false">VLOOKUP(B3489,'MSA-Lookup'!$H$2:$I$86,2)</f>
        <v>4480</v>
      </c>
      <c r="F3489" s="0" t="n">
        <f aca="false">IF(C3489&gt;1,IF(C3489&lt;99,VLOOKUP(C3489,'MSA-Lookup'!$H$1:$I$86,2),C3489),C3489)</f>
        <v>4480</v>
      </c>
      <c r="G3489" s="0" t="n">
        <f aca="false">VLOOKUP(E3489,'MSA-Lookup'!$AA$1:$AB$25,2)</f>
        <v>4472</v>
      </c>
      <c r="H3489" s="0" t="n">
        <f aca="false">IF(C3489&gt;1,IF(C3489&lt;99,VLOOKUP(F3489,'MSA-Lookup'!$AA$1:$AB$25,2),C3489),C3489)</f>
        <v>4472</v>
      </c>
    </row>
    <row r="3490" customFormat="false" ht="12.75" hidden="false" customHeight="false" outlineLevel="0" collapsed="false">
      <c r="A3490" s="0" t="n">
        <f aca="false">B3490*1000+C3490</f>
        <v>52059</v>
      </c>
      <c r="B3490" s="0" t="n">
        <v>52</v>
      </c>
      <c r="C3490" s="0" t="n">
        <v>59</v>
      </c>
      <c r="D3490" s="0" t="n">
        <v>156</v>
      </c>
      <c r="E3490" s="0" t="n">
        <f aca="false">VLOOKUP(B3490,'MSA-Lookup'!$H$2:$I$86,2)</f>
        <v>4480</v>
      </c>
      <c r="F3490" s="0" t="n">
        <f aca="false">IF(C3490&gt;1,IF(C3490&lt;99,VLOOKUP(C3490,'MSA-Lookup'!$H$1:$I$86,2),C3490),C3490)</f>
        <v>4480</v>
      </c>
      <c r="G3490" s="0" t="n">
        <f aca="false">VLOOKUP(E3490,'MSA-Lookup'!$AA$1:$AB$25,2)</f>
        <v>4472</v>
      </c>
      <c r="H3490" s="0" t="n">
        <f aca="false">IF(C3490&gt;1,IF(C3490&lt;99,VLOOKUP(F3490,'MSA-Lookup'!$AA$1:$AB$25,2),C3490),C3490)</f>
        <v>4472</v>
      </c>
    </row>
    <row r="3491" customFormat="false" ht="12.75" hidden="false" customHeight="false" outlineLevel="0" collapsed="false">
      <c r="A3491" s="0" t="n">
        <f aca="false">B3491*1000+C3491</f>
        <v>52060</v>
      </c>
      <c r="B3491" s="0" t="n">
        <v>52</v>
      </c>
      <c r="C3491" s="0" t="n">
        <v>60</v>
      </c>
      <c r="D3491" s="0" t="n">
        <v>0</v>
      </c>
      <c r="E3491" s="0" t="n">
        <f aca="false">VLOOKUP(B3491,'MSA-Lookup'!$H$2:$I$86,2)</f>
        <v>4480</v>
      </c>
      <c r="F3491" s="0" t="n">
        <f aca="false">IF(C3491&gt;1,IF(C3491&lt;99,VLOOKUP(C3491,'MSA-Lookup'!$H$1:$I$86,2),C3491),C3491)</f>
        <v>4480</v>
      </c>
      <c r="G3491" s="0" t="n">
        <f aca="false">VLOOKUP(E3491,'MSA-Lookup'!$AA$1:$AB$25,2)</f>
        <v>4472</v>
      </c>
      <c r="H3491" s="0" t="n">
        <f aca="false">IF(C3491&gt;1,IF(C3491&lt;99,VLOOKUP(F3491,'MSA-Lookup'!$AA$1:$AB$25,2),C3491),C3491)</f>
        <v>4472</v>
      </c>
    </row>
    <row r="3492" customFormat="false" ht="12.75" hidden="false" customHeight="false" outlineLevel="0" collapsed="false">
      <c r="A3492" s="0" t="n">
        <f aca="false">B3492*1000+C3492</f>
        <v>52061</v>
      </c>
      <c r="B3492" s="0" t="n">
        <v>52</v>
      </c>
      <c r="C3492" s="0" t="n">
        <v>61</v>
      </c>
      <c r="D3492" s="0" t="n">
        <v>429</v>
      </c>
      <c r="E3492" s="0" t="n">
        <f aca="false">VLOOKUP(B3492,'MSA-Lookup'!$H$2:$I$86,2)</f>
        <v>4480</v>
      </c>
      <c r="F3492" s="0" t="n">
        <f aca="false">IF(C3492&gt;1,IF(C3492&lt;99,VLOOKUP(C3492,'MSA-Lookup'!$H$1:$I$86,2),C3492),C3492)</f>
        <v>4480</v>
      </c>
      <c r="G3492" s="0" t="n">
        <f aca="false">VLOOKUP(E3492,'MSA-Lookup'!$AA$1:$AB$25,2)</f>
        <v>4472</v>
      </c>
      <c r="H3492" s="0" t="n">
        <f aca="false">IF(C3492&gt;1,IF(C3492&lt;99,VLOOKUP(F3492,'MSA-Lookup'!$AA$1:$AB$25,2),C3492),C3492)</f>
        <v>4472</v>
      </c>
    </row>
    <row r="3493" customFormat="false" ht="12.75" hidden="false" customHeight="false" outlineLevel="0" collapsed="false">
      <c r="A3493" s="0" t="n">
        <f aca="false">B3493*1000+C3493</f>
        <v>52062</v>
      </c>
      <c r="B3493" s="0" t="n">
        <v>52</v>
      </c>
      <c r="C3493" s="0" t="n">
        <v>62</v>
      </c>
      <c r="D3493" s="0" t="n">
        <v>598</v>
      </c>
      <c r="E3493" s="0" t="n">
        <f aca="false">VLOOKUP(B3493,'MSA-Lookup'!$H$2:$I$86,2)</f>
        <v>4480</v>
      </c>
      <c r="F3493" s="0" t="n">
        <f aca="false">IF(C3493&gt;1,IF(C3493&lt;99,VLOOKUP(C3493,'MSA-Lookup'!$H$1:$I$86,2),C3493),C3493)</f>
        <v>4480</v>
      </c>
      <c r="G3493" s="0" t="n">
        <f aca="false">VLOOKUP(E3493,'MSA-Lookup'!$AA$1:$AB$25,2)</f>
        <v>4472</v>
      </c>
      <c r="H3493" s="0" t="n">
        <f aca="false">IF(C3493&gt;1,IF(C3493&lt;99,VLOOKUP(F3493,'MSA-Lookup'!$AA$1:$AB$25,2),C3493),C3493)</f>
        <v>4472</v>
      </c>
    </row>
    <row r="3494" customFormat="false" ht="12.75" hidden="false" customHeight="false" outlineLevel="0" collapsed="false">
      <c r="A3494" s="0" t="n">
        <f aca="false">B3494*1000+C3494</f>
        <v>52063</v>
      </c>
      <c r="B3494" s="0" t="n">
        <v>52</v>
      </c>
      <c r="C3494" s="0" t="n">
        <v>63</v>
      </c>
      <c r="D3494" s="0" t="n">
        <v>1053</v>
      </c>
      <c r="E3494" s="0" t="n">
        <f aca="false">VLOOKUP(B3494,'MSA-Lookup'!$H$2:$I$86,2)</f>
        <v>4480</v>
      </c>
      <c r="F3494" s="0" t="n">
        <f aca="false">IF(C3494&gt;1,IF(C3494&lt;99,VLOOKUP(C3494,'MSA-Lookup'!$H$1:$I$86,2),C3494),C3494)</f>
        <v>4480</v>
      </c>
      <c r="G3494" s="0" t="n">
        <f aca="false">VLOOKUP(E3494,'MSA-Lookup'!$AA$1:$AB$25,2)</f>
        <v>4472</v>
      </c>
      <c r="H3494" s="0" t="n">
        <f aca="false">IF(C3494&gt;1,IF(C3494&lt;99,VLOOKUP(F3494,'MSA-Lookup'!$AA$1:$AB$25,2),C3494),C3494)</f>
        <v>4472</v>
      </c>
    </row>
    <row r="3495" customFormat="false" ht="12.75" hidden="false" customHeight="false" outlineLevel="0" collapsed="false">
      <c r="A3495" s="0" t="n">
        <f aca="false">B3495*1000+C3495</f>
        <v>52064</v>
      </c>
      <c r="B3495" s="0" t="n">
        <v>52</v>
      </c>
      <c r="C3495" s="0" t="n">
        <v>64</v>
      </c>
      <c r="D3495" s="0" t="n">
        <v>3614</v>
      </c>
      <c r="E3495" s="0" t="n">
        <f aca="false">VLOOKUP(B3495,'MSA-Lookup'!$H$2:$I$86,2)</f>
        <v>4480</v>
      </c>
      <c r="F3495" s="0" t="n">
        <f aca="false">IF(C3495&gt;1,IF(C3495&lt;99,VLOOKUP(C3495,'MSA-Lookup'!$H$1:$I$86,2),C3495),C3495)</f>
        <v>4480</v>
      </c>
      <c r="G3495" s="0" t="n">
        <f aca="false">VLOOKUP(E3495,'MSA-Lookup'!$AA$1:$AB$25,2)</f>
        <v>4472</v>
      </c>
      <c r="H3495" s="0" t="n">
        <f aca="false">IF(C3495&gt;1,IF(C3495&lt;99,VLOOKUP(F3495,'MSA-Lookup'!$AA$1:$AB$25,2),C3495),C3495)</f>
        <v>4472</v>
      </c>
    </row>
    <row r="3496" customFormat="false" ht="12.75" hidden="false" customHeight="false" outlineLevel="0" collapsed="false">
      <c r="A3496" s="0" t="n">
        <f aca="false">B3496*1000+C3496</f>
        <v>52065</v>
      </c>
      <c r="B3496" s="0" t="n">
        <v>52</v>
      </c>
      <c r="C3496" s="0" t="n">
        <v>65</v>
      </c>
      <c r="D3496" s="0" t="n">
        <v>25688</v>
      </c>
      <c r="E3496" s="0" t="n">
        <f aca="false">VLOOKUP(B3496,'MSA-Lookup'!$H$2:$I$86,2)</f>
        <v>4480</v>
      </c>
      <c r="F3496" s="0" t="n">
        <f aca="false">IF(C3496&gt;1,IF(C3496&lt;99,VLOOKUP(C3496,'MSA-Lookup'!$H$1:$I$86,2),C3496),C3496)</f>
        <v>4480</v>
      </c>
      <c r="G3496" s="0" t="n">
        <f aca="false">VLOOKUP(E3496,'MSA-Lookup'!$AA$1:$AB$25,2)</f>
        <v>4472</v>
      </c>
      <c r="H3496" s="0" t="n">
        <f aca="false">IF(C3496&gt;1,IF(C3496&lt;99,VLOOKUP(F3496,'MSA-Lookup'!$AA$1:$AB$25,2),C3496),C3496)</f>
        <v>4472</v>
      </c>
    </row>
    <row r="3497" customFormat="false" ht="12.75" hidden="false" customHeight="false" outlineLevel="0" collapsed="false">
      <c r="A3497" s="0" t="n">
        <f aca="false">B3497*1000+C3497</f>
        <v>52066</v>
      </c>
      <c r="B3497" s="0" t="n">
        <v>52</v>
      </c>
      <c r="C3497" s="0" t="n">
        <v>66</v>
      </c>
      <c r="D3497" s="0" t="n">
        <v>52</v>
      </c>
      <c r="E3497" s="0" t="n">
        <f aca="false">VLOOKUP(B3497,'MSA-Lookup'!$H$2:$I$86,2)</f>
        <v>4480</v>
      </c>
      <c r="F3497" s="0" t="n">
        <f aca="false">IF(C3497&gt;1,IF(C3497&lt;99,VLOOKUP(C3497,'MSA-Lookup'!$H$1:$I$86,2),C3497),C3497)</f>
        <v>4480</v>
      </c>
      <c r="G3497" s="0" t="n">
        <f aca="false">VLOOKUP(E3497,'MSA-Lookup'!$AA$1:$AB$25,2)</f>
        <v>4472</v>
      </c>
      <c r="H3497" s="0" t="n">
        <f aca="false">IF(C3497&gt;1,IF(C3497&lt;99,VLOOKUP(F3497,'MSA-Lookup'!$AA$1:$AB$25,2),C3497),C3497)</f>
        <v>4472</v>
      </c>
    </row>
    <row r="3498" customFormat="false" ht="12.75" hidden="false" customHeight="false" outlineLevel="0" collapsed="false">
      <c r="A3498" s="0" t="n">
        <f aca="false">B3498*1000+C3498</f>
        <v>52067</v>
      </c>
      <c r="B3498" s="0" t="n">
        <v>52</v>
      </c>
      <c r="C3498" s="0" t="n">
        <v>67</v>
      </c>
      <c r="D3498" s="0" t="n">
        <v>260</v>
      </c>
      <c r="E3498" s="0" t="n">
        <f aca="false">VLOOKUP(B3498,'MSA-Lookup'!$H$2:$I$86,2)</f>
        <v>4480</v>
      </c>
      <c r="F3498" s="0" t="n">
        <f aca="false">IF(C3498&gt;1,IF(C3498&lt;99,VLOOKUP(C3498,'MSA-Lookup'!$H$1:$I$86,2),C3498),C3498)</f>
        <v>6000</v>
      </c>
      <c r="G3498" s="0" t="n">
        <f aca="false">VLOOKUP(E3498,'MSA-Lookup'!$AA$1:$AB$25,2)</f>
        <v>4472</v>
      </c>
      <c r="H3498" s="0" t="n">
        <f aca="false">IF(C3498&gt;1,IF(C3498&lt;99,VLOOKUP(F3498,'MSA-Lookup'!$AA$1:$AB$25,2),C3498),C3498)</f>
        <v>4472</v>
      </c>
    </row>
    <row r="3499" customFormat="false" ht="12.75" hidden="false" customHeight="false" outlineLevel="0" collapsed="false">
      <c r="A3499" s="0" t="n">
        <f aca="false">B3499*1000+C3499</f>
        <v>52068</v>
      </c>
      <c r="B3499" s="0" t="n">
        <v>52</v>
      </c>
      <c r="C3499" s="0" t="n">
        <v>68</v>
      </c>
      <c r="D3499" s="0" t="n">
        <v>182</v>
      </c>
      <c r="E3499" s="0" t="n">
        <f aca="false">VLOOKUP(B3499,'MSA-Lookup'!$H$2:$I$86,2)</f>
        <v>4480</v>
      </c>
      <c r="F3499" s="0" t="n">
        <f aca="false">IF(C3499&gt;1,IF(C3499&lt;99,VLOOKUP(C3499,'MSA-Lookup'!$H$1:$I$86,2),C3499),C3499)</f>
        <v>6780</v>
      </c>
      <c r="G3499" s="0" t="n">
        <f aca="false">VLOOKUP(E3499,'MSA-Lookup'!$AA$1:$AB$25,2)</f>
        <v>4472</v>
      </c>
      <c r="H3499" s="0" t="n">
        <f aca="false">IF(C3499&gt;1,IF(C3499&lt;99,VLOOKUP(F3499,'MSA-Lookup'!$AA$1:$AB$25,2),C3499),C3499)</f>
        <v>4472</v>
      </c>
    </row>
    <row r="3500" customFormat="false" ht="12.75" hidden="false" customHeight="false" outlineLevel="0" collapsed="false">
      <c r="A3500" s="0" t="n">
        <f aca="false">B3500*1000+C3500</f>
        <v>52069</v>
      </c>
      <c r="B3500" s="0" t="n">
        <v>52</v>
      </c>
      <c r="C3500" s="0" t="n">
        <v>69</v>
      </c>
      <c r="D3500" s="0" t="n">
        <v>117</v>
      </c>
      <c r="E3500" s="0" t="n">
        <f aca="false">VLOOKUP(B3500,'MSA-Lookup'!$H$2:$I$86,2)</f>
        <v>4480</v>
      </c>
      <c r="F3500" s="0" t="n">
        <f aca="false">IF(C3500&gt;1,IF(C3500&lt;99,VLOOKUP(C3500,'MSA-Lookup'!$H$1:$I$86,2),C3500),C3500)</f>
        <v>6780</v>
      </c>
      <c r="G3500" s="0" t="n">
        <f aca="false">VLOOKUP(E3500,'MSA-Lookup'!$AA$1:$AB$25,2)</f>
        <v>4472</v>
      </c>
      <c r="H3500" s="0" t="n">
        <f aca="false">IF(C3500&gt;1,IF(C3500&lt;99,VLOOKUP(F3500,'MSA-Lookup'!$AA$1:$AB$25,2),C3500),C3500)</f>
        <v>4472</v>
      </c>
    </row>
    <row r="3501" customFormat="false" ht="12.75" hidden="false" customHeight="false" outlineLevel="0" collapsed="false">
      <c r="A3501" s="0" t="n">
        <f aca="false">B3501*1000+C3501</f>
        <v>52070</v>
      </c>
      <c r="B3501" s="0" t="n">
        <v>52</v>
      </c>
      <c r="C3501" s="0" t="n">
        <v>70</v>
      </c>
      <c r="D3501" s="0" t="n">
        <v>0</v>
      </c>
      <c r="E3501" s="0" t="n">
        <f aca="false">VLOOKUP(B3501,'MSA-Lookup'!$H$2:$I$86,2)</f>
        <v>4480</v>
      </c>
      <c r="F3501" s="0" t="n">
        <f aca="false">IF(C3501&gt;1,IF(C3501&lt;99,VLOOKUP(C3501,'MSA-Lookup'!$H$1:$I$86,2),C3501),C3501)</f>
        <v>6780</v>
      </c>
      <c r="G3501" s="0" t="n">
        <f aca="false">VLOOKUP(E3501,'MSA-Lookup'!$AA$1:$AB$25,2)</f>
        <v>4472</v>
      </c>
      <c r="H3501" s="0" t="n">
        <f aca="false">IF(C3501&gt;1,IF(C3501&lt;99,VLOOKUP(F3501,'MSA-Lookup'!$AA$1:$AB$25,2),C3501),C3501)</f>
        <v>4472</v>
      </c>
    </row>
    <row r="3502" customFormat="false" ht="12.75" hidden="false" customHeight="false" outlineLevel="0" collapsed="false">
      <c r="A3502" s="0" t="n">
        <f aca="false">B3502*1000+C3502</f>
        <v>52071</v>
      </c>
      <c r="B3502" s="0" t="n">
        <v>52</v>
      </c>
      <c r="C3502" s="0" t="n">
        <v>71</v>
      </c>
      <c r="D3502" s="0" t="n">
        <v>65</v>
      </c>
      <c r="E3502" s="0" t="n">
        <f aca="false">VLOOKUP(B3502,'MSA-Lookup'!$H$2:$I$86,2)</f>
        <v>4480</v>
      </c>
      <c r="F3502" s="0" t="n">
        <f aca="false">IF(C3502&gt;1,IF(C3502&lt;99,VLOOKUP(C3502,'MSA-Lookup'!$H$1:$I$86,2),C3502),C3502)</f>
        <v>6780</v>
      </c>
      <c r="G3502" s="0" t="n">
        <f aca="false">VLOOKUP(E3502,'MSA-Lookup'!$AA$1:$AB$25,2)</f>
        <v>4472</v>
      </c>
      <c r="H3502" s="0" t="n">
        <f aca="false">IF(C3502&gt;1,IF(C3502&lt;99,VLOOKUP(F3502,'MSA-Lookup'!$AA$1:$AB$25,2),C3502),C3502)</f>
        <v>4472</v>
      </c>
    </row>
    <row r="3503" customFormat="false" ht="12.75" hidden="false" customHeight="false" outlineLevel="0" collapsed="false">
      <c r="A3503" s="0" t="n">
        <f aca="false">B3503*1000+C3503</f>
        <v>52072</v>
      </c>
      <c r="B3503" s="0" t="n">
        <v>52</v>
      </c>
      <c r="C3503" s="0" t="n">
        <v>72</v>
      </c>
      <c r="D3503" s="0" t="n">
        <v>65</v>
      </c>
      <c r="E3503" s="0" t="n">
        <f aca="false">VLOOKUP(B3503,'MSA-Lookup'!$H$2:$I$86,2)</f>
        <v>4480</v>
      </c>
      <c r="F3503" s="0" t="n">
        <f aca="false">IF(C3503&gt;1,IF(C3503&lt;99,VLOOKUP(C3503,'MSA-Lookup'!$H$1:$I$86,2),C3503),C3503)</f>
        <v>6780</v>
      </c>
      <c r="G3503" s="0" t="n">
        <f aca="false">VLOOKUP(E3503,'MSA-Lookup'!$AA$1:$AB$25,2)</f>
        <v>4472</v>
      </c>
      <c r="H3503" s="0" t="n">
        <f aca="false">IF(C3503&gt;1,IF(C3503&lt;99,VLOOKUP(F3503,'MSA-Lookup'!$AA$1:$AB$25,2),C3503),C3503)</f>
        <v>4472</v>
      </c>
    </row>
    <row r="3504" customFormat="false" ht="12.75" hidden="false" customHeight="false" outlineLevel="0" collapsed="false">
      <c r="A3504" s="0" t="n">
        <f aca="false">B3504*1000+C3504</f>
        <v>52073</v>
      </c>
      <c r="B3504" s="0" t="n">
        <v>52</v>
      </c>
      <c r="C3504" s="0" t="n">
        <v>73</v>
      </c>
      <c r="D3504" s="0" t="n">
        <v>0</v>
      </c>
      <c r="E3504" s="0" t="n">
        <f aca="false">VLOOKUP(B3504,'MSA-Lookup'!$H$2:$I$86,2)</f>
        <v>4480</v>
      </c>
      <c r="F3504" s="0" t="n">
        <f aca="false">IF(C3504&gt;1,IF(C3504&lt;99,VLOOKUP(C3504,'MSA-Lookup'!$H$1:$I$86,2),C3504),C3504)</f>
        <v>8720</v>
      </c>
      <c r="G3504" s="0" t="n">
        <f aca="false">VLOOKUP(E3504,'MSA-Lookup'!$AA$1:$AB$25,2)</f>
        <v>4472</v>
      </c>
      <c r="H3504" s="0" t="n">
        <f aca="false">IF(C3504&gt;1,IF(C3504&lt;99,VLOOKUP(F3504,'MSA-Lookup'!$AA$1:$AB$25,2),C3504),C3504)</f>
        <v>7362</v>
      </c>
    </row>
    <row r="3505" customFormat="false" ht="12.75" hidden="false" customHeight="false" outlineLevel="0" collapsed="false">
      <c r="A3505" s="0" t="n">
        <f aca="false">B3505*1000+C3505</f>
        <v>52075</v>
      </c>
      <c r="B3505" s="0" t="n">
        <v>52</v>
      </c>
      <c r="C3505" s="0" t="n">
        <v>75</v>
      </c>
      <c r="D3505" s="0" t="n">
        <v>0</v>
      </c>
      <c r="E3505" s="0" t="n">
        <f aca="false">VLOOKUP(B3505,'MSA-Lookup'!$H$2:$I$86,2)</f>
        <v>4480</v>
      </c>
      <c r="F3505" s="0" t="n">
        <f aca="false">IF(C3505&gt;1,IF(C3505&lt;99,VLOOKUP(C3505,'MSA-Lookup'!$H$1:$I$86,2),C3505),C3505)</f>
        <v>8780</v>
      </c>
      <c r="G3505" s="0" t="n">
        <f aca="false">VLOOKUP(E3505,'MSA-Lookup'!$AA$1:$AB$25,2)</f>
        <v>4472</v>
      </c>
      <c r="H3505" s="0" t="n">
        <f aca="false">IF(C3505&gt;1,IF(C3505&lt;99,VLOOKUP(F3505,'MSA-Lookup'!$AA$1:$AB$25,2),C3505),C3505)</f>
        <v>8780</v>
      </c>
    </row>
    <row r="3506" customFormat="false" ht="12.75" hidden="false" customHeight="false" outlineLevel="0" collapsed="false">
      <c r="A3506" s="0" t="n">
        <f aca="false">B3506*1000+C3506</f>
        <v>52076</v>
      </c>
      <c r="B3506" s="0" t="n">
        <v>52</v>
      </c>
      <c r="C3506" s="0" t="n">
        <v>76</v>
      </c>
      <c r="D3506" s="0" t="n">
        <v>0</v>
      </c>
      <c r="E3506" s="0" t="n">
        <f aca="false">VLOOKUP(B3506,'MSA-Lookup'!$H$2:$I$86,2)</f>
        <v>4480</v>
      </c>
      <c r="F3506" s="0" t="n">
        <f aca="false">IF(C3506&gt;1,IF(C3506&lt;99,VLOOKUP(C3506,'MSA-Lookup'!$H$1:$I$86,2),C3506),C3506)</f>
        <v>7485</v>
      </c>
      <c r="G3506" s="0" t="n">
        <f aca="false">VLOOKUP(E3506,'MSA-Lookup'!$AA$1:$AB$25,2)</f>
        <v>4472</v>
      </c>
      <c r="H3506" s="0" t="n">
        <f aca="false">IF(C3506&gt;1,IF(C3506&lt;99,VLOOKUP(F3506,'MSA-Lookup'!$AA$1:$AB$25,2),C3506),C3506)</f>
        <v>7362</v>
      </c>
    </row>
    <row r="3507" customFormat="false" ht="12.75" hidden="false" customHeight="false" outlineLevel="0" collapsed="false">
      <c r="A3507" s="0" t="n">
        <f aca="false">B3507*1000+C3507</f>
        <v>52077</v>
      </c>
      <c r="B3507" s="0" t="n">
        <v>52</v>
      </c>
      <c r="C3507" s="0" t="n">
        <v>77</v>
      </c>
      <c r="D3507" s="0" t="n">
        <v>0</v>
      </c>
      <c r="E3507" s="0" t="n">
        <f aca="false">VLOOKUP(B3507,'MSA-Lookup'!$H$2:$I$86,2)</f>
        <v>4480</v>
      </c>
      <c r="F3507" s="0" t="n">
        <f aca="false">IF(C3507&gt;1,IF(C3507&lt;99,VLOOKUP(C3507,'MSA-Lookup'!$H$1:$I$86,2),C3507),C3507)</f>
        <v>9999</v>
      </c>
      <c r="G3507" s="0" t="n">
        <f aca="false">VLOOKUP(E3507,'MSA-Lookup'!$AA$1:$AB$25,2)</f>
        <v>4472</v>
      </c>
      <c r="H3507" s="0" t="n">
        <f aca="false">IF(C3507&gt;1,IF(C3507&lt;99,VLOOKUP(F3507,'MSA-Lookup'!$AA$1:$AB$25,2),C3507),C3507)</f>
        <v>9999</v>
      </c>
    </row>
    <row r="3508" customFormat="false" ht="12.75" hidden="false" customHeight="false" outlineLevel="0" collapsed="false">
      <c r="A3508" s="0" t="n">
        <f aca="false">B3508*1000+C3508</f>
        <v>52078</v>
      </c>
      <c r="B3508" s="0" t="n">
        <v>52</v>
      </c>
      <c r="C3508" s="0" t="n">
        <v>78</v>
      </c>
      <c r="D3508" s="0" t="n">
        <v>0</v>
      </c>
      <c r="E3508" s="0" t="n">
        <f aca="false">VLOOKUP(B3508,'MSA-Lookup'!$H$2:$I$86,2)</f>
        <v>4480</v>
      </c>
      <c r="F3508" s="0" t="n">
        <f aca="false">IF(C3508&gt;1,IF(C3508&lt;99,VLOOKUP(C3508,'MSA-Lookup'!$H$1:$I$86,2),C3508),C3508)</f>
        <v>680</v>
      </c>
      <c r="G3508" s="0" t="n">
        <f aca="false">VLOOKUP(E3508,'MSA-Lookup'!$AA$1:$AB$25,2)</f>
        <v>4472</v>
      </c>
      <c r="H3508" s="0" t="n">
        <f aca="false">IF(C3508&gt;1,IF(C3508&lt;99,VLOOKUP(F3508,'MSA-Lookup'!$AA$1:$AB$25,2),C3508),C3508)</f>
        <v>680</v>
      </c>
    </row>
    <row r="3509" customFormat="false" ht="12.75" hidden="false" customHeight="false" outlineLevel="0" collapsed="false">
      <c r="A3509" s="0" t="n">
        <f aca="false">B3509*1000+C3509</f>
        <v>52079</v>
      </c>
      <c r="B3509" s="0" t="n">
        <v>52</v>
      </c>
      <c r="C3509" s="0" t="n">
        <v>79</v>
      </c>
      <c r="D3509" s="0" t="n">
        <v>0</v>
      </c>
      <c r="E3509" s="0" t="n">
        <f aca="false">VLOOKUP(B3509,'MSA-Lookup'!$H$2:$I$86,2)</f>
        <v>4480</v>
      </c>
      <c r="F3509" s="0" t="n">
        <f aca="false">IF(C3509&gt;1,IF(C3509&lt;99,VLOOKUP(C3509,'MSA-Lookup'!$H$1:$I$86,2),C3509),C3509)</f>
        <v>680</v>
      </c>
      <c r="G3509" s="0" t="n">
        <f aca="false">VLOOKUP(E3509,'MSA-Lookup'!$AA$1:$AB$25,2)</f>
        <v>4472</v>
      </c>
      <c r="H3509" s="0" t="n">
        <f aca="false">IF(C3509&gt;1,IF(C3509&lt;99,VLOOKUP(F3509,'MSA-Lookup'!$AA$1:$AB$25,2),C3509),C3509)</f>
        <v>680</v>
      </c>
    </row>
    <row r="3510" customFormat="false" ht="12.75" hidden="false" customHeight="false" outlineLevel="0" collapsed="false">
      <c r="A3510" s="0" t="n">
        <f aca="false">B3510*1000+C3510</f>
        <v>52080</v>
      </c>
      <c r="B3510" s="0" t="n">
        <v>52</v>
      </c>
      <c r="C3510" s="0" t="n">
        <v>80</v>
      </c>
      <c r="D3510" s="0" t="n">
        <v>0</v>
      </c>
      <c r="E3510" s="0" t="n">
        <f aca="false">VLOOKUP(B3510,'MSA-Lookup'!$H$2:$I$86,2)</f>
        <v>4480</v>
      </c>
      <c r="F3510" s="0" t="n">
        <f aca="false">IF(C3510&gt;1,IF(C3510&lt;99,VLOOKUP(C3510,'MSA-Lookup'!$H$1:$I$86,2),C3510),C3510)</f>
        <v>9999</v>
      </c>
      <c r="G3510" s="0" t="n">
        <f aca="false">VLOOKUP(E3510,'MSA-Lookup'!$AA$1:$AB$25,2)</f>
        <v>4472</v>
      </c>
      <c r="H3510" s="0" t="n">
        <f aca="false">IF(C3510&gt;1,IF(C3510&lt;99,VLOOKUP(F3510,'MSA-Lookup'!$AA$1:$AB$25,2),C3510),C3510)</f>
        <v>9999</v>
      </c>
    </row>
    <row r="3511" customFormat="false" ht="12.75" hidden="false" customHeight="false" outlineLevel="0" collapsed="false">
      <c r="A3511" s="0" t="n">
        <f aca="false">B3511*1000+C3511</f>
        <v>52081</v>
      </c>
      <c r="B3511" s="0" t="n">
        <v>52</v>
      </c>
      <c r="C3511" s="0" t="n">
        <v>81</v>
      </c>
      <c r="D3511" s="0" t="n">
        <v>0</v>
      </c>
      <c r="E3511" s="0" t="n">
        <f aca="false">VLOOKUP(B3511,'MSA-Lookup'!$H$2:$I$86,2)</f>
        <v>4480</v>
      </c>
      <c r="F3511" s="0" t="n">
        <f aca="false">IF(C3511&gt;1,IF(C3511&lt;99,VLOOKUP(C3511,'MSA-Lookup'!$H$1:$I$86,2),C3511),C3511)</f>
        <v>6780</v>
      </c>
      <c r="G3511" s="0" t="n">
        <f aca="false">VLOOKUP(E3511,'MSA-Lookup'!$AA$1:$AB$25,2)</f>
        <v>4472</v>
      </c>
      <c r="H3511" s="0" t="n">
        <f aca="false">IF(C3511&gt;1,IF(C3511&lt;99,VLOOKUP(F3511,'MSA-Lookup'!$AA$1:$AB$25,2),C3511),C3511)</f>
        <v>4472</v>
      </c>
    </row>
    <row r="3512" customFormat="false" ht="12.75" hidden="false" customHeight="false" outlineLevel="0" collapsed="false">
      <c r="A3512" s="0" t="n">
        <f aca="false">B3512*1000+C3512</f>
        <v>52082</v>
      </c>
      <c r="B3512" s="0" t="n">
        <v>52</v>
      </c>
      <c r="C3512" s="0" t="n">
        <v>82</v>
      </c>
      <c r="D3512" s="0" t="n">
        <v>0</v>
      </c>
      <c r="E3512" s="0" t="n">
        <f aca="false">VLOOKUP(B3512,'MSA-Lookup'!$H$2:$I$86,2)</f>
        <v>4480</v>
      </c>
      <c r="F3512" s="0" t="n">
        <f aca="false">IF(C3512&gt;1,IF(C3512&lt;99,VLOOKUP(C3512,'MSA-Lookup'!$H$1:$I$86,2),C3512),C3512)</f>
        <v>6780</v>
      </c>
      <c r="G3512" s="0" t="n">
        <f aca="false">VLOOKUP(E3512,'MSA-Lookup'!$AA$1:$AB$25,2)</f>
        <v>4472</v>
      </c>
      <c r="H3512" s="0" t="n">
        <f aca="false">IF(C3512&gt;1,IF(C3512&lt;99,VLOOKUP(F3512,'MSA-Lookup'!$AA$1:$AB$25,2),C3512),C3512)</f>
        <v>4472</v>
      </c>
    </row>
    <row r="3513" customFormat="false" ht="12.75" hidden="false" customHeight="false" outlineLevel="0" collapsed="false">
      <c r="A3513" s="0" t="n">
        <f aca="false">B3513*1000+C3513</f>
        <v>52083</v>
      </c>
      <c r="B3513" s="0" t="n">
        <v>52</v>
      </c>
      <c r="C3513" s="0" t="n">
        <v>83</v>
      </c>
      <c r="D3513" s="0" t="n">
        <v>78</v>
      </c>
      <c r="E3513" s="0" t="n">
        <f aca="false">VLOOKUP(B3513,'MSA-Lookup'!$H$2:$I$86,2)</f>
        <v>4480</v>
      </c>
      <c r="F3513" s="0" t="n">
        <f aca="false">IF(C3513&gt;1,IF(C3513&lt;99,VLOOKUP(C3513,'MSA-Lookup'!$H$1:$I$86,2),C3513),C3513)</f>
        <v>6000</v>
      </c>
      <c r="G3513" s="0" t="n">
        <f aca="false">VLOOKUP(E3513,'MSA-Lookup'!$AA$1:$AB$25,2)</f>
        <v>4472</v>
      </c>
      <c r="H3513" s="0" t="n">
        <f aca="false">IF(C3513&gt;1,IF(C3513&lt;99,VLOOKUP(F3513,'MSA-Lookup'!$AA$1:$AB$25,2),C3513),C3513)</f>
        <v>4472</v>
      </c>
    </row>
    <row r="3514" customFormat="false" ht="12.75" hidden="false" customHeight="false" outlineLevel="0" collapsed="false">
      <c r="A3514" s="0" t="n">
        <f aca="false">B3514*1000+C3514</f>
        <v>52084</v>
      </c>
      <c r="B3514" s="0" t="n">
        <v>52</v>
      </c>
      <c r="C3514" s="0" t="n">
        <v>84</v>
      </c>
      <c r="D3514" s="0" t="n">
        <v>169</v>
      </c>
      <c r="E3514" s="0" t="n">
        <f aca="false">VLOOKUP(B3514,'MSA-Lookup'!$H$2:$I$86,2)</f>
        <v>4480</v>
      </c>
      <c r="F3514" s="0" t="n">
        <f aca="false">IF(C3514&gt;1,IF(C3514&lt;99,VLOOKUP(C3514,'MSA-Lookup'!$H$1:$I$86,2),C3514),C3514)</f>
        <v>360</v>
      </c>
      <c r="G3514" s="0" t="n">
        <f aca="false">VLOOKUP(E3514,'MSA-Lookup'!$AA$1:$AB$25,2)</f>
        <v>4472</v>
      </c>
      <c r="H3514" s="0" t="n">
        <f aca="false">IF(C3514&gt;1,IF(C3514&lt;99,VLOOKUP(F3514,'MSA-Lookup'!$AA$1:$AB$25,2),C3514),C3514)</f>
        <v>4472</v>
      </c>
    </row>
    <row r="3515" customFormat="false" ht="12.75" hidden="false" customHeight="false" outlineLevel="0" collapsed="false">
      <c r="A3515" s="0" t="n">
        <f aca="false">B3515*1000+C3515</f>
        <v>52085</v>
      </c>
      <c r="B3515" s="0" t="n">
        <v>52</v>
      </c>
      <c r="C3515" s="0" t="n">
        <v>85</v>
      </c>
      <c r="D3515" s="0" t="n">
        <v>0</v>
      </c>
      <c r="E3515" s="0" t="n">
        <f aca="false">VLOOKUP(B3515,'MSA-Lookup'!$H$2:$I$86,2)</f>
        <v>4480</v>
      </c>
      <c r="F3515" s="0" t="n">
        <f aca="false">IF(C3515&gt;1,IF(C3515&lt;99,VLOOKUP(C3515,'MSA-Lookup'!$H$1:$I$86,2),C3515),C3515)</f>
        <v>8120</v>
      </c>
      <c r="G3515" s="0" t="n">
        <f aca="false">VLOOKUP(E3515,'MSA-Lookup'!$AA$1:$AB$25,2)</f>
        <v>4472</v>
      </c>
      <c r="H3515" s="0" t="n">
        <f aca="false">IF(C3515&gt;1,IF(C3515&lt;99,VLOOKUP(F3515,'MSA-Lookup'!$AA$1:$AB$25,2),C3515),C3515)</f>
        <v>8120</v>
      </c>
    </row>
    <row r="3516" customFormat="false" ht="12.75" hidden="false" customHeight="false" outlineLevel="0" collapsed="false">
      <c r="A3516" s="0" t="n">
        <f aca="false">B3516*1000+C3516</f>
        <v>52858</v>
      </c>
      <c r="B3516" s="0" t="n">
        <v>52</v>
      </c>
      <c r="C3516" s="0" t="n">
        <v>858</v>
      </c>
      <c r="D3516" s="0" t="n">
        <v>0</v>
      </c>
      <c r="E3516" s="0" t="n">
        <f aca="false">VLOOKUP(B3516,'MSA-Lookup'!$H$2:$I$86,2)</f>
        <v>4480</v>
      </c>
      <c r="F3516" s="0" t="n">
        <f aca="false">IF(C3516&gt;1,IF(C3516&lt;99,VLOOKUP(C3516,'MSA-Lookup'!$H$1:$I$86,2),C3516),C3516)</f>
        <v>858</v>
      </c>
      <c r="G3516" s="0" t="n">
        <f aca="false">VLOOKUP(E3516,'MSA-Lookup'!$AA$1:$AB$25,2)</f>
        <v>4472</v>
      </c>
      <c r="H3516" s="0" t="n">
        <f aca="false">IF(C3516&gt;1,IF(C3516&lt;99,VLOOKUP(F3516,'MSA-Lookup'!$AA$1:$AB$25,2),C3516),C3516)</f>
        <v>858</v>
      </c>
    </row>
    <row r="3517" customFormat="false" ht="12.75" hidden="false" customHeight="false" outlineLevel="0" collapsed="false">
      <c r="A3517" s="0" t="n">
        <f aca="false">B3517*1000+C3517</f>
        <v>52983</v>
      </c>
      <c r="B3517" s="0" t="n">
        <v>52</v>
      </c>
      <c r="C3517" s="0" t="n">
        <v>983</v>
      </c>
      <c r="D3517" s="0" t="n">
        <v>0</v>
      </c>
      <c r="E3517" s="0" t="n">
        <f aca="false">VLOOKUP(B3517,'MSA-Lookup'!$H$2:$I$86,2)</f>
        <v>4480</v>
      </c>
      <c r="F3517" s="0" t="n">
        <f aca="false">IF(C3517&gt;1,IF(C3517&lt;99,VLOOKUP(C3517,'MSA-Lookup'!$H$1:$I$86,2),C3517),C3517)</f>
        <v>983</v>
      </c>
      <c r="G3517" s="0" t="n">
        <f aca="false">VLOOKUP(E3517,'MSA-Lookup'!$AA$1:$AB$25,2)</f>
        <v>4472</v>
      </c>
      <c r="H3517" s="0" t="n">
        <f aca="false">IF(C3517&gt;1,IF(C3517&lt;99,VLOOKUP(F3517,'MSA-Lookup'!$AA$1:$AB$25,2),C3517),C3517)</f>
        <v>983</v>
      </c>
    </row>
    <row r="3518" customFormat="false" ht="12.75" hidden="false" customHeight="false" outlineLevel="0" collapsed="false">
      <c r="A3518" s="0" t="n">
        <f aca="false">B3518*1000+C3518</f>
        <v>52999</v>
      </c>
      <c r="B3518" s="0" t="n">
        <v>52</v>
      </c>
      <c r="C3518" s="0" t="n">
        <v>999</v>
      </c>
      <c r="D3518" s="0" t="n">
        <v>0</v>
      </c>
      <c r="E3518" s="0" t="n">
        <f aca="false">VLOOKUP(B3518,'MSA-Lookup'!$H$2:$I$86,2)</f>
        <v>4480</v>
      </c>
      <c r="F3518" s="0" t="n">
        <f aca="false">IF(C3518&gt;1,IF(C3518&lt;99,VLOOKUP(C3518,'MSA-Lookup'!$H$1:$I$86,2),C3518),C3518)</f>
        <v>999</v>
      </c>
      <c r="G3518" s="0" t="n">
        <f aca="false">VLOOKUP(E3518,'MSA-Lookup'!$AA$1:$AB$25,2)</f>
        <v>4472</v>
      </c>
      <c r="H3518" s="0" t="n">
        <f aca="false">IF(C3518&gt;1,IF(C3518&lt;99,VLOOKUP(F3518,'MSA-Lookup'!$AA$1:$AB$25,2),C3518),C3518)</f>
        <v>999</v>
      </c>
    </row>
    <row r="3519" customFormat="false" ht="12.75" hidden="false" customHeight="false" outlineLevel="0" collapsed="false">
      <c r="A3519" s="0" t="n">
        <f aca="false">B3519*1000+C3519</f>
        <v>53000</v>
      </c>
      <c r="B3519" s="0" t="n">
        <v>53</v>
      </c>
      <c r="C3519" s="0" t="n">
        <v>0</v>
      </c>
      <c r="D3519" s="0" t="n">
        <v>94497</v>
      </c>
      <c r="E3519" s="0" t="n">
        <f aca="false">VLOOKUP(B3519,'MSA-Lookup'!$H$2:$I$86,2)</f>
        <v>4480</v>
      </c>
      <c r="F3519" s="0" t="n">
        <f aca="false">IF(C3519&gt;1,IF(C3519&lt;99,VLOOKUP(C3519,'MSA-Lookup'!$H$1:$I$86,2),C3519),C3519)</f>
        <v>0</v>
      </c>
      <c r="G3519" s="0" t="n">
        <f aca="false">VLOOKUP(E3519,'MSA-Lookup'!$AA$1:$AB$25,2)</f>
        <v>4472</v>
      </c>
      <c r="H3519" s="0" t="n">
        <f aca="false">IF(C3519&gt;1,IF(C3519&lt;99,VLOOKUP(F3519,'MSA-Lookup'!$AA$1:$AB$25,2),C3519),C3519)</f>
        <v>0</v>
      </c>
    </row>
    <row r="3520" customFormat="false" ht="12.75" hidden="false" customHeight="false" outlineLevel="0" collapsed="false">
      <c r="A3520" s="0" t="n">
        <f aca="false">B3520*1000+C3520</f>
        <v>53001</v>
      </c>
      <c r="B3520" s="0" t="n">
        <v>53</v>
      </c>
      <c r="C3520" s="0" t="n">
        <v>1</v>
      </c>
      <c r="D3520" s="0" t="n">
        <v>0</v>
      </c>
      <c r="E3520" s="0" t="n">
        <f aca="false">VLOOKUP(B3520,'MSA-Lookup'!$H$2:$I$86,2)</f>
        <v>4480</v>
      </c>
      <c r="F3520" s="0" t="n">
        <f aca="false">IF(C3520&gt;1,IF(C3520&lt;99,VLOOKUP(C3520,'MSA-Lookup'!$H$1:$I$86,2),C3520),C3520)</f>
        <v>1</v>
      </c>
      <c r="G3520" s="0" t="n">
        <f aca="false">VLOOKUP(E3520,'MSA-Lookup'!$AA$1:$AB$25,2)</f>
        <v>4472</v>
      </c>
      <c r="H3520" s="0" t="n">
        <f aca="false">IF(C3520&gt;1,IF(C3520&lt;99,VLOOKUP(F3520,'MSA-Lookup'!$AA$1:$AB$25,2),C3520),C3520)</f>
        <v>1</v>
      </c>
    </row>
    <row r="3521" customFormat="false" ht="12.75" hidden="false" customHeight="false" outlineLevel="0" collapsed="false">
      <c r="A3521" s="0" t="n">
        <f aca="false">B3521*1000+C3521</f>
        <v>53002</v>
      </c>
      <c r="B3521" s="0" t="n">
        <v>53</v>
      </c>
      <c r="C3521" s="0" t="n">
        <v>2</v>
      </c>
      <c r="D3521" s="0" t="n">
        <v>208</v>
      </c>
      <c r="E3521" s="0" t="n">
        <f aca="false">VLOOKUP(B3521,'MSA-Lookup'!$H$2:$I$86,2)</f>
        <v>4480</v>
      </c>
      <c r="F3521" s="0" t="n">
        <f aca="false">IF(C3521&gt;1,IF(C3521&lt;99,VLOOKUP(C3521,'MSA-Lookup'!$H$1:$I$86,2),C3521),C3521)</f>
        <v>9999</v>
      </c>
      <c r="G3521" s="0" t="n">
        <f aca="false">VLOOKUP(E3521,'MSA-Lookup'!$AA$1:$AB$25,2)</f>
        <v>4472</v>
      </c>
      <c r="H3521" s="0" t="n">
        <f aca="false">IF(C3521&gt;1,IF(C3521&lt;99,VLOOKUP(F3521,'MSA-Lookup'!$AA$1:$AB$25,2),C3521),C3521)</f>
        <v>9999</v>
      </c>
    </row>
    <row r="3522" customFormat="false" ht="12.75" hidden="false" customHeight="false" outlineLevel="0" collapsed="false">
      <c r="A3522" s="0" t="n">
        <f aca="false">B3522*1000+C3522</f>
        <v>53003</v>
      </c>
      <c r="B3522" s="0" t="n">
        <v>53</v>
      </c>
      <c r="C3522" s="0" t="n">
        <v>3</v>
      </c>
      <c r="D3522" s="0" t="n">
        <v>0</v>
      </c>
      <c r="E3522" s="0" t="n">
        <f aca="false">VLOOKUP(B3522,'MSA-Lookup'!$H$2:$I$86,2)</f>
        <v>4480</v>
      </c>
      <c r="F3522" s="0" t="n">
        <f aca="false">IF(C3522&gt;1,IF(C3522&lt;99,VLOOKUP(C3522,'MSA-Lookup'!$H$1:$I$86,2),C3522),C3522)</f>
        <v>6690</v>
      </c>
      <c r="G3522" s="0" t="n">
        <f aca="false">VLOOKUP(E3522,'MSA-Lookup'!$AA$1:$AB$25,2)</f>
        <v>4472</v>
      </c>
      <c r="H3522" s="0" t="n">
        <f aca="false">IF(C3522&gt;1,IF(C3522&lt;99,VLOOKUP(F3522,'MSA-Lookup'!$AA$1:$AB$25,2),C3522),C3522)</f>
        <v>6690</v>
      </c>
    </row>
    <row r="3523" customFormat="false" ht="12.75" hidden="false" customHeight="false" outlineLevel="0" collapsed="false">
      <c r="A3523" s="0" t="n">
        <f aca="false">B3523*1000+C3523</f>
        <v>53004</v>
      </c>
      <c r="B3523" s="0" t="n">
        <v>53</v>
      </c>
      <c r="C3523" s="0" t="n">
        <v>4</v>
      </c>
      <c r="D3523" s="0" t="n">
        <v>143</v>
      </c>
      <c r="E3523" s="0" t="n">
        <f aca="false">VLOOKUP(B3523,'MSA-Lookup'!$H$2:$I$86,2)</f>
        <v>4480</v>
      </c>
      <c r="F3523" s="0" t="n">
        <f aca="false">IF(C3523&gt;1,IF(C3523&lt;99,VLOOKUP(C3523,'MSA-Lookup'!$H$1:$I$86,2),C3523),C3523)</f>
        <v>9999</v>
      </c>
      <c r="G3523" s="0" t="n">
        <f aca="false">VLOOKUP(E3523,'MSA-Lookup'!$AA$1:$AB$25,2)</f>
        <v>4472</v>
      </c>
      <c r="H3523" s="0" t="n">
        <f aca="false">IF(C3523&gt;1,IF(C3523&lt;99,VLOOKUP(F3523,'MSA-Lookup'!$AA$1:$AB$25,2),C3523),C3523)</f>
        <v>9999</v>
      </c>
    </row>
    <row r="3524" customFormat="false" ht="12.75" hidden="false" customHeight="false" outlineLevel="0" collapsed="false">
      <c r="A3524" s="0" t="n">
        <f aca="false">B3524*1000+C3524</f>
        <v>53005</v>
      </c>
      <c r="B3524" s="0" t="n">
        <v>53</v>
      </c>
      <c r="C3524" s="0" t="n">
        <v>5</v>
      </c>
      <c r="D3524" s="0" t="n">
        <v>0</v>
      </c>
      <c r="E3524" s="0" t="n">
        <f aca="false">VLOOKUP(B3524,'MSA-Lookup'!$H$2:$I$86,2)</f>
        <v>4480</v>
      </c>
      <c r="F3524" s="0" t="n">
        <f aca="false">IF(C3524&gt;1,IF(C3524&lt;99,VLOOKUP(C3524,'MSA-Lookup'!$H$1:$I$86,2),C3524),C3524)</f>
        <v>9999</v>
      </c>
      <c r="G3524" s="0" t="n">
        <f aca="false">VLOOKUP(E3524,'MSA-Lookup'!$AA$1:$AB$25,2)</f>
        <v>4472</v>
      </c>
      <c r="H3524" s="0" t="n">
        <f aca="false">IF(C3524&gt;1,IF(C3524&lt;99,VLOOKUP(F3524,'MSA-Lookup'!$AA$1:$AB$25,2),C3524),C3524)</f>
        <v>9999</v>
      </c>
    </row>
    <row r="3525" customFormat="false" ht="12.75" hidden="false" customHeight="false" outlineLevel="0" collapsed="false">
      <c r="A3525" s="0" t="n">
        <f aca="false">B3525*1000+C3525</f>
        <v>53006</v>
      </c>
      <c r="B3525" s="0" t="n">
        <v>53</v>
      </c>
      <c r="C3525" s="0" t="n">
        <v>6</v>
      </c>
      <c r="D3525" s="0" t="n">
        <v>0</v>
      </c>
      <c r="E3525" s="0" t="n">
        <f aca="false">VLOOKUP(B3525,'MSA-Lookup'!$H$2:$I$86,2)</f>
        <v>4480</v>
      </c>
      <c r="F3525" s="0" t="n">
        <f aca="false">IF(C3525&gt;1,IF(C3525&lt;99,VLOOKUP(C3525,'MSA-Lookup'!$H$1:$I$86,2),C3525),C3525)</f>
        <v>1620</v>
      </c>
      <c r="G3525" s="0" t="n">
        <f aca="false">VLOOKUP(E3525,'MSA-Lookup'!$AA$1:$AB$25,2)</f>
        <v>4472</v>
      </c>
      <c r="H3525" s="0" t="n">
        <f aca="false">IF(C3525&gt;1,IF(C3525&lt;99,VLOOKUP(F3525,'MSA-Lookup'!$AA$1:$AB$25,2),C3525),C3525)</f>
        <v>1620</v>
      </c>
    </row>
    <row r="3526" customFormat="false" ht="12.75" hidden="false" customHeight="false" outlineLevel="0" collapsed="false">
      <c r="A3526" s="0" t="n">
        <f aca="false">B3526*1000+C3526</f>
        <v>53007</v>
      </c>
      <c r="B3526" s="0" t="n">
        <v>53</v>
      </c>
      <c r="C3526" s="0" t="n">
        <v>7</v>
      </c>
      <c r="D3526" s="0" t="n">
        <v>0</v>
      </c>
      <c r="E3526" s="0" t="n">
        <f aca="false">VLOOKUP(B3526,'MSA-Lookup'!$H$2:$I$86,2)</f>
        <v>4480</v>
      </c>
      <c r="F3526" s="0" t="n">
        <f aca="false">IF(C3526&gt;1,IF(C3526&lt;99,VLOOKUP(C3526,'MSA-Lookup'!$H$1:$I$86,2),C3526),C3526)</f>
        <v>9999</v>
      </c>
      <c r="G3526" s="0" t="n">
        <f aca="false">VLOOKUP(E3526,'MSA-Lookup'!$AA$1:$AB$25,2)</f>
        <v>4472</v>
      </c>
      <c r="H3526" s="0" t="n">
        <f aca="false">IF(C3526&gt;1,IF(C3526&lt;99,VLOOKUP(F3526,'MSA-Lookup'!$AA$1:$AB$25,2),C3526),C3526)</f>
        <v>9999</v>
      </c>
    </row>
    <row r="3527" customFormat="false" ht="12.75" hidden="false" customHeight="false" outlineLevel="0" collapsed="false">
      <c r="A3527" s="0" t="n">
        <f aca="false">B3527*1000+C3527</f>
        <v>53008</v>
      </c>
      <c r="B3527" s="0" t="n">
        <v>53</v>
      </c>
      <c r="C3527" s="0" t="n">
        <v>8</v>
      </c>
      <c r="D3527" s="0" t="n">
        <v>0</v>
      </c>
      <c r="E3527" s="0" t="n">
        <f aca="false">VLOOKUP(B3527,'MSA-Lookup'!$H$2:$I$86,2)</f>
        <v>4480</v>
      </c>
      <c r="F3527" s="0" t="n">
        <f aca="false">IF(C3527&gt;1,IF(C3527&lt;99,VLOOKUP(C3527,'MSA-Lookup'!$H$1:$I$86,2),C3527),C3527)</f>
        <v>9340</v>
      </c>
      <c r="G3527" s="0" t="n">
        <f aca="false">VLOOKUP(E3527,'MSA-Lookup'!$AA$1:$AB$25,2)</f>
        <v>4472</v>
      </c>
      <c r="H3527" s="0" t="n">
        <f aca="false">IF(C3527&gt;1,IF(C3527&lt;99,VLOOKUP(F3527,'MSA-Lookup'!$AA$1:$AB$25,2),C3527),C3527)</f>
        <v>9340</v>
      </c>
    </row>
    <row r="3528" customFormat="false" ht="12.75" hidden="false" customHeight="false" outlineLevel="0" collapsed="false">
      <c r="A3528" s="0" t="n">
        <f aca="false">B3528*1000+C3528</f>
        <v>53009</v>
      </c>
      <c r="B3528" s="0" t="n">
        <v>53</v>
      </c>
      <c r="C3528" s="0" t="n">
        <v>9</v>
      </c>
      <c r="D3528" s="0" t="n">
        <v>0</v>
      </c>
      <c r="E3528" s="0" t="n">
        <f aca="false">VLOOKUP(B3528,'MSA-Lookup'!$H$2:$I$86,2)</f>
        <v>4480</v>
      </c>
      <c r="F3528" s="0" t="n">
        <f aca="false">IF(C3528&gt;1,IF(C3528&lt;99,VLOOKUP(C3528,'MSA-Lookup'!$H$1:$I$86,2),C3528),C3528)</f>
        <v>8720</v>
      </c>
      <c r="G3528" s="0" t="n">
        <f aca="false">VLOOKUP(E3528,'MSA-Lookup'!$AA$1:$AB$25,2)</f>
        <v>4472</v>
      </c>
      <c r="H3528" s="0" t="n">
        <f aca="false">IF(C3528&gt;1,IF(C3528&lt;99,VLOOKUP(F3528,'MSA-Lookup'!$AA$1:$AB$25,2),C3528),C3528)</f>
        <v>7362</v>
      </c>
    </row>
    <row r="3529" customFormat="false" ht="12.75" hidden="false" customHeight="false" outlineLevel="0" collapsed="false">
      <c r="A3529" s="0" t="n">
        <f aca="false">B3529*1000+C3529</f>
        <v>53010</v>
      </c>
      <c r="B3529" s="0" t="n">
        <v>53</v>
      </c>
      <c r="C3529" s="0" t="n">
        <v>10</v>
      </c>
      <c r="D3529" s="0" t="n">
        <v>0</v>
      </c>
      <c r="E3529" s="0" t="n">
        <f aca="false">VLOOKUP(B3529,'MSA-Lookup'!$H$2:$I$86,2)</f>
        <v>4480</v>
      </c>
      <c r="F3529" s="0" t="n">
        <f aca="false">IF(C3529&gt;1,IF(C3529&lt;99,VLOOKUP(C3529,'MSA-Lookup'!$H$1:$I$86,2),C3529),C3529)</f>
        <v>6920</v>
      </c>
      <c r="G3529" s="0" t="n">
        <f aca="false">VLOOKUP(E3529,'MSA-Lookup'!$AA$1:$AB$25,2)</f>
        <v>4472</v>
      </c>
      <c r="H3529" s="0" t="n">
        <f aca="false">IF(C3529&gt;1,IF(C3529&lt;99,VLOOKUP(F3529,'MSA-Lookup'!$AA$1:$AB$25,2),C3529),C3529)</f>
        <v>6920</v>
      </c>
    </row>
    <row r="3530" customFormat="false" ht="12.75" hidden="false" customHeight="false" outlineLevel="0" collapsed="false">
      <c r="A3530" s="0" t="n">
        <f aca="false">B3530*1000+C3530</f>
        <v>53011</v>
      </c>
      <c r="B3530" s="0" t="n">
        <v>53</v>
      </c>
      <c r="C3530" s="0" t="n">
        <v>11</v>
      </c>
      <c r="D3530" s="0" t="n">
        <v>0</v>
      </c>
      <c r="E3530" s="0" t="n">
        <f aca="false">VLOOKUP(B3530,'MSA-Lookup'!$H$2:$I$86,2)</f>
        <v>4480</v>
      </c>
      <c r="F3530" s="0" t="n">
        <f aca="false">IF(C3530&gt;1,IF(C3530&lt;99,VLOOKUP(C3530,'MSA-Lookup'!$H$1:$I$86,2),C3530),C3530)</f>
        <v>6920</v>
      </c>
      <c r="G3530" s="0" t="n">
        <f aca="false">VLOOKUP(E3530,'MSA-Lookup'!$AA$1:$AB$25,2)</f>
        <v>4472</v>
      </c>
      <c r="H3530" s="0" t="n">
        <f aca="false">IF(C3530&gt;1,IF(C3530&lt;99,VLOOKUP(F3530,'MSA-Lookup'!$AA$1:$AB$25,2),C3530),C3530)</f>
        <v>6920</v>
      </c>
    </row>
    <row r="3531" customFormat="false" ht="12.75" hidden="false" customHeight="false" outlineLevel="0" collapsed="false">
      <c r="A3531" s="0" t="n">
        <f aca="false">B3531*1000+C3531</f>
        <v>53012</v>
      </c>
      <c r="B3531" s="0" t="n">
        <v>53</v>
      </c>
      <c r="C3531" s="0" t="n">
        <v>12</v>
      </c>
      <c r="D3531" s="0" t="n">
        <v>0</v>
      </c>
      <c r="E3531" s="0" t="n">
        <f aca="false">VLOOKUP(B3531,'MSA-Lookup'!$H$2:$I$86,2)</f>
        <v>4480</v>
      </c>
      <c r="F3531" s="0" t="n">
        <f aca="false">IF(C3531&gt;1,IF(C3531&lt;99,VLOOKUP(C3531,'MSA-Lookup'!$H$1:$I$86,2),C3531),C3531)</f>
        <v>6920</v>
      </c>
      <c r="G3531" s="0" t="n">
        <f aca="false">VLOOKUP(E3531,'MSA-Lookup'!$AA$1:$AB$25,2)</f>
        <v>4472</v>
      </c>
      <c r="H3531" s="0" t="n">
        <f aca="false">IF(C3531&gt;1,IF(C3531&lt;99,VLOOKUP(F3531,'MSA-Lookup'!$AA$1:$AB$25,2),C3531),C3531)</f>
        <v>6920</v>
      </c>
    </row>
    <row r="3532" customFormat="false" ht="12.75" hidden="false" customHeight="false" outlineLevel="0" collapsed="false">
      <c r="A3532" s="0" t="n">
        <f aca="false">B3532*1000+C3532</f>
        <v>53013</v>
      </c>
      <c r="B3532" s="0" t="n">
        <v>53</v>
      </c>
      <c r="C3532" s="0" t="n">
        <v>13</v>
      </c>
      <c r="D3532" s="0" t="n">
        <v>0</v>
      </c>
      <c r="E3532" s="0" t="n">
        <f aca="false">VLOOKUP(B3532,'MSA-Lookup'!$H$2:$I$86,2)</f>
        <v>4480</v>
      </c>
      <c r="F3532" s="0" t="n">
        <f aca="false">IF(C3532&gt;1,IF(C3532&lt;99,VLOOKUP(C3532,'MSA-Lookup'!$H$1:$I$86,2),C3532),C3532)</f>
        <v>7500</v>
      </c>
      <c r="G3532" s="0" t="n">
        <f aca="false">VLOOKUP(E3532,'MSA-Lookup'!$AA$1:$AB$25,2)</f>
        <v>4472</v>
      </c>
      <c r="H3532" s="0" t="n">
        <f aca="false">IF(C3532&gt;1,IF(C3532&lt;99,VLOOKUP(F3532,'MSA-Lookup'!$AA$1:$AB$25,2),C3532),C3532)</f>
        <v>7362</v>
      </c>
    </row>
    <row r="3533" customFormat="false" ht="12.75" hidden="false" customHeight="false" outlineLevel="0" collapsed="false">
      <c r="A3533" s="0" t="n">
        <f aca="false">B3533*1000+C3533</f>
        <v>53014</v>
      </c>
      <c r="B3533" s="0" t="n">
        <v>53</v>
      </c>
      <c r="C3533" s="0" t="n">
        <v>14</v>
      </c>
      <c r="D3533" s="0" t="n">
        <v>0</v>
      </c>
      <c r="E3533" s="0" t="n">
        <f aca="false">VLOOKUP(B3533,'MSA-Lookup'!$H$2:$I$86,2)</f>
        <v>4480</v>
      </c>
      <c r="F3533" s="0" t="n">
        <f aca="false">IF(C3533&gt;1,IF(C3533&lt;99,VLOOKUP(C3533,'MSA-Lookup'!$H$1:$I$86,2),C3533),C3533)</f>
        <v>7500</v>
      </c>
      <c r="G3533" s="0" t="n">
        <f aca="false">VLOOKUP(E3533,'MSA-Lookup'!$AA$1:$AB$25,2)</f>
        <v>4472</v>
      </c>
      <c r="H3533" s="0" t="n">
        <f aca="false">IF(C3533&gt;1,IF(C3533&lt;99,VLOOKUP(F3533,'MSA-Lookup'!$AA$1:$AB$25,2),C3533),C3533)</f>
        <v>7362</v>
      </c>
    </row>
    <row r="3534" customFormat="false" ht="12.75" hidden="false" customHeight="false" outlineLevel="0" collapsed="false">
      <c r="A3534" s="0" t="n">
        <f aca="false">B3534*1000+C3534</f>
        <v>53015</v>
      </c>
      <c r="B3534" s="0" t="n">
        <v>53</v>
      </c>
      <c r="C3534" s="0" t="n">
        <v>15</v>
      </c>
      <c r="D3534" s="0" t="n">
        <v>0</v>
      </c>
      <c r="E3534" s="0" t="n">
        <f aca="false">VLOOKUP(B3534,'MSA-Lookup'!$H$2:$I$86,2)</f>
        <v>4480</v>
      </c>
      <c r="F3534" s="0" t="n">
        <f aca="false">IF(C3534&gt;1,IF(C3534&lt;99,VLOOKUP(C3534,'MSA-Lookup'!$H$1:$I$86,2),C3534),C3534)</f>
        <v>7360</v>
      </c>
      <c r="G3534" s="0" t="n">
        <f aca="false">VLOOKUP(E3534,'MSA-Lookup'!$AA$1:$AB$25,2)</f>
        <v>4472</v>
      </c>
      <c r="H3534" s="0" t="n">
        <f aca="false">IF(C3534&gt;1,IF(C3534&lt;99,VLOOKUP(F3534,'MSA-Lookup'!$AA$1:$AB$25,2),C3534),C3534)</f>
        <v>7362</v>
      </c>
    </row>
    <row r="3535" customFormat="false" ht="12.75" hidden="false" customHeight="false" outlineLevel="0" collapsed="false">
      <c r="A3535" s="0" t="n">
        <f aca="false">B3535*1000+C3535</f>
        <v>53016</v>
      </c>
      <c r="B3535" s="0" t="n">
        <v>53</v>
      </c>
      <c r="C3535" s="0" t="n">
        <v>16</v>
      </c>
      <c r="D3535" s="0" t="n">
        <v>0</v>
      </c>
      <c r="E3535" s="0" t="n">
        <f aca="false">VLOOKUP(B3535,'MSA-Lookup'!$H$2:$I$86,2)</f>
        <v>4480</v>
      </c>
      <c r="F3535" s="0" t="n">
        <f aca="false">IF(C3535&gt;1,IF(C3535&lt;99,VLOOKUP(C3535,'MSA-Lookup'!$H$1:$I$86,2),C3535),C3535)</f>
        <v>8720</v>
      </c>
      <c r="G3535" s="0" t="n">
        <f aca="false">VLOOKUP(E3535,'MSA-Lookup'!$AA$1:$AB$25,2)</f>
        <v>4472</v>
      </c>
      <c r="H3535" s="0" t="n">
        <f aca="false">IF(C3535&gt;1,IF(C3535&lt;99,VLOOKUP(F3535,'MSA-Lookup'!$AA$1:$AB$25,2),C3535),C3535)</f>
        <v>7362</v>
      </c>
    </row>
    <row r="3536" customFormat="false" ht="12.75" hidden="false" customHeight="false" outlineLevel="0" collapsed="false">
      <c r="A3536" s="0" t="n">
        <f aca="false">B3536*1000+C3536</f>
        <v>53017</v>
      </c>
      <c r="B3536" s="0" t="n">
        <v>53</v>
      </c>
      <c r="C3536" s="0" t="n">
        <v>17</v>
      </c>
      <c r="D3536" s="0" t="n">
        <v>0</v>
      </c>
      <c r="E3536" s="0" t="n">
        <f aca="false">VLOOKUP(B3536,'MSA-Lookup'!$H$2:$I$86,2)</f>
        <v>4480</v>
      </c>
      <c r="F3536" s="0" t="n">
        <f aca="false">IF(C3536&gt;1,IF(C3536&lt;99,VLOOKUP(C3536,'MSA-Lookup'!$H$1:$I$86,2),C3536),C3536)</f>
        <v>5775</v>
      </c>
      <c r="G3536" s="0" t="n">
        <f aca="false">VLOOKUP(E3536,'MSA-Lookup'!$AA$1:$AB$25,2)</f>
        <v>4472</v>
      </c>
      <c r="H3536" s="0" t="n">
        <f aca="false">IF(C3536&gt;1,IF(C3536&lt;99,VLOOKUP(F3536,'MSA-Lookup'!$AA$1:$AB$25,2),C3536),C3536)</f>
        <v>7362</v>
      </c>
    </row>
    <row r="3537" customFormat="false" ht="12.75" hidden="false" customHeight="false" outlineLevel="0" collapsed="false">
      <c r="A3537" s="0" t="n">
        <f aca="false">B3537*1000+C3537</f>
        <v>53018</v>
      </c>
      <c r="B3537" s="0" t="n">
        <v>53</v>
      </c>
      <c r="C3537" s="0" t="n">
        <v>18</v>
      </c>
      <c r="D3537" s="0" t="n">
        <v>0</v>
      </c>
      <c r="E3537" s="0" t="n">
        <f aca="false">VLOOKUP(B3537,'MSA-Lookup'!$H$2:$I$86,2)</f>
        <v>4480</v>
      </c>
      <c r="F3537" s="0" t="n">
        <f aca="false">IF(C3537&gt;1,IF(C3537&lt;99,VLOOKUP(C3537,'MSA-Lookup'!$H$1:$I$86,2),C3537),C3537)</f>
        <v>5775</v>
      </c>
      <c r="G3537" s="0" t="n">
        <f aca="false">VLOOKUP(E3537,'MSA-Lookup'!$AA$1:$AB$25,2)</f>
        <v>4472</v>
      </c>
      <c r="H3537" s="0" t="n">
        <f aca="false">IF(C3537&gt;1,IF(C3537&lt;99,VLOOKUP(F3537,'MSA-Lookup'!$AA$1:$AB$25,2),C3537),C3537)</f>
        <v>7362</v>
      </c>
    </row>
    <row r="3538" customFormat="false" ht="12.75" hidden="false" customHeight="false" outlineLevel="0" collapsed="false">
      <c r="A3538" s="0" t="n">
        <f aca="false">B3538*1000+C3538</f>
        <v>53019</v>
      </c>
      <c r="B3538" s="0" t="n">
        <v>53</v>
      </c>
      <c r="C3538" s="0" t="n">
        <v>19</v>
      </c>
      <c r="D3538" s="0" t="n">
        <v>0</v>
      </c>
      <c r="E3538" s="0" t="n">
        <f aca="false">VLOOKUP(B3538,'MSA-Lookup'!$H$2:$I$86,2)</f>
        <v>4480</v>
      </c>
      <c r="F3538" s="0" t="n">
        <f aca="false">IF(C3538&gt;1,IF(C3538&lt;99,VLOOKUP(C3538,'MSA-Lookup'!$H$1:$I$86,2),C3538),C3538)</f>
        <v>7360</v>
      </c>
      <c r="G3538" s="0" t="n">
        <f aca="false">VLOOKUP(E3538,'MSA-Lookup'!$AA$1:$AB$25,2)</f>
        <v>4472</v>
      </c>
      <c r="H3538" s="0" t="n">
        <f aca="false">IF(C3538&gt;1,IF(C3538&lt;99,VLOOKUP(F3538,'MSA-Lookup'!$AA$1:$AB$25,2),C3538),C3538)</f>
        <v>7362</v>
      </c>
    </row>
    <row r="3539" customFormat="false" ht="12.75" hidden="false" customHeight="false" outlineLevel="0" collapsed="false">
      <c r="A3539" s="0" t="n">
        <f aca="false">B3539*1000+C3539</f>
        <v>53020</v>
      </c>
      <c r="B3539" s="0" t="n">
        <v>53</v>
      </c>
      <c r="C3539" s="0" t="n">
        <v>20</v>
      </c>
      <c r="D3539" s="0" t="n">
        <v>0</v>
      </c>
      <c r="E3539" s="0" t="n">
        <f aca="false">VLOOKUP(B3539,'MSA-Lookup'!$H$2:$I$86,2)</f>
        <v>4480</v>
      </c>
      <c r="F3539" s="0" t="n">
        <f aca="false">IF(C3539&gt;1,IF(C3539&lt;99,VLOOKUP(C3539,'MSA-Lookup'!$H$1:$I$86,2),C3539),C3539)</f>
        <v>5775</v>
      </c>
      <c r="G3539" s="0" t="n">
        <f aca="false">VLOOKUP(E3539,'MSA-Lookup'!$AA$1:$AB$25,2)</f>
        <v>4472</v>
      </c>
      <c r="H3539" s="0" t="n">
        <f aca="false">IF(C3539&gt;1,IF(C3539&lt;99,VLOOKUP(F3539,'MSA-Lookup'!$AA$1:$AB$25,2),C3539),C3539)</f>
        <v>7362</v>
      </c>
    </row>
    <row r="3540" customFormat="false" ht="12.75" hidden="false" customHeight="false" outlineLevel="0" collapsed="false">
      <c r="A3540" s="0" t="n">
        <f aca="false">B3540*1000+C3540</f>
        <v>53021</v>
      </c>
      <c r="B3540" s="0" t="n">
        <v>53</v>
      </c>
      <c r="C3540" s="0" t="n">
        <v>21</v>
      </c>
      <c r="D3540" s="0" t="n">
        <v>91</v>
      </c>
      <c r="E3540" s="0" t="n">
        <f aca="false">VLOOKUP(B3540,'MSA-Lookup'!$H$2:$I$86,2)</f>
        <v>4480</v>
      </c>
      <c r="F3540" s="0" t="n">
        <f aca="false">IF(C3540&gt;1,IF(C3540&lt;99,VLOOKUP(C3540,'MSA-Lookup'!$H$1:$I$86,2),C3540),C3540)</f>
        <v>5775</v>
      </c>
      <c r="G3540" s="0" t="n">
        <f aca="false">VLOOKUP(E3540,'MSA-Lookup'!$AA$1:$AB$25,2)</f>
        <v>4472</v>
      </c>
      <c r="H3540" s="0" t="n">
        <f aca="false">IF(C3540&gt;1,IF(C3540&lt;99,VLOOKUP(F3540,'MSA-Lookup'!$AA$1:$AB$25,2),C3540),C3540)</f>
        <v>7362</v>
      </c>
    </row>
    <row r="3541" customFormat="false" ht="12.75" hidden="false" customHeight="false" outlineLevel="0" collapsed="false">
      <c r="A3541" s="0" t="n">
        <f aca="false">B3541*1000+C3541</f>
        <v>53022</v>
      </c>
      <c r="B3541" s="0" t="n">
        <v>53</v>
      </c>
      <c r="C3541" s="0" t="n">
        <v>22</v>
      </c>
      <c r="D3541" s="0" t="n">
        <v>0</v>
      </c>
      <c r="E3541" s="0" t="n">
        <f aca="false">VLOOKUP(B3541,'MSA-Lookup'!$H$2:$I$86,2)</f>
        <v>4480</v>
      </c>
      <c r="F3541" s="0" t="n">
        <f aca="false">IF(C3541&gt;1,IF(C3541&lt;99,VLOOKUP(C3541,'MSA-Lookup'!$H$1:$I$86,2),C3541),C3541)</f>
        <v>7360</v>
      </c>
      <c r="G3541" s="0" t="n">
        <f aca="false">VLOOKUP(E3541,'MSA-Lookup'!$AA$1:$AB$25,2)</f>
        <v>4472</v>
      </c>
      <c r="H3541" s="0" t="n">
        <f aca="false">IF(C3541&gt;1,IF(C3541&lt;99,VLOOKUP(F3541,'MSA-Lookup'!$AA$1:$AB$25,2),C3541),C3541)</f>
        <v>7362</v>
      </c>
    </row>
    <row r="3542" customFormat="false" ht="12.75" hidden="false" customHeight="false" outlineLevel="0" collapsed="false">
      <c r="A3542" s="0" t="n">
        <f aca="false">B3542*1000+C3542</f>
        <v>53023</v>
      </c>
      <c r="B3542" s="0" t="n">
        <v>53</v>
      </c>
      <c r="C3542" s="0" t="n">
        <v>23</v>
      </c>
      <c r="D3542" s="0" t="n">
        <v>0</v>
      </c>
      <c r="E3542" s="0" t="n">
        <f aca="false">VLOOKUP(B3542,'MSA-Lookup'!$H$2:$I$86,2)</f>
        <v>4480</v>
      </c>
      <c r="F3542" s="0" t="n">
        <f aca="false">IF(C3542&gt;1,IF(C3542&lt;99,VLOOKUP(C3542,'MSA-Lookup'!$H$1:$I$86,2),C3542),C3542)</f>
        <v>8120</v>
      </c>
      <c r="G3542" s="0" t="n">
        <f aca="false">VLOOKUP(E3542,'MSA-Lookup'!$AA$1:$AB$25,2)</f>
        <v>4472</v>
      </c>
      <c r="H3542" s="0" t="n">
        <f aca="false">IF(C3542&gt;1,IF(C3542&lt;99,VLOOKUP(F3542,'MSA-Lookup'!$AA$1:$AB$25,2),C3542),C3542)</f>
        <v>8120</v>
      </c>
    </row>
    <row r="3543" customFormat="false" ht="12.75" hidden="false" customHeight="false" outlineLevel="0" collapsed="false">
      <c r="A3543" s="0" t="n">
        <f aca="false">B3543*1000+C3543</f>
        <v>53024</v>
      </c>
      <c r="B3543" s="0" t="n">
        <v>53</v>
      </c>
      <c r="C3543" s="0" t="n">
        <v>24</v>
      </c>
      <c r="D3543" s="0" t="n">
        <v>0</v>
      </c>
      <c r="E3543" s="0" t="n">
        <f aca="false">VLOOKUP(B3543,'MSA-Lookup'!$H$2:$I$86,2)</f>
        <v>4480</v>
      </c>
      <c r="F3543" s="0" t="n">
        <f aca="false">IF(C3543&gt;1,IF(C3543&lt;99,VLOOKUP(C3543,'MSA-Lookup'!$H$1:$I$86,2),C3543),C3543)</f>
        <v>5170</v>
      </c>
      <c r="G3543" s="0" t="n">
        <f aca="false">VLOOKUP(E3543,'MSA-Lookup'!$AA$1:$AB$25,2)</f>
        <v>4472</v>
      </c>
      <c r="H3543" s="0" t="n">
        <f aca="false">IF(C3543&gt;1,IF(C3543&lt;99,VLOOKUP(F3543,'MSA-Lookup'!$AA$1:$AB$25,2),C3543),C3543)</f>
        <v>5170</v>
      </c>
    </row>
    <row r="3544" customFormat="false" ht="12.75" hidden="false" customHeight="false" outlineLevel="0" collapsed="false">
      <c r="A3544" s="0" t="n">
        <f aca="false">B3544*1000+C3544</f>
        <v>53025</v>
      </c>
      <c r="B3544" s="0" t="n">
        <v>53</v>
      </c>
      <c r="C3544" s="0" t="n">
        <v>25</v>
      </c>
      <c r="D3544" s="0" t="n">
        <v>0</v>
      </c>
      <c r="E3544" s="0" t="n">
        <f aca="false">VLOOKUP(B3544,'MSA-Lookup'!$H$2:$I$86,2)</f>
        <v>4480</v>
      </c>
      <c r="F3544" s="0" t="n">
        <f aca="false">IF(C3544&gt;1,IF(C3544&lt;99,VLOOKUP(C3544,'MSA-Lookup'!$H$1:$I$86,2),C3544),C3544)</f>
        <v>5170</v>
      </c>
      <c r="G3544" s="0" t="n">
        <f aca="false">VLOOKUP(E3544,'MSA-Lookup'!$AA$1:$AB$25,2)</f>
        <v>4472</v>
      </c>
      <c r="H3544" s="0" t="n">
        <f aca="false">IF(C3544&gt;1,IF(C3544&lt;99,VLOOKUP(F3544,'MSA-Lookup'!$AA$1:$AB$25,2),C3544),C3544)</f>
        <v>5170</v>
      </c>
    </row>
    <row r="3545" customFormat="false" ht="12.75" hidden="false" customHeight="false" outlineLevel="0" collapsed="false">
      <c r="A3545" s="0" t="n">
        <f aca="false">B3545*1000+C3545</f>
        <v>53026</v>
      </c>
      <c r="B3545" s="0" t="n">
        <v>53</v>
      </c>
      <c r="C3545" s="0" t="n">
        <v>26</v>
      </c>
      <c r="D3545" s="0" t="n">
        <v>169</v>
      </c>
      <c r="E3545" s="0" t="n">
        <f aca="false">VLOOKUP(B3545,'MSA-Lookup'!$H$2:$I$86,2)</f>
        <v>4480</v>
      </c>
      <c r="F3545" s="0" t="n">
        <f aca="false">IF(C3545&gt;1,IF(C3545&lt;99,VLOOKUP(C3545,'MSA-Lookup'!$H$1:$I$86,2),C3545),C3545)</f>
        <v>9999</v>
      </c>
      <c r="G3545" s="0" t="n">
        <f aca="false">VLOOKUP(E3545,'MSA-Lookup'!$AA$1:$AB$25,2)</f>
        <v>4472</v>
      </c>
      <c r="H3545" s="0" t="n">
        <f aca="false">IF(C3545&gt;1,IF(C3545&lt;99,VLOOKUP(F3545,'MSA-Lookup'!$AA$1:$AB$25,2),C3545),C3545)</f>
        <v>9999</v>
      </c>
    </row>
    <row r="3546" customFormat="false" ht="12.75" hidden="false" customHeight="false" outlineLevel="0" collapsed="false">
      <c r="A3546" s="0" t="n">
        <f aca="false">B3546*1000+C3546</f>
        <v>53027</v>
      </c>
      <c r="B3546" s="0" t="n">
        <v>53</v>
      </c>
      <c r="C3546" s="0" t="n">
        <v>27</v>
      </c>
      <c r="D3546" s="0" t="n">
        <v>0</v>
      </c>
      <c r="E3546" s="0" t="n">
        <f aca="false">VLOOKUP(B3546,'MSA-Lookup'!$H$2:$I$86,2)</f>
        <v>4480</v>
      </c>
      <c r="F3546" s="0" t="n">
        <f aca="false">IF(C3546&gt;1,IF(C3546&lt;99,VLOOKUP(C3546,'MSA-Lookup'!$H$1:$I$86,2),C3546),C3546)</f>
        <v>9999</v>
      </c>
      <c r="G3546" s="0" t="n">
        <f aca="false">VLOOKUP(E3546,'MSA-Lookup'!$AA$1:$AB$25,2)</f>
        <v>4472</v>
      </c>
      <c r="H3546" s="0" t="n">
        <f aca="false">IF(C3546&gt;1,IF(C3546&lt;99,VLOOKUP(F3546,'MSA-Lookup'!$AA$1:$AB$25,2),C3546),C3546)</f>
        <v>9999</v>
      </c>
    </row>
    <row r="3547" customFormat="false" ht="12.75" hidden="false" customHeight="false" outlineLevel="0" collapsed="false">
      <c r="A3547" s="0" t="n">
        <f aca="false">B3547*1000+C3547</f>
        <v>53028</v>
      </c>
      <c r="B3547" s="0" t="n">
        <v>53</v>
      </c>
      <c r="C3547" s="0" t="n">
        <v>28</v>
      </c>
      <c r="D3547" s="0" t="n">
        <v>0</v>
      </c>
      <c r="E3547" s="0" t="n">
        <f aca="false">VLOOKUP(B3547,'MSA-Lookup'!$H$2:$I$86,2)</f>
        <v>4480</v>
      </c>
      <c r="F3547" s="0" t="n">
        <f aca="false">IF(C3547&gt;1,IF(C3547&lt;99,VLOOKUP(C3547,'MSA-Lookup'!$H$1:$I$86,2),C3547),C3547)</f>
        <v>6920</v>
      </c>
      <c r="G3547" s="0" t="n">
        <f aca="false">VLOOKUP(E3547,'MSA-Lookup'!$AA$1:$AB$25,2)</f>
        <v>4472</v>
      </c>
      <c r="H3547" s="0" t="n">
        <f aca="false">IF(C3547&gt;1,IF(C3547&lt;99,VLOOKUP(F3547,'MSA-Lookup'!$AA$1:$AB$25,2),C3547),C3547)</f>
        <v>6920</v>
      </c>
    </row>
    <row r="3548" customFormat="false" ht="12.75" hidden="false" customHeight="false" outlineLevel="0" collapsed="false">
      <c r="A3548" s="0" t="n">
        <f aca="false">B3548*1000+C3548</f>
        <v>53029</v>
      </c>
      <c r="B3548" s="0" t="n">
        <v>53</v>
      </c>
      <c r="C3548" s="0" t="n">
        <v>29</v>
      </c>
      <c r="D3548" s="0" t="n">
        <v>0</v>
      </c>
      <c r="E3548" s="0" t="n">
        <f aca="false">VLOOKUP(B3548,'MSA-Lookup'!$H$2:$I$86,2)</f>
        <v>4480</v>
      </c>
      <c r="F3548" s="0" t="n">
        <f aca="false">IF(C3548&gt;1,IF(C3548&lt;99,VLOOKUP(C3548,'MSA-Lookup'!$H$1:$I$86,2),C3548),C3548)</f>
        <v>6920</v>
      </c>
      <c r="G3548" s="0" t="n">
        <f aca="false">VLOOKUP(E3548,'MSA-Lookup'!$AA$1:$AB$25,2)</f>
        <v>4472</v>
      </c>
      <c r="H3548" s="0" t="n">
        <f aca="false">IF(C3548&gt;1,IF(C3548&lt;99,VLOOKUP(F3548,'MSA-Lookup'!$AA$1:$AB$25,2),C3548),C3548)</f>
        <v>6920</v>
      </c>
    </row>
    <row r="3549" customFormat="false" ht="12.75" hidden="false" customHeight="false" outlineLevel="0" collapsed="false">
      <c r="A3549" s="0" t="n">
        <f aca="false">B3549*1000+C3549</f>
        <v>53030</v>
      </c>
      <c r="B3549" s="0" t="n">
        <v>53</v>
      </c>
      <c r="C3549" s="0" t="n">
        <v>30</v>
      </c>
      <c r="D3549" s="0" t="n">
        <v>0</v>
      </c>
      <c r="E3549" s="0" t="n">
        <f aca="false">VLOOKUP(B3549,'MSA-Lookup'!$H$2:$I$86,2)</f>
        <v>4480</v>
      </c>
      <c r="F3549" s="0" t="n">
        <f aca="false">IF(C3549&gt;1,IF(C3549&lt;99,VLOOKUP(C3549,'MSA-Lookup'!$H$1:$I$86,2),C3549),C3549)</f>
        <v>4940</v>
      </c>
      <c r="G3549" s="0" t="n">
        <f aca="false">VLOOKUP(E3549,'MSA-Lookup'!$AA$1:$AB$25,2)</f>
        <v>4472</v>
      </c>
      <c r="H3549" s="0" t="n">
        <f aca="false">IF(C3549&gt;1,IF(C3549&lt;99,VLOOKUP(F3549,'MSA-Lookup'!$AA$1:$AB$25,2),C3549),C3549)</f>
        <v>4940</v>
      </c>
    </row>
    <row r="3550" customFormat="false" ht="12.75" hidden="false" customHeight="false" outlineLevel="0" collapsed="false">
      <c r="A3550" s="0" t="n">
        <f aca="false">B3550*1000+C3550</f>
        <v>53031</v>
      </c>
      <c r="B3550" s="0" t="n">
        <v>53</v>
      </c>
      <c r="C3550" s="0" t="n">
        <v>31</v>
      </c>
      <c r="D3550" s="0" t="n">
        <v>0</v>
      </c>
      <c r="E3550" s="0" t="n">
        <f aca="false">VLOOKUP(B3550,'MSA-Lookup'!$H$2:$I$86,2)</f>
        <v>4480</v>
      </c>
      <c r="F3550" s="0" t="n">
        <f aca="false">IF(C3550&gt;1,IF(C3550&lt;99,VLOOKUP(C3550,'MSA-Lookup'!$H$1:$I$86,2),C3550),C3550)</f>
        <v>9999</v>
      </c>
      <c r="G3550" s="0" t="n">
        <f aca="false">VLOOKUP(E3550,'MSA-Lookup'!$AA$1:$AB$25,2)</f>
        <v>4472</v>
      </c>
      <c r="H3550" s="0" t="n">
        <f aca="false">IF(C3550&gt;1,IF(C3550&lt;99,VLOOKUP(F3550,'MSA-Lookup'!$AA$1:$AB$25,2),C3550),C3550)</f>
        <v>9999</v>
      </c>
    </row>
    <row r="3551" customFormat="false" ht="12.75" hidden="false" customHeight="false" outlineLevel="0" collapsed="false">
      <c r="A3551" s="0" t="n">
        <f aca="false">B3551*1000+C3551</f>
        <v>53032</v>
      </c>
      <c r="B3551" s="0" t="n">
        <v>53</v>
      </c>
      <c r="C3551" s="0" t="n">
        <v>32</v>
      </c>
      <c r="D3551" s="0" t="n">
        <v>0</v>
      </c>
      <c r="E3551" s="0" t="n">
        <f aca="false">VLOOKUP(B3551,'MSA-Lookup'!$H$2:$I$86,2)</f>
        <v>4480</v>
      </c>
      <c r="F3551" s="0" t="n">
        <f aca="false">IF(C3551&gt;1,IF(C3551&lt;99,VLOOKUP(C3551,'MSA-Lookup'!$H$1:$I$86,2),C3551),C3551)</f>
        <v>7480</v>
      </c>
      <c r="G3551" s="0" t="n">
        <f aca="false">VLOOKUP(E3551,'MSA-Lookup'!$AA$1:$AB$25,2)</f>
        <v>4472</v>
      </c>
      <c r="H3551" s="0" t="n">
        <f aca="false">IF(C3551&gt;1,IF(C3551&lt;99,VLOOKUP(F3551,'MSA-Lookup'!$AA$1:$AB$25,2),C3551),C3551)</f>
        <v>7480</v>
      </c>
    </row>
    <row r="3552" customFormat="false" ht="12.75" hidden="false" customHeight="false" outlineLevel="0" collapsed="false">
      <c r="A3552" s="0" t="n">
        <f aca="false">B3552*1000+C3552</f>
        <v>53033</v>
      </c>
      <c r="B3552" s="0" t="n">
        <v>53</v>
      </c>
      <c r="C3552" s="0" t="n">
        <v>33</v>
      </c>
      <c r="D3552" s="0" t="n">
        <v>0</v>
      </c>
      <c r="E3552" s="0" t="n">
        <f aca="false">VLOOKUP(B3552,'MSA-Lookup'!$H$2:$I$86,2)</f>
        <v>4480</v>
      </c>
      <c r="F3552" s="0" t="n">
        <f aca="false">IF(C3552&gt;1,IF(C3552&lt;99,VLOOKUP(C3552,'MSA-Lookup'!$H$1:$I$86,2),C3552),C3552)</f>
        <v>7320</v>
      </c>
      <c r="G3552" s="0" t="n">
        <f aca="false">VLOOKUP(E3552,'MSA-Lookup'!$AA$1:$AB$25,2)</f>
        <v>4472</v>
      </c>
      <c r="H3552" s="0" t="n">
        <f aca="false">IF(C3552&gt;1,IF(C3552&lt;99,VLOOKUP(F3552,'MSA-Lookup'!$AA$1:$AB$25,2),C3552),C3552)</f>
        <v>7320</v>
      </c>
    </row>
    <row r="3553" customFormat="false" ht="12.75" hidden="false" customHeight="false" outlineLevel="0" collapsed="false">
      <c r="A3553" s="0" t="n">
        <f aca="false">B3553*1000+C3553</f>
        <v>53034</v>
      </c>
      <c r="B3553" s="0" t="n">
        <v>53</v>
      </c>
      <c r="C3553" s="0" t="n">
        <v>34</v>
      </c>
      <c r="D3553" s="0" t="n">
        <v>0</v>
      </c>
      <c r="E3553" s="0" t="n">
        <f aca="false">VLOOKUP(B3553,'MSA-Lookup'!$H$2:$I$86,2)</f>
        <v>4480</v>
      </c>
      <c r="F3553" s="0" t="n">
        <f aca="false">IF(C3553&gt;1,IF(C3553&lt;99,VLOOKUP(C3553,'MSA-Lookup'!$H$1:$I$86,2),C3553),C3553)</f>
        <v>7320</v>
      </c>
      <c r="G3553" s="0" t="n">
        <f aca="false">VLOOKUP(E3553,'MSA-Lookup'!$AA$1:$AB$25,2)</f>
        <v>4472</v>
      </c>
      <c r="H3553" s="0" t="n">
        <f aca="false">IF(C3553&gt;1,IF(C3553&lt;99,VLOOKUP(F3553,'MSA-Lookup'!$AA$1:$AB$25,2),C3553),C3553)</f>
        <v>7320</v>
      </c>
    </row>
    <row r="3554" customFormat="false" ht="12.75" hidden="false" customHeight="false" outlineLevel="0" collapsed="false">
      <c r="A3554" s="0" t="n">
        <f aca="false">B3554*1000+C3554</f>
        <v>53035</v>
      </c>
      <c r="B3554" s="0" t="n">
        <v>53</v>
      </c>
      <c r="C3554" s="0" t="n">
        <v>35</v>
      </c>
      <c r="D3554" s="0" t="n">
        <v>0</v>
      </c>
      <c r="E3554" s="0" t="n">
        <f aca="false">VLOOKUP(B3554,'MSA-Lookup'!$H$2:$I$86,2)</f>
        <v>4480</v>
      </c>
      <c r="F3554" s="0" t="n">
        <f aca="false">IF(C3554&gt;1,IF(C3554&lt;99,VLOOKUP(C3554,'MSA-Lookup'!$H$1:$I$86,2),C3554),C3554)</f>
        <v>7320</v>
      </c>
      <c r="G3554" s="0" t="n">
        <f aca="false">VLOOKUP(E3554,'MSA-Lookup'!$AA$1:$AB$25,2)</f>
        <v>4472</v>
      </c>
      <c r="H3554" s="0" t="n">
        <f aca="false">IF(C3554&gt;1,IF(C3554&lt;99,VLOOKUP(F3554,'MSA-Lookup'!$AA$1:$AB$25,2),C3554),C3554)</f>
        <v>7320</v>
      </c>
    </row>
    <row r="3555" customFormat="false" ht="12.75" hidden="false" customHeight="false" outlineLevel="0" collapsed="false">
      <c r="A3555" s="0" t="n">
        <f aca="false">B3555*1000+C3555</f>
        <v>53036</v>
      </c>
      <c r="B3555" s="0" t="n">
        <v>53</v>
      </c>
      <c r="C3555" s="0" t="n">
        <v>36</v>
      </c>
      <c r="D3555" s="0" t="n">
        <v>0</v>
      </c>
      <c r="E3555" s="0" t="n">
        <f aca="false">VLOOKUP(B3555,'MSA-Lookup'!$H$2:$I$86,2)</f>
        <v>4480</v>
      </c>
      <c r="F3555" s="0" t="n">
        <f aca="false">IF(C3555&gt;1,IF(C3555&lt;99,VLOOKUP(C3555,'MSA-Lookup'!$H$1:$I$86,2),C3555),C3555)</f>
        <v>7320</v>
      </c>
      <c r="G3555" s="0" t="n">
        <f aca="false">VLOOKUP(E3555,'MSA-Lookup'!$AA$1:$AB$25,2)</f>
        <v>4472</v>
      </c>
      <c r="H3555" s="0" t="n">
        <f aca="false">IF(C3555&gt;1,IF(C3555&lt;99,VLOOKUP(F3555,'MSA-Lookup'!$AA$1:$AB$25,2),C3555),C3555)</f>
        <v>7320</v>
      </c>
    </row>
    <row r="3556" customFormat="false" ht="12.75" hidden="false" customHeight="false" outlineLevel="0" collapsed="false">
      <c r="A3556" s="0" t="n">
        <f aca="false">B3556*1000+C3556</f>
        <v>53037</v>
      </c>
      <c r="B3556" s="0" t="n">
        <v>53</v>
      </c>
      <c r="C3556" s="0" t="n">
        <v>37</v>
      </c>
      <c r="D3556" s="0" t="n">
        <v>0</v>
      </c>
      <c r="E3556" s="0" t="n">
        <f aca="false">VLOOKUP(B3556,'MSA-Lookup'!$H$2:$I$86,2)</f>
        <v>4480</v>
      </c>
      <c r="F3556" s="0" t="n">
        <f aca="false">IF(C3556&gt;1,IF(C3556&lt;99,VLOOKUP(C3556,'MSA-Lookup'!$H$1:$I$86,2),C3556),C3556)</f>
        <v>7320</v>
      </c>
      <c r="G3556" s="0" t="n">
        <f aca="false">VLOOKUP(E3556,'MSA-Lookup'!$AA$1:$AB$25,2)</f>
        <v>4472</v>
      </c>
      <c r="H3556" s="0" t="n">
        <f aca="false">IF(C3556&gt;1,IF(C3556&lt;99,VLOOKUP(F3556,'MSA-Lookup'!$AA$1:$AB$25,2),C3556),C3556)</f>
        <v>7320</v>
      </c>
    </row>
    <row r="3557" customFormat="false" ht="12.75" hidden="false" customHeight="false" outlineLevel="0" collapsed="false">
      <c r="A3557" s="0" t="n">
        <f aca="false">B3557*1000+C3557</f>
        <v>53038</v>
      </c>
      <c r="B3557" s="0" t="n">
        <v>53</v>
      </c>
      <c r="C3557" s="0" t="n">
        <v>38</v>
      </c>
      <c r="D3557" s="0" t="n">
        <v>0</v>
      </c>
      <c r="E3557" s="0" t="n">
        <f aca="false">VLOOKUP(B3557,'MSA-Lookup'!$H$2:$I$86,2)</f>
        <v>4480</v>
      </c>
      <c r="F3557" s="0" t="n">
        <f aca="false">IF(C3557&gt;1,IF(C3557&lt;99,VLOOKUP(C3557,'MSA-Lookup'!$H$1:$I$86,2),C3557),C3557)</f>
        <v>7120</v>
      </c>
      <c r="G3557" s="0" t="n">
        <f aca="false">VLOOKUP(E3557,'MSA-Lookup'!$AA$1:$AB$25,2)</f>
        <v>4472</v>
      </c>
      <c r="H3557" s="0" t="n">
        <f aca="false">IF(C3557&gt;1,IF(C3557&lt;99,VLOOKUP(F3557,'MSA-Lookup'!$AA$1:$AB$25,2),C3557),C3557)</f>
        <v>7120</v>
      </c>
    </row>
    <row r="3558" customFormat="false" ht="12.75" hidden="false" customHeight="false" outlineLevel="0" collapsed="false">
      <c r="A3558" s="0" t="n">
        <f aca="false">B3558*1000+C3558</f>
        <v>53039</v>
      </c>
      <c r="B3558" s="0" t="n">
        <v>53</v>
      </c>
      <c r="C3558" s="0" t="n">
        <v>39</v>
      </c>
      <c r="D3558" s="0" t="n">
        <v>91</v>
      </c>
      <c r="E3558" s="0" t="n">
        <f aca="false">VLOOKUP(B3558,'MSA-Lookup'!$H$2:$I$86,2)</f>
        <v>4480</v>
      </c>
      <c r="F3558" s="0" t="n">
        <f aca="false">IF(C3558&gt;1,IF(C3558&lt;99,VLOOKUP(C3558,'MSA-Lookup'!$H$1:$I$86,2),C3558),C3558)</f>
        <v>7120</v>
      </c>
      <c r="G3558" s="0" t="n">
        <f aca="false">VLOOKUP(E3558,'MSA-Lookup'!$AA$1:$AB$25,2)</f>
        <v>4472</v>
      </c>
      <c r="H3558" s="0" t="n">
        <f aca="false">IF(C3558&gt;1,IF(C3558&lt;99,VLOOKUP(F3558,'MSA-Lookup'!$AA$1:$AB$25,2),C3558),C3558)</f>
        <v>7120</v>
      </c>
    </row>
    <row r="3559" customFormat="false" ht="12.75" hidden="false" customHeight="false" outlineLevel="0" collapsed="false">
      <c r="A3559" s="0" t="n">
        <f aca="false">B3559*1000+C3559</f>
        <v>53040</v>
      </c>
      <c r="B3559" s="0" t="n">
        <v>53</v>
      </c>
      <c r="C3559" s="0" t="n">
        <v>40</v>
      </c>
      <c r="D3559" s="0" t="n">
        <v>0</v>
      </c>
      <c r="E3559" s="0" t="n">
        <f aca="false">VLOOKUP(B3559,'MSA-Lookup'!$H$2:$I$86,2)</f>
        <v>4480</v>
      </c>
      <c r="F3559" s="0" t="n">
        <f aca="false">IF(C3559&gt;1,IF(C3559&lt;99,VLOOKUP(C3559,'MSA-Lookup'!$H$1:$I$86,2),C3559),C3559)</f>
        <v>2840</v>
      </c>
      <c r="G3559" s="0" t="n">
        <f aca="false">VLOOKUP(E3559,'MSA-Lookup'!$AA$1:$AB$25,2)</f>
        <v>4472</v>
      </c>
      <c r="H3559" s="0" t="n">
        <f aca="false">IF(C3559&gt;1,IF(C3559&lt;99,VLOOKUP(F3559,'MSA-Lookup'!$AA$1:$AB$25,2),C3559),C3559)</f>
        <v>2840</v>
      </c>
    </row>
    <row r="3560" customFormat="false" ht="12.75" hidden="false" customHeight="false" outlineLevel="0" collapsed="false">
      <c r="A3560" s="0" t="n">
        <f aca="false">B3560*1000+C3560</f>
        <v>53041</v>
      </c>
      <c r="B3560" s="0" t="n">
        <v>53</v>
      </c>
      <c r="C3560" s="0" t="n">
        <v>41</v>
      </c>
      <c r="D3560" s="0" t="n">
        <v>0</v>
      </c>
      <c r="E3560" s="0" t="n">
        <f aca="false">VLOOKUP(B3560,'MSA-Lookup'!$H$2:$I$86,2)</f>
        <v>4480</v>
      </c>
      <c r="F3560" s="0" t="n">
        <f aca="false">IF(C3560&gt;1,IF(C3560&lt;99,VLOOKUP(C3560,'MSA-Lookup'!$H$1:$I$86,2),C3560),C3560)</f>
        <v>2840</v>
      </c>
      <c r="G3560" s="0" t="n">
        <f aca="false">VLOOKUP(E3560,'MSA-Lookup'!$AA$1:$AB$25,2)</f>
        <v>4472</v>
      </c>
      <c r="H3560" s="0" t="n">
        <f aca="false">IF(C3560&gt;1,IF(C3560&lt;99,VLOOKUP(F3560,'MSA-Lookup'!$AA$1:$AB$25,2),C3560),C3560)</f>
        <v>2840</v>
      </c>
    </row>
    <row r="3561" customFormat="false" ht="12.75" hidden="false" customHeight="false" outlineLevel="0" collapsed="false">
      <c r="A3561" s="0" t="n">
        <f aca="false">B3561*1000+C3561</f>
        <v>53042</v>
      </c>
      <c r="B3561" s="0" t="n">
        <v>53</v>
      </c>
      <c r="C3561" s="0" t="n">
        <v>42</v>
      </c>
      <c r="D3561" s="0" t="n">
        <v>0</v>
      </c>
      <c r="E3561" s="0" t="n">
        <f aca="false">VLOOKUP(B3561,'MSA-Lookup'!$H$2:$I$86,2)</f>
        <v>4480</v>
      </c>
      <c r="F3561" s="0" t="n">
        <f aca="false">IF(C3561&gt;1,IF(C3561&lt;99,VLOOKUP(C3561,'MSA-Lookup'!$H$1:$I$86,2),C3561),C3561)</f>
        <v>360</v>
      </c>
      <c r="G3561" s="0" t="n">
        <f aca="false">VLOOKUP(E3561,'MSA-Lookup'!$AA$1:$AB$25,2)</f>
        <v>4472</v>
      </c>
      <c r="H3561" s="0" t="n">
        <f aca="false">IF(C3561&gt;1,IF(C3561&lt;99,VLOOKUP(F3561,'MSA-Lookup'!$AA$1:$AB$25,2),C3561),C3561)</f>
        <v>4472</v>
      </c>
    </row>
    <row r="3562" customFormat="false" ht="12.75" hidden="false" customHeight="false" outlineLevel="0" collapsed="false">
      <c r="A3562" s="0" t="n">
        <f aca="false">B3562*1000+C3562</f>
        <v>53043</v>
      </c>
      <c r="B3562" s="0" t="n">
        <v>53</v>
      </c>
      <c r="C3562" s="0" t="n">
        <v>43</v>
      </c>
      <c r="D3562" s="0" t="n">
        <v>0</v>
      </c>
      <c r="E3562" s="0" t="n">
        <f aca="false">VLOOKUP(B3562,'MSA-Lookup'!$H$2:$I$86,2)</f>
        <v>4480</v>
      </c>
      <c r="F3562" s="0" t="n">
        <f aca="false">IF(C3562&gt;1,IF(C3562&lt;99,VLOOKUP(C3562,'MSA-Lookup'!$H$1:$I$86,2),C3562),C3562)</f>
        <v>360</v>
      </c>
      <c r="G3562" s="0" t="n">
        <f aca="false">VLOOKUP(E3562,'MSA-Lookup'!$AA$1:$AB$25,2)</f>
        <v>4472</v>
      </c>
      <c r="H3562" s="0" t="n">
        <f aca="false">IF(C3562&gt;1,IF(C3562&lt;99,VLOOKUP(F3562,'MSA-Lookup'!$AA$1:$AB$25,2),C3562),C3562)</f>
        <v>4472</v>
      </c>
    </row>
    <row r="3563" customFormat="false" ht="12.75" hidden="false" customHeight="false" outlineLevel="0" collapsed="false">
      <c r="A3563" s="0" t="n">
        <f aca="false">B3563*1000+C3563</f>
        <v>53044</v>
      </c>
      <c r="B3563" s="0" t="n">
        <v>53</v>
      </c>
      <c r="C3563" s="0" t="n">
        <v>44</v>
      </c>
      <c r="D3563" s="0" t="n">
        <v>0</v>
      </c>
      <c r="E3563" s="0" t="n">
        <f aca="false">VLOOKUP(B3563,'MSA-Lookup'!$H$2:$I$86,2)</f>
        <v>4480</v>
      </c>
      <c r="F3563" s="0" t="n">
        <f aca="false">IF(C3563&gt;1,IF(C3563&lt;99,VLOOKUP(C3563,'MSA-Lookup'!$H$1:$I$86,2),C3563),C3563)</f>
        <v>360</v>
      </c>
      <c r="G3563" s="0" t="n">
        <f aca="false">VLOOKUP(E3563,'MSA-Lookup'!$AA$1:$AB$25,2)</f>
        <v>4472</v>
      </c>
      <c r="H3563" s="0" t="n">
        <f aca="false">IF(C3563&gt;1,IF(C3563&lt;99,VLOOKUP(F3563,'MSA-Lookup'!$AA$1:$AB$25,2),C3563),C3563)</f>
        <v>4472</v>
      </c>
    </row>
    <row r="3564" customFormat="false" ht="12.75" hidden="false" customHeight="false" outlineLevel="0" collapsed="false">
      <c r="A3564" s="0" t="n">
        <f aca="false">B3564*1000+C3564</f>
        <v>53045</v>
      </c>
      <c r="B3564" s="0" t="n">
        <v>53</v>
      </c>
      <c r="C3564" s="0" t="n">
        <v>45</v>
      </c>
      <c r="D3564" s="0" t="n">
        <v>0</v>
      </c>
      <c r="E3564" s="0" t="n">
        <f aca="false">VLOOKUP(B3564,'MSA-Lookup'!$H$2:$I$86,2)</f>
        <v>4480</v>
      </c>
      <c r="F3564" s="0" t="n">
        <f aca="false">IF(C3564&gt;1,IF(C3564&lt;99,VLOOKUP(C3564,'MSA-Lookup'!$H$1:$I$86,2),C3564),C3564)</f>
        <v>360</v>
      </c>
      <c r="G3564" s="0" t="n">
        <f aca="false">VLOOKUP(E3564,'MSA-Lookup'!$AA$1:$AB$25,2)</f>
        <v>4472</v>
      </c>
      <c r="H3564" s="0" t="n">
        <f aca="false">IF(C3564&gt;1,IF(C3564&lt;99,VLOOKUP(F3564,'MSA-Lookup'!$AA$1:$AB$25,2),C3564),C3564)</f>
        <v>4472</v>
      </c>
    </row>
    <row r="3565" customFormat="false" ht="12.75" hidden="false" customHeight="false" outlineLevel="0" collapsed="false">
      <c r="A3565" s="0" t="n">
        <f aca="false">B3565*1000+C3565</f>
        <v>53046</v>
      </c>
      <c r="B3565" s="0" t="n">
        <v>53</v>
      </c>
      <c r="C3565" s="0" t="n">
        <v>46</v>
      </c>
      <c r="D3565" s="0" t="n">
        <v>0</v>
      </c>
      <c r="E3565" s="0" t="n">
        <f aca="false">VLOOKUP(B3565,'MSA-Lookup'!$H$2:$I$86,2)</f>
        <v>4480</v>
      </c>
      <c r="F3565" s="0" t="n">
        <f aca="false">IF(C3565&gt;1,IF(C3565&lt;99,VLOOKUP(C3565,'MSA-Lookup'!$H$1:$I$86,2),C3565),C3565)</f>
        <v>360</v>
      </c>
      <c r="G3565" s="0" t="n">
        <f aca="false">VLOOKUP(E3565,'MSA-Lookup'!$AA$1:$AB$25,2)</f>
        <v>4472</v>
      </c>
      <c r="H3565" s="0" t="n">
        <f aca="false">IF(C3565&gt;1,IF(C3565&lt;99,VLOOKUP(F3565,'MSA-Lookup'!$AA$1:$AB$25,2),C3565),C3565)</f>
        <v>4472</v>
      </c>
    </row>
    <row r="3566" customFormat="false" ht="12.75" hidden="false" customHeight="false" outlineLevel="0" collapsed="false">
      <c r="A3566" s="0" t="n">
        <f aca="false">B3566*1000+C3566</f>
        <v>53047</v>
      </c>
      <c r="B3566" s="0" t="n">
        <v>53</v>
      </c>
      <c r="C3566" s="0" t="n">
        <v>47</v>
      </c>
      <c r="D3566" s="0" t="n">
        <v>130</v>
      </c>
      <c r="E3566" s="0" t="n">
        <f aca="false">VLOOKUP(B3566,'MSA-Lookup'!$H$2:$I$86,2)</f>
        <v>4480</v>
      </c>
      <c r="F3566" s="0" t="n">
        <f aca="false">IF(C3566&gt;1,IF(C3566&lt;99,VLOOKUP(C3566,'MSA-Lookup'!$H$1:$I$86,2),C3566),C3566)</f>
        <v>360</v>
      </c>
      <c r="G3566" s="0" t="n">
        <f aca="false">VLOOKUP(E3566,'MSA-Lookup'!$AA$1:$AB$25,2)</f>
        <v>4472</v>
      </c>
      <c r="H3566" s="0" t="n">
        <f aca="false">IF(C3566&gt;1,IF(C3566&lt;99,VLOOKUP(F3566,'MSA-Lookup'!$AA$1:$AB$25,2),C3566),C3566)</f>
        <v>4472</v>
      </c>
    </row>
    <row r="3567" customFormat="false" ht="12.75" hidden="false" customHeight="false" outlineLevel="0" collapsed="false">
      <c r="A3567" s="0" t="n">
        <f aca="false">B3567*1000+C3567</f>
        <v>53048</v>
      </c>
      <c r="B3567" s="0" t="n">
        <v>53</v>
      </c>
      <c r="C3567" s="0" t="n">
        <v>48</v>
      </c>
      <c r="D3567" s="0" t="n">
        <v>663</v>
      </c>
      <c r="E3567" s="0" t="n">
        <f aca="false">VLOOKUP(B3567,'MSA-Lookup'!$H$2:$I$86,2)</f>
        <v>4480</v>
      </c>
      <c r="F3567" s="0" t="n">
        <f aca="false">IF(C3567&gt;1,IF(C3567&lt;99,VLOOKUP(C3567,'MSA-Lookup'!$H$1:$I$86,2),C3567),C3567)</f>
        <v>360</v>
      </c>
      <c r="G3567" s="0" t="n">
        <f aca="false">VLOOKUP(E3567,'MSA-Lookup'!$AA$1:$AB$25,2)</f>
        <v>4472</v>
      </c>
      <c r="H3567" s="0" t="n">
        <f aca="false">IF(C3567&gt;1,IF(C3567&lt;99,VLOOKUP(F3567,'MSA-Lookup'!$AA$1:$AB$25,2),C3567),C3567)</f>
        <v>4472</v>
      </c>
    </row>
    <row r="3568" customFormat="false" ht="12.75" hidden="false" customHeight="false" outlineLevel="0" collapsed="false">
      <c r="A3568" s="0" t="n">
        <f aca="false">B3568*1000+C3568</f>
        <v>53049</v>
      </c>
      <c r="B3568" s="0" t="n">
        <v>53</v>
      </c>
      <c r="C3568" s="0" t="n">
        <v>49</v>
      </c>
      <c r="D3568" s="0" t="n">
        <v>0</v>
      </c>
      <c r="E3568" s="0" t="n">
        <f aca="false">VLOOKUP(B3568,'MSA-Lookup'!$H$2:$I$86,2)</f>
        <v>4480</v>
      </c>
      <c r="F3568" s="0" t="n">
        <f aca="false">IF(C3568&gt;1,IF(C3568&lt;99,VLOOKUP(C3568,'MSA-Lookup'!$H$1:$I$86,2),C3568),C3568)</f>
        <v>7400</v>
      </c>
      <c r="G3568" s="0" t="n">
        <f aca="false">VLOOKUP(E3568,'MSA-Lookup'!$AA$1:$AB$25,2)</f>
        <v>4472</v>
      </c>
      <c r="H3568" s="0" t="n">
        <f aca="false">IF(C3568&gt;1,IF(C3568&lt;99,VLOOKUP(F3568,'MSA-Lookup'!$AA$1:$AB$25,2),C3568),C3568)</f>
        <v>7362</v>
      </c>
    </row>
    <row r="3569" customFormat="false" ht="12.75" hidden="false" customHeight="false" outlineLevel="0" collapsed="false">
      <c r="A3569" s="0" t="n">
        <f aca="false">B3569*1000+C3569</f>
        <v>53050</v>
      </c>
      <c r="B3569" s="0" t="n">
        <v>53</v>
      </c>
      <c r="C3569" s="0" t="n">
        <v>50</v>
      </c>
      <c r="D3569" s="0" t="n">
        <v>0</v>
      </c>
      <c r="E3569" s="0" t="n">
        <f aca="false">VLOOKUP(B3569,'MSA-Lookup'!$H$2:$I$86,2)</f>
        <v>4480</v>
      </c>
      <c r="F3569" s="0" t="n">
        <f aca="false">IF(C3569&gt;1,IF(C3569&lt;99,VLOOKUP(C3569,'MSA-Lookup'!$H$1:$I$86,2),C3569),C3569)</f>
        <v>7400</v>
      </c>
      <c r="G3569" s="0" t="n">
        <f aca="false">VLOOKUP(E3569,'MSA-Lookup'!$AA$1:$AB$25,2)</f>
        <v>4472</v>
      </c>
      <c r="H3569" s="0" t="n">
        <f aca="false">IF(C3569&gt;1,IF(C3569&lt;99,VLOOKUP(F3569,'MSA-Lookup'!$AA$1:$AB$25,2),C3569),C3569)</f>
        <v>7362</v>
      </c>
    </row>
    <row r="3570" customFormat="false" ht="12.75" hidden="false" customHeight="false" outlineLevel="0" collapsed="false">
      <c r="A3570" s="0" t="n">
        <f aca="false">B3570*1000+C3570</f>
        <v>53051</v>
      </c>
      <c r="B3570" s="0" t="n">
        <v>53</v>
      </c>
      <c r="C3570" s="0" t="n">
        <v>51</v>
      </c>
      <c r="D3570" s="0" t="n">
        <v>0</v>
      </c>
      <c r="E3570" s="0" t="n">
        <f aca="false">VLOOKUP(B3570,'MSA-Lookup'!$H$2:$I$86,2)</f>
        <v>4480</v>
      </c>
      <c r="F3570" s="0" t="n">
        <f aca="false">IF(C3570&gt;1,IF(C3570&lt;99,VLOOKUP(C3570,'MSA-Lookup'!$H$1:$I$86,2),C3570),C3570)</f>
        <v>7400</v>
      </c>
      <c r="G3570" s="0" t="n">
        <f aca="false">VLOOKUP(E3570,'MSA-Lookup'!$AA$1:$AB$25,2)</f>
        <v>4472</v>
      </c>
      <c r="H3570" s="0" t="n">
        <f aca="false">IF(C3570&gt;1,IF(C3570&lt;99,VLOOKUP(F3570,'MSA-Lookup'!$AA$1:$AB$25,2),C3570),C3570)</f>
        <v>7362</v>
      </c>
    </row>
    <row r="3571" customFormat="false" ht="12.75" hidden="false" customHeight="false" outlineLevel="0" collapsed="false">
      <c r="A3571" s="0" t="n">
        <f aca="false">B3571*1000+C3571</f>
        <v>53052</v>
      </c>
      <c r="B3571" s="0" t="n">
        <v>53</v>
      </c>
      <c r="C3571" s="0" t="n">
        <v>52</v>
      </c>
      <c r="D3571" s="0" t="n">
        <v>5876</v>
      </c>
      <c r="E3571" s="0" t="n">
        <f aca="false">VLOOKUP(B3571,'MSA-Lookup'!$H$2:$I$86,2)</f>
        <v>4480</v>
      </c>
      <c r="F3571" s="0" t="n">
        <f aca="false">IF(C3571&gt;1,IF(C3571&lt;99,VLOOKUP(C3571,'MSA-Lookup'!$H$1:$I$86,2),C3571),C3571)</f>
        <v>4480</v>
      </c>
      <c r="G3571" s="0" t="n">
        <f aca="false">VLOOKUP(E3571,'MSA-Lookup'!$AA$1:$AB$25,2)</f>
        <v>4472</v>
      </c>
      <c r="H3571" s="0" t="n">
        <f aca="false">IF(C3571&gt;1,IF(C3571&lt;99,VLOOKUP(F3571,'MSA-Lookup'!$AA$1:$AB$25,2),C3571),C3571)</f>
        <v>4472</v>
      </c>
    </row>
    <row r="3572" customFormat="false" ht="12.75" hidden="false" customHeight="false" outlineLevel="0" collapsed="false">
      <c r="A3572" s="0" t="n">
        <f aca="false">B3572*1000+C3572</f>
        <v>53053</v>
      </c>
      <c r="B3572" s="0" t="n">
        <v>53</v>
      </c>
      <c r="C3572" s="0" t="n">
        <v>53</v>
      </c>
      <c r="D3572" s="0" t="n">
        <v>26676</v>
      </c>
      <c r="E3572" s="0" t="n">
        <f aca="false">VLOOKUP(B3572,'MSA-Lookup'!$H$2:$I$86,2)</f>
        <v>4480</v>
      </c>
      <c r="F3572" s="0" t="n">
        <f aca="false">IF(C3572&gt;1,IF(C3572&lt;99,VLOOKUP(C3572,'MSA-Lookup'!$H$1:$I$86,2),C3572),C3572)</f>
        <v>4480</v>
      </c>
      <c r="G3572" s="0" t="n">
        <f aca="false">VLOOKUP(E3572,'MSA-Lookup'!$AA$1:$AB$25,2)</f>
        <v>4472</v>
      </c>
      <c r="H3572" s="0" t="n">
        <f aca="false">IF(C3572&gt;1,IF(C3572&lt;99,VLOOKUP(F3572,'MSA-Lookup'!$AA$1:$AB$25,2),C3572),C3572)</f>
        <v>4472</v>
      </c>
    </row>
    <row r="3573" customFormat="false" ht="12.75" hidden="false" customHeight="false" outlineLevel="0" collapsed="false">
      <c r="A3573" s="0" t="n">
        <f aca="false">B3573*1000+C3573</f>
        <v>53054</v>
      </c>
      <c r="B3573" s="0" t="n">
        <v>53</v>
      </c>
      <c r="C3573" s="0" t="n">
        <v>54</v>
      </c>
      <c r="D3573" s="0" t="n">
        <v>78</v>
      </c>
      <c r="E3573" s="0" t="n">
        <f aca="false">VLOOKUP(B3573,'MSA-Lookup'!$H$2:$I$86,2)</f>
        <v>4480</v>
      </c>
      <c r="F3573" s="0" t="n">
        <f aca="false">IF(C3573&gt;1,IF(C3573&lt;99,VLOOKUP(C3573,'MSA-Lookup'!$H$1:$I$86,2),C3573),C3573)</f>
        <v>4480</v>
      </c>
      <c r="G3573" s="0" t="n">
        <f aca="false">VLOOKUP(E3573,'MSA-Lookup'!$AA$1:$AB$25,2)</f>
        <v>4472</v>
      </c>
      <c r="H3573" s="0" t="n">
        <f aca="false">IF(C3573&gt;1,IF(C3573&lt;99,VLOOKUP(F3573,'MSA-Lookup'!$AA$1:$AB$25,2),C3573),C3573)</f>
        <v>4472</v>
      </c>
    </row>
    <row r="3574" customFormat="false" ht="12.75" hidden="false" customHeight="false" outlineLevel="0" collapsed="false">
      <c r="A3574" s="0" t="n">
        <f aca="false">B3574*1000+C3574</f>
        <v>53055</v>
      </c>
      <c r="B3574" s="0" t="n">
        <v>53</v>
      </c>
      <c r="C3574" s="0" t="n">
        <v>55</v>
      </c>
      <c r="D3574" s="0" t="n">
        <v>143</v>
      </c>
      <c r="E3574" s="0" t="n">
        <f aca="false">VLOOKUP(B3574,'MSA-Lookup'!$H$2:$I$86,2)</f>
        <v>4480</v>
      </c>
      <c r="F3574" s="0" t="n">
        <f aca="false">IF(C3574&gt;1,IF(C3574&lt;99,VLOOKUP(C3574,'MSA-Lookup'!$H$1:$I$86,2),C3574),C3574)</f>
        <v>4480</v>
      </c>
      <c r="G3574" s="0" t="n">
        <f aca="false">VLOOKUP(E3574,'MSA-Lookup'!$AA$1:$AB$25,2)</f>
        <v>4472</v>
      </c>
      <c r="H3574" s="0" t="n">
        <f aca="false">IF(C3574&gt;1,IF(C3574&lt;99,VLOOKUP(F3574,'MSA-Lookup'!$AA$1:$AB$25,2),C3574),C3574)</f>
        <v>4472</v>
      </c>
    </row>
    <row r="3575" customFormat="false" ht="12.75" hidden="false" customHeight="false" outlineLevel="0" collapsed="false">
      <c r="A3575" s="0" t="n">
        <f aca="false">B3575*1000+C3575</f>
        <v>53056</v>
      </c>
      <c r="B3575" s="0" t="n">
        <v>53</v>
      </c>
      <c r="C3575" s="0" t="n">
        <v>56</v>
      </c>
      <c r="D3575" s="0" t="n">
        <v>65</v>
      </c>
      <c r="E3575" s="0" t="n">
        <f aca="false">VLOOKUP(B3575,'MSA-Lookup'!$H$2:$I$86,2)</f>
        <v>4480</v>
      </c>
      <c r="F3575" s="0" t="n">
        <f aca="false">IF(C3575&gt;1,IF(C3575&lt;99,VLOOKUP(C3575,'MSA-Lookup'!$H$1:$I$86,2),C3575),C3575)</f>
        <v>4480</v>
      </c>
      <c r="G3575" s="0" t="n">
        <f aca="false">VLOOKUP(E3575,'MSA-Lookup'!$AA$1:$AB$25,2)</f>
        <v>4472</v>
      </c>
      <c r="H3575" s="0" t="n">
        <f aca="false">IF(C3575&gt;1,IF(C3575&lt;99,VLOOKUP(F3575,'MSA-Lookup'!$AA$1:$AB$25,2),C3575),C3575)</f>
        <v>4472</v>
      </c>
    </row>
    <row r="3576" customFormat="false" ht="12.75" hidden="false" customHeight="false" outlineLevel="0" collapsed="false">
      <c r="A3576" s="0" t="n">
        <f aca="false">B3576*1000+C3576</f>
        <v>53057</v>
      </c>
      <c r="B3576" s="0" t="n">
        <v>53</v>
      </c>
      <c r="C3576" s="0" t="n">
        <v>57</v>
      </c>
      <c r="D3576" s="0" t="n">
        <v>247</v>
      </c>
      <c r="E3576" s="0" t="n">
        <f aca="false">VLOOKUP(B3576,'MSA-Lookup'!$H$2:$I$86,2)</f>
        <v>4480</v>
      </c>
      <c r="F3576" s="0" t="n">
        <f aca="false">IF(C3576&gt;1,IF(C3576&lt;99,VLOOKUP(C3576,'MSA-Lookup'!$H$1:$I$86,2),C3576),C3576)</f>
        <v>4480</v>
      </c>
      <c r="G3576" s="0" t="n">
        <f aca="false">VLOOKUP(E3576,'MSA-Lookup'!$AA$1:$AB$25,2)</f>
        <v>4472</v>
      </c>
      <c r="H3576" s="0" t="n">
        <f aca="false">IF(C3576&gt;1,IF(C3576&lt;99,VLOOKUP(F3576,'MSA-Lookup'!$AA$1:$AB$25,2),C3576),C3576)</f>
        <v>4472</v>
      </c>
    </row>
    <row r="3577" customFormat="false" ht="12.75" hidden="false" customHeight="false" outlineLevel="0" collapsed="false">
      <c r="A3577" s="0" t="n">
        <f aca="false">B3577*1000+C3577</f>
        <v>53058</v>
      </c>
      <c r="B3577" s="0" t="n">
        <v>53</v>
      </c>
      <c r="C3577" s="0" t="n">
        <v>58</v>
      </c>
      <c r="D3577" s="0" t="n">
        <v>546</v>
      </c>
      <c r="E3577" s="0" t="n">
        <f aca="false">VLOOKUP(B3577,'MSA-Lookup'!$H$2:$I$86,2)</f>
        <v>4480</v>
      </c>
      <c r="F3577" s="0" t="n">
        <f aca="false">IF(C3577&gt;1,IF(C3577&lt;99,VLOOKUP(C3577,'MSA-Lookup'!$H$1:$I$86,2),C3577),C3577)</f>
        <v>4480</v>
      </c>
      <c r="G3577" s="0" t="n">
        <f aca="false">VLOOKUP(E3577,'MSA-Lookup'!$AA$1:$AB$25,2)</f>
        <v>4472</v>
      </c>
      <c r="H3577" s="0" t="n">
        <f aca="false">IF(C3577&gt;1,IF(C3577&lt;99,VLOOKUP(F3577,'MSA-Lookup'!$AA$1:$AB$25,2),C3577),C3577)</f>
        <v>4472</v>
      </c>
    </row>
    <row r="3578" customFormat="false" ht="12.75" hidden="false" customHeight="false" outlineLevel="0" collapsed="false">
      <c r="A3578" s="0" t="n">
        <f aca="false">B3578*1000+C3578</f>
        <v>53059</v>
      </c>
      <c r="B3578" s="0" t="n">
        <v>53</v>
      </c>
      <c r="C3578" s="0" t="n">
        <v>59</v>
      </c>
      <c r="D3578" s="0" t="n">
        <v>468</v>
      </c>
      <c r="E3578" s="0" t="n">
        <f aca="false">VLOOKUP(B3578,'MSA-Lookup'!$H$2:$I$86,2)</f>
        <v>4480</v>
      </c>
      <c r="F3578" s="0" t="n">
        <f aca="false">IF(C3578&gt;1,IF(C3578&lt;99,VLOOKUP(C3578,'MSA-Lookup'!$H$1:$I$86,2),C3578),C3578)</f>
        <v>4480</v>
      </c>
      <c r="G3578" s="0" t="n">
        <f aca="false">VLOOKUP(E3578,'MSA-Lookup'!$AA$1:$AB$25,2)</f>
        <v>4472</v>
      </c>
      <c r="H3578" s="0" t="n">
        <f aca="false">IF(C3578&gt;1,IF(C3578&lt;99,VLOOKUP(F3578,'MSA-Lookup'!$AA$1:$AB$25,2),C3578),C3578)</f>
        <v>4472</v>
      </c>
    </row>
    <row r="3579" customFormat="false" ht="12.75" hidden="false" customHeight="false" outlineLevel="0" collapsed="false">
      <c r="A3579" s="0" t="n">
        <f aca="false">B3579*1000+C3579</f>
        <v>53060</v>
      </c>
      <c r="B3579" s="0" t="n">
        <v>53</v>
      </c>
      <c r="C3579" s="0" t="n">
        <v>60</v>
      </c>
      <c r="D3579" s="0" t="n">
        <v>546</v>
      </c>
      <c r="E3579" s="0" t="n">
        <f aca="false">VLOOKUP(B3579,'MSA-Lookup'!$H$2:$I$86,2)</f>
        <v>4480</v>
      </c>
      <c r="F3579" s="0" t="n">
        <f aca="false">IF(C3579&gt;1,IF(C3579&lt;99,VLOOKUP(C3579,'MSA-Lookup'!$H$1:$I$86,2),C3579),C3579)</f>
        <v>4480</v>
      </c>
      <c r="G3579" s="0" t="n">
        <f aca="false">VLOOKUP(E3579,'MSA-Lookup'!$AA$1:$AB$25,2)</f>
        <v>4472</v>
      </c>
      <c r="H3579" s="0" t="n">
        <f aca="false">IF(C3579&gt;1,IF(C3579&lt;99,VLOOKUP(F3579,'MSA-Lookup'!$AA$1:$AB$25,2),C3579),C3579)</f>
        <v>4472</v>
      </c>
    </row>
    <row r="3580" customFormat="false" ht="12.75" hidden="false" customHeight="false" outlineLevel="0" collapsed="false">
      <c r="A3580" s="0" t="n">
        <f aca="false">B3580*1000+C3580</f>
        <v>53061</v>
      </c>
      <c r="B3580" s="0" t="n">
        <v>53</v>
      </c>
      <c r="C3580" s="0" t="n">
        <v>61</v>
      </c>
      <c r="D3580" s="0" t="n">
        <v>117</v>
      </c>
      <c r="E3580" s="0" t="n">
        <f aca="false">VLOOKUP(B3580,'MSA-Lookup'!$H$2:$I$86,2)</f>
        <v>4480</v>
      </c>
      <c r="F3580" s="0" t="n">
        <f aca="false">IF(C3580&gt;1,IF(C3580&lt;99,VLOOKUP(C3580,'MSA-Lookup'!$H$1:$I$86,2),C3580),C3580)</f>
        <v>4480</v>
      </c>
      <c r="G3580" s="0" t="n">
        <f aca="false">VLOOKUP(E3580,'MSA-Lookup'!$AA$1:$AB$25,2)</f>
        <v>4472</v>
      </c>
      <c r="H3580" s="0" t="n">
        <f aca="false">IF(C3580&gt;1,IF(C3580&lt;99,VLOOKUP(F3580,'MSA-Lookup'!$AA$1:$AB$25,2),C3580),C3580)</f>
        <v>4472</v>
      </c>
    </row>
    <row r="3581" customFormat="false" ht="12.75" hidden="false" customHeight="false" outlineLevel="0" collapsed="false">
      <c r="A3581" s="0" t="n">
        <f aca="false">B3581*1000+C3581</f>
        <v>53062</v>
      </c>
      <c r="B3581" s="0" t="n">
        <v>53</v>
      </c>
      <c r="C3581" s="0" t="n">
        <v>62</v>
      </c>
      <c r="D3581" s="0" t="n">
        <v>1339</v>
      </c>
      <c r="E3581" s="0" t="n">
        <f aca="false">VLOOKUP(B3581,'MSA-Lookup'!$H$2:$I$86,2)</f>
        <v>4480</v>
      </c>
      <c r="F3581" s="0" t="n">
        <f aca="false">IF(C3581&gt;1,IF(C3581&lt;99,VLOOKUP(C3581,'MSA-Lookup'!$H$1:$I$86,2),C3581),C3581)</f>
        <v>4480</v>
      </c>
      <c r="G3581" s="0" t="n">
        <f aca="false">VLOOKUP(E3581,'MSA-Lookup'!$AA$1:$AB$25,2)</f>
        <v>4472</v>
      </c>
      <c r="H3581" s="0" t="n">
        <f aca="false">IF(C3581&gt;1,IF(C3581&lt;99,VLOOKUP(F3581,'MSA-Lookup'!$AA$1:$AB$25,2),C3581),C3581)</f>
        <v>4472</v>
      </c>
    </row>
    <row r="3582" customFormat="false" ht="12.75" hidden="false" customHeight="false" outlineLevel="0" collapsed="false">
      <c r="A3582" s="0" t="n">
        <f aca="false">B3582*1000+C3582</f>
        <v>53063</v>
      </c>
      <c r="B3582" s="0" t="n">
        <v>53</v>
      </c>
      <c r="C3582" s="0" t="n">
        <v>63</v>
      </c>
      <c r="D3582" s="0" t="n">
        <v>2626</v>
      </c>
      <c r="E3582" s="0" t="n">
        <f aca="false">VLOOKUP(B3582,'MSA-Lookup'!$H$2:$I$86,2)</f>
        <v>4480</v>
      </c>
      <c r="F3582" s="0" t="n">
        <f aca="false">IF(C3582&gt;1,IF(C3582&lt;99,VLOOKUP(C3582,'MSA-Lookup'!$H$1:$I$86,2),C3582),C3582)</f>
        <v>4480</v>
      </c>
      <c r="G3582" s="0" t="n">
        <f aca="false">VLOOKUP(E3582,'MSA-Lookup'!$AA$1:$AB$25,2)</f>
        <v>4472</v>
      </c>
      <c r="H3582" s="0" t="n">
        <f aca="false">IF(C3582&gt;1,IF(C3582&lt;99,VLOOKUP(F3582,'MSA-Lookup'!$AA$1:$AB$25,2),C3582),C3582)</f>
        <v>4472</v>
      </c>
    </row>
    <row r="3583" customFormat="false" ht="12.75" hidden="false" customHeight="false" outlineLevel="0" collapsed="false">
      <c r="A3583" s="0" t="n">
        <f aca="false">B3583*1000+C3583</f>
        <v>53064</v>
      </c>
      <c r="B3583" s="0" t="n">
        <v>53</v>
      </c>
      <c r="C3583" s="0" t="n">
        <v>64</v>
      </c>
      <c r="D3583" s="0" t="n">
        <v>10205</v>
      </c>
      <c r="E3583" s="0" t="n">
        <f aca="false">VLOOKUP(B3583,'MSA-Lookup'!$H$2:$I$86,2)</f>
        <v>4480</v>
      </c>
      <c r="F3583" s="0" t="n">
        <f aca="false">IF(C3583&gt;1,IF(C3583&lt;99,VLOOKUP(C3583,'MSA-Lookup'!$H$1:$I$86,2),C3583),C3583)</f>
        <v>4480</v>
      </c>
      <c r="G3583" s="0" t="n">
        <f aca="false">VLOOKUP(E3583,'MSA-Lookup'!$AA$1:$AB$25,2)</f>
        <v>4472</v>
      </c>
      <c r="H3583" s="0" t="n">
        <f aca="false">IF(C3583&gt;1,IF(C3583&lt;99,VLOOKUP(F3583,'MSA-Lookup'!$AA$1:$AB$25,2),C3583),C3583)</f>
        <v>4472</v>
      </c>
    </row>
    <row r="3584" customFormat="false" ht="12.75" hidden="false" customHeight="false" outlineLevel="0" collapsed="false">
      <c r="A3584" s="0" t="n">
        <f aca="false">B3584*1000+C3584</f>
        <v>53065</v>
      </c>
      <c r="B3584" s="0" t="n">
        <v>53</v>
      </c>
      <c r="C3584" s="0" t="n">
        <v>65</v>
      </c>
      <c r="D3584" s="0" t="n">
        <v>32175</v>
      </c>
      <c r="E3584" s="0" t="n">
        <f aca="false">VLOOKUP(B3584,'MSA-Lookup'!$H$2:$I$86,2)</f>
        <v>4480</v>
      </c>
      <c r="F3584" s="0" t="n">
        <f aca="false">IF(C3584&gt;1,IF(C3584&lt;99,VLOOKUP(C3584,'MSA-Lookup'!$H$1:$I$86,2),C3584),C3584)</f>
        <v>4480</v>
      </c>
      <c r="G3584" s="0" t="n">
        <f aca="false">VLOOKUP(E3584,'MSA-Lookup'!$AA$1:$AB$25,2)</f>
        <v>4472</v>
      </c>
      <c r="H3584" s="0" t="n">
        <f aca="false">IF(C3584&gt;1,IF(C3584&lt;99,VLOOKUP(F3584,'MSA-Lookup'!$AA$1:$AB$25,2),C3584),C3584)</f>
        <v>4472</v>
      </c>
    </row>
    <row r="3585" customFormat="false" ht="12.75" hidden="false" customHeight="false" outlineLevel="0" collapsed="false">
      <c r="A3585" s="0" t="n">
        <f aca="false">B3585*1000+C3585</f>
        <v>53066</v>
      </c>
      <c r="B3585" s="0" t="n">
        <v>53</v>
      </c>
      <c r="C3585" s="0" t="n">
        <v>66</v>
      </c>
      <c r="D3585" s="0" t="n">
        <v>611</v>
      </c>
      <c r="E3585" s="0" t="n">
        <f aca="false">VLOOKUP(B3585,'MSA-Lookup'!$H$2:$I$86,2)</f>
        <v>4480</v>
      </c>
      <c r="F3585" s="0" t="n">
        <f aca="false">IF(C3585&gt;1,IF(C3585&lt;99,VLOOKUP(C3585,'MSA-Lookup'!$H$1:$I$86,2),C3585),C3585)</f>
        <v>4480</v>
      </c>
      <c r="G3585" s="0" t="n">
        <f aca="false">VLOOKUP(E3585,'MSA-Lookup'!$AA$1:$AB$25,2)</f>
        <v>4472</v>
      </c>
      <c r="H3585" s="0" t="n">
        <f aca="false">IF(C3585&gt;1,IF(C3585&lt;99,VLOOKUP(F3585,'MSA-Lookup'!$AA$1:$AB$25,2),C3585),C3585)</f>
        <v>4472</v>
      </c>
    </row>
    <row r="3586" customFormat="false" ht="12.75" hidden="false" customHeight="false" outlineLevel="0" collapsed="false">
      <c r="A3586" s="0" t="n">
        <f aca="false">B3586*1000+C3586</f>
        <v>53067</v>
      </c>
      <c r="B3586" s="0" t="n">
        <v>53</v>
      </c>
      <c r="C3586" s="0" t="n">
        <v>67</v>
      </c>
      <c r="D3586" s="0" t="n">
        <v>156</v>
      </c>
      <c r="E3586" s="0" t="n">
        <f aca="false">VLOOKUP(B3586,'MSA-Lookup'!$H$2:$I$86,2)</f>
        <v>4480</v>
      </c>
      <c r="F3586" s="0" t="n">
        <f aca="false">IF(C3586&gt;1,IF(C3586&lt;99,VLOOKUP(C3586,'MSA-Lookup'!$H$1:$I$86,2),C3586),C3586)</f>
        <v>6000</v>
      </c>
      <c r="G3586" s="0" t="n">
        <f aca="false">VLOOKUP(E3586,'MSA-Lookup'!$AA$1:$AB$25,2)</f>
        <v>4472</v>
      </c>
      <c r="H3586" s="0" t="n">
        <f aca="false">IF(C3586&gt;1,IF(C3586&lt;99,VLOOKUP(F3586,'MSA-Lookup'!$AA$1:$AB$25,2),C3586),C3586)</f>
        <v>4472</v>
      </c>
    </row>
    <row r="3587" customFormat="false" ht="12.75" hidden="false" customHeight="false" outlineLevel="0" collapsed="false">
      <c r="A3587" s="0" t="n">
        <f aca="false">B3587*1000+C3587</f>
        <v>53068</v>
      </c>
      <c r="B3587" s="0" t="n">
        <v>53</v>
      </c>
      <c r="C3587" s="0" t="n">
        <v>68</v>
      </c>
      <c r="D3587" s="0" t="n">
        <v>0</v>
      </c>
      <c r="E3587" s="0" t="n">
        <f aca="false">VLOOKUP(B3587,'MSA-Lookup'!$H$2:$I$86,2)</f>
        <v>4480</v>
      </c>
      <c r="F3587" s="0" t="n">
        <f aca="false">IF(C3587&gt;1,IF(C3587&lt;99,VLOOKUP(C3587,'MSA-Lookup'!$H$1:$I$86,2),C3587),C3587)</f>
        <v>6780</v>
      </c>
      <c r="G3587" s="0" t="n">
        <f aca="false">VLOOKUP(E3587,'MSA-Lookup'!$AA$1:$AB$25,2)</f>
        <v>4472</v>
      </c>
      <c r="H3587" s="0" t="n">
        <f aca="false">IF(C3587&gt;1,IF(C3587&lt;99,VLOOKUP(F3587,'MSA-Lookup'!$AA$1:$AB$25,2),C3587),C3587)</f>
        <v>4472</v>
      </c>
    </row>
    <row r="3588" customFormat="false" ht="12.75" hidden="false" customHeight="false" outlineLevel="0" collapsed="false">
      <c r="A3588" s="0" t="n">
        <f aca="false">B3588*1000+C3588</f>
        <v>53069</v>
      </c>
      <c r="B3588" s="0" t="n">
        <v>53</v>
      </c>
      <c r="C3588" s="0" t="n">
        <v>69</v>
      </c>
      <c r="D3588" s="0" t="n">
        <v>0</v>
      </c>
      <c r="E3588" s="0" t="n">
        <f aca="false">VLOOKUP(B3588,'MSA-Lookup'!$H$2:$I$86,2)</f>
        <v>4480</v>
      </c>
      <c r="F3588" s="0" t="n">
        <f aca="false">IF(C3588&gt;1,IF(C3588&lt;99,VLOOKUP(C3588,'MSA-Lookup'!$H$1:$I$86,2),C3588),C3588)</f>
        <v>6780</v>
      </c>
      <c r="G3588" s="0" t="n">
        <f aca="false">VLOOKUP(E3588,'MSA-Lookup'!$AA$1:$AB$25,2)</f>
        <v>4472</v>
      </c>
      <c r="H3588" s="0" t="n">
        <f aca="false">IF(C3588&gt;1,IF(C3588&lt;99,VLOOKUP(F3588,'MSA-Lookup'!$AA$1:$AB$25,2),C3588),C3588)</f>
        <v>4472</v>
      </c>
    </row>
    <row r="3589" customFormat="false" ht="12.75" hidden="false" customHeight="false" outlineLevel="0" collapsed="false">
      <c r="A3589" s="0" t="n">
        <f aca="false">B3589*1000+C3589</f>
        <v>53070</v>
      </c>
      <c r="B3589" s="0" t="n">
        <v>53</v>
      </c>
      <c r="C3589" s="0" t="n">
        <v>70</v>
      </c>
      <c r="D3589" s="0" t="n">
        <v>0</v>
      </c>
      <c r="E3589" s="0" t="n">
        <f aca="false">VLOOKUP(B3589,'MSA-Lookup'!$H$2:$I$86,2)</f>
        <v>4480</v>
      </c>
      <c r="F3589" s="0" t="n">
        <f aca="false">IF(C3589&gt;1,IF(C3589&lt;99,VLOOKUP(C3589,'MSA-Lookup'!$H$1:$I$86,2),C3589),C3589)</f>
        <v>6780</v>
      </c>
      <c r="G3589" s="0" t="n">
        <f aca="false">VLOOKUP(E3589,'MSA-Lookup'!$AA$1:$AB$25,2)</f>
        <v>4472</v>
      </c>
      <c r="H3589" s="0" t="n">
        <f aca="false">IF(C3589&gt;1,IF(C3589&lt;99,VLOOKUP(F3589,'MSA-Lookup'!$AA$1:$AB$25,2),C3589),C3589)</f>
        <v>4472</v>
      </c>
    </row>
    <row r="3590" customFormat="false" ht="12.75" hidden="false" customHeight="false" outlineLevel="0" collapsed="false">
      <c r="A3590" s="0" t="n">
        <f aca="false">B3590*1000+C3590</f>
        <v>53071</v>
      </c>
      <c r="B3590" s="0" t="n">
        <v>53</v>
      </c>
      <c r="C3590" s="0" t="n">
        <v>71</v>
      </c>
      <c r="D3590" s="0" t="n">
        <v>0</v>
      </c>
      <c r="E3590" s="0" t="n">
        <f aca="false">VLOOKUP(B3590,'MSA-Lookup'!$H$2:$I$86,2)</f>
        <v>4480</v>
      </c>
      <c r="F3590" s="0" t="n">
        <f aca="false">IF(C3590&gt;1,IF(C3590&lt;99,VLOOKUP(C3590,'MSA-Lookup'!$H$1:$I$86,2),C3590),C3590)</f>
        <v>6780</v>
      </c>
      <c r="G3590" s="0" t="n">
        <f aca="false">VLOOKUP(E3590,'MSA-Lookup'!$AA$1:$AB$25,2)</f>
        <v>4472</v>
      </c>
      <c r="H3590" s="0" t="n">
        <f aca="false">IF(C3590&gt;1,IF(C3590&lt;99,VLOOKUP(F3590,'MSA-Lookup'!$AA$1:$AB$25,2),C3590),C3590)</f>
        <v>4472</v>
      </c>
    </row>
    <row r="3591" customFormat="false" ht="12.75" hidden="false" customHeight="false" outlineLevel="0" collapsed="false">
      <c r="A3591" s="0" t="n">
        <f aca="false">B3591*1000+C3591</f>
        <v>53072</v>
      </c>
      <c r="B3591" s="0" t="n">
        <v>53</v>
      </c>
      <c r="C3591" s="0" t="n">
        <v>72</v>
      </c>
      <c r="D3591" s="0" t="n">
        <v>0</v>
      </c>
      <c r="E3591" s="0" t="n">
        <f aca="false">VLOOKUP(B3591,'MSA-Lookup'!$H$2:$I$86,2)</f>
        <v>4480</v>
      </c>
      <c r="F3591" s="0" t="n">
        <f aca="false">IF(C3591&gt;1,IF(C3591&lt;99,VLOOKUP(C3591,'MSA-Lookup'!$H$1:$I$86,2),C3591),C3591)</f>
        <v>6780</v>
      </c>
      <c r="G3591" s="0" t="n">
        <f aca="false">VLOOKUP(E3591,'MSA-Lookup'!$AA$1:$AB$25,2)</f>
        <v>4472</v>
      </c>
      <c r="H3591" s="0" t="n">
        <f aca="false">IF(C3591&gt;1,IF(C3591&lt;99,VLOOKUP(F3591,'MSA-Lookup'!$AA$1:$AB$25,2),C3591),C3591)</f>
        <v>4472</v>
      </c>
    </row>
    <row r="3592" customFormat="false" ht="12.75" hidden="false" customHeight="false" outlineLevel="0" collapsed="false">
      <c r="A3592" s="0" t="n">
        <f aca="false">B3592*1000+C3592</f>
        <v>53073</v>
      </c>
      <c r="B3592" s="0" t="n">
        <v>53</v>
      </c>
      <c r="C3592" s="0" t="n">
        <v>73</v>
      </c>
      <c r="D3592" s="0" t="n">
        <v>0</v>
      </c>
      <c r="E3592" s="0" t="n">
        <f aca="false">VLOOKUP(B3592,'MSA-Lookup'!$H$2:$I$86,2)</f>
        <v>4480</v>
      </c>
      <c r="F3592" s="0" t="n">
        <f aca="false">IF(C3592&gt;1,IF(C3592&lt;99,VLOOKUP(C3592,'MSA-Lookup'!$H$1:$I$86,2),C3592),C3592)</f>
        <v>8720</v>
      </c>
      <c r="G3592" s="0" t="n">
        <f aca="false">VLOOKUP(E3592,'MSA-Lookup'!$AA$1:$AB$25,2)</f>
        <v>4472</v>
      </c>
      <c r="H3592" s="0" t="n">
        <f aca="false">IF(C3592&gt;1,IF(C3592&lt;99,VLOOKUP(F3592,'MSA-Lookup'!$AA$1:$AB$25,2),C3592),C3592)</f>
        <v>7362</v>
      </c>
    </row>
    <row r="3593" customFormat="false" ht="12.75" hidden="false" customHeight="false" outlineLevel="0" collapsed="false">
      <c r="A3593" s="0" t="n">
        <f aca="false">B3593*1000+C3593</f>
        <v>53075</v>
      </c>
      <c r="B3593" s="0" t="n">
        <v>53</v>
      </c>
      <c r="C3593" s="0" t="n">
        <v>75</v>
      </c>
      <c r="D3593" s="0" t="n">
        <v>0</v>
      </c>
      <c r="E3593" s="0" t="n">
        <f aca="false">VLOOKUP(B3593,'MSA-Lookup'!$H$2:$I$86,2)</f>
        <v>4480</v>
      </c>
      <c r="F3593" s="0" t="n">
        <f aca="false">IF(C3593&gt;1,IF(C3593&lt;99,VLOOKUP(C3593,'MSA-Lookup'!$H$1:$I$86,2),C3593),C3593)</f>
        <v>8780</v>
      </c>
      <c r="G3593" s="0" t="n">
        <f aca="false">VLOOKUP(E3593,'MSA-Lookup'!$AA$1:$AB$25,2)</f>
        <v>4472</v>
      </c>
      <c r="H3593" s="0" t="n">
        <f aca="false">IF(C3593&gt;1,IF(C3593&lt;99,VLOOKUP(F3593,'MSA-Lookup'!$AA$1:$AB$25,2),C3593),C3593)</f>
        <v>8780</v>
      </c>
    </row>
    <row r="3594" customFormat="false" ht="12.75" hidden="false" customHeight="false" outlineLevel="0" collapsed="false">
      <c r="A3594" s="0" t="n">
        <f aca="false">B3594*1000+C3594</f>
        <v>53076</v>
      </c>
      <c r="B3594" s="0" t="n">
        <v>53</v>
      </c>
      <c r="C3594" s="0" t="n">
        <v>76</v>
      </c>
      <c r="D3594" s="0" t="n">
        <v>0</v>
      </c>
      <c r="E3594" s="0" t="n">
        <f aca="false">VLOOKUP(B3594,'MSA-Lookup'!$H$2:$I$86,2)</f>
        <v>4480</v>
      </c>
      <c r="F3594" s="0" t="n">
        <f aca="false">IF(C3594&gt;1,IF(C3594&lt;99,VLOOKUP(C3594,'MSA-Lookup'!$H$1:$I$86,2),C3594),C3594)</f>
        <v>7485</v>
      </c>
      <c r="G3594" s="0" t="n">
        <f aca="false">VLOOKUP(E3594,'MSA-Lookup'!$AA$1:$AB$25,2)</f>
        <v>4472</v>
      </c>
      <c r="H3594" s="0" t="n">
        <f aca="false">IF(C3594&gt;1,IF(C3594&lt;99,VLOOKUP(F3594,'MSA-Lookup'!$AA$1:$AB$25,2),C3594),C3594)</f>
        <v>7362</v>
      </c>
    </row>
    <row r="3595" customFormat="false" ht="12.75" hidden="false" customHeight="false" outlineLevel="0" collapsed="false">
      <c r="A3595" s="0" t="n">
        <f aca="false">B3595*1000+C3595</f>
        <v>53077</v>
      </c>
      <c r="B3595" s="0" t="n">
        <v>53</v>
      </c>
      <c r="C3595" s="0" t="n">
        <v>77</v>
      </c>
      <c r="D3595" s="0" t="n">
        <v>0</v>
      </c>
      <c r="E3595" s="0" t="n">
        <f aca="false">VLOOKUP(B3595,'MSA-Lookup'!$H$2:$I$86,2)</f>
        <v>4480</v>
      </c>
      <c r="F3595" s="0" t="n">
        <f aca="false">IF(C3595&gt;1,IF(C3595&lt;99,VLOOKUP(C3595,'MSA-Lookup'!$H$1:$I$86,2),C3595),C3595)</f>
        <v>9999</v>
      </c>
      <c r="G3595" s="0" t="n">
        <f aca="false">VLOOKUP(E3595,'MSA-Lookup'!$AA$1:$AB$25,2)</f>
        <v>4472</v>
      </c>
      <c r="H3595" s="0" t="n">
        <f aca="false">IF(C3595&gt;1,IF(C3595&lt;99,VLOOKUP(F3595,'MSA-Lookup'!$AA$1:$AB$25,2),C3595),C3595)</f>
        <v>9999</v>
      </c>
    </row>
    <row r="3596" customFormat="false" ht="12.75" hidden="false" customHeight="false" outlineLevel="0" collapsed="false">
      <c r="A3596" s="0" t="n">
        <f aca="false">B3596*1000+C3596</f>
        <v>53078</v>
      </c>
      <c r="B3596" s="0" t="n">
        <v>53</v>
      </c>
      <c r="C3596" s="0" t="n">
        <v>78</v>
      </c>
      <c r="D3596" s="0" t="n">
        <v>0</v>
      </c>
      <c r="E3596" s="0" t="n">
        <f aca="false">VLOOKUP(B3596,'MSA-Lookup'!$H$2:$I$86,2)</f>
        <v>4480</v>
      </c>
      <c r="F3596" s="0" t="n">
        <f aca="false">IF(C3596&gt;1,IF(C3596&lt;99,VLOOKUP(C3596,'MSA-Lookup'!$H$1:$I$86,2),C3596),C3596)</f>
        <v>680</v>
      </c>
      <c r="G3596" s="0" t="n">
        <f aca="false">VLOOKUP(E3596,'MSA-Lookup'!$AA$1:$AB$25,2)</f>
        <v>4472</v>
      </c>
      <c r="H3596" s="0" t="n">
        <f aca="false">IF(C3596&gt;1,IF(C3596&lt;99,VLOOKUP(F3596,'MSA-Lookup'!$AA$1:$AB$25,2),C3596),C3596)</f>
        <v>680</v>
      </c>
    </row>
    <row r="3597" customFormat="false" ht="12.75" hidden="false" customHeight="false" outlineLevel="0" collapsed="false">
      <c r="A3597" s="0" t="n">
        <f aca="false">B3597*1000+C3597</f>
        <v>53079</v>
      </c>
      <c r="B3597" s="0" t="n">
        <v>53</v>
      </c>
      <c r="C3597" s="0" t="n">
        <v>79</v>
      </c>
      <c r="D3597" s="0" t="n">
        <v>0</v>
      </c>
      <c r="E3597" s="0" t="n">
        <f aca="false">VLOOKUP(B3597,'MSA-Lookup'!$H$2:$I$86,2)</f>
        <v>4480</v>
      </c>
      <c r="F3597" s="0" t="n">
        <f aca="false">IF(C3597&gt;1,IF(C3597&lt;99,VLOOKUP(C3597,'MSA-Lookup'!$H$1:$I$86,2),C3597),C3597)</f>
        <v>680</v>
      </c>
      <c r="G3597" s="0" t="n">
        <f aca="false">VLOOKUP(E3597,'MSA-Lookup'!$AA$1:$AB$25,2)</f>
        <v>4472</v>
      </c>
      <c r="H3597" s="0" t="n">
        <f aca="false">IF(C3597&gt;1,IF(C3597&lt;99,VLOOKUP(F3597,'MSA-Lookup'!$AA$1:$AB$25,2),C3597),C3597)</f>
        <v>680</v>
      </c>
    </row>
    <row r="3598" customFormat="false" ht="12.75" hidden="false" customHeight="false" outlineLevel="0" collapsed="false">
      <c r="A3598" s="0" t="n">
        <f aca="false">B3598*1000+C3598</f>
        <v>53080</v>
      </c>
      <c r="B3598" s="0" t="n">
        <v>53</v>
      </c>
      <c r="C3598" s="0" t="n">
        <v>80</v>
      </c>
      <c r="D3598" s="0" t="n">
        <v>0</v>
      </c>
      <c r="E3598" s="0" t="n">
        <f aca="false">VLOOKUP(B3598,'MSA-Lookup'!$H$2:$I$86,2)</f>
        <v>4480</v>
      </c>
      <c r="F3598" s="0" t="n">
        <f aca="false">IF(C3598&gt;1,IF(C3598&lt;99,VLOOKUP(C3598,'MSA-Lookup'!$H$1:$I$86,2),C3598),C3598)</f>
        <v>9999</v>
      </c>
      <c r="G3598" s="0" t="n">
        <f aca="false">VLOOKUP(E3598,'MSA-Lookup'!$AA$1:$AB$25,2)</f>
        <v>4472</v>
      </c>
      <c r="H3598" s="0" t="n">
        <f aca="false">IF(C3598&gt;1,IF(C3598&lt;99,VLOOKUP(F3598,'MSA-Lookup'!$AA$1:$AB$25,2),C3598),C3598)</f>
        <v>9999</v>
      </c>
    </row>
    <row r="3599" customFormat="false" ht="12.75" hidden="false" customHeight="false" outlineLevel="0" collapsed="false">
      <c r="A3599" s="0" t="n">
        <f aca="false">B3599*1000+C3599</f>
        <v>53081</v>
      </c>
      <c r="B3599" s="0" t="n">
        <v>53</v>
      </c>
      <c r="C3599" s="0" t="n">
        <v>81</v>
      </c>
      <c r="D3599" s="0" t="n">
        <v>0</v>
      </c>
      <c r="E3599" s="0" t="n">
        <f aca="false">VLOOKUP(B3599,'MSA-Lookup'!$H$2:$I$86,2)</f>
        <v>4480</v>
      </c>
      <c r="F3599" s="0" t="n">
        <f aca="false">IF(C3599&gt;1,IF(C3599&lt;99,VLOOKUP(C3599,'MSA-Lookup'!$H$1:$I$86,2),C3599),C3599)</f>
        <v>6780</v>
      </c>
      <c r="G3599" s="0" t="n">
        <f aca="false">VLOOKUP(E3599,'MSA-Lookup'!$AA$1:$AB$25,2)</f>
        <v>4472</v>
      </c>
      <c r="H3599" s="0" t="n">
        <f aca="false">IF(C3599&gt;1,IF(C3599&lt;99,VLOOKUP(F3599,'MSA-Lookup'!$AA$1:$AB$25,2),C3599),C3599)</f>
        <v>4472</v>
      </c>
    </row>
    <row r="3600" customFormat="false" ht="12.75" hidden="false" customHeight="false" outlineLevel="0" collapsed="false">
      <c r="A3600" s="0" t="n">
        <f aca="false">B3600*1000+C3600</f>
        <v>53082</v>
      </c>
      <c r="B3600" s="0" t="n">
        <v>53</v>
      </c>
      <c r="C3600" s="0" t="n">
        <v>82</v>
      </c>
      <c r="D3600" s="0" t="n">
        <v>0</v>
      </c>
      <c r="E3600" s="0" t="n">
        <f aca="false">VLOOKUP(B3600,'MSA-Lookup'!$H$2:$I$86,2)</f>
        <v>4480</v>
      </c>
      <c r="F3600" s="0" t="n">
        <f aca="false">IF(C3600&gt;1,IF(C3600&lt;99,VLOOKUP(C3600,'MSA-Lookup'!$H$1:$I$86,2),C3600),C3600)</f>
        <v>6780</v>
      </c>
      <c r="G3600" s="0" t="n">
        <f aca="false">VLOOKUP(E3600,'MSA-Lookup'!$AA$1:$AB$25,2)</f>
        <v>4472</v>
      </c>
      <c r="H3600" s="0" t="n">
        <f aca="false">IF(C3600&gt;1,IF(C3600&lt;99,VLOOKUP(F3600,'MSA-Lookup'!$AA$1:$AB$25,2),C3600),C3600)</f>
        <v>4472</v>
      </c>
    </row>
    <row r="3601" customFormat="false" ht="12.75" hidden="false" customHeight="false" outlineLevel="0" collapsed="false">
      <c r="A3601" s="0" t="n">
        <f aca="false">B3601*1000+C3601</f>
        <v>53083</v>
      </c>
      <c r="B3601" s="0" t="n">
        <v>53</v>
      </c>
      <c r="C3601" s="0" t="n">
        <v>83</v>
      </c>
      <c r="D3601" s="0" t="n">
        <v>0</v>
      </c>
      <c r="E3601" s="0" t="n">
        <f aca="false">VLOOKUP(B3601,'MSA-Lookup'!$H$2:$I$86,2)</f>
        <v>4480</v>
      </c>
      <c r="F3601" s="0" t="n">
        <f aca="false">IF(C3601&gt;1,IF(C3601&lt;99,VLOOKUP(C3601,'MSA-Lookup'!$H$1:$I$86,2),C3601),C3601)</f>
        <v>6000</v>
      </c>
      <c r="G3601" s="0" t="n">
        <f aca="false">VLOOKUP(E3601,'MSA-Lookup'!$AA$1:$AB$25,2)</f>
        <v>4472</v>
      </c>
      <c r="H3601" s="0" t="n">
        <f aca="false">IF(C3601&gt;1,IF(C3601&lt;99,VLOOKUP(F3601,'MSA-Lookup'!$AA$1:$AB$25,2),C3601),C3601)</f>
        <v>4472</v>
      </c>
    </row>
    <row r="3602" customFormat="false" ht="12.75" hidden="false" customHeight="false" outlineLevel="0" collapsed="false">
      <c r="A3602" s="0" t="n">
        <f aca="false">B3602*1000+C3602</f>
        <v>53084</v>
      </c>
      <c r="B3602" s="0" t="n">
        <v>53</v>
      </c>
      <c r="C3602" s="0" t="n">
        <v>84</v>
      </c>
      <c r="D3602" s="0" t="n">
        <v>104</v>
      </c>
      <c r="E3602" s="0" t="n">
        <f aca="false">VLOOKUP(B3602,'MSA-Lookup'!$H$2:$I$86,2)</f>
        <v>4480</v>
      </c>
      <c r="F3602" s="0" t="n">
        <f aca="false">IF(C3602&gt;1,IF(C3602&lt;99,VLOOKUP(C3602,'MSA-Lookup'!$H$1:$I$86,2),C3602),C3602)</f>
        <v>360</v>
      </c>
      <c r="G3602" s="0" t="n">
        <f aca="false">VLOOKUP(E3602,'MSA-Lookup'!$AA$1:$AB$25,2)</f>
        <v>4472</v>
      </c>
      <c r="H3602" s="0" t="n">
        <f aca="false">IF(C3602&gt;1,IF(C3602&lt;99,VLOOKUP(F3602,'MSA-Lookup'!$AA$1:$AB$25,2),C3602),C3602)</f>
        <v>4472</v>
      </c>
    </row>
    <row r="3603" customFormat="false" ht="12.75" hidden="false" customHeight="false" outlineLevel="0" collapsed="false">
      <c r="A3603" s="0" t="n">
        <f aca="false">B3603*1000+C3603</f>
        <v>53085</v>
      </c>
      <c r="B3603" s="0" t="n">
        <v>53</v>
      </c>
      <c r="C3603" s="0" t="n">
        <v>85</v>
      </c>
      <c r="D3603" s="0" t="n">
        <v>0</v>
      </c>
      <c r="E3603" s="0" t="n">
        <f aca="false">VLOOKUP(B3603,'MSA-Lookup'!$H$2:$I$86,2)</f>
        <v>4480</v>
      </c>
      <c r="F3603" s="0" t="n">
        <f aca="false">IF(C3603&gt;1,IF(C3603&lt;99,VLOOKUP(C3603,'MSA-Lookup'!$H$1:$I$86,2),C3603),C3603)</f>
        <v>8120</v>
      </c>
      <c r="G3603" s="0" t="n">
        <f aca="false">VLOOKUP(E3603,'MSA-Lookup'!$AA$1:$AB$25,2)</f>
        <v>4472</v>
      </c>
      <c r="H3603" s="0" t="n">
        <f aca="false">IF(C3603&gt;1,IF(C3603&lt;99,VLOOKUP(F3603,'MSA-Lookup'!$AA$1:$AB$25,2),C3603),C3603)</f>
        <v>8120</v>
      </c>
    </row>
    <row r="3604" customFormat="false" ht="12.75" hidden="false" customHeight="false" outlineLevel="0" collapsed="false">
      <c r="A3604" s="0" t="n">
        <f aca="false">B3604*1000+C3604</f>
        <v>53858</v>
      </c>
      <c r="B3604" s="0" t="n">
        <v>53</v>
      </c>
      <c r="C3604" s="0" t="n">
        <v>858</v>
      </c>
      <c r="D3604" s="0" t="n">
        <v>0</v>
      </c>
      <c r="E3604" s="0" t="n">
        <f aca="false">VLOOKUP(B3604,'MSA-Lookup'!$H$2:$I$86,2)</f>
        <v>4480</v>
      </c>
      <c r="F3604" s="0" t="n">
        <f aca="false">IF(C3604&gt;1,IF(C3604&lt;99,VLOOKUP(C3604,'MSA-Lookup'!$H$1:$I$86,2),C3604),C3604)</f>
        <v>858</v>
      </c>
      <c r="G3604" s="0" t="n">
        <f aca="false">VLOOKUP(E3604,'MSA-Lookup'!$AA$1:$AB$25,2)</f>
        <v>4472</v>
      </c>
      <c r="H3604" s="0" t="n">
        <f aca="false">IF(C3604&gt;1,IF(C3604&lt;99,VLOOKUP(F3604,'MSA-Lookup'!$AA$1:$AB$25,2),C3604),C3604)</f>
        <v>858</v>
      </c>
    </row>
    <row r="3605" customFormat="false" ht="12.75" hidden="false" customHeight="false" outlineLevel="0" collapsed="false">
      <c r="A3605" s="0" t="n">
        <f aca="false">B3605*1000+C3605</f>
        <v>53983</v>
      </c>
      <c r="B3605" s="0" t="n">
        <v>53</v>
      </c>
      <c r="C3605" s="0" t="n">
        <v>983</v>
      </c>
      <c r="D3605" s="0" t="n">
        <v>0</v>
      </c>
      <c r="E3605" s="0" t="n">
        <f aca="false">VLOOKUP(B3605,'MSA-Lookup'!$H$2:$I$86,2)</f>
        <v>4480</v>
      </c>
      <c r="F3605" s="0" t="n">
        <f aca="false">IF(C3605&gt;1,IF(C3605&lt;99,VLOOKUP(C3605,'MSA-Lookup'!$H$1:$I$86,2),C3605),C3605)</f>
        <v>983</v>
      </c>
      <c r="G3605" s="0" t="n">
        <f aca="false">VLOOKUP(E3605,'MSA-Lookup'!$AA$1:$AB$25,2)</f>
        <v>4472</v>
      </c>
      <c r="H3605" s="0" t="n">
        <f aca="false">IF(C3605&gt;1,IF(C3605&lt;99,VLOOKUP(F3605,'MSA-Lookup'!$AA$1:$AB$25,2),C3605),C3605)</f>
        <v>983</v>
      </c>
    </row>
    <row r="3606" customFormat="false" ht="12.75" hidden="false" customHeight="false" outlineLevel="0" collapsed="false">
      <c r="A3606" s="0" t="n">
        <f aca="false">B3606*1000+C3606</f>
        <v>53999</v>
      </c>
      <c r="B3606" s="0" t="n">
        <v>53</v>
      </c>
      <c r="C3606" s="0" t="n">
        <v>999</v>
      </c>
      <c r="D3606" s="0" t="n">
        <v>0</v>
      </c>
      <c r="E3606" s="0" t="n">
        <f aca="false">VLOOKUP(B3606,'MSA-Lookup'!$H$2:$I$86,2)</f>
        <v>4480</v>
      </c>
      <c r="F3606" s="0" t="n">
        <f aca="false">IF(C3606&gt;1,IF(C3606&lt;99,VLOOKUP(C3606,'MSA-Lookup'!$H$1:$I$86,2),C3606),C3606)</f>
        <v>999</v>
      </c>
      <c r="G3606" s="0" t="n">
        <f aca="false">VLOOKUP(E3606,'MSA-Lookup'!$AA$1:$AB$25,2)</f>
        <v>4472</v>
      </c>
      <c r="H3606" s="0" t="n">
        <f aca="false">IF(C3606&gt;1,IF(C3606&lt;99,VLOOKUP(F3606,'MSA-Lookup'!$AA$1:$AB$25,2),C3606),C3606)</f>
        <v>999</v>
      </c>
    </row>
    <row r="3607" customFormat="false" ht="12.75" hidden="false" customHeight="false" outlineLevel="0" collapsed="false">
      <c r="A3607" s="0" t="n">
        <f aca="false">B3607*1000+C3607</f>
        <v>54000</v>
      </c>
      <c r="B3607" s="0" t="n">
        <v>54</v>
      </c>
      <c r="C3607" s="0" t="n">
        <v>0</v>
      </c>
      <c r="D3607" s="0" t="n">
        <v>66378</v>
      </c>
      <c r="E3607" s="0" t="n">
        <f aca="false">VLOOKUP(B3607,'MSA-Lookup'!$H$2:$I$86,2)</f>
        <v>4480</v>
      </c>
      <c r="F3607" s="0" t="n">
        <f aca="false">IF(C3607&gt;1,IF(C3607&lt;99,VLOOKUP(C3607,'MSA-Lookup'!$H$1:$I$86,2),C3607),C3607)</f>
        <v>0</v>
      </c>
      <c r="G3607" s="0" t="n">
        <f aca="false">VLOOKUP(E3607,'MSA-Lookup'!$AA$1:$AB$25,2)</f>
        <v>4472</v>
      </c>
      <c r="H3607" s="0" t="n">
        <f aca="false">IF(C3607&gt;1,IF(C3607&lt;99,VLOOKUP(F3607,'MSA-Lookup'!$AA$1:$AB$25,2),C3607),C3607)</f>
        <v>0</v>
      </c>
    </row>
    <row r="3608" customFormat="false" ht="12.75" hidden="false" customHeight="false" outlineLevel="0" collapsed="false">
      <c r="A3608" s="0" t="n">
        <f aca="false">B3608*1000+C3608</f>
        <v>54001</v>
      </c>
      <c r="B3608" s="0" t="n">
        <v>54</v>
      </c>
      <c r="C3608" s="0" t="n">
        <v>1</v>
      </c>
      <c r="D3608" s="0" t="n">
        <v>0</v>
      </c>
      <c r="E3608" s="0" t="n">
        <f aca="false">VLOOKUP(B3608,'MSA-Lookup'!$H$2:$I$86,2)</f>
        <v>4480</v>
      </c>
      <c r="F3608" s="0" t="n">
        <f aca="false">IF(C3608&gt;1,IF(C3608&lt;99,VLOOKUP(C3608,'MSA-Lookup'!$H$1:$I$86,2),C3608),C3608)</f>
        <v>1</v>
      </c>
      <c r="G3608" s="0" t="n">
        <f aca="false">VLOOKUP(E3608,'MSA-Lookup'!$AA$1:$AB$25,2)</f>
        <v>4472</v>
      </c>
      <c r="H3608" s="0" t="n">
        <f aca="false">IF(C3608&gt;1,IF(C3608&lt;99,VLOOKUP(F3608,'MSA-Lookup'!$AA$1:$AB$25,2),C3608),C3608)</f>
        <v>1</v>
      </c>
    </row>
    <row r="3609" customFormat="false" ht="12.75" hidden="false" customHeight="false" outlineLevel="0" collapsed="false">
      <c r="A3609" s="0" t="n">
        <f aca="false">B3609*1000+C3609</f>
        <v>54002</v>
      </c>
      <c r="B3609" s="0" t="n">
        <v>54</v>
      </c>
      <c r="C3609" s="0" t="n">
        <v>2</v>
      </c>
      <c r="D3609" s="0" t="n">
        <v>0</v>
      </c>
      <c r="E3609" s="0" t="n">
        <f aca="false">VLOOKUP(B3609,'MSA-Lookup'!$H$2:$I$86,2)</f>
        <v>4480</v>
      </c>
      <c r="F3609" s="0" t="n">
        <f aca="false">IF(C3609&gt;1,IF(C3609&lt;99,VLOOKUP(C3609,'MSA-Lookup'!$H$1:$I$86,2),C3609),C3609)</f>
        <v>9999</v>
      </c>
      <c r="G3609" s="0" t="n">
        <f aca="false">VLOOKUP(E3609,'MSA-Lookup'!$AA$1:$AB$25,2)</f>
        <v>4472</v>
      </c>
      <c r="H3609" s="0" t="n">
        <f aca="false">IF(C3609&gt;1,IF(C3609&lt;99,VLOOKUP(F3609,'MSA-Lookup'!$AA$1:$AB$25,2),C3609),C3609)</f>
        <v>9999</v>
      </c>
    </row>
    <row r="3610" customFormat="false" ht="12.75" hidden="false" customHeight="false" outlineLevel="0" collapsed="false">
      <c r="A3610" s="0" t="n">
        <f aca="false">B3610*1000+C3610</f>
        <v>54003</v>
      </c>
      <c r="B3610" s="0" t="n">
        <v>54</v>
      </c>
      <c r="C3610" s="0" t="n">
        <v>3</v>
      </c>
      <c r="D3610" s="0" t="n">
        <v>0</v>
      </c>
      <c r="E3610" s="0" t="n">
        <f aca="false">VLOOKUP(B3610,'MSA-Lookup'!$H$2:$I$86,2)</f>
        <v>4480</v>
      </c>
      <c r="F3610" s="0" t="n">
        <f aca="false">IF(C3610&gt;1,IF(C3610&lt;99,VLOOKUP(C3610,'MSA-Lookup'!$H$1:$I$86,2),C3610),C3610)</f>
        <v>6690</v>
      </c>
      <c r="G3610" s="0" t="n">
        <f aca="false">VLOOKUP(E3610,'MSA-Lookup'!$AA$1:$AB$25,2)</f>
        <v>4472</v>
      </c>
      <c r="H3610" s="0" t="n">
        <f aca="false">IF(C3610&gt;1,IF(C3610&lt;99,VLOOKUP(F3610,'MSA-Lookup'!$AA$1:$AB$25,2),C3610),C3610)</f>
        <v>6690</v>
      </c>
    </row>
    <row r="3611" customFormat="false" ht="12.75" hidden="false" customHeight="false" outlineLevel="0" collapsed="false">
      <c r="A3611" s="0" t="n">
        <f aca="false">B3611*1000+C3611</f>
        <v>54004</v>
      </c>
      <c r="B3611" s="0" t="n">
        <v>54</v>
      </c>
      <c r="C3611" s="0" t="n">
        <v>4</v>
      </c>
      <c r="D3611" s="0" t="n">
        <v>0</v>
      </c>
      <c r="E3611" s="0" t="n">
        <f aca="false">VLOOKUP(B3611,'MSA-Lookup'!$H$2:$I$86,2)</f>
        <v>4480</v>
      </c>
      <c r="F3611" s="0" t="n">
        <f aca="false">IF(C3611&gt;1,IF(C3611&lt;99,VLOOKUP(C3611,'MSA-Lookup'!$H$1:$I$86,2),C3611),C3611)</f>
        <v>9999</v>
      </c>
      <c r="G3611" s="0" t="n">
        <f aca="false">VLOOKUP(E3611,'MSA-Lookup'!$AA$1:$AB$25,2)</f>
        <v>4472</v>
      </c>
      <c r="H3611" s="0" t="n">
        <f aca="false">IF(C3611&gt;1,IF(C3611&lt;99,VLOOKUP(F3611,'MSA-Lookup'!$AA$1:$AB$25,2),C3611),C3611)</f>
        <v>9999</v>
      </c>
    </row>
    <row r="3612" customFormat="false" ht="12.75" hidden="false" customHeight="false" outlineLevel="0" collapsed="false">
      <c r="A3612" s="0" t="n">
        <f aca="false">B3612*1000+C3612</f>
        <v>54005</v>
      </c>
      <c r="B3612" s="0" t="n">
        <v>54</v>
      </c>
      <c r="C3612" s="0" t="n">
        <v>5</v>
      </c>
      <c r="D3612" s="0" t="n">
        <v>0</v>
      </c>
      <c r="E3612" s="0" t="n">
        <f aca="false">VLOOKUP(B3612,'MSA-Lookup'!$H$2:$I$86,2)</f>
        <v>4480</v>
      </c>
      <c r="F3612" s="0" t="n">
        <f aca="false">IF(C3612&gt;1,IF(C3612&lt;99,VLOOKUP(C3612,'MSA-Lookup'!$H$1:$I$86,2),C3612),C3612)</f>
        <v>9999</v>
      </c>
      <c r="G3612" s="0" t="n">
        <f aca="false">VLOOKUP(E3612,'MSA-Lookup'!$AA$1:$AB$25,2)</f>
        <v>4472</v>
      </c>
      <c r="H3612" s="0" t="n">
        <f aca="false">IF(C3612&gt;1,IF(C3612&lt;99,VLOOKUP(F3612,'MSA-Lookup'!$AA$1:$AB$25,2),C3612),C3612)</f>
        <v>9999</v>
      </c>
    </row>
    <row r="3613" customFormat="false" ht="12.75" hidden="false" customHeight="false" outlineLevel="0" collapsed="false">
      <c r="A3613" s="0" t="n">
        <f aca="false">B3613*1000+C3613</f>
        <v>54006</v>
      </c>
      <c r="B3613" s="0" t="n">
        <v>54</v>
      </c>
      <c r="C3613" s="0" t="n">
        <v>6</v>
      </c>
      <c r="D3613" s="0" t="n">
        <v>0</v>
      </c>
      <c r="E3613" s="0" t="n">
        <f aca="false">VLOOKUP(B3613,'MSA-Lookup'!$H$2:$I$86,2)</f>
        <v>4480</v>
      </c>
      <c r="F3613" s="0" t="n">
        <f aca="false">IF(C3613&gt;1,IF(C3613&lt;99,VLOOKUP(C3613,'MSA-Lookup'!$H$1:$I$86,2),C3613),C3613)</f>
        <v>1620</v>
      </c>
      <c r="G3613" s="0" t="n">
        <f aca="false">VLOOKUP(E3613,'MSA-Lookup'!$AA$1:$AB$25,2)</f>
        <v>4472</v>
      </c>
      <c r="H3613" s="0" t="n">
        <f aca="false">IF(C3613&gt;1,IF(C3613&lt;99,VLOOKUP(F3613,'MSA-Lookup'!$AA$1:$AB$25,2),C3613),C3613)</f>
        <v>1620</v>
      </c>
    </row>
    <row r="3614" customFormat="false" ht="12.75" hidden="false" customHeight="false" outlineLevel="0" collapsed="false">
      <c r="A3614" s="0" t="n">
        <f aca="false">B3614*1000+C3614</f>
        <v>54007</v>
      </c>
      <c r="B3614" s="0" t="n">
        <v>54</v>
      </c>
      <c r="C3614" s="0" t="n">
        <v>7</v>
      </c>
      <c r="D3614" s="0" t="n">
        <v>0</v>
      </c>
      <c r="E3614" s="0" t="n">
        <f aca="false">VLOOKUP(B3614,'MSA-Lookup'!$H$2:$I$86,2)</f>
        <v>4480</v>
      </c>
      <c r="F3614" s="0" t="n">
        <f aca="false">IF(C3614&gt;1,IF(C3614&lt;99,VLOOKUP(C3614,'MSA-Lookup'!$H$1:$I$86,2),C3614),C3614)</f>
        <v>9999</v>
      </c>
      <c r="G3614" s="0" t="n">
        <f aca="false">VLOOKUP(E3614,'MSA-Lookup'!$AA$1:$AB$25,2)</f>
        <v>4472</v>
      </c>
      <c r="H3614" s="0" t="n">
        <f aca="false">IF(C3614&gt;1,IF(C3614&lt;99,VLOOKUP(F3614,'MSA-Lookup'!$AA$1:$AB$25,2),C3614),C3614)</f>
        <v>9999</v>
      </c>
    </row>
    <row r="3615" customFormat="false" ht="12.75" hidden="false" customHeight="false" outlineLevel="0" collapsed="false">
      <c r="A3615" s="0" t="n">
        <f aca="false">B3615*1000+C3615</f>
        <v>54008</v>
      </c>
      <c r="B3615" s="0" t="n">
        <v>54</v>
      </c>
      <c r="C3615" s="0" t="n">
        <v>8</v>
      </c>
      <c r="D3615" s="0" t="n">
        <v>0</v>
      </c>
      <c r="E3615" s="0" t="n">
        <f aca="false">VLOOKUP(B3615,'MSA-Lookup'!$H$2:$I$86,2)</f>
        <v>4480</v>
      </c>
      <c r="F3615" s="0" t="n">
        <f aca="false">IF(C3615&gt;1,IF(C3615&lt;99,VLOOKUP(C3615,'MSA-Lookup'!$H$1:$I$86,2),C3615),C3615)</f>
        <v>9340</v>
      </c>
      <c r="G3615" s="0" t="n">
        <f aca="false">VLOOKUP(E3615,'MSA-Lookup'!$AA$1:$AB$25,2)</f>
        <v>4472</v>
      </c>
      <c r="H3615" s="0" t="n">
        <f aca="false">IF(C3615&gt;1,IF(C3615&lt;99,VLOOKUP(F3615,'MSA-Lookup'!$AA$1:$AB$25,2),C3615),C3615)</f>
        <v>9340</v>
      </c>
    </row>
    <row r="3616" customFormat="false" ht="12.75" hidden="false" customHeight="false" outlineLevel="0" collapsed="false">
      <c r="A3616" s="0" t="n">
        <f aca="false">B3616*1000+C3616</f>
        <v>54009</v>
      </c>
      <c r="B3616" s="0" t="n">
        <v>54</v>
      </c>
      <c r="C3616" s="0" t="n">
        <v>9</v>
      </c>
      <c r="D3616" s="0" t="n">
        <v>0</v>
      </c>
      <c r="E3616" s="0" t="n">
        <f aca="false">VLOOKUP(B3616,'MSA-Lookup'!$H$2:$I$86,2)</f>
        <v>4480</v>
      </c>
      <c r="F3616" s="0" t="n">
        <f aca="false">IF(C3616&gt;1,IF(C3616&lt;99,VLOOKUP(C3616,'MSA-Lookup'!$H$1:$I$86,2),C3616),C3616)</f>
        <v>8720</v>
      </c>
      <c r="G3616" s="0" t="n">
        <f aca="false">VLOOKUP(E3616,'MSA-Lookup'!$AA$1:$AB$25,2)</f>
        <v>4472</v>
      </c>
      <c r="H3616" s="0" t="n">
        <f aca="false">IF(C3616&gt;1,IF(C3616&lt;99,VLOOKUP(F3616,'MSA-Lookup'!$AA$1:$AB$25,2),C3616),C3616)</f>
        <v>7362</v>
      </c>
    </row>
    <row r="3617" customFormat="false" ht="12.75" hidden="false" customHeight="false" outlineLevel="0" collapsed="false">
      <c r="A3617" s="0" t="n">
        <f aca="false">B3617*1000+C3617</f>
        <v>54010</v>
      </c>
      <c r="B3617" s="0" t="n">
        <v>54</v>
      </c>
      <c r="C3617" s="0" t="n">
        <v>10</v>
      </c>
      <c r="D3617" s="0" t="n">
        <v>0</v>
      </c>
      <c r="E3617" s="0" t="n">
        <f aca="false">VLOOKUP(B3617,'MSA-Lookup'!$H$2:$I$86,2)</f>
        <v>4480</v>
      </c>
      <c r="F3617" s="0" t="n">
        <f aca="false">IF(C3617&gt;1,IF(C3617&lt;99,VLOOKUP(C3617,'MSA-Lookup'!$H$1:$I$86,2),C3617),C3617)</f>
        <v>6920</v>
      </c>
      <c r="G3617" s="0" t="n">
        <f aca="false">VLOOKUP(E3617,'MSA-Lookup'!$AA$1:$AB$25,2)</f>
        <v>4472</v>
      </c>
      <c r="H3617" s="0" t="n">
        <f aca="false">IF(C3617&gt;1,IF(C3617&lt;99,VLOOKUP(F3617,'MSA-Lookup'!$AA$1:$AB$25,2),C3617),C3617)</f>
        <v>6920</v>
      </c>
    </row>
    <row r="3618" customFormat="false" ht="12.75" hidden="false" customHeight="false" outlineLevel="0" collapsed="false">
      <c r="A3618" s="0" t="n">
        <f aca="false">B3618*1000+C3618</f>
        <v>54011</v>
      </c>
      <c r="B3618" s="0" t="n">
        <v>54</v>
      </c>
      <c r="C3618" s="0" t="n">
        <v>11</v>
      </c>
      <c r="D3618" s="0" t="n">
        <v>0</v>
      </c>
      <c r="E3618" s="0" t="n">
        <f aca="false">VLOOKUP(B3618,'MSA-Lookup'!$H$2:$I$86,2)</f>
        <v>4480</v>
      </c>
      <c r="F3618" s="0" t="n">
        <f aca="false">IF(C3618&gt;1,IF(C3618&lt;99,VLOOKUP(C3618,'MSA-Lookup'!$H$1:$I$86,2),C3618),C3618)</f>
        <v>6920</v>
      </c>
      <c r="G3618" s="0" t="n">
        <f aca="false">VLOOKUP(E3618,'MSA-Lookup'!$AA$1:$AB$25,2)</f>
        <v>4472</v>
      </c>
      <c r="H3618" s="0" t="n">
        <f aca="false">IF(C3618&gt;1,IF(C3618&lt;99,VLOOKUP(F3618,'MSA-Lookup'!$AA$1:$AB$25,2),C3618),C3618)</f>
        <v>6920</v>
      </c>
    </row>
    <row r="3619" customFormat="false" ht="12.75" hidden="false" customHeight="false" outlineLevel="0" collapsed="false">
      <c r="A3619" s="0" t="n">
        <f aca="false">B3619*1000+C3619</f>
        <v>54012</v>
      </c>
      <c r="B3619" s="0" t="n">
        <v>54</v>
      </c>
      <c r="C3619" s="0" t="n">
        <v>12</v>
      </c>
      <c r="D3619" s="0" t="n">
        <v>0</v>
      </c>
      <c r="E3619" s="0" t="n">
        <f aca="false">VLOOKUP(B3619,'MSA-Lookup'!$H$2:$I$86,2)</f>
        <v>4480</v>
      </c>
      <c r="F3619" s="0" t="n">
        <f aca="false">IF(C3619&gt;1,IF(C3619&lt;99,VLOOKUP(C3619,'MSA-Lookup'!$H$1:$I$86,2),C3619),C3619)</f>
        <v>6920</v>
      </c>
      <c r="G3619" s="0" t="n">
        <f aca="false">VLOOKUP(E3619,'MSA-Lookup'!$AA$1:$AB$25,2)</f>
        <v>4472</v>
      </c>
      <c r="H3619" s="0" t="n">
        <f aca="false">IF(C3619&gt;1,IF(C3619&lt;99,VLOOKUP(F3619,'MSA-Lookup'!$AA$1:$AB$25,2),C3619),C3619)</f>
        <v>6920</v>
      </c>
    </row>
    <row r="3620" customFormat="false" ht="12.75" hidden="false" customHeight="false" outlineLevel="0" collapsed="false">
      <c r="A3620" s="0" t="n">
        <f aca="false">B3620*1000+C3620</f>
        <v>54013</v>
      </c>
      <c r="B3620" s="0" t="n">
        <v>54</v>
      </c>
      <c r="C3620" s="0" t="n">
        <v>13</v>
      </c>
      <c r="D3620" s="0" t="n">
        <v>0</v>
      </c>
      <c r="E3620" s="0" t="n">
        <f aca="false">VLOOKUP(B3620,'MSA-Lookup'!$H$2:$I$86,2)</f>
        <v>4480</v>
      </c>
      <c r="F3620" s="0" t="n">
        <f aca="false">IF(C3620&gt;1,IF(C3620&lt;99,VLOOKUP(C3620,'MSA-Lookup'!$H$1:$I$86,2),C3620),C3620)</f>
        <v>7500</v>
      </c>
      <c r="G3620" s="0" t="n">
        <f aca="false">VLOOKUP(E3620,'MSA-Lookup'!$AA$1:$AB$25,2)</f>
        <v>4472</v>
      </c>
      <c r="H3620" s="0" t="n">
        <f aca="false">IF(C3620&gt;1,IF(C3620&lt;99,VLOOKUP(F3620,'MSA-Lookup'!$AA$1:$AB$25,2),C3620),C3620)</f>
        <v>7362</v>
      </c>
    </row>
    <row r="3621" customFormat="false" ht="12.75" hidden="false" customHeight="false" outlineLevel="0" collapsed="false">
      <c r="A3621" s="0" t="n">
        <f aca="false">B3621*1000+C3621</f>
        <v>54014</v>
      </c>
      <c r="B3621" s="0" t="n">
        <v>54</v>
      </c>
      <c r="C3621" s="0" t="n">
        <v>14</v>
      </c>
      <c r="D3621" s="0" t="n">
        <v>0</v>
      </c>
      <c r="E3621" s="0" t="n">
        <f aca="false">VLOOKUP(B3621,'MSA-Lookup'!$H$2:$I$86,2)</f>
        <v>4480</v>
      </c>
      <c r="F3621" s="0" t="n">
        <f aca="false">IF(C3621&gt;1,IF(C3621&lt;99,VLOOKUP(C3621,'MSA-Lookup'!$H$1:$I$86,2),C3621),C3621)</f>
        <v>7500</v>
      </c>
      <c r="G3621" s="0" t="n">
        <f aca="false">VLOOKUP(E3621,'MSA-Lookup'!$AA$1:$AB$25,2)</f>
        <v>4472</v>
      </c>
      <c r="H3621" s="0" t="n">
        <f aca="false">IF(C3621&gt;1,IF(C3621&lt;99,VLOOKUP(F3621,'MSA-Lookup'!$AA$1:$AB$25,2),C3621),C3621)</f>
        <v>7362</v>
      </c>
    </row>
    <row r="3622" customFormat="false" ht="12.75" hidden="false" customHeight="false" outlineLevel="0" collapsed="false">
      <c r="A3622" s="0" t="n">
        <f aca="false">B3622*1000+C3622</f>
        <v>54015</v>
      </c>
      <c r="B3622" s="0" t="n">
        <v>54</v>
      </c>
      <c r="C3622" s="0" t="n">
        <v>15</v>
      </c>
      <c r="D3622" s="0" t="n">
        <v>0</v>
      </c>
      <c r="E3622" s="0" t="n">
        <f aca="false">VLOOKUP(B3622,'MSA-Lookup'!$H$2:$I$86,2)</f>
        <v>4480</v>
      </c>
      <c r="F3622" s="0" t="n">
        <f aca="false">IF(C3622&gt;1,IF(C3622&lt;99,VLOOKUP(C3622,'MSA-Lookup'!$H$1:$I$86,2),C3622),C3622)</f>
        <v>7360</v>
      </c>
      <c r="G3622" s="0" t="n">
        <f aca="false">VLOOKUP(E3622,'MSA-Lookup'!$AA$1:$AB$25,2)</f>
        <v>4472</v>
      </c>
      <c r="H3622" s="0" t="n">
        <f aca="false">IF(C3622&gt;1,IF(C3622&lt;99,VLOOKUP(F3622,'MSA-Lookup'!$AA$1:$AB$25,2),C3622),C3622)</f>
        <v>7362</v>
      </c>
    </row>
    <row r="3623" customFormat="false" ht="12.75" hidden="false" customHeight="false" outlineLevel="0" collapsed="false">
      <c r="A3623" s="0" t="n">
        <f aca="false">B3623*1000+C3623</f>
        <v>54016</v>
      </c>
      <c r="B3623" s="0" t="n">
        <v>54</v>
      </c>
      <c r="C3623" s="0" t="n">
        <v>16</v>
      </c>
      <c r="D3623" s="0" t="n">
        <v>0</v>
      </c>
      <c r="E3623" s="0" t="n">
        <f aca="false">VLOOKUP(B3623,'MSA-Lookup'!$H$2:$I$86,2)</f>
        <v>4480</v>
      </c>
      <c r="F3623" s="0" t="n">
        <f aca="false">IF(C3623&gt;1,IF(C3623&lt;99,VLOOKUP(C3623,'MSA-Lookup'!$H$1:$I$86,2),C3623),C3623)</f>
        <v>8720</v>
      </c>
      <c r="G3623" s="0" t="n">
        <f aca="false">VLOOKUP(E3623,'MSA-Lookup'!$AA$1:$AB$25,2)</f>
        <v>4472</v>
      </c>
      <c r="H3623" s="0" t="n">
        <f aca="false">IF(C3623&gt;1,IF(C3623&lt;99,VLOOKUP(F3623,'MSA-Lookup'!$AA$1:$AB$25,2),C3623),C3623)</f>
        <v>7362</v>
      </c>
    </row>
    <row r="3624" customFormat="false" ht="12.75" hidden="false" customHeight="false" outlineLevel="0" collapsed="false">
      <c r="A3624" s="0" t="n">
        <f aca="false">B3624*1000+C3624</f>
        <v>54017</v>
      </c>
      <c r="B3624" s="0" t="n">
        <v>54</v>
      </c>
      <c r="C3624" s="0" t="n">
        <v>17</v>
      </c>
      <c r="D3624" s="0" t="n">
        <v>0</v>
      </c>
      <c r="E3624" s="0" t="n">
        <f aca="false">VLOOKUP(B3624,'MSA-Lookup'!$H$2:$I$86,2)</f>
        <v>4480</v>
      </c>
      <c r="F3624" s="0" t="n">
        <f aca="false">IF(C3624&gt;1,IF(C3624&lt;99,VLOOKUP(C3624,'MSA-Lookup'!$H$1:$I$86,2),C3624),C3624)</f>
        <v>5775</v>
      </c>
      <c r="G3624" s="0" t="n">
        <f aca="false">VLOOKUP(E3624,'MSA-Lookup'!$AA$1:$AB$25,2)</f>
        <v>4472</v>
      </c>
      <c r="H3624" s="0" t="n">
        <f aca="false">IF(C3624&gt;1,IF(C3624&lt;99,VLOOKUP(F3624,'MSA-Lookup'!$AA$1:$AB$25,2),C3624),C3624)</f>
        <v>7362</v>
      </c>
    </row>
    <row r="3625" customFormat="false" ht="12.75" hidden="false" customHeight="false" outlineLevel="0" collapsed="false">
      <c r="A3625" s="0" t="n">
        <f aca="false">B3625*1000+C3625</f>
        <v>54018</v>
      </c>
      <c r="B3625" s="0" t="n">
        <v>54</v>
      </c>
      <c r="C3625" s="0" t="n">
        <v>18</v>
      </c>
      <c r="D3625" s="0" t="n">
        <v>0</v>
      </c>
      <c r="E3625" s="0" t="n">
        <f aca="false">VLOOKUP(B3625,'MSA-Lookup'!$H$2:$I$86,2)</f>
        <v>4480</v>
      </c>
      <c r="F3625" s="0" t="n">
        <f aca="false">IF(C3625&gt;1,IF(C3625&lt;99,VLOOKUP(C3625,'MSA-Lookup'!$H$1:$I$86,2),C3625),C3625)</f>
        <v>5775</v>
      </c>
      <c r="G3625" s="0" t="n">
        <f aca="false">VLOOKUP(E3625,'MSA-Lookup'!$AA$1:$AB$25,2)</f>
        <v>4472</v>
      </c>
      <c r="H3625" s="0" t="n">
        <f aca="false">IF(C3625&gt;1,IF(C3625&lt;99,VLOOKUP(F3625,'MSA-Lookup'!$AA$1:$AB$25,2),C3625),C3625)</f>
        <v>7362</v>
      </c>
    </row>
    <row r="3626" customFormat="false" ht="12.75" hidden="false" customHeight="false" outlineLevel="0" collapsed="false">
      <c r="A3626" s="0" t="n">
        <f aca="false">B3626*1000+C3626</f>
        <v>54019</v>
      </c>
      <c r="B3626" s="0" t="n">
        <v>54</v>
      </c>
      <c r="C3626" s="0" t="n">
        <v>19</v>
      </c>
      <c r="D3626" s="0" t="n">
        <v>65</v>
      </c>
      <c r="E3626" s="0" t="n">
        <f aca="false">VLOOKUP(B3626,'MSA-Lookup'!$H$2:$I$86,2)</f>
        <v>4480</v>
      </c>
      <c r="F3626" s="0" t="n">
        <f aca="false">IF(C3626&gt;1,IF(C3626&lt;99,VLOOKUP(C3626,'MSA-Lookup'!$H$1:$I$86,2),C3626),C3626)</f>
        <v>7360</v>
      </c>
      <c r="G3626" s="0" t="n">
        <f aca="false">VLOOKUP(E3626,'MSA-Lookup'!$AA$1:$AB$25,2)</f>
        <v>4472</v>
      </c>
      <c r="H3626" s="0" t="n">
        <f aca="false">IF(C3626&gt;1,IF(C3626&lt;99,VLOOKUP(F3626,'MSA-Lookup'!$AA$1:$AB$25,2),C3626),C3626)</f>
        <v>7362</v>
      </c>
    </row>
    <row r="3627" customFormat="false" ht="12.75" hidden="false" customHeight="false" outlineLevel="0" collapsed="false">
      <c r="A3627" s="0" t="n">
        <f aca="false">B3627*1000+C3627</f>
        <v>54020</v>
      </c>
      <c r="B3627" s="0" t="n">
        <v>54</v>
      </c>
      <c r="C3627" s="0" t="n">
        <v>20</v>
      </c>
      <c r="D3627" s="0" t="n">
        <v>0</v>
      </c>
      <c r="E3627" s="0" t="n">
        <f aca="false">VLOOKUP(B3627,'MSA-Lookup'!$H$2:$I$86,2)</f>
        <v>4480</v>
      </c>
      <c r="F3627" s="0" t="n">
        <f aca="false">IF(C3627&gt;1,IF(C3627&lt;99,VLOOKUP(C3627,'MSA-Lookup'!$H$1:$I$86,2),C3627),C3627)</f>
        <v>5775</v>
      </c>
      <c r="G3627" s="0" t="n">
        <f aca="false">VLOOKUP(E3627,'MSA-Lookup'!$AA$1:$AB$25,2)</f>
        <v>4472</v>
      </c>
      <c r="H3627" s="0" t="n">
        <f aca="false">IF(C3627&gt;1,IF(C3627&lt;99,VLOOKUP(F3627,'MSA-Lookup'!$AA$1:$AB$25,2),C3627),C3627)</f>
        <v>7362</v>
      </c>
    </row>
    <row r="3628" customFormat="false" ht="12.75" hidden="false" customHeight="false" outlineLevel="0" collapsed="false">
      <c r="A3628" s="0" t="n">
        <f aca="false">B3628*1000+C3628</f>
        <v>54021</v>
      </c>
      <c r="B3628" s="0" t="n">
        <v>54</v>
      </c>
      <c r="C3628" s="0" t="n">
        <v>21</v>
      </c>
      <c r="D3628" s="0" t="n">
        <v>65</v>
      </c>
      <c r="E3628" s="0" t="n">
        <f aca="false">VLOOKUP(B3628,'MSA-Lookup'!$H$2:$I$86,2)</f>
        <v>4480</v>
      </c>
      <c r="F3628" s="0" t="n">
        <f aca="false">IF(C3628&gt;1,IF(C3628&lt;99,VLOOKUP(C3628,'MSA-Lookup'!$H$1:$I$86,2),C3628),C3628)</f>
        <v>5775</v>
      </c>
      <c r="G3628" s="0" t="n">
        <f aca="false">VLOOKUP(E3628,'MSA-Lookup'!$AA$1:$AB$25,2)</f>
        <v>4472</v>
      </c>
      <c r="H3628" s="0" t="n">
        <f aca="false">IF(C3628&gt;1,IF(C3628&lt;99,VLOOKUP(F3628,'MSA-Lookup'!$AA$1:$AB$25,2),C3628),C3628)</f>
        <v>7362</v>
      </c>
    </row>
    <row r="3629" customFormat="false" ht="12.75" hidden="false" customHeight="false" outlineLevel="0" collapsed="false">
      <c r="A3629" s="0" t="n">
        <f aca="false">B3629*1000+C3629</f>
        <v>54022</v>
      </c>
      <c r="B3629" s="0" t="n">
        <v>54</v>
      </c>
      <c r="C3629" s="0" t="n">
        <v>22</v>
      </c>
      <c r="D3629" s="0" t="n">
        <v>0</v>
      </c>
      <c r="E3629" s="0" t="n">
        <f aca="false">VLOOKUP(B3629,'MSA-Lookup'!$H$2:$I$86,2)</f>
        <v>4480</v>
      </c>
      <c r="F3629" s="0" t="n">
        <f aca="false">IF(C3629&gt;1,IF(C3629&lt;99,VLOOKUP(C3629,'MSA-Lookup'!$H$1:$I$86,2),C3629),C3629)</f>
        <v>7360</v>
      </c>
      <c r="G3629" s="0" t="n">
        <f aca="false">VLOOKUP(E3629,'MSA-Lookup'!$AA$1:$AB$25,2)</f>
        <v>4472</v>
      </c>
      <c r="H3629" s="0" t="n">
        <f aca="false">IF(C3629&gt;1,IF(C3629&lt;99,VLOOKUP(F3629,'MSA-Lookup'!$AA$1:$AB$25,2),C3629),C3629)</f>
        <v>7362</v>
      </c>
    </row>
    <row r="3630" customFormat="false" ht="12.75" hidden="false" customHeight="false" outlineLevel="0" collapsed="false">
      <c r="A3630" s="0" t="n">
        <f aca="false">B3630*1000+C3630</f>
        <v>54023</v>
      </c>
      <c r="B3630" s="0" t="n">
        <v>54</v>
      </c>
      <c r="C3630" s="0" t="n">
        <v>23</v>
      </c>
      <c r="D3630" s="0" t="n">
        <v>0</v>
      </c>
      <c r="E3630" s="0" t="n">
        <f aca="false">VLOOKUP(B3630,'MSA-Lookup'!$H$2:$I$86,2)</f>
        <v>4480</v>
      </c>
      <c r="F3630" s="0" t="n">
        <f aca="false">IF(C3630&gt;1,IF(C3630&lt;99,VLOOKUP(C3630,'MSA-Lookup'!$H$1:$I$86,2),C3630),C3630)</f>
        <v>8120</v>
      </c>
      <c r="G3630" s="0" t="n">
        <f aca="false">VLOOKUP(E3630,'MSA-Lookup'!$AA$1:$AB$25,2)</f>
        <v>4472</v>
      </c>
      <c r="H3630" s="0" t="n">
        <f aca="false">IF(C3630&gt;1,IF(C3630&lt;99,VLOOKUP(F3630,'MSA-Lookup'!$AA$1:$AB$25,2),C3630),C3630)</f>
        <v>8120</v>
      </c>
    </row>
    <row r="3631" customFormat="false" ht="12.75" hidden="false" customHeight="false" outlineLevel="0" collapsed="false">
      <c r="A3631" s="0" t="n">
        <f aca="false">B3631*1000+C3631</f>
        <v>54024</v>
      </c>
      <c r="B3631" s="0" t="n">
        <v>54</v>
      </c>
      <c r="C3631" s="0" t="n">
        <v>24</v>
      </c>
      <c r="D3631" s="0" t="n">
        <v>0</v>
      </c>
      <c r="E3631" s="0" t="n">
        <f aca="false">VLOOKUP(B3631,'MSA-Lookup'!$H$2:$I$86,2)</f>
        <v>4480</v>
      </c>
      <c r="F3631" s="0" t="n">
        <f aca="false">IF(C3631&gt;1,IF(C3631&lt;99,VLOOKUP(C3631,'MSA-Lookup'!$H$1:$I$86,2),C3631),C3631)</f>
        <v>5170</v>
      </c>
      <c r="G3631" s="0" t="n">
        <f aca="false">VLOOKUP(E3631,'MSA-Lookup'!$AA$1:$AB$25,2)</f>
        <v>4472</v>
      </c>
      <c r="H3631" s="0" t="n">
        <f aca="false">IF(C3631&gt;1,IF(C3631&lt;99,VLOOKUP(F3631,'MSA-Lookup'!$AA$1:$AB$25,2),C3631),C3631)</f>
        <v>5170</v>
      </c>
    </row>
    <row r="3632" customFormat="false" ht="12.75" hidden="false" customHeight="false" outlineLevel="0" collapsed="false">
      <c r="A3632" s="0" t="n">
        <f aca="false">B3632*1000+C3632</f>
        <v>54025</v>
      </c>
      <c r="B3632" s="0" t="n">
        <v>54</v>
      </c>
      <c r="C3632" s="0" t="n">
        <v>25</v>
      </c>
      <c r="D3632" s="0" t="n">
        <v>0</v>
      </c>
      <c r="E3632" s="0" t="n">
        <f aca="false">VLOOKUP(B3632,'MSA-Lookup'!$H$2:$I$86,2)</f>
        <v>4480</v>
      </c>
      <c r="F3632" s="0" t="n">
        <f aca="false">IF(C3632&gt;1,IF(C3632&lt;99,VLOOKUP(C3632,'MSA-Lookup'!$H$1:$I$86,2),C3632),C3632)</f>
        <v>5170</v>
      </c>
      <c r="G3632" s="0" t="n">
        <f aca="false">VLOOKUP(E3632,'MSA-Lookup'!$AA$1:$AB$25,2)</f>
        <v>4472</v>
      </c>
      <c r="H3632" s="0" t="n">
        <f aca="false">IF(C3632&gt;1,IF(C3632&lt;99,VLOOKUP(F3632,'MSA-Lookup'!$AA$1:$AB$25,2),C3632),C3632)</f>
        <v>5170</v>
      </c>
    </row>
    <row r="3633" customFormat="false" ht="12.75" hidden="false" customHeight="false" outlineLevel="0" collapsed="false">
      <c r="A3633" s="0" t="n">
        <f aca="false">B3633*1000+C3633</f>
        <v>54026</v>
      </c>
      <c r="B3633" s="0" t="n">
        <v>54</v>
      </c>
      <c r="C3633" s="0" t="n">
        <v>26</v>
      </c>
      <c r="D3633" s="0" t="n">
        <v>0</v>
      </c>
      <c r="E3633" s="0" t="n">
        <f aca="false">VLOOKUP(B3633,'MSA-Lookup'!$H$2:$I$86,2)</f>
        <v>4480</v>
      </c>
      <c r="F3633" s="0" t="n">
        <f aca="false">IF(C3633&gt;1,IF(C3633&lt;99,VLOOKUP(C3633,'MSA-Lookup'!$H$1:$I$86,2),C3633),C3633)</f>
        <v>9999</v>
      </c>
      <c r="G3633" s="0" t="n">
        <f aca="false">VLOOKUP(E3633,'MSA-Lookup'!$AA$1:$AB$25,2)</f>
        <v>4472</v>
      </c>
      <c r="H3633" s="0" t="n">
        <f aca="false">IF(C3633&gt;1,IF(C3633&lt;99,VLOOKUP(F3633,'MSA-Lookup'!$AA$1:$AB$25,2),C3633),C3633)</f>
        <v>9999</v>
      </c>
    </row>
    <row r="3634" customFormat="false" ht="12.75" hidden="false" customHeight="false" outlineLevel="0" collapsed="false">
      <c r="A3634" s="0" t="n">
        <f aca="false">B3634*1000+C3634</f>
        <v>54027</v>
      </c>
      <c r="B3634" s="0" t="n">
        <v>54</v>
      </c>
      <c r="C3634" s="0" t="n">
        <v>27</v>
      </c>
      <c r="D3634" s="0" t="n">
        <v>0</v>
      </c>
      <c r="E3634" s="0" t="n">
        <f aca="false">VLOOKUP(B3634,'MSA-Lookup'!$H$2:$I$86,2)</f>
        <v>4480</v>
      </c>
      <c r="F3634" s="0" t="n">
        <f aca="false">IF(C3634&gt;1,IF(C3634&lt;99,VLOOKUP(C3634,'MSA-Lookup'!$H$1:$I$86,2),C3634),C3634)</f>
        <v>9999</v>
      </c>
      <c r="G3634" s="0" t="n">
        <f aca="false">VLOOKUP(E3634,'MSA-Lookup'!$AA$1:$AB$25,2)</f>
        <v>4472</v>
      </c>
      <c r="H3634" s="0" t="n">
        <f aca="false">IF(C3634&gt;1,IF(C3634&lt;99,VLOOKUP(F3634,'MSA-Lookup'!$AA$1:$AB$25,2),C3634),C3634)</f>
        <v>9999</v>
      </c>
    </row>
    <row r="3635" customFormat="false" ht="12.75" hidden="false" customHeight="false" outlineLevel="0" collapsed="false">
      <c r="A3635" s="0" t="n">
        <f aca="false">B3635*1000+C3635</f>
        <v>54028</v>
      </c>
      <c r="B3635" s="0" t="n">
        <v>54</v>
      </c>
      <c r="C3635" s="0" t="n">
        <v>28</v>
      </c>
      <c r="D3635" s="0" t="n">
        <v>0</v>
      </c>
      <c r="E3635" s="0" t="n">
        <f aca="false">VLOOKUP(B3635,'MSA-Lookup'!$H$2:$I$86,2)</f>
        <v>4480</v>
      </c>
      <c r="F3635" s="0" t="n">
        <f aca="false">IF(C3635&gt;1,IF(C3635&lt;99,VLOOKUP(C3635,'MSA-Lookup'!$H$1:$I$86,2),C3635),C3635)</f>
        <v>6920</v>
      </c>
      <c r="G3635" s="0" t="n">
        <f aca="false">VLOOKUP(E3635,'MSA-Lookup'!$AA$1:$AB$25,2)</f>
        <v>4472</v>
      </c>
      <c r="H3635" s="0" t="n">
        <f aca="false">IF(C3635&gt;1,IF(C3635&lt;99,VLOOKUP(F3635,'MSA-Lookup'!$AA$1:$AB$25,2),C3635),C3635)</f>
        <v>6920</v>
      </c>
    </row>
    <row r="3636" customFormat="false" ht="12.75" hidden="false" customHeight="false" outlineLevel="0" collapsed="false">
      <c r="A3636" s="0" t="n">
        <f aca="false">B3636*1000+C3636</f>
        <v>54029</v>
      </c>
      <c r="B3636" s="0" t="n">
        <v>54</v>
      </c>
      <c r="C3636" s="0" t="n">
        <v>29</v>
      </c>
      <c r="D3636" s="0" t="n">
        <v>0</v>
      </c>
      <c r="E3636" s="0" t="n">
        <f aca="false">VLOOKUP(B3636,'MSA-Lookup'!$H$2:$I$86,2)</f>
        <v>4480</v>
      </c>
      <c r="F3636" s="0" t="n">
        <f aca="false">IF(C3636&gt;1,IF(C3636&lt;99,VLOOKUP(C3636,'MSA-Lookup'!$H$1:$I$86,2),C3636),C3636)</f>
        <v>6920</v>
      </c>
      <c r="G3636" s="0" t="n">
        <f aca="false">VLOOKUP(E3636,'MSA-Lookup'!$AA$1:$AB$25,2)</f>
        <v>4472</v>
      </c>
      <c r="H3636" s="0" t="n">
        <f aca="false">IF(C3636&gt;1,IF(C3636&lt;99,VLOOKUP(F3636,'MSA-Lookup'!$AA$1:$AB$25,2),C3636),C3636)</f>
        <v>6920</v>
      </c>
    </row>
    <row r="3637" customFormat="false" ht="12.75" hidden="false" customHeight="false" outlineLevel="0" collapsed="false">
      <c r="A3637" s="0" t="n">
        <f aca="false">B3637*1000+C3637</f>
        <v>54030</v>
      </c>
      <c r="B3637" s="0" t="n">
        <v>54</v>
      </c>
      <c r="C3637" s="0" t="n">
        <v>30</v>
      </c>
      <c r="D3637" s="0" t="n">
        <v>0</v>
      </c>
      <c r="E3637" s="0" t="n">
        <f aca="false">VLOOKUP(B3637,'MSA-Lookup'!$H$2:$I$86,2)</f>
        <v>4480</v>
      </c>
      <c r="F3637" s="0" t="n">
        <f aca="false">IF(C3637&gt;1,IF(C3637&lt;99,VLOOKUP(C3637,'MSA-Lookup'!$H$1:$I$86,2),C3637),C3637)</f>
        <v>4940</v>
      </c>
      <c r="G3637" s="0" t="n">
        <f aca="false">VLOOKUP(E3637,'MSA-Lookup'!$AA$1:$AB$25,2)</f>
        <v>4472</v>
      </c>
      <c r="H3637" s="0" t="n">
        <f aca="false">IF(C3637&gt;1,IF(C3637&lt;99,VLOOKUP(F3637,'MSA-Lookup'!$AA$1:$AB$25,2),C3637),C3637)</f>
        <v>4940</v>
      </c>
    </row>
    <row r="3638" customFormat="false" ht="12.75" hidden="false" customHeight="false" outlineLevel="0" collapsed="false">
      <c r="A3638" s="0" t="n">
        <f aca="false">B3638*1000+C3638</f>
        <v>54031</v>
      </c>
      <c r="B3638" s="0" t="n">
        <v>54</v>
      </c>
      <c r="C3638" s="0" t="n">
        <v>31</v>
      </c>
      <c r="D3638" s="0" t="n">
        <v>0</v>
      </c>
      <c r="E3638" s="0" t="n">
        <f aca="false">VLOOKUP(B3638,'MSA-Lookup'!$H$2:$I$86,2)</f>
        <v>4480</v>
      </c>
      <c r="F3638" s="0" t="n">
        <f aca="false">IF(C3638&gt;1,IF(C3638&lt;99,VLOOKUP(C3638,'MSA-Lookup'!$H$1:$I$86,2),C3638),C3638)</f>
        <v>9999</v>
      </c>
      <c r="G3638" s="0" t="n">
        <f aca="false">VLOOKUP(E3638,'MSA-Lookup'!$AA$1:$AB$25,2)</f>
        <v>4472</v>
      </c>
      <c r="H3638" s="0" t="n">
        <f aca="false">IF(C3638&gt;1,IF(C3638&lt;99,VLOOKUP(F3638,'MSA-Lookup'!$AA$1:$AB$25,2),C3638),C3638)</f>
        <v>9999</v>
      </c>
    </row>
    <row r="3639" customFormat="false" ht="12.75" hidden="false" customHeight="false" outlineLevel="0" collapsed="false">
      <c r="A3639" s="0" t="n">
        <f aca="false">B3639*1000+C3639</f>
        <v>54032</v>
      </c>
      <c r="B3639" s="0" t="n">
        <v>54</v>
      </c>
      <c r="C3639" s="0" t="n">
        <v>32</v>
      </c>
      <c r="D3639" s="0" t="n">
        <v>0</v>
      </c>
      <c r="E3639" s="0" t="n">
        <f aca="false">VLOOKUP(B3639,'MSA-Lookup'!$H$2:$I$86,2)</f>
        <v>4480</v>
      </c>
      <c r="F3639" s="0" t="n">
        <f aca="false">IF(C3639&gt;1,IF(C3639&lt;99,VLOOKUP(C3639,'MSA-Lookup'!$H$1:$I$86,2),C3639),C3639)</f>
        <v>7480</v>
      </c>
      <c r="G3639" s="0" t="n">
        <f aca="false">VLOOKUP(E3639,'MSA-Lookup'!$AA$1:$AB$25,2)</f>
        <v>4472</v>
      </c>
      <c r="H3639" s="0" t="n">
        <f aca="false">IF(C3639&gt;1,IF(C3639&lt;99,VLOOKUP(F3639,'MSA-Lookup'!$AA$1:$AB$25,2),C3639),C3639)</f>
        <v>7480</v>
      </c>
    </row>
    <row r="3640" customFormat="false" ht="12.75" hidden="false" customHeight="false" outlineLevel="0" collapsed="false">
      <c r="A3640" s="0" t="n">
        <f aca="false">B3640*1000+C3640</f>
        <v>54033</v>
      </c>
      <c r="B3640" s="0" t="n">
        <v>54</v>
      </c>
      <c r="C3640" s="0" t="n">
        <v>33</v>
      </c>
      <c r="D3640" s="0" t="n">
        <v>130</v>
      </c>
      <c r="E3640" s="0" t="n">
        <f aca="false">VLOOKUP(B3640,'MSA-Lookup'!$H$2:$I$86,2)</f>
        <v>4480</v>
      </c>
      <c r="F3640" s="0" t="n">
        <f aca="false">IF(C3640&gt;1,IF(C3640&lt;99,VLOOKUP(C3640,'MSA-Lookup'!$H$1:$I$86,2),C3640),C3640)</f>
        <v>7320</v>
      </c>
      <c r="G3640" s="0" t="n">
        <f aca="false">VLOOKUP(E3640,'MSA-Lookup'!$AA$1:$AB$25,2)</f>
        <v>4472</v>
      </c>
      <c r="H3640" s="0" t="n">
        <f aca="false">IF(C3640&gt;1,IF(C3640&lt;99,VLOOKUP(F3640,'MSA-Lookup'!$AA$1:$AB$25,2),C3640),C3640)</f>
        <v>7320</v>
      </c>
    </row>
    <row r="3641" customFormat="false" ht="12.75" hidden="false" customHeight="false" outlineLevel="0" collapsed="false">
      <c r="A3641" s="0" t="n">
        <f aca="false">B3641*1000+C3641</f>
        <v>54034</v>
      </c>
      <c r="B3641" s="0" t="n">
        <v>54</v>
      </c>
      <c r="C3641" s="0" t="n">
        <v>34</v>
      </c>
      <c r="D3641" s="0" t="n">
        <v>0</v>
      </c>
      <c r="E3641" s="0" t="n">
        <f aca="false">VLOOKUP(B3641,'MSA-Lookup'!$H$2:$I$86,2)</f>
        <v>4480</v>
      </c>
      <c r="F3641" s="0" t="n">
        <f aca="false">IF(C3641&gt;1,IF(C3641&lt;99,VLOOKUP(C3641,'MSA-Lookup'!$H$1:$I$86,2),C3641),C3641)</f>
        <v>7320</v>
      </c>
      <c r="G3641" s="0" t="n">
        <f aca="false">VLOOKUP(E3641,'MSA-Lookup'!$AA$1:$AB$25,2)</f>
        <v>4472</v>
      </c>
      <c r="H3641" s="0" t="n">
        <f aca="false">IF(C3641&gt;1,IF(C3641&lt;99,VLOOKUP(F3641,'MSA-Lookup'!$AA$1:$AB$25,2),C3641),C3641)</f>
        <v>7320</v>
      </c>
    </row>
    <row r="3642" customFormat="false" ht="12.75" hidden="false" customHeight="false" outlineLevel="0" collapsed="false">
      <c r="A3642" s="0" t="n">
        <f aca="false">B3642*1000+C3642</f>
        <v>54035</v>
      </c>
      <c r="B3642" s="0" t="n">
        <v>54</v>
      </c>
      <c r="C3642" s="0" t="n">
        <v>35</v>
      </c>
      <c r="D3642" s="0" t="n">
        <v>0</v>
      </c>
      <c r="E3642" s="0" t="n">
        <f aca="false">VLOOKUP(B3642,'MSA-Lookup'!$H$2:$I$86,2)</f>
        <v>4480</v>
      </c>
      <c r="F3642" s="0" t="n">
        <f aca="false">IF(C3642&gt;1,IF(C3642&lt;99,VLOOKUP(C3642,'MSA-Lookup'!$H$1:$I$86,2),C3642),C3642)</f>
        <v>7320</v>
      </c>
      <c r="G3642" s="0" t="n">
        <f aca="false">VLOOKUP(E3642,'MSA-Lookup'!$AA$1:$AB$25,2)</f>
        <v>4472</v>
      </c>
      <c r="H3642" s="0" t="n">
        <f aca="false">IF(C3642&gt;1,IF(C3642&lt;99,VLOOKUP(F3642,'MSA-Lookup'!$AA$1:$AB$25,2),C3642),C3642)</f>
        <v>7320</v>
      </c>
    </row>
    <row r="3643" customFormat="false" ht="12.75" hidden="false" customHeight="false" outlineLevel="0" collapsed="false">
      <c r="A3643" s="0" t="n">
        <f aca="false">B3643*1000+C3643</f>
        <v>54036</v>
      </c>
      <c r="B3643" s="0" t="n">
        <v>54</v>
      </c>
      <c r="C3643" s="0" t="n">
        <v>36</v>
      </c>
      <c r="D3643" s="0" t="n">
        <v>0</v>
      </c>
      <c r="E3643" s="0" t="n">
        <f aca="false">VLOOKUP(B3643,'MSA-Lookup'!$H$2:$I$86,2)</f>
        <v>4480</v>
      </c>
      <c r="F3643" s="0" t="n">
        <f aca="false">IF(C3643&gt;1,IF(C3643&lt;99,VLOOKUP(C3643,'MSA-Lookup'!$H$1:$I$86,2),C3643),C3643)</f>
        <v>7320</v>
      </c>
      <c r="G3643" s="0" t="n">
        <f aca="false">VLOOKUP(E3643,'MSA-Lookup'!$AA$1:$AB$25,2)</f>
        <v>4472</v>
      </c>
      <c r="H3643" s="0" t="n">
        <f aca="false">IF(C3643&gt;1,IF(C3643&lt;99,VLOOKUP(F3643,'MSA-Lookup'!$AA$1:$AB$25,2),C3643),C3643)</f>
        <v>7320</v>
      </c>
    </row>
    <row r="3644" customFormat="false" ht="12.75" hidden="false" customHeight="false" outlineLevel="0" collapsed="false">
      <c r="A3644" s="0" t="n">
        <f aca="false">B3644*1000+C3644</f>
        <v>54037</v>
      </c>
      <c r="B3644" s="0" t="n">
        <v>54</v>
      </c>
      <c r="C3644" s="0" t="n">
        <v>37</v>
      </c>
      <c r="D3644" s="0" t="n">
        <v>0</v>
      </c>
      <c r="E3644" s="0" t="n">
        <f aca="false">VLOOKUP(B3644,'MSA-Lookup'!$H$2:$I$86,2)</f>
        <v>4480</v>
      </c>
      <c r="F3644" s="0" t="n">
        <f aca="false">IF(C3644&gt;1,IF(C3644&lt;99,VLOOKUP(C3644,'MSA-Lookup'!$H$1:$I$86,2),C3644),C3644)</f>
        <v>7320</v>
      </c>
      <c r="G3644" s="0" t="n">
        <f aca="false">VLOOKUP(E3644,'MSA-Lookup'!$AA$1:$AB$25,2)</f>
        <v>4472</v>
      </c>
      <c r="H3644" s="0" t="n">
        <f aca="false">IF(C3644&gt;1,IF(C3644&lt;99,VLOOKUP(F3644,'MSA-Lookup'!$AA$1:$AB$25,2),C3644),C3644)</f>
        <v>7320</v>
      </c>
    </row>
    <row r="3645" customFormat="false" ht="12.75" hidden="false" customHeight="false" outlineLevel="0" collapsed="false">
      <c r="A3645" s="0" t="n">
        <f aca="false">B3645*1000+C3645</f>
        <v>54038</v>
      </c>
      <c r="B3645" s="0" t="n">
        <v>54</v>
      </c>
      <c r="C3645" s="0" t="n">
        <v>38</v>
      </c>
      <c r="D3645" s="0" t="n">
        <v>0</v>
      </c>
      <c r="E3645" s="0" t="n">
        <f aca="false">VLOOKUP(B3645,'MSA-Lookup'!$H$2:$I$86,2)</f>
        <v>4480</v>
      </c>
      <c r="F3645" s="0" t="n">
        <f aca="false">IF(C3645&gt;1,IF(C3645&lt;99,VLOOKUP(C3645,'MSA-Lookup'!$H$1:$I$86,2),C3645),C3645)</f>
        <v>7120</v>
      </c>
      <c r="G3645" s="0" t="n">
        <f aca="false">VLOOKUP(E3645,'MSA-Lookup'!$AA$1:$AB$25,2)</f>
        <v>4472</v>
      </c>
      <c r="H3645" s="0" t="n">
        <f aca="false">IF(C3645&gt;1,IF(C3645&lt;99,VLOOKUP(F3645,'MSA-Lookup'!$AA$1:$AB$25,2),C3645),C3645)</f>
        <v>7120</v>
      </c>
    </row>
    <row r="3646" customFormat="false" ht="12.75" hidden="false" customHeight="false" outlineLevel="0" collapsed="false">
      <c r="A3646" s="0" t="n">
        <f aca="false">B3646*1000+C3646</f>
        <v>54039</v>
      </c>
      <c r="B3646" s="0" t="n">
        <v>54</v>
      </c>
      <c r="C3646" s="0" t="n">
        <v>39</v>
      </c>
      <c r="D3646" s="0" t="n">
        <v>0</v>
      </c>
      <c r="E3646" s="0" t="n">
        <f aca="false">VLOOKUP(B3646,'MSA-Lookup'!$H$2:$I$86,2)</f>
        <v>4480</v>
      </c>
      <c r="F3646" s="0" t="n">
        <f aca="false">IF(C3646&gt;1,IF(C3646&lt;99,VLOOKUP(C3646,'MSA-Lookup'!$H$1:$I$86,2),C3646),C3646)</f>
        <v>7120</v>
      </c>
      <c r="G3646" s="0" t="n">
        <f aca="false">VLOOKUP(E3646,'MSA-Lookup'!$AA$1:$AB$25,2)</f>
        <v>4472</v>
      </c>
      <c r="H3646" s="0" t="n">
        <f aca="false">IF(C3646&gt;1,IF(C3646&lt;99,VLOOKUP(F3646,'MSA-Lookup'!$AA$1:$AB$25,2),C3646),C3646)</f>
        <v>7120</v>
      </c>
    </row>
    <row r="3647" customFormat="false" ht="12.75" hidden="false" customHeight="false" outlineLevel="0" collapsed="false">
      <c r="A3647" s="0" t="n">
        <f aca="false">B3647*1000+C3647</f>
        <v>54040</v>
      </c>
      <c r="B3647" s="0" t="n">
        <v>54</v>
      </c>
      <c r="C3647" s="0" t="n">
        <v>40</v>
      </c>
      <c r="D3647" s="0" t="n">
        <v>0</v>
      </c>
      <c r="E3647" s="0" t="n">
        <f aca="false">VLOOKUP(B3647,'MSA-Lookup'!$H$2:$I$86,2)</f>
        <v>4480</v>
      </c>
      <c r="F3647" s="0" t="n">
        <f aca="false">IF(C3647&gt;1,IF(C3647&lt;99,VLOOKUP(C3647,'MSA-Lookup'!$H$1:$I$86,2),C3647),C3647)</f>
        <v>2840</v>
      </c>
      <c r="G3647" s="0" t="n">
        <f aca="false">VLOOKUP(E3647,'MSA-Lookup'!$AA$1:$AB$25,2)</f>
        <v>4472</v>
      </c>
      <c r="H3647" s="0" t="n">
        <f aca="false">IF(C3647&gt;1,IF(C3647&lt;99,VLOOKUP(F3647,'MSA-Lookup'!$AA$1:$AB$25,2),C3647),C3647)</f>
        <v>2840</v>
      </c>
    </row>
    <row r="3648" customFormat="false" ht="12.75" hidden="false" customHeight="false" outlineLevel="0" collapsed="false">
      <c r="A3648" s="0" t="n">
        <f aca="false">B3648*1000+C3648</f>
        <v>54041</v>
      </c>
      <c r="B3648" s="0" t="n">
        <v>54</v>
      </c>
      <c r="C3648" s="0" t="n">
        <v>41</v>
      </c>
      <c r="D3648" s="0" t="n">
        <v>0</v>
      </c>
      <c r="E3648" s="0" t="n">
        <f aca="false">VLOOKUP(B3648,'MSA-Lookup'!$H$2:$I$86,2)</f>
        <v>4480</v>
      </c>
      <c r="F3648" s="0" t="n">
        <f aca="false">IF(C3648&gt;1,IF(C3648&lt;99,VLOOKUP(C3648,'MSA-Lookup'!$H$1:$I$86,2),C3648),C3648)</f>
        <v>2840</v>
      </c>
      <c r="G3648" s="0" t="n">
        <f aca="false">VLOOKUP(E3648,'MSA-Lookup'!$AA$1:$AB$25,2)</f>
        <v>4472</v>
      </c>
      <c r="H3648" s="0" t="n">
        <f aca="false">IF(C3648&gt;1,IF(C3648&lt;99,VLOOKUP(F3648,'MSA-Lookup'!$AA$1:$AB$25,2),C3648),C3648)</f>
        <v>2840</v>
      </c>
    </row>
    <row r="3649" customFormat="false" ht="12.75" hidden="false" customHeight="false" outlineLevel="0" collapsed="false">
      <c r="A3649" s="0" t="n">
        <f aca="false">B3649*1000+C3649</f>
        <v>54042</v>
      </c>
      <c r="B3649" s="0" t="n">
        <v>54</v>
      </c>
      <c r="C3649" s="0" t="n">
        <v>42</v>
      </c>
      <c r="D3649" s="0" t="n">
        <v>624</v>
      </c>
      <c r="E3649" s="0" t="n">
        <f aca="false">VLOOKUP(B3649,'MSA-Lookup'!$H$2:$I$86,2)</f>
        <v>4480</v>
      </c>
      <c r="F3649" s="0" t="n">
        <f aca="false">IF(C3649&gt;1,IF(C3649&lt;99,VLOOKUP(C3649,'MSA-Lookup'!$H$1:$I$86,2),C3649),C3649)</f>
        <v>360</v>
      </c>
      <c r="G3649" s="0" t="n">
        <f aca="false">VLOOKUP(E3649,'MSA-Lookup'!$AA$1:$AB$25,2)</f>
        <v>4472</v>
      </c>
      <c r="H3649" s="0" t="n">
        <f aca="false">IF(C3649&gt;1,IF(C3649&lt;99,VLOOKUP(F3649,'MSA-Lookup'!$AA$1:$AB$25,2),C3649),C3649)</f>
        <v>4472</v>
      </c>
    </row>
    <row r="3650" customFormat="false" ht="12.75" hidden="false" customHeight="false" outlineLevel="0" collapsed="false">
      <c r="A3650" s="0" t="n">
        <f aca="false">B3650*1000+C3650</f>
        <v>54043</v>
      </c>
      <c r="B3650" s="0" t="n">
        <v>54</v>
      </c>
      <c r="C3650" s="0" t="n">
        <v>43</v>
      </c>
      <c r="D3650" s="0" t="n">
        <v>0</v>
      </c>
      <c r="E3650" s="0" t="n">
        <f aca="false">VLOOKUP(B3650,'MSA-Lookup'!$H$2:$I$86,2)</f>
        <v>4480</v>
      </c>
      <c r="F3650" s="0" t="n">
        <f aca="false">IF(C3650&gt;1,IF(C3650&lt;99,VLOOKUP(C3650,'MSA-Lookup'!$H$1:$I$86,2),C3650),C3650)</f>
        <v>360</v>
      </c>
      <c r="G3650" s="0" t="n">
        <f aca="false">VLOOKUP(E3650,'MSA-Lookup'!$AA$1:$AB$25,2)</f>
        <v>4472</v>
      </c>
      <c r="H3650" s="0" t="n">
        <f aca="false">IF(C3650&gt;1,IF(C3650&lt;99,VLOOKUP(F3650,'MSA-Lookup'!$AA$1:$AB$25,2),C3650),C3650)</f>
        <v>4472</v>
      </c>
    </row>
    <row r="3651" customFormat="false" ht="12.75" hidden="false" customHeight="false" outlineLevel="0" collapsed="false">
      <c r="A3651" s="0" t="n">
        <f aca="false">B3651*1000+C3651</f>
        <v>54044</v>
      </c>
      <c r="B3651" s="0" t="n">
        <v>54</v>
      </c>
      <c r="C3651" s="0" t="n">
        <v>44</v>
      </c>
      <c r="D3651" s="0" t="n">
        <v>91</v>
      </c>
      <c r="E3651" s="0" t="n">
        <f aca="false">VLOOKUP(B3651,'MSA-Lookup'!$H$2:$I$86,2)</f>
        <v>4480</v>
      </c>
      <c r="F3651" s="0" t="n">
        <f aca="false">IF(C3651&gt;1,IF(C3651&lt;99,VLOOKUP(C3651,'MSA-Lookup'!$H$1:$I$86,2),C3651),C3651)</f>
        <v>360</v>
      </c>
      <c r="G3651" s="0" t="n">
        <f aca="false">VLOOKUP(E3651,'MSA-Lookup'!$AA$1:$AB$25,2)</f>
        <v>4472</v>
      </c>
      <c r="H3651" s="0" t="n">
        <f aca="false">IF(C3651&gt;1,IF(C3651&lt;99,VLOOKUP(F3651,'MSA-Lookup'!$AA$1:$AB$25,2),C3651),C3651)</f>
        <v>4472</v>
      </c>
    </row>
    <row r="3652" customFormat="false" ht="12.75" hidden="false" customHeight="false" outlineLevel="0" collapsed="false">
      <c r="A3652" s="0" t="n">
        <f aca="false">B3652*1000+C3652</f>
        <v>54045</v>
      </c>
      <c r="B3652" s="0" t="n">
        <v>54</v>
      </c>
      <c r="C3652" s="0" t="n">
        <v>45</v>
      </c>
      <c r="D3652" s="0" t="n">
        <v>0</v>
      </c>
      <c r="E3652" s="0" t="n">
        <f aca="false">VLOOKUP(B3652,'MSA-Lookup'!$H$2:$I$86,2)</f>
        <v>4480</v>
      </c>
      <c r="F3652" s="0" t="n">
        <f aca="false">IF(C3652&gt;1,IF(C3652&lt;99,VLOOKUP(C3652,'MSA-Lookup'!$H$1:$I$86,2),C3652),C3652)</f>
        <v>360</v>
      </c>
      <c r="G3652" s="0" t="n">
        <f aca="false">VLOOKUP(E3652,'MSA-Lookup'!$AA$1:$AB$25,2)</f>
        <v>4472</v>
      </c>
      <c r="H3652" s="0" t="n">
        <f aca="false">IF(C3652&gt;1,IF(C3652&lt;99,VLOOKUP(F3652,'MSA-Lookup'!$AA$1:$AB$25,2),C3652),C3652)</f>
        <v>4472</v>
      </c>
    </row>
    <row r="3653" customFormat="false" ht="12.75" hidden="false" customHeight="false" outlineLevel="0" collapsed="false">
      <c r="A3653" s="0" t="n">
        <f aca="false">B3653*1000+C3653</f>
        <v>54046</v>
      </c>
      <c r="B3653" s="0" t="n">
        <v>54</v>
      </c>
      <c r="C3653" s="0" t="n">
        <v>46</v>
      </c>
      <c r="D3653" s="0" t="n">
        <v>0</v>
      </c>
      <c r="E3653" s="0" t="n">
        <f aca="false">VLOOKUP(B3653,'MSA-Lookup'!$H$2:$I$86,2)</f>
        <v>4480</v>
      </c>
      <c r="F3653" s="0" t="n">
        <f aca="false">IF(C3653&gt;1,IF(C3653&lt;99,VLOOKUP(C3653,'MSA-Lookup'!$H$1:$I$86,2),C3653),C3653)</f>
        <v>360</v>
      </c>
      <c r="G3653" s="0" t="n">
        <f aca="false">VLOOKUP(E3653,'MSA-Lookup'!$AA$1:$AB$25,2)</f>
        <v>4472</v>
      </c>
      <c r="H3653" s="0" t="n">
        <f aca="false">IF(C3653&gt;1,IF(C3653&lt;99,VLOOKUP(F3653,'MSA-Lookup'!$AA$1:$AB$25,2),C3653),C3653)</f>
        <v>4472</v>
      </c>
    </row>
    <row r="3654" customFormat="false" ht="12.75" hidden="false" customHeight="false" outlineLevel="0" collapsed="false">
      <c r="A3654" s="0" t="n">
        <f aca="false">B3654*1000+C3654</f>
        <v>54047</v>
      </c>
      <c r="B3654" s="0" t="n">
        <v>54</v>
      </c>
      <c r="C3654" s="0" t="n">
        <v>47</v>
      </c>
      <c r="D3654" s="0" t="n">
        <v>104</v>
      </c>
      <c r="E3654" s="0" t="n">
        <f aca="false">VLOOKUP(B3654,'MSA-Lookup'!$H$2:$I$86,2)</f>
        <v>4480</v>
      </c>
      <c r="F3654" s="0" t="n">
        <f aca="false">IF(C3654&gt;1,IF(C3654&lt;99,VLOOKUP(C3654,'MSA-Lookup'!$H$1:$I$86,2),C3654),C3654)</f>
        <v>360</v>
      </c>
      <c r="G3654" s="0" t="n">
        <f aca="false">VLOOKUP(E3654,'MSA-Lookup'!$AA$1:$AB$25,2)</f>
        <v>4472</v>
      </c>
      <c r="H3654" s="0" t="n">
        <f aca="false">IF(C3654&gt;1,IF(C3654&lt;99,VLOOKUP(F3654,'MSA-Lookup'!$AA$1:$AB$25,2),C3654),C3654)</f>
        <v>4472</v>
      </c>
    </row>
    <row r="3655" customFormat="false" ht="12.75" hidden="false" customHeight="false" outlineLevel="0" collapsed="false">
      <c r="A3655" s="0" t="n">
        <f aca="false">B3655*1000+C3655</f>
        <v>54048</v>
      </c>
      <c r="B3655" s="0" t="n">
        <v>54</v>
      </c>
      <c r="C3655" s="0" t="n">
        <v>48</v>
      </c>
      <c r="D3655" s="0" t="n">
        <v>546</v>
      </c>
      <c r="E3655" s="0" t="n">
        <f aca="false">VLOOKUP(B3655,'MSA-Lookup'!$H$2:$I$86,2)</f>
        <v>4480</v>
      </c>
      <c r="F3655" s="0" t="n">
        <f aca="false">IF(C3655&gt;1,IF(C3655&lt;99,VLOOKUP(C3655,'MSA-Lookup'!$H$1:$I$86,2),C3655),C3655)</f>
        <v>360</v>
      </c>
      <c r="G3655" s="0" t="n">
        <f aca="false">VLOOKUP(E3655,'MSA-Lookup'!$AA$1:$AB$25,2)</f>
        <v>4472</v>
      </c>
      <c r="H3655" s="0" t="n">
        <f aca="false">IF(C3655&gt;1,IF(C3655&lt;99,VLOOKUP(F3655,'MSA-Lookup'!$AA$1:$AB$25,2),C3655),C3655)</f>
        <v>4472</v>
      </c>
    </row>
    <row r="3656" customFormat="false" ht="12.75" hidden="false" customHeight="false" outlineLevel="0" collapsed="false">
      <c r="A3656" s="0" t="n">
        <f aca="false">B3656*1000+C3656</f>
        <v>54049</v>
      </c>
      <c r="B3656" s="0" t="n">
        <v>54</v>
      </c>
      <c r="C3656" s="0" t="n">
        <v>49</v>
      </c>
      <c r="D3656" s="0" t="n">
        <v>0</v>
      </c>
      <c r="E3656" s="0" t="n">
        <f aca="false">VLOOKUP(B3656,'MSA-Lookup'!$H$2:$I$86,2)</f>
        <v>4480</v>
      </c>
      <c r="F3656" s="0" t="n">
        <f aca="false">IF(C3656&gt;1,IF(C3656&lt;99,VLOOKUP(C3656,'MSA-Lookup'!$H$1:$I$86,2),C3656),C3656)</f>
        <v>7400</v>
      </c>
      <c r="G3656" s="0" t="n">
        <f aca="false">VLOOKUP(E3656,'MSA-Lookup'!$AA$1:$AB$25,2)</f>
        <v>4472</v>
      </c>
      <c r="H3656" s="0" t="n">
        <f aca="false">IF(C3656&gt;1,IF(C3656&lt;99,VLOOKUP(F3656,'MSA-Lookup'!$AA$1:$AB$25,2),C3656),C3656)</f>
        <v>7362</v>
      </c>
    </row>
    <row r="3657" customFormat="false" ht="12.75" hidden="false" customHeight="false" outlineLevel="0" collapsed="false">
      <c r="A3657" s="0" t="n">
        <f aca="false">B3657*1000+C3657</f>
        <v>54050</v>
      </c>
      <c r="B3657" s="0" t="n">
        <v>54</v>
      </c>
      <c r="C3657" s="0" t="n">
        <v>50</v>
      </c>
      <c r="D3657" s="0" t="n">
        <v>0</v>
      </c>
      <c r="E3657" s="0" t="n">
        <f aca="false">VLOOKUP(B3657,'MSA-Lookup'!$H$2:$I$86,2)</f>
        <v>4480</v>
      </c>
      <c r="F3657" s="0" t="n">
        <f aca="false">IF(C3657&gt;1,IF(C3657&lt;99,VLOOKUP(C3657,'MSA-Lookup'!$H$1:$I$86,2),C3657),C3657)</f>
        <v>7400</v>
      </c>
      <c r="G3657" s="0" t="n">
        <f aca="false">VLOOKUP(E3657,'MSA-Lookup'!$AA$1:$AB$25,2)</f>
        <v>4472</v>
      </c>
      <c r="H3657" s="0" t="n">
        <f aca="false">IF(C3657&gt;1,IF(C3657&lt;99,VLOOKUP(F3657,'MSA-Lookup'!$AA$1:$AB$25,2),C3657),C3657)</f>
        <v>7362</v>
      </c>
    </row>
    <row r="3658" customFormat="false" ht="12.75" hidden="false" customHeight="false" outlineLevel="0" collapsed="false">
      <c r="A3658" s="0" t="n">
        <f aca="false">B3658*1000+C3658</f>
        <v>54051</v>
      </c>
      <c r="B3658" s="0" t="n">
        <v>54</v>
      </c>
      <c r="C3658" s="0" t="n">
        <v>51</v>
      </c>
      <c r="D3658" s="0" t="n">
        <v>0</v>
      </c>
      <c r="E3658" s="0" t="n">
        <f aca="false">VLOOKUP(B3658,'MSA-Lookup'!$H$2:$I$86,2)</f>
        <v>4480</v>
      </c>
      <c r="F3658" s="0" t="n">
        <f aca="false">IF(C3658&gt;1,IF(C3658&lt;99,VLOOKUP(C3658,'MSA-Lookup'!$H$1:$I$86,2),C3658),C3658)</f>
        <v>7400</v>
      </c>
      <c r="G3658" s="0" t="n">
        <f aca="false">VLOOKUP(E3658,'MSA-Lookup'!$AA$1:$AB$25,2)</f>
        <v>4472</v>
      </c>
      <c r="H3658" s="0" t="n">
        <f aca="false">IF(C3658&gt;1,IF(C3658&lt;99,VLOOKUP(F3658,'MSA-Lookup'!$AA$1:$AB$25,2),C3658),C3658)</f>
        <v>7362</v>
      </c>
    </row>
    <row r="3659" customFormat="false" ht="12.75" hidden="false" customHeight="false" outlineLevel="0" collapsed="false">
      <c r="A3659" s="0" t="n">
        <f aca="false">B3659*1000+C3659</f>
        <v>54052</v>
      </c>
      <c r="B3659" s="0" t="n">
        <v>54</v>
      </c>
      <c r="C3659" s="0" t="n">
        <v>52</v>
      </c>
      <c r="D3659" s="0" t="n">
        <v>468</v>
      </c>
      <c r="E3659" s="0" t="n">
        <f aca="false">VLOOKUP(B3659,'MSA-Lookup'!$H$2:$I$86,2)</f>
        <v>4480</v>
      </c>
      <c r="F3659" s="0" t="n">
        <f aca="false">IF(C3659&gt;1,IF(C3659&lt;99,VLOOKUP(C3659,'MSA-Lookup'!$H$1:$I$86,2),C3659),C3659)</f>
        <v>4480</v>
      </c>
      <c r="G3659" s="0" t="n">
        <f aca="false">VLOOKUP(E3659,'MSA-Lookup'!$AA$1:$AB$25,2)</f>
        <v>4472</v>
      </c>
      <c r="H3659" s="0" t="n">
        <f aca="false">IF(C3659&gt;1,IF(C3659&lt;99,VLOOKUP(F3659,'MSA-Lookup'!$AA$1:$AB$25,2),C3659),C3659)</f>
        <v>4472</v>
      </c>
    </row>
    <row r="3660" customFormat="false" ht="12.75" hidden="false" customHeight="false" outlineLevel="0" collapsed="false">
      <c r="A3660" s="0" t="n">
        <f aca="false">B3660*1000+C3660</f>
        <v>54053</v>
      </c>
      <c r="B3660" s="0" t="n">
        <v>54</v>
      </c>
      <c r="C3660" s="0" t="n">
        <v>53</v>
      </c>
      <c r="D3660" s="0" t="n">
        <v>299</v>
      </c>
      <c r="E3660" s="0" t="n">
        <f aca="false">VLOOKUP(B3660,'MSA-Lookup'!$H$2:$I$86,2)</f>
        <v>4480</v>
      </c>
      <c r="F3660" s="0" t="n">
        <f aca="false">IF(C3660&gt;1,IF(C3660&lt;99,VLOOKUP(C3660,'MSA-Lookup'!$H$1:$I$86,2),C3660),C3660)</f>
        <v>4480</v>
      </c>
      <c r="G3660" s="0" t="n">
        <f aca="false">VLOOKUP(E3660,'MSA-Lookup'!$AA$1:$AB$25,2)</f>
        <v>4472</v>
      </c>
      <c r="H3660" s="0" t="n">
        <f aca="false">IF(C3660&gt;1,IF(C3660&lt;99,VLOOKUP(F3660,'MSA-Lookup'!$AA$1:$AB$25,2),C3660),C3660)</f>
        <v>4472</v>
      </c>
    </row>
    <row r="3661" customFormat="false" ht="12.75" hidden="false" customHeight="false" outlineLevel="0" collapsed="false">
      <c r="A3661" s="0" t="n">
        <f aca="false">B3661*1000+C3661</f>
        <v>54054</v>
      </c>
      <c r="B3661" s="0" t="n">
        <v>54</v>
      </c>
      <c r="C3661" s="0" t="n">
        <v>54</v>
      </c>
      <c r="D3661" s="0" t="n">
        <v>8398</v>
      </c>
      <c r="E3661" s="0" t="n">
        <f aca="false">VLOOKUP(B3661,'MSA-Lookup'!$H$2:$I$86,2)</f>
        <v>4480</v>
      </c>
      <c r="F3661" s="0" t="n">
        <f aca="false">IF(C3661&gt;1,IF(C3661&lt;99,VLOOKUP(C3661,'MSA-Lookup'!$H$1:$I$86,2),C3661),C3661)</f>
        <v>4480</v>
      </c>
      <c r="G3661" s="0" t="n">
        <f aca="false">VLOOKUP(E3661,'MSA-Lookup'!$AA$1:$AB$25,2)</f>
        <v>4472</v>
      </c>
      <c r="H3661" s="0" t="n">
        <f aca="false">IF(C3661&gt;1,IF(C3661&lt;99,VLOOKUP(F3661,'MSA-Lookup'!$AA$1:$AB$25,2),C3661),C3661)</f>
        <v>4472</v>
      </c>
    </row>
    <row r="3662" customFormat="false" ht="12.75" hidden="false" customHeight="false" outlineLevel="0" collapsed="false">
      <c r="A3662" s="0" t="n">
        <f aca="false">B3662*1000+C3662</f>
        <v>54055</v>
      </c>
      <c r="B3662" s="0" t="n">
        <v>54</v>
      </c>
      <c r="C3662" s="0" t="n">
        <v>55</v>
      </c>
      <c r="D3662" s="0" t="n">
        <v>780</v>
      </c>
      <c r="E3662" s="0" t="n">
        <f aca="false">VLOOKUP(B3662,'MSA-Lookup'!$H$2:$I$86,2)</f>
        <v>4480</v>
      </c>
      <c r="F3662" s="0" t="n">
        <f aca="false">IF(C3662&gt;1,IF(C3662&lt;99,VLOOKUP(C3662,'MSA-Lookup'!$H$1:$I$86,2),C3662),C3662)</f>
        <v>4480</v>
      </c>
      <c r="G3662" s="0" t="n">
        <f aca="false">VLOOKUP(E3662,'MSA-Lookup'!$AA$1:$AB$25,2)</f>
        <v>4472</v>
      </c>
      <c r="H3662" s="0" t="n">
        <f aca="false">IF(C3662&gt;1,IF(C3662&lt;99,VLOOKUP(F3662,'MSA-Lookup'!$AA$1:$AB$25,2),C3662),C3662)</f>
        <v>4472</v>
      </c>
    </row>
    <row r="3663" customFormat="false" ht="12.75" hidden="false" customHeight="false" outlineLevel="0" collapsed="false">
      <c r="A3663" s="0" t="n">
        <f aca="false">B3663*1000+C3663</f>
        <v>54056</v>
      </c>
      <c r="B3663" s="0" t="n">
        <v>54</v>
      </c>
      <c r="C3663" s="0" t="n">
        <v>56</v>
      </c>
      <c r="D3663" s="0" t="n">
        <v>247</v>
      </c>
      <c r="E3663" s="0" t="n">
        <f aca="false">VLOOKUP(B3663,'MSA-Lookup'!$H$2:$I$86,2)</f>
        <v>4480</v>
      </c>
      <c r="F3663" s="0" t="n">
        <f aca="false">IF(C3663&gt;1,IF(C3663&lt;99,VLOOKUP(C3663,'MSA-Lookup'!$H$1:$I$86,2),C3663),C3663)</f>
        <v>4480</v>
      </c>
      <c r="G3663" s="0" t="n">
        <f aca="false">VLOOKUP(E3663,'MSA-Lookup'!$AA$1:$AB$25,2)</f>
        <v>4472</v>
      </c>
      <c r="H3663" s="0" t="n">
        <f aca="false">IF(C3663&gt;1,IF(C3663&lt;99,VLOOKUP(F3663,'MSA-Lookup'!$AA$1:$AB$25,2),C3663),C3663)</f>
        <v>4472</v>
      </c>
    </row>
    <row r="3664" customFormat="false" ht="12.75" hidden="false" customHeight="false" outlineLevel="0" collapsed="false">
      <c r="A3664" s="0" t="n">
        <f aca="false">B3664*1000+C3664</f>
        <v>54057</v>
      </c>
      <c r="B3664" s="0" t="n">
        <v>54</v>
      </c>
      <c r="C3664" s="0" t="n">
        <v>57</v>
      </c>
      <c r="D3664" s="0" t="n">
        <v>338</v>
      </c>
      <c r="E3664" s="0" t="n">
        <f aca="false">VLOOKUP(B3664,'MSA-Lookup'!$H$2:$I$86,2)</f>
        <v>4480</v>
      </c>
      <c r="F3664" s="0" t="n">
        <f aca="false">IF(C3664&gt;1,IF(C3664&lt;99,VLOOKUP(C3664,'MSA-Lookup'!$H$1:$I$86,2),C3664),C3664)</f>
        <v>4480</v>
      </c>
      <c r="G3664" s="0" t="n">
        <f aca="false">VLOOKUP(E3664,'MSA-Lookup'!$AA$1:$AB$25,2)</f>
        <v>4472</v>
      </c>
      <c r="H3664" s="0" t="n">
        <f aca="false">IF(C3664&gt;1,IF(C3664&lt;99,VLOOKUP(F3664,'MSA-Lookup'!$AA$1:$AB$25,2),C3664),C3664)</f>
        <v>4472</v>
      </c>
    </row>
    <row r="3665" customFormat="false" ht="12.75" hidden="false" customHeight="false" outlineLevel="0" collapsed="false">
      <c r="A3665" s="0" t="n">
        <f aca="false">B3665*1000+C3665</f>
        <v>54058</v>
      </c>
      <c r="B3665" s="0" t="n">
        <v>54</v>
      </c>
      <c r="C3665" s="0" t="n">
        <v>58</v>
      </c>
      <c r="D3665" s="0" t="n">
        <v>1573</v>
      </c>
      <c r="E3665" s="0" t="n">
        <f aca="false">VLOOKUP(B3665,'MSA-Lookup'!$H$2:$I$86,2)</f>
        <v>4480</v>
      </c>
      <c r="F3665" s="0" t="n">
        <f aca="false">IF(C3665&gt;1,IF(C3665&lt;99,VLOOKUP(C3665,'MSA-Lookup'!$H$1:$I$86,2),C3665),C3665)</f>
        <v>4480</v>
      </c>
      <c r="G3665" s="0" t="n">
        <f aca="false">VLOOKUP(E3665,'MSA-Lookup'!$AA$1:$AB$25,2)</f>
        <v>4472</v>
      </c>
      <c r="H3665" s="0" t="n">
        <f aca="false">IF(C3665&gt;1,IF(C3665&lt;99,VLOOKUP(F3665,'MSA-Lookup'!$AA$1:$AB$25,2),C3665),C3665)</f>
        <v>4472</v>
      </c>
    </row>
    <row r="3666" customFormat="false" ht="12.75" hidden="false" customHeight="false" outlineLevel="0" collapsed="false">
      <c r="A3666" s="0" t="n">
        <f aca="false">B3666*1000+C3666</f>
        <v>54059</v>
      </c>
      <c r="B3666" s="0" t="n">
        <v>54</v>
      </c>
      <c r="C3666" s="0" t="n">
        <v>59</v>
      </c>
      <c r="D3666" s="0" t="n">
        <v>104</v>
      </c>
      <c r="E3666" s="0" t="n">
        <f aca="false">VLOOKUP(B3666,'MSA-Lookup'!$H$2:$I$86,2)</f>
        <v>4480</v>
      </c>
      <c r="F3666" s="0" t="n">
        <f aca="false">IF(C3666&gt;1,IF(C3666&lt;99,VLOOKUP(C3666,'MSA-Lookup'!$H$1:$I$86,2),C3666),C3666)</f>
        <v>4480</v>
      </c>
      <c r="G3666" s="0" t="n">
        <f aca="false">VLOOKUP(E3666,'MSA-Lookup'!$AA$1:$AB$25,2)</f>
        <v>4472</v>
      </c>
      <c r="H3666" s="0" t="n">
        <f aca="false">IF(C3666&gt;1,IF(C3666&lt;99,VLOOKUP(F3666,'MSA-Lookup'!$AA$1:$AB$25,2),C3666),C3666)</f>
        <v>4472</v>
      </c>
    </row>
    <row r="3667" customFormat="false" ht="12.75" hidden="false" customHeight="false" outlineLevel="0" collapsed="false">
      <c r="A3667" s="0" t="n">
        <f aca="false">B3667*1000+C3667</f>
        <v>54060</v>
      </c>
      <c r="B3667" s="0" t="n">
        <v>54</v>
      </c>
      <c r="C3667" s="0" t="n">
        <v>60</v>
      </c>
      <c r="D3667" s="0" t="n">
        <v>377</v>
      </c>
      <c r="E3667" s="0" t="n">
        <f aca="false">VLOOKUP(B3667,'MSA-Lookup'!$H$2:$I$86,2)</f>
        <v>4480</v>
      </c>
      <c r="F3667" s="0" t="n">
        <f aca="false">IF(C3667&gt;1,IF(C3667&lt;99,VLOOKUP(C3667,'MSA-Lookup'!$H$1:$I$86,2),C3667),C3667)</f>
        <v>4480</v>
      </c>
      <c r="G3667" s="0" t="n">
        <f aca="false">VLOOKUP(E3667,'MSA-Lookup'!$AA$1:$AB$25,2)</f>
        <v>4472</v>
      </c>
      <c r="H3667" s="0" t="n">
        <f aca="false">IF(C3667&gt;1,IF(C3667&lt;99,VLOOKUP(F3667,'MSA-Lookup'!$AA$1:$AB$25,2),C3667),C3667)</f>
        <v>4472</v>
      </c>
    </row>
    <row r="3668" customFormat="false" ht="12.75" hidden="false" customHeight="false" outlineLevel="0" collapsed="false">
      <c r="A3668" s="0" t="n">
        <f aca="false">B3668*1000+C3668</f>
        <v>54061</v>
      </c>
      <c r="B3668" s="0" t="n">
        <v>54</v>
      </c>
      <c r="C3668" s="0" t="n">
        <v>61</v>
      </c>
      <c r="D3668" s="0" t="n">
        <v>0</v>
      </c>
      <c r="E3668" s="0" t="n">
        <f aca="false">VLOOKUP(B3668,'MSA-Lookup'!$H$2:$I$86,2)</f>
        <v>4480</v>
      </c>
      <c r="F3668" s="0" t="n">
        <f aca="false">IF(C3668&gt;1,IF(C3668&lt;99,VLOOKUP(C3668,'MSA-Lookup'!$H$1:$I$86,2),C3668),C3668)</f>
        <v>4480</v>
      </c>
      <c r="G3668" s="0" t="n">
        <f aca="false">VLOOKUP(E3668,'MSA-Lookup'!$AA$1:$AB$25,2)</f>
        <v>4472</v>
      </c>
      <c r="H3668" s="0" t="n">
        <f aca="false">IF(C3668&gt;1,IF(C3668&lt;99,VLOOKUP(F3668,'MSA-Lookup'!$AA$1:$AB$25,2),C3668),C3668)</f>
        <v>4472</v>
      </c>
    </row>
    <row r="3669" customFormat="false" ht="12.75" hidden="false" customHeight="false" outlineLevel="0" collapsed="false">
      <c r="A3669" s="0" t="n">
        <f aca="false">B3669*1000+C3669</f>
        <v>54062</v>
      </c>
      <c r="B3669" s="0" t="n">
        <v>54</v>
      </c>
      <c r="C3669" s="0" t="n">
        <v>62</v>
      </c>
      <c r="D3669" s="0" t="n">
        <v>481</v>
      </c>
      <c r="E3669" s="0" t="n">
        <f aca="false">VLOOKUP(B3669,'MSA-Lookup'!$H$2:$I$86,2)</f>
        <v>4480</v>
      </c>
      <c r="F3669" s="0" t="n">
        <f aca="false">IF(C3669&gt;1,IF(C3669&lt;99,VLOOKUP(C3669,'MSA-Lookup'!$H$1:$I$86,2),C3669),C3669)</f>
        <v>4480</v>
      </c>
      <c r="G3669" s="0" t="n">
        <f aca="false">VLOOKUP(E3669,'MSA-Lookup'!$AA$1:$AB$25,2)</f>
        <v>4472</v>
      </c>
      <c r="H3669" s="0" t="n">
        <f aca="false">IF(C3669&gt;1,IF(C3669&lt;99,VLOOKUP(F3669,'MSA-Lookup'!$AA$1:$AB$25,2),C3669),C3669)</f>
        <v>4472</v>
      </c>
    </row>
    <row r="3670" customFormat="false" ht="12.75" hidden="false" customHeight="false" outlineLevel="0" collapsed="false">
      <c r="A3670" s="0" t="n">
        <f aca="false">B3670*1000+C3670</f>
        <v>54063</v>
      </c>
      <c r="B3670" s="0" t="n">
        <v>54</v>
      </c>
      <c r="C3670" s="0" t="n">
        <v>63</v>
      </c>
      <c r="D3670" s="0" t="n">
        <v>1313</v>
      </c>
      <c r="E3670" s="0" t="n">
        <f aca="false">VLOOKUP(B3670,'MSA-Lookup'!$H$2:$I$86,2)</f>
        <v>4480</v>
      </c>
      <c r="F3670" s="0" t="n">
        <f aca="false">IF(C3670&gt;1,IF(C3670&lt;99,VLOOKUP(C3670,'MSA-Lookup'!$H$1:$I$86,2),C3670),C3670)</f>
        <v>4480</v>
      </c>
      <c r="G3670" s="0" t="n">
        <f aca="false">VLOOKUP(E3670,'MSA-Lookup'!$AA$1:$AB$25,2)</f>
        <v>4472</v>
      </c>
      <c r="H3670" s="0" t="n">
        <f aca="false">IF(C3670&gt;1,IF(C3670&lt;99,VLOOKUP(F3670,'MSA-Lookup'!$AA$1:$AB$25,2),C3670),C3670)</f>
        <v>4472</v>
      </c>
    </row>
    <row r="3671" customFormat="false" ht="12.75" hidden="false" customHeight="false" outlineLevel="0" collapsed="false">
      <c r="A3671" s="0" t="n">
        <f aca="false">B3671*1000+C3671</f>
        <v>54064</v>
      </c>
      <c r="B3671" s="0" t="n">
        <v>54</v>
      </c>
      <c r="C3671" s="0" t="n">
        <v>64</v>
      </c>
      <c r="D3671" s="0" t="n">
        <v>19344</v>
      </c>
      <c r="E3671" s="0" t="n">
        <f aca="false">VLOOKUP(B3671,'MSA-Lookup'!$H$2:$I$86,2)</f>
        <v>4480</v>
      </c>
      <c r="F3671" s="0" t="n">
        <f aca="false">IF(C3671&gt;1,IF(C3671&lt;99,VLOOKUP(C3671,'MSA-Lookup'!$H$1:$I$86,2),C3671),C3671)</f>
        <v>4480</v>
      </c>
      <c r="G3671" s="0" t="n">
        <f aca="false">VLOOKUP(E3671,'MSA-Lookup'!$AA$1:$AB$25,2)</f>
        <v>4472</v>
      </c>
      <c r="H3671" s="0" t="n">
        <f aca="false">IF(C3671&gt;1,IF(C3671&lt;99,VLOOKUP(F3671,'MSA-Lookup'!$AA$1:$AB$25,2),C3671),C3671)</f>
        <v>4472</v>
      </c>
    </row>
    <row r="3672" customFormat="false" ht="12.75" hidden="false" customHeight="false" outlineLevel="0" collapsed="false">
      <c r="A3672" s="0" t="n">
        <f aca="false">B3672*1000+C3672</f>
        <v>54065</v>
      </c>
      <c r="B3672" s="0" t="n">
        <v>54</v>
      </c>
      <c r="C3672" s="0" t="n">
        <v>65</v>
      </c>
      <c r="D3672" s="0" t="n">
        <v>16445</v>
      </c>
      <c r="E3672" s="0" t="n">
        <f aca="false">VLOOKUP(B3672,'MSA-Lookup'!$H$2:$I$86,2)</f>
        <v>4480</v>
      </c>
      <c r="F3672" s="0" t="n">
        <f aca="false">IF(C3672&gt;1,IF(C3672&lt;99,VLOOKUP(C3672,'MSA-Lookup'!$H$1:$I$86,2),C3672),C3672)</f>
        <v>4480</v>
      </c>
      <c r="G3672" s="0" t="n">
        <f aca="false">VLOOKUP(E3672,'MSA-Lookup'!$AA$1:$AB$25,2)</f>
        <v>4472</v>
      </c>
      <c r="H3672" s="0" t="n">
        <f aca="false">IF(C3672&gt;1,IF(C3672&lt;99,VLOOKUP(F3672,'MSA-Lookup'!$AA$1:$AB$25,2),C3672),C3672)</f>
        <v>4472</v>
      </c>
    </row>
    <row r="3673" customFormat="false" ht="12.75" hidden="false" customHeight="false" outlineLevel="0" collapsed="false">
      <c r="A3673" s="0" t="n">
        <f aca="false">B3673*1000+C3673</f>
        <v>54066</v>
      </c>
      <c r="B3673" s="0" t="n">
        <v>54</v>
      </c>
      <c r="C3673" s="0" t="n">
        <v>66</v>
      </c>
      <c r="D3673" s="0" t="n">
        <v>429</v>
      </c>
      <c r="E3673" s="0" t="n">
        <f aca="false">VLOOKUP(B3673,'MSA-Lookup'!$H$2:$I$86,2)</f>
        <v>4480</v>
      </c>
      <c r="F3673" s="0" t="n">
        <f aca="false">IF(C3673&gt;1,IF(C3673&lt;99,VLOOKUP(C3673,'MSA-Lookup'!$H$1:$I$86,2),C3673),C3673)</f>
        <v>4480</v>
      </c>
      <c r="G3673" s="0" t="n">
        <f aca="false">VLOOKUP(E3673,'MSA-Lookup'!$AA$1:$AB$25,2)</f>
        <v>4472</v>
      </c>
      <c r="H3673" s="0" t="n">
        <f aca="false">IF(C3673&gt;1,IF(C3673&lt;99,VLOOKUP(F3673,'MSA-Lookup'!$AA$1:$AB$25,2),C3673),C3673)</f>
        <v>4472</v>
      </c>
    </row>
    <row r="3674" customFormat="false" ht="12.75" hidden="false" customHeight="false" outlineLevel="0" collapsed="false">
      <c r="A3674" s="0" t="n">
        <f aca="false">B3674*1000+C3674</f>
        <v>54067</v>
      </c>
      <c r="B3674" s="0" t="n">
        <v>54</v>
      </c>
      <c r="C3674" s="0" t="n">
        <v>67</v>
      </c>
      <c r="D3674" s="0" t="n">
        <v>143</v>
      </c>
      <c r="E3674" s="0" t="n">
        <f aca="false">VLOOKUP(B3674,'MSA-Lookup'!$H$2:$I$86,2)</f>
        <v>4480</v>
      </c>
      <c r="F3674" s="0" t="n">
        <f aca="false">IF(C3674&gt;1,IF(C3674&lt;99,VLOOKUP(C3674,'MSA-Lookup'!$H$1:$I$86,2),C3674),C3674)</f>
        <v>6000</v>
      </c>
      <c r="G3674" s="0" t="n">
        <f aca="false">VLOOKUP(E3674,'MSA-Lookup'!$AA$1:$AB$25,2)</f>
        <v>4472</v>
      </c>
      <c r="H3674" s="0" t="n">
        <f aca="false">IF(C3674&gt;1,IF(C3674&lt;99,VLOOKUP(F3674,'MSA-Lookup'!$AA$1:$AB$25,2),C3674),C3674)</f>
        <v>4472</v>
      </c>
    </row>
    <row r="3675" customFormat="false" ht="12.75" hidden="false" customHeight="false" outlineLevel="0" collapsed="false">
      <c r="A3675" s="0" t="n">
        <f aca="false">B3675*1000+C3675</f>
        <v>54068</v>
      </c>
      <c r="B3675" s="0" t="n">
        <v>54</v>
      </c>
      <c r="C3675" s="0" t="n">
        <v>68</v>
      </c>
      <c r="D3675" s="0" t="n">
        <v>0</v>
      </c>
      <c r="E3675" s="0" t="n">
        <f aca="false">VLOOKUP(B3675,'MSA-Lookup'!$H$2:$I$86,2)</f>
        <v>4480</v>
      </c>
      <c r="F3675" s="0" t="n">
        <f aca="false">IF(C3675&gt;1,IF(C3675&lt;99,VLOOKUP(C3675,'MSA-Lookup'!$H$1:$I$86,2),C3675),C3675)</f>
        <v>6780</v>
      </c>
      <c r="G3675" s="0" t="n">
        <f aca="false">VLOOKUP(E3675,'MSA-Lookup'!$AA$1:$AB$25,2)</f>
        <v>4472</v>
      </c>
      <c r="H3675" s="0" t="n">
        <f aca="false">IF(C3675&gt;1,IF(C3675&lt;99,VLOOKUP(F3675,'MSA-Lookup'!$AA$1:$AB$25,2),C3675),C3675)</f>
        <v>4472</v>
      </c>
    </row>
    <row r="3676" customFormat="false" ht="12.75" hidden="false" customHeight="false" outlineLevel="0" collapsed="false">
      <c r="A3676" s="0" t="n">
        <f aca="false">B3676*1000+C3676</f>
        <v>54069</v>
      </c>
      <c r="B3676" s="0" t="n">
        <v>54</v>
      </c>
      <c r="C3676" s="0" t="n">
        <v>69</v>
      </c>
      <c r="D3676" s="0" t="n">
        <v>52</v>
      </c>
      <c r="E3676" s="0" t="n">
        <f aca="false">VLOOKUP(B3676,'MSA-Lookup'!$H$2:$I$86,2)</f>
        <v>4480</v>
      </c>
      <c r="F3676" s="0" t="n">
        <f aca="false">IF(C3676&gt;1,IF(C3676&lt;99,VLOOKUP(C3676,'MSA-Lookup'!$H$1:$I$86,2),C3676),C3676)</f>
        <v>6780</v>
      </c>
      <c r="G3676" s="0" t="n">
        <f aca="false">VLOOKUP(E3676,'MSA-Lookup'!$AA$1:$AB$25,2)</f>
        <v>4472</v>
      </c>
      <c r="H3676" s="0" t="n">
        <f aca="false">IF(C3676&gt;1,IF(C3676&lt;99,VLOOKUP(F3676,'MSA-Lookup'!$AA$1:$AB$25,2),C3676),C3676)</f>
        <v>4472</v>
      </c>
    </row>
    <row r="3677" customFormat="false" ht="12.75" hidden="false" customHeight="false" outlineLevel="0" collapsed="false">
      <c r="A3677" s="0" t="n">
        <f aca="false">B3677*1000+C3677</f>
        <v>54070</v>
      </c>
      <c r="B3677" s="0" t="n">
        <v>54</v>
      </c>
      <c r="C3677" s="0" t="n">
        <v>70</v>
      </c>
      <c r="D3677" s="0" t="n">
        <v>0</v>
      </c>
      <c r="E3677" s="0" t="n">
        <f aca="false">VLOOKUP(B3677,'MSA-Lookup'!$H$2:$I$86,2)</f>
        <v>4480</v>
      </c>
      <c r="F3677" s="0" t="n">
        <f aca="false">IF(C3677&gt;1,IF(C3677&lt;99,VLOOKUP(C3677,'MSA-Lookup'!$H$1:$I$86,2),C3677),C3677)</f>
        <v>6780</v>
      </c>
      <c r="G3677" s="0" t="n">
        <f aca="false">VLOOKUP(E3677,'MSA-Lookup'!$AA$1:$AB$25,2)</f>
        <v>4472</v>
      </c>
      <c r="H3677" s="0" t="n">
        <f aca="false">IF(C3677&gt;1,IF(C3677&lt;99,VLOOKUP(F3677,'MSA-Lookup'!$AA$1:$AB$25,2),C3677),C3677)</f>
        <v>4472</v>
      </c>
    </row>
    <row r="3678" customFormat="false" ht="12.75" hidden="false" customHeight="false" outlineLevel="0" collapsed="false">
      <c r="A3678" s="0" t="n">
        <f aca="false">B3678*1000+C3678</f>
        <v>54071</v>
      </c>
      <c r="B3678" s="0" t="n">
        <v>54</v>
      </c>
      <c r="C3678" s="0" t="n">
        <v>71</v>
      </c>
      <c r="D3678" s="0" t="n">
        <v>208</v>
      </c>
      <c r="E3678" s="0" t="n">
        <f aca="false">VLOOKUP(B3678,'MSA-Lookup'!$H$2:$I$86,2)</f>
        <v>4480</v>
      </c>
      <c r="F3678" s="0" t="n">
        <f aca="false">IF(C3678&gt;1,IF(C3678&lt;99,VLOOKUP(C3678,'MSA-Lookup'!$H$1:$I$86,2),C3678),C3678)</f>
        <v>6780</v>
      </c>
      <c r="G3678" s="0" t="n">
        <f aca="false">VLOOKUP(E3678,'MSA-Lookup'!$AA$1:$AB$25,2)</f>
        <v>4472</v>
      </c>
      <c r="H3678" s="0" t="n">
        <f aca="false">IF(C3678&gt;1,IF(C3678&lt;99,VLOOKUP(F3678,'MSA-Lookup'!$AA$1:$AB$25,2),C3678),C3678)</f>
        <v>4472</v>
      </c>
    </row>
    <row r="3679" customFormat="false" ht="12.75" hidden="false" customHeight="false" outlineLevel="0" collapsed="false">
      <c r="A3679" s="0" t="n">
        <f aca="false">B3679*1000+C3679</f>
        <v>54072</v>
      </c>
      <c r="B3679" s="0" t="n">
        <v>54</v>
      </c>
      <c r="C3679" s="0" t="n">
        <v>72</v>
      </c>
      <c r="D3679" s="0" t="n">
        <v>273</v>
      </c>
      <c r="E3679" s="0" t="n">
        <f aca="false">VLOOKUP(B3679,'MSA-Lookup'!$H$2:$I$86,2)</f>
        <v>4480</v>
      </c>
      <c r="F3679" s="0" t="n">
        <f aca="false">IF(C3679&gt;1,IF(C3679&lt;99,VLOOKUP(C3679,'MSA-Lookup'!$H$1:$I$86,2),C3679),C3679)</f>
        <v>6780</v>
      </c>
      <c r="G3679" s="0" t="n">
        <f aca="false">VLOOKUP(E3679,'MSA-Lookup'!$AA$1:$AB$25,2)</f>
        <v>4472</v>
      </c>
      <c r="H3679" s="0" t="n">
        <f aca="false">IF(C3679&gt;1,IF(C3679&lt;99,VLOOKUP(F3679,'MSA-Lookup'!$AA$1:$AB$25,2),C3679),C3679)</f>
        <v>4472</v>
      </c>
    </row>
    <row r="3680" customFormat="false" ht="12.75" hidden="false" customHeight="false" outlineLevel="0" collapsed="false">
      <c r="A3680" s="0" t="n">
        <f aca="false">B3680*1000+C3680</f>
        <v>54073</v>
      </c>
      <c r="B3680" s="0" t="n">
        <v>54</v>
      </c>
      <c r="C3680" s="0" t="n">
        <v>73</v>
      </c>
      <c r="D3680" s="0" t="n">
        <v>0</v>
      </c>
      <c r="E3680" s="0" t="n">
        <f aca="false">VLOOKUP(B3680,'MSA-Lookup'!$H$2:$I$86,2)</f>
        <v>4480</v>
      </c>
      <c r="F3680" s="0" t="n">
        <f aca="false">IF(C3680&gt;1,IF(C3680&lt;99,VLOOKUP(C3680,'MSA-Lookup'!$H$1:$I$86,2),C3680),C3680)</f>
        <v>8720</v>
      </c>
      <c r="G3680" s="0" t="n">
        <f aca="false">VLOOKUP(E3680,'MSA-Lookup'!$AA$1:$AB$25,2)</f>
        <v>4472</v>
      </c>
      <c r="H3680" s="0" t="n">
        <f aca="false">IF(C3680&gt;1,IF(C3680&lt;99,VLOOKUP(F3680,'MSA-Lookup'!$AA$1:$AB$25,2),C3680),C3680)</f>
        <v>7362</v>
      </c>
    </row>
    <row r="3681" customFormat="false" ht="12.75" hidden="false" customHeight="false" outlineLevel="0" collapsed="false">
      <c r="A3681" s="0" t="n">
        <f aca="false">B3681*1000+C3681</f>
        <v>54075</v>
      </c>
      <c r="B3681" s="0" t="n">
        <v>54</v>
      </c>
      <c r="C3681" s="0" t="n">
        <v>75</v>
      </c>
      <c r="D3681" s="0" t="n">
        <v>0</v>
      </c>
      <c r="E3681" s="0" t="n">
        <f aca="false">VLOOKUP(B3681,'MSA-Lookup'!$H$2:$I$86,2)</f>
        <v>4480</v>
      </c>
      <c r="F3681" s="0" t="n">
        <f aca="false">IF(C3681&gt;1,IF(C3681&lt;99,VLOOKUP(C3681,'MSA-Lookup'!$H$1:$I$86,2),C3681),C3681)</f>
        <v>8780</v>
      </c>
      <c r="G3681" s="0" t="n">
        <f aca="false">VLOOKUP(E3681,'MSA-Lookup'!$AA$1:$AB$25,2)</f>
        <v>4472</v>
      </c>
      <c r="H3681" s="0" t="n">
        <f aca="false">IF(C3681&gt;1,IF(C3681&lt;99,VLOOKUP(F3681,'MSA-Lookup'!$AA$1:$AB$25,2),C3681),C3681)</f>
        <v>8780</v>
      </c>
    </row>
    <row r="3682" customFormat="false" ht="12.75" hidden="false" customHeight="false" outlineLevel="0" collapsed="false">
      <c r="A3682" s="0" t="n">
        <f aca="false">B3682*1000+C3682</f>
        <v>54076</v>
      </c>
      <c r="B3682" s="0" t="n">
        <v>54</v>
      </c>
      <c r="C3682" s="0" t="n">
        <v>76</v>
      </c>
      <c r="D3682" s="0" t="n">
        <v>0</v>
      </c>
      <c r="E3682" s="0" t="n">
        <f aca="false">VLOOKUP(B3682,'MSA-Lookup'!$H$2:$I$86,2)</f>
        <v>4480</v>
      </c>
      <c r="F3682" s="0" t="n">
        <f aca="false">IF(C3682&gt;1,IF(C3682&lt;99,VLOOKUP(C3682,'MSA-Lookup'!$H$1:$I$86,2),C3682),C3682)</f>
        <v>7485</v>
      </c>
      <c r="G3682" s="0" t="n">
        <f aca="false">VLOOKUP(E3682,'MSA-Lookup'!$AA$1:$AB$25,2)</f>
        <v>4472</v>
      </c>
      <c r="H3682" s="0" t="n">
        <f aca="false">IF(C3682&gt;1,IF(C3682&lt;99,VLOOKUP(F3682,'MSA-Lookup'!$AA$1:$AB$25,2),C3682),C3682)</f>
        <v>7362</v>
      </c>
    </row>
    <row r="3683" customFormat="false" ht="12.75" hidden="false" customHeight="false" outlineLevel="0" collapsed="false">
      <c r="A3683" s="0" t="n">
        <f aca="false">B3683*1000+C3683</f>
        <v>54077</v>
      </c>
      <c r="B3683" s="0" t="n">
        <v>54</v>
      </c>
      <c r="C3683" s="0" t="n">
        <v>77</v>
      </c>
      <c r="D3683" s="0" t="n">
        <v>0</v>
      </c>
      <c r="E3683" s="0" t="n">
        <f aca="false">VLOOKUP(B3683,'MSA-Lookup'!$H$2:$I$86,2)</f>
        <v>4480</v>
      </c>
      <c r="F3683" s="0" t="n">
        <f aca="false">IF(C3683&gt;1,IF(C3683&lt;99,VLOOKUP(C3683,'MSA-Lookup'!$H$1:$I$86,2),C3683),C3683)</f>
        <v>9999</v>
      </c>
      <c r="G3683" s="0" t="n">
        <f aca="false">VLOOKUP(E3683,'MSA-Lookup'!$AA$1:$AB$25,2)</f>
        <v>4472</v>
      </c>
      <c r="H3683" s="0" t="n">
        <f aca="false">IF(C3683&gt;1,IF(C3683&lt;99,VLOOKUP(F3683,'MSA-Lookup'!$AA$1:$AB$25,2),C3683),C3683)</f>
        <v>9999</v>
      </c>
    </row>
    <row r="3684" customFormat="false" ht="12.75" hidden="false" customHeight="false" outlineLevel="0" collapsed="false">
      <c r="A3684" s="0" t="n">
        <f aca="false">B3684*1000+C3684</f>
        <v>54078</v>
      </c>
      <c r="B3684" s="0" t="n">
        <v>54</v>
      </c>
      <c r="C3684" s="0" t="n">
        <v>78</v>
      </c>
      <c r="D3684" s="0" t="n">
        <v>0</v>
      </c>
      <c r="E3684" s="0" t="n">
        <f aca="false">VLOOKUP(B3684,'MSA-Lookup'!$H$2:$I$86,2)</f>
        <v>4480</v>
      </c>
      <c r="F3684" s="0" t="n">
        <f aca="false">IF(C3684&gt;1,IF(C3684&lt;99,VLOOKUP(C3684,'MSA-Lookup'!$H$1:$I$86,2),C3684),C3684)</f>
        <v>680</v>
      </c>
      <c r="G3684" s="0" t="n">
        <f aca="false">VLOOKUP(E3684,'MSA-Lookup'!$AA$1:$AB$25,2)</f>
        <v>4472</v>
      </c>
      <c r="H3684" s="0" t="n">
        <f aca="false">IF(C3684&gt;1,IF(C3684&lt;99,VLOOKUP(F3684,'MSA-Lookup'!$AA$1:$AB$25,2),C3684),C3684)</f>
        <v>680</v>
      </c>
    </row>
    <row r="3685" customFormat="false" ht="12.75" hidden="false" customHeight="false" outlineLevel="0" collapsed="false">
      <c r="A3685" s="0" t="n">
        <f aca="false">B3685*1000+C3685</f>
        <v>54079</v>
      </c>
      <c r="B3685" s="0" t="n">
        <v>54</v>
      </c>
      <c r="C3685" s="0" t="n">
        <v>79</v>
      </c>
      <c r="D3685" s="0" t="n">
        <v>0</v>
      </c>
      <c r="E3685" s="0" t="n">
        <f aca="false">VLOOKUP(B3685,'MSA-Lookup'!$H$2:$I$86,2)</f>
        <v>4480</v>
      </c>
      <c r="F3685" s="0" t="n">
        <f aca="false">IF(C3685&gt;1,IF(C3685&lt;99,VLOOKUP(C3685,'MSA-Lookup'!$H$1:$I$86,2),C3685),C3685)</f>
        <v>680</v>
      </c>
      <c r="G3685" s="0" t="n">
        <f aca="false">VLOOKUP(E3685,'MSA-Lookup'!$AA$1:$AB$25,2)</f>
        <v>4472</v>
      </c>
      <c r="H3685" s="0" t="n">
        <f aca="false">IF(C3685&gt;1,IF(C3685&lt;99,VLOOKUP(F3685,'MSA-Lookup'!$AA$1:$AB$25,2),C3685),C3685)</f>
        <v>680</v>
      </c>
    </row>
    <row r="3686" customFormat="false" ht="12.75" hidden="false" customHeight="false" outlineLevel="0" collapsed="false">
      <c r="A3686" s="0" t="n">
        <f aca="false">B3686*1000+C3686</f>
        <v>54080</v>
      </c>
      <c r="B3686" s="0" t="n">
        <v>54</v>
      </c>
      <c r="C3686" s="0" t="n">
        <v>80</v>
      </c>
      <c r="D3686" s="0" t="n">
        <v>0</v>
      </c>
      <c r="E3686" s="0" t="n">
        <f aca="false">VLOOKUP(B3686,'MSA-Lookup'!$H$2:$I$86,2)</f>
        <v>4480</v>
      </c>
      <c r="F3686" s="0" t="n">
        <f aca="false">IF(C3686&gt;1,IF(C3686&lt;99,VLOOKUP(C3686,'MSA-Lookup'!$H$1:$I$86,2),C3686),C3686)</f>
        <v>9999</v>
      </c>
      <c r="G3686" s="0" t="n">
        <f aca="false">VLOOKUP(E3686,'MSA-Lookup'!$AA$1:$AB$25,2)</f>
        <v>4472</v>
      </c>
      <c r="H3686" s="0" t="n">
        <f aca="false">IF(C3686&gt;1,IF(C3686&lt;99,VLOOKUP(F3686,'MSA-Lookup'!$AA$1:$AB$25,2),C3686),C3686)</f>
        <v>9999</v>
      </c>
    </row>
    <row r="3687" customFormat="false" ht="12.75" hidden="false" customHeight="false" outlineLevel="0" collapsed="false">
      <c r="A3687" s="0" t="n">
        <f aca="false">B3687*1000+C3687</f>
        <v>54081</v>
      </c>
      <c r="B3687" s="0" t="n">
        <v>54</v>
      </c>
      <c r="C3687" s="0" t="n">
        <v>81</v>
      </c>
      <c r="D3687" s="0" t="n">
        <v>0</v>
      </c>
      <c r="E3687" s="0" t="n">
        <f aca="false">VLOOKUP(B3687,'MSA-Lookup'!$H$2:$I$86,2)</f>
        <v>4480</v>
      </c>
      <c r="F3687" s="0" t="n">
        <f aca="false">IF(C3687&gt;1,IF(C3687&lt;99,VLOOKUP(C3687,'MSA-Lookup'!$H$1:$I$86,2),C3687),C3687)</f>
        <v>6780</v>
      </c>
      <c r="G3687" s="0" t="n">
        <f aca="false">VLOOKUP(E3687,'MSA-Lookup'!$AA$1:$AB$25,2)</f>
        <v>4472</v>
      </c>
      <c r="H3687" s="0" t="n">
        <f aca="false">IF(C3687&gt;1,IF(C3687&lt;99,VLOOKUP(F3687,'MSA-Lookup'!$AA$1:$AB$25,2),C3687),C3687)</f>
        <v>4472</v>
      </c>
    </row>
    <row r="3688" customFormat="false" ht="12.75" hidden="false" customHeight="false" outlineLevel="0" collapsed="false">
      <c r="A3688" s="0" t="n">
        <f aca="false">B3688*1000+C3688</f>
        <v>54082</v>
      </c>
      <c r="B3688" s="0" t="n">
        <v>54</v>
      </c>
      <c r="C3688" s="0" t="n">
        <v>82</v>
      </c>
      <c r="D3688" s="0" t="n">
        <v>0</v>
      </c>
      <c r="E3688" s="0" t="n">
        <f aca="false">VLOOKUP(B3688,'MSA-Lookup'!$H$2:$I$86,2)</f>
        <v>4480</v>
      </c>
      <c r="F3688" s="0" t="n">
        <f aca="false">IF(C3688&gt;1,IF(C3688&lt;99,VLOOKUP(C3688,'MSA-Lookup'!$H$1:$I$86,2),C3688),C3688)</f>
        <v>6780</v>
      </c>
      <c r="G3688" s="0" t="n">
        <f aca="false">VLOOKUP(E3688,'MSA-Lookup'!$AA$1:$AB$25,2)</f>
        <v>4472</v>
      </c>
      <c r="H3688" s="0" t="n">
        <f aca="false">IF(C3688&gt;1,IF(C3688&lt;99,VLOOKUP(F3688,'MSA-Lookup'!$AA$1:$AB$25,2),C3688),C3688)</f>
        <v>4472</v>
      </c>
    </row>
    <row r="3689" customFormat="false" ht="12.75" hidden="false" customHeight="false" outlineLevel="0" collapsed="false">
      <c r="A3689" s="0" t="n">
        <f aca="false">B3689*1000+C3689</f>
        <v>54083</v>
      </c>
      <c r="B3689" s="0" t="n">
        <v>54</v>
      </c>
      <c r="C3689" s="0" t="n">
        <v>83</v>
      </c>
      <c r="D3689" s="0" t="n">
        <v>0</v>
      </c>
      <c r="E3689" s="0" t="n">
        <f aca="false">VLOOKUP(B3689,'MSA-Lookup'!$H$2:$I$86,2)</f>
        <v>4480</v>
      </c>
      <c r="F3689" s="0" t="n">
        <f aca="false">IF(C3689&gt;1,IF(C3689&lt;99,VLOOKUP(C3689,'MSA-Lookup'!$H$1:$I$86,2),C3689),C3689)</f>
        <v>6000</v>
      </c>
      <c r="G3689" s="0" t="n">
        <f aca="false">VLOOKUP(E3689,'MSA-Lookup'!$AA$1:$AB$25,2)</f>
        <v>4472</v>
      </c>
      <c r="H3689" s="0" t="n">
        <f aca="false">IF(C3689&gt;1,IF(C3689&lt;99,VLOOKUP(F3689,'MSA-Lookup'!$AA$1:$AB$25,2),C3689),C3689)</f>
        <v>4472</v>
      </c>
    </row>
    <row r="3690" customFormat="false" ht="12.75" hidden="false" customHeight="false" outlineLevel="0" collapsed="false">
      <c r="A3690" s="0" t="n">
        <f aca="false">B3690*1000+C3690</f>
        <v>54084</v>
      </c>
      <c r="B3690" s="0" t="n">
        <v>54</v>
      </c>
      <c r="C3690" s="0" t="n">
        <v>84</v>
      </c>
      <c r="D3690" s="0" t="n">
        <v>520</v>
      </c>
      <c r="E3690" s="0" t="n">
        <f aca="false">VLOOKUP(B3690,'MSA-Lookup'!$H$2:$I$86,2)</f>
        <v>4480</v>
      </c>
      <c r="F3690" s="0" t="n">
        <f aca="false">IF(C3690&gt;1,IF(C3690&lt;99,VLOOKUP(C3690,'MSA-Lookup'!$H$1:$I$86,2),C3690),C3690)</f>
        <v>360</v>
      </c>
      <c r="G3690" s="0" t="n">
        <f aca="false">VLOOKUP(E3690,'MSA-Lookup'!$AA$1:$AB$25,2)</f>
        <v>4472</v>
      </c>
      <c r="H3690" s="0" t="n">
        <f aca="false">IF(C3690&gt;1,IF(C3690&lt;99,VLOOKUP(F3690,'MSA-Lookup'!$AA$1:$AB$25,2),C3690),C3690)</f>
        <v>4472</v>
      </c>
    </row>
    <row r="3691" customFormat="false" ht="12.75" hidden="false" customHeight="false" outlineLevel="0" collapsed="false">
      <c r="A3691" s="0" t="n">
        <f aca="false">B3691*1000+C3691</f>
        <v>54085</v>
      </c>
      <c r="B3691" s="0" t="n">
        <v>54</v>
      </c>
      <c r="C3691" s="0" t="n">
        <v>85</v>
      </c>
      <c r="D3691" s="0" t="n">
        <v>0</v>
      </c>
      <c r="E3691" s="0" t="n">
        <f aca="false">VLOOKUP(B3691,'MSA-Lookup'!$H$2:$I$86,2)</f>
        <v>4480</v>
      </c>
      <c r="F3691" s="0" t="n">
        <f aca="false">IF(C3691&gt;1,IF(C3691&lt;99,VLOOKUP(C3691,'MSA-Lookup'!$H$1:$I$86,2),C3691),C3691)</f>
        <v>8120</v>
      </c>
      <c r="G3691" s="0" t="n">
        <f aca="false">VLOOKUP(E3691,'MSA-Lookup'!$AA$1:$AB$25,2)</f>
        <v>4472</v>
      </c>
      <c r="H3691" s="0" t="n">
        <f aca="false">IF(C3691&gt;1,IF(C3691&lt;99,VLOOKUP(F3691,'MSA-Lookup'!$AA$1:$AB$25,2),C3691),C3691)</f>
        <v>8120</v>
      </c>
    </row>
    <row r="3692" customFormat="false" ht="12.75" hidden="false" customHeight="false" outlineLevel="0" collapsed="false">
      <c r="A3692" s="0" t="n">
        <f aca="false">B3692*1000+C3692</f>
        <v>54858</v>
      </c>
      <c r="B3692" s="0" t="n">
        <v>54</v>
      </c>
      <c r="C3692" s="0" t="n">
        <v>858</v>
      </c>
      <c r="D3692" s="0" t="n">
        <v>0</v>
      </c>
      <c r="E3692" s="0" t="n">
        <f aca="false">VLOOKUP(B3692,'MSA-Lookup'!$H$2:$I$86,2)</f>
        <v>4480</v>
      </c>
      <c r="F3692" s="0" t="n">
        <f aca="false">IF(C3692&gt;1,IF(C3692&lt;99,VLOOKUP(C3692,'MSA-Lookup'!$H$1:$I$86,2),C3692),C3692)</f>
        <v>858</v>
      </c>
      <c r="G3692" s="0" t="n">
        <f aca="false">VLOOKUP(E3692,'MSA-Lookup'!$AA$1:$AB$25,2)</f>
        <v>4472</v>
      </c>
      <c r="H3692" s="0" t="n">
        <f aca="false">IF(C3692&gt;1,IF(C3692&lt;99,VLOOKUP(F3692,'MSA-Lookup'!$AA$1:$AB$25,2),C3692),C3692)</f>
        <v>858</v>
      </c>
    </row>
    <row r="3693" customFormat="false" ht="12.75" hidden="false" customHeight="false" outlineLevel="0" collapsed="false">
      <c r="A3693" s="0" t="n">
        <f aca="false">B3693*1000+C3693</f>
        <v>54983</v>
      </c>
      <c r="B3693" s="0" t="n">
        <v>54</v>
      </c>
      <c r="C3693" s="0" t="n">
        <v>983</v>
      </c>
      <c r="D3693" s="0" t="n">
        <v>0</v>
      </c>
      <c r="E3693" s="0" t="n">
        <f aca="false">VLOOKUP(B3693,'MSA-Lookup'!$H$2:$I$86,2)</f>
        <v>4480</v>
      </c>
      <c r="F3693" s="0" t="n">
        <f aca="false">IF(C3693&gt;1,IF(C3693&lt;99,VLOOKUP(C3693,'MSA-Lookup'!$H$1:$I$86,2),C3693),C3693)</f>
        <v>983</v>
      </c>
      <c r="G3693" s="0" t="n">
        <f aca="false">VLOOKUP(E3693,'MSA-Lookup'!$AA$1:$AB$25,2)</f>
        <v>4472</v>
      </c>
      <c r="H3693" s="0" t="n">
        <f aca="false">IF(C3693&gt;1,IF(C3693&lt;99,VLOOKUP(F3693,'MSA-Lookup'!$AA$1:$AB$25,2),C3693),C3693)</f>
        <v>983</v>
      </c>
    </row>
    <row r="3694" customFormat="false" ht="12.75" hidden="false" customHeight="false" outlineLevel="0" collapsed="false">
      <c r="A3694" s="0" t="n">
        <f aca="false">B3694*1000+C3694</f>
        <v>54999</v>
      </c>
      <c r="B3694" s="0" t="n">
        <v>54</v>
      </c>
      <c r="C3694" s="0" t="n">
        <v>999</v>
      </c>
      <c r="D3694" s="0" t="n">
        <v>0</v>
      </c>
      <c r="E3694" s="0" t="n">
        <f aca="false">VLOOKUP(B3694,'MSA-Lookup'!$H$2:$I$86,2)</f>
        <v>4480</v>
      </c>
      <c r="F3694" s="0" t="n">
        <f aca="false">IF(C3694&gt;1,IF(C3694&lt;99,VLOOKUP(C3694,'MSA-Lookup'!$H$1:$I$86,2),C3694),C3694)</f>
        <v>999</v>
      </c>
      <c r="G3694" s="0" t="n">
        <f aca="false">VLOOKUP(E3694,'MSA-Lookup'!$AA$1:$AB$25,2)</f>
        <v>4472</v>
      </c>
      <c r="H3694" s="0" t="n">
        <f aca="false">IF(C3694&gt;1,IF(C3694&lt;99,VLOOKUP(F3694,'MSA-Lookup'!$AA$1:$AB$25,2),C3694),C3694)</f>
        <v>999</v>
      </c>
    </row>
    <row r="3695" customFormat="false" ht="12.75" hidden="false" customHeight="false" outlineLevel="0" collapsed="false">
      <c r="A3695" s="0" t="n">
        <f aca="false">B3695*1000+C3695</f>
        <v>55000</v>
      </c>
      <c r="B3695" s="0" t="n">
        <v>55</v>
      </c>
      <c r="C3695" s="0" t="n">
        <v>0</v>
      </c>
      <c r="D3695" s="0" t="n">
        <v>84006</v>
      </c>
      <c r="E3695" s="0" t="n">
        <f aca="false">VLOOKUP(B3695,'MSA-Lookup'!$H$2:$I$86,2)</f>
        <v>4480</v>
      </c>
      <c r="F3695" s="0" t="n">
        <f aca="false">IF(C3695&gt;1,IF(C3695&lt;99,VLOOKUP(C3695,'MSA-Lookup'!$H$1:$I$86,2),C3695),C3695)</f>
        <v>0</v>
      </c>
      <c r="G3695" s="0" t="n">
        <f aca="false">VLOOKUP(E3695,'MSA-Lookup'!$AA$1:$AB$25,2)</f>
        <v>4472</v>
      </c>
      <c r="H3695" s="0" t="n">
        <f aca="false">IF(C3695&gt;1,IF(C3695&lt;99,VLOOKUP(F3695,'MSA-Lookup'!$AA$1:$AB$25,2),C3695),C3695)</f>
        <v>0</v>
      </c>
    </row>
    <row r="3696" customFormat="false" ht="12.75" hidden="false" customHeight="false" outlineLevel="0" collapsed="false">
      <c r="A3696" s="0" t="n">
        <f aca="false">B3696*1000+C3696</f>
        <v>55001</v>
      </c>
      <c r="B3696" s="0" t="n">
        <v>55</v>
      </c>
      <c r="C3696" s="0" t="n">
        <v>1</v>
      </c>
      <c r="D3696" s="0" t="n">
        <v>0</v>
      </c>
      <c r="E3696" s="0" t="n">
        <f aca="false">VLOOKUP(B3696,'MSA-Lookup'!$H$2:$I$86,2)</f>
        <v>4480</v>
      </c>
      <c r="F3696" s="0" t="n">
        <f aca="false">IF(C3696&gt;1,IF(C3696&lt;99,VLOOKUP(C3696,'MSA-Lookup'!$H$1:$I$86,2),C3696),C3696)</f>
        <v>1</v>
      </c>
      <c r="G3696" s="0" t="n">
        <f aca="false">VLOOKUP(E3696,'MSA-Lookup'!$AA$1:$AB$25,2)</f>
        <v>4472</v>
      </c>
      <c r="H3696" s="0" t="n">
        <f aca="false">IF(C3696&gt;1,IF(C3696&lt;99,VLOOKUP(F3696,'MSA-Lookup'!$AA$1:$AB$25,2),C3696),C3696)</f>
        <v>1</v>
      </c>
    </row>
    <row r="3697" customFormat="false" ht="12.75" hidden="false" customHeight="false" outlineLevel="0" collapsed="false">
      <c r="A3697" s="0" t="n">
        <f aca="false">B3697*1000+C3697</f>
        <v>55002</v>
      </c>
      <c r="B3697" s="0" t="n">
        <v>55</v>
      </c>
      <c r="C3697" s="0" t="n">
        <v>2</v>
      </c>
      <c r="D3697" s="0" t="n">
        <v>0</v>
      </c>
      <c r="E3697" s="0" t="n">
        <f aca="false">VLOOKUP(B3697,'MSA-Lookup'!$H$2:$I$86,2)</f>
        <v>4480</v>
      </c>
      <c r="F3697" s="0" t="n">
        <f aca="false">IF(C3697&gt;1,IF(C3697&lt;99,VLOOKUP(C3697,'MSA-Lookup'!$H$1:$I$86,2),C3697),C3697)</f>
        <v>9999</v>
      </c>
      <c r="G3697" s="0" t="n">
        <f aca="false">VLOOKUP(E3697,'MSA-Lookup'!$AA$1:$AB$25,2)</f>
        <v>4472</v>
      </c>
      <c r="H3697" s="0" t="n">
        <f aca="false">IF(C3697&gt;1,IF(C3697&lt;99,VLOOKUP(F3697,'MSA-Lookup'!$AA$1:$AB$25,2),C3697),C3697)</f>
        <v>9999</v>
      </c>
    </row>
    <row r="3698" customFormat="false" ht="12.75" hidden="false" customHeight="false" outlineLevel="0" collapsed="false">
      <c r="A3698" s="0" t="n">
        <f aca="false">B3698*1000+C3698</f>
        <v>55003</v>
      </c>
      <c r="B3698" s="0" t="n">
        <v>55</v>
      </c>
      <c r="C3698" s="0" t="n">
        <v>3</v>
      </c>
      <c r="D3698" s="0" t="n">
        <v>0</v>
      </c>
      <c r="E3698" s="0" t="n">
        <f aca="false">VLOOKUP(B3698,'MSA-Lookup'!$H$2:$I$86,2)</f>
        <v>4480</v>
      </c>
      <c r="F3698" s="0" t="n">
        <f aca="false">IF(C3698&gt;1,IF(C3698&lt;99,VLOOKUP(C3698,'MSA-Lookup'!$H$1:$I$86,2),C3698),C3698)</f>
        <v>6690</v>
      </c>
      <c r="G3698" s="0" t="n">
        <f aca="false">VLOOKUP(E3698,'MSA-Lookup'!$AA$1:$AB$25,2)</f>
        <v>4472</v>
      </c>
      <c r="H3698" s="0" t="n">
        <f aca="false">IF(C3698&gt;1,IF(C3698&lt;99,VLOOKUP(F3698,'MSA-Lookup'!$AA$1:$AB$25,2),C3698),C3698)</f>
        <v>6690</v>
      </c>
    </row>
    <row r="3699" customFormat="false" ht="12.75" hidden="false" customHeight="false" outlineLevel="0" collapsed="false">
      <c r="A3699" s="0" t="n">
        <f aca="false">B3699*1000+C3699</f>
        <v>55004</v>
      </c>
      <c r="B3699" s="0" t="n">
        <v>55</v>
      </c>
      <c r="C3699" s="0" t="n">
        <v>4</v>
      </c>
      <c r="D3699" s="0" t="n">
        <v>0</v>
      </c>
      <c r="E3699" s="0" t="n">
        <f aca="false">VLOOKUP(B3699,'MSA-Lookup'!$H$2:$I$86,2)</f>
        <v>4480</v>
      </c>
      <c r="F3699" s="0" t="n">
        <f aca="false">IF(C3699&gt;1,IF(C3699&lt;99,VLOOKUP(C3699,'MSA-Lookup'!$H$1:$I$86,2),C3699),C3699)</f>
        <v>9999</v>
      </c>
      <c r="G3699" s="0" t="n">
        <f aca="false">VLOOKUP(E3699,'MSA-Lookup'!$AA$1:$AB$25,2)</f>
        <v>4472</v>
      </c>
      <c r="H3699" s="0" t="n">
        <f aca="false">IF(C3699&gt;1,IF(C3699&lt;99,VLOOKUP(F3699,'MSA-Lookup'!$AA$1:$AB$25,2),C3699),C3699)</f>
        <v>9999</v>
      </c>
    </row>
    <row r="3700" customFormat="false" ht="12.75" hidden="false" customHeight="false" outlineLevel="0" collapsed="false">
      <c r="A3700" s="0" t="n">
        <f aca="false">B3700*1000+C3700</f>
        <v>55005</v>
      </c>
      <c r="B3700" s="0" t="n">
        <v>55</v>
      </c>
      <c r="C3700" s="0" t="n">
        <v>5</v>
      </c>
      <c r="D3700" s="0" t="n">
        <v>0</v>
      </c>
      <c r="E3700" s="0" t="n">
        <f aca="false">VLOOKUP(B3700,'MSA-Lookup'!$H$2:$I$86,2)</f>
        <v>4480</v>
      </c>
      <c r="F3700" s="0" t="n">
        <f aca="false">IF(C3700&gt;1,IF(C3700&lt;99,VLOOKUP(C3700,'MSA-Lookup'!$H$1:$I$86,2),C3700),C3700)</f>
        <v>9999</v>
      </c>
      <c r="G3700" s="0" t="n">
        <f aca="false">VLOOKUP(E3700,'MSA-Lookup'!$AA$1:$AB$25,2)</f>
        <v>4472</v>
      </c>
      <c r="H3700" s="0" t="n">
        <f aca="false">IF(C3700&gt;1,IF(C3700&lt;99,VLOOKUP(F3700,'MSA-Lookup'!$AA$1:$AB$25,2),C3700),C3700)</f>
        <v>9999</v>
      </c>
    </row>
    <row r="3701" customFormat="false" ht="12.75" hidden="false" customHeight="false" outlineLevel="0" collapsed="false">
      <c r="A3701" s="0" t="n">
        <f aca="false">B3701*1000+C3701</f>
        <v>55006</v>
      </c>
      <c r="B3701" s="0" t="n">
        <v>55</v>
      </c>
      <c r="C3701" s="0" t="n">
        <v>6</v>
      </c>
      <c r="D3701" s="0" t="n">
        <v>0</v>
      </c>
      <c r="E3701" s="0" t="n">
        <f aca="false">VLOOKUP(B3701,'MSA-Lookup'!$H$2:$I$86,2)</f>
        <v>4480</v>
      </c>
      <c r="F3701" s="0" t="n">
        <f aca="false">IF(C3701&gt;1,IF(C3701&lt;99,VLOOKUP(C3701,'MSA-Lookup'!$H$1:$I$86,2),C3701),C3701)</f>
        <v>1620</v>
      </c>
      <c r="G3701" s="0" t="n">
        <f aca="false">VLOOKUP(E3701,'MSA-Lookup'!$AA$1:$AB$25,2)</f>
        <v>4472</v>
      </c>
      <c r="H3701" s="0" t="n">
        <f aca="false">IF(C3701&gt;1,IF(C3701&lt;99,VLOOKUP(F3701,'MSA-Lookup'!$AA$1:$AB$25,2),C3701),C3701)</f>
        <v>1620</v>
      </c>
    </row>
    <row r="3702" customFormat="false" ht="12.75" hidden="false" customHeight="false" outlineLevel="0" collapsed="false">
      <c r="A3702" s="0" t="n">
        <f aca="false">B3702*1000+C3702</f>
        <v>55007</v>
      </c>
      <c r="B3702" s="0" t="n">
        <v>55</v>
      </c>
      <c r="C3702" s="0" t="n">
        <v>7</v>
      </c>
      <c r="D3702" s="0" t="n">
        <v>0</v>
      </c>
      <c r="E3702" s="0" t="n">
        <f aca="false">VLOOKUP(B3702,'MSA-Lookup'!$H$2:$I$86,2)</f>
        <v>4480</v>
      </c>
      <c r="F3702" s="0" t="n">
        <f aca="false">IF(C3702&gt;1,IF(C3702&lt;99,VLOOKUP(C3702,'MSA-Lookup'!$H$1:$I$86,2),C3702),C3702)</f>
        <v>9999</v>
      </c>
      <c r="G3702" s="0" t="n">
        <f aca="false">VLOOKUP(E3702,'MSA-Lookup'!$AA$1:$AB$25,2)</f>
        <v>4472</v>
      </c>
      <c r="H3702" s="0" t="n">
        <f aca="false">IF(C3702&gt;1,IF(C3702&lt;99,VLOOKUP(F3702,'MSA-Lookup'!$AA$1:$AB$25,2),C3702),C3702)</f>
        <v>9999</v>
      </c>
    </row>
    <row r="3703" customFormat="false" ht="12.75" hidden="false" customHeight="false" outlineLevel="0" collapsed="false">
      <c r="A3703" s="0" t="n">
        <f aca="false">B3703*1000+C3703</f>
        <v>55008</v>
      </c>
      <c r="B3703" s="0" t="n">
        <v>55</v>
      </c>
      <c r="C3703" s="0" t="n">
        <v>8</v>
      </c>
      <c r="D3703" s="0" t="n">
        <v>0</v>
      </c>
      <c r="E3703" s="0" t="n">
        <f aca="false">VLOOKUP(B3703,'MSA-Lookup'!$H$2:$I$86,2)</f>
        <v>4480</v>
      </c>
      <c r="F3703" s="0" t="n">
        <f aca="false">IF(C3703&gt;1,IF(C3703&lt;99,VLOOKUP(C3703,'MSA-Lookup'!$H$1:$I$86,2),C3703),C3703)</f>
        <v>9340</v>
      </c>
      <c r="G3703" s="0" t="n">
        <f aca="false">VLOOKUP(E3703,'MSA-Lookup'!$AA$1:$AB$25,2)</f>
        <v>4472</v>
      </c>
      <c r="H3703" s="0" t="n">
        <f aca="false">IF(C3703&gt;1,IF(C3703&lt;99,VLOOKUP(F3703,'MSA-Lookup'!$AA$1:$AB$25,2),C3703),C3703)</f>
        <v>9340</v>
      </c>
    </row>
    <row r="3704" customFormat="false" ht="12.75" hidden="false" customHeight="false" outlineLevel="0" collapsed="false">
      <c r="A3704" s="0" t="n">
        <f aca="false">B3704*1000+C3704</f>
        <v>55009</v>
      </c>
      <c r="B3704" s="0" t="n">
        <v>55</v>
      </c>
      <c r="C3704" s="0" t="n">
        <v>9</v>
      </c>
      <c r="D3704" s="0" t="n">
        <v>0</v>
      </c>
      <c r="E3704" s="0" t="n">
        <f aca="false">VLOOKUP(B3704,'MSA-Lookup'!$H$2:$I$86,2)</f>
        <v>4480</v>
      </c>
      <c r="F3704" s="0" t="n">
        <f aca="false">IF(C3704&gt;1,IF(C3704&lt;99,VLOOKUP(C3704,'MSA-Lookup'!$H$1:$I$86,2),C3704),C3704)</f>
        <v>8720</v>
      </c>
      <c r="G3704" s="0" t="n">
        <f aca="false">VLOOKUP(E3704,'MSA-Lookup'!$AA$1:$AB$25,2)</f>
        <v>4472</v>
      </c>
      <c r="H3704" s="0" t="n">
        <f aca="false">IF(C3704&gt;1,IF(C3704&lt;99,VLOOKUP(F3704,'MSA-Lookup'!$AA$1:$AB$25,2),C3704),C3704)</f>
        <v>7362</v>
      </c>
    </row>
    <row r="3705" customFormat="false" ht="12.75" hidden="false" customHeight="false" outlineLevel="0" collapsed="false">
      <c r="A3705" s="0" t="n">
        <f aca="false">B3705*1000+C3705</f>
        <v>55010</v>
      </c>
      <c r="B3705" s="0" t="n">
        <v>55</v>
      </c>
      <c r="C3705" s="0" t="n">
        <v>10</v>
      </c>
      <c r="D3705" s="0" t="n">
        <v>0</v>
      </c>
      <c r="E3705" s="0" t="n">
        <f aca="false">VLOOKUP(B3705,'MSA-Lookup'!$H$2:$I$86,2)</f>
        <v>4480</v>
      </c>
      <c r="F3705" s="0" t="n">
        <f aca="false">IF(C3705&gt;1,IF(C3705&lt;99,VLOOKUP(C3705,'MSA-Lookup'!$H$1:$I$86,2),C3705),C3705)</f>
        <v>6920</v>
      </c>
      <c r="G3705" s="0" t="n">
        <f aca="false">VLOOKUP(E3705,'MSA-Lookup'!$AA$1:$AB$25,2)</f>
        <v>4472</v>
      </c>
      <c r="H3705" s="0" t="n">
        <f aca="false">IF(C3705&gt;1,IF(C3705&lt;99,VLOOKUP(F3705,'MSA-Lookup'!$AA$1:$AB$25,2),C3705),C3705)</f>
        <v>6920</v>
      </c>
    </row>
    <row r="3706" customFormat="false" ht="12.75" hidden="false" customHeight="false" outlineLevel="0" collapsed="false">
      <c r="A3706" s="0" t="n">
        <f aca="false">B3706*1000+C3706</f>
        <v>55011</v>
      </c>
      <c r="B3706" s="0" t="n">
        <v>55</v>
      </c>
      <c r="C3706" s="0" t="n">
        <v>11</v>
      </c>
      <c r="D3706" s="0" t="n">
        <v>0</v>
      </c>
      <c r="E3706" s="0" t="n">
        <f aca="false">VLOOKUP(B3706,'MSA-Lookup'!$H$2:$I$86,2)</f>
        <v>4480</v>
      </c>
      <c r="F3706" s="0" t="n">
        <f aca="false">IF(C3706&gt;1,IF(C3706&lt;99,VLOOKUP(C3706,'MSA-Lookup'!$H$1:$I$86,2),C3706),C3706)</f>
        <v>6920</v>
      </c>
      <c r="G3706" s="0" t="n">
        <f aca="false">VLOOKUP(E3706,'MSA-Lookup'!$AA$1:$AB$25,2)</f>
        <v>4472</v>
      </c>
      <c r="H3706" s="0" t="n">
        <f aca="false">IF(C3706&gt;1,IF(C3706&lt;99,VLOOKUP(F3706,'MSA-Lookup'!$AA$1:$AB$25,2),C3706),C3706)</f>
        <v>6920</v>
      </c>
    </row>
    <row r="3707" customFormat="false" ht="12.75" hidden="false" customHeight="false" outlineLevel="0" collapsed="false">
      <c r="A3707" s="0" t="n">
        <f aca="false">B3707*1000+C3707</f>
        <v>55012</v>
      </c>
      <c r="B3707" s="0" t="n">
        <v>55</v>
      </c>
      <c r="C3707" s="0" t="n">
        <v>12</v>
      </c>
      <c r="D3707" s="0" t="n">
        <v>0</v>
      </c>
      <c r="E3707" s="0" t="n">
        <f aca="false">VLOOKUP(B3707,'MSA-Lookup'!$H$2:$I$86,2)</f>
        <v>4480</v>
      </c>
      <c r="F3707" s="0" t="n">
        <f aca="false">IF(C3707&gt;1,IF(C3707&lt;99,VLOOKUP(C3707,'MSA-Lookup'!$H$1:$I$86,2),C3707),C3707)</f>
        <v>6920</v>
      </c>
      <c r="G3707" s="0" t="n">
        <f aca="false">VLOOKUP(E3707,'MSA-Lookup'!$AA$1:$AB$25,2)</f>
        <v>4472</v>
      </c>
      <c r="H3707" s="0" t="n">
        <f aca="false">IF(C3707&gt;1,IF(C3707&lt;99,VLOOKUP(F3707,'MSA-Lookup'!$AA$1:$AB$25,2),C3707),C3707)</f>
        <v>6920</v>
      </c>
    </row>
    <row r="3708" customFormat="false" ht="12.75" hidden="false" customHeight="false" outlineLevel="0" collapsed="false">
      <c r="A3708" s="0" t="n">
        <f aca="false">B3708*1000+C3708</f>
        <v>55013</v>
      </c>
      <c r="B3708" s="0" t="n">
        <v>55</v>
      </c>
      <c r="C3708" s="0" t="n">
        <v>13</v>
      </c>
      <c r="D3708" s="0" t="n">
        <v>0</v>
      </c>
      <c r="E3708" s="0" t="n">
        <f aca="false">VLOOKUP(B3708,'MSA-Lookup'!$H$2:$I$86,2)</f>
        <v>4480</v>
      </c>
      <c r="F3708" s="0" t="n">
        <f aca="false">IF(C3708&gt;1,IF(C3708&lt;99,VLOOKUP(C3708,'MSA-Lookup'!$H$1:$I$86,2),C3708),C3708)</f>
        <v>7500</v>
      </c>
      <c r="G3708" s="0" t="n">
        <f aca="false">VLOOKUP(E3708,'MSA-Lookup'!$AA$1:$AB$25,2)</f>
        <v>4472</v>
      </c>
      <c r="H3708" s="0" t="n">
        <f aca="false">IF(C3708&gt;1,IF(C3708&lt;99,VLOOKUP(F3708,'MSA-Lookup'!$AA$1:$AB$25,2),C3708),C3708)</f>
        <v>7362</v>
      </c>
    </row>
    <row r="3709" customFormat="false" ht="12.75" hidden="false" customHeight="false" outlineLevel="0" collapsed="false">
      <c r="A3709" s="0" t="n">
        <f aca="false">B3709*1000+C3709</f>
        <v>55014</v>
      </c>
      <c r="B3709" s="0" t="n">
        <v>55</v>
      </c>
      <c r="C3709" s="0" t="n">
        <v>14</v>
      </c>
      <c r="D3709" s="0" t="n">
        <v>0</v>
      </c>
      <c r="E3709" s="0" t="n">
        <f aca="false">VLOOKUP(B3709,'MSA-Lookup'!$H$2:$I$86,2)</f>
        <v>4480</v>
      </c>
      <c r="F3709" s="0" t="n">
        <f aca="false">IF(C3709&gt;1,IF(C3709&lt;99,VLOOKUP(C3709,'MSA-Lookup'!$H$1:$I$86,2),C3709),C3709)</f>
        <v>7500</v>
      </c>
      <c r="G3709" s="0" t="n">
        <f aca="false">VLOOKUP(E3709,'MSA-Lookup'!$AA$1:$AB$25,2)</f>
        <v>4472</v>
      </c>
      <c r="H3709" s="0" t="n">
        <f aca="false">IF(C3709&gt;1,IF(C3709&lt;99,VLOOKUP(F3709,'MSA-Lookup'!$AA$1:$AB$25,2),C3709),C3709)</f>
        <v>7362</v>
      </c>
    </row>
    <row r="3710" customFormat="false" ht="12.75" hidden="false" customHeight="false" outlineLevel="0" collapsed="false">
      <c r="A3710" s="0" t="n">
        <f aca="false">B3710*1000+C3710</f>
        <v>55015</v>
      </c>
      <c r="B3710" s="0" t="n">
        <v>55</v>
      </c>
      <c r="C3710" s="0" t="n">
        <v>15</v>
      </c>
      <c r="D3710" s="0" t="n">
        <v>0</v>
      </c>
      <c r="E3710" s="0" t="n">
        <f aca="false">VLOOKUP(B3710,'MSA-Lookup'!$H$2:$I$86,2)</f>
        <v>4480</v>
      </c>
      <c r="F3710" s="0" t="n">
        <f aca="false">IF(C3710&gt;1,IF(C3710&lt;99,VLOOKUP(C3710,'MSA-Lookup'!$H$1:$I$86,2),C3710),C3710)</f>
        <v>7360</v>
      </c>
      <c r="G3710" s="0" t="n">
        <f aca="false">VLOOKUP(E3710,'MSA-Lookup'!$AA$1:$AB$25,2)</f>
        <v>4472</v>
      </c>
      <c r="H3710" s="0" t="n">
        <f aca="false">IF(C3710&gt;1,IF(C3710&lt;99,VLOOKUP(F3710,'MSA-Lookup'!$AA$1:$AB$25,2),C3710),C3710)</f>
        <v>7362</v>
      </c>
    </row>
    <row r="3711" customFormat="false" ht="12.75" hidden="false" customHeight="false" outlineLevel="0" collapsed="false">
      <c r="A3711" s="0" t="n">
        <f aca="false">B3711*1000+C3711</f>
        <v>55016</v>
      </c>
      <c r="B3711" s="0" t="n">
        <v>55</v>
      </c>
      <c r="C3711" s="0" t="n">
        <v>16</v>
      </c>
      <c r="D3711" s="0" t="n">
        <v>0</v>
      </c>
      <c r="E3711" s="0" t="n">
        <f aca="false">VLOOKUP(B3711,'MSA-Lookup'!$H$2:$I$86,2)</f>
        <v>4480</v>
      </c>
      <c r="F3711" s="0" t="n">
        <f aca="false">IF(C3711&gt;1,IF(C3711&lt;99,VLOOKUP(C3711,'MSA-Lookup'!$H$1:$I$86,2),C3711),C3711)</f>
        <v>8720</v>
      </c>
      <c r="G3711" s="0" t="n">
        <f aca="false">VLOOKUP(E3711,'MSA-Lookup'!$AA$1:$AB$25,2)</f>
        <v>4472</v>
      </c>
      <c r="H3711" s="0" t="n">
        <f aca="false">IF(C3711&gt;1,IF(C3711&lt;99,VLOOKUP(F3711,'MSA-Lookup'!$AA$1:$AB$25,2),C3711),C3711)</f>
        <v>7362</v>
      </c>
    </row>
    <row r="3712" customFormat="false" ht="12.75" hidden="false" customHeight="false" outlineLevel="0" collapsed="false">
      <c r="A3712" s="0" t="n">
        <f aca="false">B3712*1000+C3712</f>
        <v>55017</v>
      </c>
      <c r="B3712" s="0" t="n">
        <v>55</v>
      </c>
      <c r="C3712" s="0" t="n">
        <v>17</v>
      </c>
      <c r="D3712" s="0" t="n">
        <v>0</v>
      </c>
      <c r="E3712" s="0" t="n">
        <f aca="false">VLOOKUP(B3712,'MSA-Lookup'!$H$2:$I$86,2)</f>
        <v>4480</v>
      </c>
      <c r="F3712" s="0" t="n">
        <f aca="false">IF(C3712&gt;1,IF(C3712&lt;99,VLOOKUP(C3712,'MSA-Lookup'!$H$1:$I$86,2),C3712),C3712)</f>
        <v>5775</v>
      </c>
      <c r="G3712" s="0" t="n">
        <f aca="false">VLOOKUP(E3712,'MSA-Lookup'!$AA$1:$AB$25,2)</f>
        <v>4472</v>
      </c>
      <c r="H3712" s="0" t="n">
        <f aca="false">IF(C3712&gt;1,IF(C3712&lt;99,VLOOKUP(F3712,'MSA-Lookup'!$AA$1:$AB$25,2),C3712),C3712)</f>
        <v>7362</v>
      </c>
    </row>
    <row r="3713" customFormat="false" ht="12.75" hidden="false" customHeight="false" outlineLevel="0" collapsed="false">
      <c r="A3713" s="0" t="n">
        <f aca="false">B3713*1000+C3713</f>
        <v>55018</v>
      </c>
      <c r="B3713" s="0" t="n">
        <v>55</v>
      </c>
      <c r="C3713" s="0" t="n">
        <v>18</v>
      </c>
      <c r="D3713" s="0" t="n">
        <v>0</v>
      </c>
      <c r="E3713" s="0" t="n">
        <f aca="false">VLOOKUP(B3713,'MSA-Lookup'!$H$2:$I$86,2)</f>
        <v>4480</v>
      </c>
      <c r="F3713" s="0" t="n">
        <f aca="false">IF(C3713&gt;1,IF(C3713&lt;99,VLOOKUP(C3713,'MSA-Lookup'!$H$1:$I$86,2),C3713),C3713)</f>
        <v>5775</v>
      </c>
      <c r="G3713" s="0" t="n">
        <f aca="false">VLOOKUP(E3713,'MSA-Lookup'!$AA$1:$AB$25,2)</f>
        <v>4472</v>
      </c>
      <c r="H3713" s="0" t="n">
        <f aca="false">IF(C3713&gt;1,IF(C3713&lt;99,VLOOKUP(F3713,'MSA-Lookup'!$AA$1:$AB$25,2),C3713),C3713)</f>
        <v>7362</v>
      </c>
    </row>
    <row r="3714" customFormat="false" ht="12.75" hidden="false" customHeight="false" outlineLevel="0" collapsed="false">
      <c r="A3714" s="0" t="n">
        <f aca="false">B3714*1000+C3714</f>
        <v>55019</v>
      </c>
      <c r="B3714" s="0" t="n">
        <v>55</v>
      </c>
      <c r="C3714" s="0" t="n">
        <v>19</v>
      </c>
      <c r="D3714" s="0" t="n">
        <v>0</v>
      </c>
      <c r="E3714" s="0" t="n">
        <f aca="false">VLOOKUP(B3714,'MSA-Lookup'!$H$2:$I$86,2)</f>
        <v>4480</v>
      </c>
      <c r="F3714" s="0" t="n">
        <f aca="false">IF(C3714&gt;1,IF(C3714&lt;99,VLOOKUP(C3714,'MSA-Lookup'!$H$1:$I$86,2),C3714),C3714)</f>
        <v>7360</v>
      </c>
      <c r="G3714" s="0" t="n">
        <f aca="false">VLOOKUP(E3714,'MSA-Lookup'!$AA$1:$AB$25,2)</f>
        <v>4472</v>
      </c>
      <c r="H3714" s="0" t="n">
        <f aca="false">IF(C3714&gt;1,IF(C3714&lt;99,VLOOKUP(F3714,'MSA-Lookup'!$AA$1:$AB$25,2),C3714),C3714)</f>
        <v>7362</v>
      </c>
    </row>
    <row r="3715" customFormat="false" ht="12.75" hidden="false" customHeight="false" outlineLevel="0" collapsed="false">
      <c r="A3715" s="0" t="n">
        <f aca="false">B3715*1000+C3715</f>
        <v>55020</v>
      </c>
      <c r="B3715" s="0" t="n">
        <v>55</v>
      </c>
      <c r="C3715" s="0" t="n">
        <v>20</v>
      </c>
      <c r="D3715" s="0" t="n">
        <v>0</v>
      </c>
      <c r="E3715" s="0" t="n">
        <f aca="false">VLOOKUP(B3715,'MSA-Lookup'!$H$2:$I$86,2)</f>
        <v>4480</v>
      </c>
      <c r="F3715" s="0" t="n">
        <f aca="false">IF(C3715&gt;1,IF(C3715&lt;99,VLOOKUP(C3715,'MSA-Lookup'!$H$1:$I$86,2),C3715),C3715)</f>
        <v>5775</v>
      </c>
      <c r="G3715" s="0" t="n">
        <f aca="false">VLOOKUP(E3715,'MSA-Lookup'!$AA$1:$AB$25,2)</f>
        <v>4472</v>
      </c>
      <c r="H3715" s="0" t="n">
        <f aca="false">IF(C3715&gt;1,IF(C3715&lt;99,VLOOKUP(F3715,'MSA-Lookup'!$AA$1:$AB$25,2),C3715),C3715)</f>
        <v>7362</v>
      </c>
    </row>
    <row r="3716" customFormat="false" ht="12.75" hidden="false" customHeight="false" outlineLevel="0" collapsed="false">
      <c r="A3716" s="0" t="n">
        <f aca="false">B3716*1000+C3716</f>
        <v>55021</v>
      </c>
      <c r="B3716" s="0" t="n">
        <v>55</v>
      </c>
      <c r="C3716" s="0" t="n">
        <v>21</v>
      </c>
      <c r="D3716" s="0" t="n">
        <v>0</v>
      </c>
      <c r="E3716" s="0" t="n">
        <f aca="false">VLOOKUP(B3716,'MSA-Lookup'!$H$2:$I$86,2)</f>
        <v>4480</v>
      </c>
      <c r="F3716" s="0" t="n">
        <f aca="false">IF(C3716&gt;1,IF(C3716&lt;99,VLOOKUP(C3716,'MSA-Lookup'!$H$1:$I$86,2),C3716),C3716)</f>
        <v>5775</v>
      </c>
      <c r="G3716" s="0" t="n">
        <f aca="false">VLOOKUP(E3716,'MSA-Lookup'!$AA$1:$AB$25,2)</f>
        <v>4472</v>
      </c>
      <c r="H3716" s="0" t="n">
        <f aca="false">IF(C3716&gt;1,IF(C3716&lt;99,VLOOKUP(F3716,'MSA-Lookup'!$AA$1:$AB$25,2),C3716),C3716)</f>
        <v>7362</v>
      </c>
    </row>
    <row r="3717" customFormat="false" ht="12.75" hidden="false" customHeight="false" outlineLevel="0" collapsed="false">
      <c r="A3717" s="0" t="n">
        <f aca="false">B3717*1000+C3717</f>
        <v>55022</v>
      </c>
      <c r="B3717" s="0" t="n">
        <v>55</v>
      </c>
      <c r="C3717" s="0" t="n">
        <v>22</v>
      </c>
      <c r="D3717" s="0" t="n">
        <v>0</v>
      </c>
      <c r="E3717" s="0" t="n">
        <f aca="false">VLOOKUP(B3717,'MSA-Lookup'!$H$2:$I$86,2)</f>
        <v>4480</v>
      </c>
      <c r="F3717" s="0" t="n">
        <f aca="false">IF(C3717&gt;1,IF(C3717&lt;99,VLOOKUP(C3717,'MSA-Lookup'!$H$1:$I$86,2),C3717),C3717)</f>
        <v>7360</v>
      </c>
      <c r="G3717" s="0" t="n">
        <f aca="false">VLOOKUP(E3717,'MSA-Lookup'!$AA$1:$AB$25,2)</f>
        <v>4472</v>
      </c>
      <c r="H3717" s="0" t="n">
        <f aca="false">IF(C3717&gt;1,IF(C3717&lt;99,VLOOKUP(F3717,'MSA-Lookup'!$AA$1:$AB$25,2),C3717),C3717)</f>
        <v>7362</v>
      </c>
    </row>
    <row r="3718" customFormat="false" ht="12.75" hidden="false" customHeight="false" outlineLevel="0" collapsed="false">
      <c r="A3718" s="0" t="n">
        <f aca="false">B3718*1000+C3718</f>
        <v>55023</v>
      </c>
      <c r="B3718" s="0" t="n">
        <v>55</v>
      </c>
      <c r="C3718" s="0" t="n">
        <v>23</v>
      </c>
      <c r="D3718" s="0" t="n">
        <v>0</v>
      </c>
      <c r="E3718" s="0" t="n">
        <f aca="false">VLOOKUP(B3718,'MSA-Lookup'!$H$2:$I$86,2)</f>
        <v>4480</v>
      </c>
      <c r="F3718" s="0" t="n">
        <f aca="false">IF(C3718&gt;1,IF(C3718&lt;99,VLOOKUP(C3718,'MSA-Lookup'!$H$1:$I$86,2),C3718),C3718)</f>
        <v>8120</v>
      </c>
      <c r="G3718" s="0" t="n">
        <f aca="false">VLOOKUP(E3718,'MSA-Lookup'!$AA$1:$AB$25,2)</f>
        <v>4472</v>
      </c>
      <c r="H3718" s="0" t="n">
        <f aca="false">IF(C3718&gt;1,IF(C3718&lt;99,VLOOKUP(F3718,'MSA-Lookup'!$AA$1:$AB$25,2),C3718),C3718)</f>
        <v>8120</v>
      </c>
    </row>
    <row r="3719" customFormat="false" ht="12.75" hidden="false" customHeight="false" outlineLevel="0" collapsed="false">
      <c r="A3719" s="0" t="n">
        <f aca="false">B3719*1000+C3719</f>
        <v>55024</v>
      </c>
      <c r="B3719" s="0" t="n">
        <v>55</v>
      </c>
      <c r="C3719" s="0" t="n">
        <v>24</v>
      </c>
      <c r="D3719" s="0" t="n">
        <v>0</v>
      </c>
      <c r="E3719" s="0" t="n">
        <f aca="false">VLOOKUP(B3719,'MSA-Lookup'!$H$2:$I$86,2)</f>
        <v>4480</v>
      </c>
      <c r="F3719" s="0" t="n">
        <f aca="false">IF(C3719&gt;1,IF(C3719&lt;99,VLOOKUP(C3719,'MSA-Lookup'!$H$1:$I$86,2),C3719),C3719)</f>
        <v>5170</v>
      </c>
      <c r="G3719" s="0" t="n">
        <f aca="false">VLOOKUP(E3719,'MSA-Lookup'!$AA$1:$AB$25,2)</f>
        <v>4472</v>
      </c>
      <c r="H3719" s="0" t="n">
        <f aca="false">IF(C3719&gt;1,IF(C3719&lt;99,VLOOKUP(F3719,'MSA-Lookup'!$AA$1:$AB$25,2),C3719),C3719)</f>
        <v>5170</v>
      </c>
    </row>
    <row r="3720" customFormat="false" ht="12.75" hidden="false" customHeight="false" outlineLevel="0" collapsed="false">
      <c r="A3720" s="0" t="n">
        <f aca="false">B3720*1000+C3720</f>
        <v>55025</v>
      </c>
      <c r="B3720" s="0" t="n">
        <v>55</v>
      </c>
      <c r="C3720" s="0" t="n">
        <v>25</v>
      </c>
      <c r="D3720" s="0" t="n">
        <v>0</v>
      </c>
      <c r="E3720" s="0" t="n">
        <f aca="false">VLOOKUP(B3720,'MSA-Lookup'!$H$2:$I$86,2)</f>
        <v>4480</v>
      </c>
      <c r="F3720" s="0" t="n">
        <f aca="false">IF(C3720&gt;1,IF(C3720&lt;99,VLOOKUP(C3720,'MSA-Lookup'!$H$1:$I$86,2),C3720),C3720)</f>
        <v>5170</v>
      </c>
      <c r="G3720" s="0" t="n">
        <f aca="false">VLOOKUP(E3720,'MSA-Lookup'!$AA$1:$AB$25,2)</f>
        <v>4472</v>
      </c>
      <c r="H3720" s="0" t="n">
        <f aca="false">IF(C3720&gt;1,IF(C3720&lt;99,VLOOKUP(F3720,'MSA-Lookup'!$AA$1:$AB$25,2),C3720),C3720)</f>
        <v>5170</v>
      </c>
    </row>
    <row r="3721" customFormat="false" ht="12.75" hidden="false" customHeight="false" outlineLevel="0" collapsed="false">
      <c r="A3721" s="0" t="n">
        <f aca="false">B3721*1000+C3721</f>
        <v>55026</v>
      </c>
      <c r="B3721" s="0" t="n">
        <v>55</v>
      </c>
      <c r="C3721" s="0" t="n">
        <v>26</v>
      </c>
      <c r="D3721" s="0" t="n">
        <v>0</v>
      </c>
      <c r="E3721" s="0" t="n">
        <f aca="false">VLOOKUP(B3721,'MSA-Lookup'!$H$2:$I$86,2)</f>
        <v>4480</v>
      </c>
      <c r="F3721" s="0" t="n">
        <f aca="false">IF(C3721&gt;1,IF(C3721&lt;99,VLOOKUP(C3721,'MSA-Lookup'!$H$1:$I$86,2),C3721),C3721)</f>
        <v>9999</v>
      </c>
      <c r="G3721" s="0" t="n">
        <f aca="false">VLOOKUP(E3721,'MSA-Lookup'!$AA$1:$AB$25,2)</f>
        <v>4472</v>
      </c>
      <c r="H3721" s="0" t="n">
        <f aca="false">IF(C3721&gt;1,IF(C3721&lt;99,VLOOKUP(F3721,'MSA-Lookup'!$AA$1:$AB$25,2),C3721),C3721)</f>
        <v>9999</v>
      </c>
    </row>
    <row r="3722" customFormat="false" ht="12.75" hidden="false" customHeight="false" outlineLevel="0" collapsed="false">
      <c r="A3722" s="0" t="n">
        <f aca="false">B3722*1000+C3722</f>
        <v>55027</v>
      </c>
      <c r="B3722" s="0" t="n">
        <v>55</v>
      </c>
      <c r="C3722" s="0" t="n">
        <v>27</v>
      </c>
      <c r="D3722" s="0" t="n">
        <v>0</v>
      </c>
      <c r="E3722" s="0" t="n">
        <f aca="false">VLOOKUP(B3722,'MSA-Lookup'!$H$2:$I$86,2)</f>
        <v>4480</v>
      </c>
      <c r="F3722" s="0" t="n">
        <f aca="false">IF(C3722&gt;1,IF(C3722&lt;99,VLOOKUP(C3722,'MSA-Lookup'!$H$1:$I$86,2),C3722),C3722)</f>
        <v>9999</v>
      </c>
      <c r="G3722" s="0" t="n">
        <f aca="false">VLOOKUP(E3722,'MSA-Lookup'!$AA$1:$AB$25,2)</f>
        <v>4472</v>
      </c>
      <c r="H3722" s="0" t="n">
        <f aca="false">IF(C3722&gt;1,IF(C3722&lt;99,VLOOKUP(F3722,'MSA-Lookup'!$AA$1:$AB$25,2),C3722),C3722)</f>
        <v>9999</v>
      </c>
    </row>
    <row r="3723" customFormat="false" ht="12.75" hidden="false" customHeight="false" outlineLevel="0" collapsed="false">
      <c r="A3723" s="0" t="n">
        <f aca="false">B3723*1000+C3723</f>
        <v>55028</v>
      </c>
      <c r="B3723" s="0" t="n">
        <v>55</v>
      </c>
      <c r="C3723" s="0" t="n">
        <v>28</v>
      </c>
      <c r="D3723" s="0" t="n">
        <v>0</v>
      </c>
      <c r="E3723" s="0" t="n">
        <f aca="false">VLOOKUP(B3723,'MSA-Lookup'!$H$2:$I$86,2)</f>
        <v>4480</v>
      </c>
      <c r="F3723" s="0" t="n">
        <f aca="false">IF(C3723&gt;1,IF(C3723&lt;99,VLOOKUP(C3723,'MSA-Lookup'!$H$1:$I$86,2),C3723),C3723)</f>
        <v>6920</v>
      </c>
      <c r="G3723" s="0" t="n">
        <f aca="false">VLOOKUP(E3723,'MSA-Lookup'!$AA$1:$AB$25,2)</f>
        <v>4472</v>
      </c>
      <c r="H3723" s="0" t="n">
        <f aca="false">IF(C3723&gt;1,IF(C3723&lt;99,VLOOKUP(F3723,'MSA-Lookup'!$AA$1:$AB$25,2),C3723),C3723)</f>
        <v>6920</v>
      </c>
    </row>
    <row r="3724" customFormat="false" ht="12.75" hidden="false" customHeight="false" outlineLevel="0" collapsed="false">
      <c r="A3724" s="0" t="n">
        <f aca="false">B3724*1000+C3724</f>
        <v>55029</v>
      </c>
      <c r="B3724" s="0" t="n">
        <v>55</v>
      </c>
      <c r="C3724" s="0" t="n">
        <v>29</v>
      </c>
      <c r="D3724" s="0" t="n">
        <v>0</v>
      </c>
      <c r="E3724" s="0" t="n">
        <f aca="false">VLOOKUP(B3724,'MSA-Lookup'!$H$2:$I$86,2)</f>
        <v>4480</v>
      </c>
      <c r="F3724" s="0" t="n">
        <f aca="false">IF(C3724&gt;1,IF(C3724&lt;99,VLOOKUP(C3724,'MSA-Lookup'!$H$1:$I$86,2),C3724),C3724)</f>
        <v>6920</v>
      </c>
      <c r="G3724" s="0" t="n">
        <f aca="false">VLOOKUP(E3724,'MSA-Lookup'!$AA$1:$AB$25,2)</f>
        <v>4472</v>
      </c>
      <c r="H3724" s="0" t="n">
        <f aca="false">IF(C3724&gt;1,IF(C3724&lt;99,VLOOKUP(F3724,'MSA-Lookup'!$AA$1:$AB$25,2),C3724),C3724)</f>
        <v>6920</v>
      </c>
    </row>
    <row r="3725" customFormat="false" ht="12.75" hidden="false" customHeight="false" outlineLevel="0" collapsed="false">
      <c r="A3725" s="0" t="n">
        <f aca="false">B3725*1000+C3725</f>
        <v>55030</v>
      </c>
      <c r="B3725" s="0" t="n">
        <v>55</v>
      </c>
      <c r="C3725" s="0" t="n">
        <v>30</v>
      </c>
      <c r="D3725" s="0" t="n">
        <v>0</v>
      </c>
      <c r="E3725" s="0" t="n">
        <f aca="false">VLOOKUP(B3725,'MSA-Lookup'!$H$2:$I$86,2)</f>
        <v>4480</v>
      </c>
      <c r="F3725" s="0" t="n">
        <f aca="false">IF(C3725&gt;1,IF(C3725&lt;99,VLOOKUP(C3725,'MSA-Lookup'!$H$1:$I$86,2),C3725),C3725)</f>
        <v>4940</v>
      </c>
      <c r="G3725" s="0" t="n">
        <f aca="false">VLOOKUP(E3725,'MSA-Lookup'!$AA$1:$AB$25,2)</f>
        <v>4472</v>
      </c>
      <c r="H3725" s="0" t="n">
        <f aca="false">IF(C3725&gt;1,IF(C3725&lt;99,VLOOKUP(F3725,'MSA-Lookup'!$AA$1:$AB$25,2),C3725),C3725)</f>
        <v>4940</v>
      </c>
    </row>
    <row r="3726" customFormat="false" ht="12.75" hidden="false" customHeight="false" outlineLevel="0" collapsed="false">
      <c r="A3726" s="0" t="n">
        <f aca="false">B3726*1000+C3726</f>
        <v>55031</v>
      </c>
      <c r="B3726" s="0" t="n">
        <v>55</v>
      </c>
      <c r="C3726" s="0" t="n">
        <v>31</v>
      </c>
      <c r="D3726" s="0" t="n">
        <v>0</v>
      </c>
      <c r="E3726" s="0" t="n">
        <f aca="false">VLOOKUP(B3726,'MSA-Lookup'!$H$2:$I$86,2)</f>
        <v>4480</v>
      </c>
      <c r="F3726" s="0" t="n">
        <f aca="false">IF(C3726&gt;1,IF(C3726&lt;99,VLOOKUP(C3726,'MSA-Lookup'!$H$1:$I$86,2),C3726),C3726)</f>
        <v>9999</v>
      </c>
      <c r="G3726" s="0" t="n">
        <f aca="false">VLOOKUP(E3726,'MSA-Lookup'!$AA$1:$AB$25,2)</f>
        <v>4472</v>
      </c>
      <c r="H3726" s="0" t="n">
        <f aca="false">IF(C3726&gt;1,IF(C3726&lt;99,VLOOKUP(F3726,'MSA-Lookup'!$AA$1:$AB$25,2),C3726),C3726)</f>
        <v>9999</v>
      </c>
    </row>
    <row r="3727" customFormat="false" ht="12.75" hidden="false" customHeight="false" outlineLevel="0" collapsed="false">
      <c r="A3727" s="0" t="n">
        <f aca="false">B3727*1000+C3727</f>
        <v>55032</v>
      </c>
      <c r="B3727" s="0" t="n">
        <v>55</v>
      </c>
      <c r="C3727" s="0" t="n">
        <v>32</v>
      </c>
      <c r="D3727" s="0" t="n">
        <v>0</v>
      </c>
      <c r="E3727" s="0" t="n">
        <f aca="false">VLOOKUP(B3727,'MSA-Lookup'!$H$2:$I$86,2)</f>
        <v>4480</v>
      </c>
      <c r="F3727" s="0" t="n">
        <f aca="false">IF(C3727&gt;1,IF(C3727&lt;99,VLOOKUP(C3727,'MSA-Lookup'!$H$1:$I$86,2),C3727),C3727)</f>
        <v>7480</v>
      </c>
      <c r="G3727" s="0" t="n">
        <f aca="false">VLOOKUP(E3727,'MSA-Lookup'!$AA$1:$AB$25,2)</f>
        <v>4472</v>
      </c>
      <c r="H3727" s="0" t="n">
        <f aca="false">IF(C3727&gt;1,IF(C3727&lt;99,VLOOKUP(F3727,'MSA-Lookup'!$AA$1:$AB$25,2),C3727),C3727)</f>
        <v>7480</v>
      </c>
    </row>
    <row r="3728" customFormat="false" ht="12.75" hidden="false" customHeight="false" outlineLevel="0" collapsed="false">
      <c r="A3728" s="0" t="n">
        <f aca="false">B3728*1000+C3728</f>
        <v>55033</v>
      </c>
      <c r="B3728" s="0" t="n">
        <v>55</v>
      </c>
      <c r="C3728" s="0" t="n">
        <v>33</v>
      </c>
      <c r="D3728" s="0" t="n">
        <v>0</v>
      </c>
      <c r="E3728" s="0" t="n">
        <f aca="false">VLOOKUP(B3728,'MSA-Lookup'!$H$2:$I$86,2)</f>
        <v>4480</v>
      </c>
      <c r="F3728" s="0" t="n">
        <f aca="false">IF(C3728&gt;1,IF(C3728&lt;99,VLOOKUP(C3728,'MSA-Lookup'!$H$1:$I$86,2),C3728),C3728)</f>
        <v>7320</v>
      </c>
      <c r="G3728" s="0" t="n">
        <f aca="false">VLOOKUP(E3728,'MSA-Lookup'!$AA$1:$AB$25,2)</f>
        <v>4472</v>
      </c>
      <c r="H3728" s="0" t="n">
        <f aca="false">IF(C3728&gt;1,IF(C3728&lt;99,VLOOKUP(F3728,'MSA-Lookup'!$AA$1:$AB$25,2),C3728),C3728)</f>
        <v>7320</v>
      </c>
    </row>
    <row r="3729" customFormat="false" ht="12.75" hidden="false" customHeight="false" outlineLevel="0" collapsed="false">
      <c r="A3729" s="0" t="n">
        <f aca="false">B3729*1000+C3729</f>
        <v>55034</v>
      </c>
      <c r="B3729" s="0" t="n">
        <v>55</v>
      </c>
      <c r="C3729" s="0" t="n">
        <v>34</v>
      </c>
      <c r="D3729" s="0" t="n">
        <v>0</v>
      </c>
      <c r="E3729" s="0" t="n">
        <f aca="false">VLOOKUP(B3729,'MSA-Lookup'!$H$2:$I$86,2)</f>
        <v>4480</v>
      </c>
      <c r="F3729" s="0" t="n">
        <f aca="false">IF(C3729&gt;1,IF(C3729&lt;99,VLOOKUP(C3729,'MSA-Lookup'!$H$1:$I$86,2),C3729),C3729)</f>
        <v>7320</v>
      </c>
      <c r="G3729" s="0" t="n">
        <f aca="false">VLOOKUP(E3729,'MSA-Lookup'!$AA$1:$AB$25,2)</f>
        <v>4472</v>
      </c>
      <c r="H3729" s="0" t="n">
        <f aca="false">IF(C3729&gt;1,IF(C3729&lt;99,VLOOKUP(F3729,'MSA-Lookup'!$AA$1:$AB$25,2),C3729),C3729)</f>
        <v>7320</v>
      </c>
    </row>
    <row r="3730" customFormat="false" ht="12.75" hidden="false" customHeight="false" outlineLevel="0" collapsed="false">
      <c r="A3730" s="0" t="n">
        <f aca="false">B3730*1000+C3730</f>
        <v>55035</v>
      </c>
      <c r="B3730" s="0" t="n">
        <v>55</v>
      </c>
      <c r="C3730" s="0" t="n">
        <v>35</v>
      </c>
      <c r="D3730" s="0" t="n">
        <v>0</v>
      </c>
      <c r="E3730" s="0" t="n">
        <f aca="false">VLOOKUP(B3730,'MSA-Lookup'!$H$2:$I$86,2)</f>
        <v>4480</v>
      </c>
      <c r="F3730" s="0" t="n">
        <f aca="false">IF(C3730&gt;1,IF(C3730&lt;99,VLOOKUP(C3730,'MSA-Lookup'!$H$1:$I$86,2),C3730),C3730)</f>
        <v>7320</v>
      </c>
      <c r="G3730" s="0" t="n">
        <f aca="false">VLOOKUP(E3730,'MSA-Lookup'!$AA$1:$AB$25,2)</f>
        <v>4472</v>
      </c>
      <c r="H3730" s="0" t="n">
        <f aca="false">IF(C3730&gt;1,IF(C3730&lt;99,VLOOKUP(F3730,'MSA-Lookup'!$AA$1:$AB$25,2),C3730),C3730)</f>
        <v>7320</v>
      </c>
    </row>
    <row r="3731" customFormat="false" ht="12.75" hidden="false" customHeight="false" outlineLevel="0" collapsed="false">
      <c r="A3731" s="0" t="n">
        <f aca="false">B3731*1000+C3731</f>
        <v>55036</v>
      </c>
      <c r="B3731" s="0" t="n">
        <v>55</v>
      </c>
      <c r="C3731" s="0" t="n">
        <v>36</v>
      </c>
      <c r="D3731" s="0" t="n">
        <v>0</v>
      </c>
      <c r="E3731" s="0" t="n">
        <f aca="false">VLOOKUP(B3731,'MSA-Lookup'!$H$2:$I$86,2)</f>
        <v>4480</v>
      </c>
      <c r="F3731" s="0" t="n">
        <f aca="false">IF(C3731&gt;1,IF(C3731&lt;99,VLOOKUP(C3731,'MSA-Lookup'!$H$1:$I$86,2),C3731),C3731)</f>
        <v>7320</v>
      </c>
      <c r="G3731" s="0" t="n">
        <f aca="false">VLOOKUP(E3731,'MSA-Lookup'!$AA$1:$AB$25,2)</f>
        <v>4472</v>
      </c>
      <c r="H3731" s="0" t="n">
        <f aca="false">IF(C3731&gt;1,IF(C3731&lt;99,VLOOKUP(F3731,'MSA-Lookup'!$AA$1:$AB$25,2),C3731),C3731)</f>
        <v>7320</v>
      </c>
    </row>
    <row r="3732" customFormat="false" ht="12.75" hidden="false" customHeight="false" outlineLevel="0" collapsed="false">
      <c r="A3732" s="0" t="n">
        <f aca="false">B3732*1000+C3732</f>
        <v>55037</v>
      </c>
      <c r="B3732" s="0" t="n">
        <v>55</v>
      </c>
      <c r="C3732" s="0" t="n">
        <v>37</v>
      </c>
      <c r="D3732" s="0" t="n">
        <v>0</v>
      </c>
      <c r="E3732" s="0" t="n">
        <f aca="false">VLOOKUP(B3732,'MSA-Lookup'!$H$2:$I$86,2)</f>
        <v>4480</v>
      </c>
      <c r="F3732" s="0" t="n">
        <f aca="false">IF(C3732&gt;1,IF(C3732&lt;99,VLOOKUP(C3732,'MSA-Lookup'!$H$1:$I$86,2),C3732),C3732)</f>
        <v>7320</v>
      </c>
      <c r="G3732" s="0" t="n">
        <f aca="false">VLOOKUP(E3732,'MSA-Lookup'!$AA$1:$AB$25,2)</f>
        <v>4472</v>
      </c>
      <c r="H3732" s="0" t="n">
        <f aca="false">IF(C3732&gt;1,IF(C3732&lt;99,VLOOKUP(F3732,'MSA-Lookup'!$AA$1:$AB$25,2),C3732),C3732)</f>
        <v>7320</v>
      </c>
    </row>
    <row r="3733" customFormat="false" ht="12.75" hidden="false" customHeight="false" outlineLevel="0" collapsed="false">
      <c r="A3733" s="0" t="n">
        <f aca="false">B3733*1000+C3733</f>
        <v>55038</v>
      </c>
      <c r="B3733" s="0" t="n">
        <v>55</v>
      </c>
      <c r="C3733" s="0" t="n">
        <v>38</v>
      </c>
      <c r="D3733" s="0" t="n">
        <v>0</v>
      </c>
      <c r="E3733" s="0" t="n">
        <f aca="false">VLOOKUP(B3733,'MSA-Lookup'!$H$2:$I$86,2)</f>
        <v>4480</v>
      </c>
      <c r="F3733" s="0" t="n">
        <f aca="false">IF(C3733&gt;1,IF(C3733&lt;99,VLOOKUP(C3733,'MSA-Lookup'!$H$1:$I$86,2),C3733),C3733)</f>
        <v>7120</v>
      </c>
      <c r="G3733" s="0" t="n">
        <f aca="false">VLOOKUP(E3733,'MSA-Lookup'!$AA$1:$AB$25,2)</f>
        <v>4472</v>
      </c>
      <c r="H3733" s="0" t="n">
        <f aca="false">IF(C3733&gt;1,IF(C3733&lt;99,VLOOKUP(F3733,'MSA-Lookup'!$AA$1:$AB$25,2),C3733),C3733)</f>
        <v>7120</v>
      </c>
    </row>
    <row r="3734" customFormat="false" ht="12.75" hidden="false" customHeight="false" outlineLevel="0" collapsed="false">
      <c r="A3734" s="0" t="n">
        <f aca="false">B3734*1000+C3734</f>
        <v>55039</v>
      </c>
      <c r="B3734" s="0" t="n">
        <v>55</v>
      </c>
      <c r="C3734" s="0" t="n">
        <v>39</v>
      </c>
      <c r="D3734" s="0" t="n">
        <v>0</v>
      </c>
      <c r="E3734" s="0" t="n">
        <f aca="false">VLOOKUP(B3734,'MSA-Lookup'!$H$2:$I$86,2)</f>
        <v>4480</v>
      </c>
      <c r="F3734" s="0" t="n">
        <f aca="false">IF(C3734&gt;1,IF(C3734&lt;99,VLOOKUP(C3734,'MSA-Lookup'!$H$1:$I$86,2),C3734),C3734)</f>
        <v>7120</v>
      </c>
      <c r="G3734" s="0" t="n">
        <f aca="false">VLOOKUP(E3734,'MSA-Lookup'!$AA$1:$AB$25,2)</f>
        <v>4472</v>
      </c>
      <c r="H3734" s="0" t="n">
        <f aca="false">IF(C3734&gt;1,IF(C3734&lt;99,VLOOKUP(F3734,'MSA-Lookup'!$AA$1:$AB$25,2),C3734),C3734)</f>
        <v>7120</v>
      </c>
    </row>
    <row r="3735" customFormat="false" ht="12.75" hidden="false" customHeight="false" outlineLevel="0" collapsed="false">
      <c r="A3735" s="0" t="n">
        <f aca="false">B3735*1000+C3735</f>
        <v>55040</v>
      </c>
      <c r="B3735" s="0" t="n">
        <v>55</v>
      </c>
      <c r="C3735" s="0" t="n">
        <v>40</v>
      </c>
      <c r="D3735" s="0" t="n">
        <v>0</v>
      </c>
      <c r="E3735" s="0" t="n">
        <f aca="false">VLOOKUP(B3735,'MSA-Lookup'!$H$2:$I$86,2)</f>
        <v>4480</v>
      </c>
      <c r="F3735" s="0" t="n">
        <f aca="false">IF(C3735&gt;1,IF(C3735&lt;99,VLOOKUP(C3735,'MSA-Lookup'!$H$1:$I$86,2),C3735),C3735)</f>
        <v>2840</v>
      </c>
      <c r="G3735" s="0" t="n">
        <f aca="false">VLOOKUP(E3735,'MSA-Lookup'!$AA$1:$AB$25,2)</f>
        <v>4472</v>
      </c>
      <c r="H3735" s="0" t="n">
        <f aca="false">IF(C3735&gt;1,IF(C3735&lt;99,VLOOKUP(F3735,'MSA-Lookup'!$AA$1:$AB$25,2),C3735),C3735)</f>
        <v>2840</v>
      </c>
    </row>
    <row r="3736" customFormat="false" ht="12.75" hidden="false" customHeight="false" outlineLevel="0" collapsed="false">
      <c r="A3736" s="0" t="n">
        <f aca="false">B3736*1000+C3736</f>
        <v>55041</v>
      </c>
      <c r="B3736" s="0" t="n">
        <v>55</v>
      </c>
      <c r="C3736" s="0" t="n">
        <v>41</v>
      </c>
      <c r="D3736" s="0" t="n">
        <v>0</v>
      </c>
      <c r="E3736" s="0" t="n">
        <f aca="false">VLOOKUP(B3736,'MSA-Lookup'!$H$2:$I$86,2)</f>
        <v>4480</v>
      </c>
      <c r="F3736" s="0" t="n">
        <f aca="false">IF(C3736&gt;1,IF(C3736&lt;99,VLOOKUP(C3736,'MSA-Lookup'!$H$1:$I$86,2),C3736),C3736)</f>
        <v>2840</v>
      </c>
      <c r="G3736" s="0" t="n">
        <f aca="false">VLOOKUP(E3736,'MSA-Lookup'!$AA$1:$AB$25,2)</f>
        <v>4472</v>
      </c>
      <c r="H3736" s="0" t="n">
        <f aca="false">IF(C3736&gt;1,IF(C3736&lt;99,VLOOKUP(F3736,'MSA-Lookup'!$AA$1:$AB$25,2),C3736),C3736)</f>
        <v>2840</v>
      </c>
    </row>
    <row r="3737" customFormat="false" ht="12.75" hidden="false" customHeight="false" outlineLevel="0" collapsed="false">
      <c r="A3737" s="0" t="n">
        <f aca="false">B3737*1000+C3737</f>
        <v>55042</v>
      </c>
      <c r="B3737" s="0" t="n">
        <v>55</v>
      </c>
      <c r="C3737" s="0" t="n">
        <v>42</v>
      </c>
      <c r="D3737" s="0" t="n">
        <v>78</v>
      </c>
      <c r="E3737" s="0" t="n">
        <f aca="false">VLOOKUP(B3737,'MSA-Lookup'!$H$2:$I$86,2)</f>
        <v>4480</v>
      </c>
      <c r="F3737" s="0" t="n">
        <f aca="false">IF(C3737&gt;1,IF(C3737&lt;99,VLOOKUP(C3737,'MSA-Lookup'!$H$1:$I$86,2),C3737),C3737)</f>
        <v>360</v>
      </c>
      <c r="G3737" s="0" t="n">
        <f aca="false">VLOOKUP(E3737,'MSA-Lookup'!$AA$1:$AB$25,2)</f>
        <v>4472</v>
      </c>
      <c r="H3737" s="0" t="n">
        <f aca="false">IF(C3737&gt;1,IF(C3737&lt;99,VLOOKUP(F3737,'MSA-Lookup'!$AA$1:$AB$25,2),C3737),C3737)</f>
        <v>4472</v>
      </c>
    </row>
    <row r="3738" customFormat="false" ht="12.75" hidden="false" customHeight="false" outlineLevel="0" collapsed="false">
      <c r="A3738" s="0" t="n">
        <f aca="false">B3738*1000+C3738</f>
        <v>55043</v>
      </c>
      <c r="B3738" s="0" t="n">
        <v>55</v>
      </c>
      <c r="C3738" s="0" t="n">
        <v>43</v>
      </c>
      <c r="D3738" s="0" t="n">
        <v>65</v>
      </c>
      <c r="E3738" s="0" t="n">
        <f aca="false">VLOOKUP(B3738,'MSA-Lookup'!$H$2:$I$86,2)</f>
        <v>4480</v>
      </c>
      <c r="F3738" s="0" t="n">
        <f aca="false">IF(C3738&gt;1,IF(C3738&lt;99,VLOOKUP(C3738,'MSA-Lookup'!$H$1:$I$86,2),C3738),C3738)</f>
        <v>360</v>
      </c>
      <c r="G3738" s="0" t="n">
        <f aca="false">VLOOKUP(E3738,'MSA-Lookup'!$AA$1:$AB$25,2)</f>
        <v>4472</v>
      </c>
      <c r="H3738" s="0" t="n">
        <f aca="false">IF(C3738&gt;1,IF(C3738&lt;99,VLOOKUP(F3738,'MSA-Lookup'!$AA$1:$AB$25,2),C3738),C3738)</f>
        <v>4472</v>
      </c>
    </row>
    <row r="3739" customFormat="false" ht="12.75" hidden="false" customHeight="false" outlineLevel="0" collapsed="false">
      <c r="A3739" s="0" t="n">
        <f aca="false">B3739*1000+C3739</f>
        <v>55044</v>
      </c>
      <c r="B3739" s="0" t="n">
        <v>55</v>
      </c>
      <c r="C3739" s="0" t="n">
        <v>44</v>
      </c>
      <c r="D3739" s="0" t="n">
        <v>0</v>
      </c>
      <c r="E3739" s="0" t="n">
        <f aca="false">VLOOKUP(B3739,'MSA-Lookup'!$H$2:$I$86,2)</f>
        <v>4480</v>
      </c>
      <c r="F3739" s="0" t="n">
        <f aca="false">IF(C3739&gt;1,IF(C3739&lt;99,VLOOKUP(C3739,'MSA-Lookup'!$H$1:$I$86,2),C3739),C3739)</f>
        <v>360</v>
      </c>
      <c r="G3739" s="0" t="n">
        <f aca="false">VLOOKUP(E3739,'MSA-Lookup'!$AA$1:$AB$25,2)</f>
        <v>4472</v>
      </c>
      <c r="H3739" s="0" t="n">
        <f aca="false">IF(C3739&gt;1,IF(C3739&lt;99,VLOOKUP(F3739,'MSA-Lookup'!$AA$1:$AB$25,2),C3739),C3739)</f>
        <v>4472</v>
      </c>
    </row>
    <row r="3740" customFormat="false" ht="12.75" hidden="false" customHeight="false" outlineLevel="0" collapsed="false">
      <c r="A3740" s="0" t="n">
        <f aca="false">B3740*1000+C3740</f>
        <v>55045</v>
      </c>
      <c r="B3740" s="0" t="n">
        <v>55</v>
      </c>
      <c r="C3740" s="0" t="n">
        <v>45</v>
      </c>
      <c r="D3740" s="0" t="n">
        <v>0</v>
      </c>
      <c r="E3740" s="0" t="n">
        <f aca="false">VLOOKUP(B3740,'MSA-Lookup'!$H$2:$I$86,2)</f>
        <v>4480</v>
      </c>
      <c r="F3740" s="0" t="n">
        <f aca="false">IF(C3740&gt;1,IF(C3740&lt;99,VLOOKUP(C3740,'MSA-Lookup'!$H$1:$I$86,2),C3740),C3740)</f>
        <v>360</v>
      </c>
      <c r="G3740" s="0" t="n">
        <f aca="false">VLOOKUP(E3740,'MSA-Lookup'!$AA$1:$AB$25,2)</f>
        <v>4472</v>
      </c>
      <c r="H3740" s="0" t="n">
        <f aca="false">IF(C3740&gt;1,IF(C3740&lt;99,VLOOKUP(F3740,'MSA-Lookup'!$AA$1:$AB$25,2),C3740),C3740)</f>
        <v>4472</v>
      </c>
    </row>
    <row r="3741" customFormat="false" ht="12.75" hidden="false" customHeight="false" outlineLevel="0" collapsed="false">
      <c r="A3741" s="0" t="n">
        <f aca="false">B3741*1000+C3741</f>
        <v>55046</v>
      </c>
      <c r="B3741" s="0" t="n">
        <v>55</v>
      </c>
      <c r="C3741" s="0" t="n">
        <v>46</v>
      </c>
      <c r="D3741" s="0" t="n">
        <v>0</v>
      </c>
      <c r="E3741" s="0" t="n">
        <f aca="false">VLOOKUP(B3741,'MSA-Lookup'!$H$2:$I$86,2)</f>
        <v>4480</v>
      </c>
      <c r="F3741" s="0" t="n">
        <f aca="false">IF(C3741&gt;1,IF(C3741&lt;99,VLOOKUP(C3741,'MSA-Lookup'!$H$1:$I$86,2),C3741),C3741)</f>
        <v>360</v>
      </c>
      <c r="G3741" s="0" t="n">
        <f aca="false">VLOOKUP(E3741,'MSA-Lookup'!$AA$1:$AB$25,2)</f>
        <v>4472</v>
      </c>
      <c r="H3741" s="0" t="n">
        <f aca="false">IF(C3741&gt;1,IF(C3741&lt;99,VLOOKUP(F3741,'MSA-Lookup'!$AA$1:$AB$25,2),C3741),C3741)</f>
        <v>4472</v>
      </c>
    </row>
    <row r="3742" customFormat="false" ht="12.75" hidden="false" customHeight="false" outlineLevel="0" collapsed="false">
      <c r="A3742" s="0" t="n">
        <f aca="false">B3742*1000+C3742</f>
        <v>55047</v>
      </c>
      <c r="B3742" s="0" t="n">
        <v>55</v>
      </c>
      <c r="C3742" s="0" t="n">
        <v>47</v>
      </c>
      <c r="D3742" s="0" t="n">
        <v>104</v>
      </c>
      <c r="E3742" s="0" t="n">
        <f aca="false">VLOOKUP(B3742,'MSA-Lookup'!$H$2:$I$86,2)</f>
        <v>4480</v>
      </c>
      <c r="F3742" s="0" t="n">
        <f aca="false">IF(C3742&gt;1,IF(C3742&lt;99,VLOOKUP(C3742,'MSA-Lookup'!$H$1:$I$86,2),C3742),C3742)</f>
        <v>360</v>
      </c>
      <c r="G3742" s="0" t="n">
        <f aca="false">VLOOKUP(E3742,'MSA-Lookup'!$AA$1:$AB$25,2)</f>
        <v>4472</v>
      </c>
      <c r="H3742" s="0" t="n">
        <f aca="false">IF(C3742&gt;1,IF(C3742&lt;99,VLOOKUP(F3742,'MSA-Lookup'!$AA$1:$AB$25,2),C3742),C3742)</f>
        <v>4472</v>
      </c>
    </row>
    <row r="3743" customFormat="false" ht="12.75" hidden="false" customHeight="false" outlineLevel="0" collapsed="false">
      <c r="A3743" s="0" t="n">
        <f aca="false">B3743*1000+C3743</f>
        <v>55048</v>
      </c>
      <c r="B3743" s="0" t="n">
        <v>55</v>
      </c>
      <c r="C3743" s="0" t="n">
        <v>48</v>
      </c>
      <c r="D3743" s="0" t="n">
        <v>650</v>
      </c>
      <c r="E3743" s="0" t="n">
        <f aca="false">VLOOKUP(B3743,'MSA-Lookup'!$H$2:$I$86,2)</f>
        <v>4480</v>
      </c>
      <c r="F3743" s="0" t="n">
        <f aca="false">IF(C3743&gt;1,IF(C3743&lt;99,VLOOKUP(C3743,'MSA-Lookup'!$H$1:$I$86,2),C3743),C3743)</f>
        <v>360</v>
      </c>
      <c r="G3743" s="0" t="n">
        <f aca="false">VLOOKUP(E3743,'MSA-Lookup'!$AA$1:$AB$25,2)</f>
        <v>4472</v>
      </c>
      <c r="H3743" s="0" t="n">
        <f aca="false">IF(C3743&gt;1,IF(C3743&lt;99,VLOOKUP(F3743,'MSA-Lookup'!$AA$1:$AB$25,2),C3743),C3743)</f>
        <v>4472</v>
      </c>
    </row>
    <row r="3744" customFormat="false" ht="12.75" hidden="false" customHeight="false" outlineLevel="0" collapsed="false">
      <c r="A3744" s="0" t="n">
        <f aca="false">B3744*1000+C3744</f>
        <v>55049</v>
      </c>
      <c r="B3744" s="0" t="n">
        <v>55</v>
      </c>
      <c r="C3744" s="0" t="n">
        <v>49</v>
      </c>
      <c r="D3744" s="0" t="n">
        <v>0</v>
      </c>
      <c r="E3744" s="0" t="n">
        <f aca="false">VLOOKUP(B3744,'MSA-Lookup'!$H$2:$I$86,2)</f>
        <v>4480</v>
      </c>
      <c r="F3744" s="0" t="n">
        <f aca="false">IF(C3744&gt;1,IF(C3744&lt;99,VLOOKUP(C3744,'MSA-Lookup'!$H$1:$I$86,2),C3744),C3744)</f>
        <v>7400</v>
      </c>
      <c r="G3744" s="0" t="n">
        <f aca="false">VLOOKUP(E3744,'MSA-Lookup'!$AA$1:$AB$25,2)</f>
        <v>4472</v>
      </c>
      <c r="H3744" s="0" t="n">
        <f aca="false">IF(C3744&gt;1,IF(C3744&lt;99,VLOOKUP(F3744,'MSA-Lookup'!$AA$1:$AB$25,2),C3744),C3744)</f>
        <v>7362</v>
      </c>
    </row>
    <row r="3745" customFormat="false" ht="12.75" hidden="false" customHeight="false" outlineLevel="0" collapsed="false">
      <c r="A3745" s="0" t="n">
        <f aca="false">B3745*1000+C3745</f>
        <v>55050</v>
      </c>
      <c r="B3745" s="0" t="n">
        <v>55</v>
      </c>
      <c r="C3745" s="0" t="n">
        <v>50</v>
      </c>
      <c r="D3745" s="0" t="n">
        <v>0</v>
      </c>
      <c r="E3745" s="0" t="n">
        <f aca="false">VLOOKUP(B3745,'MSA-Lookup'!$H$2:$I$86,2)</f>
        <v>4480</v>
      </c>
      <c r="F3745" s="0" t="n">
        <f aca="false">IF(C3745&gt;1,IF(C3745&lt;99,VLOOKUP(C3745,'MSA-Lookup'!$H$1:$I$86,2),C3745),C3745)</f>
        <v>7400</v>
      </c>
      <c r="G3745" s="0" t="n">
        <f aca="false">VLOOKUP(E3745,'MSA-Lookup'!$AA$1:$AB$25,2)</f>
        <v>4472</v>
      </c>
      <c r="H3745" s="0" t="n">
        <f aca="false">IF(C3745&gt;1,IF(C3745&lt;99,VLOOKUP(F3745,'MSA-Lookup'!$AA$1:$AB$25,2),C3745),C3745)</f>
        <v>7362</v>
      </c>
    </row>
    <row r="3746" customFormat="false" ht="12.75" hidden="false" customHeight="false" outlineLevel="0" collapsed="false">
      <c r="A3746" s="0" t="n">
        <f aca="false">B3746*1000+C3746</f>
        <v>55051</v>
      </c>
      <c r="B3746" s="0" t="n">
        <v>55</v>
      </c>
      <c r="C3746" s="0" t="n">
        <v>51</v>
      </c>
      <c r="D3746" s="0" t="n">
        <v>0</v>
      </c>
      <c r="E3746" s="0" t="n">
        <f aca="false">VLOOKUP(B3746,'MSA-Lookup'!$H$2:$I$86,2)</f>
        <v>4480</v>
      </c>
      <c r="F3746" s="0" t="n">
        <f aca="false">IF(C3746&gt;1,IF(C3746&lt;99,VLOOKUP(C3746,'MSA-Lookup'!$H$1:$I$86,2),C3746),C3746)</f>
        <v>7400</v>
      </c>
      <c r="G3746" s="0" t="n">
        <f aca="false">VLOOKUP(E3746,'MSA-Lookup'!$AA$1:$AB$25,2)</f>
        <v>4472</v>
      </c>
      <c r="H3746" s="0" t="n">
        <f aca="false">IF(C3746&gt;1,IF(C3746&lt;99,VLOOKUP(F3746,'MSA-Lookup'!$AA$1:$AB$25,2),C3746),C3746)</f>
        <v>7362</v>
      </c>
    </row>
    <row r="3747" customFormat="false" ht="12.75" hidden="false" customHeight="false" outlineLevel="0" collapsed="false">
      <c r="A3747" s="0" t="n">
        <f aca="false">B3747*1000+C3747</f>
        <v>55052</v>
      </c>
      <c r="B3747" s="0" t="n">
        <v>55</v>
      </c>
      <c r="C3747" s="0" t="n">
        <v>52</v>
      </c>
      <c r="D3747" s="0" t="n">
        <v>351</v>
      </c>
      <c r="E3747" s="0" t="n">
        <f aca="false">VLOOKUP(B3747,'MSA-Lookup'!$H$2:$I$86,2)</f>
        <v>4480</v>
      </c>
      <c r="F3747" s="0" t="n">
        <f aca="false">IF(C3747&gt;1,IF(C3747&lt;99,VLOOKUP(C3747,'MSA-Lookup'!$H$1:$I$86,2),C3747),C3747)</f>
        <v>4480</v>
      </c>
      <c r="G3747" s="0" t="n">
        <f aca="false">VLOOKUP(E3747,'MSA-Lookup'!$AA$1:$AB$25,2)</f>
        <v>4472</v>
      </c>
      <c r="H3747" s="0" t="n">
        <f aca="false">IF(C3747&gt;1,IF(C3747&lt;99,VLOOKUP(F3747,'MSA-Lookup'!$AA$1:$AB$25,2),C3747),C3747)</f>
        <v>4472</v>
      </c>
    </row>
    <row r="3748" customFormat="false" ht="12.75" hidden="false" customHeight="false" outlineLevel="0" collapsed="false">
      <c r="A3748" s="0" t="n">
        <f aca="false">B3748*1000+C3748</f>
        <v>55053</v>
      </c>
      <c r="B3748" s="0" t="n">
        <v>55</v>
      </c>
      <c r="C3748" s="0" t="n">
        <v>53</v>
      </c>
      <c r="D3748" s="0" t="n">
        <v>494</v>
      </c>
      <c r="E3748" s="0" t="n">
        <f aca="false">VLOOKUP(B3748,'MSA-Lookup'!$H$2:$I$86,2)</f>
        <v>4480</v>
      </c>
      <c r="F3748" s="0" t="n">
        <f aca="false">IF(C3748&gt;1,IF(C3748&lt;99,VLOOKUP(C3748,'MSA-Lookup'!$H$1:$I$86,2),C3748),C3748)</f>
        <v>4480</v>
      </c>
      <c r="G3748" s="0" t="n">
        <f aca="false">VLOOKUP(E3748,'MSA-Lookup'!$AA$1:$AB$25,2)</f>
        <v>4472</v>
      </c>
      <c r="H3748" s="0" t="n">
        <f aca="false">IF(C3748&gt;1,IF(C3748&lt;99,VLOOKUP(F3748,'MSA-Lookup'!$AA$1:$AB$25,2),C3748),C3748)</f>
        <v>4472</v>
      </c>
    </row>
    <row r="3749" customFormat="false" ht="12.75" hidden="false" customHeight="false" outlineLevel="0" collapsed="false">
      <c r="A3749" s="0" t="n">
        <f aca="false">B3749*1000+C3749</f>
        <v>55054</v>
      </c>
      <c r="B3749" s="0" t="n">
        <v>55</v>
      </c>
      <c r="C3749" s="0" t="n">
        <v>54</v>
      </c>
      <c r="D3749" s="0" t="n">
        <v>650</v>
      </c>
      <c r="E3749" s="0" t="n">
        <f aca="false">VLOOKUP(B3749,'MSA-Lookup'!$H$2:$I$86,2)</f>
        <v>4480</v>
      </c>
      <c r="F3749" s="0" t="n">
        <f aca="false">IF(C3749&gt;1,IF(C3749&lt;99,VLOOKUP(C3749,'MSA-Lookup'!$H$1:$I$86,2),C3749),C3749)</f>
        <v>4480</v>
      </c>
      <c r="G3749" s="0" t="n">
        <f aca="false">VLOOKUP(E3749,'MSA-Lookup'!$AA$1:$AB$25,2)</f>
        <v>4472</v>
      </c>
      <c r="H3749" s="0" t="n">
        <f aca="false">IF(C3749&gt;1,IF(C3749&lt;99,VLOOKUP(F3749,'MSA-Lookup'!$AA$1:$AB$25,2),C3749),C3749)</f>
        <v>4472</v>
      </c>
    </row>
    <row r="3750" customFormat="false" ht="12.75" hidden="false" customHeight="false" outlineLevel="0" collapsed="false">
      <c r="A3750" s="0" t="n">
        <f aca="false">B3750*1000+C3750</f>
        <v>55055</v>
      </c>
      <c r="B3750" s="0" t="n">
        <v>55</v>
      </c>
      <c r="C3750" s="0" t="n">
        <v>55</v>
      </c>
      <c r="D3750" s="0" t="n">
        <v>6695</v>
      </c>
      <c r="E3750" s="0" t="n">
        <f aca="false">VLOOKUP(B3750,'MSA-Lookup'!$H$2:$I$86,2)</f>
        <v>4480</v>
      </c>
      <c r="F3750" s="0" t="n">
        <f aca="false">IF(C3750&gt;1,IF(C3750&lt;99,VLOOKUP(C3750,'MSA-Lookup'!$H$1:$I$86,2),C3750),C3750)</f>
        <v>4480</v>
      </c>
      <c r="G3750" s="0" t="n">
        <f aca="false">VLOOKUP(E3750,'MSA-Lookup'!$AA$1:$AB$25,2)</f>
        <v>4472</v>
      </c>
      <c r="H3750" s="0" t="n">
        <f aca="false">IF(C3750&gt;1,IF(C3750&lt;99,VLOOKUP(F3750,'MSA-Lookup'!$AA$1:$AB$25,2),C3750),C3750)</f>
        <v>4472</v>
      </c>
    </row>
    <row r="3751" customFormat="false" ht="12.75" hidden="false" customHeight="false" outlineLevel="0" collapsed="false">
      <c r="A3751" s="0" t="n">
        <f aca="false">B3751*1000+C3751</f>
        <v>55056</v>
      </c>
      <c r="B3751" s="0" t="n">
        <v>55</v>
      </c>
      <c r="C3751" s="0" t="n">
        <v>56</v>
      </c>
      <c r="D3751" s="0" t="n">
        <v>481</v>
      </c>
      <c r="E3751" s="0" t="n">
        <f aca="false">VLOOKUP(B3751,'MSA-Lookup'!$H$2:$I$86,2)</f>
        <v>4480</v>
      </c>
      <c r="F3751" s="0" t="n">
        <f aca="false">IF(C3751&gt;1,IF(C3751&lt;99,VLOOKUP(C3751,'MSA-Lookup'!$H$1:$I$86,2),C3751),C3751)</f>
        <v>4480</v>
      </c>
      <c r="G3751" s="0" t="n">
        <f aca="false">VLOOKUP(E3751,'MSA-Lookup'!$AA$1:$AB$25,2)</f>
        <v>4472</v>
      </c>
      <c r="H3751" s="0" t="n">
        <f aca="false">IF(C3751&gt;1,IF(C3751&lt;99,VLOOKUP(F3751,'MSA-Lookup'!$AA$1:$AB$25,2),C3751),C3751)</f>
        <v>4472</v>
      </c>
    </row>
    <row r="3752" customFormat="false" ht="12.75" hidden="false" customHeight="false" outlineLevel="0" collapsed="false">
      <c r="A3752" s="0" t="n">
        <f aca="false">B3752*1000+C3752</f>
        <v>55057</v>
      </c>
      <c r="B3752" s="0" t="n">
        <v>55</v>
      </c>
      <c r="C3752" s="0" t="n">
        <v>57</v>
      </c>
      <c r="D3752" s="0" t="n">
        <v>338</v>
      </c>
      <c r="E3752" s="0" t="n">
        <f aca="false">VLOOKUP(B3752,'MSA-Lookup'!$H$2:$I$86,2)</f>
        <v>4480</v>
      </c>
      <c r="F3752" s="0" t="n">
        <f aca="false">IF(C3752&gt;1,IF(C3752&lt;99,VLOOKUP(C3752,'MSA-Lookup'!$H$1:$I$86,2),C3752),C3752)</f>
        <v>4480</v>
      </c>
      <c r="G3752" s="0" t="n">
        <f aca="false">VLOOKUP(E3752,'MSA-Lookup'!$AA$1:$AB$25,2)</f>
        <v>4472</v>
      </c>
      <c r="H3752" s="0" t="n">
        <f aca="false">IF(C3752&gt;1,IF(C3752&lt;99,VLOOKUP(F3752,'MSA-Lookup'!$AA$1:$AB$25,2),C3752),C3752)</f>
        <v>4472</v>
      </c>
    </row>
    <row r="3753" customFormat="false" ht="12.75" hidden="false" customHeight="false" outlineLevel="0" collapsed="false">
      <c r="A3753" s="0" t="n">
        <f aca="false">B3753*1000+C3753</f>
        <v>55058</v>
      </c>
      <c r="B3753" s="0" t="n">
        <v>55</v>
      </c>
      <c r="C3753" s="0" t="n">
        <v>58</v>
      </c>
      <c r="D3753" s="0" t="n">
        <v>390</v>
      </c>
      <c r="E3753" s="0" t="n">
        <f aca="false">VLOOKUP(B3753,'MSA-Lookup'!$H$2:$I$86,2)</f>
        <v>4480</v>
      </c>
      <c r="F3753" s="0" t="n">
        <f aca="false">IF(C3753&gt;1,IF(C3753&lt;99,VLOOKUP(C3753,'MSA-Lookup'!$H$1:$I$86,2),C3753),C3753)</f>
        <v>4480</v>
      </c>
      <c r="G3753" s="0" t="n">
        <f aca="false">VLOOKUP(E3753,'MSA-Lookup'!$AA$1:$AB$25,2)</f>
        <v>4472</v>
      </c>
      <c r="H3753" s="0" t="n">
        <f aca="false">IF(C3753&gt;1,IF(C3753&lt;99,VLOOKUP(F3753,'MSA-Lookup'!$AA$1:$AB$25,2),C3753),C3753)</f>
        <v>4472</v>
      </c>
    </row>
    <row r="3754" customFormat="false" ht="12.75" hidden="false" customHeight="false" outlineLevel="0" collapsed="false">
      <c r="A3754" s="0" t="n">
        <f aca="false">B3754*1000+C3754</f>
        <v>55059</v>
      </c>
      <c r="B3754" s="0" t="n">
        <v>55</v>
      </c>
      <c r="C3754" s="0" t="n">
        <v>59</v>
      </c>
      <c r="D3754" s="0" t="n">
        <v>0</v>
      </c>
      <c r="E3754" s="0" t="n">
        <f aca="false">VLOOKUP(B3754,'MSA-Lookup'!$H$2:$I$86,2)</f>
        <v>4480</v>
      </c>
      <c r="F3754" s="0" t="n">
        <f aca="false">IF(C3754&gt;1,IF(C3754&lt;99,VLOOKUP(C3754,'MSA-Lookup'!$H$1:$I$86,2),C3754),C3754)</f>
        <v>4480</v>
      </c>
      <c r="G3754" s="0" t="n">
        <f aca="false">VLOOKUP(E3754,'MSA-Lookup'!$AA$1:$AB$25,2)</f>
        <v>4472</v>
      </c>
      <c r="H3754" s="0" t="n">
        <f aca="false">IF(C3754&gt;1,IF(C3754&lt;99,VLOOKUP(F3754,'MSA-Lookup'!$AA$1:$AB$25,2),C3754),C3754)</f>
        <v>4472</v>
      </c>
    </row>
    <row r="3755" customFormat="false" ht="12.75" hidden="false" customHeight="false" outlineLevel="0" collapsed="false">
      <c r="A3755" s="0" t="n">
        <f aca="false">B3755*1000+C3755</f>
        <v>55060</v>
      </c>
      <c r="B3755" s="0" t="n">
        <v>55</v>
      </c>
      <c r="C3755" s="0" t="n">
        <v>60</v>
      </c>
      <c r="D3755" s="0" t="n">
        <v>104</v>
      </c>
      <c r="E3755" s="0" t="n">
        <f aca="false">VLOOKUP(B3755,'MSA-Lookup'!$H$2:$I$86,2)</f>
        <v>4480</v>
      </c>
      <c r="F3755" s="0" t="n">
        <f aca="false">IF(C3755&gt;1,IF(C3755&lt;99,VLOOKUP(C3755,'MSA-Lookup'!$H$1:$I$86,2),C3755),C3755)</f>
        <v>4480</v>
      </c>
      <c r="G3755" s="0" t="n">
        <f aca="false">VLOOKUP(E3755,'MSA-Lookup'!$AA$1:$AB$25,2)</f>
        <v>4472</v>
      </c>
      <c r="H3755" s="0" t="n">
        <f aca="false">IF(C3755&gt;1,IF(C3755&lt;99,VLOOKUP(F3755,'MSA-Lookup'!$AA$1:$AB$25,2),C3755),C3755)</f>
        <v>4472</v>
      </c>
    </row>
    <row r="3756" customFormat="false" ht="12.75" hidden="false" customHeight="false" outlineLevel="0" collapsed="false">
      <c r="A3756" s="0" t="n">
        <f aca="false">B3756*1000+C3756</f>
        <v>55061</v>
      </c>
      <c r="B3756" s="0" t="n">
        <v>55</v>
      </c>
      <c r="C3756" s="0" t="n">
        <v>61</v>
      </c>
      <c r="D3756" s="0" t="n">
        <v>273</v>
      </c>
      <c r="E3756" s="0" t="n">
        <f aca="false">VLOOKUP(B3756,'MSA-Lookup'!$H$2:$I$86,2)</f>
        <v>4480</v>
      </c>
      <c r="F3756" s="0" t="n">
        <f aca="false">IF(C3756&gt;1,IF(C3756&lt;99,VLOOKUP(C3756,'MSA-Lookup'!$H$1:$I$86,2),C3756),C3756)</f>
        <v>4480</v>
      </c>
      <c r="G3756" s="0" t="n">
        <f aca="false">VLOOKUP(E3756,'MSA-Lookup'!$AA$1:$AB$25,2)</f>
        <v>4472</v>
      </c>
      <c r="H3756" s="0" t="n">
        <f aca="false">IF(C3756&gt;1,IF(C3756&lt;99,VLOOKUP(F3756,'MSA-Lookup'!$AA$1:$AB$25,2),C3756),C3756)</f>
        <v>4472</v>
      </c>
    </row>
    <row r="3757" customFormat="false" ht="12.75" hidden="false" customHeight="false" outlineLevel="0" collapsed="false">
      <c r="A3757" s="0" t="n">
        <f aca="false">B3757*1000+C3757</f>
        <v>55062</v>
      </c>
      <c r="B3757" s="0" t="n">
        <v>55</v>
      </c>
      <c r="C3757" s="0" t="n">
        <v>62</v>
      </c>
      <c r="D3757" s="0" t="n">
        <v>0</v>
      </c>
      <c r="E3757" s="0" t="n">
        <f aca="false">VLOOKUP(B3757,'MSA-Lookup'!$H$2:$I$86,2)</f>
        <v>4480</v>
      </c>
      <c r="F3757" s="0" t="n">
        <f aca="false">IF(C3757&gt;1,IF(C3757&lt;99,VLOOKUP(C3757,'MSA-Lookup'!$H$1:$I$86,2),C3757),C3757)</f>
        <v>4480</v>
      </c>
      <c r="G3757" s="0" t="n">
        <f aca="false">VLOOKUP(E3757,'MSA-Lookup'!$AA$1:$AB$25,2)</f>
        <v>4472</v>
      </c>
      <c r="H3757" s="0" t="n">
        <f aca="false">IF(C3757&gt;1,IF(C3757&lt;99,VLOOKUP(F3757,'MSA-Lookup'!$AA$1:$AB$25,2),C3757),C3757)</f>
        <v>4472</v>
      </c>
    </row>
    <row r="3758" customFormat="false" ht="12.75" hidden="false" customHeight="false" outlineLevel="0" collapsed="false">
      <c r="A3758" s="0" t="n">
        <f aca="false">B3758*1000+C3758</f>
        <v>55063</v>
      </c>
      <c r="B3758" s="0" t="n">
        <v>55</v>
      </c>
      <c r="C3758" s="0" t="n">
        <v>63</v>
      </c>
      <c r="D3758" s="0" t="n">
        <v>234</v>
      </c>
      <c r="E3758" s="0" t="n">
        <f aca="false">VLOOKUP(B3758,'MSA-Lookup'!$H$2:$I$86,2)</f>
        <v>4480</v>
      </c>
      <c r="F3758" s="0" t="n">
        <f aca="false">IF(C3758&gt;1,IF(C3758&lt;99,VLOOKUP(C3758,'MSA-Lookup'!$H$1:$I$86,2),C3758),C3758)</f>
        <v>4480</v>
      </c>
      <c r="G3758" s="0" t="n">
        <f aca="false">VLOOKUP(E3758,'MSA-Lookup'!$AA$1:$AB$25,2)</f>
        <v>4472</v>
      </c>
      <c r="H3758" s="0" t="n">
        <f aca="false">IF(C3758&gt;1,IF(C3758&lt;99,VLOOKUP(F3758,'MSA-Lookup'!$AA$1:$AB$25,2),C3758),C3758)</f>
        <v>4472</v>
      </c>
    </row>
    <row r="3759" customFormat="false" ht="12.75" hidden="false" customHeight="false" outlineLevel="0" collapsed="false">
      <c r="A3759" s="0" t="n">
        <f aca="false">B3759*1000+C3759</f>
        <v>55064</v>
      </c>
      <c r="B3759" s="0" t="n">
        <v>55</v>
      </c>
      <c r="C3759" s="0" t="n">
        <v>64</v>
      </c>
      <c r="D3759" s="0" t="n">
        <v>13429</v>
      </c>
      <c r="E3759" s="0" t="n">
        <f aca="false">VLOOKUP(B3759,'MSA-Lookup'!$H$2:$I$86,2)</f>
        <v>4480</v>
      </c>
      <c r="F3759" s="0" t="n">
        <f aca="false">IF(C3759&gt;1,IF(C3759&lt;99,VLOOKUP(C3759,'MSA-Lookup'!$H$1:$I$86,2),C3759),C3759)</f>
        <v>4480</v>
      </c>
      <c r="G3759" s="0" t="n">
        <f aca="false">VLOOKUP(E3759,'MSA-Lookup'!$AA$1:$AB$25,2)</f>
        <v>4472</v>
      </c>
      <c r="H3759" s="0" t="n">
        <f aca="false">IF(C3759&gt;1,IF(C3759&lt;99,VLOOKUP(F3759,'MSA-Lookup'!$AA$1:$AB$25,2),C3759),C3759)</f>
        <v>4472</v>
      </c>
    </row>
    <row r="3760" customFormat="false" ht="12.75" hidden="false" customHeight="false" outlineLevel="0" collapsed="false">
      <c r="A3760" s="0" t="n">
        <f aca="false">B3760*1000+C3760</f>
        <v>55065</v>
      </c>
      <c r="B3760" s="0" t="n">
        <v>55</v>
      </c>
      <c r="C3760" s="0" t="n">
        <v>65</v>
      </c>
      <c r="D3760" s="0" t="n">
        <v>19695</v>
      </c>
      <c r="E3760" s="0" t="n">
        <f aca="false">VLOOKUP(B3760,'MSA-Lookup'!$H$2:$I$86,2)</f>
        <v>4480</v>
      </c>
      <c r="F3760" s="0" t="n">
        <f aca="false">IF(C3760&gt;1,IF(C3760&lt;99,VLOOKUP(C3760,'MSA-Lookup'!$H$1:$I$86,2),C3760),C3760)</f>
        <v>4480</v>
      </c>
      <c r="G3760" s="0" t="n">
        <f aca="false">VLOOKUP(E3760,'MSA-Lookup'!$AA$1:$AB$25,2)</f>
        <v>4472</v>
      </c>
      <c r="H3760" s="0" t="n">
        <f aca="false">IF(C3760&gt;1,IF(C3760&lt;99,VLOOKUP(F3760,'MSA-Lookup'!$AA$1:$AB$25,2),C3760),C3760)</f>
        <v>4472</v>
      </c>
    </row>
    <row r="3761" customFormat="false" ht="12.75" hidden="false" customHeight="false" outlineLevel="0" collapsed="false">
      <c r="A3761" s="0" t="n">
        <f aca="false">B3761*1000+C3761</f>
        <v>55066</v>
      </c>
      <c r="B3761" s="0" t="n">
        <v>55</v>
      </c>
      <c r="C3761" s="0" t="n">
        <v>66</v>
      </c>
      <c r="D3761" s="0" t="n">
        <v>234</v>
      </c>
      <c r="E3761" s="0" t="n">
        <f aca="false">VLOOKUP(B3761,'MSA-Lookup'!$H$2:$I$86,2)</f>
        <v>4480</v>
      </c>
      <c r="F3761" s="0" t="n">
        <f aca="false">IF(C3761&gt;1,IF(C3761&lt;99,VLOOKUP(C3761,'MSA-Lookup'!$H$1:$I$86,2),C3761),C3761)</f>
        <v>4480</v>
      </c>
      <c r="G3761" s="0" t="n">
        <f aca="false">VLOOKUP(E3761,'MSA-Lookup'!$AA$1:$AB$25,2)</f>
        <v>4472</v>
      </c>
      <c r="H3761" s="0" t="n">
        <f aca="false">IF(C3761&gt;1,IF(C3761&lt;99,VLOOKUP(F3761,'MSA-Lookup'!$AA$1:$AB$25,2),C3761),C3761)</f>
        <v>4472</v>
      </c>
    </row>
    <row r="3762" customFormat="false" ht="12.75" hidden="false" customHeight="false" outlineLevel="0" collapsed="false">
      <c r="A3762" s="0" t="n">
        <f aca="false">B3762*1000+C3762</f>
        <v>55067</v>
      </c>
      <c r="B3762" s="0" t="n">
        <v>55</v>
      </c>
      <c r="C3762" s="0" t="n">
        <v>67</v>
      </c>
      <c r="D3762" s="0" t="n">
        <v>0</v>
      </c>
      <c r="E3762" s="0" t="n">
        <f aca="false">VLOOKUP(B3762,'MSA-Lookup'!$H$2:$I$86,2)</f>
        <v>4480</v>
      </c>
      <c r="F3762" s="0" t="n">
        <f aca="false">IF(C3762&gt;1,IF(C3762&lt;99,VLOOKUP(C3762,'MSA-Lookup'!$H$1:$I$86,2),C3762),C3762)</f>
        <v>6000</v>
      </c>
      <c r="G3762" s="0" t="n">
        <f aca="false">VLOOKUP(E3762,'MSA-Lookup'!$AA$1:$AB$25,2)</f>
        <v>4472</v>
      </c>
      <c r="H3762" s="0" t="n">
        <f aca="false">IF(C3762&gt;1,IF(C3762&lt;99,VLOOKUP(F3762,'MSA-Lookup'!$AA$1:$AB$25,2),C3762),C3762)</f>
        <v>4472</v>
      </c>
    </row>
    <row r="3763" customFormat="false" ht="12.75" hidden="false" customHeight="false" outlineLevel="0" collapsed="false">
      <c r="A3763" s="0" t="n">
        <f aca="false">B3763*1000+C3763</f>
        <v>55068</v>
      </c>
      <c r="B3763" s="0" t="n">
        <v>55</v>
      </c>
      <c r="C3763" s="0" t="n">
        <v>68</v>
      </c>
      <c r="D3763" s="0" t="n">
        <v>0</v>
      </c>
      <c r="E3763" s="0" t="n">
        <f aca="false">VLOOKUP(B3763,'MSA-Lookup'!$H$2:$I$86,2)</f>
        <v>4480</v>
      </c>
      <c r="F3763" s="0" t="n">
        <f aca="false">IF(C3763&gt;1,IF(C3763&lt;99,VLOOKUP(C3763,'MSA-Lookup'!$H$1:$I$86,2),C3763),C3763)</f>
        <v>6780</v>
      </c>
      <c r="G3763" s="0" t="n">
        <f aca="false">VLOOKUP(E3763,'MSA-Lookup'!$AA$1:$AB$25,2)</f>
        <v>4472</v>
      </c>
      <c r="H3763" s="0" t="n">
        <f aca="false">IF(C3763&gt;1,IF(C3763&lt;99,VLOOKUP(F3763,'MSA-Lookup'!$AA$1:$AB$25,2),C3763),C3763)</f>
        <v>4472</v>
      </c>
    </row>
    <row r="3764" customFormat="false" ht="12.75" hidden="false" customHeight="false" outlineLevel="0" collapsed="false">
      <c r="A3764" s="0" t="n">
        <f aca="false">B3764*1000+C3764</f>
        <v>55069</v>
      </c>
      <c r="B3764" s="0" t="n">
        <v>55</v>
      </c>
      <c r="C3764" s="0" t="n">
        <v>69</v>
      </c>
      <c r="D3764" s="0" t="n">
        <v>78</v>
      </c>
      <c r="E3764" s="0" t="n">
        <f aca="false">VLOOKUP(B3764,'MSA-Lookup'!$H$2:$I$86,2)</f>
        <v>4480</v>
      </c>
      <c r="F3764" s="0" t="n">
        <f aca="false">IF(C3764&gt;1,IF(C3764&lt;99,VLOOKUP(C3764,'MSA-Lookup'!$H$1:$I$86,2),C3764),C3764)</f>
        <v>6780</v>
      </c>
      <c r="G3764" s="0" t="n">
        <f aca="false">VLOOKUP(E3764,'MSA-Lookup'!$AA$1:$AB$25,2)</f>
        <v>4472</v>
      </c>
      <c r="H3764" s="0" t="n">
        <f aca="false">IF(C3764&gt;1,IF(C3764&lt;99,VLOOKUP(F3764,'MSA-Lookup'!$AA$1:$AB$25,2),C3764),C3764)</f>
        <v>4472</v>
      </c>
    </row>
    <row r="3765" customFormat="false" ht="12.75" hidden="false" customHeight="false" outlineLevel="0" collapsed="false">
      <c r="A3765" s="0" t="n">
        <f aca="false">B3765*1000+C3765</f>
        <v>55070</v>
      </c>
      <c r="B3765" s="0" t="n">
        <v>55</v>
      </c>
      <c r="C3765" s="0" t="n">
        <v>70</v>
      </c>
      <c r="D3765" s="0" t="n">
        <v>0</v>
      </c>
      <c r="E3765" s="0" t="n">
        <f aca="false">VLOOKUP(B3765,'MSA-Lookup'!$H$2:$I$86,2)</f>
        <v>4480</v>
      </c>
      <c r="F3765" s="0" t="n">
        <f aca="false">IF(C3765&gt;1,IF(C3765&lt;99,VLOOKUP(C3765,'MSA-Lookup'!$H$1:$I$86,2),C3765),C3765)</f>
        <v>6780</v>
      </c>
      <c r="G3765" s="0" t="n">
        <f aca="false">VLOOKUP(E3765,'MSA-Lookup'!$AA$1:$AB$25,2)</f>
        <v>4472</v>
      </c>
      <c r="H3765" s="0" t="n">
        <f aca="false">IF(C3765&gt;1,IF(C3765&lt;99,VLOOKUP(F3765,'MSA-Lookup'!$AA$1:$AB$25,2),C3765),C3765)</f>
        <v>4472</v>
      </c>
    </row>
    <row r="3766" customFormat="false" ht="12.75" hidden="false" customHeight="false" outlineLevel="0" collapsed="false">
      <c r="A3766" s="0" t="n">
        <f aca="false">B3766*1000+C3766</f>
        <v>55071</v>
      </c>
      <c r="B3766" s="0" t="n">
        <v>55</v>
      </c>
      <c r="C3766" s="0" t="n">
        <v>71</v>
      </c>
      <c r="D3766" s="0" t="n">
        <v>65</v>
      </c>
      <c r="E3766" s="0" t="n">
        <f aca="false">VLOOKUP(B3766,'MSA-Lookup'!$H$2:$I$86,2)</f>
        <v>4480</v>
      </c>
      <c r="F3766" s="0" t="n">
        <f aca="false">IF(C3766&gt;1,IF(C3766&lt;99,VLOOKUP(C3766,'MSA-Lookup'!$H$1:$I$86,2),C3766),C3766)</f>
        <v>6780</v>
      </c>
      <c r="G3766" s="0" t="n">
        <f aca="false">VLOOKUP(E3766,'MSA-Lookup'!$AA$1:$AB$25,2)</f>
        <v>4472</v>
      </c>
      <c r="H3766" s="0" t="n">
        <f aca="false">IF(C3766&gt;1,IF(C3766&lt;99,VLOOKUP(F3766,'MSA-Lookup'!$AA$1:$AB$25,2),C3766),C3766)</f>
        <v>4472</v>
      </c>
    </row>
    <row r="3767" customFormat="false" ht="12.75" hidden="false" customHeight="false" outlineLevel="0" collapsed="false">
      <c r="A3767" s="0" t="n">
        <f aca="false">B3767*1000+C3767</f>
        <v>55072</v>
      </c>
      <c r="B3767" s="0" t="n">
        <v>55</v>
      </c>
      <c r="C3767" s="0" t="n">
        <v>72</v>
      </c>
      <c r="D3767" s="0" t="n">
        <v>325</v>
      </c>
      <c r="E3767" s="0" t="n">
        <f aca="false">VLOOKUP(B3767,'MSA-Lookup'!$H$2:$I$86,2)</f>
        <v>4480</v>
      </c>
      <c r="F3767" s="0" t="n">
        <f aca="false">IF(C3767&gt;1,IF(C3767&lt;99,VLOOKUP(C3767,'MSA-Lookup'!$H$1:$I$86,2),C3767),C3767)</f>
        <v>6780</v>
      </c>
      <c r="G3767" s="0" t="n">
        <f aca="false">VLOOKUP(E3767,'MSA-Lookup'!$AA$1:$AB$25,2)</f>
        <v>4472</v>
      </c>
      <c r="H3767" s="0" t="n">
        <f aca="false">IF(C3767&gt;1,IF(C3767&lt;99,VLOOKUP(F3767,'MSA-Lookup'!$AA$1:$AB$25,2),C3767),C3767)</f>
        <v>4472</v>
      </c>
    </row>
    <row r="3768" customFormat="false" ht="12.75" hidden="false" customHeight="false" outlineLevel="0" collapsed="false">
      <c r="A3768" s="0" t="n">
        <f aca="false">B3768*1000+C3768</f>
        <v>55073</v>
      </c>
      <c r="B3768" s="0" t="n">
        <v>55</v>
      </c>
      <c r="C3768" s="0" t="n">
        <v>73</v>
      </c>
      <c r="D3768" s="0" t="n">
        <v>0</v>
      </c>
      <c r="E3768" s="0" t="n">
        <f aca="false">VLOOKUP(B3768,'MSA-Lookup'!$H$2:$I$86,2)</f>
        <v>4480</v>
      </c>
      <c r="F3768" s="0" t="n">
        <f aca="false">IF(C3768&gt;1,IF(C3768&lt;99,VLOOKUP(C3768,'MSA-Lookup'!$H$1:$I$86,2),C3768),C3768)</f>
        <v>8720</v>
      </c>
      <c r="G3768" s="0" t="n">
        <f aca="false">VLOOKUP(E3768,'MSA-Lookup'!$AA$1:$AB$25,2)</f>
        <v>4472</v>
      </c>
      <c r="H3768" s="0" t="n">
        <f aca="false">IF(C3768&gt;1,IF(C3768&lt;99,VLOOKUP(F3768,'MSA-Lookup'!$AA$1:$AB$25,2),C3768),C3768)</f>
        <v>7362</v>
      </c>
    </row>
    <row r="3769" customFormat="false" ht="12.75" hidden="false" customHeight="false" outlineLevel="0" collapsed="false">
      <c r="A3769" s="0" t="n">
        <f aca="false">B3769*1000+C3769</f>
        <v>55075</v>
      </c>
      <c r="B3769" s="0" t="n">
        <v>55</v>
      </c>
      <c r="C3769" s="0" t="n">
        <v>75</v>
      </c>
      <c r="D3769" s="0" t="n">
        <v>0</v>
      </c>
      <c r="E3769" s="0" t="n">
        <f aca="false">VLOOKUP(B3769,'MSA-Lookup'!$H$2:$I$86,2)</f>
        <v>4480</v>
      </c>
      <c r="F3769" s="0" t="n">
        <f aca="false">IF(C3769&gt;1,IF(C3769&lt;99,VLOOKUP(C3769,'MSA-Lookup'!$H$1:$I$86,2),C3769),C3769)</f>
        <v>8780</v>
      </c>
      <c r="G3769" s="0" t="n">
        <f aca="false">VLOOKUP(E3769,'MSA-Lookup'!$AA$1:$AB$25,2)</f>
        <v>4472</v>
      </c>
      <c r="H3769" s="0" t="n">
        <f aca="false">IF(C3769&gt;1,IF(C3769&lt;99,VLOOKUP(F3769,'MSA-Lookup'!$AA$1:$AB$25,2),C3769),C3769)</f>
        <v>8780</v>
      </c>
    </row>
    <row r="3770" customFormat="false" ht="12.75" hidden="false" customHeight="false" outlineLevel="0" collapsed="false">
      <c r="A3770" s="0" t="n">
        <f aca="false">B3770*1000+C3770</f>
        <v>55076</v>
      </c>
      <c r="B3770" s="0" t="n">
        <v>55</v>
      </c>
      <c r="C3770" s="0" t="n">
        <v>76</v>
      </c>
      <c r="D3770" s="0" t="n">
        <v>0</v>
      </c>
      <c r="E3770" s="0" t="n">
        <f aca="false">VLOOKUP(B3770,'MSA-Lookup'!$H$2:$I$86,2)</f>
        <v>4480</v>
      </c>
      <c r="F3770" s="0" t="n">
        <f aca="false">IF(C3770&gt;1,IF(C3770&lt;99,VLOOKUP(C3770,'MSA-Lookup'!$H$1:$I$86,2),C3770),C3770)</f>
        <v>7485</v>
      </c>
      <c r="G3770" s="0" t="n">
        <f aca="false">VLOOKUP(E3770,'MSA-Lookup'!$AA$1:$AB$25,2)</f>
        <v>4472</v>
      </c>
      <c r="H3770" s="0" t="n">
        <f aca="false">IF(C3770&gt;1,IF(C3770&lt;99,VLOOKUP(F3770,'MSA-Lookup'!$AA$1:$AB$25,2),C3770),C3770)</f>
        <v>7362</v>
      </c>
    </row>
    <row r="3771" customFormat="false" ht="12.75" hidden="false" customHeight="false" outlineLevel="0" collapsed="false">
      <c r="A3771" s="0" t="n">
        <f aca="false">B3771*1000+C3771</f>
        <v>55077</v>
      </c>
      <c r="B3771" s="0" t="n">
        <v>55</v>
      </c>
      <c r="C3771" s="0" t="n">
        <v>77</v>
      </c>
      <c r="D3771" s="0" t="n">
        <v>0</v>
      </c>
      <c r="E3771" s="0" t="n">
        <f aca="false">VLOOKUP(B3771,'MSA-Lookup'!$H$2:$I$86,2)</f>
        <v>4480</v>
      </c>
      <c r="F3771" s="0" t="n">
        <f aca="false">IF(C3771&gt;1,IF(C3771&lt;99,VLOOKUP(C3771,'MSA-Lookup'!$H$1:$I$86,2),C3771),C3771)</f>
        <v>9999</v>
      </c>
      <c r="G3771" s="0" t="n">
        <f aca="false">VLOOKUP(E3771,'MSA-Lookup'!$AA$1:$AB$25,2)</f>
        <v>4472</v>
      </c>
      <c r="H3771" s="0" t="n">
        <f aca="false">IF(C3771&gt;1,IF(C3771&lt;99,VLOOKUP(F3771,'MSA-Lookup'!$AA$1:$AB$25,2),C3771),C3771)</f>
        <v>9999</v>
      </c>
    </row>
    <row r="3772" customFormat="false" ht="12.75" hidden="false" customHeight="false" outlineLevel="0" collapsed="false">
      <c r="A3772" s="0" t="n">
        <f aca="false">B3772*1000+C3772</f>
        <v>55078</v>
      </c>
      <c r="B3772" s="0" t="n">
        <v>55</v>
      </c>
      <c r="C3772" s="0" t="n">
        <v>78</v>
      </c>
      <c r="D3772" s="0" t="n">
        <v>0</v>
      </c>
      <c r="E3772" s="0" t="n">
        <f aca="false">VLOOKUP(B3772,'MSA-Lookup'!$H$2:$I$86,2)</f>
        <v>4480</v>
      </c>
      <c r="F3772" s="0" t="n">
        <f aca="false">IF(C3772&gt;1,IF(C3772&lt;99,VLOOKUP(C3772,'MSA-Lookup'!$H$1:$I$86,2),C3772),C3772)</f>
        <v>680</v>
      </c>
      <c r="G3772" s="0" t="n">
        <f aca="false">VLOOKUP(E3772,'MSA-Lookup'!$AA$1:$AB$25,2)</f>
        <v>4472</v>
      </c>
      <c r="H3772" s="0" t="n">
        <f aca="false">IF(C3772&gt;1,IF(C3772&lt;99,VLOOKUP(F3772,'MSA-Lookup'!$AA$1:$AB$25,2),C3772),C3772)</f>
        <v>680</v>
      </c>
    </row>
    <row r="3773" customFormat="false" ht="12.75" hidden="false" customHeight="false" outlineLevel="0" collapsed="false">
      <c r="A3773" s="0" t="n">
        <f aca="false">B3773*1000+C3773</f>
        <v>55079</v>
      </c>
      <c r="B3773" s="0" t="n">
        <v>55</v>
      </c>
      <c r="C3773" s="0" t="n">
        <v>79</v>
      </c>
      <c r="D3773" s="0" t="n">
        <v>0</v>
      </c>
      <c r="E3773" s="0" t="n">
        <f aca="false">VLOOKUP(B3773,'MSA-Lookup'!$H$2:$I$86,2)</f>
        <v>4480</v>
      </c>
      <c r="F3773" s="0" t="n">
        <f aca="false">IF(C3773&gt;1,IF(C3773&lt;99,VLOOKUP(C3773,'MSA-Lookup'!$H$1:$I$86,2),C3773),C3773)</f>
        <v>680</v>
      </c>
      <c r="G3773" s="0" t="n">
        <f aca="false">VLOOKUP(E3773,'MSA-Lookup'!$AA$1:$AB$25,2)</f>
        <v>4472</v>
      </c>
      <c r="H3773" s="0" t="n">
        <f aca="false">IF(C3773&gt;1,IF(C3773&lt;99,VLOOKUP(F3773,'MSA-Lookup'!$AA$1:$AB$25,2),C3773),C3773)</f>
        <v>680</v>
      </c>
    </row>
    <row r="3774" customFormat="false" ht="12.75" hidden="false" customHeight="false" outlineLevel="0" collapsed="false">
      <c r="A3774" s="0" t="n">
        <f aca="false">B3774*1000+C3774</f>
        <v>55080</v>
      </c>
      <c r="B3774" s="0" t="n">
        <v>55</v>
      </c>
      <c r="C3774" s="0" t="n">
        <v>80</v>
      </c>
      <c r="D3774" s="0" t="n">
        <v>0</v>
      </c>
      <c r="E3774" s="0" t="n">
        <f aca="false">VLOOKUP(B3774,'MSA-Lookup'!$H$2:$I$86,2)</f>
        <v>4480</v>
      </c>
      <c r="F3774" s="0" t="n">
        <f aca="false">IF(C3774&gt;1,IF(C3774&lt;99,VLOOKUP(C3774,'MSA-Lookup'!$H$1:$I$86,2),C3774),C3774)</f>
        <v>9999</v>
      </c>
      <c r="G3774" s="0" t="n">
        <f aca="false">VLOOKUP(E3774,'MSA-Lookup'!$AA$1:$AB$25,2)</f>
        <v>4472</v>
      </c>
      <c r="H3774" s="0" t="n">
        <f aca="false">IF(C3774&gt;1,IF(C3774&lt;99,VLOOKUP(F3774,'MSA-Lookup'!$AA$1:$AB$25,2),C3774),C3774)</f>
        <v>9999</v>
      </c>
    </row>
    <row r="3775" customFormat="false" ht="12.75" hidden="false" customHeight="false" outlineLevel="0" collapsed="false">
      <c r="A3775" s="0" t="n">
        <f aca="false">B3775*1000+C3775</f>
        <v>55081</v>
      </c>
      <c r="B3775" s="0" t="n">
        <v>55</v>
      </c>
      <c r="C3775" s="0" t="n">
        <v>81</v>
      </c>
      <c r="D3775" s="0" t="n">
        <v>0</v>
      </c>
      <c r="E3775" s="0" t="n">
        <f aca="false">VLOOKUP(B3775,'MSA-Lookup'!$H$2:$I$86,2)</f>
        <v>4480</v>
      </c>
      <c r="F3775" s="0" t="n">
        <f aca="false">IF(C3775&gt;1,IF(C3775&lt;99,VLOOKUP(C3775,'MSA-Lookup'!$H$1:$I$86,2),C3775),C3775)</f>
        <v>6780</v>
      </c>
      <c r="G3775" s="0" t="n">
        <f aca="false">VLOOKUP(E3775,'MSA-Lookup'!$AA$1:$AB$25,2)</f>
        <v>4472</v>
      </c>
      <c r="H3775" s="0" t="n">
        <f aca="false">IF(C3775&gt;1,IF(C3775&lt;99,VLOOKUP(F3775,'MSA-Lookup'!$AA$1:$AB$25,2),C3775),C3775)</f>
        <v>4472</v>
      </c>
    </row>
    <row r="3776" customFormat="false" ht="12.75" hidden="false" customHeight="false" outlineLevel="0" collapsed="false">
      <c r="A3776" s="0" t="n">
        <f aca="false">B3776*1000+C3776</f>
        <v>55082</v>
      </c>
      <c r="B3776" s="0" t="n">
        <v>55</v>
      </c>
      <c r="C3776" s="0" t="n">
        <v>82</v>
      </c>
      <c r="D3776" s="0" t="n">
        <v>0</v>
      </c>
      <c r="E3776" s="0" t="n">
        <f aca="false">VLOOKUP(B3776,'MSA-Lookup'!$H$2:$I$86,2)</f>
        <v>4480</v>
      </c>
      <c r="F3776" s="0" t="n">
        <f aca="false">IF(C3776&gt;1,IF(C3776&lt;99,VLOOKUP(C3776,'MSA-Lookup'!$H$1:$I$86,2),C3776),C3776)</f>
        <v>6780</v>
      </c>
      <c r="G3776" s="0" t="n">
        <f aca="false">VLOOKUP(E3776,'MSA-Lookup'!$AA$1:$AB$25,2)</f>
        <v>4472</v>
      </c>
      <c r="H3776" s="0" t="n">
        <f aca="false">IF(C3776&gt;1,IF(C3776&lt;99,VLOOKUP(F3776,'MSA-Lookup'!$AA$1:$AB$25,2),C3776),C3776)</f>
        <v>4472</v>
      </c>
    </row>
    <row r="3777" customFormat="false" ht="12.75" hidden="false" customHeight="false" outlineLevel="0" collapsed="false">
      <c r="A3777" s="0" t="n">
        <f aca="false">B3777*1000+C3777</f>
        <v>55083</v>
      </c>
      <c r="B3777" s="0" t="n">
        <v>55</v>
      </c>
      <c r="C3777" s="0" t="n">
        <v>83</v>
      </c>
      <c r="D3777" s="0" t="n">
        <v>0</v>
      </c>
      <c r="E3777" s="0" t="n">
        <f aca="false">VLOOKUP(B3777,'MSA-Lookup'!$H$2:$I$86,2)</f>
        <v>4480</v>
      </c>
      <c r="F3777" s="0" t="n">
        <f aca="false">IF(C3777&gt;1,IF(C3777&lt;99,VLOOKUP(C3777,'MSA-Lookup'!$H$1:$I$86,2),C3777),C3777)</f>
        <v>6000</v>
      </c>
      <c r="G3777" s="0" t="n">
        <f aca="false">VLOOKUP(E3777,'MSA-Lookup'!$AA$1:$AB$25,2)</f>
        <v>4472</v>
      </c>
      <c r="H3777" s="0" t="n">
        <f aca="false">IF(C3777&gt;1,IF(C3777&lt;99,VLOOKUP(F3777,'MSA-Lookup'!$AA$1:$AB$25,2),C3777),C3777)</f>
        <v>4472</v>
      </c>
    </row>
    <row r="3778" customFormat="false" ht="12.75" hidden="false" customHeight="false" outlineLevel="0" collapsed="false">
      <c r="A3778" s="0" t="n">
        <f aca="false">B3778*1000+C3778</f>
        <v>55084</v>
      </c>
      <c r="B3778" s="0" t="n">
        <v>55</v>
      </c>
      <c r="C3778" s="0" t="n">
        <v>84</v>
      </c>
      <c r="D3778" s="0" t="n">
        <v>156</v>
      </c>
      <c r="E3778" s="0" t="n">
        <f aca="false">VLOOKUP(B3778,'MSA-Lookup'!$H$2:$I$86,2)</f>
        <v>4480</v>
      </c>
      <c r="F3778" s="0" t="n">
        <f aca="false">IF(C3778&gt;1,IF(C3778&lt;99,VLOOKUP(C3778,'MSA-Lookup'!$H$1:$I$86,2),C3778),C3778)</f>
        <v>360</v>
      </c>
      <c r="G3778" s="0" t="n">
        <f aca="false">VLOOKUP(E3778,'MSA-Lookup'!$AA$1:$AB$25,2)</f>
        <v>4472</v>
      </c>
      <c r="H3778" s="0" t="n">
        <f aca="false">IF(C3778&gt;1,IF(C3778&lt;99,VLOOKUP(F3778,'MSA-Lookup'!$AA$1:$AB$25,2),C3778),C3778)</f>
        <v>4472</v>
      </c>
    </row>
    <row r="3779" customFormat="false" ht="12.75" hidden="false" customHeight="false" outlineLevel="0" collapsed="false">
      <c r="A3779" s="0" t="n">
        <f aca="false">B3779*1000+C3779</f>
        <v>55085</v>
      </c>
      <c r="B3779" s="0" t="n">
        <v>55</v>
      </c>
      <c r="C3779" s="0" t="n">
        <v>85</v>
      </c>
      <c r="D3779" s="0" t="n">
        <v>0</v>
      </c>
      <c r="E3779" s="0" t="n">
        <f aca="false">VLOOKUP(B3779,'MSA-Lookup'!$H$2:$I$86,2)</f>
        <v>4480</v>
      </c>
      <c r="F3779" s="0" t="n">
        <f aca="false">IF(C3779&gt;1,IF(C3779&lt;99,VLOOKUP(C3779,'MSA-Lookup'!$H$1:$I$86,2),C3779),C3779)</f>
        <v>8120</v>
      </c>
      <c r="G3779" s="0" t="n">
        <f aca="false">VLOOKUP(E3779,'MSA-Lookup'!$AA$1:$AB$25,2)</f>
        <v>4472</v>
      </c>
      <c r="H3779" s="0" t="n">
        <f aca="false">IF(C3779&gt;1,IF(C3779&lt;99,VLOOKUP(F3779,'MSA-Lookup'!$AA$1:$AB$25,2),C3779),C3779)</f>
        <v>8120</v>
      </c>
    </row>
    <row r="3780" customFormat="false" ht="12.75" hidden="false" customHeight="false" outlineLevel="0" collapsed="false">
      <c r="A3780" s="0" t="n">
        <f aca="false">B3780*1000+C3780</f>
        <v>55858</v>
      </c>
      <c r="B3780" s="0" t="n">
        <v>55</v>
      </c>
      <c r="C3780" s="0" t="n">
        <v>858</v>
      </c>
      <c r="D3780" s="0" t="n">
        <v>0</v>
      </c>
      <c r="E3780" s="0" t="n">
        <f aca="false">VLOOKUP(B3780,'MSA-Lookup'!$H$2:$I$86,2)</f>
        <v>4480</v>
      </c>
      <c r="F3780" s="0" t="n">
        <f aca="false">IF(C3780&gt;1,IF(C3780&lt;99,VLOOKUP(C3780,'MSA-Lookup'!$H$1:$I$86,2),C3780),C3780)</f>
        <v>858</v>
      </c>
      <c r="G3780" s="0" t="n">
        <f aca="false">VLOOKUP(E3780,'MSA-Lookup'!$AA$1:$AB$25,2)</f>
        <v>4472</v>
      </c>
      <c r="H3780" s="0" t="n">
        <f aca="false">IF(C3780&gt;1,IF(C3780&lt;99,VLOOKUP(F3780,'MSA-Lookup'!$AA$1:$AB$25,2),C3780),C3780)</f>
        <v>858</v>
      </c>
    </row>
    <row r="3781" customFormat="false" ht="12.75" hidden="false" customHeight="false" outlineLevel="0" collapsed="false">
      <c r="A3781" s="0" t="n">
        <f aca="false">B3781*1000+C3781</f>
        <v>55983</v>
      </c>
      <c r="B3781" s="0" t="n">
        <v>55</v>
      </c>
      <c r="C3781" s="0" t="n">
        <v>983</v>
      </c>
      <c r="D3781" s="0" t="n">
        <v>0</v>
      </c>
      <c r="E3781" s="0" t="n">
        <f aca="false">VLOOKUP(B3781,'MSA-Lookup'!$H$2:$I$86,2)</f>
        <v>4480</v>
      </c>
      <c r="F3781" s="0" t="n">
        <f aca="false">IF(C3781&gt;1,IF(C3781&lt;99,VLOOKUP(C3781,'MSA-Lookup'!$H$1:$I$86,2),C3781),C3781)</f>
        <v>983</v>
      </c>
      <c r="G3781" s="0" t="n">
        <f aca="false">VLOOKUP(E3781,'MSA-Lookup'!$AA$1:$AB$25,2)</f>
        <v>4472</v>
      </c>
      <c r="H3781" s="0" t="n">
        <f aca="false">IF(C3781&gt;1,IF(C3781&lt;99,VLOOKUP(F3781,'MSA-Lookup'!$AA$1:$AB$25,2),C3781),C3781)</f>
        <v>983</v>
      </c>
    </row>
    <row r="3782" customFormat="false" ht="12.75" hidden="false" customHeight="false" outlineLevel="0" collapsed="false">
      <c r="A3782" s="0" t="n">
        <f aca="false">B3782*1000+C3782</f>
        <v>55999</v>
      </c>
      <c r="B3782" s="0" t="n">
        <v>55</v>
      </c>
      <c r="C3782" s="0" t="n">
        <v>999</v>
      </c>
      <c r="D3782" s="0" t="n">
        <v>0</v>
      </c>
      <c r="E3782" s="0" t="n">
        <f aca="false">VLOOKUP(B3782,'MSA-Lookup'!$H$2:$I$86,2)</f>
        <v>4480</v>
      </c>
      <c r="F3782" s="0" t="n">
        <f aca="false">IF(C3782&gt;1,IF(C3782&lt;99,VLOOKUP(C3782,'MSA-Lookup'!$H$1:$I$86,2),C3782),C3782)</f>
        <v>999</v>
      </c>
      <c r="G3782" s="0" t="n">
        <f aca="false">VLOOKUP(E3782,'MSA-Lookup'!$AA$1:$AB$25,2)</f>
        <v>4472</v>
      </c>
      <c r="H3782" s="0" t="n">
        <f aca="false">IF(C3782&gt;1,IF(C3782&lt;99,VLOOKUP(F3782,'MSA-Lookup'!$AA$1:$AB$25,2),C3782),C3782)</f>
        <v>999</v>
      </c>
    </row>
    <row r="3783" customFormat="false" ht="12.75" hidden="false" customHeight="false" outlineLevel="0" collapsed="false">
      <c r="A3783" s="0" t="n">
        <f aca="false">B3783*1000+C3783</f>
        <v>56000</v>
      </c>
      <c r="B3783" s="0" t="n">
        <v>56</v>
      </c>
      <c r="C3783" s="0" t="n">
        <v>0</v>
      </c>
      <c r="D3783" s="0" t="n">
        <v>81172</v>
      </c>
      <c r="E3783" s="0" t="n">
        <f aca="false">VLOOKUP(B3783,'MSA-Lookup'!$H$2:$I$86,2)</f>
        <v>4480</v>
      </c>
      <c r="F3783" s="0" t="n">
        <f aca="false">IF(C3783&gt;1,IF(C3783&lt;99,VLOOKUP(C3783,'MSA-Lookup'!$H$1:$I$86,2),C3783),C3783)</f>
        <v>0</v>
      </c>
      <c r="G3783" s="0" t="n">
        <f aca="false">VLOOKUP(E3783,'MSA-Lookup'!$AA$1:$AB$25,2)</f>
        <v>4472</v>
      </c>
      <c r="H3783" s="0" t="n">
        <f aca="false">IF(C3783&gt;1,IF(C3783&lt;99,VLOOKUP(F3783,'MSA-Lookup'!$AA$1:$AB$25,2),C3783),C3783)</f>
        <v>0</v>
      </c>
    </row>
    <row r="3784" customFormat="false" ht="12.75" hidden="false" customHeight="false" outlineLevel="0" collapsed="false">
      <c r="A3784" s="0" t="n">
        <f aca="false">B3784*1000+C3784</f>
        <v>56001</v>
      </c>
      <c r="B3784" s="0" t="n">
        <v>56</v>
      </c>
      <c r="C3784" s="0" t="n">
        <v>1</v>
      </c>
      <c r="D3784" s="0" t="n">
        <v>0</v>
      </c>
      <c r="E3784" s="0" t="n">
        <f aca="false">VLOOKUP(B3784,'MSA-Lookup'!$H$2:$I$86,2)</f>
        <v>4480</v>
      </c>
      <c r="F3784" s="0" t="n">
        <f aca="false">IF(C3784&gt;1,IF(C3784&lt;99,VLOOKUP(C3784,'MSA-Lookup'!$H$1:$I$86,2),C3784),C3784)</f>
        <v>1</v>
      </c>
      <c r="G3784" s="0" t="n">
        <f aca="false">VLOOKUP(E3784,'MSA-Lookup'!$AA$1:$AB$25,2)</f>
        <v>4472</v>
      </c>
      <c r="H3784" s="0" t="n">
        <f aca="false">IF(C3784&gt;1,IF(C3784&lt;99,VLOOKUP(F3784,'MSA-Lookup'!$AA$1:$AB$25,2),C3784),C3784)</f>
        <v>1</v>
      </c>
    </row>
    <row r="3785" customFormat="false" ht="12.75" hidden="false" customHeight="false" outlineLevel="0" collapsed="false">
      <c r="A3785" s="0" t="n">
        <f aca="false">B3785*1000+C3785</f>
        <v>56002</v>
      </c>
      <c r="B3785" s="0" t="n">
        <v>56</v>
      </c>
      <c r="C3785" s="0" t="n">
        <v>2</v>
      </c>
      <c r="D3785" s="0" t="n">
        <v>0</v>
      </c>
      <c r="E3785" s="0" t="n">
        <f aca="false">VLOOKUP(B3785,'MSA-Lookup'!$H$2:$I$86,2)</f>
        <v>4480</v>
      </c>
      <c r="F3785" s="0" t="n">
        <f aca="false">IF(C3785&gt;1,IF(C3785&lt;99,VLOOKUP(C3785,'MSA-Lookup'!$H$1:$I$86,2),C3785),C3785)</f>
        <v>9999</v>
      </c>
      <c r="G3785" s="0" t="n">
        <f aca="false">VLOOKUP(E3785,'MSA-Lookup'!$AA$1:$AB$25,2)</f>
        <v>4472</v>
      </c>
      <c r="H3785" s="0" t="n">
        <f aca="false">IF(C3785&gt;1,IF(C3785&lt;99,VLOOKUP(F3785,'MSA-Lookup'!$AA$1:$AB$25,2),C3785),C3785)</f>
        <v>9999</v>
      </c>
    </row>
    <row r="3786" customFormat="false" ht="12.75" hidden="false" customHeight="false" outlineLevel="0" collapsed="false">
      <c r="A3786" s="0" t="n">
        <f aca="false">B3786*1000+C3786</f>
        <v>56003</v>
      </c>
      <c r="B3786" s="0" t="n">
        <v>56</v>
      </c>
      <c r="C3786" s="0" t="n">
        <v>3</v>
      </c>
      <c r="D3786" s="0" t="n">
        <v>0</v>
      </c>
      <c r="E3786" s="0" t="n">
        <f aca="false">VLOOKUP(B3786,'MSA-Lookup'!$H$2:$I$86,2)</f>
        <v>4480</v>
      </c>
      <c r="F3786" s="0" t="n">
        <f aca="false">IF(C3786&gt;1,IF(C3786&lt;99,VLOOKUP(C3786,'MSA-Lookup'!$H$1:$I$86,2),C3786),C3786)</f>
        <v>6690</v>
      </c>
      <c r="G3786" s="0" t="n">
        <f aca="false">VLOOKUP(E3786,'MSA-Lookup'!$AA$1:$AB$25,2)</f>
        <v>4472</v>
      </c>
      <c r="H3786" s="0" t="n">
        <f aca="false">IF(C3786&gt;1,IF(C3786&lt;99,VLOOKUP(F3786,'MSA-Lookup'!$AA$1:$AB$25,2),C3786),C3786)</f>
        <v>6690</v>
      </c>
    </row>
    <row r="3787" customFormat="false" ht="12.75" hidden="false" customHeight="false" outlineLevel="0" collapsed="false">
      <c r="A3787" s="0" t="n">
        <f aca="false">B3787*1000+C3787</f>
        <v>56004</v>
      </c>
      <c r="B3787" s="0" t="n">
        <v>56</v>
      </c>
      <c r="C3787" s="0" t="n">
        <v>4</v>
      </c>
      <c r="D3787" s="0" t="n">
        <v>0</v>
      </c>
      <c r="E3787" s="0" t="n">
        <f aca="false">VLOOKUP(B3787,'MSA-Lookup'!$H$2:$I$86,2)</f>
        <v>4480</v>
      </c>
      <c r="F3787" s="0" t="n">
        <f aca="false">IF(C3787&gt;1,IF(C3787&lt;99,VLOOKUP(C3787,'MSA-Lookup'!$H$1:$I$86,2),C3787),C3787)</f>
        <v>9999</v>
      </c>
      <c r="G3787" s="0" t="n">
        <f aca="false">VLOOKUP(E3787,'MSA-Lookup'!$AA$1:$AB$25,2)</f>
        <v>4472</v>
      </c>
      <c r="H3787" s="0" t="n">
        <f aca="false">IF(C3787&gt;1,IF(C3787&lt;99,VLOOKUP(F3787,'MSA-Lookup'!$AA$1:$AB$25,2),C3787),C3787)</f>
        <v>9999</v>
      </c>
    </row>
    <row r="3788" customFormat="false" ht="12.75" hidden="false" customHeight="false" outlineLevel="0" collapsed="false">
      <c r="A3788" s="0" t="n">
        <f aca="false">B3788*1000+C3788</f>
        <v>56005</v>
      </c>
      <c r="B3788" s="0" t="n">
        <v>56</v>
      </c>
      <c r="C3788" s="0" t="n">
        <v>5</v>
      </c>
      <c r="D3788" s="0" t="n">
        <v>0</v>
      </c>
      <c r="E3788" s="0" t="n">
        <f aca="false">VLOOKUP(B3788,'MSA-Lookup'!$H$2:$I$86,2)</f>
        <v>4480</v>
      </c>
      <c r="F3788" s="0" t="n">
        <f aca="false">IF(C3788&gt;1,IF(C3788&lt;99,VLOOKUP(C3788,'MSA-Lookup'!$H$1:$I$86,2),C3788),C3788)</f>
        <v>9999</v>
      </c>
      <c r="G3788" s="0" t="n">
        <f aca="false">VLOOKUP(E3788,'MSA-Lookup'!$AA$1:$AB$25,2)</f>
        <v>4472</v>
      </c>
      <c r="H3788" s="0" t="n">
        <f aca="false">IF(C3788&gt;1,IF(C3788&lt;99,VLOOKUP(F3788,'MSA-Lookup'!$AA$1:$AB$25,2),C3788),C3788)</f>
        <v>9999</v>
      </c>
    </row>
    <row r="3789" customFormat="false" ht="12.75" hidden="false" customHeight="false" outlineLevel="0" collapsed="false">
      <c r="A3789" s="0" t="n">
        <f aca="false">B3789*1000+C3789</f>
        <v>56006</v>
      </c>
      <c r="B3789" s="0" t="n">
        <v>56</v>
      </c>
      <c r="C3789" s="0" t="n">
        <v>6</v>
      </c>
      <c r="D3789" s="0" t="n">
        <v>0</v>
      </c>
      <c r="E3789" s="0" t="n">
        <f aca="false">VLOOKUP(B3789,'MSA-Lookup'!$H$2:$I$86,2)</f>
        <v>4480</v>
      </c>
      <c r="F3789" s="0" t="n">
        <f aca="false">IF(C3789&gt;1,IF(C3789&lt;99,VLOOKUP(C3789,'MSA-Lookup'!$H$1:$I$86,2),C3789),C3789)</f>
        <v>1620</v>
      </c>
      <c r="G3789" s="0" t="n">
        <f aca="false">VLOOKUP(E3789,'MSA-Lookup'!$AA$1:$AB$25,2)</f>
        <v>4472</v>
      </c>
      <c r="H3789" s="0" t="n">
        <f aca="false">IF(C3789&gt;1,IF(C3789&lt;99,VLOOKUP(F3789,'MSA-Lookup'!$AA$1:$AB$25,2),C3789),C3789)</f>
        <v>1620</v>
      </c>
    </row>
    <row r="3790" customFormat="false" ht="12.75" hidden="false" customHeight="false" outlineLevel="0" collapsed="false">
      <c r="A3790" s="0" t="n">
        <f aca="false">B3790*1000+C3790</f>
        <v>56007</v>
      </c>
      <c r="B3790" s="0" t="n">
        <v>56</v>
      </c>
      <c r="C3790" s="0" t="n">
        <v>7</v>
      </c>
      <c r="D3790" s="0" t="n">
        <v>0</v>
      </c>
      <c r="E3790" s="0" t="n">
        <f aca="false">VLOOKUP(B3790,'MSA-Lookup'!$H$2:$I$86,2)</f>
        <v>4480</v>
      </c>
      <c r="F3790" s="0" t="n">
        <f aca="false">IF(C3790&gt;1,IF(C3790&lt;99,VLOOKUP(C3790,'MSA-Lookup'!$H$1:$I$86,2),C3790),C3790)</f>
        <v>9999</v>
      </c>
      <c r="G3790" s="0" t="n">
        <f aca="false">VLOOKUP(E3790,'MSA-Lookup'!$AA$1:$AB$25,2)</f>
        <v>4472</v>
      </c>
      <c r="H3790" s="0" t="n">
        <f aca="false">IF(C3790&gt;1,IF(C3790&lt;99,VLOOKUP(F3790,'MSA-Lookup'!$AA$1:$AB$25,2),C3790),C3790)</f>
        <v>9999</v>
      </c>
    </row>
    <row r="3791" customFormat="false" ht="12.75" hidden="false" customHeight="false" outlineLevel="0" collapsed="false">
      <c r="A3791" s="0" t="n">
        <f aca="false">B3791*1000+C3791</f>
        <v>56008</v>
      </c>
      <c r="B3791" s="0" t="n">
        <v>56</v>
      </c>
      <c r="C3791" s="0" t="n">
        <v>8</v>
      </c>
      <c r="D3791" s="0" t="n">
        <v>0</v>
      </c>
      <c r="E3791" s="0" t="n">
        <f aca="false">VLOOKUP(B3791,'MSA-Lookup'!$H$2:$I$86,2)</f>
        <v>4480</v>
      </c>
      <c r="F3791" s="0" t="n">
        <f aca="false">IF(C3791&gt;1,IF(C3791&lt;99,VLOOKUP(C3791,'MSA-Lookup'!$H$1:$I$86,2),C3791),C3791)</f>
        <v>9340</v>
      </c>
      <c r="G3791" s="0" t="n">
        <f aca="false">VLOOKUP(E3791,'MSA-Lookup'!$AA$1:$AB$25,2)</f>
        <v>4472</v>
      </c>
      <c r="H3791" s="0" t="n">
        <f aca="false">IF(C3791&gt;1,IF(C3791&lt;99,VLOOKUP(F3791,'MSA-Lookup'!$AA$1:$AB$25,2),C3791),C3791)</f>
        <v>9340</v>
      </c>
    </row>
    <row r="3792" customFormat="false" ht="12.75" hidden="false" customHeight="false" outlineLevel="0" collapsed="false">
      <c r="A3792" s="0" t="n">
        <f aca="false">B3792*1000+C3792</f>
        <v>56009</v>
      </c>
      <c r="B3792" s="0" t="n">
        <v>56</v>
      </c>
      <c r="C3792" s="0" t="n">
        <v>9</v>
      </c>
      <c r="D3792" s="0" t="n">
        <v>0</v>
      </c>
      <c r="E3792" s="0" t="n">
        <f aca="false">VLOOKUP(B3792,'MSA-Lookup'!$H$2:$I$86,2)</f>
        <v>4480</v>
      </c>
      <c r="F3792" s="0" t="n">
        <f aca="false">IF(C3792&gt;1,IF(C3792&lt;99,VLOOKUP(C3792,'MSA-Lookup'!$H$1:$I$86,2),C3792),C3792)</f>
        <v>8720</v>
      </c>
      <c r="G3792" s="0" t="n">
        <f aca="false">VLOOKUP(E3792,'MSA-Lookup'!$AA$1:$AB$25,2)</f>
        <v>4472</v>
      </c>
      <c r="H3792" s="0" t="n">
        <f aca="false">IF(C3792&gt;1,IF(C3792&lt;99,VLOOKUP(F3792,'MSA-Lookup'!$AA$1:$AB$25,2),C3792),C3792)</f>
        <v>7362</v>
      </c>
    </row>
    <row r="3793" customFormat="false" ht="12.75" hidden="false" customHeight="false" outlineLevel="0" collapsed="false">
      <c r="A3793" s="0" t="n">
        <f aca="false">B3793*1000+C3793</f>
        <v>56010</v>
      </c>
      <c r="B3793" s="0" t="n">
        <v>56</v>
      </c>
      <c r="C3793" s="0" t="n">
        <v>10</v>
      </c>
      <c r="D3793" s="0" t="n">
        <v>0</v>
      </c>
      <c r="E3793" s="0" t="n">
        <f aca="false">VLOOKUP(B3793,'MSA-Lookup'!$H$2:$I$86,2)</f>
        <v>4480</v>
      </c>
      <c r="F3793" s="0" t="n">
        <f aca="false">IF(C3793&gt;1,IF(C3793&lt;99,VLOOKUP(C3793,'MSA-Lookup'!$H$1:$I$86,2),C3793),C3793)</f>
        <v>6920</v>
      </c>
      <c r="G3793" s="0" t="n">
        <f aca="false">VLOOKUP(E3793,'MSA-Lookup'!$AA$1:$AB$25,2)</f>
        <v>4472</v>
      </c>
      <c r="H3793" s="0" t="n">
        <f aca="false">IF(C3793&gt;1,IF(C3793&lt;99,VLOOKUP(F3793,'MSA-Lookup'!$AA$1:$AB$25,2),C3793),C3793)</f>
        <v>6920</v>
      </c>
    </row>
    <row r="3794" customFormat="false" ht="12.75" hidden="false" customHeight="false" outlineLevel="0" collapsed="false">
      <c r="A3794" s="0" t="n">
        <f aca="false">B3794*1000+C3794</f>
        <v>56011</v>
      </c>
      <c r="B3794" s="0" t="n">
        <v>56</v>
      </c>
      <c r="C3794" s="0" t="n">
        <v>11</v>
      </c>
      <c r="D3794" s="0" t="n">
        <v>0</v>
      </c>
      <c r="E3794" s="0" t="n">
        <f aca="false">VLOOKUP(B3794,'MSA-Lookup'!$H$2:$I$86,2)</f>
        <v>4480</v>
      </c>
      <c r="F3794" s="0" t="n">
        <f aca="false">IF(C3794&gt;1,IF(C3794&lt;99,VLOOKUP(C3794,'MSA-Lookup'!$H$1:$I$86,2),C3794),C3794)</f>
        <v>6920</v>
      </c>
      <c r="G3794" s="0" t="n">
        <f aca="false">VLOOKUP(E3794,'MSA-Lookup'!$AA$1:$AB$25,2)</f>
        <v>4472</v>
      </c>
      <c r="H3794" s="0" t="n">
        <f aca="false">IF(C3794&gt;1,IF(C3794&lt;99,VLOOKUP(F3794,'MSA-Lookup'!$AA$1:$AB$25,2),C3794),C3794)</f>
        <v>6920</v>
      </c>
    </row>
    <row r="3795" customFormat="false" ht="12.75" hidden="false" customHeight="false" outlineLevel="0" collapsed="false">
      <c r="A3795" s="0" t="n">
        <f aca="false">B3795*1000+C3795</f>
        <v>56012</v>
      </c>
      <c r="B3795" s="0" t="n">
        <v>56</v>
      </c>
      <c r="C3795" s="0" t="n">
        <v>12</v>
      </c>
      <c r="D3795" s="0" t="n">
        <v>0</v>
      </c>
      <c r="E3795" s="0" t="n">
        <f aca="false">VLOOKUP(B3795,'MSA-Lookup'!$H$2:$I$86,2)</f>
        <v>4480</v>
      </c>
      <c r="F3795" s="0" t="n">
        <f aca="false">IF(C3795&gt;1,IF(C3795&lt;99,VLOOKUP(C3795,'MSA-Lookup'!$H$1:$I$86,2),C3795),C3795)</f>
        <v>6920</v>
      </c>
      <c r="G3795" s="0" t="n">
        <f aca="false">VLOOKUP(E3795,'MSA-Lookup'!$AA$1:$AB$25,2)</f>
        <v>4472</v>
      </c>
      <c r="H3795" s="0" t="n">
        <f aca="false">IF(C3795&gt;1,IF(C3795&lt;99,VLOOKUP(F3795,'MSA-Lookup'!$AA$1:$AB$25,2),C3795),C3795)</f>
        <v>6920</v>
      </c>
    </row>
    <row r="3796" customFormat="false" ht="12.75" hidden="false" customHeight="false" outlineLevel="0" collapsed="false">
      <c r="A3796" s="0" t="n">
        <f aca="false">B3796*1000+C3796</f>
        <v>56013</v>
      </c>
      <c r="B3796" s="0" t="n">
        <v>56</v>
      </c>
      <c r="C3796" s="0" t="n">
        <v>13</v>
      </c>
      <c r="D3796" s="0" t="n">
        <v>0</v>
      </c>
      <c r="E3796" s="0" t="n">
        <f aca="false">VLOOKUP(B3796,'MSA-Lookup'!$H$2:$I$86,2)</f>
        <v>4480</v>
      </c>
      <c r="F3796" s="0" t="n">
        <f aca="false">IF(C3796&gt;1,IF(C3796&lt;99,VLOOKUP(C3796,'MSA-Lookup'!$H$1:$I$86,2),C3796),C3796)</f>
        <v>7500</v>
      </c>
      <c r="G3796" s="0" t="n">
        <f aca="false">VLOOKUP(E3796,'MSA-Lookup'!$AA$1:$AB$25,2)</f>
        <v>4472</v>
      </c>
      <c r="H3796" s="0" t="n">
        <f aca="false">IF(C3796&gt;1,IF(C3796&lt;99,VLOOKUP(F3796,'MSA-Lookup'!$AA$1:$AB$25,2),C3796),C3796)</f>
        <v>7362</v>
      </c>
    </row>
    <row r="3797" customFormat="false" ht="12.75" hidden="false" customHeight="false" outlineLevel="0" collapsed="false">
      <c r="A3797" s="0" t="n">
        <f aca="false">B3797*1000+C3797</f>
        <v>56014</v>
      </c>
      <c r="B3797" s="0" t="n">
        <v>56</v>
      </c>
      <c r="C3797" s="0" t="n">
        <v>14</v>
      </c>
      <c r="D3797" s="0" t="n">
        <v>0</v>
      </c>
      <c r="E3797" s="0" t="n">
        <f aca="false">VLOOKUP(B3797,'MSA-Lookup'!$H$2:$I$86,2)</f>
        <v>4480</v>
      </c>
      <c r="F3797" s="0" t="n">
        <f aca="false">IF(C3797&gt;1,IF(C3797&lt;99,VLOOKUP(C3797,'MSA-Lookup'!$H$1:$I$86,2),C3797),C3797)</f>
        <v>7500</v>
      </c>
      <c r="G3797" s="0" t="n">
        <f aca="false">VLOOKUP(E3797,'MSA-Lookup'!$AA$1:$AB$25,2)</f>
        <v>4472</v>
      </c>
      <c r="H3797" s="0" t="n">
        <f aca="false">IF(C3797&gt;1,IF(C3797&lt;99,VLOOKUP(F3797,'MSA-Lookup'!$AA$1:$AB$25,2),C3797),C3797)</f>
        <v>7362</v>
      </c>
    </row>
    <row r="3798" customFormat="false" ht="12.75" hidden="false" customHeight="false" outlineLevel="0" collapsed="false">
      <c r="A3798" s="0" t="n">
        <f aca="false">B3798*1000+C3798</f>
        <v>56015</v>
      </c>
      <c r="B3798" s="0" t="n">
        <v>56</v>
      </c>
      <c r="C3798" s="0" t="n">
        <v>15</v>
      </c>
      <c r="D3798" s="0" t="n">
        <v>0</v>
      </c>
      <c r="E3798" s="0" t="n">
        <f aca="false">VLOOKUP(B3798,'MSA-Lookup'!$H$2:$I$86,2)</f>
        <v>4480</v>
      </c>
      <c r="F3798" s="0" t="n">
        <f aca="false">IF(C3798&gt;1,IF(C3798&lt;99,VLOOKUP(C3798,'MSA-Lookup'!$H$1:$I$86,2),C3798),C3798)</f>
        <v>7360</v>
      </c>
      <c r="G3798" s="0" t="n">
        <f aca="false">VLOOKUP(E3798,'MSA-Lookup'!$AA$1:$AB$25,2)</f>
        <v>4472</v>
      </c>
      <c r="H3798" s="0" t="n">
        <f aca="false">IF(C3798&gt;1,IF(C3798&lt;99,VLOOKUP(F3798,'MSA-Lookup'!$AA$1:$AB$25,2),C3798),C3798)</f>
        <v>7362</v>
      </c>
    </row>
    <row r="3799" customFormat="false" ht="12.75" hidden="false" customHeight="false" outlineLevel="0" collapsed="false">
      <c r="A3799" s="0" t="n">
        <f aca="false">B3799*1000+C3799</f>
        <v>56016</v>
      </c>
      <c r="B3799" s="0" t="n">
        <v>56</v>
      </c>
      <c r="C3799" s="0" t="n">
        <v>16</v>
      </c>
      <c r="D3799" s="0" t="n">
        <v>0</v>
      </c>
      <c r="E3799" s="0" t="n">
        <f aca="false">VLOOKUP(B3799,'MSA-Lookup'!$H$2:$I$86,2)</f>
        <v>4480</v>
      </c>
      <c r="F3799" s="0" t="n">
        <f aca="false">IF(C3799&gt;1,IF(C3799&lt;99,VLOOKUP(C3799,'MSA-Lookup'!$H$1:$I$86,2),C3799),C3799)</f>
        <v>8720</v>
      </c>
      <c r="G3799" s="0" t="n">
        <f aca="false">VLOOKUP(E3799,'MSA-Lookup'!$AA$1:$AB$25,2)</f>
        <v>4472</v>
      </c>
      <c r="H3799" s="0" t="n">
        <f aca="false">IF(C3799&gt;1,IF(C3799&lt;99,VLOOKUP(F3799,'MSA-Lookup'!$AA$1:$AB$25,2),C3799),C3799)</f>
        <v>7362</v>
      </c>
    </row>
    <row r="3800" customFormat="false" ht="12.75" hidden="false" customHeight="false" outlineLevel="0" collapsed="false">
      <c r="A3800" s="0" t="n">
        <f aca="false">B3800*1000+C3800</f>
        <v>56017</v>
      </c>
      <c r="B3800" s="0" t="n">
        <v>56</v>
      </c>
      <c r="C3800" s="0" t="n">
        <v>17</v>
      </c>
      <c r="D3800" s="0" t="n">
        <v>0</v>
      </c>
      <c r="E3800" s="0" t="n">
        <f aca="false">VLOOKUP(B3800,'MSA-Lookup'!$H$2:$I$86,2)</f>
        <v>4480</v>
      </c>
      <c r="F3800" s="0" t="n">
        <f aca="false">IF(C3800&gt;1,IF(C3800&lt;99,VLOOKUP(C3800,'MSA-Lookup'!$H$1:$I$86,2),C3800),C3800)</f>
        <v>5775</v>
      </c>
      <c r="G3800" s="0" t="n">
        <f aca="false">VLOOKUP(E3800,'MSA-Lookup'!$AA$1:$AB$25,2)</f>
        <v>4472</v>
      </c>
      <c r="H3800" s="0" t="n">
        <f aca="false">IF(C3800&gt;1,IF(C3800&lt;99,VLOOKUP(F3800,'MSA-Lookup'!$AA$1:$AB$25,2),C3800),C3800)</f>
        <v>7362</v>
      </c>
    </row>
    <row r="3801" customFormat="false" ht="12.75" hidden="false" customHeight="false" outlineLevel="0" collapsed="false">
      <c r="A3801" s="0" t="n">
        <f aca="false">B3801*1000+C3801</f>
        <v>56018</v>
      </c>
      <c r="B3801" s="0" t="n">
        <v>56</v>
      </c>
      <c r="C3801" s="0" t="n">
        <v>18</v>
      </c>
      <c r="D3801" s="0" t="n">
        <v>0</v>
      </c>
      <c r="E3801" s="0" t="n">
        <f aca="false">VLOOKUP(B3801,'MSA-Lookup'!$H$2:$I$86,2)</f>
        <v>4480</v>
      </c>
      <c r="F3801" s="0" t="n">
        <f aca="false">IF(C3801&gt;1,IF(C3801&lt;99,VLOOKUP(C3801,'MSA-Lookup'!$H$1:$I$86,2),C3801),C3801)</f>
        <v>5775</v>
      </c>
      <c r="G3801" s="0" t="n">
        <f aca="false">VLOOKUP(E3801,'MSA-Lookup'!$AA$1:$AB$25,2)</f>
        <v>4472</v>
      </c>
      <c r="H3801" s="0" t="n">
        <f aca="false">IF(C3801&gt;1,IF(C3801&lt;99,VLOOKUP(F3801,'MSA-Lookup'!$AA$1:$AB$25,2),C3801),C3801)</f>
        <v>7362</v>
      </c>
    </row>
    <row r="3802" customFormat="false" ht="12.75" hidden="false" customHeight="false" outlineLevel="0" collapsed="false">
      <c r="A3802" s="0" t="n">
        <f aca="false">B3802*1000+C3802</f>
        <v>56019</v>
      </c>
      <c r="B3802" s="0" t="n">
        <v>56</v>
      </c>
      <c r="C3802" s="0" t="n">
        <v>19</v>
      </c>
      <c r="D3802" s="0" t="n">
        <v>0</v>
      </c>
      <c r="E3802" s="0" t="n">
        <f aca="false">VLOOKUP(B3802,'MSA-Lookup'!$H$2:$I$86,2)</f>
        <v>4480</v>
      </c>
      <c r="F3802" s="0" t="n">
        <f aca="false">IF(C3802&gt;1,IF(C3802&lt;99,VLOOKUP(C3802,'MSA-Lookup'!$H$1:$I$86,2),C3802),C3802)</f>
        <v>7360</v>
      </c>
      <c r="G3802" s="0" t="n">
        <f aca="false">VLOOKUP(E3802,'MSA-Lookup'!$AA$1:$AB$25,2)</f>
        <v>4472</v>
      </c>
      <c r="H3802" s="0" t="n">
        <f aca="false">IF(C3802&gt;1,IF(C3802&lt;99,VLOOKUP(F3802,'MSA-Lookup'!$AA$1:$AB$25,2),C3802),C3802)</f>
        <v>7362</v>
      </c>
    </row>
    <row r="3803" customFormat="false" ht="12.75" hidden="false" customHeight="false" outlineLevel="0" collapsed="false">
      <c r="A3803" s="0" t="n">
        <f aca="false">B3803*1000+C3803</f>
        <v>56020</v>
      </c>
      <c r="B3803" s="0" t="n">
        <v>56</v>
      </c>
      <c r="C3803" s="0" t="n">
        <v>20</v>
      </c>
      <c r="D3803" s="0" t="n">
        <v>0</v>
      </c>
      <c r="E3803" s="0" t="n">
        <f aca="false">VLOOKUP(B3803,'MSA-Lookup'!$H$2:$I$86,2)</f>
        <v>4480</v>
      </c>
      <c r="F3803" s="0" t="n">
        <f aca="false">IF(C3803&gt;1,IF(C3803&lt;99,VLOOKUP(C3803,'MSA-Lookup'!$H$1:$I$86,2),C3803),C3803)</f>
        <v>5775</v>
      </c>
      <c r="G3803" s="0" t="n">
        <f aca="false">VLOOKUP(E3803,'MSA-Lookup'!$AA$1:$AB$25,2)</f>
        <v>4472</v>
      </c>
      <c r="H3803" s="0" t="n">
        <f aca="false">IF(C3803&gt;1,IF(C3803&lt;99,VLOOKUP(F3803,'MSA-Lookup'!$AA$1:$AB$25,2),C3803),C3803)</f>
        <v>7362</v>
      </c>
    </row>
    <row r="3804" customFormat="false" ht="12.75" hidden="false" customHeight="false" outlineLevel="0" collapsed="false">
      <c r="A3804" s="0" t="n">
        <f aca="false">B3804*1000+C3804</f>
        <v>56021</v>
      </c>
      <c r="B3804" s="0" t="n">
        <v>56</v>
      </c>
      <c r="C3804" s="0" t="n">
        <v>21</v>
      </c>
      <c r="D3804" s="0" t="n">
        <v>0</v>
      </c>
      <c r="E3804" s="0" t="n">
        <f aca="false">VLOOKUP(B3804,'MSA-Lookup'!$H$2:$I$86,2)</f>
        <v>4480</v>
      </c>
      <c r="F3804" s="0" t="n">
        <f aca="false">IF(C3804&gt;1,IF(C3804&lt;99,VLOOKUP(C3804,'MSA-Lookup'!$H$1:$I$86,2),C3804),C3804)</f>
        <v>5775</v>
      </c>
      <c r="G3804" s="0" t="n">
        <f aca="false">VLOOKUP(E3804,'MSA-Lookup'!$AA$1:$AB$25,2)</f>
        <v>4472</v>
      </c>
      <c r="H3804" s="0" t="n">
        <f aca="false">IF(C3804&gt;1,IF(C3804&lt;99,VLOOKUP(F3804,'MSA-Lookup'!$AA$1:$AB$25,2),C3804),C3804)</f>
        <v>7362</v>
      </c>
    </row>
    <row r="3805" customFormat="false" ht="12.75" hidden="false" customHeight="false" outlineLevel="0" collapsed="false">
      <c r="A3805" s="0" t="n">
        <f aca="false">B3805*1000+C3805</f>
        <v>56022</v>
      </c>
      <c r="B3805" s="0" t="n">
        <v>56</v>
      </c>
      <c r="C3805" s="0" t="n">
        <v>22</v>
      </c>
      <c r="D3805" s="0" t="n">
        <v>0</v>
      </c>
      <c r="E3805" s="0" t="n">
        <f aca="false">VLOOKUP(B3805,'MSA-Lookup'!$H$2:$I$86,2)</f>
        <v>4480</v>
      </c>
      <c r="F3805" s="0" t="n">
        <f aca="false">IF(C3805&gt;1,IF(C3805&lt;99,VLOOKUP(C3805,'MSA-Lookup'!$H$1:$I$86,2),C3805),C3805)</f>
        <v>7360</v>
      </c>
      <c r="G3805" s="0" t="n">
        <f aca="false">VLOOKUP(E3805,'MSA-Lookup'!$AA$1:$AB$25,2)</f>
        <v>4472</v>
      </c>
      <c r="H3805" s="0" t="n">
        <f aca="false">IF(C3805&gt;1,IF(C3805&lt;99,VLOOKUP(F3805,'MSA-Lookup'!$AA$1:$AB$25,2),C3805),C3805)</f>
        <v>7362</v>
      </c>
    </row>
    <row r="3806" customFormat="false" ht="12.75" hidden="false" customHeight="false" outlineLevel="0" collapsed="false">
      <c r="A3806" s="0" t="n">
        <f aca="false">B3806*1000+C3806</f>
        <v>56023</v>
      </c>
      <c r="B3806" s="0" t="n">
        <v>56</v>
      </c>
      <c r="C3806" s="0" t="n">
        <v>23</v>
      </c>
      <c r="D3806" s="0" t="n">
        <v>0</v>
      </c>
      <c r="E3806" s="0" t="n">
        <f aca="false">VLOOKUP(B3806,'MSA-Lookup'!$H$2:$I$86,2)</f>
        <v>4480</v>
      </c>
      <c r="F3806" s="0" t="n">
        <f aca="false">IF(C3806&gt;1,IF(C3806&lt;99,VLOOKUP(C3806,'MSA-Lookup'!$H$1:$I$86,2),C3806),C3806)</f>
        <v>8120</v>
      </c>
      <c r="G3806" s="0" t="n">
        <f aca="false">VLOOKUP(E3806,'MSA-Lookup'!$AA$1:$AB$25,2)</f>
        <v>4472</v>
      </c>
      <c r="H3806" s="0" t="n">
        <f aca="false">IF(C3806&gt;1,IF(C3806&lt;99,VLOOKUP(F3806,'MSA-Lookup'!$AA$1:$AB$25,2),C3806),C3806)</f>
        <v>8120</v>
      </c>
    </row>
    <row r="3807" customFormat="false" ht="12.75" hidden="false" customHeight="false" outlineLevel="0" collapsed="false">
      <c r="A3807" s="0" t="n">
        <f aca="false">B3807*1000+C3807</f>
        <v>56024</v>
      </c>
      <c r="B3807" s="0" t="n">
        <v>56</v>
      </c>
      <c r="C3807" s="0" t="n">
        <v>24</v>
      </c>
      <c r="D3807" s="0" t="n">
        <v>0</v>
      </c>
      <c r="E3807" s="0" t="n">
        <f aca="false">VLOOKUP(B3807,'MSA-Lookup'!$H$2:$I$86,2)</f>
        <v>4480</v>
      </c>
      <c r="F3807" s="0" t="n">
        <f aca="false">IF(C3807&gt;1,IF(C3807&lt;99,VLOOKUP(C3807,'MSA-Lookup'!$H$1:$I$86,2),C3807),C3807)</f>
        <v>5170</v>
      </c>
      <c r="G3807" s="0" t="n">
        <f aca="false">VLOOKUP(E3807,'MSA-Lookup'!$AA$1:$AB$25,2)</f>
        <v>4472</v>
      </c>
      <c r="H3807" s="0" t="n">
        <f aca="false">IF(C3807&gt;1,IF(C3807&lt;99,VLOOKUP(F3807,'MSA-Lookup'!$AA$1:$AB$25,2),C3807),C3807)</f>
        <v>5170</v>
      </c>
    </row>
    <row r="3808" customFormat="false" ht="12.75" hidden="false" customHeight="false" outlineLevel="0" collapsed="false">
      <c r="A3808" s="0" t="n">
        <f aca="false">B3808*1000+C3808</f>
        <v>56025</v>
      </c>
      <c r="B3808" s="0" t="n">
        <v>56</v>
      </c>
      <c r="C3808" s="0" t="n">
        <v>25</v>
      </c>
      <c r="D3808" s="0" t="n">
        <v>0</v>
      </c>
      <c r="E3808" s="0" t="n">
        <f aca="false">VLOOKUP(B3808,'MSA-Lookup'!$H$2:$I$86,2)</f>
        <v>4480</v>
      </c>
      <c r="F3808" s="0" t="n">
        <f aca="false">IF(C3808&gt;1,IF(C3808&lt;99,VLOOKUP(C3808,'MSA-Lookup'!$H$1:$I$86,2),C3808),C3808)</f>
        <v>5170</v>
      </c>
      <c r="G3808" s="0" t="n">
        <f aca="false">VLOOKUP(E3808,'MSA-Lookup'!$AA$1:$AB$25,2)</f>
        <v>4472</v>
      </c>
      <c r="H3808" s="0" t="n">
        <f aca="false">IF(C3808&gt;1,IF(C3808&lt;99,VLOOKUP(F3808,'MSA-Lookup'!$AA$1:$AB$25,2),C3808),C3808)</f>
        <v>5170</v>
      </c>
    </row>
    <row r="3809" customFormat="false" ht="12.75" hidden="false" customHeight="false" outlineLevel="0" collapsed="false">
      <c r="A3809" s="0" t="n">
        <f aca="false">B3809*1000+C3809</f>
        <v>56026</v>
      </c>
      <c r="B3809" s="0" t="n">
        <v>56</v>
      </c>
      <c r="C3809" s="0" t="n">
        <v>26</v>
      </c>
      <c r="D3809" s="0" t="n">
        <v>0</v>
      </c>
      <c r="E3809" s="0" t="n">
        <f aca="false">VLOOKUP(B3809,'MSA-Lookup'!$H$2:$I$86,2)</f>
        <v>4480</v>
      </c>
      <c r="F3809" s="0" t="n">
        <f aca="false">IF(C3809&gt;1,IF(C3809&lt;99,VLOOKUP(C3809,'MSA-Lookup'!$H$1:$I$86,2),C3809),C3809)</f>
        <v>9999</v>
      </c>
      <c r="G3809" s="0" t="n">
        <f aca="false">VLOOKUP(E3809,'MSA-Lookup'!$AA$1:$AB$25,2)</f>
        <v>4472</v>
      </c>
      <c r="H3809" s="0" t="n">
        <f aca="false">IF(C3809&gt;1,IF(C3809&lt;99,VLOOKUP(F3809,'MSA-Lookup'!$AA$1:$AB$25,2),C3809),C3809)</f>
        <v>9999</v>
      </c>
    </row>
    <row r="3810" customFormat="false" ht="12.75" hidden="false" customHeight="false" outlineLevel="0" collapsed="false">
      <c r="A3810" s="0" t="n">
        <f aca="false">B3810*1000+C3810</f>
        <v>56027</v>
      </c>
      <c r="B3810" s="0" t="n">
        <v>56</v>
      </c>
      <c r="C3810" s="0" t="n">
        <v>27</v>
      </c>
      <c r="D3810" s="0" t="n">
        <v>0</v>
      </c>
      <c r="E3810" s="0" t="n">
        <f aca="false">VLOOKUP(B3810,'MSA-Lookup'!$H$2:$I$86,2)</f>
        <v>4480</v>
      </c>
      <c r="F3810" s="0" t="n">
        <f aca="false">IF(C3810&gt;1,IF(C3810&lt;99,VLOOKUP(C3810,'MSA-Lookup'!$H$1:$I$86,2),C3810),C3810)</f>
        <v>9999</v>
      </c>
      <c r="G3810" s="0" t="n">
        <f aca="false">VLOOKUP(E3810,'MSA-Lookup'!$AA$1:$AB$25,2)</f>
        <v>4472</v>
      </c>
      <c r="H3810" s="0" t="n">
        <f aca="false">IF(C3810&gt;1,IF(C3810&lt;99,VLOOKUP(F3810,'MSA-Lookup'!$AA$1:$AB$25,2),C3810),C3810)</f>
        <v>9999</v>
      </c>
    </row>
    <row r="3811" customFormat="false" ht="12.75" hidden="false" customHeight="false" outlineLevel="0" collapsed="false">
      <c r="A3811" s="0" t="n">
        <f aca="false">B3811*1000+C3811</f>
        <v>56028</v>
      </c>
      <c r="B3811" s="0" t="n">
        <v>56</v>
      </c>
      <c r="C3811" s="0" t="n">
        <v>28</v>
      </c>
      <c r="D3811" s="0" t="n">
        <v>0</v>
      </c>
      <c r="E3811" s="0" t="n">
        <f aca="false">VLOOKUP(B3811,'MSA-Lookup'!$H$2:$I$86,2)</f>
        <v>4480</v>
      </c>
      <c r="F3811" s="0" t="n">
        <f aca="false">IF(C3811&gt;1,IF(C3811&lt;99,VLOOKUP(C3811,'MSA-Lookup'!$H$1:$I$86,2),C3811),C3811)</f>
        <v>6920</v>
      </c>
      <c r="G3811" s="0" t="n">
        <f aca="false">VLOOKUP(E3811,'MSA-Lookup'!$AA$1:$AB$25,2)</f>
        <v>4472</v>
      </c>
      <c r="H3811" s="0" t="n">
        <f aca="false">IF(C3811&gt;1,IF(C3811&lt;99,VLOOKUP(F3811,'MSA-Lookup'!$AA$1:$AB$25,2),C3811),C3811)</f>
        <v>6920</v>
      </c>
    </row>
    <row r="3812" customFormat="false" ht="12.75" hidden="false" customHeight="false" outlineLevel="0" collapsed="false">
      <c r="A3812" s="0" t="n">
        <f aca="false">B3812*1000+C3812</f>
        <v>56029</v>
      </c>
      <c r="B3812" s="0" t="n">
        <v>56</v>
      </c>
      <c r="C3812" s="0" t="n">
        <v>29</v>
      </c>
      <c r="D3812" s="0" t="n">
        <v>0</v>
      </c>
      <c r="E3812" s="0" t="n">
        <f aca="false">VLOOKUP(B3812,'MSA-Lookup'!$H$2:$I$86,2)</f>
        <v>4480</v>
      </c>
      <c r="F3812" s="0" t="n">
        <f aca="false">IF(C3812&gt;1,IF(C3812&lt;99,VLOOKUP(C3812,'MSA-Lookup'!$H$1:$I$86,2),C3812),C3812)</f>
        <v>6920</v>
      </c>
      <c r="G3812" s="0" t="n">
        <f aca="false">VLOOKUP(E3812,'MSA-Lookup'!$AA$1:$AB$25,2)</f>
        <v>4472</v>
      </c>
      <c r="H3812" s="0" t="n">
        <f aca="false">IF(C3812&gt;1,IF(C3812&lt;99,VLOOKUP(F3812,'MSA-Lookup'!$AA$1:$AB$25,2),C3812),C3812)</f>
        <v>6920</v>
      </c>
    </row>
    <row r="3813" customFormat="false" ht="12.75" hidden="false" customHeight="false" outlineLevel="0" collapsed="false">
      <c r="A3813" s="0" t="n">
        <f aca="false">B3813*1000+C3813</f>
        <v>56030</v>
      </c>
      <c r="B3813" s="0" t="n">
        <v>56</v>
      </c>
      <c r="C3813" s="0" t="n">
        <v>30</v>
      </c>
      <c r="D3813" s="0" t="n">
        <v>0</v>
      </c>
      <c r="E3813" s="0" t="n">
        <f aca="false">VLOOKUP(B3813,'MSA-Lookup'!$H$2:$I$86,2)</f>
        <v>4480</v>
      </c>
      <c r="F3813" s="0" t="n">
        <f aca="false">IF(C3813&gt;1,IF(C3813&lt;99,VLOOKUP(C3813,'MSA-Lookup'!$H$1:$I$86,2),C3813),C3813)</f>
        <v>4940</v>
      </c>
      <c r="G3813" s="0" t="n">
        <f aca="false">VLOOKUP(E3813,'MSA-Lookup'!$AA$1:$AB$25,2)</f>
        <v>4472</v>
      </c>
      <c r="H3813" s="0" t="n">
        <f aca="false">IF(C3813&gt;1,IF(C3813&lt;99,VLOOKUP(F3813,'MSA-Lookup'!$AA$1:$AB$25,2),C3813),C3813)</f>
        <v>4940</v>
      </c>
    </row>
    <row r="3814" customFormat="false" ht="12.75" hidden="false" customHeight="false" outlineLevel="0" collapsed="false">
      <c r="A3814" s="0" t="n">
        <f aca="false">B3814*1000+C3814</f>
        <v>56031</v>
      </c>
      <c r="B3814" s="0" t="n">
        <v>56</v>
      </c>
      <c r="C3814" s="0" t="n">
        <v>31</v>
      </c>
      <c r="D3814" s="0" t="n">
        <v>0</v>
      </c>
      <c r="E3814" s="0" t="n">
        <f aca="false">VLOOKUP(B3814,'MSA-Lookup'!$H$2:$I$86,2)</f>
        <v>4480</v>
      </c>
      <c r="F3814" s="0" t="n">
        <f aca="false">IF(C3814&gt;1,IF(C3814&lt;99,VLOOKUP(C3814,'MSA-Lookup'!$H$1:$I$86,2),C3814),C3814)</f>
        <v>9999</v>
      </c>
      <c r="G3814" s="0" t="n">
        <f aca="false">VLOOKUP(E3814,'MSA-Lookup'!$AA$1:$AB$25,2)</f>
        <v>4472</v>
      </c>
      <c r="H3814" s="0" t="n">
        <f aca="false">IF(C3814&gt;1,IF(C3814&lt;99,VLOOKUP(F3814,'MSA-Lookup'!$AA$1:$AB$25,2),C3814),C3814)</f>
        <v>9999</v>
      </c>
    </row>
    <row r="3815" customFormat="false" ht="12.75" hidden="false" customHeight="false" outlineLevel="0" collapsed="false">
      <c r="A3815" s="0" t="n">
        <f aca="false">B3815*1000+C3815</f>
        <v>56032</v>
      </c>
      <c r="B3815" s="0" t="n">
        <v>56</v>
      </c>
      <c r="C3815" s="0" t="n">
        <v>32</v>
      </c>
      <c r="D3815" s="0" t="n">
        <v>0</v>
      </c>
      <c r="E3815" s="0" t="n">
        <f aca="false">VLOOKUP(B3815,'MSA-Lookup'!$H$2:$I$86,2)</f>
        <v>4480</v>
      </c>
      <c r="F3815" s="0" t="n">
        <f aca="false">IF(C3815&gt;1,IF(C3815&lt;99,VLOOKUP(C3815,'MSA-Lookup'!$H$1:$I$86,2),C3815),C3815)</f>
        <v>7480</v>
      </c>
      <c r="G3815" s="0" t="n">
        <f aca="false">VLOOKUP(E3815,'MSA-Lookup'!$AA$1:$AB$25,2)</f>
        <v>4472</v>
      </c>
      <c r="H3815" s="0" t="n">
        <f aca="false">IF(C3815&gt;1,IF(C3815&lt;99,VLOOKUP(F3815,'MSA-Lookup'!$AA$1:$AB$25,2),C3815),C3815)</f>
        <v>7480</v>
      </c>
    </row>
    <row r="3816" customFormat="false" ht="12.75" hidden="false" customHeight="false" outlineLevel="0" collapsed="false">
      <c r="A3816" s="0" t="n">
        <f aca="false">B3816*1000+C3816</f>
        <v>56033</v>
      </c>
      <c r="B3816" s="0" t="n">
        <v>56</v>
      </c>
      <c r="C3816" s="0" t="n">
        <v>33</v>
      </c>
      <c r="D3816" s="0" t="n">
        <v>0</v>
      </c>
      <c r="E3816" s="0" t="n">
        <f aca="false">VLOOKUP(B3816,'MSA-Lookup'!$H$2:$I$86,2)</f>
        <v>4480</v>
      </c>
      <c r="F3816" s="0" t="n">
        <f aca="false">IF(C3816&gt;1,IF(C3816&lt;99,VLOOKUP(C3816,'MSA-Lookup'!$H$1:$I$86,2),C3816),C3816)</f>
        <v>7320</v>
      </c>
      <c r="G3816" s="0" t="n">
        <f aca="false">VLOOKUP(E3816,'MSA-Lookup'!$AA$1:$AB$25,2)</f>
        <v>4472</v>
      </c>
      <c r="H3816" s="0" t="n">
        <f aca="false">IF(C3816&gt;1,IF(C3816&lt;99,VLOOKUP(F3816,'MSA-Lookup'!$AA$1:$AB$25,2),C3816),C3816)</f>
        <v>7320</v>
      </c>
    </row>
    <row r="3817" customFormat="false" ht="12.75" hidden="false" customHeight="false" outlineLevel="0" collapsed="false">
      <c r="A3817" s="0" t="n">
        <f aca="false">B3817*1000+C3817</f>
        <v>56034</v>
      </c>
      <c r="B3817" s="0" t="n">
        <v>56</v>
      </c>
      <c r="C3817" s="0" t="n">
        <v>34</v>
      </c>
      <c r="D3817" s="0" t="n">
        <v>0</v>
      </c>
      <c r="E3817" s="0" t="n">
        <f aca="false">VLOOKUP(B3817,'MSA-Lookup'!$H$2:$I$86,2)</f>
        <v>4480</v>
      </c>
      <c r="F3817" s="0" t="n">
        <f aca="false">IF(C3817&gt;1,IF(C3817&lt;99,VLOOKUP(C3817,'MSA-Lookup'!$H$1:$I$86,2),C3817),C3817)</f>
        <v>7320</v>
      </c>
      <c r="G3817" s="0" t="n">
        <f aca="false">VLOOKUP(E3817,'MSA-Lookup'!$AA$1:$AB$25,2)</f>
        <v>4472</v>
      </c>
      <c r="H3817" s="0" t="n">
        <f aca="false">IF(C3817&gt;1,IF(C3817&lt;99,VLOOKUP(F3817,'MSA-Lookup'!$AA$1:$AB$25,2),C3817),C3817)</f>
        <v>7320</v>
      </c>
    </row>
    <row r="3818" customFormat="false" ht="12.75" hidden="false" customHeight="false" outlineLevel="0" collapsed="false">
      <c r="A3818" s="0" t="n">
        <f aca="false">B3818*1000+C3818</f>
        <v>56035</v>
      </c>
      <c r="B3818" s="0" t="n">
        <v>56</v>
      </c>
      <c r="C3818" s="0" t="n">
        <v>35</v>
      </c>
      <c r="D3818" s="0" t="n">
        <v>0</v>
      </c>
      <c r="E3818" s="0" t="n">
        <f aca="false">VLOOKUP(B3818,'MSA-Lookup'!$H$2:$I$86,2)</f>
        <v>4480</v>
      </c>
      <c r="F3818" s="0" t="n">
        <f aca="false">IF(C3818&gt;1,IF(C3818&lt;99,VLOOKUP(C3818,'MSA-Lookup'!$H$1:$I$86,2),C3818),C3818)</f>
        <v>7320</v>
      </c>
      <c r="G3818" s="0" t="n">
        <f aca="false">VLOOKUP(E3818,'MSA-Lookup'!$AA$1:$AB$25,2)</f>
        <v>4472</v>
      </c>
      <c r="H3818" s="0" t="n">
        <f aca="false">IF(C3818&gt;1,IF(C3818&lt;99,VLOOKUP(F3818,'MSA-Lookup'!$AA$1:$AB$25,2),C3818),C3818)</f>
        <v>7320</v>
      </c>
    </row>
    <row r="3819" customFormat="false" ht="12.75" hidden="false" customHeight="false" outlineLevel="0" collapsed="false">
      <c r="A3819" s="0" t="n">
        <f aca="false">B3819*1000+C3819</f>
        <v>56036</v>
      </c>
      <c r="B3819" s="0" t="n">
        <v>56</v>
      </c>
      <c r="C3819" s="0" t="n">
        <v>36</v>
      </c>
      <c r="D3819" s="0" t="n">
        <v>0</v>
      </c>
      <c r="E3819" s="0" t="n">
        <f aca="false">VLOOKUP(B3819,'MSA-Lookup'!$H$2:$I$86,2)</f>
        <v>4480</v>
      </c>
      <c r="F3819" s="0" t="n">
        <f aca="false">IF(C3819&gt;1,IF(C3819&lt;99,VLOOKUP(C3819,'MSA-Lookup'!$H$1:$I$86,2),C3819),C3819)</f>
        <v>7320</v>
      </c>
      <c r="G3819" s="0" t="n">
        <f aca="false">VLOOKUP(E3819,'MSA-Lookup'!$AA$1:$AB$25,2)</f>
        <v>4472</v>
      </c>
      <c r="H3819" s="0" t="n">
        <f aca="false">IF(C3819&gt;1,IF(C3819&lt;99,VLOOKUP(F3819,'MSA-Lookup'!$AA$1:$AB$25,2),C3819),C3819)</f>
        <v>7320</v>
      </c>
    </row>
    <row r="3820" customFormat="false" ht="12.75" hidden="false" customHeight="false" outlineLevel="0" collapsed="false">
      <c r="A3820" s="0" t="n">
        <f aca="false">B3820*1000+C3820</f>
        <v>56037</v>
      </c>
      <c r="B3820" s="0" t="n">
        <v>56</v>
      </c>
      <c r="C3820" s="0" t="n">
        <v>37</v>
      </c>
      <c r="D3820" s="0" t="n">
        <v>0</v>
      </c>
      <c r="E3820" s="0" t="n">
        <f aca="false">VLOOKUP(B3820,'MSA-Lookup'!$H$2:$I$86,2)</f>
        <v>4480</v>
      </c>
      <c r="F3820" s="0" t="n">
        <f aca="false">IF(C3820&gt;1,IF(C3820&lt;99,VLOOKUP(C3820,'MSA-Lookup'!$H$1:$I$86,2),C3820),C3820)</f>
        <v>7320</v>
      </c>
      <c r="G3820" s="0" t="n">
        <f aca="false">VLOOKUP(E3820,'MSA-Lookup'!$AA$1:$AB$25,2)</f>
        <v>4472</v>
      </c>
      <c r="H3820" s="0" t="n">
        <f aca="false">IF(C3820&gt;1,IF(C3820&lt;99,VLOOKUP(F3820,'MSA-Lookup'!$AA$1:$AB$25,2),C3820),C3820)</f>
        <v>7320</v>
      </c>
    </row>
    <row r="3821" customFormat="false" ht="12.75" hidden="false" customHeight="false" outlineLevel="0" collapsed="false">
      <c r="A3821" s="0" t="n">
        <f aca="false">B3821*1000+C3821</f>
        <v>56038</v>
      </c>
      <c r="B3821" s="0" t="n">
        <v>56</v>
      </c>
      <c r="C3821" s="0" t="n">
        <v>38</v>
      </c>
      <c r="D3821" s="0" t="n">
        <v>0</v>
      </c>
      <c r="E3821" s="0" t="n">
        <f aca="false">VLOOKUP(B3821,'MSA-Lookup'!$H$2:$I$86,2)</f>
        <v>4480</v>
      </c>
      <c r="F3821" s="0" t="n">
        <f aca="false">IF(C3821&gt;1,IF(C3821&lt;99,VLOOKUP(C3821,'MSA-Lookup'!$H$1:$I$86,2),C3821),C3821)</f>
        <v>7120</v>
      </c>
      <c r="G3821" s="0" t="n">
        <f aca="false">VLOOKUP(E3821,'MSA-Lookup'!$AA$1:$AB$25,2)</f>
        <v>4472</v>
      </c>
      <c r="H3821" s="0" t="n">
        <f aca="false">IF(C3821&gt;1,IF(C3821&lt;99,VLOOKUP(F3821,'MSA-Lookup'!$AA$1:$AB$25,2),C3821),C3821)</f>
        <v>7120</v>
      </c>
    </row>
    <row r="3822" customFormat="false" ht="12.75" hidden="false" customHeight="false" outlineLevel="0" collapsed="false">
      <c r="A3822" s="0" t="n">
        <f aca="false">B3822*1000+C3822</f>
        <v>56039</v>
      </c>
      <c r="B3822" s="0" t="n">
        <v>56</v>
      </c>
      <c r="C3822" s="0" t="n">
        <v>39</v>
      </c>
      <c r="D3822" s="0" t="n">
        <v>0</v>
      </c>
      <c r="E3822" s="0" t="n">
        <f aca="false">VLOOKUP(B3822,'MSA-Lookup'!$H$2:$I$86,2)</f>
        <v>4480</v>
      </c>
      <c r="F3822" s="0" t="n">
        <f aca="false">IF(C3822&gt;1,IF(C3822&lt;99,VLOOKUP(C3822,'MSA-Lookup'!$H$1:$I$86,2),C3822),C3822)</f>
        <v>7120</v>
      </c>
      <c r="G3822" s="0" t="n">
        <f aca="false">VLOOKUP(E3822,'MSA-Lookup'!$AA$1:$AB$25,2)</f>
        <v>4472</v>
      </c>
      <c r="H3822" s="0" t="n">
        <f aca="false">IF(C3822&gt;1,IF(C3822&lt;99,VLOOKUP(F3822,'MSA-Lookup'!$AA$1:$AB$25,2),C3822),C3822)</f>
        <v>7120</v>
      </c>
    </row>
    <row r="3823" customFormat="false" ht="12.75" hidden="false" customHeight="false" outlineLevel="0" collapsed="false">
      <c r="A3823" s="0" t="n">
        <f aca="false">B3823*1000+C3823</f>
        <v>56040</v>
      </c>
      <c r="B3823" s="0" t="n">
        <v>56</v>
      </c>
      <c r="C3823" s="0" t="n">
        <v>40</v>
      </c>
      <c r="D3823" s="0" t="n">
        <v>0</v>
      </c>
      <c r="E3823" s="0" t="n">
        <f aca="false">VLOOKUP(B3823,'MSA-Lookup'!$H$2:$I$86,2)</f>
        <v>4480</v>
      </c>
      <c r="F3823" s="0" t="n">
        <f aca="false">IF(C3823&gt;1,IF(C3823&lt;99,VLOOKUP(C3823,'MSA-Lookup'!$H$1:$I$86,2),C3823),C3823)</f>
        <v>2840</v>
      </c>
      <c r="G3823" s="0" t="n">
        <f aca="false">VLOOKUP(E3823,'MSA-Lookup'!$AA$1:$AB$25,2)</f>
        <v>4472</v>
      </c>
      <c r="H3823" s="0" t="n">
        <f aca="false">IF(C3823&gt;1,IF(C3823&lt;99,VLOOKUP(F3823,'MSA-Lookup'!$AA$1:$AB$25,2),C3823),C3823)</f>
        <v>2840</v>
      </c>
    </row>
    <row r="3824" customFormat="false" ht="12.75" hidden="false" customHeight="false" outlineLevel="0" collapsed="false">
      <c r="A3824" s="0" t="n">
        <f aca="false">B3824*1000+C3824</f>
        <v>56041</v>
      </c>
      <c r="B3824" s="0" t="n">
        <v>56</v>
      </c>
      <c r="C3824" s="0" t="n">
        <v>41</v>
      </c>
      <c r="D3824" s="0" t="n">
        <v>0</v>
      </c>
      <c r="E3824" s="0" t="n">
        <f aca="false">VLOOKUP(B3824,'MSA-Lookup'!$H$2:$I$86,2)</f>
        <v>4480</v>
      </c>
      <c r="F3824" s="0" t="n">
        <f aca="false">IF(C3824&gt;1,IF(C3824&lt;99,VLOOKUP(C3824,'MSA-Lookup'!$H$1:$I$86,2),C3824),C3824)</f>
        <v>2840</v>
      </c>
      <c r="G3824" s="0" t="n">
        <f aca="false">VLOOKUP(E3824,'MSA-Lookup'!$AA$1:$AB$25,2)</f>
        <v>4472</v>
      </c>
      <c r="H3824" s="0" t="n">
        <f aca="false">IF(C3824&gt;1,IF(C3824&lt;99,VLOOKUP(F3824,'MSA-Lookup'!$AA$1:$AB$25,2),C3824),C3824)</f>
        <v>2840</v>
      </c>
    </row>
    <row r="3825" customFormat="false" ht="12.75" hidden="false" customHeight="false" outlineLevel="0" collapsed="false">
      <c r="A3825" s="0" t="n">
        <f aca="false">B3825*1000+C3825</f>
        <v>56042</v>
      </c>
      <c r="B3825" s="0" t="n">
        <v>56</v>
      </c>
      <c r="C3825" s="0" t="n">
        <v>42</v>
      </c>
      <c r="D3825" s="0" t="n">
        <v>91</v>
      </c>
      <c r="E3825" s="0" t="n">
        <f aca="false">VLOOKUP(B3825,'MSA-Lookup'!$H$2:$I$86,2)</f>
        <v>4480</v>
      </c>
      <c r="F3825" s="0" t="n">
        <f aca="false">IF(C3825&gt;1,IF(C3825&lt;99,VLOOKUP(C3825,'MSA-Lookup'!$H$1:$I$86,2),C3825),C3825)</f>
        <v>360</v>
      </c>
      <c r="G3825" s="0" t="n">
        <f aca="false">VLOOKUP(E3825,'MSA-Lookup'!$AA$1:$AB$25,2)</f>
        <v>4472</v>
      </c>
      <c r="H3825" s="0" t="n">
        <f aca="false">IF(C3825&gt;1,IF(C3825&lt;99,VLOOKUP(F3825,'MSA-Lookup'!$AA$1:$AB$25,2),C3825),C3825)</f>
        <v>4472</v>
      </c>
    </row>
    <row r="3826" customFormat="false" ht="12.75" hidden="false" customHeight="false" outlineLevel="0" collapsed="false">
      <c r="A3826" s="0" t="n">
        <f aca="false">B3826*1000+C3826</f>
        <v>56043</v>
      </c>
      <c r="B3826" s="0" t="n">
        <v>56</v>
      </c>
      <c r="C3826" s="0" t="n">
        <v>43</v>
      </c>
      <c r="D3826" s="0" t="n">
        <v>0</v>
      </c>
      <c r="E3826" s="0" t="n">
        <f aca="false">VLOOKUP(B3826,'MSA-Lookup'!$H$2:$I$86,2)</f>
        <v>4480</v>
      </c>
      <c r="F3826" s="0" t="n">
        <f aca="false">IF(C3826&gt;1,IF(C3826&lt;99,VLOOKUP(C3826,'MSA-Lookup'!$H$1:$I$86,2),C3826),C3826)</f>
        <v>360</v>
      </c>
      <c r="G3826" s="0" t="n">
        <f aca="false">VLOOKUP(E3826,'MSA-Lookup'!$AA$1:$AB$25,2)</f>
        <v>4472</v>
      </c>
      <c r="H3826" s="0" t="n">
        <f aca="false">IF(C3826&gt;1,IF(C3826&lt;99,VLOOKUP(F3826,'MSA-Lookup'!$AA$1:$AB$25,2),C3826),C3826)</f>
        <v>4472</v>
      </c>
    </row>
    <row r="3827" customFormat="false" ht="12.75" hidden="false" customHeight="false" outlineLevel="0" collapsed="false">
      <c r="A3827" s="0" t="n">
        <f aca="false">B3827*1000+C3827</f>
        <v>56044</v>
      </c>
      <c r="B3827" s="0" t="n">
        <v>56</v>
      </c>
      <c r="C3827" s="0" t="n">
        <v>44</v>
      </c>
      <c r="D3827" s="0" t="n">
        <v>0</v>
      </c>
      <c r="E3827" s="0" t="n">
        <f aca="false">VLOOKUP(B3827,'MSA-Lookup'!$H$2:$I$86,2)</f>
        <v>4480</v>
      </c>
      <c r="F3827" s="0" t="n">
        <f aca="false">IF(C3827&gt;1,IF(C3827&lt;99,VLOOKUP(C3827,'MSA-Lookup'!$H$1:$I$86,2),C3827),C3827)</f>
        <v>360</v>
      </c>
      <c r="G3827" s="0" t="n">
        <f aca="false">VLOOKUP(E3827,'MSA-Lookup'!$AA$1:$AB$25,2)</f>
        <v>4472</v>
      </c>
      <c r="H3827" s="0" t="n">
        <f aca="false">IF(C3827&gt;1,IF(C3827&lt;99,VLOOKUP(F3827,'MSA-Lookup'!$AA$1:$AB$25,2),C3827),C3827)</f>
        <v>4472</v>
      </c>
    </row>
    <row r="3828" customFormat="false" ht="12.75" hidden="false" customHeight="false" outlineLevel="0" collapsed="false">
      <c r="A3828" s="0" t="n">
        <f aca="false">B3828*1000+C3828</f>
        <v>56045</v>
      </c>
      <c r="B3828" s="0" t="n">
        <v>56</v>
      </c>
      <c r="C3828" s="0" t="n">
        <v>45</v>
      </c>
      <c r="D3828" s="0" t="n">
        <v>0</v>
      </c>
      <c r="E3828" s="0" t="n">
        <f aca="false">VLOOKUP(B3828,'MSA-Lookup'!$H$2:$I$86,2)</f>
        <v>4480</v>
      </c>
      <c r="F3828" s="0" t="n">
        <f aca="false">IF(C3828&gt;1,IF(C3828&lt;99,VLOOKUP(C3828,'MSA-Lookup'!$H$1:$I$86,2),C3828),C3828)</f>
        <v>360</v>
      </c>
      <c r="G3828" s="0" t="n">
        <f aca="false">VLOOKUP(E3828,'MSA-Lookup'!$AA$1:$AB$25,2)</f>
        <v>4472</v>
      </c>
      <c r="H3828" s="0" t="n">
        <f aca="false">IF(C3828&gt;1,IF(C3828&lt;99,VLOOKUP(F3828,'MSA-Lookup'!$AA$1:$AB$25,2),C3828),C3828)</f>
        <v>4472</v>
      </c>
    </row>
    <row r="3829" customFormat="false" ht="12.75" hidden="false" customHeight="false" outlineLevel="0" collapsed="false">
      <c r="A3829" s="0" t="n">
        <f aca="false">B3829*1000+C3829</f>
        <v>56046</v>
      </c>
      <c r="B3829" s="0" t="n">
        <v>56</v>
      </c>
      <c r="C3829" s="0" t="n">
        <v>46</v>
      </c>
      <c r="D3829" s="0" t="n">
        <v>0</v>
      </c>
      <c r="E3829" s="0" t="n">
        <f aca="false">VLOOKUP(B3829,'MSA-Lookup'!$H$2:$I$86,2)</f>
        <v>4480</v>
      </c>
      <c r="F3829" s="0" t="n">
        <f aca="false">IF(C3829&gt;1,IF(C3829&lt;99,VLOOKUP(C3829,'MSA-Lookup'!$H$1:$I$86,2),C3829),C3829)</f>
        <v>360</v>
      </c>
      <c r="G3829" s="0" t="n">
        <f aca="false">VLOOKUP(E3829,'MSA-Lookup'!$AA$1:$AB$25,2)</f>
        <v>4472</v>
      </c>
      <c r="H3829" s="0" t="n">
        <f aca="false">IF(C3829&gt;1,IF(C3829&lt;99,VLOOKUP(F3829,'MSA-Lookup'!$AA$1:$AB$25,2),C3829),C3829)</f>
        <v>4472</v>
      </c>
    </row>
    <row r="3830" customFormat="false" ht="12.75" hidden="false" customHeight="false" outlineLevel="0" collapsed="false">
      <c r="A3830" s="0" t="n">
        <f aca="false">B3830*1000+C3830</f>
        <v>56047</v>
      </c>
      <c r="B3830" s="0" t="n">
        <v>56</v>
      </c>
      <c r="C3830" s="0" t="n">
        <v>47</v>
      </c>
      <c r="D3830" s="0" t="n">
        <v>221</v>
      </c>
      <c r="E3830" s="0" t="n">
        <f aca="false">VLOOKUP(B3830,'MSA-Lookup'!$H$2:$I$86,2)</f>
        <v>4480</v>
      </c>
      <c r="F3830" s="0" t="n">
        <f aca="false">IF(C3830&gt;1,IF(C3830&lt;99,VLOOKUP(C3830,'MSA-Lookup'!$H$1:$I$86,2),C3830),C3830)</f>
        <v>360</v>
      </c>
      <c r="G3830" s="0" t="n">
        <f aca="false">VLOOKUP(E3830,'MSA-Lookup'!$AA$1:$AB$25,2)</f>
        <v>4472</v>
      </c>
      <c r="H3830" s="0" t="n">
        <f aca="false">IF(C3830&gt;1,IF(C3830&lt;99,VLOOKUP(F3830,'MSA-Lookup'!$AA$1:$AB$25,2),C3830),C3830)</f>
        <v>4472</v>
      </c>
    </row>
    <row r="3831" customFormat="false" ht="12.75" hidden="false" customHeight="false" outlineLevel="0" collapsed="false">
      <c r="A3831" s="0" t="n">
        <f aca="false">B3831*1000+C3831</f>
        <v>56048</v>
      </c>
      <c r="B3831" s="0" t="n">
        <v>56</v>
      </c>
      <c r="C3831" s="0" t="n">
        <v>48</v>
      </c>
      <c r="D3831" s="0" t="n">
        <v>325</v>
      </c>
      <c r="E3831" s="0" t="n">
        <f aca="false">VLOOKUP(B3831,'MSA-Lookup'!$H$2:$I$86,2)</f>
        <v>4480</v>
      </c>
      <c r="F3831" s="0" t="n">
        <f aca="false">IF(C3831&gt;1,IF(C3831&lt;99,VLOOKUP(C3831,'MSA-Lookup'!$H$1:$I$86,2),C3831),C3831)</f>
        <v>360</v>
      </c>
      <c r="G3831" s="0" t="n">
        <f aca="false">VLOOKUP(E3831,'MSA-Lookup'!$AA$1:$AB$25,2)</f>
        <v>4472</v>
      </c>
      <c r="H3831" s="0" t="n">
        <f aca="false">IF(C3831&gt;1,IF(C3831&lt;99,VLOOKUP(F3831,'MSA-Lookup'!$AA$1:$AB$25,2),C3831),C3831)</f>
        <v>4472</v>
      </c>
    </row>
    <row r="3832" customFormat="false" ht="12.75" hidden="false" customHeight="false" outlineLevel="0" collapsed="false">
      <c r="A3832" s="0" t="n">
        <f aca="false">B3832*1000+C3832</f>
        <v>56049</v>
      </c>
      <c r="B3832" s="0" t="n">
        <v>56</v>
      </c>
      <c r="C3832" s="0" t="n">
        <v>49</v>
      </c>
      <c r="D3832" s="0" t="n">
        <v>0</v>
      </c>
      <c r="E3832" s="0" t="n">
        <f aca="false">VLOOKUP(B3832,'MSA-Lookup'!$H$2:$I$86,2)</f>
        <v>4480</v>
      </c>
      <c r="F3832" s="0" t="n">
        <f aca="false">IF(C3832&gt;1,IF(C3832&lt;99,VLOOKUP(C3832,'MSA-Lookup'!$H$1:$I$86,2),C3832),C3832)</f>
        <v>7400</v>
      </c>
      <c r="G3832" s="0" t="n">
        <f aca="false">VLOOKUP(E3832,'MSA-Lookup'!$AA$1:$AB$25,2)</f>
        <v>4472</v>
      </c>
      <c r="H3832" s="0" t="n">
        <f aca="false">IF(C3832&gt;1,IF(C3832&lt;99,VLOOKUP(F3832,'MSA-Lookup'!$AA$1:$AB$25,2),C3832),C3832)</f>
        <v>7362</v>
      </c>
    </row>
    <row r="3833" customFormat="false" ht="12.75" hidden="false" customHeight="false" outlineLevel="0" collapsed="false">
      <c r="A3833" s="0" t="n">
        <f aca="false">B3833*1000+C3833</f>
        <v>56050</v>
      </c>
      <c r="B3833" s="0" t="n">
        <v>56</v>
      </c>
      <c r="C3833" s="0" t="n">
        <v>50</v>
      </c>
      <c r="D3833" s="0" t="n">
        <v>0</v>
      </c>
      <c r="E3833" s="0" t="n">
        <f aca="false">VLOOKUP(B3833,'MSA-Lookup'!$H$2:$I$86,2)</f>
        <v>4480</v>
      </c>
      <c r="F3833" s="0" t="n">
        <f aca="false">IF(C3833&gt;1,IF(C3833&lt;99,VLOOKUP(C3833,'MSA-Lookup'!$H$1:$I$86,2),C3833),C3833)</f>
        <v>7400</v>
      </c>
      <c r="G3833" s="0" t="n">
        <f aca="false">VLOOKUP(E3833,'MSA-Lookup'!$AA$1:$AB$25,2)</f>
        <v>4472</v>
      </c>
      <c r="H3833" s="0" t="n">
        <f aca="false">IF(C3833&gt;1,IF(C3833&lt;99,VLOOKUP(F3833,'MSA-Lookup'!$AA$1:$AB$25,2),C3833),C3833)</f>
        <v>7362</v>
      </c>
    </row>
    <row r="3834" customFormat="false" ht="12.75" hidden="false" customHeight="false" outlineLevel="0" collapsed="false">
      <c r="A3834" s="0" t="n">
        <f aca="false">B3834*1000+C3834</f>
        <v>56051</v>
      </c>
      <c r="B3834" s="0" t="n">
        <v>56</v>
      </c>
      <c r="C3834" s="0" t="n">
        <v>51</v>
      </c>
      <c r="D3834" s="0" t="n">
        <v>0</v>
      </c>
      <c r="E3834" s="0" t="n">
        <f aca="false">VLOOKUP(B3834,'MSA-Lookup'!$H$2:$I$86,2)</f>
        <v>4480</v>
      </c>
      <c r="F3834" s="0" t="n">
        <f aca="false">IF(C3834&gt;1,IF(C3834&lt;99,VLOOKUP(C3834,'MSA-Lookup'!$H$1:$I$86,2),C3834),C3834)</f>
        <v>7400</v>
      </c>
      <c r="G3834" s="0" t="n">
        <f aca="false">VLOOKUP(E3834,'MSA-Lookup'!$AA$1:$AB$25,2)</f>
        <v>4472</v>
      </c>
      <c r="H3834" s="0" t="n">
        <f aca="false">IF(C3834&gt;1,IF(C3834&lt;99,VLOOKUP(F3834,'MSA-Lookup'!$AA$1:$AB$25,2),C3834),C3834)</f>
        <v>7362</v>
      </c>
    </row>
    <row r="3835" customFormat="false" ht="12.75" hidden="false" customHeight="false" outlineLevel="0" collapsed="false">
      <c r="A3835" s="0" t="n">
        <f aca="false">B3835*1000+C3835</f>
        <v>56052</v>
      </c>
      <c r="B3835" s="0" t="n">
        <v>56</v>
      </c>
      <c r="C3835" s="0" t="n">
        <v>52</v>
      </c>
      <c r="D3835" s="0" t="n">
        <v>130</v>
      </c>
      <c r="E3835" s="0" t="n">
        <f aca="false">VLOOKUP(B3835,'MSA-Lookup'!$H$2:$I$86,2)</f>
        <v>4480</v>
      </c>
      <c r="F3835" s="0" t="n">
        <f aca="false">IF(C3835&gt;1,IF(C3835&lt;99,VLOOKUP(C3835,'MSA-Lookup'!$H$1:$I$86,2),C3835),C3835)</f>
        <v>4480</v>
      </c>
      <c r="G3835" s="0" t="n">
        <f aca="false">VLOOKUP(E3835,'MSA-Lookup'!$AA$1:$AB$25,2)</f>
        <v>4472</v>
      </c>
      <c r="H3835" s="0" t="n">
        <f aca="false">IF(C3835&gt;1,IF(C3835&lt;99,VLOOKUP(F3835,'MSA-Lookup'!$AA$1:$AB$25,2),C3835),C3835)</f>
        <v>4472</v>
      </c>
    </row>
    <row r="3836" customFormat="false" ht="12.75" hidden="false" customHeight="false" outlineLevel="0" collapsed="false">
      <c r="A3836" s="0" t="n">
        <f aca="false">B3836*1000+C3836</f>
        <v>56053</v>
      </c>
      <c r="B3836" s="0" t="n">
        <v>56</v>
      </c>
      <c r="C3836" s="0" t="n">
        <v>53</v>
      </c>
      <c r="D3836" s="0" t="n">
        <v>234</v>
      </c>
      <c r="E3836" s="0" t="n">
        <f aca="false">VLOOKUP(B3836,'MSA-Lookup'!$H$2:$I$86,2)</f>
        <v>4480</v>
      </c>
      <c r="F3836" s="0" t="n">
        <f aca="false">IF(C3836&gt;1,IF(C3836&lt;99,VLOOKUP(C3836,'MSA-Lookup'!$H$1:$I$86,2),C3836),C3836)</f>
        <v>4480</v>
      </c>
      <c r="G3836" s="0" t="n">
        <f aca="false">VLOOKUP(E3836,'MSA-Lookup'!$AA$1:$AB$25,2)</f>
        <v>4472</v>
      </c>
      <c r="H3836" s="0" t="n">
        <f aca="false">IF(C3836&gt;1,IF(C3836&lt;99,VLOOKUP(F3836,'MSA-Lookup'!$AA$1:$AB$25,2),C3836),C3836)</f>
        <v>4472</v>
      </c>
    </row>
    <row r="3837" customFormat="false" ht="12.75" hidden="false" customHeight="false" outlineLevel="0" collapsed="false">
      <c r="A3837" s="0" t="n">
        <f aca="false">B3837*1000+C3837</f>
        <v>56054</v>
      </c>
      <c r="B3837" s="0" t="n">
        <v>56</v>
      </c>
      <c r="C3837" s="0" t="n">
        <v>54</v>
      </c>
      <c r="D3837" s="0" t="n">
        <v>247</v>
      </c>
      <c r="E3837" s="0" t="n">
        <f aca="false">VLOOKUP(B3837,'MSA-Lookup'!$H$2:$I$86,2)</f>
        <v>4480</v>
      </c>
      <c r="F3837" s="0" t="n">
        <f aca="false">IF(C3837&gt;1,IF(C3837&lt;99,VLOOKUP(C3837,'MSA-Lookup'!$H$1:$I$86,2),C3837),C3837)</f>
        <v>4480</v>
      </c>
      <c r="G3837" s="0" t="n">
        <f aca="false">VLOOKUP(E3837,'MSA-Lookup'!$AA$1:$AB$25,2)</f>
        <v>4472</v>
      </c>
      <c r="H3837" s="0" t="n">
        <f aca="false">IF(C3837&gt;1,IF(C3837&lt;99,VLOOKUP(F3837,'MSA-Lookup'!$AA$1:$AB$25,2),C3837),C3837)</f>
        <v>4472</v>
      </c>
    </row>
    <row r="3838" customFormat="false" ht="12.75" hidden="false" customHeight="false" outlineLevel="0" collapsed="false">
      <c r="A3838" s="0" t="n">
        <f aca="false">B3838*1000+C3838</f>
        <v>56055</v>
      </c>
      <c r="B3838" s="0" t="n">
        <v>56</v>
      </c>
      <c r="C3838" s="0" t="n">
        <v>55</v>
      </c>
      <c r="D3838" s="0" t="n">
        <v>234</v>
      </c>
      <c r="E3838" s="0" t="n">
        <f aca="false">VLOOKUP(B3838,'MSA-Lookup'!$H$2:$I$86,2)</f>
        <v>4480</v>
      </c>
      <c r="F3838" s="0" t="n">
        <f aca="false">IF(C3838&gt;1,IF(C3838&lt;99,VLOOKUP(C3838,'MSA-Lookup'!$H$1:$I$86,2),C3838),C3838)</f>
        <v>4480</v>
      </c>
      <c r="G3838" s="0" t="n">
        <f aca="false">VLOOKUP(E3838,'MSA-Lookup'!$AA$1:$AB$25,2)</f>
        <v>4472</v>
      </c>
      <c r="H3838" s="0" t="n">
        <f aca="false">IF(C3838&gt;1,IF(C3838&lt;99,VLOOKUP(F3838,'MSA-Lookup'!$AA$1:$AB$25,2),C3838),C3838)</f>
        <v>4472</v>
      </c>
    </row>
    <row r="3839" customFormat="false" ht="12.75" hidden="false" customHeight="false" outlineLevel="0" collapsed="false">
      <c r="A3839" s="0" t="n">
        <f aca="false">B3839*1000+C3839</f>
        <v>56056</v>
      </c>
      <c r="B3839" s="0" t="n">
        <v>56</v>
      </c>
      <c r="C3839" s="0" t="n">
        <v>56</v>
      </c>
      <c r="D3839" s="0" t="n">
        <v>5278</v>
      </c>
      <c r="E3839" s="0" t="n">
        <f aca="false">VLOOKUP(B3839,'MSA-Lookup'!$H$2:$I$86,2)</f>
        <v>4480</v>
      </c>
      <c r="F3839" s="0" t="n">
        <f aca="false">IF(C3839&gt;1,IF(C3839&lt;99,VLOOKUP(C3839,'MSA-Lookup'!$H$1:$I$86,2),C3839),C3839)</f>
        <v>4480</v>
      </c>
      <c r="G3839" s="0" t="n">
        <f aca="false">VLOOKUP(E3839,'MSA-Lookup'!$AA$1:$AB$25,2)</f>
        <v>4472</v>
      </c>
      <c r="H3839" s="0" t="n">
        <f aca="false">IF(C3839&gt;1,IF(C3839&lt;99,VLOOKUP(F3839,'MSA-Lookup'!$AA$1:$AB$25,2),C3839),C3839)</f>
        <v>4472</v>
      </c>
    </row>
    <row r="3840" customFormat="false" ht="12.75" hidden="false" customHeight="false" outlineLevel="0" collapsed="false">
      <c r="A3840" s="0" t="n">
        <f aca="false">B3840*1000+C3840</f>
        <v>56057</v>
      </c>
      <c r="B3840" s="0" t="n">
        <v>56</v>
      </c>
      <c r="C3840" s="0" t="n">
        <v>57</v>
      </c>
      <c r="D3840" s="0" t="n">
        <v>1443</v>
      </c>
      <c r="E3840" s="0" t="n">
        <f aca="false">VLOOKUP(B3840,'MSA-Lookup'!$H$2:$I$86,2)</f>
        <v>4480</v>
      </c>
      <c r="F3840" s="0" t="n">
        <f aca="false">IF(C3840&gt;1,IF(C3840&lt;99,VLOOKUP(C3840,'MSA-Lookup'!$H$1:$I$86,2),C3840),C3840)</f>
        <v>4480</v>
      </c>
      <c r="G3840" s="0" t="n">
        <f aca="false">VLOOKUP(E3840,'MSA-Lookup'!$AA$1:$AB$25,2)</f>
        <v>4472</v>
      </c>
      <c r="H3840" s="0" t="n">
        <f aca="false">IF(C3840&gt;1,IF(C3840&lt;99,VLOOKUP(F3840,'MSA-Lookup'!$AA$1:$AB$25,2),C3840),C3840)</f>
        <v>4472</v>
      </c>
    </row>
    <row r="3841" customFormat="false" ht="12.75" hidden="false" customHeight="false" outlineLevel="0" collapsed="false">
      <c r="A3841" s="0" t="n">
        <f aca="false">B3841*1000+C3841</f>
        <v>56058</v>
      </c>
      <c r="B3841" s="0" t="n">
        <v>56</v>
      </c>
      <c r="C3841" s="0" t="n">
        <v>58</v>
      </c>
      <c r="D3841" s="0" t="n">
        <v>78</v>
      </c>
      <c r="E3841" s="0" t="n">
        <f aca="false">VLOOKUP(B3841,'MSA-Lookup'!$H$2:$I$86,2)</f>
        <v>4480</v>
      </c>
      <c r="F3841" s="0" t="n">
        <f aca="false">IF(C3841&gt;1,IF(C3841&lt;99,VLOOKUP(C3841,'MSA-Lookup'!$H$1:$I$86,2),C3841),C3841)</f>
        <v>4480</v>
      </c>
      <c r="G3841" s="0" t="n">
        <f aca="false">VLOOKUP(E3841,'MSA-Lookup'!$AA$1:$AB$25,2)</f>
        <v>4472</v>
      </c>
      <c r="H3841" s="0" t="n">
        <f aca="false">IF(C3841&gt;1,IF(C3841&lt;99,VLOOKUP(F3841,'MSA-Lookup'!$AA$1:$AB$25,2),C3841),C3841)</f>
        <v>4472</v>
      </c>
    </row>
    <row r="3842" customFormat="false" ht="12.75" hidden="false" customHeight="false" outlineLevel="0" collapsed="false">
      <c r="A3842" s="0" t="n">
        <f aca="false">B3842*1000+C3842</f>
        <v>56059</v>
      </c>
      <c r="B3842" s="0" t="n">
        <v>56</v>
      </c>
      <c r="C3842" s="0" t="n">
        <v>59</v>
      </c>
      <c r="D3842" s="0" t="n">
        <v>0</v>
      </c>
      <c r="E3842" s="0" t="n">
        <f aca="false">VLOOKUP(B3842,'MSA-Lookup'!$H$2:$I$86,2)</f>
        <v>4480</v>
      </c>
      <c r="F3842" s="0" t="n">
        <f aca="false">IF(C3842&gt;1,IF(C3842&lt;99,VLOOKUP(C3842,'MSA-Lookup'!$H$1:$I$86,2),C3842),C3842)</f>
        <v>4480</v>
      </c>
      <c r="G3842" s="0" t="n">
        <f aca="false">VLOOKUP(E3842,'MSA-Lookup'!$AA$1:$AB$25,2)</f>
        <v>4472</v>
      </c>
      <c r="H3842" s="0" t="n">
        <f aca="false">IF(C3842&gt;1,IF(C3842&lt;99,VLOOKUP(F3842,'MSA-Lookup'!$AA$1:$AB$25,2),C3842),C3842)</f>
        <v>4472</v>
      </c>
    </row>
    <row r="3843" customFormat="false" ht="12.75" hidden="false" customHeight="false" outlineLevel="0" collapsed="false">
      <c r="A3843" s="0" t="n">
        <f aca="false">B3843*1000+C3843</f>
        <v>56060</v>
      </c>
      <c r="B3843" s="0" t="n">
        <v>56</v>
      </c>
      <c r="C3843" s="0" t="n">
        <v>60</v>
      </c>
      <c r="D3843" s="0" t="n">
        <v>611</v>
      </c>
      <c r="E3843" s="0" t="n">
        <f aca="false">VLOOKUP(B3843,'MSA-Lookup'!$H$2:$I$86,2)</f>
        <v>4480</v>
      </c>
      <c r="F3843" s="0" t="n">
        <f aca="false">IF(C3843&gt;1,IF(C3843&lt;99,VLOOKUP(C3843,'MSA-Lookup'!$H$1:$I$86,2),C3843),C3843)</f>
        <v>4480</v>
      </c>
      <c r="G3843" s="0" t="n">
        <f aca="false">VLOOKUP(E3843,'MSA-Lookup'!$AA$1:$AB$25,2)</f>
        <v>4472</v>
      </c>
      <c r="H3843" s="0" t="n">
        <f aca="false">IF(C3843&gt;1,IF(C3843&lt;99,VLOOKUP(F3843,'MSA-Lookup'!$AA$1:$AB$25,2),C3843),C3843)</f>
        <v>4472</v>
      </c>
    </row>
    <row r="3844" customFormat="false" ht="12.75" hidden="false" customHeight="false" outlineLevel="0" collapsed="false">
      <c r="A3844" s="0" t="n">
        <f aca="false">B3844*1000+C3844</f>
        <v>56061</v>
      </c>
      <c r="B3844" s="0" t="n">
        <v>56</v>
      </c>
      <c r="C3844" s="0" t="n">
        <v>61</v>
      </c>
      <c r="D3844" s="0" t="n">
        <v>117</v>
      </c>
      <c r="E3844" s="0" t="n">
        <f aca="false">VLOOKUP(B3844,'MSA-Lookup'!$H$2:$I$86,2)</f>
        <v>4480</v>
      </c>
      <c r="F3844" s="0" t="n">
        <f aca="false">IF(C3844&gt;1,IF(C3844&lt;99,VLOOKUP(C3844,'MSA-Lookup'!$H$1:$I$86,2),C3844),C3844)</f>
        <v>4480</v>
      </c>
      <c r="G3844" s="0" t="n">
        <f aca="false">VLOOKUP(E3844,'MSA-Lookup'!$AA$1:$AB$25,2)</f>
        <v>4472</v>
      </c>
      <c r="H3844" s="0" t="n">
        <f aca="false">IF(C3844&gt;1,IF(C3844&lt;99,VLOOKUP(F3844,'MSA-Lookup'!$AA$1:$AB$25,2),C3844),C3844)</f>
        <v>4472</v>
      </c>
    </row>
    <row r="3845" customFormat="false" ht="12.75" hidden="false" customHeight="false" outlineLevel="0" collapsed="false">
      <c r="A3845" s="0" t="n">
        <f aca="false">B3845*1000+C3845</f>
        <v>56062</v>
      </c>
      <c r="B3845" s="0" t="n">
        <v>56</v>
      </c>
      <c r="C3845" s="0" t="n">
        <v>62</v>
      </c>
      <c r="D3845" s="0" t="n">
        <v>1027</v>
      </c>
      <c r="E3845" s="0" t="n">
        <f aca="false">VLOOKUP(B3845,'MSA-Lookup'!$H$2:$I$86,2)</f>
        <v>4480</v>
      </c>
      <c r="F3845" s="0" t="n">
        <f aca="false">IF(C3845&gt;1,IF(C3845&lt;99,VLOOKUP(C3845,'MSA-Lookup'!$H$1:$I$86,2),C3845),C3845)</f>
        <v>4480</v>
      </c>
      <c r="G3845" s="0" t="n">
        <f aca="false">VLOOKUP(E3845,'MSA-Lookup'!$AA$1:$AB$25,2)</f>
        <v>4472</v>
      </c>
      <c r="H3845" s="0" t="n">
        <f aca="false">IF(C3845&gt;1,IF(C3845&lt;99,VLOOKUP(F3845,'MSA-Lookup'!$AA$1:$AB$25,2),C3845),C3845)</f>
        <v>4472</v>
      </c>
    </row>
    <row r="3846" customFormat="false" ht="12.75" hidden="false" customHeight="false" outlineLevel="0" collapsed="false">
      <c r="A3846" s="0" t="n">
        <f aca="false">B3846*1000+C3846</f>
        <v>56063</v>
      </c>
      <c r="B3846" s="0" t="n">
        <v>56</v>
      </c>
      <c r="C3846" s="0" t="n">
        <v>63</v>
      </c>
      <c r="D3846" s="0" t="n">
        <v>0</v>
      </c>
      <c r="E3846" s="0" t="n">
        <f aca="false">VLOOKUP(B3846,'MSA-Lookup'!$H$2:$I$86,2)</f>
        <v>4480</v>
      </c>
      <c r="F3846" s="0" t="n">
        <f aca="false">IF(C3846&gt;1,IF(C3846&lt;99,VLOOKUP(C3846,'MSA-Lookup'!$H$1:$I$86,2),C3846),C3846)</f>
        <v>4480</v>
      </c>
      <c r="G3846" s="0" t="n">
        <f aca="false">VLOOKUP(E3846,'MSA-Lookup'!$AA$1:$AB$25,2)</f>
        <v>4472</v>
      </c>
      <c r="H3846" s="0" t="n">
        <f aca="false">IF(C3846&gt;1,IF(C3846&lt;99,VLOOKUP(F3846,'MSA-Lookup'!$AA$1:$AB$25,2),C3846),C3846)</f>
        <v>4472</v>
      </c>
    </row>
    <row r="3847" customFormat="false" ht="12.75" hidden="false" customHeight="false" outlineLevel="0" collapsed="false">
      <c r="A3847" s="0" t="n">
        <f aca="false">B3847*1000+C3847</f>
        <v>56064</v>
      </c>
      <c r="B3847" s="0" t="n">
        <v>56</v>
      </c>
      <c r="C3847" s="0" t="n">
        <v>64</v>
      </c>
      <c r="D3847" s="0" t="n">
        <v>12922</v>
      </c>
      <c r="E3847" s="0" t="n">
        <f aca="false">VLOOKUP(B3847,'MSA-Lookup'!$H$2:$I$86,2)</f>
        <v>4480</v>
      </c>
      <c r="F3847" s="0" t="n">
        <f aca="false">IF(C3847&gt;1,IF(C3847&lt;99,VLOOKUP(C3847,'MSA-Lookup'!$H$1:$I$86,2),C3847),C3847)</f>
        <v>4480</v>
      </c>
      <c r="G3847" s="0" t="n">
        <f aca="false">VLOOKUP(E3847,'MSA-Lookup'!$AA$1:$AB$25,2)</f>
        <v>4472</v>
      </c>
      <c r="H3847" s="0" t="n">
        <f aca="false">IF(C3847&gt;1,IF(C3847&lt;99,VLOOKUP(F3847,'MSA-Lookup'!$AA$1:$AB$25,2),C3847),C3847)</f>
        <v>4472</v>
      </c>
    </row>
    <row r="3848" customFormat="false" ht="12.75" hidden="false" customHeight="false" outlineLevel="0" collapsed="false">
      <c r="A3848" s="0" t="n">
        <f aca="false">B3848*1000+C3848</f>
        <v>56065</v>
      </c>
      <c r="B3848" s="0" t="n">
        <v>56</v>
      </c>
      <c r="C3848" s="0" t="n">
        <v>65</v>
      </c>
      <c r="D3848" s="0" t="n">
        <v>16471</v>
      </c>
      <c r="E3848" s="0" t="n">
        <f aca="false">VLOOKUP(B3848,'MSA-Lookup'!$H$2:$I$86,2)</f>
        <v>4480</v>
      </c>
      <c r="F3848" s="0" t="n">
        <f aca="false">IF(C3848&gt;1,IF(C3848&lt;99,VLOOKUP(C3848,'MSA-Lookup'!$H$1:$I$86,2),C3848),C3848)</f>
        <v>4480</v>
      </c>
      <c r="G3848" s="0" t="n">
        <f aca="false">VLOOKUP(E3848,'MSA-Lookup'!$AA$1:$AB$25,2)</f>
        <v>4472</v>
      </c>
      <c r="H3848" s="0" t="n">
        <f aca="false">IF(C3848&gt;1,IF(C3848&lt;99,VLOOKUP(F3848,'MSA-Lookup'!$AA$1:$AB$25,2),C3848),C3848)</f>
        <v>4472</v>
      </c>
    </row>
    <row r="3849" customFormat="false" ht="12.75" hidden="false" customHeight="false" outlineLevel="0" collapsed="false">
      <c r="A3849" s="0" t="n">
        <f aca="false">B3849*1000+C3849</f>
        <v>56066</v>
      </c>
      <c r="B3849" s="0" t="n">
        <v>56</v>
      </c>
      <c r="C3849" s="0" t="n">
        <v>66</v>
      </c>
      <c r="D3849" s="0" t="n">
        <v>806</v>
      </c>
      <c r="E3849" s="0" t="n">
        <f aca="false">VLOOKUP(B3849,'MSA-Lookup'!$H$2:$I$86,2)</f>
        <v>4480</v>
      </c>
      <c r="F3849" s="0" t="n">
        <f aca="false">IF(C3849&gt;1,IF(C3849&lt;99,VLOOKUP(C3849,'MSA-Lookup'!$H$1:$I$86,2),C3849),C3849)</f>
        <v>4480</v>
      </c>
      <c r="G3849" s="0" t="n">
        <f aca="false">VLOOKUP(E3849,'MSA-Lookup'!$AA$1:$AB$25,2)</f>
        <v>4472</v>
      </c>
      <c r="H3849" s="0" t="n">
        <f aca="false">IF(C3849&gt;1,IF(C3849&lt;99,VLOOKUP(F3849,'MSA-Lookup'!$AA$1:$AB$25,2),C3849),C3849)</f>
        <v>4472</v>
      </c>
    </row>
    <row r="3850" customFormat="false" ht="12.75" hidden="false" customHeight="false" outlineLevel="0" collapsed="false">
      <c r="A3850" s="0" t="n">
        <f aca="false">B3850*1000+C3850</f>
        <v>56067</v>
      </c>
      <c r="B3850" s="0" t="n">
        <v>56</v>
      </c>
      <c r="C3850" s="0" t="n">
        <v>67</v>
      </c>
      <c r="D3850" s="0" t="n">
        <v>0</v>
      </c>
      <c r="E3850" s="0" t="n">
        <f aca="false">VLOOKUP(B3850,'MSA-Lookup'!$H$2:$I$86,2)</f>
        <v>4480</v>
      </c>
      <c r="F3850" s="0" t="n">
        <f aca="false">IF(C3850&gt;1,IF(C3850&lt;99,VLOOKUP(C3850,'MSA-Lookup'!$H$1:$I$86,2),C3850),C3850)</f>
        <v>6000</v>
      </c>
      <c r="G3850" s="0" t="n">
        <f aca="false">VLOOKUP(E3850,'MSA-Lookup'!$AA$1:$AB$25,2)</f>
        <v>4472</v>
      </c>
      <c r="H3850" s="0" t="n">
        <f aca="false">IF(C3850&gt;1,IF(C3850&lt;99,VLOOKUP(F3850,'MSA-Lookup'!$AA$1:$AB$25,2),C3850),C3850)</f>
        <v>4472</v>
      </c>
    </row>
    <row r="3851" customFormat="false" ht="12.75" hidden="false" customHeight="false" outlineLevel="0" collapsed="false">
      <c r="A3851" s="0" t="n">
        <f aca="false">B3851*1000+C3851</f>
        <v>56068</v>
      </c>
      <c r="B3851" s="0" t="n">
        <v>56</v>
      </c>
      <c r="C3851" s="0" t="n">
        <v>68</v>
      </c>
      <c r="D3851" s="0" t="n">
        <v>0</v>
      </c>
      <c r="E3851" s="0" t="n">
        <f aca="false">VLOOKUP(B3851,'MSA-Lookup'!$H$2:$I$86,2)</f>
        <v>4480</v>
      </c>
      <c r="F3851" s="0" t="n">
        <f aca="false">IF(C3851&gt;1,IF(C3851&lt;99,VLOOKUP(C3851,'MSA-Lookup'!$H$1:$I$86,2),C3851),C3851)</f>
        <v>6780</v>
      </c>
      <c r="G3851" s="0" t="n">
        <f aca="false">VLOOKUP(E3851,'MSA-Lookup'!$AA$1:$AB$25,2)</f>
        <v>4472</v>
      </c>
      <c r="H3851" s="0" t="n">
        <f aca="false">IF(C3851&gt;1,IF(C3851&lt;99,VLOOKUP(F3851,'MSA-Lookup'!$AA$1:$AB$25,2),C3851),C3851)</f>
        <v>4472</v>
      </c>
    </row>
    <row r="3852" customFormat="false" ht="12.75" hidden="false" customHeight="false" outlineLevel="0" collapsed="false">
      <c r="A3852" s="0" t="n">
        <f aca="false">B3852*1000+C3852</f>
        <v>56069</v>
      </c>
      <c r="B3852" s="0" t="n">
        <v>56</v>
      </c>
      <c r="C3852" s="0" t="n">
        <v>69</v>
      </c>
      <c r="D3852" s="0" t="n">
        <v>0</v>
      </c>
      <c r="E3852" s="0" t="n">
        <f aca="false">VLOOKUP(B3852,'MSA-Lookup'!$H$2:$I$86,2)</f>
        <v>4480</v>
      </c>
      <c r="F3852" s="0" t="n">
        <f aca="false">IF(C3852&gt;1,IF(C3852&lt;99,VLOOKUP(C3852,'MSA-Lookup'!$H$1:$I$86,2),C3852),C3852)</f>
        <v>6780</v>
      </c>
      <c r="G3852" s="0" t="n">
        <f aca="false">VLOOKUP(E3852,'MSA-Lookup'!$AA$1:$AB$25,2)</f>
        <v>4472</v>
      </c>
      <c r="H3852" s="0" t="n">
        <f aca="false">IF(C3852&gt;1,IF(C3852&lt;99,VLOOKUP(F3852,'MSA-Lookup'!$AA$1:$AB$25,2),C3852),C3852)</f>
        <v>4472</v>
      </c>
    </row>
    <row r="3853" customFormat="false" ht="12.75" hidden="false" customHeight="false" outlineLevel="0" collapsed="false">
      <c r="A3853" s="0" t="n">
        <f aca="false">B3853*1000+C3853</f>
        <v>56070</v>
      </c>
      <c r="B3853" s="0" t="n">
        <v>56</v>
      </c>
      <c r="C3853" s="0" t="n">
        <v>70</v>
      </c>
      <c r="D3853" s="0" t="n">
        <v>117</v>
      </c>
      <c r="E3853" s="0" t="n">
        <f aca="false">VLOOKUP(B3853,'MSA-Lookup'!$H$2:$I$86,2)</f>
        <v>4480</v>
      </c>
      <c r="F3853" s="0" t="n">
        <f aca="false">IF(C3853&gt;1,IF(C3853&lt;99,VLOOKUP(C3853,'MSA-Lookup'!$H$1:$I$86,2),C3853),C3853)</f>
        <v>6780</v>
      </c>
      <c r="G3853" s="0" t="n">
        <f aca="false">VLOOKUP(E3853,'MSA-Lookup'!$AA$1:$AB$25,2)</f>
        <v>4472</v>
      </c>
      <c r="H3853" s="0" t="n">
        <f aca="false">IF(C3853&gt;1,IF(C3853&lt;99,VLOOKUP(F3853,'MSA-Lookup'!$AA$1:$AB$25,2),C3853),C3853)</f>
        <v>4472</v>
      </c>
    </row>
    <row r="3854" customFormat="false" ht="12.75" hidden="false" customHeight="false" outlineLevel="0" collapsed="false">
      <c r="A3854" s="0" t="n">
        <f aca="false">B3854*1000+C3854</f>
        <v>56071</v>
      </c>
      <c r="B3854" s="0" t="n">
        <v>56</v>
      </c>
      <c r="C3854" s="0" t="n">
        <v>71</v>
      </c>
      <c r="D3854" s="0" t="n">
        <v>0</v>
      </c>
      <c r="E3854" s="0" t="n">
        <f aca="false">VLOOKUP(B3854,'MSA-Lookup'!$H$2:$I$86,2)</f>
        <v>4480</v>
      </c>
      <c r="F3854" s="0" t="n">
        <f aca="false">IF(C3854&gt;1,IF(C3854&lt;99,VLOOKUP(C3854,'MSA-Lookup'!$H$1:$I$86,2),C3854),C3854)</f>
        <v>6780</v>
      </c>
      <c r="G3854" s="0" t="n">
        <f aca="false">VLOOKUP(E3854,'MSA-Lookup'!$AA$1:$AB$25,2)</f>
        <v>4472</v>
      </c>
      <c r="H3854" s="0" t="n">
        <f aca="false">IF(C3854&gt;1,IF(C3854&lt;99,VLOOKUP(F3854,'MSA-Lookup'!$AA$1:$AB$25,2),C3854),C3854)</f>
        <v>4472</v>
      </c>
    </row>
    <row r="3855" customFormat="false" ht="12.75" hidden="false" customHeight="false" outlineLevel="0" collapsed="false">
      <c r="A3855" s="0" t="n">
        <f aca="false">B3855*1000+C3855</f>
        <v>56072</v>
      </c>
      <c r="B3855" s="0" t="n">
        <v>56</v>
      </c>
      <c r="C3855" s="0" t="n">
        <v>72</v>
      </c>
      <c r="D3855" s="0" t="n">
        <v>0</v>
      </c>
      <c r="E3855" s="0" t="n">
        <f aca="false">VLOOKUP(B3855,'MSA-Lookup'!$H$2:$I$86,2)</f>
        <v>4480</v>
      </c>
      <c r="F3855" s="0" t="n">
        <f aca="false">IF(C3855&gt;1,IF(C3855&lt;99,VLOOKUP(C3855,'MSA-Lookup'!$H$1:$I$86,2),C3855),C3855)</f>
        <v>6780</v>
      </c>
      <c r="G3855" s="0" t="n">
        <f aca="false">VLOOKUP(E3855,'MSA-Lookup'!$AA$1:$AB$25,2)</f>
        <v>4472</v>
      </c>
      <c r="H3855" s="0" t="n">
        <f aca="false">IF(C3855&gt;1,IF(C3855&lt;99,VLOOKUP(F3855,'MSA-Lookup'!$AA$1:$AB$25,2),C3855),C3855)</f>
        <v>4472</v>
      </c>
    </row>
    <row r="3856" customFormat="false" ht="12.75" hidden="false" customHeight="false" outlineLevel="0" collapsed="false">
      <c r="A3856" s="0" t="n">
        <f aca="false">B3856*1000+C3856</f>
        <v>56073</v>
      </c>
      <c r="B3856" s="0" t="n">
        <v>56</v>
      </c>
      <c r="C3856" s="0" t="n">
        <v>73</v>
      </c>
      <c r="D3856" s="0" t="n">
        <v>0</v>
      </c>
      <c r="E3856" s="0" t="n">
        <f aca="false">VLOOKUP(B3856,'MSA-Lookup'!$H$2:$I$86,2)</f>
        <v>4480</v>
      </c>
      <c r="F3856" s="0" t="n">
        <f aca="false">IF(C3856&gt;1,IF(C3856&lt;99,VLOOKUP(C3856,'MSA-Lookup'!$H$1:$I$86,2),C3856),C3856)</f>
        <v>8720</v>
      </c>
      <c r="G3856" s="0" t="n">
        <f aca="false">VLOOKUP(E3856,'MSA-Lookup'!$AA$1:$AB$25,2)</f>
        <v>4472</v>
      </c>
      <c r="H3856" s="0" t="n">
        <f aca="false">IF(C3856&gt;1,IF(C3856&lt;99,VLOOKUP(F3856,'MSA-Lookup'!$AA$1:$AB$25,2),C3856),C3856)</f>
        <v>7362</v>
      </c>
    </row>
    <row r="3857" customFormat="false" ht="12.75" hidden="false" customHeight="false" outlineLevel="0" collapsed="false">
      <c r="A3857" s="0" t="n">
        <f aca="false">B3857*1000+C3857</f>
        <v>56075</v>
      </c>
      <c r="B3857" s="0" t="n">
        <v>56</v>
      </c>
      <c r="C3857" s="0" t="n">
        <v>75</v>
      </c>
      <c r="D3857" s="0" t="n">
        <v>0</v>
      </c>
      <c r="E3857" s="0" t="n">
        <f aca="false">VLOOKUP(B3857,'MSA-Lookup'!$H$2:$I$86,2)</f>
        <v>4480</v>
      </c>
      <c r="F3857" s="0" t="n">
        <f aca="false">IF(C3857&gt;1,IF(C3857&lt;99,VLOOKUP(C3857,'MSA-Lookup'!$H$1:$I$86,2),C3857),C3857)</f>
        <v>8780</v>
      </c>
      <c r="G3857" s="0" t="n">
        <f aca="false">VLOOKUP(E3857,'MSA-Lookup'!$AA$1:$AB$25,2)</f>
        <v>4472</v>
      </c>
      <c r="H3857" s="0" t="n">
        <f aca="false">IF(C3857&gt;1,IF(C3857&lt;99,VLOOKUP(F3857,'MSA-Lookup'!$AA$1:$AB$25,2),C3857),C3857)</f>
        <v>8780</v>
      </c>
    </row>
    <row r="3858" customFormat="false" ht="12.75" hidden="false" customHeight="false" outlineLevel="0" collapsed="false">
      <c r="A3858" s="0" t="n">
        <f aca="false">B3858*1000+C3858</f>
        <v>56076</v>
      </c>
      <c r="B3858" s="0" t="n">
        <v>56</v>
      </c>
      <c r="C3858" s="0" t="n">
        <v>76</v>
      </c>
      <c r="D3858" s="0" t="n">
        <v>0</v>
      </c>
      <c r="E3858" s="0" t="n">
        <f aca="false">VLOOKUP(B3858,'MSA-Lookup'!$H$2:$I$86,2)</f>
        <v>4480</v>
      </c>
      <c r="F3858" s="0" t="n">
        <f aca="false">IF(C3858&gt;1,IF(C3858&lt;99,VLOOKUP(C3858,'MSA-Lookup'!$H$1:$I$86,2),C3858),C3858)</f>
        <v>7485</v>
      </c>
      <c r="G3858" s="0" t="n">
        <f aca="false">VLOOKUP(E3858,'MSA-Lookup'!$AA$1:$AB$25,2)</f>
        <v>4472</v>
      </c>
      <c r="H3858" s="0" t="n">
        <f aca="false">IF(C3858&gt;1,IF(C3858&lt;99,VLOOKUP(F3858,'MSA-Lookup'!$AA$1:$AB$25,2),C3858),C3858)</f>
        <v>7362</v>
      </c>
    </row>
    <row r="3859" customFormat="false" ht="12.75" hidden="false" customHeight="false" outlineLevel="0" collapsed="false">
      <c r="A3859" s="0" t="n">
        <f aca="false">B3859*1000+C3859</f>
        <v>56077</v>
      </c>
      <c r="B3859" s="0" t="n">
        <v>56</v>
      </c>
      <c r="C3859" s="0" t="n">
        <v>77</v>
      </c>
      <c r="D3859" s="0" t="n">
        <v>0</v>
      </c>
      <c r="E3859" s="0" t="n">
        <f aca="false">VLOOKUP(B3859,'MSA-Lookup'!$H$2:$I$86,2)</f>
        <v>4480</v>
      </c>
      <c r="F3859" s="0" t="n">
        <f aca="false">IF(C3859&gt;1,IF(C3859&lt;99,VLOOKUP(C3859,'MSA-Lookup'!$H$1:$I$86,2),C3859),C3859)</f>
        <v>9999</v>
      </c>
      <c r="G3859" s="0" t="n">
        <f aca="false">VLOOKUP(E3859,'MSA-Lookup'!$AA$1:$AB$25,2)</f>
        <v>4472</v>
      </c>
      <c r="H3859" s="0" t="n">
        <f aca="false">IF(C3859&gt;1,IF(C3859&lt;99,VLOOKUP(F3859,'MSA-Lookup'!$AA$1:$AB$25,2),C3859),C3859)</f>
        <v>9999</v>
      </c>
    </row>
    <row r="3860" customFormat="false" ht="12.75" hidden="false" customHeight="false" outlineLevel="0" collapsed="false">
      <c r="A3860" s="0" t="n">
        <f aca="false">B3860*1000+C3860</f>
        <v>56078</v>
      </c>
      <c r="B3860" s="0" t="n">
        <v>56</v>
      </c>
      <c r="C3860" s="0" t="n">
        <v>78</v>
      </c>
      <c r="D3860" s="0" t="n">
        <v>0</v>
      </c>
      <c r="E3860" s="0" t="n">
        <f aca="false">VLOOKUP(B3860,'MSA-Lookup'!$H$2:$I$86,2)</f>
        <v>4480</v>
      </c>
      <c r="F3860" s="0" t="n">
        <f aca="false">IF(C3860&gt;1,IF(C3860&lt;99,VLOOKUP(C3860,'MSA-Lookup'!$H$1:$I$86,2),C3860),C3860)</f>
        <v>680</v>
      </c>
      <c r="G3860" s="0" t="n">
        <f aca="false">VLOOKUP(E3860,'MSA-Lookup'!$AA$1:$AB$25,2)</f>
        <v>4472</v>
      </c>
      <c r="H3860" s="0" t="n">
        <f aca="false">IF(C3860&gt;1,IF(C3860&lt;99,VLOOKUP(F3860,'MSA-Lookup'!$AA$1:$AB$25,2),C3860),C3860)</f>
        <v>680</v>
      </c>
    </row>
    <row r="3861" customFormat="false" ht="12.75" hidden="false" customHeight="false" outlineLevel="0" collapsed="false">
      <c r="A3861" s="0" t="n">
        <f aca="false">B3861*1000+C3861</f>
        <v>56079</v>
      </c>
      <c r="B3861" s="0" t="n">
        <v>56</v>
      </c>
      <c r="C3861" s="0" t="n">
        <v>79</v>
      </c>
      <c r="D3861" s="0" t="n">
        <v>0</v>
      </c>
      <c r="E3861" s="0" t="n">
        <f aca="false">VLOOKUP(B3861,'MSA-Lookup'!$H$2:$I$86,2)</f>
        <v>4480</v>
      </c>
      <c r="F3861" s="0" t="n">
        <f aca="false">IF(C3861&gt;1,IF(C3861&lt;99,VLOOKUP(C3861,'MSA-Lookup'!$H$1:$I$86,2),C3861),C3861)</f>
        <v>680</v>
      </c>
      <c r="G3861" s="0" t="n">
        <f aca="false">VLOOKUP(E3861,'MSA-Lookup'!$AA$1:$AB$25,2)</f>
        <v>4472</v>
      </c>
      <c r="H3861" s="0" t="n">
        <f aca="false">IF(C3861&gt;1,IF(C3861&lt;99,VLOOKUP(F3861,'MSA-Lookup'!$AA$1:$AB$25,2),C3861),C3861)</f>
        <v>680</v>
      </c>
    </row>
    <row r="3862" customFormat="false" ht="12.75" hidden="false" customHeight="false" outlineLevel="0" collapsed="false">
      <c r="A3862" s="0" t="n">
        <f aca="false">B3862*1000+C3862</f>
        <v>56080</v>
      </c>
      <c r="B3862" s="0" t="n">
        <v>56</v>
      </c>
      <c r="C3862" s="0" t="n">
        <v>80</v>
      </c>
      <c r="D3862" s="0" t="n">
        <v>0</v>
      </c>
      <c r="E3862" s="0" t="n">
        <f aca="false">VLOOKUP(B3862,'MSA-Lookup'!$H$2:$I$86,2)</f>
        <v>4480</v>
      </c>
      <c r="F3862" s="0" t="n">
        <f aca="false">IF(C3862&gt;1,IF(C3862&lt;99,VLOOKUP(C3862,'MSA-Lookup'!$H$1:$I$86,2),C3862),C3862)</f>
        <v>9999</v>
      </c>
      <c r="G3862" s="0" t="n">
        <f aca="false">VLOOKUP(E3862,'MSA-Lookup'!$AA$1:$AB$25,2)</f>
        <v>4472</v>
      </c>
      <c r="H3862" s="0" t="n">
        <f aca="false">IF(C3862&gt;1,IF(C3862&lt;99,VLOOKUP(F3862,'MSA-Lookup'!$AA$1:$AB$25,2),C3862),C3862)</f>
        <v>9999</v>
      </c>
    </row>
    <row r="3863" customFormat="false" ht="12.75" hidden="false" customHeight="false" outlineLevel="0" collapsed="false">
      <c r="A3863" s="0" t="n">
        <f aca="false">B3863*1000+C3863</f>
        <v>56081</v>
      </c>
      <c r="B3863" s="0" t="n">
        <v>56</v>
      </c>
      <c r="C3863" s="0" t="n">
        <v>81</v>
      </c>
      <c r="D3863" s="0" t="n">
        <v>0</v>
      </c>
      <c r="E3863" s="0" t="n">
        <f aca="false">VLOOKUP(B3863,'MSA-Lookup'!$H$2:$I$86,2)</f>
        <v>4480</v>
      </c>
      <c r="F3863" s="0" t="n">
        <f aca="false">IF(C3863&gt;1,IF(C3863&lt;99,VLOOKUP(C3863,'MSA-Lookup'!$H$1:$I$86,2),C3863),C3863)</f>
        <v>6780</v>
      </c>
      <c r="G3863" s="0" t="n">
        <f aca="false">VLOOKUP(E3863,'MSA-Lookup'!$AA$1:$AB$25,2)</f>
        <v>4472</v>
      </c>
      <c r="H3863" s="0" t="n">
        <f aca="false">IF(C3863&gt;1,IF(C3863&lt;99,VLOOKUP(F3863,'MSA-Lookup'!$AA$1:$AB$25,2),C3863),C3863)</f>
        <v>4472</v>
      </c>
    </row>
    <row r="3864" customFormat="false" ht="12.75" hidden="false" customHeight="false" outlineLevel="0" collapsed="false">
      <c r="A3864" s="0" t="n">
        <f aca="false">B3864*1000+C3864</f>
        <v>56082</v>
      </c>
      <c r="B3864" s="0" t="n">
        <v>56</v>
      </c>
      <c r="C3864" s="0" t="n">
        <v>82</v>
      </c>
      <c r="D3864" s="0" t="n">
        <v>0</v>
      </c>
      <c r="E3864" s="0" t="n">
        <f aca="false">VLOOKUP(B3864,'MSA-Lookup'!$H$2:$I$86,2)</f>
        <v>4480</v>
      </c>
      <c r="F3864" s="0" t="n">
        <f aca="false">IF(C3864&gt;1,IF(C3864&lt;99,VLOOKUP(C3864,'MSA-Lookup'!$H$1:$I$86,2),C3864),C3864)</f>
        <v>6780</v>
      </c>
      <c r="G3864" s="0" t="n">
        <f aca="false">VLOOKUP(E3864,'MSA-Lookup'!$AA$1:$AB$25,2)</f>
        <v>4472</v>
      </c>
      <c r="H3864" s="0" t="n">
        <f aca="false">IF(C3864&gt;1,IF(C3864&lt;99,VLOOKUP(F3864,'MSA-Lookup'!$AA$1:$AB$25,2),C3864),C3864)</f>
        <v>4472</v>
      </c>
    </row>
    <row r="3865" customFormat="false" ht="12.75" hidden="false" customHeight="false" outlineLevel="0" collapsed="false">
      <c r="A3865" s="0" t="n">
        <f aca="false">B3865*1000+C3865</f>
        <v>56083</v>
      </c>
      <c r="B3865" s="0" t="n">
        <v>56</v>
      </c>
      <c r="C3865" s="0" t="n">
        <v>83</v>
      </c>
      <c r="D3865" s="0" t="n">
        <v>0</v>
      </c>
      <c r="E3865" s="0" t="n">
        <f aca="false">VLOOKUP(B3865,'MSA-Lookup'!$H$2:$I$86,2)</f>
        <v>4480</v>
      </c>
      <c r="F3865" s="0" t="n">
        <f aca="false">IF(C3865&gt;1,IF(C3865&lt;99,VLOOKUP(C3865,'MSA-Lookup'!$H$1:$I$86,2),C3865),C3865)</f>
        <v>6000</v>
      </c>
      <c r="G3865" s="0" t="n">
        <f aca="false">VLOOKUP(E3865,'MSA-Lookup'!$AA$1:$AB$25,2)</f>
        <v>4472</v>
      </c>
      <c r="H3865" s="0" t="n">
        <f aca="false">IF(C3865&gt;1,IF(C3865&lt;99,VLOOKUP(F3865,'MSA-Lookup'!$AA$1:$AB$25,2),C3865),C3865)</f>
        <v>4472</v>
      </c>
    </row>
    <row r="3866" customFormat="false" ht="12.75" hidden="false" customHeight="false" outlineLevel="0" collapsed="false">
      <c r="A3866" s="0" t="n">
        <f aca="false">B3866*1000+C3866</f>
        <v>56084</v>
      </c>
      <c r="B3866" s="0" t="n">
        <v>56</v>
      </c>
      <c r="C3866" s="0" t="n">
        <v>84</v>
      </c>
      <c r="D3866" s="0" t="n">
        <v>0</v>
      </c>
      <c r="E3866" s="0" t="n">
        <f aca="false">VLOOKUP(B3866,'MSA-Lookup'!$H$2:$I$86,2)</f>
        <v>4480</v>
      </c>
      <c r="F3866" s="0" t="n">
        <f aca="false">IF(C3866&gt;1,IF(C3866&lt;99,VLOOKUP(C3866,'MSA-Lookup'!$H$1:$I$86,2),C3866),C3866)</f>
        <v>360</v>
      </c>
      <c r="G3866" s="0" t="n">
        <f aca="false">VLOOKUP(E3866,'MSA-Lookup'!$AA$1:$AB$25,2)</f>
        <v>4472</v>
      </c>
      <c r="H3866" s="0" t="n">
        <f aca="false">IF(C3866&gt;1,IF(C3866&lt;99,VLOOKUP(F3866,'MSA-Lookup'!$AA$1:$AB$25,2),C3866),C3866)</f>
        <v>4472</v>
      </c>
    </row>
    <row r="3867" customFormat="false" ht="12.75" hidden="false" customHeight="false" outlineLevel="0" collapsed="false">
      <c r="A3867" s="0" t="n">
        <f aca="false">B3867*1000+C3867</f>
        <v>56085</v>
      </c>
      <c r="B3867" s="0" t="n">
        <v>56</v>
      </c>
      <c r="C3867" s="0" t="n">
        <v>85</v>
      </c>
      <c r="D3867" s="0" t="n">
        <v>0</v>
      </c>
      <c r="E3867" s="0" t="n">
        <f aca="false">VLOOKUP(B3867,'MSA-Lookup'!$H$2:$I$86,2)</f>
        <v>4480</v>
      </c>
      <c r="F3867" s="0" t="n">
        <f aca="false">IF(C3867&gt;1,IF(C3867&lt;99,VLOOKUP(C3867,'MSA-Lookup'!$H$1:$I$86,2),C3867),C3867)</f>
        <v>8120</v>
      </c>
      <c r="G3867" s="0" t="n">
        <f aca="false">VLOOKUP(E3867,'MSA-Lookup'!$AA$1:$AB$25,2)</f>
        <v>4472</v>
      </c>
      <c r="H3867" s="0" t="n">
        <f aca="false">IF(C3867&gt;1,IF(C3867&lt;99,VLOOKUP(F3867,'MSA-Lookup'!$AA$1:$AB$25,2),C3867),C3867)</f>
        <v>8120</v>
      </c>
    </row>
    <row r="3868" customFormat="false" ht="12.75" hidden="false" customHeight="false" outlineLevel="0" collapsed="false">
      <c r="A3868" s="0" t="n">
        <f aca="false">B3868*1000+C3868</f>
        <v>56858</v>
      </c>
      <c r="B3868" s="0" t="n">
        <v>56</v>
      </c>
      <c r="C3868" s="0" t="n">
        <v>858</v>
      </c>
      <c r="D3868" s="0" t="n">
        <v>0</v>
      </c>
      <c r="E3868" s="0" t="n">
        <f aca="false">VLOOKUP(B3868,'MSA-Lookup'!$H$2:$I$86,2)</f>
        <v>4480</v>
      </c>
      <c r="F3868" s="0" t="n">
        <f aca="false">IF(C3868&gt;1,IF(C3868&lt;99,VLOOKUP(C3868,'MSA-Lookup'!$H$1:$I$86,2),C3868),C3868)</f>
        <v>858</v>
      </c>
      <c r="G3868" s="0" t="n">
        <f aca="false">VLOOKUP(E3868,'MSA-Lookup'!$AA$1:$AB$25,2)</f>
        <v>4472</v>
      </c>
      <c r="H3868" s="0" t="n">
        <f aca="false">IF(C3868&gt;1,IF(C3868&lt;99,VLOOKUP(F3868,'MSA-Lookup'!$AA$1:$AB$25,2),C3868),C3868)</f>
        <v>858</v>
      </c>
    </row>
    <row r="3869" customFormat="false" ht="12.75" hidden="false" customHeight="false" outlineLevel="0" collapsed="false">
      <c r="A3869" s="0" t="n">
        <f aca="false">B3869*1000+C3869</f>
        <v>56983</v>
      </c>
      <c r="B3869" s="0" t="n">
        <v>56</v>
      </c>
      <c r="C3869" s="0" t="n">
        <v>983</v>
      </c>
      <c r="D3869" s="0" t="n">
        <v>0</v>
      </c>
      <c r="E3869" s="0" t="n">
        <f aca="false">VLOOKUP(B3869,'MSA-Lookup'!$H$2:$I$86,2)</f>
        <v>4480</v>
      </c>
      <c r="F3869" s="0" t="n">
        <f aca="false">IF(C3869&gt;1,IF(C3869&lt;99,VLOOKUP(C3869,'MSA-Lookup'!$H$1:$I$86,2),C3869),C3869)</f>
        <v>983</v>
      </c>
      <c r="G3869" s="0" t="n">
        <f aca="false">VLOOKUP(E3869,'MSA-Lookup'!$AA$1:$AB$25,2)</f>
        <v>4472</v>
      </c>
      <c r="H3869" s="0" t="n">
        <f aca="false">IF(C3869&gt;1,IF(C3869&lt;99,VLOOKUP(F3869,'MSA-Lookup'!$AA$1:$AB$25,2),C3869),C3869)</f>
        <v>983</v>
      </c>
    </row>
    <row r="3870" customFormat="false" ht="12.75" hidden="false" customHeight="false" outlineLevel="0" collapsed="false">
      <c r="A3870" s="0" t="n">
        <f aca="false">B3870*1000+C3870</f>
        <v>56999</v>
      </c>
      <c r="B3870" s="0" t="n">
        <v>56</v>
      </c>
      <c r="C3870" s="0" t="n">
        <v>999</v>
      </c>
      <c r="D3870" s="0" t="n">
        <v>0</v>
      </c>
      <c r="E3870" s="0" t="n">
        <f aca="false">VLOOKUP(B3870,'MSA-Lookup'!$H$2:$I$86,2)</f>
        <v>4480</v>
      </c>
      <c r="F3870" s="0" t="n">
        <f aca="false">IF(C3870&gt;1,IF(C3870&lt;99,VLOOKUP(C3870,'MSA-Lookup'!$H$1:$I$86,2),C3870),C3870)</f>
        <v>999</v>
      </c>
      <c r="G3870" s="0" t="n">
        <f aca="false">VLOOKUP(E3870,'MSA-Lookup'!$AA$1:$AB$25,2)</f>
        <v>4472</v>
      </c>
      <c r="H3870" s="0" t="n">
        <f aca="false">IF(C3870&gt;1,IF(C3870&lt;99,VLOOKUP(F3870,'MSA-Lookup'!$AA$1:$AB$25,2),C3870),C3870)</f>
        <v>999</v>
      </c>
    </row>
    <row r="3871" customFormat="false" ht="12.75" hidden="false" customHeight="false" outlineLevel="0" collapsed="false">
      <c r="A3871" s="0" t="n">
        <f aca="false">B3871*1000+C3871</f>
        <v>57000</v>
      </c>
      <c r="B3871" s="0" t="n">
        <v>57</v>
      </c>
      <c r="C3871" s="0" t="n">
        <v>0</v>
      </c>
      <c r="D3871" s="0" t="n">
        <v>93795</v>
      </c>
      <c r="E3871" s="0" t="n">
        <f aca="false">VLOOKUP(B3871,'MSA-Lookup'!$H$2:$I$86,2)</f>
        <v>4480</v>
      </c>
      <c r="F3871" s="0" t="n">
        <f aca="false">IF(C3871&gt;1,IF(C3871&lt;99,VLOOKUP(C3871,'MSA-Lookup'!$H$1:$I$86,2),C3871),C3871)</f>
        <v>0</v>
      </c>
      <c r="G3871" s="0" t="n">
        <f aca="false">VLOOKUP(E3871,'MSA-Lookup'!$AA$1:$AB$25,2)</f>
        <v>4472</v>
      </c>
      <c r="H3871" s="0" t="n">
        <f aca="false">IF(C3871&gt;1,IF(C3871&lt;99,VLOOKUP(F3871,'MSA-Lookup'!$AA$1:$AB$25,2),C3871),C3871)</f>
        <v>0</v>
      </c>
    </row>
    <row r="3872" customFormat="false" ht="12.75" hidden="false" customHeight="false" outlineLevel="0" collapsed="false">
      <c r="A3872" s="0" t="n">
        <f aca="false">B3872*1000+C3872</f>
        <v>57001</v>
      </c>
      <c r="B3872" s="0" t="n">
        <v>57</v>
      </c>
      <c r="C3872" s="0" t="n">
        <v>1</v>
      </c>
      <c r="D3872" s="0" t="n">
        <v>0</v>
      </c>
      <c r="E3872" s="0" t="n">
        <f aca="false">VLOOKUP(B3872,'MSA-Lookup'!$H$2:$I$86,2)</f>
        <v>4480</v>
      </c>
      <c r="F3872" s="0" t="n">
        <f aca="false">IF(C3872&gt;1,IF(C3872&lt;99,VLOOKUP(C3872,'MSA-Lookup'!$H$1:$I$86,2),C3872),C3872)</f>
        <v>1</v>
      </c>
      <c r="G3872" s="0" t="n">
        <f aca="false">VLOOKUP(E3872,'MSA-Lookup'!$AA$1:$AB$25,2)</f>
        <v>4472</v>
      </c>
      <c r="H3872" s="0" t="n">
        <f aca="false">IF(C3872&gt;1,IF(C3872&lt;99,VLOOKUP(F3872,'MSA-Lookup'!$AA$1:$AB$25,2),C3872),C3872)</f>
        <v>1</v>
      </c>
    </row>
    <row r="3873" customFormat="false" ht="12.75" hidden="false" customHeight="false" outlineLevel="0" collapsed="false">
      <c r="A3873" s="0" t="n">
        <f aca="false">B3873*1000+C3873</f>
        <v>57002</v>
      </c>
      <c r="B3873" s="0" t="n">
        <v>57</v>
      </c>
      <c r="C3873" s="0" t="n">
        <v>2</v>
      </c>
      <c r="D3873" s="0" t="n">
        <v>0</v>
      </c>
      <c r="E3873" s="0" t="n">
        <f aca="false">VLOOKUP(B3873,'MSA-Lookup'!$H$2:$I$86,2)</f>
        <v>4480</v>
      </c>
      <c r="F3873" s="0" t="n">
        <f aca="false">IF(C3873&gt;1,IF(C3873&lt;99,VLOOKUP(C3873,'MSA-Lookup'!$H$1:$I$86,2),C3873),C3873)</f>
        <v>9999</v>
      </c>
      <c r="G3873" s="0" t="n">
        <f aca="false">VLOOKUP(E3873,'MSA-Lookup'!$AA$1:$AB$25,2)</f>
        <v>4472</v>
      </c>
      <c r="H3873" s="0" t="n">
        <f aca="false">IF(C3873&gt;1,IF(C3873&lt;99,VLOOKUP(F3873,'MSA-Lookup'!$AA$1:$AB$25,2),C3873),C3873)</f>
        <v>9999</v>
      </c>
    </row>
    <row r="3874" customFormat="false" ht="12.75" hidden="false" customHeight="false" outlineLevel="0" collapsed="false">
      <c r="A3874" s="0" t="n">
        <f aca="false">B3874*1000+C3874</f>
        <v>57003</v>
      </c>
      <c r="B3874" s="0" t="n">
        <v>57</v>
      </c>
      <c r="C3874" s="0" t="n">
        <v>3</v>
      </c>
      <c r="D3874" s="0" t="n">
        <v>0</v>
      </c>
      <c r="E3874" s="0" t="n">
        <f aca="false">VLOOKUP(B3874,'MSA-Lookup'!$H$2:$I$86,2)</f>
        <v>4480</v>
      </c>
      <c r="F3874" s="0" t="n">
        <f aca="false">IF(C3874&gt;1,IF(C3874&lt;99,VLOOKUP(C3874,'MSA-Lookup'!$H$1:$I$86,2),C3874),C3874)</f>
        <v>6690</v>
      </c>
      <c r="G3874" s="0" t="n">
        <f aca="false">VLOOKUP(E3874,'MSA-Lookup'!$AA$1:$AB$25,2)</f>
        <v>4472</v>
      </c>
      <c r="H3874" s="0" t="n">
        <f aca="false">IF(C3874&gt;1,IF(C3874&lt;99,VLOOKUP(F3874,'MSA-Lookup'!$AA$1:$AB$25,2),C3874),C3874)</f>
        <v>6690</v>
      </c>
    </row>
    <row r="3875" customFormat="false" ht="12.75" hidden="false" customHeight="false" outlineLevel="0" collapsed="false">
      <c r="A3875" s="0" t="n">
        <f aca="false">B3875*1000+C3875</f>
        <v>57004</v>
      </c>
      <c r="B3875" s="0" t="n">
        <v>57</v>
      </c>
      <c r="C3875" s="0" t="n">
        <v>4</v>
      </c>
      <c r="D3875" s="0" t="n">
        <v>0</v>
      </c>
      <c r="E3875" s="0" t="n">
        <f aca="false">VLOOKUP(B3875,'MSA-Lookup'!$H$2:$I$86,2)</f>
        <v>4480</v>
      </c>
      <c r="F3875" s="0" t="n">
        <f aca="false">IF(C3875&gt;1,IF(C3875&lt;99,VLOOKUP(C3875,'MSA-Lookup'!$H$1:$I$86,2),C3875),C3875)</f>
        <v>9999</v>
      </c>
      <c r="G3875" s="0" t="n">
        <f aca="false">VLOOKUP(E3875,'MSA-Lookup'!$AA$1:$AB$25,2)</f>
        <v>4472</v>
      </c>
      <c r="H3875" s="0" t="n">
        <f aca="false">IF(C3875&gt;1,IF(C3875&lt;99,VLOOKUP(F3875,'MSA-Lookup'!$AA$1:$AB$25,2),C3875),C3875)</f>
        <v>9999</v>
      </c>
    </row>
    <row r="3876" customFormat="false" ht="12.75" hidden="false" customHeight="false" outlineLevel="0" collapsed="false">
      <c r="A3876" s="0" t="n">
        <f aca="false">B3876*1000+C3876</f>
        <v>57005</v>
      </c>
      <c r="B3876" s="0" t="n">
        <v>57</v>
      </c>
      <c r="C3876" s="0" t="n">
        <v>5</v>
      </c>
      <c r="D3876" s="0" t="n">
        <v>0</v>
      </c>
      <c r="E3876" s="0" t="n">
        <f aca="false">VLOOKUP(B3876,'MSA-Lookup'!$H$2:$I$86,2)</f>
        <v>4480</v>
      </c>
      <c r="F3876" s="0" t="n">
        <f aca="false">IF(C3876&gt;1,IF(C3876&lt;99,VLOOKUP(C3876,'MSA-Lookup'!$H$1:$I$86,2),C3876),C3876)</f>
        <v>9999</v>
      </c>
      <c r="G3876" s="0" t="n">
        <f aca="false">VLOOKUP(E3876,'MSA-Lookup'!$AA$1:$AB$25,2)</f>
        <v>4472</v>
      </c>
      <c r="H3876" s="0" t="n">
        <f aca="false">IF(C3876&gt;1,IF(C3876&lt;99,VLOOKUP(F3876,'MSA-Lookup'!$AA$1:$AB$25,2),C3876),C3876)</f>
        <v>9999</v>
      </c>
    </row>
    <row r="3877" customFormat="false" ht="12.75" hidden="false" customHeight="false" outlineLevel="0" collapsed="false">
      <c r="A3877" s="0" t="n">
        <f aca="false">B3877*1000+C3877</f>
        <v>57006</v>
      </c>
      <c r="B3877" s="0" t="n">
        <v>57</v>
      </c>
      <c r="C3877" s="0" t="n">
        <v>6</v>
      </c>
      <c r="D3877" s="0" t="n">
        <v>0</v>
      </c>
      <c r="E3877" s="0" t="n">
        <f aca="false">VLOOKUP(B3877,'MSA-Lookup'!$H$2:$I$86,2)</f>
        <v>4480</v>
      </c>
      <c r="F3877" s="0" t="n">
        <f aca="false">IF(C3877&gt;1,IF(C3877&lt;99,VLOOKUP(C3877,'MSA-Lookup'!$H$1:$I$86,2),C3877),C3877)</f>
        <v>1620</v>
      </c>
      <c r="G3877" s="0" t="n">
        <f aca="false">VLOOKUP(E3877,'MSA-Lookup'!$AA$1:$AB$25,2)</f>
        <v>4472</v>
      </c>
      <c r="H3877" s="0" t="n">
        <f aca="false">IF(C3877&gt;1,IF(C3877&lt;99,VLOOKUP(F3877,'MSA-Lookup'!$AA$1:$AB$25,2),C3877),C3877)</f>
        <v>1620</v>
      </c>
    </row>
    <row r="3878" customFormat="false" ht="12.75" hidden="false" customHeight="false" outlineLevel="0" collapsed="false">
      <c r="A3878" s="0" t="n">
        <f aca="false">B3878*1000+C3878</f>
        <v>57007</v>
      </c>
      <c r="B3878" s="0" t="n">
        <v>57</v>
      </c>
      <c r="C3878" s="0" t="n">
        <v>7</v>
      </c>
      <c r="D3878" s="0" t="n">
        <v>0</v>
      </c>
      <c r="E3878" s="0" t="n">
        <f aca="false">VLOOKUP(B3878,'MSA-Lookup'!$H$2:$I$86,2)</f>
        <v>4480</v>
      </c>
      <c r="F3878" s="0" t="n">
        <f aca="false">IF(C3878&gt;1,IF(C3878&lt;99,VLOOKUP(C3878,'MSA-Lookup'!$H$1:$I$86,2),C3878),C3878)</f>
        <v>9999</v>
      </c>
      <c r="G3878" s="0" t="n">
        <f aca="false">VLOOKUP(E3878,'MSA-Lookup'!$AA$1:$AB$25,2)</f>
        <v>4472</v>
      </c>
      <c r="H3878" s="0" t="n">
        <f aca="false">IF(C3878&gt;1,IF(C3878&lt;99,VLOOKUP(F3878,'MSA-Lookup'!$AA$1:$AB$25,2),C3878),C3878)</f>
        <v>9999</v>
      </c>
    </row>
    <row r="3879" customFormat="false" ht="12.75" hidden="false" customHeight="false" outlineLevel="0" collapsed="false">
      <c r="A3879" s="0" t="n">
        <f aca="false">B3879*1000+C3879</f>
        <v>57008</v>
      </c>
      <c r="B3879" s="0" t="n">
        <v>57</v>
      </c>
      <c r="C3879" s="0" t="n">
        <v>8</v>
      </c>
      <c r="D3879" s="0" t="n">
        <v>0</v>
      </c>
      <c r="E3879" s="0" t="n">
        <f aca="false">VLOOKUP(B3879,'MSA-Lookup'!$H$2:$I$86,2)</f>
        <v>4480</v>
      </c>
      <c r="F3879" s="0" t="n">
        <f aca="false">IF(C3879&gt;1,IF(C3879&lt;99,VLOOKUP(C3879,'MSA-Lookup'!$H$1:$I$86,2),C3879),C3879)</f>
        <v>9340</v>
      </c>
      <c r="G3879" s="0" t="n">
        <f aca="false">VLOOKUP(E3879,'MSA-Lookup'!$AA$1:$AB$25,2)</f>
        <v>4472</v>
      </c>
      <c r="H3879" s="0" t="n">
        <f aca="false">IF(C3879&gt;1,IF(C3879&lt;99,VLOOKUP(F3879,'MSA-Lookup'!$AA$1:$AB$25,2),C3879),C3879)</f>
        <v>9340</v>
      </c>
    </row>
    <row r="3880" customFormat="false" ht="12.75" hidden="false" customHeight="false" outlineLevel="0" collapsed="false">
      <c r="A3880" s="0" t="n">
        <f aca="false">B3880*1000+C3880</f>
        <v>57009</v>
      </c>
      <c r="B3880" s="0" t="n">
        <v>57</v>
      </c>
      <c r="C3880" s="0" t="n">
        <v>9</v>
      </c>
      <c r="D3880" s="0" t="n">
        <v>0</v>
      </c>
      <c r="E3880" s="0" t="n">
        <f aca="false">VLOOKUP(B3880,'MSA-Lookup'!$H$2:$I$86,2)</f>
        <v>4480</v>
      </c>
      <c r="F3880" s="0" t="n">
        <f aca="false">IF(C3880&gt;1,IF(C3880&lt;99,VLOOKUP(C3880,'MSA-Lookup'!$H$1:$I$86,2),C3880),C3880)</f>
        <v>8720</v>
      </c>
      <c r="G3880" s="0" t="n">
        <f aca="false">VLOOKUP(E3880,'MSA-Lookup'!$AA$1:$AB$25,2)</f>
        <v>4472</v>
      </c>
      <c r="H3880" s="0" t="n">
        <f aca="false">IF(C3880&gt;1,IF(C3880&lt;99,VLOOKUP(F3880,'MSA-Lookup'!$AA$1:$AB$25,2),C3880),C3880)</f>
        <v>7362</v>
      </c>
    </row>
    <row r="3881" customFormat="false" ht="12.75" hidden="false" customHeight="false" outlineLevel="0" collapsed="false">
      <c r="A3881" s="0" t="n">
        <f aca="false">B3881*1000+C3881</f>
        <v>57010</v>
      </c>
      <c r="B3881" s="0" t="n">
        <v>57</v>
      </c>
      <c r="C3881" s="0" t="n">
        <v>10</v>
      </c>
      <c r="D3881" s="0" t="n">
        <v>0</v>
      </c>
      <c r="E3881" s="0" t="n">
        <f aca="false">VLOOKUP(B3881,'MSA-Lookup'!$H$2:$I$86,2)</f>
        <v>4480</v>
      </c>
      <c r="F3881" s="0" t="n">
        <f aca="false">IF(C3881&gt;1,IF(C3881&lt;99,VLOOKUP(C3881,'MSA-Lookup'!$H$1:$I$86,2),C3881),C3881)</f>
        <v>6920</v>
      </c>
      <c r="G3881" s="0" t="n">
        <f aca="false">VLOOKUP(E3881,'MSA-Lookup'!$AA$1:$AB$25,2)</f>
        <v>4472</v>
      </c>
      <c r="H3881" s="0" t="n">
        <f aca="false">IF(C3881&gt;1,IF(C3881&lt;99,VLOOKUP(F3881,'MSA-Lookup'!$AA$1:$AB$25,2),C3881),C3881)</f>
        <v>6920</v>
      </c>
    </row>
    <row r="3882" customFormat="false" ht="12.75" hidden="false" customHeight="false" outlineLevel="0" collapsed="false">
      <c r="A3882" s="0" t="n">
        <f aca="false">B3882*1000+C3882</f>
        <v>57011</v>
      </c>
      <c r="B3882" s="0" t="n">
        <v>57</v>
      </c>
      <c r="C3882" s="0" t="n">
        <v>11</v>
      </c>
      <c r="D3882" s="0" t="n">
        <v>0</v>
      </c>
      <c r="E3882" s="0" t="n">
        <f aca="false">VLOOKUP(B3882,'MSA-Lookup'!$H$2:$I$86,2)</f>
        <v>4480</v>
      </c>
      <c r="F3882" s="0" t="n">
        <f aca="false">IF(C3882&gt;1,IF(C3882&lt;99,VLOOKUP(C3882,'MSA-Lookup'!$H$1:$I$86,2),C3882),C3882)</f>
        <v>6920</v>
      </c>
      <c r="G3882" s="0" t="n">
        <f aca="false">VLOOKUP(E3882,'MSA-Lookup'!$AA$1:$AB$25,2)</f>
        <v>4472</v>
      </c>
      <c r="H3882" s="0" t="n">
        <f aca="false">IF(C3882&gt;1,IF(C3882&lt;99,VLOOKUP(F3882,'MSA-Lookup'!$AA$1:$AB$25,2),C3882),C3882)</f>
        <v>6920</v>
      </c>
    </row>
    <row r="3883" customFormat="false" ht="12.75" hidden="false" customHeight="false" outlineLevel="0" collapsed="false">
      <c r="A3883" s="0" t="n">
        <f aca="false">B3883*1000+C3883</f>
        <v>57012</v>
      </c>
      <c r="B3883" s="0" t="n">
        <v>57</v>
      </c>
      <c r="C3883" s="0" t="n">
        <v>12</v>
      </c>
      <c r="D3883" s="0" t="n">
        <v>0</v>
      </c>
      <c r="E3883" s="0" t="n">
        <f aca="false">VLOOKUP(B3883,'MSA-Lookup'!$H$2:$I$86,2)</f>
        <v>4480</v>
      </c>
      <c r="F3883" s="0" t="n">
        <f aca="false">IF(C3883&gt;1,IF(C3883&lt;99,VLOOKUP(C3883,'MSA-Lookup'!$H$1:$I$86,2),C3883),C3883)</f>
        <v>6920</v>
      </c>
      <c r="G3883" s="0" t="n">
        <f aca="false">VLOOKUP(E3883,'MSA-Lookup'!$AA$1:$AB$25,2)</f>
        <v>4472</v>
      </c>
      <c r="H3883" s="0" t="n">
        <f aca="false">IF(C3883&gt;1,IF(C3883&lt;99,VLOOKUP(F3883,'MSA-Lookup'!$AA$1:$AB$25,2),C3883),C3883)</f>
        <v>6920</v>
      </c>
    </row>
    <row r="3884" customFormat="false" ht="12.75" hidden="false" customHeight="false" outlineLevel="0" collapsed="false">
      <c r="A3884" s="0" t="n">
        <f aca="false">B3884*1000+C3884</f>
        <v>57013</v>
      </c>
      <c r="B3884" s="0" t="n">
        <v>57</v>
      </c>
      <c r="C3884" s="0" t="n">
        <v>13</v>
      </c>
      <c r="D3884" s="0" t="n">
        <v>0</v>
      </c>
      <c r="E3884" s="0" t="n">
        <f aca="false">VLOOKUP(B3884,'MSA-Lookup'!$H$2:$I$86,2)</f>
        <v>4480</v>
      </c>
      <c r="F3884" s="0" t="n">
        <f aca="false">IF(C3884&gt;1,IF(C3884&lt;99,VLOOKUP(C3884,'MSA-Lookup'!$H$1:$I$86,2),C3884),C3884)</f>
        <v>7500</v>
      </c>
      <c r="G3884" s="0" t="n">
        <f aca="false">VLOOKUP(E3884,'MSA-Lookup'!$AA$1:$AB$25,2)</f>
        <v>4472</v>
      </c>
      <c r="H3884" s="0" t="n">
        <f aca="false">IF(C3884&gt;1,IF(C3884&lt;99,VLOOKUP(F3884,'MSA-Lookup'!$AA$1:$AB$25,2),C3884),C3884)</f>
        <v>7362</v>
      </c>
    </row>
    <row r="3885" customFormat="false" ht="12.75" hidden="false" customHeight="false" outlineLevel="0" collapsed="false">
      <c r="A3885" s="0" t="n">
        <f aca="false">B3885*1000+C3885</f>
        <v>57014</v>
      </c>
      <c r="B3885" s="0" t="n">
        <v>57</v>
      </c>
      <c r="C3885" s="0" t="n">
        <v>14</v>
      </c>
      <c r="D3885" s="0" t="n">
        <v>0</v>
      </c>
      <c r="E3885" s="0" t="n">
        <f aca="false">VLOOKUP(B3885,'MSA-Lookup'!$H$2:$I$86,2)</f>
        <v>4480</v>
      </c>
      <c r="F3885" s="0" t="n">
        <f aca="false">IF(C3885&gt;1,IF(C3885&lt;99,VLOOKUP(C3885,'MSA-Lookup'!$H$1:$I$86,2),C3885),C3885)</f>
        <v>7500</v>
      </c>
      <c r="G3885" s="0" t="n">
        <f aca="false">VLOOKUP(E3885,'MSA-Lookup'!$AA$1:$AB$25,2)</f>
        <v>4472</v>
      </c>
      <c r="H3885" s="0" t="n">
        <f aca="false">IF(C3885&gt;1,IF(C3885&lt;99,VLOOKUP(F3885,'MSA-Lookup'!$AA$1:$AB$25,2),C3885),C3885)</f>
        <v>7362</v>
      </c>
    </row>
    <row r="3886" customFormat="false" ht="12.75" hidden="false" customHeight="false" outlineLevel="0" collapsed="false">
      <c r="A3886" s="0" t="n">
        <f aca="false">B3886*1000+C3886</f>
        <v>57015</v>
      </c>
      <c r="B3886" s="0" t="n">
        <v>57</v>
      </c>
      <c r="C3886" s="0" t="n">
        <v>15</v>
      </c>
      <c r="D3886" s="0" t="n">
        <v>0</v>
      </c>
      <c r="E3886" s="0" t="n">
        <f aca="false">VLOOKUP(B3886,'MSA-Lookup'!$H$2:$I$86,2)</f>
        <v>4480</v>
      </c>
      <c r="F3886" s="0" t="n">
        <f aca="false">IF(C3886&gt;1,IF(C3886&lt;99,VLOOKUP(C3886,'MSA-Lookup'!$H$1:$I$86,2),C3886),C3886)</f>
        <v>7360</v>
      </c>
      <c r="G3886" s="0" t="n">
        <f aca="false">VLOOKUP(E3886,'MSA-Lookup'!$AA$1:$AB$25,2)</f>
        <v>4472</v>
      </c>
      <c r="H3886" s="0" t="n">
        <f aca="false">IF(C3886&gt;1,IF(C3886&lt;99,VLOOKUP(F3886,'MSA-Lookup'!$AA$1:$AB$25,2),C3886),C3886)</f>
        <v>7362</v>
      </c>
    </row>
    <row r="3887" customFormat="false" ht="12.75" hidden="false" customHeight="false" outlineLevel="0" collapsed="false">
      <c r="A3887" s="0" t="n">
        <f aca="false">B3887*1000+C3887</f>
        <v>57016</v>
      </c>
      <c r="B3887" s="0" t="n">
        <v>57</v>
      </c>
      <c r="C3887" s="0" t="n">
        <v>16</v>
      </c>
      <c r="D3887" s="0" t="n">
        <v>0</v>
      </c>
      <c r="E3887" s="0" t="n">
        <f aca="false">VLOOKUP(B3887,'MSA-Lookup'!$H$2:$I$86,2)</f>
        <v>4480</v>
      </c>
      <c r="F3887" s="0" t="n">
        <f aca="false">IF(C3887&gt;1,IF(C3887&lt;99,VLOOKUP(C3887,'MSA-Lookup'!$H$1:$I$86,2),C3887),C3887)</f>
        <v>8720</v>
      </c>
      <c r="G3887" s="0" t="n">
        <f aca="false">VLOOKUP(E3887,'MSA-Lookup'!$AA$1:$AB$25,2)</f>
        <v>4472</v>
      </c>
      <c r="H3887" s="0" t="n">
        <f aca="false">IF(C3887&gt;1,IF(C3887&lt;99,VLOOKUP(F3887,'MSA-Lookup'!$AA$1:$AB$25,2),C3887),C3887)</f>
        <v>7362</v>
      </c>
    </row>
    <row r="3888" customFormat="false" ht="12.75" hidden="false" customHeight="false" outlineLevel="0" collapsed="false">
      <c r="A3888" s="0" t="n">
        <f aca="false">B3888*1000+C3888</f>
        <v>57017</v>
      </c>
      <c r="B3888" s="0" t="n">
        <v>57</v>
      </c>
      <c r="C3888" s="0" t="n">
        <v>17</v>
      </c>
      <c r="D3888" s="0" t="n">
        <v>0</v>
      </c>
      <c r="E3888" s="0" t="n">
        <f aca="false">VLOOKUP(B3888,'MSA-Lookup'!$H$2:$I$86,2)</f>
        <v>4480</v>
      </c>
      <c r="F3888" s="0" t="n">
        <f aca="false">IF(C3888&gt;1,IF(C3888&lt;99,VLOOKUP(C3888,'MSA-Lookup'!$H$1:$I$86,2),C3888),C3888)</f>
        <v>5775</v>
      </c>
      <c r="G3888" s="0" t="n">
        <f aca="false">VLOOKUP(E3888,'MSA-Lookup'!$AA$1:$AB$25,2)</f>
        <v>4472</v>
      </c>
      <c r="H3888" s="0" t="n">
        <f aca="false">IF(C3888&gt;1,IF(C3888&lt;99,VLOOKUP(F3888,'MSA-Lookup'!$AA$1:$AB$25,2),C3888),C3888)</f>
        <v>7362</v>
      </c>
    </row>
    <row r="3889" customFormat="false" ht="12.75" hidden="false" customHeight="false" outlineLevel="0" collapsed="false">
      <c r="A3889" s="0" t="n">
        <f aca="false">B3889*1000+C3889</f>
        <v>57018</v>
      </c>
      <c r="B3889" s="0" t="n">
        <v>57</v>
      </c>
      <c r="C3889" s="0" t="n">
        <v>18</v>
      </c>
      <c r="D3889" s="0" t="n">
        <v>0</v>
      </c>
      <c r="E3889" s="0" t="n">
        <f aca="false">VLOOKUP(B3889,'MSA-Lookup'!$H$2:$I$86,2)</f>
        <v>4480</v>
      </c>
      <c r="F3889" s="0" t="n">
        <f aca="false">IF(C3889&gt;1,IF(C3889&lt;99,VLOOKUP(C3889,'MSA-Lookup'!$H$1:$I$86,2),C3889),C3889)</f>
        <v>5775</v>
      </c>
      <c r="G3889" s="0" t="n">
        <f aca="false">VLOOKUP(E3889,'MSA-Lookup'!$AA$1:$AB$25,2)</f>
        <v>4472</v>
      </c>
      <c r="H3889" s="0" t="n">
        <f aca="false">IF(C3889&gt;1,IF(C3889&lt;99,VLOOKUP(F3889,'MSA-Lookup'!$AA$1:$AB$25,2),C3889),C3889)</f>
        <v>7362</v>
      </c>
    </row>
    <row r="3890" customFormat="false" ht="12.75" hidden="false" customHeight="false" outlineLevel="0" collapsed="false">
      <c r="A3890" s="0" t="n">
        <f aca="false">B3890*1000+C3890</f>
        <v>57019</v>
      </c>
      <c r="B3890" s="0" t="n">
        <v>57</v>
      </c>
      <c r="C3890" s="0" t="n">
        <v>19</v>
      </c>
      <c r="D3890" s="0" t="n">
        <v>0</v>
      </c>
      <c r="E3890" s="0" t="n">
        <f aca="false">VLOOKUP(B3890,'MSA-Lookup'!$H$2:$I$86,2)</f>
        <v>4480</v>
      </c>
      <c r="F3890" s="0" t="n">
        <f aca="false">IF(C3890&gt;1,IF(C3890&lt;99,VLOOKUP(C3890,'MSA-Lookup'!$H$1:$I$86,2),C3890),C3890)</f>
        <v>7360</v>
      </c>
      <c r="G3890" s="0" t="n">
        <f aca="false">VLOOKUP(E3890,'MSA-Lookup'!$AA$1:$AB$25,2)</f>
        <v>4472</v>
      </c>
      <c r="H3890" s="0" t="n">
        <f aca="false">IF(C3890&gt;1,IF(C3890&lt;99,VLOOKUP(F3890,'MSA-Lookup'!$AA$1:$AB$25,2),C3890),C3890)</f>
        <v>7362</v>
      </c>
    </row>
    <row r="3891" customFormat="false" ht="12.75" hidden="false" customHeight="false" outlineLevel="0" collapsed="false">
      <c r="A3891" s="0" t="n">
        <f aca="false">B3891*1000+C3891</f>
        <v>57020</v>
      </c>
      <c r="B3891" s="0" t="n">
        <v>57</v>
      </c>
      <c r="C3891" s="0" t="n">
        <v>20</v>
      </c>
      <c r="D3891" s="0" t="n">
        <v>0</v>
      </c>
      <c r="E3891" s="0" t="n">
        <f aca="false">VLOOKUP(B3891,'MSA-Lookup'!$H$2:$I$86,2)</f>
        <v>4480</v>
      </c>
      <c r="F3891" s="0" t="n">
        <f aca="false">IF(C3891&gt;1,IF(C3891&lt;99,VLOOKUP(C3891,'MSA-Lookup'!$H$1:$I$86,2),C3891),C3891)</f>
        <v>5775</v>
      </c>
      <c r="G3891" s="0" t="n">
        <f aca="false">VLOOKUP(E3891,'MSA-Lookup'!$AA$1:$AB$25,2)</f>
        <v>4472</v>
      </c>
      <c r="H3891" s="0" t="n">
        <f aca="false">IF(C3891&gt;1,IF(C3891&lt;99,VLOOKUP(F3891,'MSA-Lookup'!$AA$1:$AB$25,2),C3891),C3891)</f>
        <v>7362</v>
      </c>
    </row>
    <row r="3892" customFormat="false" ht="12.75" hidden="false" customHeight="false" outlineLevel="0" collapsed="false">
      <c r="A3892" s="0" t="n">
        <f aca="false">B3892*1000+C3892</f>
        <v>57021</v>
      </c>
      <c r="B3892" s="0" t="n">
        <v>57</v>
      </c>
      <c r="C3892" s="0" t="n">
        <v>21</v>
      </c>
      <c r="D3892" s="0" t="n">
        <v>0</v>
      </c>
      <c r="E3892" s="0" t="n">
        <f aca="false">VLOOKUP(B3892,'MSA-Lookup'!$H$2:$I$86,2)</f>
        <v>4480</v>
      </c>
      <c r="F3892" s="0" t="n">
        <f aca="false">IF(C3892&gt;1,IF(C3892&lt;99,VLOOKUP(C3892,'MSA-Lookup'!$H$1:$I$86,2),C3892),C3892)</f>
        <v>5775</v>
      </c>
      <c r="G3892" s="0" t="n">
        <f aca="false">VLOOKUP(E3892,'MSA-Lookup'!$AA$1:$AB$25,2)</f>
        <v>4472</v>
      </c>
      <c r="H3892" s="0" t="n">
        <f aca="false">IF(C3892&gt;1,IF(C3892&lt;99,VLOOKUP(F3892,'MSA-Lookup'!$AA$1:$AB$25,2),C3892),C3892)</f>
        <v>7362</v>
      </c>
    </row>
    <row r="3893" customFormat="false" ht="12.75" hidden="false" customHeight="false" outlineLevel="0" collapsed="false">
      <c r="A3893" s="0" t="n">
        <f aca="false">B3893*1000+C3893</f>
        <v>57022</v>
      </c>
      <c r="B3893" s="0" t="n">
        <v>57</v>
      </c>
      <c r="C3893" s="0" t="n">
        <v>22</v>
      </c>
      <c r="D3893" s="0" t="n">
        <v>0</v>
      </c>
      <c r="E3893" s="0" t="n">
        <f aca="false">VLOOKUP(B3893,'MSA-Lookup'!$H$2:$I$86,2)</f>
        <v>4480</v>
      </c>
      <c r="F3893" s="0" t="n">
        <f aca="false">IF(C3893&gt;1,IF(C3893&lt;99,VLOOKUP(C3893,'MSA-Lookup'!$H$1:$I$86,2),C3893),C3893)</f>
        <v>7360</v>
      </c>
      <c r="G3893" s="0" t="n">
        <f aca="false">VLOOKUP(E3893,'MSA-Lookup'!$AA$1:$AB$25,2)</f>
        <v>4472</v>
      </c>
      <c r="H3893" s="0" t="n">
        <f aca="false">IF(C3893&gt;1,IF(C3893&lt;99,VLOOKUP(F3893,'MSA-Lookup'!$AA$1:$AB$25,2),C3893),C3893)</f>
        <v>7362</v>
      </c>
    </row>
    <row r="3894" customFormat="false" ht="12.75" hidden="false" customHeight="false" outlineLevel="0" collapsed="false">
      <c r="A3894" s="0" t="n">
        <f aca="false">B3894*1000+C3894</f>
        <v>57023</v>
      </c>
      <c r="B3894" s="0" t="n">
        <v>57</v>
      </c>
      <c r="C3894" s="0" t="n">
        <v>23</v>
      </c>
      <c r="D3894" s="0" t="n">
        <v>0</v>
      </c>
      <c r="E3894" s="0" t="n">
        <f aca="false">VLOOKUP(B3894,'MSA-Lookup'!$H$2:$I$86,2)</f>
        <v>4480</v>
      </c>
      <c r="F3894" s="0" t="n">
        <f aca="false">IF(C3894&gt;1,IF(C3894&lt;99,VLOOKUP(C3894,'MSA-Lookup'!$H$1:$I$86,2),C3894),C3894)</f>
        <v>8120</v>
      </c>
      <c r="G3894" s="0" t="n">
        <f aca="false">VLOOKUP(E3894,'MSA-Lookup'!$AA$1:$AB$25,2)</f>
        <v>4472</v>
      </c>
      <c r="H3894" s="0" t="n">
        <f aca="false">IF(C3894&gt;1,IF(C3894&lt;99,VLOOKUP(F3894,'MSA-Lookup'!$AA$1:$AB$25,2),C3894),C3894)</f>
        <v>8120</v>
      </c>
    </row>
    <row r="3895" customFormat="false" ht="12.75" hidden="false" customHeight="false" outlineLevel="0" collapsed="false">
      <c r="A3895" s="0" t="n">
        <f aca="false">B3895*1000+C3895</f>
        <v>57024</v>
      </c>
      <c r="B3895" s="0" t="n">
        <v>57</v>
      </c>
      <c r="C3895" s="0" t="n">
        <v>24</v>
      </c>
      <c r="D3895" s="0" t="n">
        <v>0</v>
      </c>
      <c r="E3895" s="0" t="n">
        <f aca="false">VLOOKUP(B3895,'MSA-Lookup'!$H$2:$I$86,2)</f>
        <v>4480</v>
      </c>
      <c r="F3895" s="0" t="n">
        <f aca="false">IF(C3895&gt;1,IF(C3895&lt;99,VLOOKUP(C3895,'MSA-Lookup'!$H$1:$I$86,2),C3895),C3895)</f>
        <v>5170</v>
      </c>
      <c r="G3895" s="0" t="n">
        <f aca="false">VLOOKUP(E3895,'MSA-Lookup'!$AA$1:$AB$25,2)</f>
        <v>4472</v>
      </c>
      <c r="H3895" s="0" t="n">
        <f aca="false">IF(C3895&gt;1,IF(C3895&lt;99,VLOOKUP(F3895,'MSA-Lookup'!$AA$1:$AB$25,2),C3895),C3895)</f>
        <v>5170</v>
      </c>
    </row>
    <row r="3896" customFormat="false" ht="12.75" hidden="false" customHeight="false" outlineLevel="0" collapsed="false">
      <c r="A3896" s="0" t="n">
        <f aca="false">B3896*1000+C3896</f>
        <v>57025</v>
      </c>
      <c r="B3896" s="0" t="n">
        <v>57</v>
      </c>
      <c r="C3896" s="0" t="n">
        <v>25</v>
      </c>
      <c r="D3896" s="0" t="n">
        <v>78</v>
      </c>
      <c r="E3896" s="0" t="n">
        <f aca="false">VLOOKUP(B3896,'MSA-Lookup'!$H$2:$I$86,2)</f>
        <v>4480</v>
      </c>
      <c r="F3896" s="0" t="n">
        <f aca="false">IF(C3896&gt;1,IF(C3896&lt;99,VLOOKUP(C3896,'MSA-Lookup'!$H$1:$I$86,2),C3896),C3896)</f>
        <v>5170</v>
      </c>
      <c r="G3896" s="0" t="n">
        <f aca="false">VLOOKUP(E3896,'MSA-Lookup'!$AA$1:$AB$25,2)</f>
        <v>4472</v>
      </c>
      <c r="H3896" s="0" t="n">
        <f aca="false">IF(C3896&gt;1,IF(C3896&lt;99,VLOOKUP(F3896,'MSA-Lookup'!$AA$1:$AB$25,2),C3896),C3896)</f>
        <v>5170</v>
      </c>
    </row>
    <row r="3897" customFormat="false" ht="12.75" hidden="false" customHeight="false" outlineLevel="0" collapsed="false">
      <c r="A3897" s="0" t="n">
        <f aca="false">B3897*1000+C3897</f>
        <v>57026</v>
      </c>
      <c r="B3897" s="0" t="n">
        <v>57</v>
      </c>
      <c r="C3897" s="0" t="n">
        <v>26</v>
      </c>
      <c r="D3897" s="0" t="n">
        <v>0</v>
      </c>
      <c r="E3897" s="0" t="n">
        <f aca="false">VLOOKUP(B3897,'MSA-Lookup'!$H$2:$I$86,2)</f>
        <v>4480</v>
      </c>
      <c r="F3897" s="0" t="n">
        <f aca="false">IF(C3897&gt;1,IF(C3897&lt;99,VLOOKUP(C3897,'MSA-Lookup'!$H$1:$I$86,2),C3897),C3897)</f>
        <v>9999</v>
      </c>
      <c r="G3897" s="0" t="n">
        <f aca="false">VLOOKUP(E3897,'MSA-Lookup'!$AA$1:$AB$25,2)</f>
        <v>4472</v>
      </c>
      <c r="H3897" s="0" t="n">
        <f aca="false">IF(C3897&gt;1,IF(C3897&lt;99,VLOOKUP(F3897,'MSA-Lookup'!$AA$1:$AB$25,2),C3897),C3897)</f>
        <v>9999</v>
      </c>
    </row>
    <row r="3898" customFormat="false" ht="12.75" hidden="false" customHeight="false" outlineLevel="0" collapsed="false">
      <c r="A3898" s="0" t="n">
        <f aca="false">B3898*1000+C3898</f>
        <v>57027</v>
      </c>
      <c r="B3898" s="0" t="n">
        <v>57</v>
      </c>
      <c r="C3898" s="0" t="n">
        <v>27</v>
      </c>
      <c r="D3898" s="0" t="n">
        <v>0</v>
      </c>
      <c r="E3898" s="0" t="n">
        <f aca="false">VLOOKUP(B3898,'MSA-Lookup'!$H$2:$I$86,2)</f>
        <v>4480</v>
      </c>
      <c r="F3898" s="0" t="n">
        <f aca="false">IF(C3898&gt;1,IF(C3898&lt;99,VLOOKUP(C3898,'MSA-Lookup'!$H$1:$I$86,2),C3898),C3898)</f>
        <v>9999</v>
      </c>
      <c r="G3898" s="0" t="n">
        <f aca="false">VLOOKUP(E3898,'MSA-Lookup'!$AA$1:$AB$25,2)</f>
        <v>4472</v>
      </c>
      <c r="H3898" s="0" t="n">
        <f aca="false">IF(C3898&gt;1,IF(C3898&lt;99,VLOOKUP(F3898,'MSA-Lookup'!$AA$1:$AB$25,2),C3898),C3898)</f>
        <v>9999</v>
      </c>
    </row>
    <row r="3899" customFormat="false" ht="12.75" hidden="false" customHeight="false" outlineLevel="0" collapsed="false">
      <c r="A3899" s="0" t="n">
        <f aca="false">B3899*1000+C3899</f>
        <v>57028</v>
      </c>
      <c r="B3899" s="0" t="n">
        <v>57</v>
      </c>
      <c r="C3899" s="0" t="n">
        <v>28</v>
      </c>
      <c r="D3899" s="0" t="n">
        <v>0</v>
      </c>
      <c r="E3899" s="0" t="n">
        <f aca="false">VLOOKUP(B3899,'MSA-Lookup'!$H$2:$I$86,2)</f>
        <v>4480</v>
      </c>
      <c r="F3899" s="0" t="n">
        <f aca="false">IF(C3899&gt;1,IF(C3899&lt;99,VLOOKUP(C3899,'MSA-Lookup'!$H$1:$I$86,2),C3899),C3899)</f>
        <v>6920</v>
      </c>
      <c r="G3899" s="0" t="n">
        <f aca="false">VLOOKUP(E3899,'MSA-Lookup'!$AA$1:$AB$25,2)</f>
        <v>4472</v>
      </c>
      <c r="H3899" s="0" t="n">
        <f aca="false">IF(C3899&gt;1,IF(C3899&lt;99,VLOOKUP(F3899,'MSA-Lookup'!$AA$1:$AB$25,2),C3899),C3899)</f>
        <v>6920</v>
      </c>
    </row>
    <row r="3900" customFormat="false" ht="12.75" hidden="false" customHeight="false" outlineLevel="0" collapsed="false">
      <c r="A3900" s="0" t="n">
        <f aca="false">B3900*1000+C3900</f>
        <v>57029</v>
      </c>
      <c r="B3900" s="0" t="n">
        <v>57</v>
      </c>
      <c r="C3900" s="0" t="n">
        <v>29</v>
      </c>
      <c r="D3900" s="0" t="n">
        <v>0</v>
      </c>
      <c r="E3900" s="0" t="n">
        <f aca="false">VLOOKUP(B3900,'MSA-Lookup'!$H$2:$I$86,2)</f>
        <v>4480</v>
      </c>
      <c r="F3900" s="0" t="n">
        <f aca="false">IF(C3900&gt;1,IF(C3900&lt;99,VLOOKUP(C3900,'MSA-Lookup'!$H$1:$I$86,2),C3900),C3900)</f>
        <v>6920</v>
      </c>
      <c r="G3900" s="0" t="n">
        <f aca="false">VLOOKUP(E3900,'MSA-Lookup'!$AA$1:$AB$25,2)</f>
        <v>4472</v>
      </c>
      <c r="H3900" s="0" t="n">
        <f aca="false">IF(C3900&gt;1,IF(C3900&lt;99,VLOOKUP(F3900,'MSA-Lookup'!$AA$1:$AB$25,2),C3900),C3900)</f>
        <v>6920</v>
      </c>
    </row>
    <row r="3901" customFormat="false" ht="12.75" hidden="false" customHeight="false" outlineLevel="0" collapsed="false">
      <c r="A3901" s="0" t="n">
        <f aca="false">B3901*1000+C3901</f>
        <v>57030</v>
      </c>
      <c r="B3901" s="0" t="n">
        <v>57</v>
      </c>
      <c r="C3901" s="0" t="n">
        <v>30</v>
      </c>
      <c r="D3901" s="0" t="n">
        <v>0</v>
      </c>
      <c r="E3901" s="0" t="n">
        <f aca="false">VLOOKUP(B3901,'MSA-Lookup'!$H$2:$I$86,2)</f>
        <v>4480</v>
      </c>
      <c r="F3901" s="0" t="n">
        <f aca="false">IF(C3901&gt;1,IF(C3901&lt;99,VLOOKUP(C3901,'MSA-Lookup'!$H$1:$I$86,2),C3901),C3901)</f>
        <v>4940</v>
      </c>
      <c r="G3901" s="0" t="n">
        <f aca="false">VLOOKUP(E3901,'MSA-Lookup'!$AA$1:$AB$25,2)</f>
        <v>4472</v>
      </c>
      <c r="H3901" s="0" t="n">
        <f aca="false">IF(C3901&gt;1,IF(C3901&lt;99,VLOOKUP(F3901,'MSA-Lookup'!$AA$1:$AB$25,2),C3901),C3901)</f>
        <v>4940</v>
      </c>
    </row>
    <row r="3902" customFormat="false" ht="12.75" hidden="false" customHeight="false" outlineLevel="0" collapsed="false">
      <c r="A3902" s="0" t="n">
        <f aca="false">B3902*1000+C3902</f>
        <v>57031</v>
      </c>
      <c r="B3902" s="0" t="n">
        <v>57</v>
      </c>
      <c r="C3902" s="0" t="n">
        <v>31</v>
      </c>
      <c r="D3902" s="0" t="n">
        <v>104</v>
      </c>
      <c r="E3902" s="0" t="n">
        <f aca="false">VLOOKUP(B3902,'MSA-Lookup'!$H$2:$I$86,2)</f>
        <v>4480</v>
      </c>
      <c r="F3902" s="0" t="n">
        <f aca="false">IF(C3902&gt;1,IF(C3902&lt;99,VLOOKUP(C3902,'MSA-Lookup'!$H$1:$I$86,2),C3902),C3902)</f>
        <v>9999</v>
      </c>
      <c r="G3902" s="0" t="n">
        <f aca="false">VLOOKUP(E3902,'MSA-Lookup'!$AA$1:$AB$25,2)</f>
        <v>4472</v>
      </c>
      <c r="H3902" s="0" t="n">
        <f aca="false">IF(C3902&gt;1,IF(C3902&lt;99,VLOOKUP(F3902,'MSA-Lookup'!$AA$1:$AB$25,2),C3902),C3902)</f>
        <v>9999</v>
      </c>
    </row>
    <row r="3903" customFormat="false" ht="12.75" hidden="false" customHeight="false" outlineLevel="0" collapsed="false">
      <c r="A3903" s="0" t="n">
        <f aca="false">B3903*1000+C3903</f>
        <v>57032</v>
      </c>
      <c r="B3903" s="0" t="n">
        <v>57</v>
      </c>
      <c r="C3903" s="0" t="n">
        <v>32</v>
      </c>
      <c r="D3903" s="0" t="n">
        <v>0</v>
      </c>
      <c r="E3903" s="0" t="n">
        <f aca="false">VLOOKUP(B3903,'MSA-Lookup'!$H$2:$I$86,2)</f>
        <v>4480</v>
      </c>
      <c r="F3903" s="0" t="n">
        <f aca="false">IF(C3903&gt;1,IF(C3903&lt;99,VLOOKUP(C3903,'MSA-Lookup'!$H$1:$I$86,2),C3903),C3903)</f>
        <v>7480</v>
      </c>
      <c r="G3903" s="0" t="n">
        <f aca="false">VLOOKUP(E3903,'MSA-Lookup'!$AA$1:$AB$25,2)</f>
        <v>4472</v>
      </c>
      <c r="H3903" s="0" t="n">
        <f aca="false">IF(C3903&gt;1,IF(C3903&lt;99,VLOOKUP(F3903,'MSA-Lookup'!$AA$1:$AB$25,2),C3903),C3903)</f>
        <v>7480</v>
      </c>
    </row>
    <row r="3904" customFormat="false" ht="12.75" hidden="false" customHeight="false" outlineLevel="0" collapsed="false">
      <c r="A3904" s="0" t="n">
        <f aca="false">B3904*1000+C3904</f>
        <v>57033</v>
      </c>
      <c r="B3904" s="0" t="n">
        <v>57</v>
      </c>
      <c r="C3904" s="0" t="n">
        <v>33</v>
      </c>
      <c r="D3904" s="0" t="n">
        <v>0</v>
      </c>
      <c r="E3904" s="0" t="n">
        <f aca="false">VLOOKUP(B3904,'MSA-Lookup'!$H$2:$I$86,2)</f>
        <v>4480</v>
      </c>
      <c r="F3904" s="0" t="n">
        <f aca="false">IF(C3904&gt;1,IF(C3904&lt;99,VLOOKUP(C3904,'MSA-Lookup'!$H$1:$I$86,2),C3904),C3904)</f>
        <v>7320</v>
      </c>
      <c r="G3904" s="0" t="n">
        <f aca="false">VLOOKUP(E3904,'MSA-Lookup'!$AA$1:$AB$25,2)</f>
        <v>4472</v>
      </c>
      <c r="H3904" s="0" t="n">
        <f aca="false">IF(C3904&gt;1,IF(C3904&lt;99,VLOOKUP(F3904,'MSA-Lookup'!$AA$1:$AB$25,2),C3904),C3904)</f>
        <v>7320</v>
      </c>
    </row>
    <row r="3905" customFormat="false" ht="12.75" hidden="false" customHeight="false" outlineLevel="0" collapsed="false">
      <c r="A3905" s="0" t="n">
        <f aca="false">B3905*1000+C3905</f>
        <v>57034</v>
      </c>
      <c r="B3905" s="0" t="n">
        <v>57</v>
      </c>
      <c r="C3905" s="0" t="n">
        <v>34</v>
      </c>
      <c r="D3905" s="0" t="n">
        <v>0</v>
      </c>
      <c r="E3905" s="0" t="n">
        <f aca="false">VLOOKUP(B3905,'MSA-Lookup'!$H$2:$I$86,2)</f>
        <v>4480</v>
      </c>
      <c r="F3905" s="0" t="n">
        <f aca="false">IF(C3905&gt;1,IF(C3905&lt;99,VLOOKUP(C3905,'MSA-Lookup'!$H$1:$I$86,2),C3905),C3905)</f>
        <v>7320</v>
      </c>
      <c r="G3905" s="0" t="n">
        <f aca="false">VLOOKUP(E3905,'MSA-Lookup'!$AA$1:$AB$25,2)</f>
        <v>4472</v>
      </c>
      <c r="H3905" s="0" t="n">
        <f aca="false">IF(C3905&gt;1,IF(C3905&lt;99,VLOOKUP(F3905,'MSA-Lookup'!$AA$1:$AB$25,2),C3905),C3905)</f>
        <v>7320</v>
      </c>
    </row>
    <row r="3906" customFormat="false" ht="12.75" hidden="false" customHeight="false" outlineLevel="0" collapsed="false">
      <c r="A3906" s="0" t="n">
        <f aca="false">B3906*1000+C3906</f>
        <v>57035</v>
      </c>
      <c r="B3906" s="0" t="n">
        <v>57</v>
      </c>
      <c r="C3906" s="0" t="n">
        <v>35</v>
      </c>
      <c r="D3906" s="0" t="n">
        <v>0</v>
      </c>
      <c r="E3906" s="0" t="n">
        <f aca="false">VLOOKUP(B3906,'MSA-Lookup'!$H$2:$I$86,2)</f>
        <v>4480</v>
      </c>
      <c r="F3906" s="0" t="n">
        <f aca="false">IF(C3906&gt;1,IF(C3906&lt;99,VLOOKUP(C3906,'MSA-Lookup'!$H$1:$I$86,2),C3906),C3906)</f>
        <v>7320</v>
      </c>
      <c r="G3906" s="0" t="n">
        <f aca="false">VLOOKUP(E3906,'MSA-Lookup'!$AA$1:$AB$25,2)</f>
        <v>4472</v>
      </c>
      <c r="H3906" s="0" t="n">
        <f aca="false">IF(C3906&gt;1,IF(C3906&lt;99,VLOOKUP(F3906,'MSA-Lookup'!$AA$1:$AB$25,2),C3906),C3906)</f>
        <v>7320</v>
      </c>
    </row>
    <row r="3907" customFormat="false" ht="12.75" hidden="false" customHeight="false" outlineLevel="0" collapsed="false">
      <c r="A3907" s="0" t="n">
        <f aca="false">B3907*1000+C3907</f>
        <v>57036</v>
      </c>
      <c r="B3907" s="0" t="n">
        <v>57</v>
      </c>
      <c r="C3907" s="0" t="n">
        <v>36</v>
      </c>
      <c r="D3907" s="0" t="n">
        <v>0</v>
      </c>
      <c r="E3907" s="0" t="n">
        <f aca="false">VLOOKUP(B3907,'MSA-Lookup'!$H$2:$I$86,2)</f>
        <v>4480</v>
      </c>
      <c r="F3907" s="0" t="n">
        <f aca="false">IF(C3907&gt;1,IF(C3907&lt;99,VLOOKUP(C3907,'MSA-Lookup'!$H$1:$I$86,2),C3907),C3907)</f>
        <v>7320</v>
      </c>
      <c r="G3907" s="0" t="n">
        <f aca="false">VLOOKUP(E3907,'MSA-Lookup'!$AA$1:$AB$25,2)</f>
        <v>4472</v>
      </c>
      <c r="H3907" s="0" t="n">
        <f aca="false">IF(C3907&gt;1,IF(C3907&lt;99,VLOOKUP(F3907,'MSA-Lookup'!$AA$1:$AB$25,2),C3907),C3907)</f>
        <v>7320</v>
      </c>
    </row>
    <row r="3908" customFormat="false" ht="12.75" hidden="false" customHeight="false" outlineLevel="0" collapsed="false">
      <c r="A3908" s="0" t="n">
        <f aca="false">B3908*1000+C3908</f>
        <v>57037</v>
      </c>
      <c r="B3908" s="0" t="n">
        <v>57</v>
      </c>
      <c r="C3908" s="0" t="n">
        <v>37</v>
      </c>
      <c r="D3908" s="0" t="n">
        <v>0</v>
      </c>
      <c r="E3908" s="0" t="n">
        <f aca="false">VLOOKUP(B3908,'MSA-Lookup'!$H$2:$I$86,2)</f>
        <v>4480</v>
      </c>
      <c r="F3908" s="0" t="n">
        <f aca="false">IF(C3908&gt;1,IF(C3908&lt;99,VLOOKUP(C3908,'MSA-Lookup'!$H$1:$I$86,2),C3908),C3908)</f>
        <v>7320</v>
      </c>
      <c r="G3908" s="0" t="n">
        <f aca="false">VLOOKUP(E3908,'MSA-Lookup'!$AA$1:$AB$25,2)</f>
        <v>4472</v>
      </c>
      <c r="H3908" s="0" t="n">
        <f aca="false">IF(C3908&gt;1,IF(C3908&lt;99,VLOOKUP(F3908,'MSA-Lookup'!$AA$1:$AB$25,2),C3908),C3908)</f>
        <v>7320</v>
      </c>
    </row>
    <row r="3909" customFormat="false" ht="12.75" hidden="false" customHeight="false" outlineLevel="0" collapsed="false">
      <c r="A3909" s="0" t="n">
        <f aca="false">B3909*1000+C3909</f>
        <v>57038</v>
      </c>
      <c r="B3909" s="0" t="n">
        <v>57</v>
      </c>
      <c r="C3909" s="0" t="n">
        <v>38</v>
      </c>
      <c r="D3909" s="0" t="n">
        <v>0</v>
      </c>
      <c r="E3909" s="0" t="n">
        <f aca="false">VLOOKUP(B3909,'MSA-Lookup'!$H$2:$I$86,2)</f>
        <v>4480</v>
      </c>
      <c r="F3909" s="0" t="n">
        <f aca="false">IF(C3909&gt;1,IF(C3909&lt;99,VLOOKUP(C3909,'MSA-Lookup'!$H$1:$I$86,2),C3909),C3909)</f>
        <v>7120</v>
      </c>
      <c r="G3909" s="0" t="n">
        <f aca="false">VLOOKUP(E3909,'MSA-Lookup'!$AA$1:$AB$25,2)</f>
        <v>4472</v>
      </c>
      <c r="H3909" s="0" t="n">
        <f aca="false">IF(C3909&gt;1,IF(C3909&lt;99,VLOOKUP(F3909,'MSA-Lookup'!$AA$1:$AB$25,2),C3909),C3909)</f>
        <v>7120</v>
      </c>
    </row>
    <row r="3910" customFormat="false" ht="12.75" hidden="false" customHeight="false" outlineLevel="0" collapsed="false">
      <c r="A3910" s="0" t="n">
        <f aca="false">B3910*1000+C3910</f>
        <v>57039</v>
      </c>
      <c r="B3910" s="0" t="n">
        <v>57</v>
      </c>
      <c r="C3910" s="0" t="n">
        <v>39</v>
      </c>
      <c r="D3910" s="0" t="n">
        <v>0</v>
      </c>
      <c r="E3910" s="0" t="n">
        <f aca="false">VLOOKUP(B3910,'MSA-Lookup'!$H$2:$I$86,2)</f>
        <v>4480</v>
      </c>
      <c r="F3910" s="0" t="n">
        <f aca="false">IF(C3910&gt;1,IF(C3910&lt;99,VLOOKUP(C3910,'MSA-Lookup'!$H$1:$I$86,2),C3910),C3910)</f>
        <v>7120</v>
      </c>
      <c r="G3910" s="0" t="n">
        <f aca="false">VLOOKUP(E3910,'MSA-Lookup'!$AA$1:$AB$25,2)</f>
        <v>4472</v>
      </c>
      <c r="H3910" s="0" t="n">
        <f aca="false">IF(C3910&gt;1,IF(C3910&lt;99,VLOOKUP(F3910,'MSA-Lookup'!$AA$1:$AB$25,2),C3910),C3910)</f>
        <v>7120</v>
      </c>
    </row>
    <row r="3911" customFormat="false" ht="12.75" hidden="false" customHeight="false" outlineLevel="0" collapsed="false">
      <c r="A3911" s="0" t="n">
        <f aca="false">B3911*1000+C3911</f>
        <v>57040</v>
      </c>
      <c r="B3911" s="0" t="n">
        <v>57</v>
      </c>
      <c r="C3911" s="0" t="n">
        <v>40</v>
      </c>
      <c r="D3911" s="0" t="n">
        <v>0</v>
      </c>
      <c r="E3911" s="0" t="n">
        <f aca="false">VLOOKUP(B3911,'MSA-Lookup'!$H$2:$I$86,2)</f>
        <v>4480</v>
      </c>
      <c r="F3911" s="0" t="n">
        <f aca="false">IF(C3911&gt;1,IF(C3911&lt;99,VLOOKUP(C3911,'MSA-Lookup'!$H$1:$I$86,2),C3911),C3911)</f>
        <v>2840</v>
      </c>
      <c r="G3911" s="0" t="n">
        <f aca="false">VLOOKUP(E3911,'MSA-Lookup'!$AA$1:$AB$25,2)</f>
        <v>4472</v>
      </c>
      <c r="H3911" s="0" t="n">
        <f aca="false">IF(C3911&gt;1,IF(C3911&lt;99,VLOOKUP(F3911,'MSA-Lookup'!$AA$1:$AB$25,2),C3911),C3911)</f>
        <v>2840</v>
      </c>
    </row>
    <row r="3912" customFormat="false" ht="12.75" hidden="false" customHeight="false" outlineLevel="0" collapsed="false">
      <c r="A3912" s="0" t="n">
        <f aca="false">B3912*1000+C3912</f>
        <v>57041</v>
      </c>
      <c r="B3912" s="0" t="n">
        <v>57</v>
      </c>
      <c r="C3912" s="0" t="n">
        <v>41</v>
      </c>
      <c r="D3912" s="0" t="n">
        <v>0</v>
      </c>
      <c r="E3912" s="0" t="n">
        <f aca="false">VLOOKUP(B3912,'MSA-Lookup'!$H$2:$I$86,2)</f>
        <v>4480</v>
      </c>
      <c r="F3912" s="0" t="n">
        <f aca="false">IF(C3912&gt;1,IF(C3912&lt;99,VLOOKUP(C3912,'MSA-Lookup'!$H$1:$I$86,2),C3912),C3912)</f>
        <v>2840</v>
      </c>
      <c r="G3912" s="0" t="n">
        <f aca="false">VLOOKUP(E3912,'MSA-Lookup'!$AA$1:$AB$25,2)</f>
        <v>4472</v>
      </c>
      <c r="H3912" s="0" t="n">
        <f aca="false">IF(C3912&gt;1,IF(C3912&lt;99,VLOOKUP(F3912,'MSA-Lookup'!$AA$1:$AB$25,2),C3912),C3912)</f>
        <v>2840</v>
      </c>
    </row>
    <row r="3913" customFormat="false" ht="12.75" hidden="false" customHeight="false" outlineLevel="0" collapsed="false">
      <c r="A3913" s="0" t="n">
        <f aca="false">B3913*1000+C3913</f>
        <v>57042</v>
      </c>
      <c r="B3913" s="0" t="n">
        <v>57</v>
      </c>
      <c r="C3913" s="0" t="n">
        <v>42</v>
      </c>
      <c r="D3913" s="0" t="n">
        <v>468</v>
      </c>
      <c r="E3913" s="0" t="n">
        <f aca="false">VLOOKUP(B3913,'MSA-Lookup'!$H$2:$I$86,2)</f>
        <v>4480</v>
      </c>
      <c r="F3913" s="0" t="n">
        <f aca="false">IF(C3913&gt;1,IF(C3913&lt;99,VLOOKUP(C3913,'MSA-Lookup'!$H$1:$I$86,2),C3913),C3913)</f>
        <v>360</v>
      </c>
      <c r="G3913" s="0" t="n">
        <f aca="false">VLOOKUP(E3913,'MSA-Lookup'!$AA$1:$AB$25,2)</f>
        <v>4472</v>
      </c>
      <c r="H3913" s="0" t="n">
        <f aca="false">IF(C3913&gt;1,IF(C3913&lt;99,VLOOKUP(F3913,'MSA-Lookup'!$AA$1:$AB$25,2),C3913),C3913)</f>
        <v>4472</v>
      </c>
    </row>
    <row r="3914" customFormat="false" ht="12.75" hidden="false" customHeight="false" outlineLevel="0" collapsed="false">
      <c r="A3914" s="0" t="n">
        <f aca="false">B3914*1000+C3914</f>
        <v>57043</v>
      </c>
      <c r="B3914" s="0" t="n">
        <v>57</v>
      </c>
      <c r="C3914" s="0" t="n">
        <v>43</v>
      </c>
      <c r="D3914" s="0" t="n">
        <v>78</v>
      </c>
      <c r="E3914" s="0" t="n">
        <f aca="false">VLOOKUP(B3914,'MSA-Lookup'!$H$2:$I$86,2)</f>
        <v>4480</v>
      </c>
      <c r="F3914" s="0" t="n">
        <f aca="false">IF(C3914&gt;1,IF(C3914&lt;99,VLOOKUP(C3914,'MSA-Lookup'!$H$1:$I$86,2),C3914),C3914)</f>
        <v>360</v>
      </c>
      <c r="G3914" s="0" t="n">
        <f aca="false">VLOOKUP(E3914,'MSA-Lookup'!$AA$1:$AB$25,2)</f>
        <v>4472</v>
      </c>
      <c r="H3914" s="0" t="n">
        <f aca="false">IF(C3914&gt;1,IF(C3914&lt;99,VLOOKUP(F3914,'MSA-Lookup'!$AA$1:$AB$25,2),C3914),C3914)</f>
        <v>4472</v>
      </c>
    </row>
    <row r="3915" customFormat="false" ht="12.75" hidden="false" customHeight="false" outlineLevel="0" collapsed="false">
      <c r="A3915" s="0" t="n">
        <f aca="false">B3915*1000+C3915</f>
        <v>57044</v>
      </c>
      <c r="B3915" s="0" t="n">
        <v>57</v>
      </c>
      <c r="C3915" s="0" t="n">
        <v>44</v>
      </c>
      <c r="D3915" s="0" t="n">
        <v>143</v>
      </c>
      <c r="E3915" s="0" t="n">
        <f aca="false">VLOOKUP(B3915,'MSA-Lookup'!$H$2:$I$86,2)</f>
        <v>4480</v>
      </c>
      <c r="F3915" s="0" t="n">
        <f aca="false">IF(C3915&gt;1,IF(C3915&lt;99,VLOOKUP(C3915,'MSA-Lookup'!$H$1:$I$86,2),C3915),C3915)</f>
        <v>360</v>
      </c>
      <c r="G3915" s="0" t="n">
        <f aca="false">VLOOKUP(E3915,'MSA-Lookup'!$AA$1:$AB$25,2)</f>
        <v>4472</v>
      </c>
      <c r="H3915" s="0" t="n">
        <f aca="false">IF(C3915&gt;1,IF(C3915&lt;99,VLOOKUP(F3915,'MSA-Lookup'!$AA$1:$AB$25,2),C3915),C3915)</f>
        <v>4472</v>
      </c>
    </row>
    <row r="3916" customFormat="false" ht="12.75" hidden="false" customHeight="false" outlineLevel="0" collapsed="false">
      <c r="A3916" s="0" t="n">
        <f aca="false">B3916*1000+C3916</f>
        <v>57045</v>
      </c>
      <c r="B3916" s="0" t="n">
        <v>57</v>
      </c>
      <c r="C3916" s="0" t="n">
        <v>45</v>
      </c>
      <c r="D3916" s="0" t="n">
        <v>0</v>
      </c>
      <c r="E3916" s="0" t="n">
        <f aca="false">VLOOKUP(B3916,'MSA-Lookup'!$H$2:$I$86,2)</f>
        <v>4480</v>
      </c>
      <c r="F3916" s="0" t="n">
        <f aca="false">IF(C3916&gt;1,IF(C3916&lt;99,VLOOKUP(C3916,'MSA-Lookup'!$H$1:$I$86,2),C3916),C3916)</f>
        <v>360</v>
      </c>
      <c r="G3916" s="0" t="n">
        <f aca="false">VLOOKUP(E3916,'MSA-Lookup'!$AA$1:$AB$25,2)</f>
        <v>4472</v>
      </c>
      <c r="H3916" s="0" t="n">
        <f aca="false">IF(C3916&gt;1,IF(C3916&lt;99,VLOOKUP(F3916,'MSA-Lookup'!$AA$1:$AB$25,2),C3916),C3916)</f>
        <v>4472</v>
      </c>
    </row>
    <row r="3917" customFormat="false" ht="12.75" hidden="false" customHeight="false" outlineLevel="0" collapsed="false">
      <c r="A3917" s="0" t="n">
        <f aca="false">B3917*1000+C3917</f>
        <v>57046</v>
      </c>
      <c r="B3917" s="0" t="n">
        <v>57</v>
      </c>
      <c r="C3917" s="0" t="n">
        <v>46</v>
      </c>
      <c r="D3917" s="0" t="n">
        <v>0</v>
      </c>
      <c r="E3917" s="0" t="n">
        <f aca="false">VLOOKUP(B3917,'MSA-Lookup'!$H$2:$I$86,2)</f>
        <v>4480</v>
      </c>
      <c r="F3917" s="0" t="n">
        <f aca="false">IF(C3917&gt;1,IF(C3917&lt;99,VLOOKUP(C3917,'MSA-Lookup'!$H$1:$I$86,2),C3917),C3917)</f>
        <v>360</v>
      </c>
      <c r="G3917" s="0" t="n">
        <f aca="false">VLOOKUP(E3917,'MSA-Lookup'!$AA$1:$AB$25,2)</f>
        <v>4472</v>
      </c>
      <c r="H3917" s="0" t="n">
        <f aca="false">IF(C3917&gt;1,IF(C3917&lt;99,VLOOKUP(F3917,'MSA-Lookup'!$AA$1:$AB$25,2),C3917),C3917)</f>
        <v>4472</v>
      </c>
    </row>
    <row r="3918" customFormat="false" ht="12.75" hidden="false" customHeight="false" outlineLevel="0" collapsed="false">
      <c r="A3918" s="0" t="n">
        <f aca="false">B3918*1000+C3918</f>
        <v>57047</v>
      </c>
      <c r="B3918" s="0" t="n">
        <v>57</v>
      </c>
      <c r="C3918" s="0" t="n">
        <v>47</v>
      </c>
      <c r="D3918" s="0" t="n">
        <v>637</v>
      </c>
      <c r="E3918" s="0" t="n">
        <f aca="false">VLOOKUP(B3918,'MSA-Lookup'!$H$2:$I$86,2)</f>
        <v>4480</v>
      </c>
      <c r="F3918" s="0" t="n">
        <f aca="false">IF(C3918&gt;1,IF(C3918&lt;99,VLOOKUP(C3918,'MSA-Lookup'!$H$1:$I$86,2),C3918),C3918)</f>
        <v>360</v>
      </c>
      <c r="G3918" s="0" t="n">
        <f aca="false">VLOOKUP(E3918,'MSA-Lookup'!$AA$1:$AB$25,2)</f>
        <v>4472</v>
      </c>
      <c r="H3918" s="0" t="n">
        <f aca="false">IF(C3918&gt;1,IF(C3918&lt;99,VLOOKUP(F3918,'MSA-Lookup'!$AA$1:$AB$25,2),C3918),C3918)</f>
        <v>4472</v>
      </c>
    </row>
    <row r="3919" customFormat="false" ht="12.75" hidden="false" customHeight="false" outlineLevel="0" collapsed="false">
      <c r="A3919" s="0" t="n">
        <f aca="false">B3919*1000+C3919</f>
        <v>57048</v>
      </c>
      <c r="B3919" s="0" t="n">
        <v>57</v>
      </c>
      <c r="C3919" s="0" t="n">
        <v>48</v>
      </c>
      <c r="D3919" s="0" t="n">
        <v>1417</v>
      </c>
      <c r="E3919" s="0" t="n">
        <f aca="false">VLOOKUP(B3919,'MSA-Lookup'!$H$2:$I$86,2)</f>
        <v>4480</v>
      </c>
      <c r="F3919" s="0" t="n">
        <f aca="false">IF(C3919&gt;1,IF(C3919&lt;99,VLOOKUP(C3919,'MSA-Lookup'!$H$1:$I$86,2),C3919),C3919)</f>
        <v>360</v>
      </c>
      <c r="G3919" s="0" t="n">
        <f aca="false">VLOOKUP(E3919,'MSA-Lookup'!$AA$1:$AB$25,2)</f>
        <v>4472</v>
      </c>
      <c r="H3919" s="0" t="n">
        <f aca="false">IF(C3919&gt;1,IF(C3919&lt;99,VLOOKUP(F3919,'MSA-Lookup'!$AA$1:$AB$25,2),C3919),C3919)</f>
        <v>4472</v>
      </c>
    </row>
    <row r="3920" customFormat="false" ht="12.75" hidden="false" customHeight="false" outlineLevel="0" collapsed="false">
      <c r="A3920" s="0" t="n">
        <f aca="false">B3920*1000+C3920</f>
        <v>57049</v>
      </c>
      <c r="B3920" s="0" t="n">
        <v>57</v>
      </c>
      <c r="C3920" s="0" t="n">
        <v>49</v>
      </c>
      <c r="D3920" s="0" t="n">
        <v>0</v>
      </c>
      <c r="E3920" s="0" t="n">
        <f aca="false">VLOOKUP(B3920,'MSA-Lookup'!$H$2:$I$86,2)</f>
        <v>4480</v>
      </c>
      <c r="F3920" s="0" t="n">
        <f aca="false">IF(C3920&gt;1,IF(C3920&lt;99,VLOOKUP(C3920,'MSA-Lookup'!$H$1:$I$86,2),C3920),C3920)</f>
        <v>7400</v>
      </c>
      <c r="G3920" s="0" t="n">
        <f aca="false">VLOOKUP(E3920,'MSA-Lookup'!$AA$1:$AB$25,2)</f>
        <v>4472</v>
      </c>
      <c r="H3920" s="0" t="n">
        <f aca="false">IF(C3920&gt;1,IF(C3920&lt;99,VLOOKUP(F3920,'MSA-Lookup'!$AA$1:$AB$25,2),C3920),C3920)</f>
        <v>7362</v>
      </c>
    </row>
    <row r="3921" customFormat="false" ht="12.75" hidden="false" customHeight="false" outlineLevel="0" collapsed="false">
      <c r="A3921" s="0" t="n">
        <f aca="false">B3921*1000+C3921</f>
        <v>57050</v>
      </c>
      <c r="B3921" s="0" t="n">
        <v>57</v>
      </c>
      <c r="C3921" s="0" t="n">
        <v>50</v>
      </c>
      <c r="D3921" s="0" t="n">
        <v>0</v>
      </c>
      <c r="E3921" s="0" t="n">
        <f aca="false">VLOOKUP(B3921,'MSA-Lookup'!$H$2:$I$86,2)</f>
        <v>4480</v>
      </c>
      <c r="F3921" s="0" t="n">
        <f aca="false">IF(C3921&gt;1,IF(C3921&lt;99,VLOOKUP(C3921,'MSA-Lookup'!$H$1:$I$86,2),C3921),C3921)</f>
        <v>7400</v>
      </c>
      <c r="G3921" s="0" t="n">
        <f aca="false">VLOOKUP(E3921,'MSA-Lookup'!$AA$1:$AB$25,2)</f>
        <v>4472</v>
      </c>
      <c r="H3921" s="0" t="n">
        <f aca="false">IF(C3921&gt;1,IF(C3921&lt;99,VLOOKUP(F3921,'MSA-Lookup'!$AA$1:$AB$25,2),C3921),C3921)</f>
        <v>7362</v>
      </c>
    </row>
    <row r="3922" customFormat="false" ht="12.75" hidden="false" customHeight="false" outlineLevel="0" collapsed="false">
      <c r="A3922" s="0" t="n">
        <f aca="false">B3922*1000+C3922</f>
        <v>57051</v>
      </c>
      <c r="B3922" s="0" t="n">
        <v>57</v>
      </c>
      <c r="C3922" s="0" t="n">
        <v>51</v>
      </c>
      <c r="D3922" s="0" t="n">
        <v>0</v>
      </c>
      <c r="E3922" s="0" t="n">
        <f aca="false">VLOOKUP(B3922,'MSA-Lookup'!$H$2:$I$86,2)</f>
        <v>4480</v>
      </c>
      <c r="F3922" s="0" t="n">
        <f aca="false">IF(C3922&gt;1,IF(C3922&lt;99,VLOOKUP(C3922,'MSA-Lookup'!$H$1:$I$86,2),C3922),C3922)</f>
        <v>7400</v>
      </c>
      <c r="G3922" s="0" t="n">
        <f aca="false">VLOOKUP(E3922,'MSA-Lookup'!$AA$1:$AB$25,2)</f>
        <v>4472</v>
      </c>
      <c r="H3922" s="0" t="n">
        <f aca="false">IF(C3922&gt;1,IF(C3922&lt;99,VLOOKUP(F3922,'MSA-Lookup'!$AA$1:$AB$25,2),C3922),C3922)</f>
        <v>7362</v>
      </c>
    </row>
    <row r="3923" customFormat="false" ht="12.75" hidden="false" customHeight="false" outlineLevel="0" collapsed="false">
      <c r="A3923" s="0" t="n">
        <f aca="false">B3923*1000+C3923</f>
        <v>57052</v>
      </c>
      <c r="B3923" s="0" t="n">
        <v>57</v>
      </c>
      <c r="C3923" s="0" t="n">
        <v>52</v>
      </c>
      <c r="D3923" s="0" t="n">
        <v>117</v>
      </c>
      <c r="E3923" s="0" t="n">
        <f aca="false">VLOOKUP(B3923,'MSA-Lookup'!$H$2:$I$86,2)</f>
        <v>4480</v>
      </c>
      <c r="F3923" s="0" t="n">
        <f aca="false">IF(C3923&gt;1,IF(C3923&lt;99,VLOOKUP(C3923,'MSA-Lookup'!$H$1:$I$86,2),C3923),C3923)</f>
        <v>4480</v>
      </c>
      <c r="G3923" s="0" t="n">
        <f aca="false">VLOOKUP(E3923,'MSA-Lookup'!$AA$1:$AB$25,2)</f>
        <v>4472</v>
      </c>
      <c r="H3923" s="0" t="n">
        <f aca="false">IF(C3923&gt;1,IF(C3923&lt;99,VLOOKUP(F3923,'MSA-Lookup'!$AA$1:$AB$25,2),C3923),C3923)</f>
        <v>4472</v>
      </c>
    </row>
    <row r="3924" customFormat="false" ht="12.75" hidden="false" customHeight="false" outlineLevel="0" collapsed="false">
      <c r="A3924" s="0" t="n">
        <f aca="false">B3924*1000+C3924</f>
        <v>57053</v>
      </c>
      <c r="B3924" s="0" t="n">
        <v>57</v>
      </c>
      <c r="C3924" s="0" t="n">
        <v>53</v>
      </c>
      <c r="D3924" s="0" t="n">
        <v>312</v>
      </c>
      <c r="E3924" s="0" t="n">
        <f aca="false">VLOOKUP(B3924,'MSA-Lookup'!$H$2:$I$86,2)</f>
        <v>4480</v>
      </c>
      <c r="F3924" s="0" t="n">
        <f aca="false">IF(C3924&gt;1,IF(C3924&lt;99,VLOOKUP(C3924,'MSA-Lookup'!$H$1:$I$86,2),C3924),C3924)</f>
        <v>4480</v>
      </c>
      <c r="G3924" s="0" t="n">
        <f aca="false">VLOOKUP(E3924,'MSA-Lookup'!$AA$1:$AB$25,2)</f>
        <v>4472</v>
      </c>
      <c r="H3924" s="0" t="n">
        <f aca="false">IF(C3924&gt;1,IF(C3924&lt;99,VLOOKUP(F3924,'MSA-Lookup'!$AA$1:$AB$25,2),C3924),C3924)</f>
        <v>4472</v>
      </c>
    </row>
    <row r="3925" customFormat="false" ht="12.75" hidden="false" customHeight="false" outlineLevel="0" collapsed="false">
      <c r="A3925" s="0" t="n">
        <f aca="false">B3925*1000+C3925</f>
        <v>57054</v>
      </c>
      <c r="B3925" s="0" t="n">
        <v>57</v>
      </c>
      <c r="C3925" s="0" t="n">
        <v>54</v>
      </c>
      <c r="D3925" s="0" t="n">
        <v>91</v>
      </c>
      <c r="E3925" s="0" t="n">
        <f aca="false">VLOOKUP(B3925,'MSA-Lookup'!$H$2:$I$86,2)</f>
        <v>4480</v>
      </c>
      <c r="F3925" s="0" t="n">
        <f aca="false">IF(C3925&gt;1,IF(C3925&lt;99,VLOOKUP(C3925,'MSA-Lookup'!$H$1:$I$86,2),C3925),C3925)</f>
        <v>4480</v>
      </c>
      <c r="G3925" s="0" t="n">
        <f aca="false">VLOOKUP(E3925,'MSA-Lookup'!$AA$1:$AB$25,2)</f>
        <v>4472</v>
      </c>
      <c r="H3925" s="0" t="n">
        <f aca="false">IF(C3925&gt;1,IF(C3925&lt;99,VLOOKUP(F3925,'MSA-Lookup'!$AA$1:$AB$25,2),C3925),C3925)</f>
        <v>4472</v>
      </c>
    </row>
    <row r="3926" customFormat="false" ht="12.75" hidden="false" customHeight="false" outlineLevel="0" collapsed="false">
      <c r="A3926" s="0" t="n">
        <f aca="false">B3926*1000+C3926</f>
        <v>57055</v>
      </c>
      <c r="B3926" s="0" t="n">
        <v>57</v>
      </c>
      <c r="C3926" s="0" t="n">
        <v>55</v>
      </c>
      <c r="D3926" s="0" t="n">
        <v>884</v>
      </c>
      <c r="E3926" s="0" t="n">
        <f aca="false">VLOOKUP(B3926,'MSA-Lookup'!$H$2:$I$86,2)</f>
        <v>4480</v>
      </c>
      <c r="F3926" s="0" t="n">
        <f aca="false">IF(C3926&gt;1,IF(C3926&lt;99,VLOOKUP(C3926,'MSA-Lookup'!$H$1:$I$86,2),C3926),C3926)</f>
        <v>4480</v>
      </c>
      <c r="G3926" s="0" t="n">
        <f aca="false">VLOOKUP(E3926,'MSA-Lookup'!$AA$1:$AB$25,2)</f>
        <v>4472</v>
      </c>
      <c r="H3926" s="0" t="n">
        <f aca="false">IF(C3926&gt;1,IF(C3926&lt;99,VLOOKUP(F3926,'MSA-Lookup'!$AA$1:$AB$25,2),C3926),C3926)</f>
        <v>4472</v>
      </c>
    </row>
    <row r="3927" customFormat="false" ht="12.75" hidden="false" customHeight="false" outlineLevel="0" collapsed="false">
      <c r="A3927" s="0" t="n">
        <f aca="false">B3927*1000+C3927</f>
        <v>57056</v>
      </c>
      <c r="B3927" s="0" t="n">
        <v>57</v>
      </c>
      <c r="C3927" s="0" t="n">
        <v>56</v>
      </c>
      <c r="D3927" s="0" t="n">
        <v>2145</v>
      </c>
      <c r="E3927" s="0" t="n">
        <f aca="false">VLOOKUP(B3927,'MSA-Lookup'!$H$2:$I$86,2)</f>
        <v>4480</v>
      </c>
      <c r="F3927" s="0" t="n">
        <f aca="false">IF(C3927&gt;1,IF(C3927&lt;99,VLOOKUP(C3927,'MSA-Lookup'!$H$1:$I$86,2),C3927),C3927)</f>
        <v>4480</v>
      </c>
      <c r="G3927" s="0" t="n">
        <f aca="false">VLOOKUP(E3927,'MSA-Lookup'!$AA$1:$AB$25,2)</f>
        <v>4472</v>
      </c>
      <c r="H3927" s="0" t="n">
        <f aca="false">IF(C3927&gt;1,IF(C3927&lt;99,VLOOKUP(F3927,'MSA-Lookup'!$AA$1:$AB$25,2),C3927),C3927)</f>
        <v>4472</v>
      </c>
    </row>
    <row r="3928" customFormat="false" ht="12.75" hidden="false" customHeight="false" outlineLevel="0" collapsed="false">
      <c r="A3928" s="0" t="n">
        <f aca="false">B3928*1000+C3928</f>
        <v>57057</v>
      </c>
      <c r="B3928" s="0" t="n">
        <v>57</v>
      </c>
      <c r="C3928" s="0" t="n">
        <v>57</v>
      </c>
      <c r="D3928" s="0" t="n">
        <v>8229</v>
      </c>
      <c r="E3928" s="0" t="n">
        <f aca="false">VLOOKUP(B3928,'MSA-Lookup'!$H$2:$I$86,2)</f>
        <v>4480</v>
      </c>
      <c r="F3928" s="0" t="n">
        <f aca="false">IF(C3928&gt;1,IF(C3928&lt;99,VLOOKUP(C3928,'MSA-Lookup'!$H$1:$I$86,2),C3928),C3928)</f>
        <v>4480</v>
      </c>
      <c r="G3928" s="0" t="n">
        <f aca="false">VLOOKUP(E3928,'MSA-Lookup'!$AA$1:$AB$25,2)</f>
        <v>4472</v>
      </c>
      <c r="H3928" s="0" t="n">
        <f aca="false">IF(C3928&gt;1,IF(C3928&lt;99,VLOOKUP(F3928,'MSA-Lookup'!$AA$1:$AB$25,2),C3928),C3928)</f>
        <v>4472</v>
      </c>
    </row>
    <row r="3929" customFormat="false" ht="12.75" hidden="false" customHeight="false" outlineLevel="0" collapsed="false">
      <c r="A3929" s="0" t="n">
        <f aca="false">B3929*1000+C3929</f>
        <v>57058</v>
      </c>
      <c r="B3929" s="0" t="n">
        <v>57</v>
      </c>
      <c r="C3929" s="0" t="n">
        <v>58</v>
      </c>
      <c r="D3929" s="0" t="n">
        <v>182</v>
      </c>
      <c r="E3929" s="0" t="n">
        <f aca="false">VLOOKUP(B3929,'MSA-Lookup'!$H$2:$I$86,2)</f>
        <v>4480</v>
      </c>
      <c r="F3929" s="0" t="n">
        <f aca="false">IF(C3929&gt;1,IF(C3929&lt;99,VLOOKUP(C3929,'MSA-Lookup'!$H$1:$I$86,2),C3929),C3929)</f>
        <v>4480</v>
      </c>
      <c r="G3929" s="0" t="n">
        <f aca="false">VLOOKUP(E3929,'MSA-Lookup'!$AA$1:$AB$25,2)</f>
        <v>4472</v>
      </c>
      <c r="H3929" s="0" t="n">
        <f aca="false">IF(C3929&gt;1,IF(C3929&lt;99,VLOOKUP(F3929,'MSA-Lookup'!$AA$1:$AB$25,2),C3929),C3929)</f>
        <v>4472</v>
      </c>
    </row>
    <row r="3930" customFormat="false" ht="12.75" hidden="false" customHeight="false" outlineLevel="0" collapsed="false">
      <c r="A3930" s="0" t="n">
        <f aca="false">B3930*1000+C3930</f>
        <v>57059</v>
      </c>
      <c r="B3930" s="0" t="n">
        <v>57</v>
      </c>
      <c r="C3930" s="0" t="n">
        <v>59</v>
      </c>
      <c r="D3930" s="0" t="n">
        <v>377</v>
      </c>
      <c r="E3930" s="0" t="n">
        <f aca="false">VLOOKUP(B3930,'MSA-Lookup'!$H$2:$I$86,2)</f>
        <v>4480</v>
      </c>
      <c r="F3930" s="0" t="n">
        <f aca="false">IF(C3930&gt;1,IF(C3930&lt;99,VLOOKUP(C3930,'MSA-Lookup'!$H$1:$I$86,2),C3930),C3930)</f>
        <v>4480</v>
      </c>
      <c r="G3930" s="0" t="n">
        <f aca="false">VLOOKUP(E3930,'MSA-Lookup'!$AA$1:$AB$25,2)</f>
        <v>4472</v>
      </c>
      <c r="H3930" s="0" t="n">
        <f aca="false">IF(C3930&gt;1,IF(C3930&lt;99,VLOOKUP(F3930,'MSA-Lookup'!$AA$1:$AB$25,2),C3930),C3930)</f>
        <v>4472</v>
      </c>
    </row>
    <row r="3931" customFormat="false" ht="12.75" hidden="false" customHeight="false" outlineLevel="0" collapsed="false">
      <c r="A3931" s="0" t="n">
        <f aca="false">B3931*1000+C3931</f>
        <v>57060</v>
      </c>
      <c r="B3931" s="0" t="n">
        <v>57</v>
      </c>
      <c r="C3931" s="0" t="n">
        <v>60</v>
      </c>
      <c r="D3931" s="0" t="n">
        <v>1274</v>
      </c>
      <c r="E3931" s="0" t="n">
        <f aca="false">VLOOKUP(B3931,'MSA-Lookup'!$H$2:$I$86,2)</f>
        <v>4480</v>
      </c>
      <c r="F3931" s="0" t="n">
        <f aca="false">IF(C3931&gt;1,IF(C3931&lt;99,VLOOKUP(C3931,'MSA-Lookup'!$H$1:$I$86,2),C3931),C3931)</f>
        <v>4480</v>
      </c>
      <c r="G3931" s="0" t="n">
        <f aca="false">VLOOKUP(E3931,'MSA-Lookup'!$AA$1:$AB$25,2)</f>
        <v>4472</v>
      </c>
      <c r="H3931" s="0" t="n">
        <f aca="false">IF(C3931&gt;1,IF(C3931&lt;99,VLOOKUP(F3931,'MSA-Lookup'!$AA$1:$AB$25,2),C3931),C3931)</f>
        <v>4472</v>
      </c>
    </row>
    <row r="3932" customFormat="false" ht="12.75" hidden="false" customHeight="false" outlineLevel="0" collapsed="false">
      <c r="A3932" s="0" t="n">
        <f aca="false">B3932*1000+C3932</f>
        <v>57061</v>
      </c>
      <c r="B3932" s="0" t="n">
        <v>57</v>
      </c>
      <c r="C3932" s="0" t="n">
        <v>61</v>
      </c>
      <c r="D3932" s="0" t="n">
        <v>91</v>
      </c>
      <c r="E3932" s="0" t="n">
        <f aca="false">VLOOKUP(B3932,'MSA-Lookup'!$H$2:$I$86,2)</f>
        <v>4480</v>
      </c>
      <c r="F3932" s="0" t="n">
        <f aca="false">IF(C3932&gt;1,IF(C3932&lt;99,VLOOKUP(C3932,'MSA-Lookup'!$H$1:$I$86,2),C3932),C3932)</f>
        <v>4480</v>
      </c>
      <c r="G3932" s="0" t="n">
        <f aca="false">VLOOKUP(E3932,'MSA-Lookup'!$AA$1:$AB$25,2)</f>
        <v>4472</v>
      </c>
      <c r="H3932" s="0" t="n">
        <f aca="false">IF(C3932&gt;1,IF(C3932&lt;99,VLOOKUP(F3932,'MSA-Lookup'!$AA$1:$AB$25,2),C3932),C3932)</f>
        <v>4472</v>
      </c>
    </row>
    <row r="3933" customFormat="false" ht="12.75" hidden="false" customHeight="false" outlineLevel="0" collapsed="false">
      <c r="A3933" s="0" t="n">
        <f aca="false">B3933*1000+C3933</f>
        <v>57062</v>
      </c>
      <c r="B3933" s="0" t="n">
        <v>57</v>
      </c>
      <c r="C3933" s="0" t="n">
        <v>62</v>
      </c>
      <c r="D3933" s="0" t="n">
        <v>949</v>
      </c>
      <c r="E3933" s="0" t="n">
        <f aca="false">VLOOKUP(B3933,'MSA-Lookup'!$H$2:$I$86,2)</f>
        <v>4480</v>
      </c>
      <c r="F3933" s="0" t="n">
        <f aca="false">IF(C3933&gt;1,IF(C3933&lt;99,VLOOKUP(C3933,'MSA-Lookup'!$H$1:$I$86,2),C3933),C3933)</f>
        <v>4480</v>
      </c>
      <c r="G3933" s="0" t="n">
        <f aca="false">VLOOKUP(E3933,'MSA-Lookup'!$AA$1:$AB$25,2)</f>
        <v>4472</v>
      </c>
      <c r="H3933" s="0" t="n">
        <f aca="false">IF(C3933&gt;1,IF(C3933&lt;99,VLOOKUP(F3933,'MSA-Lookup'!$AA$1:$AB$25,2),C3933),C3933)</f>
        <v>4472</v>
      </c>
    </row>
    <row r="3934" customFormat="false" ht="12.75" hidden="false" customHeight="false" outlineLevel="0" collapsed="false">
      <c r="A3934" s="0" t="n">
        <f aca="false">B3934*1000+C3934</f>
        <v>57063</v>
      </c>
      <c r="B3934" s="0" t="n">
        <v>57</v>
      </c>
      <c r="C3934" s="0" t="n">
        <v>63</v>
      </c>
      <c r="D3934" s="0" t="n">
        <v>390</v>
      </c>
      <c r="E3934" s="0" t="n">
        <f aca="false">VLOOKUP(B3934,'MSA-Lookup'!$H$2:$I$86,2)</f>
        <v>4480</v>
      </c>
      <c r="F3934" s="0" t="n">
        <f aca="false">IF(C3934&gt;1,IF(C3934&lt;99,VLOOKUP(C3934,'MSA-Lookup'!$H$1:$I$86,2),C3934),C3934)</f>
        <v>4480</v>
      </c>
      <c r="G3934" s="0" t="n">
        <f aca="false">VLOOKUP(E3934,'MSA-Lookup'!$AA$1:$AB$25,2)</f>
        <v>4472</v>
      </c>
      <c r="H3934" s="0" t="n">
        <f aca="false">IF(C3934&gt;1,IF(C3934&lt;99,VLOOKUP(F3934,'MSA-Lookup'!$AA$1:$AB$25,2),C3934),C3934)</f>
        <v>4472</v>
      </c>
    </row>
    <row r="3935" customFormat="false" ht="12.75" hidden="false" customHeight="false" outlineLevel="0" collapsed="false">
      <c r="A3935" s="0" t="n">
        <f aca="false">B3935*1000+C3935</f>
        <v>57064</v>
      </c>
      <c r="B3935" s="0" t="n">
        <v>57</v>
      </c>
      <c r="C3935" s="0" t="n">
        <v>64</v>
      </c>
      <c r="D3935" s="0" t="n">
        <v>21203</v>
      </c>
      <c r="E3935" s="0" t="n">
        <f aca="false">VLOOKUP(B3935,'MSA-Lookup'!$H$2:$I$86,2)</f>
        <v>4480</v>
      </c>
      <c r="F3935" s="0" t="n">
        <f aca="false">IF(C3935&gt;1,IF(C3935&lt;99,VLOOKUP(C3935,'MSA-Lookup'!$H$1:$I$86,2),C3935),C3935)</f>
        <v>4480</v>
      </c>
      <c r="G3935" s="0" t="n">
        <f aca="false">VLOOKUP(E3935,'MSA-Lookup'!$AA$1:$AB$25,2)</f>
        <v>4472</v>
      </c>
      <c r="H3935" s="0" t="n">
        <f aca="false">IF(C3935&gt;1,IF(C3935&lt;99,VLOOKUP(F3935,'MSA-Lookup'!$AA$1:$AB$25,2),C3935),C3935)</f>
        <v>4472</v>
      </c>
    </row>
    <row r="3936" customFormat="false" ht="12.75" hidden="false" customHeight="false" outlineLevel="0" collapsed="false">
      <c r="A3936" s="0" t="n">
        <f aca="false">B3936*1000+C3936</f>
        <v>57065</v>
      </c>
      <c r="B3936" s="0" t="n">
        <v>57</v>
      </c>
      <c r="C3936" s="0" t="n">
        <v>65</v>
      </c>
      <c r="D3936" s="0" t="n">
        <v>13611</v>
      </c>
      <c r="E3936" s="0" t="n">
        <f aca="false">VLOOKUP(B3936,'MSA-Lookup'!$H$2:$I$86,2)</f>
        <v>4480</v>
      </c>
      <c r="F3936" s="0" t="n">
        <f aca="false">IF(C3936&gt;1,IF(C3936&lt;99,VLOOKUP(C3936,'MSA-Lookup'!$H$1:$I$86,2),C3936),C3936)</f>
        <v>4480</v>
      </c>
      <c r="G3936" s="0" t="n">
        <f aca="false">VLOOKUP(E3936,'MSA-Lookup'!$AA$1:$AB$25,2)</f>
        <v>4472</v>
      </c>
      <c r="H3936" s="0" t="n">
        <f aca="false">IF(C3936&gt;1,IF(C3936&lt;99,VLOOKUP(F3936,'MSA-Lookup'!$AA$1:$AB$25,2),C3936),C3936)</f>
        <v>4472</v>
      </c>
    </row>
    <row r="3937" customFormat="false" ht="12.75" hidden="false" customHeight="false" outlineLevel="0" collapsed="false">
      <c r="A3937" s="0" t="n">
        <f aca="false">B3937*1000+C3937</f>
        <v>57066</v>
      </c>
      <c r="B3937" s="0" t="n">
        <v>57</v>
      </c>
      <c r="C3937" s="0" t="n">
        <v>66</v>
      </c>
      <c r="D3937" s="0" t="n">
        <v>1625</v>
      </c>
      <c r="E3937" s="0" t="n">
        <f aca="false">VLOOKUP(B3937,'MSA-Lookup'!$H$2:$I$86,2)</f>
        <v>4480</v>
      </c>
      <c r="F3937" s="0" t="n">
        <f aca="false">IF(C3937&gt;1,IF(C3937&lt;99,VLOOKUP(C3937,'MSA-Lookup'!$H$1:$I$86,2),C3937),C3937)</f>
        <v>4480</v>
      </c>
      <c r="G3937" s="0" t="n">
        <f aca="false">VLOOKUP(E3937,'MSA-Lookup'!$AA$1:$AB$25,2)</f>
        <v>4472</v>
      </c>
      <c r="H3937" s="0" t="n">
        <f aca="false">IF(C3937&gt;1,IF(C3937&lt;99,VLOOKUP(F3937,'MSA-Lookup'!$AA$1:$AB$25,2),C3937),C3937)</f>
        <v>4472</v>
      </c>
    </row>
    <row r="3938" customFormat="false" ht="12.75" hidden="false" customHeight="false" outlineLevel="0" collapsed="false">
      <c r="A3938" s="0" t="n">
        <f aca="false">B3938*1000+C3938</f>
        <v>57067</v>
      </c>
      <c r="B3938" s="0" t="n">
        <v>57</v>
      </c>
      <c r="C3938" s="0" t="n">
        <v>67</v>
      </c>
      <c r="D3938" s="0" t="n">
        <v>0</v>
      </c>
      <c r="E3938" s="0" t="n">
        <f aca="false">VLOOKUP(B3938,'MSA-Lookup'!$H$2:$I$86,2)</f>
        <v>4480</v>
      </c>
      <c r="F3938" s="0" t="n">
        <f aca="false">IF(C3938&gt;1,IF(C3938&lt;99,VLOOKUP(C3938,'MSA-Lookup'!$H$1:$I$86,2),C3938),C3938)</f>
        <v>6000</v>
      </c>
      <c r="G3938" s="0" t="n">
        <f aca="false">VLOOKUP(E3938,'MSA-Lookup'!$AA$1:$AB$25,2)</f>
        <v>4472</v>
      </c>
      <c r="H3938" s="0" t="n">
        <f aca="false">IF(C3938&gt;1,IF(C3938&lt;99,VLOOKUP(F3938,'MSA-Lookup'!$AA$1:$AB$25,2),C3938),C3938)</f>
        <v>4472</v>
      </c>
    </row>
    <row r="3939" customFormat="false" ht="12.75" hidden="false" customHeight="false" outlineLevel="0" collapsed="false">
      <c r="A3939" s="0" t="n">
        <f aca="false">B3939*1000+C3939</f>
        <v>57068</v>
      </c>
      <c r="B3939" s="0" t="n">
        <v>57</v>
      </c>
      <c r="C3939" s="0" t="n">
        <v>68</v>
      </c>
      <c r="D3939" s="0" t="n">
        <v>0</v>
      </c>
      <c r="E3939" s="0" t="n">
        <f aca="false">VLOOKUP(B3939,'MSA-Lookup'!$H$2:$I$86,2)</f>
        <v>4480</v>
      </c>
      <c r="F3939" s="0" t="n">
        <f aca="false">IF(C3939&gt;1,IF(C3939&lt;99,VLOOKUP(C3939,'MSA-Lookup'!$H$1:$I$86,2),C3939),C3939)</f>
        <v>6780</v>
      </c>
      <c r="G3939" s="0" t="n">
        <f aca="false">VLOOKUP(E3939,'MSA-Lookup'!$AA$1:$AB$25,2)</f>
        <v>4472</v>
      </c>
      <c r="H3939" s="0" t="n">
        <f aca="false">IF(C3939&gt;1,IF(C3939&lt;99,VLOOKUP(F3939,'MSA-Lookup'!$AA$1:$AB$25,2),C3939),C3939)</f>
        <v>4472</v>
      </c>
    </row>
    <row r="3940" customFormat="false" ht="12.75" hidden="false" customHeight="false" outlineLevel="0" collapsed="false">
      <c r="A3940" s="0" t="n">
        <f aca="false">B3940*1000+C3940</f>
        <v>57069</v>
      </c>
      <c r="B3940" s="0" t="n">
        <v>57</v>
      </c>
      <c r="C3940" s="0" t="n">
        <v>69</v>
      </c>
      <c r="D3940" s="0" t="n">
        <v>0</v>
      </c>
      <c r="E3940" s="0" t="n">
        <f aca="false">VLOOKUP(B3940,'MSA-Lookup'!$H$2:$I$86,2)</f>
        <v>4480</v>
      </c>
      <c r="F3940" s="0" t="n">
        <f aca="false">IF(C3940&gt;1,IF(C3940&lt;99,VLOOKUP(C3940,'MSA-Lookup'!$H$1:$I$86,2),C3940),C3940)</f>
        <v>6780</v>
      </c>
      <c r="G3940" s="0" t="n">
        <f aca="false">VLOOKUP(E3940,'MSA-Lookup'!$AA$1:$AB$25,2)</f>
        <v>4472</v>
      </c>
      <c r="H3940" s="0" t="n">
        <f aca="false">IF(C3940&gt;1,IF(C3940&lt;99,VLOOKUP(F3940,'MSA-Lookup'!$AA$1:$AB$25,2),C3940),C3940)</f>
        <v>4472</v>
      </c>
    </row>
    <row r="3941" customFormat="false" ht="12.75" hidden="false" customHeight="false" outlineLevel="0" collapsed="false">
      <c r="A3941" s="0" t="n">
        <f aca="false">B3941*1000+C3941</f>
        <v>57070</v>
      </c>
      <c r="B3941" s="0" t="n">
        <v>57</v>
      </c>
      <c r="C3941" s="0" t="n">
        <v>70</v>
      </c>
      <c r="D3941" s="0" t="n">
        <v>0</v>
      </c>
      <c r="E3941" s="0" t="n">
        <f aca="false">VLOOKUP(B3941,'MSA-Lookup'!$H$2:$I$86,2)</f>
        <v>4480</v>
      </c>
      <c r="F3941" s="0" t="n">
        <f aca="false">IF(C3941&gt;1,IF(C3941&lt;99,VLOOKUP(C3941,'MSA-Lookup'!$H$1:$I$86,2),C3941),C3941)</f>
        <v>6780</v>
      </c>
      <c r="G3941" s="0" t="n">
        <f aca="false">VLOOKUP(E3941,'MSA-Lookup'!$AA$1:$AB$25,2)</f>
        <v>4472</v>
      </c>
      <c r="H3941" s="0" t="n">
        <f aca="false">IF(C3941&gt;1,IF(C3941&lt;99,VLOOKUP(F3941,'MSA-Lookup'!$AA$1:$AB$25,2),C3941),C3941)</f>
        <v>4472</v>
      </c>
    </row>
    <row r="3942" customFormat="false" ht="12.75" hidden="false" customHeight="false" outlineLevel="0" collapsed="false">
      <c r="A3942" s="0" t="n">
        <f aca="false">B3942*1000+C3942</f>
        <v>57071</v>
      </c>
      <c r="B3942" s="0" t="n">
        <v>57</v>
      </c>
      <c r="C3942" s="0" t="n">
        <v>71</v>
      </c>
      <c r="D3942" s="0" t="n">
        <v>91</v>
      </c>
      <c r="E3942" s="0" t="n">
        <f aca="false">VLOOKUP(B3942,'MSA-Lookup'!$H$2:$I$86,2)</f>
        <v>4480</v>
      </c>
      <c r="F3942" s="0" t="n">
        <f aca="false">IF(C3942&gt;1,IF(C3942&lt;99,VLOOKUP(C3942,'MSA-Lookup'!$H$1:$I$86,2),C3942),C3942)</f>
        <v>6780</v>
      </c>
      <c r="G3942" s="0" t="n">
        <f aca="false">VLOOKUP(E3942,'MSA-Lookup'!$AA$1:$AB$25,2)</f>
        <v>4472</v>
      </c>
      <c r="H3942" s="0" t="n">
        <f aca="false">IF(C3942&gt;1,IF(C3942&lt;99,VLOOKUP(F3942,'MSA-Lookup'!$AA$1:$AB$25,2),C3942),C3942)</f>
        <v>4472</v>
      </c>
    </row>
    <row r="3943" customFormat="false" ht="12.75" hidden="false" customHeight="false" outlineLevel="0" collapsed="false">
      <c r="A3943" s="0" t="n">
        <f aca="false">B3943*1000+C3943</f>
        <v>57072</v>
      </c>
      <c r="B3943" s="0" t="n">
        <v>57</v>
      </c>
      <c r="C3943" s="0" t="n">
        <v>72</v>
      </c>
      <c r="D3943" s="0" t="n">
        <v>0</v>
      </c>
      <c r="E3943" s="0" t="n">
        <f aca="false">VLOOKUP(B3943,'MSA-Lookup'!$H$2:$I$86,2)</f>
        <v>4480</v>
      </c>
      <c r="F3943" s="0" t="n">
        <f aca="false">IF(C3943&gt;1,IF(C3943&lt;99,VLOOKUP(C3943,'MSA-Lookup'!$H$1:$I$86,2),C3943),C3943)</f>
        <v>6780</v>
      </c>
      <c r="G3943" s="0" t="n">
        <f aca="false">VLOOKUP(E3943,'MSA-Lookup'!$AA$1:$AB$25,2)</f>
        <v>4472</v>
      </c>
      <c r="H3943" s="0" t="n">
        <f aca="false">IF(C3943&gt;1,IF(C3943&lt;99,VLOOKUP(F3943,'MSA-Lookup'!$AA$1:$AB$25,2),C3943),C3943)</f>
        <v>4472</v>
      </c>
    </row>
    <row r="3944" customFormat="false" ht="12.75" hidden="false" customHeight="false" outlineLevel="0" collapsed="false">
      <c r="A3944" s="0" t="n">
        <f aca="false">B3944*1000+C3944</f>
        <v>57073</v>
      </c>
      <c r="B3944" s="0" t="n">
        <v>57</v>
      </c>
      <c r="C3944" s="0" t="n">
        <v>73</v>
      </c>
      <c r="D3944" s="0" t="n">
        <v>0</v>
      </c>
      <c r="E3944" s="0" t="n">
        <f aca="false">VLOOKUP(B3944,'MSA-Lookup'!$H$2:$I$86,2)</f>
        <v>4480</v>
      </c>
      <c r="F3944" s="0" t="n">
        <f aca="false">IF(C3944&gt;1,IF(C3944&lt;99,VLOOKUP(C3944,'MSA-Lookup'!$H$1:$I$86,2),C3944),C3944)</f>
        <v>8720</v>
      </c>
      <c r="G3944" s="0" t="n">
        <f aca="false">VLOOKUP(E3944,'MSA-Lookup'!$AA$1:$AB$25,2)</f>
        <v>4472</v>
      </c>
      <c r="H3944" s="0" t="n">
        <f aca="false">IF(C3944&gt;1,IF(C3944&lt;99,VLOOKUP(F3944,'MSA-Lookup'!$AA$1:$AB$25,2),C3944),C3944)</f>
        <v>7362</v>
      </c>
    </row>
    <row r="3945" customFormat="false" ht="12.75" hidden="false" customHeight="false" outlineLevel="0" collapsed="false">
      <c r="A3945" s="0" t="n">
        <f aca="false">B3945*1000+C3945</f>
        <v>57075</v>
      </c>
      <c r="B3945" s="0" t="n">
        <v>57</v>
      </c>
      <c r="C3945" s="0" t="n">
        <v>75</v>
      </c>
      <c r="D3945" s="0" t="n">
        <v>0</v>
      </c>
      <c r="E3945" s="0" t="n">
        <f aca="false">VLOOKUP(B3945,'MSA-Lookup'!$H$2:$I$86,2)</f>
        <v>4480</v>
      </c>
      <c r="F3945" s="0" t="n">
        <f aca="false">IF(C3945&gt;1,IF(C3945&lt;99,VLOOKUP(C3945,'MSA-Lookup'!$H$1:$I$86,2),C3945),C3945)</f>
        <v>8780</v>
      </c>
      <c r="G3945" s="0" t="n">
        <f aca="false">VLOOKUP(E3945,'MSA-Lookup'!$AA$1:$AB$25,2)</f>
        <v>4472</v>
      </c>
      <c r="H3945" s="0" t="n">
        <f aca="false">IF(C3945&gt;1,IF(C3945&lt;99,VLOOKUP(F3945,'MSA-Lookup'!$AA$1:$AB$25,2),C3945),C3945)</f>
        <v>8780</v>
      </c>
    </row>
    <row r="3946" customFormat="false" ht="12.75" hidden="false" customHeight="false" outlineLevel="0" collapsed="false">
      <c r="A3946" s="0" t="n">
        <f aca="false">B3946*1000+C3946</f>
        <v>57076</v>
      </c>
      <c r="B3946" s="0" t="n">
        <v>57</v>
      </c>
      <c r="C3946" s="0" t="n">
        <v>76</v>
      </c>
      <c r="D3946" s="0" t="n">
        <v>0</v>
      </c>
      <c r="E3946" s="0" t="n">
        <f aca="false">VLOOKUP(B3946,'MSA-Lookup'!$H$2:$I$86,2)</f>
        <v>4480</v>
      </c>
      <c r="F3946" s="0" t="n">
        <f aca="false">IF(C3946&gt;1,IF(C3946&lt;99,VLOOKUP(C3946,'MSA-Lookup'!$H$1:$I$86,2),C3946),C3946)</f>
        <v>7485</v>
      </c>
      <c r="G3946" s="0" t="n">
        <f aca="false">VLOOKUP(E3946,'MSA-Lookup'!$AA$1:$AB$25,2)</f>
        <v>4472</v>
      </c>
      <c r="H3946" s="0" t="n">
        <f aca="false">IF(C3946&gt;1,IF(C3946&lt;99,VLOOKUP(F3946,'MSA-Lookup'!$AA$1:$AB$25,2),C3946),C3946)</f>
        <v>7362</v>
      </c>
    </row>
    <row r="3947" customFormat="false" ht="12.75" hidden="false" customHeight="false" outlineLevel="0" collapsed="false">
      <c r="A3947" s="0" t="n">
        <f aca="false">B3947*1000+C3947</f>
        <v>57077</v>
      </c>
      <c r="B3947" s="0" t="n">
        <v>57</v>
      </c>
      <c r="C3947" s="0" t="n">
        <v>77</v>
      </c>
      <c r="D3947" s="0" t="n">
        <v>0</v>
      </c>
      <c r="E3947" s="0" t="n">
        <f aca="false">VLOOKUP(B3947,'MSA-Lookup'!$H$2:$I$86,2)</f>
        <v>4480</v>
      </c>
      <c r="F3947" s="0" t="n">
        <f aca="false">IF(C3947&gt;1,IF(C3947&lt;99,VLOOKUP(C3947,'MSA-Lookup'!$H$1:$I$86,2),C3947),C3947)</f>
        <v>9999</v>
      </c>
      <c r="G3947" s="0" t="n">
        <f aca="false">VLOOKUP(E3947,'MSA-Lookup'!$AA$1:$AB$25,2)</f>
        <v>4472</v>
      </c>
      <c r="H3947" s="0" t="n">
        <f aca="false">IF(C3947&gt;1,IF(C3947&lt;99,VLOOKUP(F3947,'MSA-Lookup'!$AA$1:$AB$25,2),C3947),C3947)</f>
        <v>9999</v>
      </c>
    </row>
    <row r="3948" customFormat="false" ht="12.75" hidden="false" customHeight="false" outlineLevel="0" collapsed="false">
      <c r="A3948" s="0" t="n">
        <f aca="false">B3948*1000+C3948</f>
        <v>57078</v>
      </c>
      <c r="B3948" s="0" t="n">
        <v>57</v>
      </c>
      <c r="C3948" s="0" t="n">
        <v>78</v>
      </c>
      <c r="D3948" s="0" t="n">
        <v>0</v>
      </c>
      <c r="E3948" s="0" t="n">
        <f aca="false">VLOOKUP(B3948,'MSA-Lookup'!$H$2:$I$86,2)</f>
        <v>4480</v>
      </c>
      <c r="F3948" s="0" t="n">
        <f aca="false">IF(C3948&gt;1,IF(C3948&lt;99,VLOOKUP(C3948,'MSA-Lookup'!$H$1:$I$86,2),C3948),C3948)</f>
        <v>680</v>
      </c>
      <c r="G3948" s="0" t="n">
        <f aca="false">VLOOKUP(E3948,'MSA-Lookup'!$AA$1:$AB$25,2)</f>
        <v>4472</v>
      </c>
      <c r="H3948" s="0" t="n">
        <f aca="false">IF(C3948&gt;1,IF(C3948&lt;99,VLOOKUP(F3948,'MSA-Lookup'!$AA$1:$AB$25,2),C3948),C3948)</f>
        <v>680</v>
      </c>
    </row>
    <row r="3949" customFormat="false" ht="12.75" hidden="false" customHeight="false" outlineLevel="0" collapsed="false">
      <c r="A3949" s="0" t="n">
        <f aca="false">B3949*1000+C3949</f>
        <v>57079</v>
      </c>
      <c r="B3949" s="0" t="n">
        <v>57</v>
      </c>
      <c r="C3949" s="0" t="n">
        <v>79</v>
      </c>
      <c r="D3949" s="0" t="n">
        <v>0</v>
      </c>
      <c r="E3949" s="0" t="n">
        <f aca="false">VLOOKUP(B3949,'MSA-Lookup'!$H$2:$I$86,2)</f>
        <v>4480</v>
      </c>
      <c r="F3949" s="0" t="n">
        <f aca="false">IF(C3949&gt;1,IF(C3949&lt;99,VLOOKUP(C3949,'MSA-Lookup'!$H$1:$I$86,2),C3949),C3949)</f>
        <v>680</v>
      </c>
      <c r="G3949" s="0" t="n">
        <f aca="false">VLOOKUP(E3949,'MSA-Lookup'!$AA$1:$AB$25,2)</f>
        <v>4472</v>
      </c>
      <c r="H3949" s="0" t="n">
        <f aca="false">IF(C3949&gt;1,IF(C3949&lt;99,VLOOKUP(F3949,'MSA-Lookup'!$AA$1:$AB$25,2),C3949),C3949)</f>
        <v>680</v>
      </c>
    </row>
    <row r="3950" customFormat="false" ht="12.75" hidden="false" customHeight="false" outlineLevel="0" collapsed="false">
      <c r="A3950" s="0" t="n">
        <f aca="false">B3950*1000+C3950</f>
        <v>57080</v>
      </c>
      <c r="B3950" s="0" t="n">
        <v>57</v>
      </c>
      <c r="C3950" s="0" t="n">
        <v>80</v>
      </c>
      <c r="D3950" s="0" t="n">
        <v>0</v>
      </c>
      <c r="E3950" s="0" t="n">
        <f aca="false">VLOOKUP(B3950,'MSA-Lookup'!$H$2:$I$86,2)</f>
        <v>4480</v>
      </c>
      <c r="F3950" s="0" t="n">
        <f aca="false">IF(C3950&gt;1,IF(C3950&lt;99,VLOOKUP(C3950,'MSA-Lookup'!$H$1:$I$86,2),C3950),C3950)</f>
        <v>9999</v>
      </c>
      <c r="G3950" s="0" t="n">
        <f aca="false">VLOOKUP(E3950,'MSA-Lookup'!$AA$1:$AB$25,2)</f>
        <v>4472</v>
      </c>
      <c r="H3950" s="0" t="n">
        <f aca="false">IF(C3950&gt;1,IF(C3950&lt;99,VLOOKUP(F3950,'MSA-Lookup'!$AA$1:$AB$25,2),C3950),C3950)</f>
        <v>9999</v>
      </c>
    </row>
    <row r="3951" customFormat="false" ht="12.75" hidden="false" customHeight="false" outlineLevel="0" collapsed="false">
      <c r="A3951" s="0" t="n">
        <f aca="false">B3951*1000+C3951</f>
        <v>57081</v>
      </c>
      <c r="B3951" s="0" t="n">
        <v>57</v>
      </c>
      <c r="C3951" s="0" t="n">
        <v>81</v>
      </c>
      <c r="D3951" s="0" t="n">
        <v>0</v>
      </c>
      <c r="E3951" s="0" t="n">
        <f aca="false">VLOOKUP(B3951,'MSA-Lookup'!$H$2:$I$86,2)</f>
        <v>4480</v>
      </c>
      <c r="F3951" s="0" t="n">
        <f aca="false">IF(C3951&gt;1,IF(C3951&lt;99,VLOOKUP(C3951,'MSA-Lookup'!$H$1:$I$86,2),C3951),C3951)</f>
        <v>6780</v>
      </c>
      <c r="G3951" s="0" t="n">
        <f aca="false">VLOOKUP(E3951,'MSA-Lookup'!$AA$1:$AB$25,2)</f>
        <v>4472</v>
      </c>
      <c r="H3951" s="0" t="n">
        <f aca="false">IF(C3951&gt;1,IF(C3951&lt;99,VLOOKUP(F3951,'MSA-Lookup'!$AA$1:$AB$25,2),C3951),C3951)</f>
        <v>4472</v>
      </c>
    </row>
    <row r="3952" customFormat="false" ht="12.75" hidden="false" customHeight="false" outlineLevel="0" collapsed="false">
      <c r="A3952" s="0" t="n">
        <f aca="false">B3952*1000+C3952</f>
        <v>57082</v>
      </c>
      <c r="B3952" s="0" t="n">
        <v>57</v>
      </c>
      <c r="C3952" s="0" t="n">
        <v>82</v>
      </c>
      <c r="D3952" s="0" t="n">
        <v>0</v>
      </c>
      <c r="E3952" s="0" t="n">
        <f aca="false">VLOOKUP(B3952,'MSA-Lookup'!$H$2:$I$86,2)</f>
        <v>4480</v>
      </c>
      <c r="F3952" s="0" t="n">
        <f aca="false">IF(C3952&gt;1,IF(C3952&lt;99,VLOOKUP(C3952,'MSA-Lookup'!$H$1:$I$86,2),C3952),C3952)</f>
        <v>6780</v>
      </c>
      <c r="G3952" s="0" t="n">
        <f aca="false">VLOOKUP(E3952,'MSA-Lookup'!$AA$1:$AB$25,2)</f>
        <v>4472</v>
      </c>
      <c r="H3952" s="0" t="n">
        <f aca="false">IF(C3952&gt;1,IF(C3952&lt;99,VLOOKUP(F3952,'MSA-Lookup'!$AA$1:$AB$25,2),C3952),C3952)</f>
        <v>4472</v>
      </c>
    </row>
    <row r="3953" customFormat="false" ht="12.75" hidden="false" customHeight="false" outlineLevel="0" collapsed="false">
      <c r="A3953" s="0" t="n">
        <f aca="false">B3953*1000+C3953</f>
        <v>57083</v>
      </c>
      <c r="B3953" s="0" t="n">
        <v>57</v>
      </c>
      <c r="C3953" s="0" t="n">
        <v>83</v>
      </c>
      <c r="D3953" s="0" t="n">
        <v>0</v>
      </c>
      <c r="E3953" s="0" t="n">
        <f aca="false">VLOOKUP(B3953,'MSA-Lookup'!$H$2:$I$86,2)</f>
        <v>4480</v>
      </c>
      <c r="F3953" s="0" t="n">
        <f aca="false">IF(C3953&gt;1,IF(C3953&lt;99,VLOOKUP(C3953,'MSA-Lookup'!$H$1:$I$86,2),C3953),C3953)</f>
        <v>6000</v>
      </c>
      <c r="G3953" s="0" t="n">
        <f aca="false">VLOOKUP(E3953,'MSA-Lookup'!$AA$1:$AB$25,2)</f>
        <v>4472</v>
      </c>
      <c r="H3953" s="0" t="n">
        <f aca="false">IF(C3953&gt;1,IF(C3953&lt;99,VLOOKUP(F3953,'MSA-Lookup'!$AA$1:$AB$25,2),C3953),C3953)</f>
        <v>4472</v>
      </c>
    </row>
    <row r="3954" customFormat="false" ht="12.75" hidden="false" customHeight="false" outlineLevel="0" collapsed="false">
      <c r="A3954" s="0" t="n">
        <f aca="false">B3954*1000+C3954</f>
        <v>57084</v>
      </c>
      <c r="B3954" s="0" t="n">
        <v>57</v>
      </c>
      <c r="C3954" s="0" t="n">
        <v>84</v>
      </c>
      <c r="D3954" s="0" t="n">
        <v>104</v>
      </c>
      <c r="E3954" s="0" t="n">
        <f aca="false">VLOOKUP(B3954,'MSA-Lookup'!$H$2:$I$86,2)</f>
        <v>4480</v>
      </c>
      <c r="F3954" s="0" t="n">
        <f aca="false">IF(C3954&gt;1,IF(C3954&lt;99,VLOOKUP(C3954,'MSA-Lookup'!$H$1:$I$86,2),C3954),C3954)</f>
        <v>360</v>
      </c>
      <c r="G3954" s="0" t="n">
        <f aca="false">VLOOKUP(E3954,'MSA-Lookup'!$AA$1:$AB$25,2)</f>
        <v>4472</v>
      </c>
      <c r="H3954" s="0" t="n">
        <f aca="false">IF(C3954&gt;1,IF(C3954&lt;99,VLOOKUP(F3954,'MSA-Lookup'!$AA$1:$AB$25,2),C3954),C3954)</f>
        <v>4472</v>
      </c>
    </row>
    <row r="3955" customFormat="false" ht="12.75" hidden="false" customHeight="false" outlineLevel="0" collapsed="false">
      <c r="A3955" s="0" t="n">
        <f aca="false">B3955*1000+C3955</f>
        <v>57085</v>
      </c>
      <c r="B3955" s="0" t="n">
        <v>57</v>
      </c>
      <c r="C3955" s="0" t="n">
        <v>85</v>
      </c>
      <c r="D3955" s="0" t="n">
        <v>0</v>
      </c>
      <c r="E3955" s="0" t="n">
        <f aca="false">VLOOKUP(B3955,'MSA-Lookup'!$H$2:$I$86,2)</f>
        <v>4480</v>
      </c>
      <c r="F3955" s="0" t="n">
        <f aca="false">IF(C3955&gt;1,IF(C3955&lt;99,VLOOKUP(C3955,'MSA-Lookup'!$H$1:$I$86,2),C3955),C3955)</f>
        <v>8120</v>
      </c>
      <c r="G3955" s="0" t="n">
        <f aca="false">VLOOKUP(E3955,'MSA-Lookup'!$AA$1:$AB$25,2)</f>
        <v>4472</v>
      </c>
      <c r="H3955" s="0" t="n">
        <f aca="false">IF(C3955&gt;1,IF(C3955&lt;99,VLOOKUP(F3955,'MSA-Lookup'!$AA$1:$AB$25,2),C3955),C3955)</f>
        <v>8120</v>
      </c>
    </row>
    <row r="3956" customFormat="false" ht="12.75" hidden="false" customHeight="false" outlineLevel="0" collapsed="false">
      <c r="A3956" s="0" t="n">
        <f aca="false">B3956*1000+C3956</f>
        <v>57858</v>
      </c>
      <c r="B3956" s="0" t="n">
        <v>57</v>
      </c>
      <c r="C3956" s="0" t="n">
        <v>858</v>
      </c>
      <c r="D3956" s="0" t="n">
        <v>0</v>
      </c>
      <c r="E3956" s="0" t="n">
        <f aca="false">VLOOKUP(B3956,'MSA-Lookup'!$H$2:$I$86,2)</f>
        <v>4480</v>
      </c>
      <c r="F3956" s="0" t="n">
        <f aca="false">IF(C3956&gt;1,IF(C3956&lt;99,VLOOKUP(C3956,'MSA-Lookup'!$H$1:$I$86,2),C3956),C3956)</f>
        <v>858</v>
      </c>
      <c r="G3956" s="0" t="n">
        <f aca="false">VLOOKUP(E3956,'MSA-Lookup'!$AA$1:$AB$25,2)</f>
        <v>4472</v>
      </c>
      <c r="H3956" s="0" t="n">
        <f aca="false">IF(C3956&gt;1,IF(C3956&lt;99,VLOOKUP(F3956,'MSA-Lookup'!$AA$1:$AB$25,2),C3956),C3956)</f>
        <v>858</v>
      </c>
    </row>
    <row r="3957" customFormat="false" ht="12.75" hidden="false" customHeight="false" outlineLevel="0" collapsed="false">
      <c r="A3957" s="0" t="n">
        <f aca="false">B3957*1000+C3957</f>
        <v>57983</v>
      </c>
      <c r="B3957" s="0" t="n">
        <v>57</v>
      </c>
      <c r="C3957" s="0" t="n">
        <v>983</v>
      </c>
      <c r="D3957" s="0" t="n">
        <v>0</v>
      </c>
      <c r="E3957" s="0" t="n">
        <f aca="false">VLOOKUP(B3957,'MSA-Lookup'!$H$2:$I$86,2)</f>
        <v>4480</v>
      </c>
      <c r="F3957" s="0" t="n">
        <f aca="false">IF(C3957&gt;1,IF(C3957&lt;99,VLOOKUP(C3957,'MSA-Lookup'!$H$1:$I$86,2),C3957),C3957)</f>
        <v>983</v>
      </c>
      <c r="G3957" s="0" t="n">
        <f aca="false">VLOOKUP(E3957,'MSA-Lookup'!$AA$1:$AB$25,2)</f>
        <v>4472</v>
      </c>
      <c r="H3957" s="0" t="n">
        <f aca="false">IF(C3957&gt;1,IF(C3957&lt;99,VLOOKUP(F3957,'MSA-Lookup'!$AA$1:$AB$25,2),C3957),C3957)</f>
        <v>983</v>
      </c>
    </row>
    <row r="3958" customFormat="false" ht="12.75" hidden="false" customHeight="false" outlineLevel="0" collapsed="false">
      <c r="A3958" s="0" t="n">
        <f aca="false">B3958*1000+C3958</f>
        <v>57999</v>
      </c>
      <c r="B3958" s="0" t="n">
        <v>57</v>
      </c>
      <c r="C3958" s="0" t="n">
        <v>999</v>
      </c>
      <c r="D3958" s="0" t="n">
        <v>0</v>
      </c>
      <c r="E3958" s="0" t="n">
        <f aca="false">VLOOKUP(B3958,'MSA-Lookup'!$H$2:$I$86,2)</f>
        <v>4480</v>
      </c>
      <c r="F3958" s="0" t="n">
        <f aca="false">IF(C3958&gt;1,IF(C3958&lt;99,VLOOKUP(C3958,'MSA-Lookup'!$H$1:$I$86,2),C3958),C3958)</f>
        <v>999</v>
      </c>
      <c r="G3958" s="0" t="n">
        <f aca="false">VLOOKUP(E3958,'MSA-Lookup'!$AA$1:$AB$25,2)</f>
        <v>4472</v>
      </c>
      <c r="H3958" s="0" t="n">
        <f aca="false">IF(C3958&gt;1,IF(C3958&lt;99,VLOOKUP(F3958,'MSA-Lookup'!$AA$1:$AB$25,2),C3958),C3958)</f>
        <v>999</v>
      </c>
    </row>
    <row r="3959" customFormat="false" ht="12.75" hidden="false" customHeight="false" outlineLevel="0" collapsed="false">
      <c r="A3959" s="0" t="n">
        <f aca="false">B3959*1000+C3959</f>
        <v>58000</v>
      </c>
      <c r="B3959" s="0" t="n">
        <v>58</v>
      </c>
      <c r="C3959" s="0" t="n">
        <v>0</v>
      </c>
      <c r="D3959" s="0" t="n">
        <v>66976</v>
      </c>
      <c r="E3959" s="0" t="n">
        <f aca="false">VLOOKUP(B3959,'MSA-Lookup'!$H$2:$I$86,2)</f>
        <v>4480</v>
      </c>
      <c r="F3959" s="0" t="n">
        <f aca="false">IF(C3959&gt;1,IF(C3959&lt;99,VLOOKUP(C3959,'MSA-Lookup'!$H$1:$I$86,2),C3959),C3959)</f>
        <v>0</v>
      </c>
      <c r="G3959" s="0" t="n">
        <f aca="false">VLOOKUP(E3959,'MSA-Lookup'!$AA$1:$AB$25,2)</f>
        <v>4472</v>
      </c>
      <c r="H3959" s="0" t="n">
        <f aca="false">IF(C3959&gt;1,IF(C3959&lt;99,VLOOKUP(F3959,'MSA-Lookup'!$AA$1:$AB$25,2),C3959),C3959)</f>
        <v>0</v>
      </c>
    </row>
    <row r="3960" customFormat="false" ht="12.75" hidden="false" customHeight="false" outlineLevel="0" collapsed="false">
      <c r="A3960" s="0" t="n">
        <f aca="false">B3960*1000+C3960</f>
        <v>58001</v>
      </c>
      <c r="B3960" s="0" t="n">
        <v>58</v>
      </c>
      <c r="C3960" s="0" t="n">
        <v>1</v>
      </c>
      <c r="D3960" s="0" t="n">
        <v>0</v>
      </c>
      <c r="E3960" s="0" t="n">
        <f aca="false">VLOOKUP(B3960,'MSA-Lookup'!$H$2:$I$86,2)</f>
        <v>4480</v>
      </c>
      <c r="F3960" s="0" t="n">
        <f aca="false">IF(C3960&gt;1,IF(C3960&lt;99,VLOOKUP(C3960,'MSA-Lookup'!$H$1:$I$86,2),C3960),C3960)</f>
        <v>1</v>
      </c>
      <c r="G3960" s="0" t="n">
        <f aca="false">VLOOKUP(E3960,'MSA-Lookup'!$AA$1:$AB$25,2)</f>
        <v>4472</v>
      </c>
      <c r="H3960" s="0" t="n">
        <f aca="false">IF(C3960&gt;1,IF(C3960&lt;99,VLOOKUP(F3960,'MSA-Lookup'!$AA$1:$AB$25,2),C3960),C3960)</f>
        <v>1</v>
      </c>
    </row>
    <row r="3961" customFormat="false" ht="12.75" hidden="false" customHeight="false" outlineLevel="0" collapsed="false">
      <c r="A3961" s="0" t="n">
        <f aca="false">B3961*1000+C3961</f>
        <v>58002</v>
      </c>
      <c r="B3961" s="0" t="n">
        <v>58</v>
      </c>
      <c r="C3961" s="0" t="n">
        <v>2</v>
      </c>
      <c r="D3961" s="0" t="n">
        <v>0</v>
      </c>
      <c r="E3961" s="0" t="n">
        <f aca="false">VLOOKUP(B3961,'MSA-Lookup'!$H$2:$I$86,2)</f>
        <v>4480</v>
      </c>
      <c r="F3961" s="0" t="n">
        <f aca="false">IF(C3961&gt;1,IF(C3961&lt;99,VLOOKUP(C3961,'MSA-Lookup'!$H$1:$I$86,2),C3961),C3961)</f>
        <v>9999</v>
      </c>
      <c r="G3961" s="0" t="n">
        <f aca="false">VLOOKUP(E3961,'MSA-Lookup'!$AA$1:$AB$25,2)</f>
        <v>4472</v>
      </c>
      <c r="H3961" s="0" t="n">
        <f aca="false">IF(C3961&gt;1,IF(C3961&lt;99,VLOOKUP(F3961,'MSA-Lookup'!$AA$1:$AB$25,2),C3961),C3961)</f>
        <v>9999</v>
      </c>
    </row>
    <row r="3962" customFormat="false" ht="12.75" hidden="false" customHeight="false" outlineLevel="0" collapsed="false">
      <c r="A3962" s="0" t="n">
        <f aca="false">B3962*1000+C3962</f>
        <v>58003</v>
      </c>
      <c r="B3962" s="0" t="n">
        <v>58</v>
      </c>
      <c r="C3962" s="0" t="n">
        <v>3</v>
      </c>
      <c r="D3962" s="0" t="n">
        <v>0</v>
      </c>
      <c r="E3962" s="0" t="n">
        <f aca="false">VLOOKUP(B3962,'MSA-Lookup'!$H$2:$I$86,2)</f>
        <v>4480</v>
      </c>
      <c r="F3962" s="0" t="n">
        <f aca="false">IF(C3962&gt;1,IF(C3962&lt;99,VLOOKUP(C3962,'MSA-Lookup'!$H$1:$I$86,2),C3962),C3962)</f>
        <v>6690</v>
      </c>
      <c r="G3962" s="0" t="n">
        <f aca="false">VLOOKUP(E3962,'MSA-Lookup'!$AA$1:$AB$25,2)</f>
        <v>4472</v>
      </c>
      <c r="H3962" s="0" t="n">
        <f aca="false">IF(C3962&gt;1,IF(C3962&lt;99,VLOOKUP(F3962,'MSA-Lookup'!$AA$1:$AB$25,2),C3962),C3962)</f>
        <v>6690</v>
      </c>
    </row>
    <row r="3963" customFormat="false" ht="12.75" hidden="false" customHeight="false" outlineLevel="0" collapsed="false">
      <c r="A3963" s="0" t="n">
        <f aca="false">B3963*1000+C3963</f>
        <v>58004</v>
      </c>
      <c r="B3963" s="0" t="n">
        <v>58</v>
      </c>
      <c r="C3963" s="0" t="n">
        <v>4</v>
      </c>
      <c r="D3963" s="0" t="n">
        <v>0</v>
      </c>
      <c r="E3963" s="0" t="n">
        <f aca="false">VLOOKUP(B3963,'MSA-Lookup'!$H$2:$I$86,2)</f>
        <v>4480</v>
      </c>
      <c r="F3963" s="0" t="n">
        <f aca="false">IF(C3963&gt;1,IF(C3963&lt;99,VLOOKUP(C3963,'MSA-Lookup'!$H$1:$I$86,2),C3963),C3963)</f>
        <v>9999</v>
      </c>
      <c r="G3963" s="0" t="n">
        <f aca="false">VLOOKUP(E3963,'MSA-Lookup'!$AA$1:$AB$25,2)</f>
        <v>4472</v>
      </c>
      <c r="H3963" s="0" t="n">
        <f aca="false">IF(C3963&gt;1,IF(C3963&lt;99,VLOOKUP(F3963,'MSA-Lookup'!$AA$1:$AB$25,2),C3963),C3963)</f>
        <v>9999</v>
      </c>
    </row>
    <row r="3964" customFormat="false" ht="12.75" hidden="false" customHeight="false" outlineLevel="0" collapsed="false">
      <c r="A3964" s="0" t="n">
        <f aca="false">B3964*1000+C3964</f>
        <v>58005</v>
      </c>
      <c r="B3964" s="0" t="n">
        <v>58</v>
      </c>
      <c r="C3964" s="0" t="n">
        <v>5</v>
      </c>
      <c r="D3964" s="0" t="n">
        <v>0</v>
      </c>
      <c r="E3964" s="0" t="n">
        <f aca="false">VLOOKUP(B3964,'MSA-Lookup'!$H$2:$I$86,2)</f>
        <v>4480</v>
      </c>
      <c r="F3964" s="0" t="n">
        <f aca="false">IF(C3964&gt;1,IF(C3964&lt;99,VLOOKUP(C3964,'MSA-Lookup'!$H$1:$I$86,2),C3964),C3964)</f>
        <v>9999</v>
      </c>
      <c r="G3964" s="0" t="n">
        <f aca="false">VLOOKUP(E3964,'MSA-Lookup'!$AA$1:$AB$25,2)</f>
        <v>4472</v>
      </c>
      <c r="H3964" s="0" t="n">
        <f aca="false">IF(C3964&gt;1,IF(C3964&lt;99,VLOOKUP(F3964,'MSA-Lookup'!$AA$1:$AB$25,2),C3964),C3964)</f>
        <v>9999</v>
      </c>
    </row>
    <row r="3965" customFormat="false" ht="12.75" hidden="false" customHeight="false" outlineLevel="0" collapsed="false">
      <c r="A3965" s="0" t="n">
        <f aca="false">B3965*1000+C3965</f>
        <v>58006</v>
      </c>
      <c r="B3965" s="0" t="n">
        <v>58</v>
      </c>
      <c r="C3965" s="0" t="n">
        <v>6</v>
      </c>
      <c r="D3965" s="0" t="n">
        <v>0</v>
      </c>
      <c r="E3965" s="0" t="n">
        <f aca="false">VLOOKUP(B3965,'MSA-Lookup'!$H$2:$I$86,2)</f>
        <v>4480</v>
      </c>
      <c r="F3965" s="0" t="n">
        <f aca="false">IF(C3965&gt;1,IF(C3965&lt;99,VLOOKUP(C3965,'MSA-Lookup'!$H$1:$I$86,2),C3965),C3965)</f>
        <v>1620</v>
      </c>
      <c r="G3965" s="0" t="n">
        <f aca="false">VLOOKUP(E3965,'MSA-Lookup'!$AA$1:$AB$25,2)</f>
        <v>4472</v>
      </c>
      <c r="H3965" s="0" t="n">
        <f aca="false">IF(C3965&gt;1,IF(C3965&lt;99,VLOOKUP(F3965,'MSA-Lookup'!$AA$1:$AB$25,2),C3965),C3965)</f>
        <v>1620</v>
      </c>
    </row>
    <row r="3966" customFormat="false" ht="12.75" hidden="false" customHeight="false" outlineLevel="0" collapsed="false">
      <c r="A3966" s="0" t="n">
        <f aca="false">B3966*1000+C3966</f>
        <v>58007</v>
      </c>
      <c r="B3966" s="0" t="n">
        <v>58</v>
      </c>
      <c r="C3966" s="0" t="n">
        <v>7</v>
      </c>
      <c r="D3966" s="0" t="n">
        <v>0</v>
      </c>
      <c r="E3966" s="0" t="n">
        <f aca="false">VLOOKUP(B3966,'MSA-Lookup'!$H$2:$I$86,2)</f>
        <v>4480</v>
      </c>
      <c r="F3966" s="0" t="n">
        <f aca="false">IF(C3966&gt;1,IF(C3966&lt;99,VLOOKUP(C3966,'MSA-Lookup'!$H$1:$I$86,2),C3966),C3966)</f>
        <v>9999</v>
      </c>
      <c r="G3966" s="0" t="n">
        <f aca="false">VLOOKUP(E3966,'MSA-Lookup'!$AA$1:$AB$25,2)</f>
        <v>4472</v>
      </c>
      <c r="H3966" s="0" t="n">
        <f aca="false">IF(C3966&gt;1,IF(C3966&lt;99,VLOOKUP(F3966,'MSA-Lookup'!$AA$1:$AB$25,2),C3966),C3966)</f>
        <v>9999</v>
      </c>
    </row>
    <row r="3967" customFormat="false" ht="12.75" hidden="false" customHeight="false" outlineLevel="0" collapsed="false">
      <c r="A3967" s="0" t="n">
        <f aca="false">B3967*1000+C3967</f>
        <v>58008</v>
      </c>
      <c r="B3967" s="0" t="n">
        <v>58</v>
      </c>
      <c r="C3967" s="0" t="n">
        <v>8</v>
      </c>
      <c r="D3967" s="0" t="n">
        <v>0</v>
      </c>
      <c r="E3967" s="0" t="n">
        <f aca="false">VLOOKUP(B3967,'MSA-Lookup'!$H$2:$I$86,2)</f>
        <v>4480</v>
      </c>
      <c r="F3967" s="0" t="n">
        <f aca="false">IF(C3967&gt;1,IF(C3967&lt;99,VLOOKUP(C3967,'MSA-Lookup'!$H$1:$I$86,2),C3967),C3967)</f>
        <v>9340</v>
      </c>
      <c r="G3967" s="0" t="n">
        <f aca="false">VLOOKUP(E3967,'MSA-Lookup'!$AA$1:$AB$25,2)</f>
        <v>4472</v>
      </c>
      <c r="H3967" s="0" t="n">
        <f aca="false">IF(C3967&gt;1,IF(C3967&lt;99,VLOOKUP(F3967,'MSA-Lookup'!$AA$1:$AB$25,2),C3967),C3967)</f>
        <v>9340</v>
      </c>
    </row>
    <row r="3968" customFormat="false" ht="12.75" hidden="false" customHeight="false" outlineLevel="0" collapsed="false">
      <c r="A3968" s="0" t="n">
        <f aca="false">B3968*1000+C3968</f>
        <v>58009</v>
      </c>
      <c r="B3968" s="0" t="n">
        <v>58</v>
      </c>
      <c r="C3968" s="0" t="n">
        <v>9</v>
      </c>
      <c r="D3968" s="0" t="n">
        <v>0</v>
      </c>
      <c r="E3968" s="0" t="n">
        <f aca="false">VLOOKUP(B3968,'MSA-Lookup'!$H$2:$I$86,2)</f>
        <v>4480</v>
      </c>
      <c r="F3968" s="0" t="n">
        <f aca="false">IF(C3968&gt;1,IF(C3968&lt;99,VLOOKUP(C3968,'MSA-Lookup'!$H$1:$I$86,2),C3968),C3968)</f>
        <v>8720</v>
      </c>
      <c r="G3968" s="0" t="n">
        <f aca="false">VLOOKUP(E3968,'MSA-Lookup'!$AA$1:$AB$25,2)</f>
        <v>4472</v>
      </c>
      <c r="H3968" s="0" t="n">
        <f aca="false">IF(C3968&gt;1,IF(C3968&lt;99,VLOOKUP(F3968,'MSA-Lookup'!$AA$1:$AB$25,2),C3968),C3968)</f>
        <v>7362</v>
      </c>
    </row>
    <row r="3969" customFormat="false" ht="12.75" hidden="false" customHeight="false" outlineLevel="0" collapsed="false">
      <c r="A3969" s="0" t="n">
        <f aca="false">B3969*1000+C3969</f>
        <v>58010</v>
      </c>
      <c r="B3969" s="0" t="n">
        <v>58</v>
      </c>
      <c r="C3969" s="0" t="n">
        <v>10</v>
      </c>
      <c r="D3969" s="0" t="n">
        <v>0</v>
      </c>
      <c r="E3969" s="0" t="n">
        <f aca="false">VLOOKUP(B3969,'MSA-Lookup'!$H$2:$I$86,2)</f>
        <v>4480</v>
      </c>
      <c r="F3969" s="0" t="n">
        <f aca="false">IF(C3969&gt;1,IF(C3969&lt;99,VLOOKUP(C3969,'MSA-Lookup'!$H$1:$I$86,2),C3969),C3969)</f>
        <v>6920</v>
      </c>
      <c r="G3969" s="0" t="n">
        <f aca="false">VLOOKUP(E3969,'MSA-Lookup'!$AA$1:$AB$25,2)</f>
        <v>4472</v>
      </c>
      <c r="H3969" s="0" t="n">
        <f aca="false">IF(C3969&gt;1,IF(C3969&lt;99,VLOOKUP(F3969,'MSA-Lookup'!$AA$1:$AB$25,2),C3969),C3969)</f>
        <v>6920</v>
      </c>
    </row>
    <row r="3970" customFormat="false" ht="12.75" hidden="false" customHeight="false" outlineLevel="0" collapsed="false">
      <c r="A3970" s="0" t="n">
        <f aca="false">B3970*1000+C3970</f>
        <v>58011</v>
      </c>
      <c r="B3970" s="0" t="n">
        <v>58</v>
      </c>
      <c r="C3970" s="0" t="n">
        <v>11</v>
      </c>
      <c r="D3970" s="0" t="n">
        <v>0</v>
      </c>
      <c r="E3970" s="0" t="n">
        <f aca="false">VLOOKUP(B3970,'MSA-Lookup'!$H$2:$I$86,2)</f>
        <v>4480</v>
      </c>
      <c r="F3970" s="0" t="n">
        <f aca="false">IF(C3970&gt;1,IF(C3970&lt;99,VLOOKUP(C3970,'MSA-Lookup'!$H$1:$I$86,2),C3970),C3970)</f>
        <v>6920</v>
      </c>
      <c r="G3970" s="0" t="n">
        <f aca="false">VLOOKUP(E3970,'MSA-Lookup'!$AA$1:$AB$25,2)</f>
        <v>4472</v>
      </c>
      <c r="H3970" s="0" t="n">
        <f aca="false">IF(C3970&gt;1,IF(C3970&lt;99,VLOOKUP(F3970,'MSA-Lookup'!$AA$1:$AB$25,2),C3970),C3970)</f>
        <v>6920</v>
      </c>
    </row>
    <row r="3971" customFormat="false" ht="12.75" hidden="false" customHeight="false" outlineLevel="0" collapsed="false">
      <c r="A3971" s="0" t="n">
        <f aca="false">B3971*1000+C3971</f>
        <v>58012</v>
      </c>
      <c r="B3971" s="0" t="n">
        <v>58</v>
      </c>
      <c r="C3971" s="0" t="n">
        <v>12</v>
      </c>
      <c r="D3971" s="0" t="n">
        <v>0</v>
      </c>
      <c r="E3971" s="0" t="n">
        <f aca="false">VLOOKUP(B3971,'MSA-Lookup'!$H$2:$I$86,2)</f>
        <v>4480</v>
      </c>
      <c r="F3971" s="0" t="n">
        <f aca="false">IF(C3971&gt;1,IF(C3971&lt;99,VLOOKUP(C3971,'MSA-Lookup'!$H$1:$I$86,2),C3971),C3971)</f>
        <v>6920</v>
      </c>
      <c r="G3971" s="0" t="n">
        <f aca="false">VLOOKUP(E3971,'MSA-Lookup'!$AA$1:$AB$25,2)</f>
        <v>4472</v>
      </c>
      <c r="H3971" s="0" t="n">
        <f aca="false">IF(C3971&gt;1,IF(C3971&lt;99,VLOOKUP(F3971,'MSA-Lookup'!$AA$1:$AB$25,2),C3971),C3971)</f>
        <v>6920</v>
      </c>
    </row>
    <row r="3972" customFormat="false" ht="12.75" hidden="false" customHeight="false" outlineLevel="0" collapsed="false">
      <c r="A3972" s="0" t="n">
        <f aca="false">B3972*1000+C3972</f>
        <v>58013</v>
      </c>
      <c r="B3972" s="0" t="n">
        <v>58</v>
      </c>
      <c r="C3972" s="0" t="n">
        <v>13</v>
      </c>
      <c r="D3972" s="0" t="n">
        <v>0</v>
      </c>
      <c r="E3972" s="0" t="n">
        <f aca="false">VLOOKUP(B3972,'MSA-Lookup'!$H$2:$I$86,2)</f>
        <v>4480</v>
      </c>
      <c r="F3972" s="0" t="n">
        <f aca="false">IF(C3972&gt;1,IF(C3972&lt;99,VLOOKUP(C3972,'MSA-Lookup'!$H$1:$I$86,2),C3972),C3972)</f>
        <v>7500</v>
      </c>
      <c r="G3972" s="0" t="n">
        <f aca="false">VLOOKUP(E3972,'MSA-Lookup'!$AA$1:$AB$25,2)</f>
        <v>4472</v>
      </c>
      <c r="H3972" s="0" t="n">
        <f aca="false">IF(C3972&gt;1,IF(C3972&lt;99,VLOOKUP(F3972,'MSA-Lookup'!$AA$1:$AB$25,2),C3972),C3972)</f>
        <v>7362</v>
      </c>
    </row>
    <row r="3973" customFormat="false" ht="12.75" hidden="false" customHeight="false" outlineLevel="0" collapsed="false">
      <c r="A3973" s="0" t="n">
        <f aca="false">B3973*1000+C3973</f>
        <v>58014</v>
      </c>
      <c r="B3973" s="0" t="n">
        <v>58</v>
      </c>
      <c r="C3973" s="0" t="n">
        <v>14</v>
      </c>
      <c r="D3973" s="0" t="n">
        <v>0</v>
      </c>
      <c r="E3973" s="0" t="n">
        <f aca="false">VLOOKUP(B3973,'MSA-Lookup'!$H$2:$I$86,2)</f>
        <v>4480</v>
      </c>
      <c r="F3973" s="0" t="n">
        <f aca="false">IF(C3973&gt;1,IF(C3973&lt;99,VLOOKUP(C3973,'MSA-Lookup'!$H$1:$I$86,2),C3973),C3973)</f>
        <v>7500</v>
      </c>
      <c r="G3973" s="0" t="n">
        <f aca="false">VLOOKUP(E3973,'MSA-Lookup'!$AA$1:$AB$25,2)</f>
        <v>4472</v>
      </c>
      <c r="H3973" s="0" t="n">
        <f aca="false">IF(C3973&gt;1,IF(C3973&lt;99,VLOOKUP(F3973,'MSA-Lookup'!$AA$1:$AB$25,2),C3973),C3973)</f>
        <v>7362</v>
      </c>
    </row>
    <row r="3974" customFormat="false" ht="12.75" hidden="false" customHeight="false" outlineLevel="0" collapsed="false">
      <c r="A3974" s="0" t="n">
        <f aca="false">B3974*1000+C3974</f>
        <v>58015</v>
      </c>
      <c r="B3974" s="0" t="n">
        <v>58</v>
      </c>
      <c r="C3974" s="0" t="n">
        <v>15</v>
      </c>
      <c r="D3974" s="0" t="n">
        <v>0</v>
      </c>
      <c r="E3974" s="0" t="n">
        <f aca="false">VLOOKUP(B3974,'MSA-Lookup'!$H$2:$I$86,2)</f>
        <v>4480</v>
      </c>
      <c r="F3974" s="0" t="n">
        <f aca="false">IF(C3974&gt;1,IF(C3974&lt;99,VLOOKUP(C3974,'MSA-Lookup'!$H$1:$I$86,2),C3974),C3974)</f>
        <v>7360</v>
      </c>
      <c r="G3974" s="0" t="n">
        <f aca="false">VLOOKUP(E3974,'MSA-Lookup'!$AA$1:$AB$25,2)</f>
        <v>4472</v>
      </c>
      <c r="H3974" s="0" t="n">
        <f aca="false">IF(C3974&gt;1,IF(C3974&lt;99,VLOOKUP(F3974,'MSA-Lookup'!$AA$1:$AB$25,2),C3974),C3974)</f>
        <v>7362</v>
      </c>
    </row>
    <row r="3975" customFormat="false" ht="12.75" hidden="false" customHeight="false" outlineLevel="0" collapsed="false">
      <c r="A3975" s="0" t="n">
        <f aca="false">B3975*1000+C3975</f>
        <v>58016</v>
      </c>
      <c r="B3975" s="0" t="n">
        <v>58</v>
      </c>
      <c r="C3975" s="0" t="n">
        <v>16</v>
      </c>
      <c r="D3975" s="0" t="n">
        <v>0</v>
      </c>
      <c r="E3975" s="0" t="n">
        <f aca="false">VLOOKUP(B3975,'MSA-Lookup'!$H$2:$I$86,2)</f>
        <v>4480</v>
      </c>
      <c r="F3975" s="0" t="n">
        <f aca="false">IF(C3975&gt;1,IF(C3975&lt;99,VLOOKUP(C3975,'MSA-Lookup'!$H$1:$I$86,2),C3975),C3975)</f>
        <v>8720</v>
      </c>
      <c r="G3975" s="0" t="n">
        <f aca="false">VLOOKUP(E3975,'MSA-Lookup'!$AA$1:$AB$25,2)</f>
        <v>4472</v>
      </c>
      <c r="H3975" s="0" t="n">
        <f aca="false">IF(C3975&gt;1,IF(C3975&lt;99,VLOOKUP(F3975,'MSA-Lookup'!$AA$1:$AB$25,2),C3975),C3975)</f>
        <v>7362</v>
      </c>
    </row>
    <row r="3976" customFormat="false" ht="12.75" hidden="false" customHeight="false" outlineLevel="0" collapsed="false">
      <c r="A3976" s="0" t="n">
        <f aca="false">B3976*1000+C3976</f>
        <v>58017</v>
      </c>
      <c r="B3976" s="0" t="n">
        <v>58</v>
      </c>
      <c r="C3976" s="0" t="n">
        <v>17</v>
      </c>
      <c r="D3976" s="0" t="n">
        <v>0</v>
      </c>
      <c r="E3976" s="0" t="n">
        <f aca="false">VLOOKUP(B3976,'MSA-Lookup'!$H$2:$I$86,2)</f>
        <v>4480</v>
      </c>
      <c r="F3976" s="0" t="n">
        <f aca="false">IF(C3976&gt;1,IF(C3976&lt;99,VLOOKUP(C3976,'MSA-Lookup'!$H$1:$I$86,2),C3976),C3976)</f>
        <v>5775</v>
      </c>
      <c r="G3976" s="0" t="n">
        <f aca="false">VLOOKUP(E3976,'MSA-Lookup'!$AA$1:$AB$25,2)</f>
        <v>4472</v>
      </c>
      <c r="H3976" s="0" t="n">
        <f aca="false">IF(C3976&gt;1,IF(C3976&lt;99,VLOOKUP(F3976,'MSA-Lookup'!$AA$1:$AB$25,2),C3976),C3976)</f>
        <v>7362</v>
      </c>
    </row>
    <row r="3977" customFormat="false" ht="12.75" hidden="false" customHeight="false" outlineLevel="0" collapsed="false">
      <c r="A3977" s="0" t="n">
        <f aca="false">B3977*1000+C3977</f>
        <v>58018</v>
      </c>
      <c r="B3977" s="0" t="n">
        <v>58</v>
      </c>
      <c r="C3977" s="0" t="n">
        <v>18</v>
      </c>
      <c r="D3977" s="0" t="n">
        <v>0</v>
      </c>
      <c r="E3977" s="0" t="n">
        <f aca="false">VLOOKUP(B3977,'MSA-Lookup'!$H$2:$I$86,2)</f>
        <v>4480</v>
      </c>
      <c r="F3977" s="0" t="n">
        <f aca="false">IF(C3977&gt;1,IF(C3977&lt;99,VLOOKUP(C3977,'MSA-Lookup'!$H$1:$I$86,2),C3977),C3977)</f>
        <v>5775</v>
      </c>
      <c r="G3977" s="0" t="n">
        <f aca="false">VLOOKUP(E3977,'MSA-Lookup'!$AA$1:$AB$25,2)</f>
        <v>4472</v>
      </c>
      <c r="H3977" s="0" t="n">
        <f aca="false">IF(C3977&gt;1,IF(C3977&lt;99,VLOOKUP(F3977,'MSA-Lookup'!$AA$1:$AB$25,2),C3977),C3977)</f>
        <v>7362</v>
      </c>
    </row>
    <row r="3978" customFormat="false" ht="12.75" hidden="false" customHeight="false" outlineLevel="0" collapsed="false">
      <c r="A3978" s="0" t="n">
        <f aca="false">B3978*1000+C3978</f>
        <v>58019</v>
      </c>
      <c r="B3978" s="0" t="n">
        <v>58</v>
      </c>
      <c r="C3978" s="0" t="n">
        <v>19</v>
      </c>
      <c r="D3978" s="0" t="n">
        <v>0</v>
      </c>
      <c r="E3978" s="0" t="n">
        <f aca="false">VLOOKUP(B3978,'MSA-Lookup'!$H$2:$I$86,2)</f>
        <v>4480</v>
      </c>
      <c r="F3978" s="0" t="n">
        <f aca="false">IF(C3978&gt;1,IF(C3978&lt;99,VLOOKUP(C3978,'MSA-Lookup'!$H$1:$I$86,2),C3978),C3978)</f>
        <v>7360</v>
      </c>
      <c r="G3978" s="0" t="n">
        <f aca="false">VLOOKUP(E3978,'MSA-Lookup'!$AA$1:$AB$25,2)</f>
        <v>4472</v>
      </c>
      <c r="H3978" s="0" t="n">
        <f aca="false">IF(C3978&gt;1,IF(C3978&lt;99,VLOOKUP(F3978,'MSA-Lookup'!$AA$1:$AB$25,2),C3978),C3978)</f>
        <v>7362</v>
      </c>
    </row>
    <row r="3979" customFormat="false" ht="12.75" hidden="false" customHeight="false" outlineLevel="0" collapsed="false">
      <c r="A3979" s="0" t="n">
        <f aca="false">B3979*1000+C3979</f>
        <v>58020</v>
      </c>
      <c r="B3979" s="0" t="n">
        <v>58</v>
      </c>
      <c r="C3979" s="0" t="n">
        <v>20</v>
      </c>
      <c r="D3979" s="0" t="n">
        <v>0</v>
      </c>
      <c r="E3979" s="0" t="n">
        <f aca="false">VLOOKUP(B3979,'MSA-Lookup'!$H$2:$I$86,2)</f>
        <v>4480</v>
      </c>
      <c r="F3979" s="0" t="n">
        <f aca="false">IF(C3979&gt;1,IF(C3979&lt;99,VLOOKUP(C3979,'MSA-Lookup'!$H$1:$I$86,2),C3979),C3979)</f>
        <v>5775</v>
      </c>
      <c r="G3979" s="0" t="n">
        <f aca="false">VLOOKUP(E3979,'MSA-Lookup'!$AA$1:$AB$25,2)</f>
        <v>4472</v>
      </c>
      <c r="H3979" s="0" t="n">
        <f aca="false">IF(C3979&gt;1,IF(C3979&lt;99,VLOOKUP(F3979,'MSA-Lookup'!$AA$1:$AB$25,2),C3979),C3979)</f>
        <v>7362</v>
      </c>
    </row>
    <row r="3980" customFormat="false" ht="12.75" hidden="false" customHeight="false" outlineLevel="0" collapsed="false">
      <c r="A3980" s="0" t="n">
        <f aca="false">B3980*1000+C3980</f>
        <v>58021</v>
      </c>
      <c r="B3980" s="0" t="n">
        <v>58</v>
      </c>
      <c r="C3980" s="0" t="n">
        <v>21</v>
      </c>
      <c r="D3980" s="0" t="n">
        <v>0</v>
      </c>
      <c r="E3980" s="0" t="n">
        <f aca="false">VLOOKUP(B3980,'MSA-Lookup'!$H$2:$I$86,2)</f>
        <v>4480</v>
      </c>
      <c r="F3980" s="0" t="n">
        <f aca="false">IF(C3980&gt;1,IF(C3980&lt;99,VLOOKUP(C3980,'MSA-Lookup'!$H$1:$I$86,2),C3980),C3980)</f>
        <v>5775</v>
      </c>
      <c r="G3980" s="0" t="n">
        <f aca="false">VLOOKUP(E3980,'MSA-Lookup'!$AA$1:$AB$25,2)</f>
        <v>4472</v>
      </c>
      <c r="H3980" s="0" t="n">
        <f aca="false">IF(C3980&gt;1,IF(C3980&lt;99,VLOOKUP(F3980,'MSA-Lookup'!$AA$1:$AB$25,2),C3980),C3980)</f>
        <v>7362</v>
      </c>
    </row>
    <row r="3981" customFormat="false" ht="12.75" hidden="false" customHeight="false" outlineLevel="0" collapsed="false">
      <c r="A3981" s="0" t="n">
        <f aca="false">B3981*1000+C3981</f>
        <v>58022</v>
      </c>
      <c r="B3981" s="0" t="n">
        <v>58</v>
      </c>
      <c r="C3981" s="0" t="n">
        <v>22</v>
      </c>
      <c r="D3981" s="0" t="n">
        <v>0</v>
      </c>
      <c r="E3981" s="0" t="n">
        <f aca="false">VLOOKUP(B3981,'MSA-Lookup'!$H$2:$I$86,2)</f>
        <v>4480</v>
      </c>
      <c r="F3981" s="0" t="n">
        <f aca="false">IF(C3981&gt;1,IF(C3981&lt;99,VLOOKUP(C3981,'MSA-Lookup'!$H$1:$I$86,2),C3981),C3981)</f>
        <v>7360</v>
      </c>
      <c r="G3981" s="0" t="n">
        <f aca="false">VLOOKUP(E3981,'MSA-Lookup'!$AA$1:$AB$25,2)</f>
        <v>4472</v>
      </c>
      <c r="H3981" s="0" t="n">
        <f aca="false">IF(C3981&gt;1,IF(C3981&lt;99,VLOOKUP(F3981,'MSA-Lookup'!$AA$1:$AB$25,2),C3981),C3981)</f>
        <v>7362</v>
      </c>
    </row>
    <row r="3982" customFormat="false" ht="12.75" hidden="false" customHeight="false" outlineLevel="0" collapsed="false">
      <c r="A3982" s="0" t="n">
        <f aca="false">B3982*1000+C3982</f>
        <v>58023</v>
      </c>
      <c r="B3982" s="0" t="n">
        <v>58</v>
      </c>
      <c r="C3982" s="0" t="n">
        <v>23</v>
      </c>
      <c r="D3982" s="0" t="n">
        <v>0</v>
      </c>
      <c r="E3982" s="0" t="n">
        <f aca="false">VLOOKUP(B3982,'MSA-Lookup'!$H$2:$I$86,2)</f>
        <v>4480</v>
      </c>
      <c r="F3982" s="0" t="n">
        <f aca="false">IF(C3982&gt;1,IF(C3982&lt;99,VLOOKUP(C3982,'MSA-Lookup'!$H$1:$I$86,2),C3982),C3982)</f>
        <v>8120</v>
      </c>
      <c r="G3982" s="0" t="n">
        <f aca="false">VLOOKUP(E3982,'MSA-Lookup'!$AA$1:$AB$25,2)</f>
        <v>4472</v>
      </c>
      <c r="H3982" s="0" t="n">
        <f aca="false">IF(C3982&gt;1,IF(C3982&lt;99,VLOOKUP(F3982,'MSA-Lookup'!$AA$1:$AB$25,2),C3982),C3982)</f>
        <v>8120</v>
      </c>
    </row>
    <row r="3983" customFormat="false" ht="12.75" hidden="false" customHeight="false" outlineLevel="0" collapsed="false">
      <c r="A3983" s="0" t="n">
        <f aca="false">B3983*1000+C3983</f>
        <v>58024</v>
      </c>
      <c r="B3983" s="0" t="n">
        <v>58</v>
      </c>
      <c r="C3983" s="0" t="n">
        <v>24</v>
      </c>
      <c r="D3983" s="0" t="n">
        <v>0</v>
      </c>
      <c r="E3983" s="0" t="n">
        <f aca="false">VLOOKUP(B3983,'MSA-Lookup'!$H$2:$I$86,2)</f>
        <v>4480</v>
      </c>
      <c r="F3983" s="0" t="n">
        <f aca="false">IF(C3983&gt;1,IF(C3983&lt;99,VLOOKUP(C3983,'MSA-Lookup'!$H$1:$I$86,2),C3983),C3983)</f>
        <v>5170</v>
      </c>
      <c r="G3983" s="0" t="n">
        <f aca="false">VLOOKUP(E3983,'MSA-Lookup'!$AA$1:$AB$25,2)</f>
        <v>4472</v>
      </c>
      <c r="H3983" s="0" t="n">
        <f aca="false">IF(C3983&gt;1,IF(C3983&lt;99,VLOOKUP(F3983,'MSA-Lookup'!$AA$1:$AB$25,2),C3983),C3983)</f>
        <v>5170</v>
      </c>
    </row>
    <row r="3984" customFormat="false" ht="12.75" hidden="false" customHeight="false" outlineLevel="0" collapsed="false">
      <c r="A3984" s="0" t="n">
        <f aca="false">B3984*1000+C3984</f>
        <v>58025</v>
      </c>
      <c r="B3984" s="0" t="n">
        <v>58</v>
      </c>
      <c r="C3984" s="0" t="n">
        <v>25</v>
      </c>
      <c r="D3984" s="0" t="n">
        <v>0</v>
      </c>
      <c r="E3984" s="0" t="n">
        <f aca="false">VLOOKUP(B3984,'MSA-Lookup'!$H$2:$I$86,2)</f>
        <v>4480</v>
      </c>
      <c r="F3984" s="0" t="n">
        <f aca="false">IF(C3984&gt;1,IF(C3984&lt;99,VLOOKUP(C3984,'MSA-Lookup'!$H$1:$I$86,2),C3984),C3984)</f>
        <v>5170</v>
      </c>
      <c r="G3984" s="0" t="n">
        <f aca="false">VLOOKUP(E3984,'MSA-Lookup'!$AA$1:$AB$25,2)</f>
        <v>4472</v>
      </c>
      <c r="H3984" s="0" t="n">
        <f aca="false">IF(C3984&gt;1,IF(C3984&lt;99,VLOOKUP(F3984,'MSA-Lookup'!$AA$1:$AB$25,2),C3984),C3984)</f>
        <v>5170</v>
      </c>
    </row>
    <row r="3985" customFormat="false" ht="12.75" hidden="false" customHeight="false" outlineLevel="0" collapsed="false">
      <c r="A3985" s="0" t="n">
        <f aca="false">B3985*1000+C3985</f>
        <v>58026</v>
      </c>
      <c r="B3985" s="0" t="n">
        <v>58</v>
      </c>
      <c r="C3985" s="0" t="n">
        <v>26</v>
      </c>
      <c r="D3985" s="0" t="n">
        <v>0</v>
      </c>
      <c r="E3985" s="0" t="n">
        <f aca="false">VLOOKUP(B3985,'MSA-Lookup'!$H$2:$I$86,2)</f>
        <v>4480</v>
      </c>
      <c r="F3985" s="0" t="n">
        <f aca="false">IF(C3985&gt;1,IF(C3985&lt;99,VLOOKUP(C3985,'MSA-Lookup'!$H$1:$I$86,2),C3985),C3985)</f>
        <v>9999</v>
      </c>
      <c r="G3985" s="0" t="n">
        <f aca="false">VLOOKUP(E3985,'MSA-Lookup'!$AA$1:$AB$25,2)</f>
        <v>4472</v>
      </c>
      <c r="H3985" s="0" t="n">
        <f aca="false">IF(C3985&gt;1,IF(C3985&lt;99,VLOOKUP(F3985,'MSA-Lookup'!$AA$1:$AB$25,2),C3985),C3985)</f>
        <v>9999</v>
      </c>
    </row>
    <row r="3986" customFormat="false" ht="12.75" hidden="false" customHeight="false" outlineLevel="0" collapsed="false">
      <c r="A3986" s="0" t="n">
        <f aca="false">B3986*1000+C3986</f>
        <v>58027</v>
      </c>
      <c r="B3986" s="0" t="n">
        <v>58</v>
      </c>
      <c r="C3986" s="0" t="n">
        <v>27</v>
      </c>
      <c r="D3986" s="0" t="n">
        <v>0</v>
      </c>
      <c r="E3986" s="0" t="n">
        <f aca="false">VLOOKUP(B3986,'MSA-Lookup'!$H$2:$I$86,2)</f>
        <v>4480</v>
      </c>
      <c r="F3986" s="0" t="n">
        <f aca="false">IF(C3986&gt;1,IF(C3986&lt;99,VLOOKUP(C3986,'MSA-Lookup'!$H$1:$I$86,2),C3986),C3986)</f>
        <v>9999</v>
      </c>
      <c r="G3986" s="0" t="n">
        <f aca="false">VLOOKUP(E3986,'MSA-Lookup'!$AA$1:$AB$25,2)</f>
        <v>4472</v>
      </c>
      <c r="H3986" s="0" t="n">
        <f aca="false">IF(C3986&gt;1,IF(C3986&lt;99,VLOOKUP(F3986,'MSA-Lookup'!$AA$1:$AB$25,2),C3986),C3986)</f>
        <v>9999</v>
      </c>
    </row>
    <row r="3987" customFormat="false" ht="12.75" hidden="false" customHeight="false" outlineLevel="0" collapsed="false">
      <c r="A3987" s="0" t="n">
        <f aca="false">B3987*1000+C3987</f>
        <v>58028</v>
      </c>
      <c r="B3987" s="0" t="n">
        <v>58</v>
      </c>
      <c r="C3987" s="0" t="n">
        <v>28</v>
      </c>
      <c r="D3987" s="0" t="n">
        <v>0</v>
      </c>
      <c r="E3987" s="0" t="n">
        <f aca="false">VLOOKUP(B3987,'MSA-Lookup'!$H$2:$I$86,2)</f>
        <v>4480</v>
      </c>
      <c r="F3987" s="0" t="n">
        <f aca="false">IF(C3987&gt;1,IF(C3987&lt;99,VLOOKUP(C3987,'MSA-Lookup'!$H$1:$I$86,2),C3987),C3987)</f>
        <v>6920</v>
      </c>
      <c r="G3987" s="0" t="n">
        <f aca="false">VLOOKUP(E3987,'MSA-Lookup'!$AA$1:$AB$25,2)</f>
        <v>4472</v>
      </c>
      <c r="H3987" s="0" t="n">
        <f aca="false">IF(C3987&gt;1,IF(C3987&lt;99,VLOOKUP(F3987,'MSA-Lookup'!$AA$1:$AB$25,2),C3987),C3987)</f>
        <v>6920</v>
      </c>
    </row>
    <row r="3988" customFormat="false" ht="12.75" hidden="false" customHeight="false" outlineLevel="0" collapsed="false">
      <c r="A3988" s="0" t="n">
        <f aca="false">B3988*1000+C3988</f>
        <v>58029</v>
      </c>
      <c r="B3988" s="0" t="n">
        <v>58</v>
      </c>
      <c r="C3988" s="0" t="n">
        <v>29</v>
      </c>
      <c r="D3988" s="0" t="n">
        <v>0</v>
      </c>
      <c r="E3988" s="0" t="n">
        <f aca="false">VLOOKUP(B3988,'MSA-Lookup'!$H$2:$I$86,2)</f>
        <v>4480</v>
      </c>
      <c r="F3988" s="0" t="n">
        <f aca="false">IF(C3988&gt;1,IF(C3988&lt;99,VLOOKUP(C3988,'MSA-Lookup'!$H$1:$I$86,2),C3988),C3988)</f>
        <v>6920</v>
      </c>
      <c r="G3988" s="0" t="n">
        <f aca="false">VLOOKUP(E3988,'MSA-Lookup'!$AA$1:$AB$25,2)</f>
        <v>4472</v>
      </c>
      <c r="H3988" s="0" t="n">
        <f aca="false">IF(C3988&gt;1,IF(C3988&lt;99,VLOOKUP(F3988,'MSA-Lookup'!$AA$1:$AB$25,2),C3988),C3988)</f>
        <v>6920</v>
      </c>
    </row>
    <row r="3989" customFormat="false" ht="12.75" hidden="false" customHeight="false" outlineLevel="0" collapsed="false">
      <c r="A3989" s="0" t="n">
        <f aca="false">B3989*1000+C3989</f>
        <v>58030</v>
      </c>
      <c r="B3989" s="0" t="n">
        <v>58</v>
      </c>
      <c r="C3989" s="0" t="n">
        <v>30</v>
      </c>
      <c r="D3989" s="0" t="n">
        <v>0</v>
      </c>
      <c r="E3989" s="0" t="n">
        <f aca="false">VLOOKUP(B3989,'MSA-Lookup'!$H$2:$I$86,2)</f>
        <v>4480</v>
      </c>
      <c r="F3989" s="0" t="n">
        <f aca="false">IF(C3989&gt;1,IF(C3989&lt;99,VLOOKUP(C3989,'MSA-Lookup'!$H$1:$I$86,2),C3989),C3989)</f>
        <v>4940</v>
      </c>
      <c r="G3989" s="0" t="n">
        <f aca="false">VLOOKUP(E3989,'MSA-Lookup'!$AA$1:$AB$25,2)</f>
        <v>4472</v>
      </c>
      <c r="H3989" s="0" t="n">
        <f aca="false">IF(C3989&gt;1,IF(C3989&lt;99,VLOOKUP(F3989,'MSA-Lookup'!$AA$1:$AB$25,2),C3989),C3989)</f>
        <v>4940</v>
      </c>
    </row>
    <row r="3990" customFormat="false" ht="12.75" hidden="false" customHeight="false" outlineLevel="0" collapsed="false">
      <c r="A3990" s="0" t="n">
        <f aca="false">B3990*1000+C3990</f>
        <v>58031</v>
      </c>
      <c r="B3990" s="0" t="n">
        <v>58</v>
      </c>
      <c r="C3990" s="0" t="n">
        <v>31</v>
      </c>
      <c r="D3990" s="0" t="n">
        <v>0</v>
      </c>
      <c r="E3990" s="0" t="n">
        <f aca="false">VLOOKUP(B3990,'MSA-Lookup'!$H$2:$I$86,2)</f>
        <v>4480</v>
      </c>
      <c r="F3990" s="0" t="n">
        <f aca="false">IF(C3990&gt;1,IF(C3990&lt;99,VLOOKUP(C3990,'MSA-Lookup'!$H$1:$I$86,2),C3990),C3990)</f>
        <v>9999</v>
      </c>
      <c r="G3990" s="0" t="n">
        <f aca="false">VLOOKUP(E3990,'MSA-Lookup'!$AA$1:$AB$25,2)</f>
        <v>4472</v>
      </c>
      <c r="H3990" s="0" t="n">
        <f aca="false">IF(C3990&gt;1,IF(C3990&lt;99,VLOOKUP(F3990,'MSA-Lookup'!$AA$1:$AB$25,2),C3990),C3990)</f>
        <v>9999</v>
      </c>
    </row>
    <row r="3991" customFormat="false" ht="12.75" hidden="false" customHeight="false" outlineLevel="0" collapsed="false">
      <c r="A3991" s="0" t="n">
        <f aca="false">B3991*1000+C3991</f>
        <v>58032</v>
      </c>
      <c r="B3991" s="0" t="n">
        <v>58</v>
      </c>
      <c r="C3991" s="0" t="n">
        <v>32</v>
      </c>
      <c r="D3991" s="0" t="n">
        <v>0</v>
      </c>
      <c r="E3991" s="0" t="n">
        <f aca="false">VLOOKUP(B3991,'MSA-Lookup'!$H$2:$I$86,2)</f>
        <v>4480</v>
      </c>
      <c r="F3991" s="0" t="n">
        <f aca="false">IF(C3991&gt;1,IF(C3991&lt;99,VLOOKUP(C3991,'MSA-Lookup'!$H$1:$I$86,2),C3991),C3991)</f>
        <v>7480</v>
      </c>
      <c r="G3991" s="0" t="n">
        <f aca="false">VLOOKUP(E3991,'MSA-Lookup'!$AA$1:$AB$25,2)</f>
        <v>4472</v>
      </c>
      <c r="H3991" s="0" t="n">
        <f aca="false">IF(C3991&gt;1,IF(C3991&lt;99,VLOOKUP(F3991,'MSA-Lookup'!$AA$1:$AB$25,2),C3991),C3991)</f>
        <v>7480</v>
      </c>
    </row>
    <row r="3992" customFormat="false" ht="12.75" hidden="false" customHeight="false" outlineLevel="0" collapsed="false">
      <c r="A3992" s="0" t="n">
        <f aca="false">B3992*1000+C3992</f>
        <v>58033</v>
      </c>
      <c r="B3992" s="0" t="n">
        <v>58</v>
      </c>
      <c r="C3992" s="0" t="n">
        <v>33</v>
      </c>
      <c r="D3992" s="0" t="n">
        <v>0</v>
      </c>
      <c r="E3992" s="0" t="n">
        <f aca="false">VLOOKUP(B3992,'MSA-Lookup'!$H$2:$I$86,2)</f>
        <v>4480</v>
      </c>
      <c r="F3992" s="0" t="n">
        <f aca="false">IF(C3992&gt;1,IF(C3992&lt;99,VLOOKUP(C3992,'MSA-Lookup'!$H$1:$I$86,2),C3992),C3992)</f>
        <v>7320</v>
      </c>
      <c r="G3992" s="0" t="n">
        <f aca="false">VLOOKUP(E3992,'MSA-Lookup'!$AA$1:$AB$25,2)</f>
        <v>4472</v>
      </c>
      <c r="H3992" s="0" t="n">
        <f aca="false">IF(C3992&gt;1,IF(C3992&lt;99,VLOOKUP(F3992,'MSA-Lookup'!$AA$1:$AB$25,2),C3992),C3992)</f>
        <v>7320</v>
      </c>
    </row>
    <row r="3993" customFormat="false" ht="12.75" hidden="false" customHeight="false" outlineLevel="0" collapsed="false">
      <c r="A3993" s="0" t="n">
        <f aca="false">B3993*1000+C3993</f>
        <v>58034</v>
      </c>
      <c r="B3993" s="0" t="n">
        <v>58</v>
      </c>
      <c r="C3993" s="0" t="n">
        <v>34</v>
      </c>
      <c r="D3993" s="0" t="n">
        <v>0</v>
      </c>
      <c r="E3993" s="0" t="n">
        <f aca="false">VLOOKUP(B3993,'MSA-Lookup'!$H$2:$I$86,2)</f>
        <v>4480</v>
      </c>
      <c r="F3993" s="0" t="n">
        <f aca="false">IF(C3993&gt;1,IF(C3993&lt;99,VLOOKUP(C3993,'MSA-Lookup'!$H$1:$I$86,2),C3993),C3993)</f>
        <v>7320</v>
      </c>
      <c r="G3993" s="0" t="n">
        <f aca="false">VLOOKUP(E3993,'MSA-Lookup'!$AA$1:$AB$25,2)</f>
        <v>4472</v>
      </c>
      <c r="H3993" s="0" t="n">
        <f aca="false">IF(C3993&gt;1,IF(C3993&lt;99,VLOOKUP(F3993,'MSA-Lookup'!$AA$1:$AB$25,2),C3993),C3993)</f>
        <v>7320</v>
      </c>
    </row>
    <row r="3994" customFormat="false" ht="12.75" hidden="false" customHeight="false" outlineLevel="0" collapsed="false">
      <c r="A3994" s="0" t="n">
        <f aca="false">B3994*1000+C3994</f>
        <v>58035</v>
      </c>
      <c r="B3994" s="0" t="n">
        <v>58</v>
      </c>
      <c r="C3994" s="0" t="n">
        <v>35</v>
      </c>
      <c r="D3994" s="0" t="n">
        <v>0</v>
      </c>
      <c r="E3994" s="0" t="n">
        <f aca="false">VLOOKUP(B3994,'MSA-Lookup'!$H$2:$I$86,2)</f>
        <v>4480</v>
      </c>
      <c r="F3994" s="0" t="n">
        <f aca="false">IF(C3994&gt;1,IF(C3994&lt;99,VLOOKUP(C3994,'MSA-Lookup'!$H$1:$I$86,2),C3994),C3994)</f>
        <v>7320</v>
      </c>
      <c r="G3994" s="0" t="n">
        <f aca="false">VLOOKUP(E3994,'MSA-Lookup'!$AA$1:$AB$25,2)</f>
        <v>4472</v>
      </c>
      <c r="H3994" s="0" t="n">
        <f aca="false">IF(C3994&gt;1,IF(C3994&lt;99,VLOOKUP(F3994,'MSA-Lookup'!$AA$1:$AB$25,2),C3994),C3994)</f>
        <v>7320</v>
      </c>
    </row>
    <row r="3995" customFormat="false" ht="12.75" hidden="false" customHeight="false" outlineLevel="0" collapsed="false">
      <c r="A3995" s="0" t="n">
        <f aca="false">B3995*1000+C3995</f>
        <v>58036</v>
      </c>
      <c r="B3995" s="0" t="n">
        <v>58</v>
      </c>
      <c r="C3995" s="0" t="n">
        <v>36</v>
      </c>
      <c r="D3995" s="0" t="n">
        <v>0</v>
      </c>
      <c r="E3995" s="0" t="n">
        <f aca="false">VLOOKUP(B3995,'MSA-Lookup'!$H$2:$I$86,2)</f>
        <v>4480</v>
      </c>
      <c r="F3995" s="0" t="n">
        <f aca="false">IF(C3995&gt;1,IF(C3995&lt;99,VLOOKUP(C3995,'MSA-Lookup'!$H$1:$I$86,2),C3995),C3995)</f>
        <v>7320</v>
      </c>
      <c r="G3995" s="0" t="n">
        <f aca="false">VLOOKUP(E3995,'MSA-Lookup'!$AA$1:$AB$25,2)</f>
        <v>4472</v>
      </c>
      <c r="H3995" s="0" t="n">
        <f aca="false">IF(C3995&gt;1,IF(C3995&lt;99,VLOOKUP(F3995,'MSA-Lookup'!$AA$1:$AB$25,2),C3995),C3995)</f>
        <v>7320</v>
      </c>
    </row>
    <row r="3996" customFormat="false" ht="12.75" hidden="false" customHeight="false" outlineLevel="0" collapsed="false">
      <c r="A3996" s="0" t="n">
        <f aca="false">B3996*1000+C3996</f>
        <v>58037</v>
      </c>
      <c r="B3996" s="0" t="n">
        <v>58</v>
      </c>
      <c r="C3996" s="0" t="n">
        <v>37</v>
      </c>
      <c r="D3996" s="0" t="n">
        <v>0</v>
      </c>
      <c r="E3996" s="0" t="n">
        <f aca="false">VLOOKUP(B3996,'MSA-Lookup'!$H$2:$I$86,2)</f>
        <v>4480</v>
      </c>
      <c r="F3996" s="0" t="n">
        <f aca="false">IF(C3996&gt;1,IF(C3996&lt;99,VLOOKUP(C3996,'MSA-Lookup'!$H$1:$I$86,2),C3996),C3996)</f>
        <v>7320</v>
      </c>
      <c r="G3996" s="0" t="n">
        <f aca="false">VLOOKUP(E3996,'MSA-Lookup'!$AA$1:$AB$25,2)</f>
        <v>4472</v>
      </c>
      <c r="H3996" s="0" t="n">
        <f aca="false">IF(C3996&gt;1,IF(C3996&lt;99,VLOOKUP(F3996,'MSA-Lookup'!$AA$1:$AB$25,2),C3996),C3996)</f>
        <v>7320</v>
      </c>
    </row>
    <row r="3997" customFormat="false" ht="12.75" hidden="false" customHeight="false" outlineLevel="0" collapsed="false">
      <c r="A3997" s="0" t="n">
        <f aca="false">B3997*1000+C3997</f>
        <v>58038</v>
      </c>
      <c r="B3997" s="0" t="n">
        <v>58</v>
      </c>
      <c r="C3997" s="0" t="n">
        <v>38</v>
      </c>
      <c r="D3997" s="0" t="n">
        <v>0</v>
      </c>
      <c r="E3997" s="0" t="n">
        <f aca="false">VLOOKUP(B3997,'MSA-Lookup'!$H$2:$I$86,2)</f>
        <v>4480</v>
      </c>
      <c r="F3997" s="0" t="n">
        <f aca="false">IF(C3997&gt;1,IF(C3997&lt;99,VLOOKUP(C3997,'MSA-Lookup'!$H$1:$I$86,2),C3997),C3997)</f>
        <v>7120</v>
      </c>
      <c r="G3997" s="0" t="n">
        <f aca="false">VLOOKUP(E3997,'MSA-Lookup'!$AA$1:$AB$25,2)</f>
        <v>4472</v>
      </c>
      <c r="H3997" s="0" t="n">
        <f aca="false">IF(C3997&gt;1,IF(C3997&lt;99,VLOOKUP(F3997,'MSA-Lookup'!$AA$1:$AB$25,2),C3997),C3997)</f>
        <v>7120</v>
      </c>
    </row>
    <row r="3998" customFormat="false" ht="12.75" hidden="false" customHeight="false" outlineLevel="0" collapsed="false">
      <c r="A3998" s="0" t="n">
        <f aca="false">B3998*1000+C3998</f>
        <v>58039</v>
      </c>
      <c r="B3998" s="0" t="n">
        <v>58</v>
      </c>
      <c r="C3998" s="0" t="n">
        <v>39</v>
      </c>
      <c r="D3998" s="0" t="n">
        <v>0</v>
      </c>
      <c r="E3998" s="0" t="n">
        <f aca="false">VLOOKUP(B3998,'MSA-Lookup'!$H$2:$I$86,2)</f>
        <v>4480</v>
      </c>
      <c r="F3998" s="0" t="n">
        <f aca="false">IF(C3998&gt;1,IF(C3998&lt;99,VLOOKUP(C3998,'MSA-Lookup'!$H$1:$I$86,2),C3998),C3998)</f>
        <v>7120</v>
      </c>
      <c r="G3998" s="0" t="n">
        <f aca="false">VLOOKUP(E3998,'MSA-Lookup'!$AA$1:$AB$25,2)</f>
        <v>4472</v>
      </c>
      <c r="H3998" s="0" t="n">
        <f aca="false">IF(C3998&gt;1,IF(C3998&lt;99,VLOOKUP(F3998,'MSA-Lookup'!$AA$1:$AB$25,2),C3998),C3998)</f>
        <v>7120</v>
      </c>
    </row>
    <row r="3999" customFormat="false" ht="12.75" hidden="false" customHeight="false" outlineLevel="0" collapsed="false">
      <c r="A3999" s="0" t="n">
        <f aca="false">B3999*1000+C3999</f>
        <v>58040</v>
      </c>
      <c r="B3999" s="0" t="n">
        <v>58</v>
      </c>
      <c r="C3999" s="0" t="n">
        <v>40</v>
      </c>
      <c r="D3999" s="0" t="n">
        <v>0</v>
      </c>
      <c r="E3999" s="0" t="n">
        <f aca="false">VLOOKUP(B3999,'MSA-Lookup'!$H$2:$I$86,2)</f>
        <v>4480</v>
      </c>
      <c r="F3999" s="0" t="n">
        <f aca="false">IF(C3999&gt;1,IF(C3999&lt;99,VLOOKUP(C3999,'MSA-Lookup'!$H$1:$I$86,2),C3999),C3999)</f>
        <v>2840</v>
      </c>
      <c r="G3999" s="0" t="n">
        <f aca="false">VLOOKUP(E3999,'MSA-Lookup'!$AA$1:$AB$25,2)</f>
        <v>4472</v>
      </c>
      <c r="H3999" s="0" t="n">
        <f aca="false">IF(C3999&gt;1,IF(C3999&lt;99,VLOOKUP(F3999,'MSA-Lookup'!$AA$1:$AB$25,2),C3999),C3999)</f>
        <v>2840</v>
      </c>
    </row>
    <row r="4000" customFormat="false" ht="12.75" hidden="false" customHeight="false" outlineLevel="0" collapsed="false">
      <c r="A4000" s="0" t="n">
        <f aca="false">B4000*1000+C4000</f>
        <v>58041</v>
      </c>
      <c r="B4000" s="0" t="n">
        <v>58</v>
      </c>
      <c r="C4000" s="0" t="n">
        <v>41</v>
      </c>
      <c r="D4000" s="0" t="n">
        <v>0</v>
      </c>
      <c r="E4000" s="0" t="n">
        <f aca="false">VLOOKUP(B4000,'MSA-Lookup'!$H$2:$I$86,2)</f>
        <v>4480</v>
      </c>
      <c r="F4000" s="0" t="n">
        <f aca="false">IF(C4000&gt;1,IF(C4000&lt;99,VLOOKUP(C4000,'MSA-Lookup'!$H$1:$I$86,2),C4000),C4000)</f>
        <v>2840</v>
      </c>
      <c r="G4000" s="0" t="n">
        <f aca="false">VLOOKUP(E4000,'MSA-Lookup'!$AA$1:$AB$25,2)</f>
        <v>4472</v>
      </c>
      <c r="H4000" s="0" t="n">
        <f aca="false">IF(C4000&gt;1,IF(C4000&lt;99,VLOOKUP(F4000,'MSA-Lookup'!$AA$1:$AB$25,2),C4000),C4000)</f>
        <v>2840</v>
      </c>
    </row>
    <row r="4001" customFormat="false" ht="12.75" hidden="false" customHeight="false" outlineLevel="0" collapsed="false">
      <c r="A4001" s="0" t="n">
        <f aca="false">B4001*1000+C4001</f>
        <v>58042</v>
      </c>
      <c r="B4001" s="0" t="n">
        <v>58</v>
      </c>
      <c r="C4001" s="0" t="n">
        <v>42</v>
      </c>
      <c r="D4001" s="0" t="n">
        <v>65</v>
      </c>
      <c r="E4001" s="0" t="n">
        <f aca="false">VLOOKUP(B4001,'MSA-Lookup'!$H$2:$I$86,2)</f>
        <v>4480</v>
      </c>
      <c r="F4001" s="0" t="n">
        <f aca="false">IF(C4001&gt;1,IF(C4001&lt;99,VLOOKUP(C4001,'MSA-Lookup'!$H$1:$I$86,2),C4001),C4001)</f>
        <v>360</v>
      </c>
      <c r="G4001" s="0" t="n">
        <f aca="false">VLOOKUP(E4001,'MSA-Lookup'!$AA$1:$AB$25,2)</f>
        <v>4472</v>
      </c>
      <c r="H4001" s="0" t="n">
        <f aca="false">IF(C4001&gt;1,IF(C4001&lt;99,VLOOKUP(F4001,'MSA-Lookup'!$AA$1:$AB$25,2),C4001),C4001)</f>
        <v>4472</v>
      </c>
    </row>
    <row r="4002" customFormat="false" ht="12.75" hidden="false" customHeight="false" outlineLevel="0" collapsed="false">
      <c r="A4002" s="0" t="n">
        <f aca="false">B4002*1000+C4002</f>
        <v>58043</v>
      </c>
      <c r="B4002" s="0" t="n">
        <v>58</v>
      </c>
      <c r="C4002" s="0" t="n">
        <v>43</v>
      </c>
      <c r="D4002" s="0" t="n">
        <v>0</v>
      </c>
      <c r="E4002" s="0" t="n">
        <f aca="false">VLOOKUP(B4002,'MSA-Lookup'!$H$2:$I$86,2)</f>
        <v>4480</v>
      </c>
      <c r="F4002" s="0" t="n">
        <f aca="false">IF(C4002&gt;1,IF(C4002&lt;99,VLOOKUP(C4002,'MSA-Lookup'!$H$1:$I$86,2),C4002),C4002)</f>
        <v>360</v>
      </c>
      <c r="G4002" s="0" t="n">
        <f aca="false">VLOOKUP(E4002,'MSA-Lookup'!$AA$1:$AB$25,2)</f>
        <v>4472</v>
      </c>
      <c r="H4002" s="0" t="n">
        <f aca="false">IF(C4002&gt;1,IF(C4002&lt;99,VLOOKUP(F4002,'MSA-Lookup'!$AA$1:$AB$25,2),C4002),C4002)</f>
        <v>4472</v>
      </c>
    </row>
    <row r="4003" customFormat="false" ht="12.75" hidden="false" customHeight="false" outlineLevel="0" collapsed="false">
      <c r="A4003" s="0" t="n">
        <f aca="false">B4003*1000+C4003</f>
        <v>58044</v>
      </c>
      <c r="B4003" s="0" t="n">
        <v>58</v>
      </c>
      <c r="C4003" s="0" t="n">
        <v>44</v>
      </c>
      <c r="D4003" s="0" t="n">
        <v>0</v>
      </c>
      <c r="E4003" s="0" t="n">
        <f aca="false">VLOOKUP(B4003,'MSA-Lookup'!$H$2:$I$86,2)</f>
        <v>4480</v>
      </c>
      <c r="F4003" s="0" t="n">
        <f aca="false">IF(C4003&gt;1,IF(C4003&lt;99,VLOOKUP(C4003,'MSA-Lookup'!$H$1:$I$86,2),C4003),C4003)</f>
        <v>360</v>
      </c>
      <c r="G4003" s="0" t="n">
        <f aca="false">VLOOKUP(E4003,'MSA-Lookup'!$AA$1:$AB$25,2)</f>
        <v>4472</v>
      </c>
      <c r="H4003" s="0" t="n">
        <f aca="false">IF(C4003&gt;1,IF(C4003&lt;99,VLOOKUP(F4003,'MSA-Lookup'!$AA$1:$AB$25,2),C4003),C4003)</f>
        <v>4472</v>
      </c>
    </row>
    <row r="4004" customFormat="false" ht="12.75" hidden="false" customHeight="false" outlineLevel="0" collapsed="false">
      <c r="A4004" s="0" t="n">
        <f aca="false">B4004*1000+C4004</f>
        <v>58045</v>
      </c>
      <c r="B4004" s="0" t="n">
        <v>58</v>
      </c>
      <c r="C4004" s="0" t="n">
        <v>45</v>
      </c>
      <c r="D4004" s="0" t="n">
        <v>143</v>
      </c>
      <c r="E4004" s="0" t="n">
        <f aca="false">VLOOKUP(B4004,'MSA-Lookup'!$H$2:$I$86,2)</f>
        <v>4480</v>
      </c>
      <c r="F4004" s="0" t="n">
        <f aca="false">IF(C4004&gt;1,IF(C4004&lt;99,VLOOKUP(C4004,'MSA-Lookup'!$H$1:$I$86,2),C4004),C4004)</f>
        <v>360</v>
      </c>
      <c r="G4004" s="0" t="n">
        <f aca="false">VLOOKUP(E4004,'MSA-Lookup'!$AA$1:$AB$25,2)</f>
        <v>4472</v>
      </c>
      <c r="H4004" s="0" t="n">
        <f aca="false">IF(C4004&gt;1,IF(C4004&lt;99,VLOOKUP(F4004,'MSA-Lookup'!$AA$1:$AB$25,2),C4004),C4004)</f>
        <v>4472</v>
      </c>
    </row>
    <row r="4005" customFormat="false" ht="12.75" hidden="false" customHeight="false" outlineLevel="0" collapsed="false">
      <c r="A4005" s="0" t="n">
        <f aca="false">B4005*1000+C4005</f>
        <v>58046</v>
      </c>
      <c r="B4005" s="0" t="n">
        <v>58</v>
      </c>
      <c r="C4005" s="0" t="n">
        <v>46</v>
      </c>
      <c r="D4005" s="0" t="n">
        <v>0</v>
      </c>
      <c r="E4005" s="0" t="n">
        <f aca="false">VLOOKUP(B4005,'MSA-Lookup'!$H$2:$I$86,2)</f>
        <v>4480</v>
      </c>
      <c r="F4005" s="0" t="n">
        <f aca="false">IF(C4005&gt;1,IF(C4005&lt;99,VLOOKUP(C4005,'MSA-Lookup'!$H$1:$I$86,2),C4005),C4005)</f>
        <v>360</v>
      </c>
      <c r="G4005" s="0" t="n">
        <f aca="false">VLOOKUP(E4005,'MSA-Lookup'!$AA$1:$AB$25,2)</f>
        <v>4472</v>
      </c>
      <c r="H4005" s="0" t="n">
        <f aca="false">IF(C4005&gt;1,IF(C4005&lt;99,VLOOKUP(F4005,'MSA-Lookup'!$AA$1:$AB$25,2),C4005),C4005)</f>
        <v>4472</v>
      </c>
    </row>
    <row r="4006" customFormat="false" ht="12.75" hidden="false" customHeight="false" outlineLevel="0" collapsed="false">
      <c r="A4006" s="0" t="n">
        <f aca="false">B4006*1000+C4006</f>
        <v>58047</v>
      </c>
      <c r="B4006" s="0" t="n">
        <v>58</v>
      </c>
      <c r="C4006" s="0" t="n">
        <v>47</v>
      </c>
      <c r="D4006" s="0" t="n">
        <v>0</v>
      </c>
      <c r="E4006" s="0" t="n">
        <f aca="false">VLOOKUP(B4006,'MSA-Lookup'!$H$2:$I$86,2)</f>
        <v>4480</v>
      </c>
      <c r="F4006" s="0" t="n">
        <f aca="false">IF(C4006&gt;1,IF(C4006&lt;99,VLOOKUP(C4006,'MSA-Lookup'!$H$1:$I$86,2),C4006),C4006)</f>
        <v>360</v>
      </c>
      <c r="G4006" s="0" t="n">
        <f aca="false">VLOOKUP(E4006,'MSA-Lookup'!$AA$1:$AB$25,2)</f>
        <v>4472</v>
      </c>
      <c r="H4006" s="0" t="n">
        <f aca="false">IF(C4006&gt;1,IF(C4006&lt;99,VLOOKUP(F4006,'MSA-Lookup'!$AA$1:$AB$25,2),C4006),C4006)</f>
        <v>4472</v>
      </c>
    </row>
    <row r="4007" customFormat="false" ht="12.75" hidden="false" customHeight="false" outlineLevel="0" collapsed="false">
      <c r="A4007" s="0" t="n">
        <f aca="false">B4007*1000+C4007</f>
        <v>58048</v>
      </c>
      <c r="B4007" s="0" t="n">
        <v>58</v>
      </c>
      <c r="C4007" s="0" t="n">
        <v>48</v>
      </c>
      <c r="D4007" s="0" t="n">
        <v>702</v>
      </c>
      <c r="E4007" s="0" t="n">
        <f aca="false">VLOOKUP(B4007,'MSA-Lookup'!$H$2:$I$86,2)</f>
        <v>4480</v>
      </c>
      <c r="F4007" s="0" t="n">
        <f aca="false">IF(C4007&gt;1,IF(C4007&lt;99,VLOOKUP(C4007,'MSA-Lookup'!$H$1:$I$86,2),C4007),C4007)</f>
        <v>360</v>
      </c>
      <c r="G4007" s="0" t="n">
        <f aca="false">VLOOKUP(E4007,'MSA-Lookup'!$AA$1:$AB$25,2)</f>
        <v>4472</v>
      </c>
      <c r="H4007" s="0" t="n">
        <f aca="false">IF(C4007&gt;1,IF(C4007&lt;99,VLOOKUP(F4007,'MSA-Lookup'!$AA$1:$AB$25,2),C4007),C4007)</f>
        <v>4472</v>
      </c>
    </row>
    <row r="4008" customFormat="false" ht="12.75" hidden="false" customHeight="false" outlineLevel="0" collapsed="false">
      <c r="A4008" s="0" t="n">
        <f aca="false">B4008*1000+C4008</f>
        <v>58049</v>
      </c>
      <c r="B4008" s="0" t="n">
        <v>58</v>
      </c>
      <c r="C4008" s="0" t="n">
        <v>49</v>
      </c>
      <c r="D4008" s="0" t="n">
        <v>0</v>
      </c>
      <c r="E4008" s="0" t="n">
        <f aca="false">VLOOKUP(B4008,'MSA-Lookup'!$H$2:$I$86,2)</f>
        <v>4480</v>
      </c>
      <c r="F4008" s="0" t="n">
        <f aca="false">IF(C4008&gt;1,IF(C4008&lt;99,VLOOKUP(C4008,'MSA-Lookup'!$H$1:$I$86,2),C4008),C4008)</f>
        <v>7400</v>
      </c>
      <c r="G4008" s="0" t="n">
        <f aca="false">VLOOKUP(E4008,'MSA-Lookup'!$AA$1:$AB$25,2)</f>
        <v>4472</v>
      </c>
      <c r="H4008" s="0" t="n">
        <f aca="false">IF(C4008&gt;1,IF(C4008&lt;99,VLOOKUP(F4008,'MSA-Lookup'!$AA$1:$AB$25,2),C4008),C4008)</f>
        <v>7362</v>
      </c>
    </row>
    <row r="4009" customFormat="false" ht="12.75" hidden="false" customHeight="false" outlineLevel="0" collapsed="false">
      <c r="A4009" s="0" t="n">
        <f aca="false">B4009*1000+C4009</f>
        <v>58050</v>
      </c>
      <c r="B4009" s="0" t="n">
        <v>58</v>
      </c>
      <c r="C4009" s="0" t="n">
        <v>50</v>
      </c>
      <c r="D4009" s="0" t="n">
        <v>0</v>
      </c>
      <c r="E4009" s="0" t="n">
        <f aca="false">VLOOKUP(B4009,'MSA-Lookup'!$H$2:$I$86,2)</f>
        <v>4480</v>
      </c>
      <c r="F4009" s="0" t="n">
        <f aca="false">IF(C4009&gt;1,IF(C4009&lt;99,VLOOKUP(C4009,'MSA-Lookup'!$H$1:$I$86,2),C4009),C4009)</f>
        <v>7400</v>
      </c>
      <c r="G4009" s="0" t="n">
        <f aca="false">VLOOKUP(E4009,'MSA-Lookup'!$AA$1:$AB$25,2)</f>
        <v>4472</v>
      </c>
      <c r="H4009" s="0" t="n">
        <f aca="false">IF(C4009&gt;1,IF(C4009&lt;99,VLOOKUP(F4009,'MSA-Lookup'!$AA$1:$AB$25,2),C4009),C4009)</f>
        <v>7362</v>
      </c>
    </row>
    <row r="4010" customFormat="false" ht="12.75" hidden="false" customHeight="false" outlineLevel="0" collapsed="false">
      <c r="A4010" s="0" t="n">
        <f aca="false">B4010*1000+C4010</f>
        <v>58051</v>
      </c>
      <c r="B4010" s="0" t="n">
        <v>58</v>
      </c>
      <c r="C4010" s="0" t="n">
        <v>51</v>
      </c>
      <c r="D4010" s="0" t="n">
        <v>0</v>
      </c>
      <c r="E4010" s="0" t="n">
        <f aca="false">VLOOKUP(B4010,'MSA-Lookup'!$H$2:$I$86,2)</f>
        <v>4480</v>
      </c>
      <c r="F4010" s="0" t="n">
        <f aca="false">IF(C4010&gt;1,IF(C4010&lt;99,VLOOKUP(C4010,'MSA-Lookup'!$H$1:$I$86,2),C4010),C4010)</f>
        <v>7400</v>
      </c>
      <c r="G4010" s="0" t="n">
        <f aca="false">VLOOKUP(E4010,'MSA-Lookup'!$AA$1:$AB$25,2)</f>
        <v>4472</v>
      </c>
      <c r="H4010" s="0" t="n">
        <f aca="false">IF(C4010&gt;1,IF(C4010&lt;99,VLOOKUP(F4010,'MSA-Lookup'!$AA$1:$AB$25,2),C4010),C4010)</f>
        <v>7362</v>
      </c>
    </row>
    <row r="4011" customFormat="false" ht="12.75" hidden="false" customHeight="false" outlineLevel="0" collapsed="false">
      <c r="A4011" s="0" t="n">
        <f aca="false">B4011*1000+C4011</f>
        <v>58052</v>
      </c>
      <c r="B4011" s="0" t="n">
        <v>58</v>
      </c>
      <c r="C4011" s="0" t="n">
        <v>52</v>
      </c>
      <c r="D4011" s="0" t="n">
        <v>260</v>
      </c>
      <c r="E4011" s="0" t="n">
        <f aca="false">VLOOKUP(B4011,'MSA-Lookup'!$H$2:$I$86,2)</f>
        <v>4480</v>
      </c>
      <c r="F4011" s="0" t="n">
        <f aca="false">IF(C4011&gt;1,IF(C4011&lt;99,VLOOKUP(C4011,'MSA-Lookup'!$H$1:$I$86,2),C4011),C4011)</f>
        <v>4480</v>
      </c>
      <c r="G4011" s="0" t="n">
        <f aca="false">VLOOKUP(E4011,'MSA-Lookup'!$AA$1:$AB$25,2)</f>
        <v>4472</v>
      </c>
      <c r="H4011" s="0" t="n">
        <f aca="false">IF(C4011&gt;1,IF(C4011&lt;99,VLOOKUP(F4011,'MSA-Lookup'!$AA$1:$AB$25,2),C4011),C4011)</f>
        <v>4472</v>
      </c>
    </row>
    <row r="4012" customFormat="false" ht="12.75" hidden="false" customHeight="false" outlineLevel="0" collapsed="false">
      <c r="A4012" s="0" t="n">
        <f aca="false">B4012*1000+C4012</f>
        <v>58053</v>
      </c>
      <c r="B4012" s="0" t="n">
        <v>58</v>
      </c>
      <c r="C4012" s="0" t="n">
        <v>53</v>
      </c>
      <c r="D4012" s="0" t="n">
        <v>260</v>
      </c>
      <c r="E4012" s="0" t="n">
        <f aca="false">VLOOKUP(B4012,'MSA-Lookup'!$H$2:$I$86,2)</f>
        <v>4480</v>
      </c>
      <c r="F4012" s="0" t="n">
        <f aca="false">IF(C4012&gt;1,IF(C4012&lt;99,VLOOKUP(C4012,'MSA-Lookup'!$H$1:$I$86,2),C4012),C4012)</f>
        <v>4480</v>
      </c>
      <c r="G4012" s="0" t="n">
        <f aca="false">VLOOKUP(E4012,'MSA-Lookup'!$AA$1:$AB$25,2)</f>
        <v>4472</v>
      </c>
      <c r="H4012" s="0" t="n">
        <f aca="false">IF(C4012&gt;1,IF(C4012&lt;99,VLOOKUP(F4012,'MSA-Lookup'!$AA$1:$AB$25,2),C4012),C4012)</f>
        <v>4472</v>
      </c>
    </row>
    <row r="4013" customFormat="false" ht="12.75" hidden="false" customHeight="false" outlineLevel="0" collapsed="false">
      <c r="A4013" s="0" t="n">
        <f aca="false">B4013*1000+C4013</f>
        <v>58054</v>
      </c>
      <c r="B4013" s="0" t="n">
        <v>58</v>
      </c>
      <c r="C4013" s="0" t="n">
        <v>54</v>
      </c>
      <c r="D4013" s="0" t="n">
        <v>2288</v>
      </c>
      <c r="E4013" s="0" t="n">
        <f aca="false">VLOOKUP(B4013,'MSA-Lookup'!$H$2:$I$86,2)</f>
        <v>4480</v>
      </c>
      <c r="F4013" s="0" t="n">
        <f aca="false">IF(C4013&gt;1,IF(C4013&lt;99,VLOOKUP(C4013,'MSA-Lookup'!$H$1:$I$86,2),C4013),C4013)</f>
        <v>4480</v>
      </c>
      <c r="G4013" s="0" t="n">
        <f aca="false">VLOOKUP(E4013,'MSA-Lookup'!$AA$1:$AB$25,2)</f>
        <v>4472</v>
      </c>
      <c r="H4013" s="0" t="n">
        <f aca="false">IF(C4013&gt;1,IF(C4013&lt;99,VLOOKUP(F4013,'MSA-Lookup'!$AA$1:$AB$25,2),C4013),C4013)</f>
        <v>4472</v>
      </c>
    </row>
    <row r="4014" customFormat="false" ht="12.75" hidden="false" customHeight="false" outlineLevel="0" collapsed="false">
      <c r="A4014" s="0" t="n">
        <f aca="false">B4014*1000+C4014</f>
        <v>58055</v>
      </c>
      <c r="B4014" s="0" t="n">
        <v>58</v>
      </c>
      <c r="C4014" s="0" t="n">
        <v>55</v>
      </c>
      <c r="D4014" s="0" t="n">
        <v>338</v>
      </c>
      <c r="E4014" s="0" t="n">
        <f aca="false">VLOOKUP(B4014,'MSA-Lookup'!$H$2:$I$86,2)</f>
        <v>4480</v>
      </c>
      <c r="F4014" s="0" t="n">
        <f aca="false">IF(C4014&gt;1,IF(C4014&lt;99,VLOOKUP(C4014,'MSA-Lookup'!$H$1:$I$86,2),C4014),C4014)</f>
        <v>4480</v>
      </c>
      <c r="G4014" s="0" t="n">
        <f aca="false">VLOOKUP(E4014,'MSA-Lookup'!$AA$1:$AB$25,2)</f>
        <v>4472</v>
      </c>
      <c r="H4014" s="0" t="n">
        <f aca="false">IF(C4014&gt;1,IF(C4014&lt;99,VLOOKUP(F4014,'MSA-Lookup'!$AA$1:$AB$25,2),C4014),C4014)</f>
        <v>4472</v>
      </c>
    </row>
    <row r="4015" customFormat="false" ht="12.75" hidden="false" customHeight="false" outlineLevel="0" collapsed="false">
      <c r="A4015" s="0" t="n">
        <f aca="false">B4015*1000+C4015</f>
        <v>58056</v>
      </c>
      <c r="B4015" s="0" t="n">
        <v>58</v>
      </c>
      <c r="C4015" s="0" t="n">
        <v>56</v>
      </c>
      <c r="D4015" s="0" t="n">
        <v>273</v>
      </c>
      <c r="E4015" s="0" t="n">
        <f aca="false">VLOOKUP(B4015,'MSA-Lookup'!$H$2:$I$86,2)</f>
        <v>4480</v>
      </c>
      <c r="F4015" s="0" t="n">
        <f aca="false">IF(C4015&gt;1,IF(C4015&lt;99,VLOOKUP(C4015,'MSA-Lookup'!$H$1:$I$86,2),C4015),C4015)</f>
        <v>4480</v>
      </c>
      <c r="G4015" s="0" t="n">
        <f aca="false">VLOOKUP(E4015,'MSA-Lookup'!$AA$1:$AB$25,2)</f>
        <v>4472</v>
      </c>
      <c r="H4015" s="0" t="n">
        <f aca="false">IF(C4015&gt;1,IF(C4015&lt;99,VLOOKUP(F4015,'MSA-Lookup'!$AA$1:$AB$25,2),C4015),C4015)</f>
        <v>4472</v>
      </c>
    </row>
    <row r="4016" customFormat="false" ht="12.75" hidden="false" customHeight="false" outlineLevel="0" collapsed="false">
      <c r="A4016" s="0" t="n">
        <f aca="false">B4016*1000+C4016</f>
        <v>58057</v>
      </c>
      <c r="B4016" s="0" t="n">
        <v>58</v>
      </c>
      <c r="C4016" s="0" t="n">
        <v>57</v>
      </c>
      <c r="D4016" s="0" t="n">
        <v>234</v>
      </c>
      <c r="E4016" s="0" t="n">
        <f aca="false">VLOOKUP(B4016,'MSA-Lookup'!$H$2:$I$86,2)</f>
        <v>4480</v>
      </c>
      <c r="F4016" s="0" t="n">
        <f aca="false">IF(C4016&gt;1,IF(C4016&lt;99,VLOOKUP(C4016,'MSA-Lookup'!$H$1:$I$86,2),C4016),C4016)</f>
        <v>4480</v>
      </c>
      <c r="G4016" s="0" t="n">
        <f aca="false">VLOOKUP(E4016,'MSA-Lookup'!$AA$1:$AB$25,2)</f>
        <v>4472</v>
      </c>
      <c r="H4016" s="0" t="n">
        <f aca="false">IF(C4016&gt;1,IF(C4016&lt;99,VLOOKUP(F4016,'MSA-Lookup'!$AA$1:$AB$25,2),C4016),C4016)</f>
        <v>4472</v>
      </c>
    </row>
    <row r="4017" customFormat="false" ht="12.75" hidden="false" customHeight="false" outlineLevel="0" collapsed="false">
      <c r="A4017" s="0" t="n">
        <f aca="false">B4017*1000+C4017</f>
        <v>58058</v>
      </c>
      <c r="B4017" s="0" t="n">
        <v>58</v>
      </c>
      <c r="C4017" s="0" t="n">
        <v>58</v>
      </c>
      <c r="D4017" s="0" t="n">
        <v>7917</v>
      </c>
      <c r="E4017" s="0" t="n">
        <f aca="false">VLOOKUP(B4017,'MSA-Lookup'!$H$2:$I$86,2)</f>
        <v>4480</v>
      </c>
      <c r="F4017" s="0" t="n">
        <f aca="false">IF(C4017&gt;1,IF(C4017&lt;99,VLOOKUP(C4017,'MSA-Lookup'!$H$1:$I$86,2),C4017),C4017)</f>
        <v>4480</v>
      </c>
      <c r="G4017" s="0" t="n">
        <f aca="false">VLOOKUP(E4017,'MSA-Lookup'!$AA$1:$AB$25,2)</f>
        <v>4472</v>
      </c>
      <c r="H4017" s="0" t="n">
        <f aca="false">IF(C4017&gt;1,IF(C4017&lt;99,VLOOKUP(F4017,'MSA-Lookup'!$AA$1:$AB$25,2),C4017),C4017)</f>
        <v>4472</v>
      </c>
    </row>
    <row r="4018" customFormat="false" ht="12.75" hidden="false" customHeight="false" outlineLevel="0" collapsed="false">
      <c r="A4018" s="0" t="n">
        <f aca="false">B4018*1000+C4018</f>
        <v>58059</v>
      </c>
      <c r="B4018" s="0" t="n">
        <v>58</v>
      </c>
      <c r="C4018" s="0" t="n">
        <v>59</v>
      </c>
      <c r="D4018" s="0" t="n">
        <v>91</v>
      </c>
      <c r="E4018" s="0" t="n">
        <f aca="false">VLOOKUP(B4018,'MSA-Lookup'!$H$2:$I$86,2)</f>
        <v>4480</v>
      </c>
      <c r="F4018" s="0" t="n">
        <f aca="false">IF(C4018&gt;1,IF(C4018&lt;99,VLOOKUP(C4018,'MSA-Lookup'!$H$1:$I$86,2),C4018),C4018)</f>
        <v>4480</v>
      </c>
      <c r="G4018" s="0" t="n">
        <f aca="false">VLOOKUP(E4018,'MSA-Lookup'!$AA$1:$AB$25,2)</f>
        <v>4472</v>
      </c>
      <c r="H4018" s="0" t="n">
        <f aca="false">IF(C4018&gt;1,IF(C4018&lt;99,VLOOKUP(F4018,'MSA-Lookup'!$AA$1:$AB$25,2),C4018),C4018)</f>
        <v>4472</v>
      </c>
    </row>
    <row r="4019" customFormat="false" ht="12.75" hidden="false" customHeight="false" outlineLevel="0" collapsed="false">
      <c r="A4019" s="0" t="n">
        <f aca="false">B4019*1000+C4019</f>
        <v>58060</v>
      </c>
      <c r="B4019" s="0" t="n">
        <v>58</v>
      </c>
      <c r="C4019" s="0" t="n">
        <v>60</v>
      </c>
      <c r="D4019" s="0" t="n">
        <v>130</v>
      </c>
      <c r="E4019" s="0" t="n">
        <f aca="false">VLOOKUP(B4019,'MSA-Lookup'!$H$2:$I$86,2)</f>
        <v>4480</v>
      </c>
      <c r="F4019" s="0" t="n">
        <f aca="false">IF(C4019&gt;1,IF(C4019&lt;99,VLOOKUP(C4019,'MSA-Lookup'!$H$1:$I$86,2),C4019),C4019)</f>
        <v>4480</v>
      </c>
      <c r="G4019" s="0" t="n">
        <f aca="false">VLOOKUP(E4019,'MSA-Lookup'!$AA$1:$AB$25,2)</f>
        <v>4472</v>
      </c>
      <c r="H4019" s="0" t="n">
        <f aca="false">IF(C4019&gt;1,IF(C4019&lt;99,VLOOKUP(F4019,'MSA-Lookup'!$AA$1:$AB$25,2),C4019),C4019)</f>
        <v>4472</v>
      </c>
    </row>
    <row r="4020" customFormat="false" ht="12.75" hidden="false" customHeight="false" outlineLevel="0" collapsed="false">
      <c r="A4020" s="0" t="n">
        <f aca="false">B4020*1000+C4020</f>
        <v>58061</v>
      </c>
      <c r="B4020" s="0" t="n">
        <v>58</v>
      </c>
      <c r="C4020" s="0" t="n">
        <v>61</v>
      </c>
      <c r="D4020" s="0" t="n">
        <v>260</v>
      </c>
      <c r="E4020" s="0" t="n">
        <f aca="false">VLOOKUP(B4020,'MSA-Lookup'!$H$2:$I$86,2)</f>
        <v>4480</v>
      </c>
      <c r="F4020" s="0" t="n">
        <f aca="false">IF(C4020&gt;1,IF(C4020&lt;99,VLOOKUP(C4020,'MSA-Lookup'!$H$1:$I$86,2),C4020),C4020)</f>
        <v>4480</v>
      </c>
      <c r="G4020" s="0" t="n">
        <f aca="false">VLOOKUP(E4020,'MSA-Lookup'!$AA$1:$AB$25,2)</f>
        <v>4472</v>
      </c>
      <c r="H4020" s="0" t="n">
        <f aca="false">IF(C4020&gt;1,IF(C4020&lt;99,VLOOKUP(F4020,'MSA-Lookup'!$AA$1:$AB$25,2),C4020),C4020)</f>
        <v>4472</v>
      </c>
    </row>
    <row r="4021" customFormat="false" ht="12.75" hidden="false" customHeight="false" outlineLevel="0" collapsed="false">
      <c r="A4021" s="0" t="n">
        <f aca="false">B4021*1000+C4021</f>
        <v>58062</v>
      </c>
      <c r="B4021" s="0" t="n">
        <v>58</v>
      </c>
      <c r="C4021" s="0" t="n">
        <v>62</v>
      </c>
      <c r="D4021" s="0" t="n">
        <v>364</v>
      </c>
      <c r="E4021" s="0" t="n">
        <f aca="false">VLOOKUP(B4021,'MSA-Lookup'!$H$2:$I$86,2)</f>
        <v>4480</v>
      </c>
      <c r="F4021" s="0" t="n">
        <f aca="false">IF(C4021&gt;1,IF(C4021&lt;99,VLOOKUP(C4021,'MSA-Lookup'!$H$1:$I$86,2),C4021),C4021)</f>
        <v>4480</v>
      </c>
      <c r="G4021" s="0" t="n">
        <f aca="false">VLOOKUP(E4021,'MSA-Lookup'!$AA$1:$AB$25,2)</f>
        <v>4472</v>
      </c>
      <c r="H4021" s="0" t="n">
        <f aca="false">IF(C4021&gt;1,IF(C4021&lt;99,VLOOKUP(F4021,'MSA-Lookup'!$AA$1:$AB$25,2),C4021),C4021)</f>
        <v>4472</v>
      </c>
    </row>
    <row r="4022" customFormat="false" ht="12.75" hidden="false" customHeight="false" outlineLevel="0" collapsed="false">
      <c r="A4022" s="0" t="n">
        <f aca="false">B4022*1000+C4022</f>
        <v>58063</v>
      </c>
      <c r="B4022" s="0" t="n">
        <v>58</v>
      </c>
      <c r="C4022" s="0" t="n">
        <v>63</v>
      </c>
      <c r="D4022" s="0" t="n">
        <v>780</v>
      </c>
      <c r="E4022" s="0" t="n">
        <f aca="false">VLOOKUP(B4022,'MSA-Lookup'!$H$2:$I$86,2)</f>
        <v>4480</v>
      </c>
      <c r="F4022" s="0" t="n">
        <f aca="false">IF(C4022&gt;1,IF(C4022&lt;99,VLOOKUP(C4022,'MSA-Lookup'!$H$1:$I$86,2),C4022),C4022)</f>
        <v>4480</v>
      </c>
      <c r="G4022" s="0" t="n">
        <f aca="false">VLOOKUP(E4022,'MSA-Lookup'!$AA$1:$AB$25,2)</f>
        <v>4472</v>
      </c>
      <c r="H4022" s="0" t="n">
        <f aca="false">IF(C4022&gt;1,IF(C4022&lt;99,VLOOKUP(F4022,'MSA-Lookup'!$AA$1:$AB$25,2),C4022),C4022)</f>
        <v>4472</v>
      </c>
    </row>
    <row r="4023" customFormat="false" ht="12.75" hidden="false" customHeight="false" outlineLevel="0" collapsed="false">
      <c r="A4023" s="0" t="n">
        <f aca="false">B4023*1000+C4023</f>
        <v>58064</v>
      </c>
      <c r="B4023" s="0" t="n">
        <v>58</v>
      </c>
      <c r="C4023" s="0" t="n">
        <v>64</v>
      </c>
      <c r="D4023" s="0" t="n">
        <v>17537</v>
      </c>
      <c r="E4023" s="0" t="n">
        <f aca="false">VLOOKUP(B4023,'MSA-Lookup'!$H$2:$I$86,2)</f>
        <v>4480</v>
      </c>
      <c r="F4023" s="0" t="n">
        <f aca="false">IF(C4023&gt;1,IF(C4023&lt;99,VLOOKUP(C4023,'MSA-Lookup'!$H$1:$I$86,2),C4023),C4023)</f>
        <v>4480</v>
      </c>
      <c r="G4023" s="0" t="n">
        <f aca="false">VLOOKUP(E4023,'MSA-Lookup'!$AA$1:$AB$25,2)</f>
        <v>4472</v>
      </c>
      <c r="H4023" s="0" t="n">
        <f aca="false">IF(C4023&gt;1,IF(C4023&lt;99,VLOOKUP(F4023,'MSA-Lookup'!$AA$1:$AB$25,2),C4023),C4023)</f>
        <v>4472</v>
      </c>
    </row>
    <row r="4024" customFormat="false" ht="12.75" hidden="false" customHeight="false" outlineLevel="0" collapsed="false">
      <c r="A4024" s="0" t="n">
        <f aca="false">B4024*1000+C4024</f>
        <v>58065</v>
      </c>
      <c r="B4024" s="0" t="n">
        <v>58</v>
      </c>
      <c r="C4024" s="0" t="n">
        <v>65</v>
      </c>
      <c r="D4024" s="0" t="n">
        <v>6487</v>
      </c>
      <c r="E4024" s="0" t="n">
        <f aca="false">VLOOKUP(B4024,'MSA-Lookup'!$H$2:$I$86,2)</f>
        <v>4480</v>
      </c>
      <c r="F4024" s="0" t="n">
        <f aca="false">IF(C4024&gt;1,IF(C4024&lt;99,VLOOKUP(C4024,'MSA-Lookup'!$H$1:$I$86,2),C4024),C4024)</f>
        <v>4480</v>
      </c>
      <c r="G4024" s="0" t="n">
        <f aca="false">VLOOKUP(E4024,'MSA-Lookup'!$AA$1:$AB$25,2)</f>
        <v>4472</v>
      </c>
      <c r="H4024" s="0" t="n">
        <f aca="false">IF(C4024&gt;1,IF(C4024&lt;99,VLOOKUP(F4024,'MSA-Lookup'!$AA$1:$AB$25,2),C4024),C4024)</f>
        <v>4472</v>
      </c>
    </row>
    <row r="4025" customFormat="false" ht="12.75" hidden="false" customHeight="false" outlineLevel="0" collapsed="false">
      <c r="A4025" s="0" t="n">
        <f aca="false">B4025*1000+C4025</f>
        <v>58066</v>
      </c>
      <c r="B4025" s="0" t="n">
        <v>58</v>
      </c>
      <c r="C4025" s="0" t="n">
        <v>66</v>
      </c>
      <c r="D4025" s="0" t="n">
        <v>286</v>
      </c>
      <c r="E4025" s="0" t="n">
        <f aca="false">VLOOKUP(B4025,'MSA-Lookup'!$H$2:$I$86,2)</f>
        <v>4480</v>
      </c>
      <c r="F4025" s="0" t="n">
        <f aca="false">IF(C4025&gt;1,IF(C4025&lt;99,VLOOKUP(C4025,'MSA-Lookup'!$H$1:$I$86,2),C4025),C4025)</f>
        <v>4480</v>
      </c>
      <c r="G4025" s="0" t="n">
        <f aca="false">VLOOKUP(E4025,'MSA-Lookup'!$AA$1:$AB$25,2)</f>
        <v>4472</v>
      </c>
      <c r="H4025" s="0" t="n">
        <f aca="false">IF(C4025&gt;1,IF(C4025&lt;99,VLOOKUP(F4025,'MSA-Lookup'!$AA$1:$AB$25,2),C4025),C4025)</f>
        <v>4472</v>
      </c>
    </row>
    <row r="4026" customFormat="false" ht="12.75" hidden="false" customHeight="false" outlineLevel="0" collapsed="false">
      <c r="A4026" s="0" t="n">
        <f aca="false">B4026*1000+C4026</f>
        <v>58067</v>
      </c>
      <c r="B4026" s="0" t="n">
        <v>58</v>
      </c>
      <c r="C4026" s="0" t="n">
        <v>67</v>
      </c>
      <c r="D4026" s="0" t="n">
        <v>0</v>
      </c>
      <c r="E4026" s="0" t="n">
        <f aca="false">VLOOKUP(B4026,'MSA-Lookup'!$H$2:$I$86,2)</f>
        <v>4480</v>
      </c>
      <c r="F4026" s="0" t="n">
        <f aca="false">IF(C4026&gt;1,IF(C4026&lt;99,VLOOKUP(C4026,'MSA-Lookup'!$H$1:$I$86,2),C4026),C4026)</f>
        <v>6000</v>
      </c>
      <c r="G4026" s="0" t="n">
        <f aca="false">VLOOKUP(E4026,'MSA-Lookup'!$AA$1:$AB$25,2)</f>
        <v>4472</v>
      </c>
      <c r="H4026" s="0" t="n">
        <f aca="false">IF(C4026&gt;1,IF(C4026&lt;99,VLOOKUP(F4026,'MSA-Lookup'!$AA$1:$AB$25,2),C4026),C4026)</f>
        <v>4472</v>
      </c>
    </row>
    <row r="4027" customFormat="false" ht="12.75" hidden="false" customHeight="false" outlineLevel="0" collapsed="false">
      <c r="A4027" s="0" t="n">
        <f aca="false">B4027*1000+C4027</f>
        <v>58068</v>
      </c>
      <c r="B4027" s="0" t="n">
        <v>58</v>
      </c>
      <c r="C4027" s="0" t="n">
        <v>68</v>
      </c>
      <c r="D4027" s="0" t="n">
        <v>104</v>
      </c>
      <c r="E4027" s="0" t="n">
        <f aca="false">VLOOKUP(B4027,'MSA-Lookup'!$H$2:$I$86,2)</f>
        <v>4480</v>
      </c>
      <c r="F4027" s="0" t="n">
        <f aca="false">IF(C4027&gt;1,IF(C4027&lt;99,VLOOKUP(C4027,'MSA-Lookup'!$H$1:$I$86,2),C4027),C4027)</f>
        <v>6780</v>
      </c>
      <c r="G4027" s="0" t="n">
        <f aca="false">VLOOKUP(E4027,'MSA-Lookup'!$AA$1:$AB$25,2)</f>
        <v>4472</v>
      </c>
      <c r="H4027" s="0" t="n">
        <f aca="false">IF(C4027&gt;1,IF(C4027&lt;99,VLOOKUP(F4027,'MSA-Lookup'!$AA$1:$AB$25,2),C4027),C4027)</f>
        <v>4472</v>
      </c>
    </row>
    <row r="4028" customFormat="false" ht="12.75" hidden="false" customHeight="false" outlineLevel="0" collapsed="false">
      <c r="A4028" s="0" t="n">
        <f aca="false">B4028*1000+C4028</f>
        <v>58069</v>
      </c>
      <c r="B4028" s="0" t="n">
        <v>58</v>
      </c>
      <c r="C4028" s="0" t="n">
        <v>69</v>
      </c>
      <c r="D4028" s="0" t="n">
        <v>195</v>
      </c>
      <c r="E4028" s="0" t="n">
        <f aca="false">VLOOKUP(B4028,'MSA-Lookup'!$H$2:$I$86,2)</f>
        <v>4480</v>
      </c>
      <c r="F4028" s="0" t="n">
        <f aca="false">IF(C4028&gt;1,IF(C4028&lt;99,VLOOKUP(C4028,'MSA-Lookup'!$H$1:$I$86,2),C4028),C4028)</f>
        <v>6780</v>
      </c>
      <c r="G4028" s="0" t="n">
        <f aca="false">VLOOKUP(E4028,'MSA-Lookup'!$AA$1:$AB$25,2)</f>
        <v>4472</v>
      </c>
      <c r="H4028" s="0" t="n">
        <f aca="false">IF(C4028&gt;1,IF(C4028&lt;99,VLOOKUP(F4028,'MSA-Lookup'!$AA$1:$AB$25,2),C4028),C4028)</f>
        <v>4472</v>
      </c>
    </row>
    <row r="4029" customFormat="false" ht="12.75" hidden="false" customHeight="false" outlineLevel="0" collapsed="false">
      <c r="A4029" s="0" t="n">
        <f aca="false">B4029*1000+C4029</f>
        <v>58070</v>
      </c>
      <c r="B4029" s="0" t="n">
        <v>58</v>
      </c>
      <c r="C4029" s="0" t="n">
        <v>70</v>
      </c>
      <c r="D4029" s="0" t="n">
        <v>0</v>
      </c>
      <c r="E4029" s="0" t="n">
        <f aca="false">VLOOKUP(B4029,'MSA-Lookup'!$H$2:$I$86,2)</f>
        <v>4480</v>
      </c>
      <c r="F4029" s="0" t="n">
        <f aca="false">IF(C4029&gt;1,IF(C4029&lt;99,VLOOKUP(C4029,'MSA-Lookup'!$H$1:$I$86,2),C4029),C4029)</f>
        <v>6780</v>
      </c>
      <c r="G4029" s="0" t="n">
        <f aca="false">VLOOKUP(E4029,'MSA-Lookup'!$AA$1:$AB$25,2)</f>
        <v>4472</v>
      </c>
      <c r="H4029" s="0" t="n">
        <f aca="false">IF(C4029&gt;1,IF(C4029&lt;99,VLOOKUP(F4029,'MSA-Lookup'!$AA$1:$AB$25,2),C4029),C4029)</f>
        <v>4472</v>
      </c>
    </row>
    <row r="4030" customFormat="false" ht="12.75" hidden="false" customHeight="false" outlineLevel="0" collapsed="false">
      <c r="A4030" s="0" t="n">
        <f aca="false">B4030*1000+C4030</f>
        <v>58071</v>
      </c>
      <c r="B4030" s="0" t="n">
        <v>58</v>
      </c>
      <c r="C4030" s="0" t="n">
        <v>71</v>
      </c>
      <c r="D4030" s="0" t="n">
        <v>195</v>
      </c>
      <c r="E4030" s="0" t="n">
        <f aca="false">VLOOKUP(B4030,'MSA-Lookup'!$H$2:$I$86,2)</f>
        <v>4480</v>
      </c>
      <c r="F4030" s="0" t="n">
        <f aca="false">IF(C4030&gt;1,IF(C4030&lt;99,VLOOKUP(C4030,'MSA-Lookup'!$H$1:$I$86,2),C4030),C4030)</f>
        <v>6780</v>
      </c>
      <c r="G4030" s="0" t="n">
        <f aca="false">VLOOKUP(E4030,'MSA-Lookup'!$AA$1:$AB$25,2)</f>
        <v>4472</v>
      </c>
      <c r="H4030" s="0" t="n">
        <f aca="false">IF(C4030&gt;1,IF(C4030&lt;99,VLOOKUP(F4030,'MSA-Lookup'!$AA$1:$AB$25,2),C4030),C4030)</f>
        <v>4472</v>
      </c>
    </row>
    <row r="4031" customFormat="false" ht="12.75" hidden="false" customHeight="false" outlineLevel="0" collapsed="false">
      <c r="A4031" s="0" t="n">
        <f aca="false">B4031*1000+C4031</f>
        <v>58072</v>
      </c>
      <c r="B4031" s="0" t="n">
        <v>58</v>
      </c>
      <c r="C4031" s="0" t="n">
        <v>72</v>
      </c>
      <c r="D4031" s="0" t="n">
        <v>351</v>
      </c>
      <c r="E4031" s="0" t="n">
        <f aca="false">VLOOKUP(B4031,'MSA-Lookup'!$H$2:$I$86,2)</f>
        <v>4480</v>
      </c>
      <c r="F4031" s="0" t="n">
        <f aca="false">IF(C4031&gt;1,IF(C4031&lt;99,VLOOKUP(C4031,'MSA-Lookup'!$H$1:$I$86,2),C4031),C4031)</f>
        <v>6780</v>
      </c>
      <c r="G4031" s="0" t="n">
        <f aca="false">VLOOKUP(E4031,'MSA-Lookup'!$AA$1:$AB$25,2)</f>
        <v>4472</v>
      </c>
      <c r="H4031" s="0" t="n">
        <f aca="false">IF(C4031&gt;1,IF(C4031&lt;99,VLOOKUP(F4031,'MSA-Lookup'!$AA$1:$AB$25,2),C4031),C4031)</f>
        <v>4472</v>
      </c>
    </row>
    <row r="4032" customFormat="false" ht="12.75" hidden="false" customHeight="false" outlineLevel="0" collapsed="false">
      <c r="A4032" s="0" t="n">
        <f aca="false">B4032*1000+C4032</f>
        <v>58073</v>
      </c>
      <c r="B4032" s="0" t="n">
        <v>58</v>
      </c>
      <c r="C4032" s="0" t="n">
        <v>73</v>
      </c>
      <c r="D4032" s="0" t="n">
        <v>0</v>
      </c>
      <c r="E4032" s="0" t="n">
        <f aca="false">VLOOKUP(B4032,'MSA-Lookup'!$H$2:$I$86,2)</f>
        <v>4480</v>
      </c>
      <c r="F4032" s="0" t="n">
        <f aca="false">IF(C4032&gt;1,IF(C4032&lt;99,VLOOKUP(C4032,'MSA-Lookup'!$H$1:$I$86,2),C4032),C4032)</f>
        <v>8720</v>
      </c>
      <c r="G4032" s="0" t="n">
        <f aca="false">VLOOKUP(E4032,'MSA-Lookup'!$AA$1:$AB$25,2)</f>
        <v>4472</v>
      </c>
      <c r="H4032" s="0" t="n">
        <f aca="false">IF(C4032&gt;1,IF(C4032&lt;99,VLOOKUP(F4032,'MSA-Lookup'!$AA$1:$AB$25,2),C4032),C4032)</f>
        <v>7362</v>
      </c>
    </row>
    <row r="4033" customFormat="false" ht="12.75" hidden="false" customHeight="false" outlineLevel="0" collapsed="false">
      <c r="A4033" s="0" t="n">
        <f aca="false">B4033*1000+C4033</f>
        <v>58075</v>
      </c>
      <c r="B4033" s="0" t="n">
        <v>58</v>
      </c>
      <c r="C4033" s="0" t="n">
        <v>75</v>
      </c>
      <c r="D4033" s="0" t="n">
        <v>0</v>
      </c>
      <c r="E4033" s="0" t="n">
        <f aca="false">VLOOKUP(B4033,'MSA-Lookup'!$H$2:$I$86,2)</f>
        <v>4480</v>
      </c>
      <c r="F4033" s="0" t="n">
        <f aca="false">IF(C4033&gt;1,IF(C4033&lt;99,VLOOKUP(C4033,'MSA-Lookup'!$H$1:$I$86,2),C4033),C4033)</f>
        <v>8780</v>
      </c>
      <c r="G4033" s="0" t="n">
        <f aca="false">VLOOKUP(E4033,'MSA-Lookup'!$AA$1:$AB$25,2)</f>
        <v>4472</v>
      </c>
      <c r="H4033" s="0" t="n">
        <f aca="false">IF(C4033&gt;1,IF(C4033&lt;99,VLOOKUP(F4033,'MSA-Lookup'!$AA$1:$AB$25,2),C4033),C4033)</f>
        <v>8780</v>
      </c>
    </row>
    <row r="4034" customFormat="false" ht="12.75" hidden="false" customHeight="false" outlineLevel="0" collapsed="false">
      <c r="A4034" s="0" t="n">
        <f aca="false">B4034*1000+C4034</f>
        <v>58076</v>
      </c>
      <c r="B4034" s="0" t="n">
        <v>58</v>
      </c>
      <c r="C4034" s="0" t="n">
        <v>76</v>
      </c>
      <c r="D4034" s="0" t="n">
        <v>0</v>
      </c>
      <c r="E4034" s="0" t="n">
        <f aca="false">VLOOKUP(B4034,'MSA-Lookup'!$H$2:$I$86,2)</f>
        <v>4480</v>
      </c>
      <c r="F4034" s="0" t="n">
        <f aca="false">IF(C4034&gt;1,IF(C4034&lt;99,VLOOKUP(C4034,'MSA-Lookup'!$H$1:$I$86,2),C4034),C4034)</f>
        <v>7485</v>
      </c>
      <c r="G4034" s="0" t="n">
        <f aca="false">VLOOKUP(E4034,'MSA-Lookup'!$AA$1:$AB$25,2)</f>
        <v>4472</v>
      </c>
      <c r="H4034" s="0" t="n">
        <f aca="false">IF(C4034&gt;1,IF(C4034&lt;99,VLOOKUP(F4034,'MSA-Lookup'!$AA$1:$AB$25,2),C4034),C4034)</f>
        <v>7362</v>
      </c>
    </row>
    <row r="4035" customFormat="false" ht="12.75" hidden="false" customHeight="false" outlineLevel="0" collapsed="false">
      <c r="A4035" s="0" t="n">
        <f aca="false">B4035*1000+C4035</f>
        <v>58077</v>
      </c>
      <c r="B4035" s="0" t="n">
        <v>58</v>
      </c>
      <c r="C4035" s="0" t="n">
        <v>77</v>
      </c>
      <c r="D4035" s="0" t="n">
        <v>0</v>
      </c>
      <c r="E4035" s="0" t="n">
        <f aca="false">VLOOKUP(B4035,'MSA-Lookup'!$H$2:$I$86,2)</f>
        <v>4480</v>
      </c>
      <c r="F4035" s="0" t="n">
        <f aca="false">IF(C4035&gt;1,IF(C4035&lt;99,VLOOKUP(C4035,'MSA-Lookup'!$H$1:$I$86,2),C4035),C4035)</f>
        <v>9999</v>
      </c>
      <c r="G4035" s="0" t="n">
        <f aca="false">VLOOKUP(E4035,'MSA-Lookup'!$AA$1:$AB$25,2)</f>
        <v>4472</v>
      </c>
      <c r="H4035" s="0" t="n">
        <f aca="false">IF(C4035&gt;1,IF(C4035&lt;99,VLOOKUP(F4035,'MSA-Lookup'!$AA$1:$AB$25,2),C4035),C4035)</f>
        <v>9999</v>
      </c>
    </row>
    <row r="4036" customFormat="false" ht="12.75" hidden="false" customHeight="false" outlineLevel="0" collapsed="false">
      <c r="A4036" s="0" t="n">
        <f aca="false">B4036*1000+C4036</f>
        <v>58078</v>
      </c>
      <c r="B4036" s="0" t="n">
        <v>58</v>
      </c>
      <c r="C4036" s="0" t="n">
        <v>78</v>
      </c>
      <c r="D4036" s="0" t="n">
        <v>0</v>
      </c>
      <c r="E4036" s="0" t="n">
        <f aca="false">VLOOKUP(B4036,'MSA-Lookup'!$H$2:$I$86,2)</f>
        <v>4480</v>
      </c>
      <c r="F4036" s="0" t="n">
        <f aca="false">IF(C4036&gt;1,IF(C4036&lt;99,VLOOKUP(C4036,'MSA-Lookup'!$H$1:$I$86,2),C4036),C4036)</f>
        <v>680</v>
      </c>
      <c r="G4036" s="0" t="n">
        <f aca="false">VLOOKUP(E4036,'MSA-Lookup'!$AA$1:$AB$25,2)</f>
        <v>4472</v>
      </c>
      <c r="H4036" s="0" t="n">
        <f aca="false">IF(C4036&gt;1,IF(C4036&lt;99,VLOOKUP(F4036,'MSA-Lookup'!$AA$1:$AB$25,2),C4036),C4036)</f>
        <v>680</v>
      </c>
    </row>
    <row r="4037" customFormat="false" ht="12.75" hidden="false" customHeight="false" outlineLevel="0" collapsed="false">
      <c r="A4037" s="0" t="n">
        <f aca="false">B4037*1000+C4037</f>
        <v>58079</v>
      </c>
      <c r="B4037" s="0" t="n">
        <v>58</v>
      </c>
      <c r="C4037" s="0" t="n">
        <v>79</v>
      </c>
      <c r="D4037" s="0" t="n">
        <v>0</v>
      </c>
      <c r="E4037" s="0" t="n">
        <f aca="false">VLOOKUP(B4037,'MSA-Lookup'!$H$2:$I$86,2)</f>
        <v>4480</v>
      </c>
      <c r="F4037" s="0" t="n">
        <f aca="false">IF(C4037&gt;1,IF(C4037&lt;99,VLOOKUP(C4037,'MSA-Lookup'!$H$1:$I$86,2),C4037),C4037)</f>
        <v>680</v>
      </c>
      <c r="G4037" s="0" t="n">
        <f aca="false">VLOOKUP(E4037,'MSA-Lookup'!$AA$1:$AB$25,2)</f>
        <v>4472</v>
      </c>
      <c r="H4037" s="0" t="n">
        <f aca="false">IF(C4037&gt;1,IF(C4037&lt;99,VLOOKUP(F4037,'MSA-Lookup'!$AA$1:$AB$25,2),C4037),C4037)</f>
        <v>680</v>
      </c>
    </row>
    <row r="4038" customFormat="false" ht="12.75" hidden="false" customHeight="false" outlineLevel="0" collapsed="false">
      <c r="A4038" s="0" t="n">
        <f aca="false">B4038*1000+C4038</f>
        <v>58080</v>
      </c>
      <c r="B4038" s="0" t="n">
        <v>58</v>
      </c>
      <c r="C4038" s="0" t="n">
        <v>80</v>
      </c>
      <c r="D4038" s="0" t="n">
        <v>0</v>
      </c>
      <c r="E4038" s="0" t="n">
        <f aca="false">VLOOKUP(B4038,'MSA-Lookup'!$H$2:$I$86,2)</f>
        <v>4480</v>
      </c>
      <c r="F4038" s="0" t="n">
        <f aca="false">IF(C4038&gt;1,IF(C4038&lt;99,VLOOKUP(C4038,'MSA-Lookup'!$H$1:$I$86,2),C4038),C4038)</f>
        <v>9999</v>
      </c>
      <c r="G4038" s="0" t="n">
        <f aca="false">VLOOKUP(E4038,'MSA-Lookup'!$AA$1:$AB$25,2)</f>
        <v>4472</v>
      </c>
      <c r="H4038" s="0" t="n">
        <f aca="false">IF(C4038&gt;1,IF(C4038&lt;99,VLOOKUP(F4038,'MSA-Lookup'!$AA$1:$AB$25,2),C4038),C4038)</f>
        <v>9999</v>
      </c>
    </row>
    <row r="4039" customFormat="false" ht="12.75" hidden="false" customHeight="false" outlineLevel="0" collapsed="false">
      <c r="A4039" s="0" t="n">
        <f aca="false">B4039*1000+C4039</f>
        <v>58081</v>
      </c>
      <c r="B4039" s="0" t="n">
        <v>58</v>
      </c>
      <c r="C4039" s="0" t="n">
        <v>81</v>
      </c>
      <c r="D4039" s="0" t="n">
        <v>0</v>
      </c>
      <c r="E4039" s="0" t="n">
        <f aca="false">VLOOKUP(B4039,'MSA-Lookup'!$H$2:$I$86,2)</f>
        <v>4480</v>
      </c>
      <c r="F4039" s="0" t="n">
        <f aca="false">IF(C4039&gt;1,IF(C4039&lt;99,VLOOKUP(C4039,'MSA-Lookup'!$H$1:$I$86,2),C4039),C4039)</f>
        <v>6780</v>
      </c>
      <c r="G4039" s="0" t="n">
        <f aca="false">VLOOKUP(E4039,'MSA-Lookup'!$AA$1:$AB$25,2)</f>
        <v>4472</v>
      </c>
      <c r="H4039" s="0" t="n">
        <f aca="false">IF(C4039&gt;1,IF(C4039&lt;99,VLOOKUP(F4039,'MSA-Lookup'!$AA$1:$AB$25,2),C4039),C4039)</f>
        <v>4472</v>
      </c>
    </row>
    <row r="4040" customFormat="false" ht="12.75" hidden="false" customHeight="false" outlineLevel="0" collapsed="false">
      <c r="A4040" s="0" t="n">
        <f aca="false">B4040*1000+C4040</f>
        <v>58082</v>
      </c>
      <c r="B4040" s="0" t="n">
        <v>58</v>
      </c>
      <c r="C4040" s="0" t="n">
        <v>82</v>
      </c>
      <c r="D4040" s="0" t="n">
        <v>0</v>
      </c>
      <c r="E4040" s="0" t="n">
        <f aca="false">VLOOKUP(B4040,'MSA-Lookup'!$H$2:$I$86,2)</f>
        <v>4480</v>
      </c>
      <c r="F4040" s="0" t="n">
        <f aca="false">IF(C4040&gt;1,IF(C4040&lt;99,VLOOKUP(C4040,'MSA-Lookup'!$H$1:$I$86,2),C4040),C4040)</f>
        <v>6780</v>
      </c>
      <c r="G4040" s="0" t="n">
        <f aca="false">VLOOKUP(E4040,'MSA-Lookup'!$AA$1:$AB$25,2)</f>
        <v>4472</v>
      </c>
      <c r="H4040" s="0" t="n">
        <f aca="false">IF(C4040&gt;1,IF(C4040&lt;99,VLOOKUP(F4040,'MSA-Lookup'!$AA$1:$AB$25,2),C4040),C4040)</f>
        <v>4472</v>
      </c>
    </row>
    <row r="4041" customFormat="false" ht="12.75" hidden="false" customHeight="false" outlineLevel="0" collapsed="false">
      <c r="A4041" s="0" t="n">
        <f aca="false">B4041*1000+C4041</f>
        <v>58083</v>
      </c>
      <c r="B4041" s="0" t="n">
        <v>58</v>
      </c>
      <c r="C4041" s="0" t="n">
        <v>83</v>
      </c>
      <c r="D4041" s="0" t="n">
        <v>0</v>
      </c>
      <c r="E4041" s="0" t="n">
        <f aca="false">VLOOKUP(B4041,'MSA-Lookup'!$H$2:$I$86,2)</f>
        <v>4480</v>
      </c>
      <c r="F4041" s="0" t="n">
        <f aca="false">IF(C4041&gt;1,IF(C4041&lt;99,VLOOKUP(C4041,'MSA-Lookup'!$H$1:$I$86,2),C4041),C4041)</f>
        <v>6000</v>
      </c>
      <c r="G4041" s="0" t="n">
        <f aca="false">VLOOKUP(E4041,'MSA-Lookup'!$AA$1:$AB$25,2)</f>
        <v>4472</v>
      </c>
      <c r="H4041" s="0" t="n">
        <f aca="false">IF(C4041&gt;1,IF(C4041&lt;99,VLOOKUP(F4041,'MSA-Lookup'!$AA$1:$AB$25,2),C4041),C4041)</f>
        <v>4472</v>
      </c>
    </row>
    <row r="4042" customFormat="false" ht="12.75" hidden="false" customHeight="false" outlineLevel="0" collapsed="false">
      <c r="A4042" s="0" t="n">
        <f aca="false">B4042*1000+C4042</f>
        <v>58084</v>
      </c>
      <c r="B4042" s="0" t="n">
        <v>58</v>
      </c>
      <c r="C4042" s="0" t="n">
        <v>84</v>
      </c>
      <c r="D4042" s="0" t="n">
        <v>117</v>
      </c>
      <c r="E4042" s="0" t="n">
        <f aca="false">VLOOKUP(B4042,'MSA-Lookup'!$H$2:$I$86,2)</f>
        <v>4480</v>
      </c>
      <c r="F4042" s="0" t="n">
        <f aca="false">IF(C4042&gt;1,IF(C4042&lt;99,VLOOKUP(C4042,'MSA-Lookup'!$H$1:$I$86,2),C4042),C4042)</f>
        <v>360</v>
      </c>
      <c r="G4042" s="0" t="n">
        <f aca="false">VLOOKUP(E4042,'MSA-Lookup'!$AA$1:$AB$25,2)</f>
        <v>4472</v>
      </c>
      <c r="H4042" s="0" t="n">
        <f aca="false">IF(C4042&gt;1,IF(C4042&lt;99,VLOOKUP(F4042,'MSA-Lookup'!$AA$1:$AB$25,2),C4042),C4042)</f>
        <v>4472</v>
      </c>
    </row>
    <row r="4043" customFormat="false" ht="12.75" hidden="false" customHeight="false" outlineLevel="0" collapsed="false">
      <c r="A4043" s="0" t="n">
        <f aca="false">B4043*1000+C4043</f>
        <v>58085</v>
      </c>
      <c r="B4043" s="0" t="n">
        <v>58</v>
      </c>
      <c r="C4043" s="0" t="n">
        <v>85</v>
      </c>
      <c r="D4043" s="0" t="n">
        <v>0</v>
      </c>
      <c r="E4043" s="0" t="n">
        <f aca="false">VLOOKUP(B4043,'MSA-Lookup'!$H$2:$I$86,2)</f>
        <v>4480</v>
      </c>
      <c r="F4043" s="0" t="n">
        <f aca="false">IF(C4043&gt;1,IF(C4043&lt;99,VLOOKUP(C4043,'MSA-Lookup'!$H$1:$I$86,2),C4043),C4043)</f>
        <v>8120</v>
      </c>
      <c r="G4043" s="0" t="n">
        <f aca="false">VLOOKUP(E4043,'MSA-Lookup'!$AA$1:$AB$25,2)</f>
        <v>4472</v>
      </c>
      <c r="H4043" s="0" t="n">
        <f aca="false">IF(C4043&gt;1,IF(C4043&lt;99,VLOOKUP(F4043,'MSA-Lookup'!$AA$1:$AB$25,2),C4043),C4043)</f>
        <v>8120</v>
      </c>
    </row>
    <row r="4044" customFormat="false" ht="12.75" hidden="false" customHeight="false" outlineLevel="0" collapsed="false">
      <c r="A4044" s="0" t="n">
        <f aca="false">B4044*1000+C4044</f>
        <v>58858</v>
      </c>
      <c r="B4044" s="0" t="n">
        <v>58</v>
      </c>
      <c r="C4044" s="0" t="n">
        <v>858</v>
      </c>
      <c r="D4044" s="0" t="n">
        <v>0</v>
      </c>
      <c r="E4044" s="0" t="n">
        <f aca="false">VLOOKUP(B4044,'MSA-Lookup'!$H$2:$I$86,2)</f>
        <v>4480</v>
      </c>
      <c r="F4044" s="0" t="n">
        <f aca="false">IF(C4044&gt;1,IF(C4044&lt;99,VLOOKUP(C4044,'MSA-Lookup'!$H$1:$I$86,2),C4044),C4044)</f>
        <v>858</v>
      </c>
      <c r="G4044" s="0" t="n">
        <f aca="false">VLOOKUP(E4044,'MSA-Lookup'!$AA$1:$AB$25,2)</f>
        <v>4472</v>
      </c>
      <c r="H4044" s="0" t="n">
        <f aca="false">IF(C4044&gt;1,IF(C4044&lt;99,VLOOKUP(F4044,'MSA-Lookup'!$AA$1:$AB$25,2),C4044),C4044)</f>
        <v>858</v>
      </c>
    </row>
    <row r="4045" customFormat="false" ht="12.75" hidden="false" customHeight="false" outlineLevel="0" collapsed="false">
      <c r="A4045" s="0" t="n">
        <f aca="false">B4045*1000+C4045</f>
        <v>58983</v>
      </c>
      <c r="B4045" s="0" t="n">
        <v>58</v>
      </c>
      <c r="C4045" s="0" t="n">
        <v>983</v>
      </c>
      <c r="D4045" s="0" t="n">
        <v>0</v>
      </c>
      <c r="E4045" s="0" t="n">
        <f aca="false">VLOOKUP(B4045,'MSA-Lookup'!$H$2:$I$86,2)</f>
        <v>4480</v>
      </c>
      <c r="F4045" s="0" t="n">
        <f aca="false">IF(C4045&gt;1,IF(C4045&lt;99,VLOOKUP(C4045,'MSA-Lookup'!$H$1:$I$86,2),C4045),C4045)</f>
        <v>983</v>
      </c>
      <c r="G4045" s="0" t="n">
        <f aca="false">VLOOKUP(E4045,'MSA-Lookup'!$AA$1:$AB$25,2)</f>
        <v>4472</v>
      </c>
      <c r="H4045" s="0" t="n">
        <f aca="false">IF(C4045&gt;1,IF(C4045&lt;99,VLOOKUP(F4045,'MSA-Lookup'!$AA$1:$AB$25,2),C4045),C4045)</f>
        <v>983</v>
      </c>
    </row>
    <row r="4046" customFormat="false" ht="12.75" hidden="false" customHeight="false" outlineLevel="0" collapsed="false">
      <c r="A4046" s="0" t="n">
        <f aca="false">B4046*1000+C4046</f>
        <v>58999</v>
      </c>
      <c r="B4046" s="0" t="n">
        <v>58</v>
      </c>
      <c r="C4046" s="0" t="n">
        <v>999</v>
      </c>
      <c r="D4046" s="0" t="n">
        <v>0</v>
      </c>
      <c r="E4046" s="0" t="n">
        <f aca="false">VLOOKUP(B4046,'MSA-Lookup'!$H$2:$I$86,2)</f>
        <v>4480</v>
      </c>
      <c r="F4046" s="0" t="n">
        <f aca="false">IF(C4046&gt;1,IF(C4046&lt;99,VLOOKUP(C4046,'MSA-Lookup'!$H$1:$I$86,2),C4046),C4046)</f>
        <v>999</v>
      </c>
      <c r="G4046" s="0" t="n">
        <f aca="false">VLOOKUP(E4046,'MSA-Lookup'!$AA$1:$AB$25,2)</f>
        <v>4472</v>
      </c>
      <c r="H4046" s="0" t="n">
        <f aca="false">IF(C4046&gt;1,IF(C4046&lt;99,VLOOKUP(F4046,'MSA-Lookup'!$AA$1:$AB$25,2),C4046),C4046)</f>
        <v>999</v>
      </c>
    </row>
    <row r="4047" customFormat="false" ht="12.75" hidden="false" customHeight="false" outlineLevel="0" collapsed="false">
      <c r="A4047" s="0" t="n">
        <f aca="false">B4047*1000+C4047</f>
        <v>59000</v>
      </c>
      <c r="B4047" s="0" t="n">
        <v>59</v>
      </c>
      <c r="C4047" s="0" t="n">
        <v>0</v>
      </c>
      <c r="D4047" s="0" t="n">
        <v>73723</v>
      </c>
      <c r="E4047" s="0" t="n">
        <f aca="false">VLOOKUP(B4047,'MSA-Lookup'!$H$2:$I$86,2)</f>
        <v>4480</v>
      </c>
      <c r="F4047" s="0" t="n">
        <f aca="false">IF(C4047&gt;1,IF(C4047&lt;99,VLOOKUP(C4047,'MSA-Lookup'!$H$1:$I$86,2),C4047),C4047)</f>
        <v>0</v>
      </c>
      <c r="G4047" s="0" t="n">
        <f aca="false">VLOOKUP(E4047,'MSA-Lookup'!$AA$1:$AB$25,2)</f>
        <v>4472</v>
      </c>
      <c r="H4047" s="0" t="n">
        <f aca="false">IF(C4047&gt;1,IF(C4047&lt;99,VLOOKUP(F4047,'MSA-Lookup'!$AA$1:$AB$25,2),C4047),C4047)</f>
        <v>0</v>
      </c>
    </row>
    <row r="4048" customFormat="false" ht="12.75" hidden="false" customHeight="false" outlineLevel="0" collapsed="false">
      <c r="A4048" s="0" t="n">
        <f aca="false">B4048*1000+C4048</f>
        <v>59001</v>
      </c>
      <c r="B4048" s="0" t="n">
        <v>59</v>
      </c>
      <c r="C4048" s="0" t="n">
        <v>1</v>
      </c>
      <c r="D4048" s="0" t="n">
        <v>0</v>
      </c>
      <c r="E4048" s="0" t="n">
        <f aca="false">VLOOKUP(B4048,'MSA-Lookup'!$H$2:$I$86,2)</f>
        <v>4480</v>
      </c>
      <c r="F4048" s="0" t="n">
        <f aca="false">IF(C4048&gt;1,IF(C4048&lt;99,VLOOKUP(C4048,'MSA-Lookup'!$H$1:$I$86,2),C4048),C4048)</f>
        <v>1</v>
      </c>
      <c r="G4048" s="0" t="n">
        <f aca="false">VLOOKUP(E4048,'MSA-Lookup'!$AA$1:$AB$25,2)</f>
        <v>4472</v>
      </c>
      <c r="H4048" s="0" t="n">
        <f aca="false">IF(C4048&gt;1,IF(C4048&lt;99,VLOOKUP(F4048,'MSA-Lookup'!$AA$1:$AB$25,2),C4048),C4048)</f>
        <v>1</v>
      </c>
    </row>
    <row r="4049" customFormat="false" ht="12.75" hidden="false" customHeight="false" outlineLevel="0" collapsed="false">
      <c r="A4049" s="0" t="n">
        <f aca="false">B4049*1000+C4049</f>
        <v>59002</v>
      </c>
      <c r="B4049" s="0" t="n">
        <v>59</v>
      </c>
      <c r="C4049" s="0" t="n">
        <v>2</v>
      </c>
      <c r="D4049" s="0" t="n">
        <v>0</v>
      </c>
      <c r="E4049" s="0" t="n">
        <f aca="false">VLOOKUP(B4049,'MSA-Lookup'!$H$2:$I$86,2)</f>
        <v>4480</v>
      </c>
      <c r="F4049" s="0" t="n">
        <f aca="false">IF(C4049&gt;1,IF(C4049&lt;99,VLOOKUP(C4049,'MSA-Lookup'!$H$1:$I$86,2),C4049),C4049)</f>
        <v>9999</v>
      </c>
      <c r="G4049" s="0" t="n">
        <f aca="false">VLOOKUP(E4049,'MSA-Lookup'!$AA$1:$AB$25,2)</f>
        <v>4472</v>
      </c>
      <c r="H4049" s="0" t="n">
        <f aca="false">IF(C4049&gt;1,IF(C4049&lt;99,VLOOKUP(F4049,'MSA-Lookup'!$AA$1:$AB$25,2),C4049),C4049)</f>
        <v>9999</v>
      </c>
    </row>
    <row r="4050" customFormat="false" ht="12.75" hidden="false" customHeight="false" outlineLevel="0" collapsed="false">
      <c r="A4050" s="0" t="n">
        <f aca="false">B4050*1000+C4050</f>
        <v>59003</v>
      </c>
      <c r="B4050" s="0" t="n">
        <v>59</v>
      </c>
      <c r="C4050" s="0" t="n">
        <v>3</v>
      </c>
      <c r="D4050" s="0" t="n">
        <v>0</v>
      </c>
      <c r="E4050" s="0" t="n">
        <f aca="false">VLOOKUP(B4050,'MSA-Lookup'!$H$2:$I$86,2)</f>
        <v>4480</v>
      </c>
      <c r="F4050" s="0" t="n">
        <f aca="false">IF(C4050&gt;1,IF(C4050&lt;99,VLOOKUP(C4050,'MSA-Lookup'!$H$1:$I$86,2),C4050),C4050)</f>
        <v>6690</v>
      </c>
      <c r="G4050" s="0" t="n">
        <f aca="false">VLOOKUP(E4050,'MSA-Lookup'!$AA$1:$AB$25,2)</f>
        <v>4472</v>
      </c>
      <c r="H4050" s="0" t="n">
        <f aca="false">IF(C4050&gt;1,IF(C4050&lt;99,VLOOKUP(F4050,'MSA-Lookup'!$AA$1:$AB$25,2),C4050),C4050)</f>
        <v>6690</v>
      </c>
    </row>
    <row r="4051" customFormat="false" ht="12.75" hidden="false" customHeight="false" outlineLevel="0" collapsed="false">
      <c r="A4051" s="0" t="n">
        <f aca="false">B4051*1000+C4051</f>
        <v>59004</v>
      </c>
      <c r="B4051" s="0" t="n">
        <v>59</v>
      </c>
      <c r="C4051" s="0" t="n">
        <v>4</v>
      </c>
      <c r="D4051" s="0" t="n">
        <v>0</v>
      </c>
      <c r="E4051" s="0" t="n">
        <f aca="false">VLOOKUP(B4051,'MSA-Lookup'!$H$2:$I$86,2)</f>
        <v>4480</v>
      </c>
      <c r="F4051" s="0" t="n">
        <f aca="false">IF(C4051&gt;1,IF(C4051&lt;99,VLOOKUP(C4051,'MSA-Lookup'!$H$1:$I$86,2),C4051),C4051)</f>
        <v>9999</v>
      </c>
      <c r="G4051" s="0" t="n">
        <f aca="false">VLOOKUP(E4051,'MSA-Lookup'!$AA$1:$AB$25,2)</f>
        <v>4472</v>
      </c>
      <c r="H4051" s="0" t="n">
        <f aca="false">IF(C4051&gt;1,IF(C4051&lt;99,VLOOKUP(F4051,'MSA-Lookup'!$AA$1:$AB$25,2),C4051),C4051)</f>
        <v>9999</v>
      </c>
    </row>
    <row r="4052" customFormat="false" ht="12.75" hidden="false" customHeight="false" outlineLevel="0" collapsed="false">
      <c r="A4052" s="0" t="n">
        <f aca="false">B4052*1000+C4052</f>
        <v>59005</v>
      </c>
      <c r="B4052" s="0" t="n">
        <v>59</v>
      </c>
      <c r="C4052" s="0" t="n">
        <v>5</v>
      </c>
      <c r="D4052" s="0" t="n">
        <v>0</v>
      </c>
      <c r="E4052" s="0" t="n">
        <f aca="false">VLOOKUP(B4052,'MSA-Lookup'!$H$2:$I$86,2)</f>
        <v>4480</v>
      </c>
      <c r="F4052" s="0" t="n">
        <f aca="false">IF(C4052&gt;1,IF(C4052&lt;99,VLOOKUP(C4052,'MSA-Lookup'!$H$1:$I$86,2),C4052),C4052)</f>
        <v>9999</v>
      </c>
      <c r="G4052" s="0" t="n">
        <f aca="false">VLOOKUP(E4052,'MSA-Lookup'!$AA$1:$AB$25,2)</f>
        <v>4472</v>
      </c>
      <c r="H4052" s="0" t="n">
        <f aca="false">IF(C4052&gt;1,IF(C4052&lt;99,VLOOKUP(F4052,'MSA-Lookup'!$AA$1:$AB$25,2),C4052),C4052)</f>
        <v>9999</v>
      </c>
    </row>
    <row r="4053" customFormat="false" ht="12.75" hidden="false" customHeight="false" outlineLevel="0" collapsed="false">
      <c r="A4053" s="0" t="n">
        <f aca="false">B4053*1000+C4053</f>
        <v>59006</v>
      </c>
      <c r="B4053" s="0" t="n">
        <v>59</v>
      </c>
      <c r="C4053" s="0" t="n">
        <v>6</v>
      </c>
      <c r="D4053" s="0" t="n">
        <v>0</v>
      </c>
      <c r="E4053" s="0" t="n">
        <f aca="false">VLOOKUP(B4053,'MSA-Lookup'!$H$2:$I$86,2)</f>
        <v>4480</v>
      </c>
      <c r="F4053" s="0" t="n">
        <f aca="false">IF(C4053&gt;1,IF(C4053&lt;99,VLOOKUP(C4053,'MSA-Lookup'!$H$1:$I$86,2),C4053),C4053)</f>
        <v>1620</v>
      </c>
      <c r="G4053" s="0" t="n">
        <f aca="false">VLOOKUP(E4053,'MSA-Lookup'!$AA$1:$AB$25,2)</f>
        <v>4472</v>
      </c>
      <c r="H4053" s="0" t="n">
        <f aca="false">IF(C4053&gt;1,IF(C4053&lt;99,VLOOKUP(F4053,'MSA-Lookup'!$AA$1:$AB$25,2),C4053),C4053)</f>
        <v>1620</v>
      </c>
    </row>
    <row r="4054" customFormat="false" ht="12.75" hidden="false" customHeight="false" outlineLevel="0" collapsed="false">
      <c r="A4054" s="0" t="n">
        <f aca="false">B4054*1000+C4054</f>
        <v>59007</v>
      </c>
      <c r="B4054" s="0" t="n">
        <v>59</v>
      </c>
      <c r="C4054" s="0" t="n">
        <v>7</v>
      </c>
      <c r="D4054" s="0" t="n">
        <v>0</v>
      </c>
      <c r="E4054" s="0" t="n">
        <f aca="false">VLOOKUP(B4054,'MSA-Lookup'!$H$2:$I$86,2)</f>
        <v>4480</v>
      </c>
      <c r="F4054" s="0" t="n">
        <f aca="false">IF(C4054&gt;1,IF(C4054&lt;99,VLOOKUP(C4054,'MSA-Lookup'!$H$1:$I$86,2),C4054),C4054)</f>
        <v>9999</v>
      </c>
      <c r="G4054" s="0" t="n">
        <f aca="false">VLOOKUP(E4054,'MSA-Lookup'!$AA$1:$AB$25,2)</f>
        <v>4472</v>
      </c>
      <c r="H4054" s="0" t="n">
        <f aca="false">IF(C4054&gt;1,IF(C4054&lt;99,VLOOKUP(F4054,'MSA-Lookup'!$AA$1:$AB$25,2),C4054),C4054)</f>
        <v>9999</v>
      </c>
    </row>
    <row r="4055" customFormat="false" ht="12.75" hidden="false" customHeight="false" outlineLevel="0" collapsed="false">
      <c r="A4055" s="0" t="n">
        <f aca="false">B4055*1000+C4055</f>
        <v>59008</v>
      </c>
      <c r="B4055" s="0" t="n">
        <v>59</v>
      </c>
      <c r="C4055" s="0" t="n">
        <v>8</v>
      </c>
      <c r="D4055" s="0" t="n">
        <v>0</v>
      </c>
      <c r="E4055" s="0" t="n">
        <f aca="false">VLOOKUP(B4055,'MSA-Lookup'!$H$2:$I$86,2)</f>
        <v>4480</v>
      </c>
      <c r="F4055" s="0" t="n">
        <f aca="false">IF(C4055&gt;1,IF(C4055&lt;99,VLOOKUP(C4055,'MSA-Lookup'!$H$1:$I$86,2),C4055),C4055)</f>
        <v>9340</v>
      </c>
      <c r="G4055" s="0" t="n">
        <f aca="false">VLOOKUP(E4055,'MSA-Lookup'!$AA$1:$AB$25,2)</f>
        <v>4472</v>
      </c>
      <c r="H4055" s="0" t="n">
        <f aca="false">IF(C4055&gt;1,IF(C4055&lt;99,VLOOKUP(F4055,'MSA-Lookup'!$AA$1:$AB$25,2),C4055),C4055)</f>
        <v>9340</v>
      </c>
    </row>
    <row r="4056" customFormat="false" ht="12.75" hidden="false" customHeight="false" outlineLevel="0" collapsed="false">
      <c r="A4056" s="0" t="n">
        <f aca="false">B4056*1000+C4056</f>
        <v>59009</v>
      </c>
      <c r="B4056" s="0" t="n">
        <v>59</v>
      </c>
      <c r="C4056" s="0" t="n">
        <v>9</v>
      </c>
      <c r="D4056" s="0" t="n">
        <v>0</v>
      </c>
      <c r="E4056" s="0" t="n">
        <f aca="false">VLOOKUP(B4056,'MSA-Lookup'!$H$2:$I$86,2)</f>
        <v>4480</v>
      </c>
      <c r="F4056" s="0" t="n">
        <f aca="false">IF(C4056&gt;1,IF(C4056&lt;99,VLOOKUP(C4056,'MSA-Lookup'!$H$1:$I$86,2),C4056),C4056)</f>
        <v>8720</v>
      </c>
      <c r="G4056" s="0" t="n">
        <f aca="false">VLOOKUP(E4056,'MSA-Lookup'!$AA$1:$AB$25,2)</f>
        <v>4472</v>
      </c>
      <c r="H4056" s="0" t="n">
        <f aca="false">IF(C4056&gt;1,IF(C4056&lt;99,VLOOKUP(F4056,'MSA-Lookup'!$AA$1:$AB$25,2),C4056),C4056)</f>
        <v>7362</v>
      </c>
    </row>
    <row r="4057" customFormat="false" ht="12.75" hidden="false" customHeight="false" outlineLevel="0" collapsed="false">
      <c r="A4057" s="0" t="n">
        <f aca="false">B4057*1000+C4057</f>
        <v>59010</v>
      </c>
      <c r="B4057" s="0" t="n">
        <v>59</v>
      </c>
      <c r="C4057" s="0" t="n">
        <v>10</v>
      </c>
      <c r="D4057" s="0" t="n">
        <v>0</v>
      </c>
      <c r="E4057" s="0" t="n">
        <f aca="false">VLOOKUP(B4057,'MSA-Lookup'!$H$2:$I$86,2)</f>
        <v>4480</v>
      </c>
      <c r="F4057" s="0" t="n">
        <f aca="false">IF(C4057&gt;1,IF(C4057&lt;99,VLOOKUP(C4057,'MSA-Lookup'!$H$1:$I$86,2),C4057),C4057)</f>
        <v>6920</v>
      </c>
      <c r="G4057" s="0" t="n">
        <f aca="false">VLOOKUP(E4057,'MSA-Lookup'!$AA$1:$AB$25,2)</f>
        <v>4472</v>
      </c>
      <c r="H4057" s="0" t="n">
        <f aca="false">IF(C4057&gt;1,IF(C4057&lt;99,VLOOKUP(F4057,'MSA-Lookup'!$AA$1:$AB$25,2),C4057),C4057)</f>
        <v>6920</v>
      </c>
    </row>
    <row r="4058" customFormat="false" ht="12.75" hidden="false" customHeight="false" outlineLevel="0" collapsed="false">
      <c r="A4058" s="0" t="n">
        <f aca="false">B4058*1000+C4058</f>
        <v>59011</v>
      </c>
      <c r="B4058" s="0" t="n">
        <v>59</v>
      </c>
      <c r="C4058" s="0" t="n">
        <v>11</v>
      </c>
      <c r="D4058" s="0" t="n">
        <v>0</v>
      </c>
      <c r="E4058" s="0" t="n">
        <f aca="false">VLOOKUP(B4058,'MSA-Lookup'!$H$2:$I$86,2)</f>
        <v>4480</v>
      </c>
      <c r="F4058" s="0" t="n">
        <f aca="false">IF(C4058&gt;1,IF(C4058&lt;99,VLOOKUP(C4058,'MSA-Lookup'!$H$1:$I$86,2),C4058),C4058)</f>
        <v>6920</v>
      </c>
      <c r="G4058" s="0" t="n">
        <f aca="false">VLOOKUP(E4058,'MSA-Lookup'!$AA$1:$AB$25,2)</f>
        <v>4472</v>
      </c>
      <c r="H4058" s="0" t="n">
        <f aca="false">IF(C4058&gt;1,IF(C4058&lt;99,VLOOKUP(F4058,'MSA-Lookup'!$AA$1:$AB$25,2),C4058),C4058)</f>
        <v>6920</v>
      </c>
    </row>
    <row r="4059" customFormat="false" ht="12.75" hidden="false" customHeight="false" outlineLevel="0" collapsed="false">
      <c r="A4059" s="0" t="n">
        <f aca="false">B4059*1000+C4059</f>
        <v>59012</v>
      </c>
      <c r="B4059" s="0" t="n">
        <v>59</v>
      </c>
      <c r="C4059" s="0" t="n">
        <v>12</v>
      </c>
      <c r="D4059" s="0" t="n">
        <v>0</v>
      </c>
      <c r="E4059" s="0" t="n">
        <f aca="false">VLOOKUP(B4059,'MSA-Lookup'!$H$2:$I$86,2)</f>
        <v>4480</v>
      </c>
      <c r="F4059" s="0" t="n">
        <f aca="false">IF(C4059&gt;1,IF(C4059&lt;99,VLOOKUP(C4059,'MSA-Lookup'!$H$1:$I$86,2),C4059),C4059)</f>
        <v>6920</v>
      </c>
      <c r="G4059" s="0" t="n">
        <f aca="false">VLOOKUP(E4059,'MSA-Lookup'!$AA$1:$AB$25,2)</f>
        <v>4472</v>
      </c>
      <c r="H4059" s="0" t="n">
        <f aca="false">IF(C4059&gt;1,IF(C4059&lt;99,VLOOKUP(F4059,'MSA-Lookup'!$AA$1:$AB$25,2),C4059),C4059)</f>
        <v>6920</v>
      </c>
    </row>
    <row r="4060" customFormat="false" ht="12.75" hidden="false" customHeight="false" outlineLevel="0" collapsed="false">
      <c r="A4060" s="0" t="n">
        <f aca="false">B4060*1000+C4060</f>
        <v>59013</v>
      </c>
      <c r="B4060" s="0" t="n">
        <v>59</v>
      </c>
      <c r="C4060" s="0" t="n">
        <v>13</v>
      </c>
      <c r="D4060" s="0" t="n">
        <v>0</v>
      </c>
      <c r="E4060" s="0" t="n">
        <f aca="false">VLOOKUP(B4060,'MSA-Lookup'!$H$2:$I$86,2)</f>
        <v>4480</v>
      </c>
      <c r="F4060" s="0" t="n">
        <f aca="false">IF(C4060&gt;1,IF(C4060&lt;99,VLOOKUP(C4060,'MSA-Lookup'!$H$1:$I$86,2),C4060),C4060)</f>
        <v>7500</v>
      </c>
      <c r="G4060" s="0" t="n">
        <f aca="false">VLOOKUP(E4060,'MSA-Lookup'!$AA$1:$AB$25,2)</f>
        <v>4472</v>
      </c>
      <c r="H4060" s="0" t="n">
        <f aca="false">IF(C4060&gt;1,IF(C4060&lt;99,VLOOKUP(F4060,'MSA-Lookup'!$AA$1:$AB$25,2),C4060),C4060)</f>
        <v>7362</v>
      </c>
    </row>
    <row r="4061" customFormat="false" ht="12.75" hidden="false" customHeight="false" outlineLevel="0" collapsed="false">
      <c r="A4061" s="0" t="n">
        <f aca="false">B4061*1000+C4061</f>
        <v>59014</v>
      </c>
      <c r="B4061" s="0" t="n">
        <v>59</v>
      </c>
      <c r="C4061" s="0" t="n">
        <v>14</v>
      </c>
      <c r="D4061" s="0" t="n">
        <v>0</v>
      </c>
      <c r="E4061" s="0" t="n">
        <f aca="false">VLOOKUP(B4061,'MSA-Lookup'!$H$2:$I$86,2)</f>
        <v>4480</v>
      </c>
      <c r="F4061" s="0" t="n">
        <f aca="false">IF(C4061&gt;1,IF(C4061&lt;99,VLOOKUP(C4061,'MSA-Lookup'!$H$1:$I$86,2),C4061),C4061)</f>
        <v>7500</v>
      </c>
      <c r="G4061" s="0" t="n">
        <f aca="false">VLOOKUP(E4061,'MSA-Lookup'!$AA$1:$AB$25,2)</f>
        <v>4472</v>
      </c>
      <c r="H4061" s="0" t="n">
        <f aca="false">IF(C4061&gt;1,IF(C4061&lt;99,VLOOKUP(F4061,'MSA-Lookup'!$AA$1:$AB$25,2),C4061),C4061)</f>
        <v>7362</v>
      </c>
    </row>
    <row r="4062" customFormat="false" ht="12.75" hidden="false" customHeight="false" outlineLevel="0" collapsed="false">
      <c r="A4062" s="0" t="n">
        <f aca="false">B4062*1000+C4062</f>
        <v>59015</v>
      </c>
      <c r="B4062" s="0" t="n">
        <v>59</v>
      </c>
      <c r="C4062" s="0" t="n">
        <v>15</v>
      </c>
      <c r="D4062" s="0" t="n">
        <v>0</v>
      </c>
      <c r="E4062" s="0" t="n">
        <f aca="false">VLOOKUP(B4062,'MSA-Lookup'!$H$2:$I$86,2)</f>
        <v>4480</v>
      </c>
      <c r="F4062" s="0" t="n">
        <f aca="false">IF(C4062&gt;1,IF(C4062&lt;99,VLOOKUP(C4062,'MSA-Lookup'!$H$1:$I$86,2),C4062),C4062)</f>
        <v>7360</v>
      </c>
      <c r="G4062" s="0" t="n">
        <f aca="false">VLOOKUP(E4062,'MSA-Lookup'!$AA$1:$AB$25,2)</f>
        <v>4472</v>
      </c>
      <c r="H4062" s="0" t="n">
        <f aca="false">IF(C4062&gt;1,IF(C4062&lt;99,VLOOKUP(F4062,'MSA-Lookup'!$AA$1:$AB$25,2),C4062),C4062)</f>
        <v>7362</v>
      </c>
    </row>
    <row r="4063" customFormat="false" ht="12.75" hidden="false" customHeight="false" outlineLevel="0" collapsed="false">
      <c r="A4063" s="0" t="n">
        <f aca="false">B4063*1000+C4063</f>
        <v>59016</v>
      </c>
      <c r="B4063" s="0" t="n">
        <v>59</v>
      </c>
      <c r="C4063" s="0" t="n">
        <v>16</v>
      </c>
      <c r="D4063" s="0" t="n">
        <v>0</v>
      </c>
      <c r="E4063" s="0" t="n">
        <f aca="false">VLOOKUP(B4063,'MSA-Lookup'!$H$2:$I$86,2)</f>
        <v>4480</v>
      </c>
      <c r="F4063" s="0" t="n">
        <f aca="false">IF(C4063&gt;1,IF(C4063&lt;99,VLOOKUP(C4063,'MSA-Lookup'!$H$1:$I$86,2),C4063),C4063)</f>
        <v>8720</v>
      </c>
      <c r="G4063" s="0" t="n">
        <f aca="false">VLOOKUP(E4063,'MSA-Lookup'!$AA$1:$AB$25,2)</f>
        <v>4472</v>
      </c>
      <c r="H4063" s="0" t="n">
        <f aca="false">IF(C4063&gt;1,IF(C4063&lt;99,VLOOKUP(F4063,'MSA-Lookup'!$AA$1:$AB$25,2),C4063),C4063)</f>
        <v>7362</v>
      </c>
    </row>
    <row r="4064" customFormat="false" ht="12.75" hidden="false" customHeight="false" outlineLevel="0" collapsed="false">
      <c r="A4064" s="0" t="n">
        <f aca="false">B4064*1000+C4064</f>
        <v>59017</v>
      </c>
      <c r="B4064" s="0" t="n">
        <v>59</v>
      </c>
      <c r="C4064" s="0" t="n">
        <v>17</v>
      </c>
      <c r="D4064" s="0" t="n">
        <v>0</v>
      </c>
      <c r="E4064" s="0" t="n">
        <f aca="false">VLOOKUP(B4064,'MSA-Lookup'!$H$2:$I$86,2)</f>
        <v>4480</v>
      </c>
      <c r="F4064" s="0" t="n">
        <f aca="false">IF(C4064&gt;1,IF(C4064&lt;99,VLOOKUP(C4064,'MSA-Lookup'!$H$1:$I$86,2),C4064),C4064)</f>
        <v>5775</v>
      </c>
      <c r="G4064" s="0" t="n">
        <f aca="false">VLOOKUP(E4064,'MSA-Lookup'!$AA$1:$AB$25,2)</f>
        <v>4472</v>
      </c>
      <c r="H4064" s="0" t="n">
        <f aca="false">IF(C4064&gt;1,IF(C4064&lt;99,VLOOKUP(F4064,'MSA-Lookup'!$AA$1:$AB$25,2),C4064),C4064)</f>
        <v>7362</v>
      </c>
    </row>
    <row r="4065" customFormat="false" ht="12.75" hidden="false" customHeight="false" outlineLevel="0" collapsed="false">
      <c r="A4065" s="0" t="n">
        <f aca="false">B4065*1000+C4065</f>
        <v>59018</v>
      </c>
      <c r="B4065" s="0" t="n">
        <v>59</v>
      </c>
      <c r="C4065" s="0" t="n">
        <v>18</v>
      </c>
      <c r="D4065" s="0" t="n">
        <v>0</v>
      </c>
      <c r="E4065" s="0" t="n">
        <f aca="false">VLOOKUP(B4065,'MSA-Lookup'!$H$2:$I$86,2)</f>
        <v>4480</v>
      </c>
      <c r="F4065" s="0" t="n">
        <f aca="false">IF(C4065&gt;1,IF(C4065&lt;99,VLOOKUP(C4065,'MSA-Lookup'!$H$1:$I$86,2),C4065),C4065)</f>
        <v>5775</v>
      </c>
      <c r="G4065" s="0" t="n">
        <f aca="false">VLOOKUP(E4065,'MSA-Lookup'!$AA$1:$AB$25,2)</f>
        <v>4472</v>
      </c>
      <c r="H4065" s="0" t="n">
        <f aca="false">IF(C4065&gt;1,IF(C4065&lt;99,VLOOKUP(F4065,'MSA-Lookup'!$AA$1:$AB$25,2),C4065),C4065)</f>
        <v>7362</v>
      </c>
    </row>
    <row r="4066" customFormat="false" ht="12.75" hidden="false" customHeight="false" outlineLevel="0" collapsed="false">
      <c r="A4066" s="0" t="n">
        <f aca="false">B4066*1000+C4066</f>
        <v>59019</v>
      </c>
      <c r="B4066" s="0" t="n">
        <v>59</v>
      </c>
      <c r="C4066" s="0" t="n">
        <v>19</v>
      </c>
      <c r="D4066" s="0" t="n">
        <v>0</v>
      </c>
      <c r="E4066" s="0" t="n">
        <f aca="false">VLOOKUP(B4066,'MSA-Lookup'!$H$2:$I$86,2)</f>
        <v>4480</v>
      </c>
      <c r="F4066" s="0" t="n">
        <f aca="false">IF(C4066&gt;1,IF(C4066&lt;99,VLOOKUP(C4066,'MSA-Lookup'!$H$1:$I$86,2),C4066),C4066)</f>
        <v>7360</v>
      </c>
      <c r="G4066" s="0" t="n">
        <f aca="false">VLOOKUP(E4066,'MSA-Lookup'!$AA$1:$AB$25,2)</f>
        <v>4472</v>
      </c>
      <c r="H4066" s="0" t="n">
        <f aca="false">IF(C4066&gt;1,IF(C4066&lt;99,VLOOKUP(F4066,'MSA-Lookup'!$AA$1:$AB$25,2),C4066),C4066)</f>
        <v>7362</v>
      </c>
    </row>
    <row r="4067" customFormat="false" ht="12.75" hidden="false" customHeight="false" outlineLevel="0" collapsed="false">
      <c r="A4067" s="0" t="n">
        <f aca="false">B4067*1000+C4067</f>
        <v>59020</v>
      </c>
      <c r="B4067" s="0" t="n">
        <v>59</v>
      </c>
      <c r="C4067" s="0" t="n">
        <v>20</v>
      </c>
      <c r="D4067" s="0" t="n">
        <v>0</v>
      </c>
      <c r="E4067" s="0" t="n">
        <f aca="false">VLOOKUP(B4067,'MSA-Lookup'!$H$2:$I$86,2)</f>
        <v>4480</v>
      </c>
      <c r="F4067" s="0" t="n">
        <f aca="false">IF(C4067&gt;1,IF(C4067&lt;99,VLOOKUP(C4067,'MSA-Lookup'!$H$1:$I$86,2),C4067),C4067)</f>
        <v>5775</v>
      </c>
      <c r="G4067" s="0" t="n">
        <f aca="false">VLOOKUP(E4067,'MSA-Lookup'!$AA$1:$AB$25,2)</f>
        <v>4472</v>
      </c>
      <c r="H4067" s="0" t="n">
        <f aca="false">IF(C4067&gt;1,IF(C4067&lt;99,VLOOKUP(F4067,'MSA-Lookup'!$AA$1:$AB$25,2),C4067),C4067)</f>
        <v>7362</v>
      </c>
    </row>
    <row r="4068" customFormat="false" ht="12.75" hidden="false" customHeight="false" outlineLevel="0" collapsed="false">
      <c r="A4068" s="0" t="n">
        <f aca="false">B4068*1000+C4068</f>
        <v>59021</v>
      </c>
      <c r="B4068" s="0" t="n">
        <v>59</v>
      </c>
      <c r="C4068" s="0" t="n">
        <v>21</v>
      </c>
      <c r="D4068" s="0" t="n">
        <v>0</v>
      </c>
      <c r="E4068" s="0" t="n">
        <f aca="false">VLOOKUP(B4068,'MSA-Lookup'!$H$2:$I$86,2)</f>
        <v>4480</v>
      </c>
      <c r="F4068" s="0" t="n">
        <f aca="false">IF(C4068&gt;1,IF(C4068&lt;99,VLOOKUP(C4068,'MSA-Lookup'!$H$1:$I$86,2),C4068),C4068)</f>
        <v>5775</v>
      </c>
      <c r="G4068" s="0" t="n">
        <f aca="false">VLOOKUP(E4068,'MSA-Lookup'!$AA$1:$AB$25,2)</f>
        <v>4472</v>
      </c>
      <c r="H4068" s="0" t="n">
        <f aca="false">IF(C4068&gt;1,IF(C4068&lt;99,VLOOKUP(F4068,'MSA-Lookup'!$AA$1:$AB$25,2),C4068),C4068)</f>
        <v>7362</v>
      </c>
    </row>
    <row r="4069" customFormat="false" ht="12.75" hidden="false" customHeight="false" outlineLevel="0" collapsed="false">
      <c r="A4069" s="0" t="n">
        <f aca="false">B4069*1000+C4069</f>
        <v>59022</v>
      </c>
      <c r="B4069" s="0" t="n">
        <v>59</v>
      </c>
      <c r="C4069" s="0" t="n">
        <v>22</v>
      </c>
      <c r="D4069" s="0" t="n">
        <v>0</v>
      </c>
      <c r="E4069" s="0" t="n">
        <f aca="false">VLOOKUP(B4069,'MSA-Lookup'!$H$2:$I$86,2)</f>
        <v>4480</v>
      </c>
      <c r="F4069" s="0" t="n">
        <f aca="false">IF(C4069&gt;1,IF(C4069&lt;99,VLOOKUP(C4069,'MSA-Lookup'!$H$1:$I$86,2),C4069),C4069)</f>
        <v>7360</v>
      </c>
      <c r="G4069" s="0" t="n">
        <f aca="false">VLOOKUP(E4069,'MSA-Lookup'!$AA$1:$AB$25,2)</f>
        <v>4472</v>
      </c>
      <c r="H4069" s="0" t="n">
        <f aca="false">IF(C4069&gt;1,IF(C4069&lt;99,VLOOKUP(F4069,'MSA-Lookup'!$AA$1:$AB$25,2),C4069),C4069)</f>
        <v>7362</v>
      </c>
    </row>
    <row r="4070" customFormat="false" ht="12.75" hidden="false" customHeight="false" outlineLevel="0" collapsed="false">
      <c r="A4070" s="0" t="n">
        <f aca="false">B4070*1000+C4070</f>
        <v>59023</v>
      </c>
      <c r="B4070" s="0" t="n">
        <v>59</v>
      </c>
      <c r="C4070" s="0" t="n">
        <v>23</v>
      </c>
      <c r="D4070" s="0" t="n">
        <v>0</v>
      </c>
      <c r="E4070" s="0" t="n">
        <f aca="false">VLOOKUP(B4070,'MSA-Lookup'!$H$2:$I$86,2)</f>
        <v>4480</v>
      </c>
      <c r="F4070" s="0" t="n">
        <f aca="false">IF(C4070&gt;1,IF(C4070&lt;99,VLOOKUP(C4070,'MSA-Lookup'!$H$1:$I$86,2),C4070),C4070)</f>
        <v>8120</v>
      </c>
      <c r="G4070" s="0" t="n">
        <f aca="false">VLOOKUP(E4070,'MSA-Lookup'!$AA$1:$AB$25,2)</f>
        <v>4472</v>
      </c>
      <c r="H4070" s="0" t="n">
        <f aca="false">IF(C4070&gt;1,IF(C4070&lt;99,VLOOKUP(F4070,'MSA-Lookup'!$AA$1:$AB$25,2),C4070),C4070)</f>
        <v>8120</v>
      </c>
    </row>
    <row r="4071" customFormat="false" ht="12.75" hidden="false" customHeight="false" outlineLevel="0" collapsed="false">
      <c r="A4071" s="0" t="n">
        <f aca="false">B4071*1000+C4071</f>
        <v>59024</v>
      </c>
      <c r="B4071" s="0" t="n">
        <v>59</v>
      </c>
      <c r="C4071" s="0" t="n">
        <v>24</v>
      </c>
      <c r="D4071" s="0" t="n">
        <v>0</v>
      </c>
      <c r="E4071" s="0" t="n">
        <f aca="false">VLOOKUP(B4071,'MSA-Lookup'!$H$2:$I$86,2)</f>
        <v>4480</v>
      </c>
      <c r="F4071" s="0" t="n">
        <f aca="false">IF(C4071&gt;1,IF(C4071&lt;99,VLOOKUP(C4071,'MSA-Lookup'!$H$1:$I$86,2),C4071),C4071)</f>
        <v>5170</v>
      </c>
      <c r="G4071" s="0" t="n">
        <f aca="false">VLOOKUP(E4071,'MSA-Lookup'!$AA$1:$AB$25,2)</f>
        <v>4472</v>
      </c>
      <c r="H4071" s="0" t="n">
        <f aca="false">IF(C4071&gt;1,IF(C4071&lt;99,VLOOKUP(F4071,'MSA-Lookup'!$AA$1:$AB$25,2),C4071),C4071)</f>
        <v>5170</v>
      </c>
    </row>
    <row r="4072" customFormat="false" ht="12.75" hidden="false" customHeight="false" outlineLevel="0" collapsed="false">
      <c r="A4072" s="0" t="n">
        <f aca="false">B4072*1000+C4072</f>
        <v>59025</v>
      </c>
      <c r="B4072" s="0" t="n">
        <v>59</v>
      </c>
      <c r="C4072" s="0" t="n">
        <v>25</v>
      </c>
      <c r="D4072" s="0" t="n">
        <v>0</v>
      </c>
      <c r="E4072" s="0" t="n">
        <f aca="false">VLOOKUP(B4072,'MSA-Lookup'!$H$2:$I$86,2)</f>
        <v>4480</v>
      </c>
      <c r="F4072" s="0" t="n">
        <f aca="false">IF(C4072&gt;1,IF(C4072&lt;99,VLOOKUP(C4072,'MSA-Lookup'!$H$1:$I$86,2),C4072),C4072)</f>
        <v>5170</v>
      </c>
      <c r="G4072" s="0" t="n">
        <f aca="false">VLOOKUP(E4072,'MSA-Lookup'!$AA$1:$AB$25,2)</f>
        <v>4472</v>
      </c>
      <c r="H4072" s="0" t="n">
        <f aca="false">IF(C4072&gt;1,IF(C4072&lt;99,VLOOKUP(F4072,'MSA-Lookup'!$AA$1:$AB$25,2),C4072),C4072)</f>
        <v>5170</v>
      </c>
    </row>
    <row r="4073" customFormat="false" ht="12.75" hidden="false" customHeight="false" outlineLevel="0" collapsed="false">
      <c r="A4073" s="0" t="n">
        <f aca="false">B4073*1000+C4073</f>
        <v>59026</v>
      </c>
      <c r="B4073" s="0" t="n">
        <v>59</v>
      </c>
      <c r="C4073" s="0" t="n">
        <v>26</v>
      </c>
      <c r="D4073" s="0" t="n">
        <v>0</v>
      </c>
      <c r="E4073" s="0" t="n">
        <f aca="false">VLOOKUP(B4073,'MSA-Lookup'!$H$2:$I$86,2)</f>
        <v>4480</v>
      </c>
      <c r="F4073" s="0" t="n">
        <f aca="false">IF(C4073&gt;1,IF(C4073&lt;99,VLOOKUP(C4073,'MSA-Lookup'!$H$1:$I$86,2),C4073),C4073)</f>
        <v>9999</v>
      </c>
      <c r="G4073" s="0" t="n">
        <f aca="false">VLOOKUP(E4073,'MSA-Lookup'!$AA$1:$AB$25,2)</f>
        <v>4472</v>
      </c>
      <c r="H4073" s="0" t="n">
        <f aca="false">IF(C4073&gt;1,IF(C4073&lt;99,VLOOKUP(F4073,'MSA-Lookup'!$AA$1:$AB$25,2),C4073),C4073)</f>
        <v>9999</v>
      </c>
    </row>
    <row r="4074" customFormat="false" ht="12.75" hidden="false" customHeight="false" outlineLevel="0" collapsed="false">
      <c r="A4074" s="0" t="n">
        <f aca="false">B4074*1000+C4074</f>
        <v>59027</v>
      </c>
      <c r="B4074" s="0" t="n">
        <v>59</v>
      </c>
      <c r="C4074" s="0" t="n">
        <v>27</v>
      </c>
      <c r="D4074" s="0" t="n">
        <v>0</v>
      </c>
      <c r="E4074" s="0" t="n">
        <f aca="false">VLOOKUP(B4074,'MSA-Lookup'!$H$2:$I$86,2)</f>
        <v>4480</v>
      </c>
      <c r="F4074" s="0" t="n">
        <f aca="false">IF(C4074&gt;1,IF(C4074&lt;99,VLOOKUP(C4074,'MSA-Lookup'!$H$1:$I$86,2),C4074),C4074)</f>
        <v>9999</v>
      </c>
      <c r="G4074" s="0" t="n">
        <f aca="false">VLOOKUP(E4074,'MSA-Lookup'!$AA$1:$AB$25,2)</f>
        <v>4472</v>
      </c>
      <c r="H4074" s="0" t="n">
        <f aca="false">IF(C4074&gt;1,IF(C4074&lt;99,VLOOKUP(F4074,'MSA-Lookup'!$AA$1:$AB$25,2),C4074),C4074)</f>
        <v>9999</v>
      </c>
    </row>
    <row r="4075" customFormat="false" ht="12.75" hidden="false" customHeight="false" outlineLevel="0" collapsed="false">
      <c r="A4075" s="0" t="n">
        <f aca="false">B4075*1000+C4075</f>
        <v>59028</v>
      </c>
      <c r="B4075" s="0" t="n">
        <v>59</v>
      </c>
      <c r="C4075" s="0" t="n">
        <v>28</v>
      </c>
      <c r="D4075" s="0" t="n">
        <v>0</v>
      </c>
      <c r="E4075" s="0" t="n">
        <f aca="false">VLOOKUP(B4075,'MSA-Lookup'!$H$2:$I$86,2)</f>
        <v>4480</v>
      </c>
      <c r="F4075" s="0" t="n">
        <f aca="false">IF(C4075&gt;1,IF(C4075&lt;99,VLOOKUP(C4075,'MSA-Lookup'!$H$1:$I$86,2),C4075),C4075)</f>
        <v>6920</v>
      </c>
      <c r="G4075" s="0" t="n">
        <f aca="false">VLOOKUP(E4075,'MSA-Lookup'!$AA$1:$AB$25,2)</f>
        <v>4472</v>
      </c>
      <c r="H4075" s="0" t="n">
        <f aca="false">IF(C4075&gt;1,IF(C4075&lt;99,VLOOKUP(F4075,'MSA-Lookup'!$AA$1:$AB$25,2),C4075),C4075)</f>
        <v>6920</v>
      </c>
    </row>
    <row r="4076" customFormat="false" ht="12.75" hidden="false" customHeight="false" outlineLevel="0" collapsed="false">
      <c r="A4076" s="0" t="n">
        <f aca="false">B4076*1000+C4076</f>
        <v>59029</v>
      </c>
      <c r="B4076" s="0" t="n">
        <v>59</v>
      </c>
      <c r="C4076" s="0" t="n">
        <v>29</v>
      </c>
      <c r="D4076" s="0" t="n">
        <v>0</v>
      </c>
      <c r="E4076" s="0" t="n">
        <f aca="false">VLOOKUP(B4076,'MSA-Lookup'!$H$2:$I$86,2)</f>
        <v>4480</v>
      </c>
      <c r="F4076" s="0" t="n">
        <f aca="false">IF(C4076&gt;1,IF(C4076&lt;99,VLOOKUP(C4076,'MSA-Lookup'!$H$1:$I$86,2),C4076),C4076)</f>
        <v>6920</v>
      </c>
      <c r="G4076" s="0" t="n">
        <f aca="false">VLOOKUP(E4076,'MSA-Lookup'!$AA$1:$AB$25,2)</f>
        <v>4472</v>
      </c>
      <c r="H4076" s="0" t="n">
        <f aca="false">IF(C4076&gt;1,IF(C4076&lt;99,VLOOKUP(F4076,'MSA-Lookup'!$AA$1:$AB$25,2),C4076),C4076)</f>
        <v>6920</v>
      </c>
    </row>
    <row r="4077" customFormat="false" ht="12.75" hidden="false" customHeight="false" outlineLevel="0" collapsed="false">
      <c r="A4077" s="0" t="n">
        <f aca="false">B4077*1000+C4077</f>
        <v>59030</v>
      </c>
      <c r="B4077" s="0" t="n">
        <v>59</v>
      </c>
      <c r="C4077" s="0" t="n">
        <v>30</v>
      </c>
      <c r="D4077" s="0" t="n">
        <v>0</v>
      </c>
      <c r="E4077" s="0" t="n">
        <f aca="false">VLOOKUP(B4077,'MSA-Lookup'!$H$2:$I$86,2)</f>
        <v>4480</v>
      </c>
      <c r="F4077" s="0" t="n">
        <f aca="false">IF(C4077&gt;1,IF(C4077&lt;99,VLOOKUP(C4077,'MSA-Lookup'!$H$1:$I$86,2),C4077),C4077)</f>
        <v>4940</v>
      </c>
      <c r="G4077" s="0" t="n">
        <f aca="false">VLOOKUP(E4077,'MSA-Lookup'!$AA$1:$AB$25,2)</f>
        <v>4472</v>
      </c>
      <c r="H4077" s="0" t="n">
        <f aca="false">IF(C4077&gt;1,IF(C4077&lt;99,VLOOKUP(F4077,'MSA-Lookup'!$AA$1:$AB$25,2),C4077),C4077)</f>
        <v>4940</v>
      </c>
    </row>
    <row r="4078" customFormat="false" ht="12.75" hidden="false" customHeight="false" outlineLevel="0" collapsed="false">
      <c r="A4078" s="0" t="n">
        <f aca="false">B4078*1000+C4078</f>
        <v>59031</v>
      </c>
      <c r="B4078" s="0" t="n">
        <v>59</v>
      </c>
      <c r="C4078" s="0" t="n">
        <v>31</v>
      </c>
      <c r="D4078" s="0" t="n">
        <v>0</v>
      </c>
      <c r="E4078" s="0" t="n">
        <f aca="false">VLOOKUP(B4078,'MSA-Lookup'!$H$2:$I$86,2)</f>
        <v>4480</v>
      </c>
      <c r="F4078" s="0" t="n">
        <f aca="false">IF(C4078&gt;1,IF(C4078&lt;99,VLOOKUP(C4078,'MSA-Lookup'!$H$1:$I$86,2),C4078),C4078)</f>
        <v>9999</v>
      </c>
      <c r="G4078" s="0" t="n">
        <f aca="false">VLOOKUP(E4078,'MSA-Lookup'!$AA$1:$AB$25,2)</f>
        <v>4472</v>
      </c>
      <c r="H4078" s="0" t="n">
        <f aca="false">IF(C4078&gt;1,IF(C4078&lt;99,VLOOKUP(F4078,'MSA-Lookup'!$AA$1:$AB$25,2),C4078),C4078)</f>
        <v>9999</v>
      </c>
    </row>
    <row r="4079" customFormat="false" ht="12.75" hidden="false" customHeight="false" outlineLevel="0" collapsed="false">
      <c r="A4079" s="0" t="n">
        <f aca="false">B4079*1000+C4079</f>
        <v>59032</v>
      </c>
      <c r="B4079" s="0" t="n">
        <v>59</v>
      </c>
      <c r="C4079" s="0" t="n">
        <v>32</v>
      </c>
      <c r="D4079" s="0" t="n">
        <v>0</v>
      </c>
      <c r="E4079" s="0" t="n">
        <f aca="false">VLOOKUP(B4079,'MSA-Lookup'!$H$2:$I$86,2)</f>
        <v>4480</v>
      </c>
      <c r="F4079" s="0" t="n">
        <f aca="false">IF(C4079&gt;1,IF(C4079&lt;99,VLOOKUP(C4079,'MSA-Lookup'!$H$1:$I$86,2),C4079),C4079)</f>
        <v>7480</v>
      </c>
      <c r="G4079" s="0" t="n">
        <f aca="false">VLOOKUP(E4079,'MSA-Lookup'!$AA$1:$AB$25,2)</f>
        <v>4472</v>
      </c>
      <c r="H4079" s="0" t="n">
        <f aca="false">IF(C4079&gt;1,IF(C4079&lt;99,VLOOKUP(F4079,'MSA-Lookup'!$AA$1:$AB$25,2),C4079),C4079)</f>
        <v>7480</v>
      </c>
    </row>
    <row r="4080" customFormat="false" ht="12.75" hidden="false" customHeight="false" outlineLevel="0" collapsed="false">
      <c r="A4080" s="0" t="n">
        <f aca="false">B4080*1000+C4080</f>
        <v>59033</v>
      </c>
      <c r="B4080" s="0" t="n">
        <v>59</v>
      </c>
      <c r="C4080" s="0" t="n">
        <v>33</v>
      </c>
      <c r="D4080" s="0" t="n">
        <v>0</v>
      </c>
      <c r="E4080" s="0" t="n">
        <f aca="false">VLOOKUP(B4080,'MSA-Lookup'!$H$2:$I$86,2)</f>
        <v>4480</v>
      </c>
      <c r="F4080" s="0" t="n">
        <f aca="false">IF(C4080&gt;1,IF(C4080&lt;99,VLOOKUP(C4080,'MSA-Lookup'!$H$1:$I$86,2),C4080),C4080)</f>
        <v>7320</v>
      </c>
      <c r="G4080" s="0" t="n">
        <f aca="false">VLOOKUP(E4080,'MSA-Lookup'!$AA$1:$AB$25,2)</f>
        <v>4472</v>
      </c>
      <c r="H4080" s="0" t="n">
        <f aca="false">IF(C4080&gt;1,IF(C4080&lt;99,VLOOKUP(F4080,'MSA-Lookup'!$AA$1:$AB$25,2),C4080),C4080)</f>
        <v>7320</v>
      </c>
    </row>
    <row r="4081" customFormat="false" ht="12.75" hidden="false" customHeight="false" outlineLevel="0" collapsed="false">
      <c r="A4081" s="0" t="n">
        <f aca="false">B4081*1000+C4081</f>
        <v>59034</v>
      </c>
      <c r="B4081" s="0" t="n">
        <v>59</v>
      </c>
      <c r="C4081" s="0" t="n">
        <v>34</v>
      </c>
      <c r="D4081" s="0" t="n">
        <v>0</v>
      </c>
      <c r="E4081" s="0" t="n">
        <f aca="false">VLOOKUP(B4081,'MSA-Lookup'!$H$2:$I$86,2)</f>
        <v>4480</v>
      </c>
      <c r="F4081" s="0" t="n">
        <f aca="false">IF(C4081&gt;1,IF(C4081&lt;99,VLOOKUP(C4081,'MSA-Lookup'!$H$1:$I$86,2),C4081),C4081)</f>
        <v>7320</v>
      </c>
      <c r="G4081" s="0" t="n">
        <f aca="false">VLOOKUP(E4081,'MSA-Lookup'!$AA$1:$AB$25,2)</f>
        <v>4472</v>
      </c>
      <c r="H4081" s="0" t="n">
        <f aca="false">IF(C4081&gt;1,IF(C4081&lt;99,VLOOKUP(F4081,'MSA-Lookup'!$AA$1:$AB$25,2),C4081),C4081)</f>
        <v>7320</v>
      </c>
    </row>
    <row r="4082" customFormat="false" ht="12.75" hidden="false" customHeight="false" outlineLevel="0" collapsed="false">
      <c r="A4082" s="0" t="n">
        <f aca="false">B4082*1000+C4082</f>
        <v>59035</v>
      </c>
      <c r="B4082" s="0" t="n">
        <v>59</v>
      </c>
      <c r="C4082" s="0" t="n">
        <v>35</v>
      </c>
      <c r="D4082" s="0" t="n">
        <v>52</v>
      </c>
      <c r="E4082" s="0" t="n">
        <f aca="false">VLOOKUP(B4082,'MSA-Lookup'!$H$2:$I$86,2)</f>
        <v>4480</v>
      </c>
      <c r="F4082" s="0" t="n">
        <f aca="false">IF(C4082&gt;1,IF(C4082&lt;99,VLOOKUP(C4082,'MSA-Lookup'!$H$1:$I$86,2),C4082),C4082)</f>
        <v>7320</v>
      </c>
      <c r="G4082" s="0" t="n">
        <f aca="false">VLOOKUP(E4082,'MSA-Lookup'!$AA$1:$AB$25,2)</f>
        <v>4472</v>
      </c>
      <c r="H4082" s="0" t="n">
        <f aca="false">IF(C4082&gt;1,IF(C4082&lt;99,VLOOKUP(F4082,'MSA-Lookup'!$AA$1:$AB$25,2),C4082),C4082)</f>
        <v>7320</v>
      </c>
    </row>
    <row r="4083" customFormat="false" ht="12.75" hidden="false" customHeight="false" outlineLevel="0" collapsed="false">
      <c r="A4083" s="0" t="n">
        <f aca="false">B4083*1000+C4083</f>
        <v>59036</v>
      </c>
      <c r="B4083" s="0" t="n">
        <v>59</v>
      </c>
      <c r="C4083" s="0" t="n">
        <v>36</v>
      </c>
      <c r="D4083" s="0" t="n">
        <v>0</v>
      </c>
      <c r="E4083" s="0" t="n">
        <f aca="false">VLOOKUP(B4083,'MSA-Lookup'!$H$2:$I$86,2)</f>
        <v>4480</v>
      </c>
      <c r="F4083" s="0" t="n">
        <f aca="false">IF(C4083&gt;1,IF(C4083&lt;99,VLOOKUP(C4083,'MSA-Lookup'!$H$1:$I$86,2),C4083),C4083)</f>
        <v>7320</v>
      </c>
      <c r="G4083" s="0" t="n">
        <f aca="false">VLOOKUP(E4083,'MSA-Lookup'!$AA$1:$AB$25,2)</f>
        <v>4472</v>
      </c>
      <c r="H4083" s="0" t="n">
        <f aca="false">IF(C4083&gt;1,IF(C4083&lt;99,VLOOKUP(F4083,'MSA-Lookup'!$AA$1:$AB$25,2),C4083),C4083)</f>
        <v>7320</v>
      </c>
    </row>
    <row r="4084" customFormat="false" ht="12.75" hidden="false" customHeight="false" outlineLevel="0" collapsed="false">
      <c r="A4084" s="0" t="n">
        <f aca="false">B4084*1000+C4084</f>
        <v>59037</v>
      </c>
      <c r="B4084" s="0" t="n">
        <v>59</v>
      </c>
      <c r="C4084" s="0" t="n">
        <v>37</v>
      </c>
      <c r="D4084" s="0" t="n">
        <v>143</v>
      </c>
      <c r="E4084" s="0" t="n">
        <f aca="false">VLOOKUP(B4084,'MSA-Lookup'!$H$2:$I$86,2)</f>
        <v>4480</v>
      </c>
      <c r="F4084" s="0" t="n">
        <f aca="false">IF(C4084&gt;1,IF(C4084&lt;99,VLOOKUP(C4084,'MSA-Lookup'!$H$1:$I$86,2),C4084),C4084)</f>
        <v>7320</v>
      </c>
      <c r="G4084" s="0" t="n">
        <f aca="false">VLOOKUP(E4084,'MSA-Lookup'!$AA$1:$AB$25,2)</f>
        <v>4472</v>
      </c>
      <c r="H4084" s="0" t="n">
        <f aca="false">IF(C4084&gt;1,IF(C4084&lt;99,VLOOKUP(F4084,'MSA-Lookup'!$AA$1:$AB$25,2),C4084),C4084)</f>
        <v>7320</v>
      </c>
    </row>
    <row r="4085" customFormat="false" ht="12.75" hidden="false" customHeight="false" outlineLevel="0" collapsed="false">
      <c r="A4085" s="0" t="n">
        <f aca="false">B4085*1000+C4085</f>
        <v>59038</v>
      </c>
      <c r="B4085" s="0" t="n">
        <v>59</v>
      </c>
      <c r="C4085" s="0" t="n">
        <v>38</v>
      </c>
      <c r="D4085" s="0" t="n">
        <v>0</v>
      </c>
      <c r="E4085" s="0" t="n">
        <f aca="false">VLOOKUP(B4085,'MSA-Lookup'!$H$2:$I$86,2)</f>
        <v>4480</v>
      </c>
      <c r="F4085" s="0" t="n">
        <f aca="false">IF(C4085&gt;1,IF(C4085&lt;99,VLOOKUP(C4085,'MSA-Lookup'!$H$1:$I$86,2),C4085),C4085)</f>
        <v>7120</v>
      </c>
      <c r="G4085" s="0" t="n">
        <f aca="false">VLOOKUP(E4085,'MSA-Lookup'!$AA$1:$AB$25,2)</f>
        <v>4472</v>
      </c>
      <c r="H4085" s="0" t="n">
        <f aca="false">IF(C4085&gt;1,IF(C4085&lt;99,VLOOKUP(F4085,'MSA-Lookup'!$AA$1:$AB$25,2),C4085),C4085)</f>
        <v>7120</v>
      </c>
    </row>
    <row r="4086" customFormat="false" ht="12.75" hidden="false" customHeight="false" outlineLevel="0" collapsed="false">
      <c r="A4086" s="0" t="n">
        <f aca="false">B4086*1000+C4086</f>
        <v>59039</v>
      </c>
      <c r="B4086" s="0" t="n">
        <v>59</v>
      </c>
      <c r="C4086" s="0" t="n">
        <v>39</v>
      </c>
      <c r="D4086" s="0" t="n">
        <v>0</v>
      </c>
      <c r="E4086" s="0" t="n">
        <f aca="false">VLOOKUP(B4086,'MSA-Lookup'!$H$2:$I$86,2)</f>
        <v>4480</v>
      </c>
      <c r="F4086" s="0" t="n">
        <f aca="false">IF(C4086&gt;1,IF(C4086&lt;99,VLOOKUP(C4086,'MSA-Lookup'!$H$1:$I$86,2),C4086),C4086)</f>
        <v>7120</v>
      </c>
      <c r="G4086" s="0" t="n">
        <f aca="false">VLOOKUP(E4086,'MSA-Lookup'!$AA$1:$AB$25,2)</f>
        <v>4472</v>
      </c>
      <c r="H4086" s="0" t="n">
        <f aca="false">IF(C4086&gt;1,IF(C4086&lt;99,VLOOKUP(F4086,'MSA-Lookup'!$AA$1:$AB$25,2),C4086),C4086)</f>
        <v>7120</v>
      </c>
    </row>
    <row r="4087" customFormat="false" ht="12.75" hidden="false" customHeight="false" outlineLevel="0" collapsed="false">
      <c r="A4087" s="0" t="n">
        <f aca="false">B4087*1000+C4087</f>
        <v>59040</v>
      </c>
      <c r="B4087" s="0" t="n">
        <v>59</v>
      </c>
      <c r="C4087" s="0" t="n">
        <v>40</v>
      </c>
      <c r="D4087" s="0" t="n">
        <v>0</v>
      </c>
      <c r="E4087" s="0" t="n">
        <f aca="false">VLOOKUP(B4087,'MSA-Lookup'!$H$2:$I$86,2)</f>
        <v>4480</v>
      </c>
      <c r="F4087" s="0" t="n">
        <f aca="false">IF(C4087&gt;1,IF(C4087&lt;99,VLOOKUP(C4087,'MSA-Lookup'!$H$1:$I$86,2),C4087),C4087)</f>
        <v>2840</v>
      </c>
      <c r="G4087" s="0" t="n">
        <f aca="false">VLOOKUP(E4087,'MSA-Lookup'!$AA$1:$AB$25,2)</f>
        <v>4472</v>
      </c>
      <c r="H4087" s="0" t="n">
        <f aca="false">IF(C4087&gt;1,IF(C4087&lt;99,VLOOKUP(F4087,'MSA-Lookup'!$AA$1:$AB$25,2),C4087),C4087)</f>
        <v>2840</v>
      </c>
    </row>
    <row r="4088" customFormat="false" ht="12.75" hidden="false" customHeight="false" outlineLevel="0" collapsed="false">
      <c r="A4088" s="0" t="n">
        <f aca="false">B4088*1000+C4088</f>
        <v>59041</v>
      </c>
      <c r="B4088" s="0" t="n">
        <v>59</v>
      </c>
      <c r="C4088" s="0" t="n">
        <v>41</v>
      </c>
      <c r="D4088" s="0" t="n">
        <v>91</v>
      </c>
      <c r="E4088" s="0" t="n">
        <f aca="false">VLOOKUP(B4088,'MSA-Lookup'!$H$2:$I$86,2)</f>
        <v>4480</v>
      </c>
      <c r="F4088" s="0" t="n">
        <f aca="false">IF(C4088&gt;1,IF(C4088&lt;99,VLOOKUP(C4088,'MSA-Lookup'!$H$1:$I$86,2),C4088),C4088)</f>
        <v>2840</v>
      </c>
      <c r="G4088" s="0" t="n">
        <f aca="false">VLOOKUP(E4088,'MSA-Lookup'!$AA$1:$AB$25,2)</f>
        <v>4472</v>
      </c>
      <c r="H4088" s="0" t="n">
        <f aca="false">IF(C4088&gt;1,IF(C4088&lt;99,VLOOKUP(F4088,'MSA-Lookup'!$AA$1:$AB$25,2),C4088),C4088)</f>
        <v>2840</v>
      </c>
    </row>
    <row r="4089" customFormat="false" ht="12.75" hidden="false" customHeight="false" outlineLevel="0" collapsed="false">
      <c r="A4089" s="0" t="n">
        <f aca="false">B4089*1000+C4089</f>
        <v>59042</v>
      </c>
      <c r="B4089" s="0" t="n">
        <v>59</v>
      </c>
      <c r="C4089" s="0" t="n">
        <v>42</v>
      </c>
      <c r="D4089" s="0" t="n">
        <v>845</v>
      </c>
      <c r="E4089" s="0" t="n">
        <f aca="false">VLOOKUP(B4089,'MSA-Lookup'!$H$2:$I$86,2)</f>
        <v>4480</v>
      </c>
      <c r="F4089" s="0" t="n">
        <f aca="false">IF(C4089&gt;1,IF(C4089&lt;99,VLOOKUP(C4089,'MSA-Lookup'!$H$1:$I$86,2),C4089),C4089)</f>
        <v>360</v>
      </c>
      <c r="G4089" s="0" t="n">
        <f aca="false">VLOOKUP(E4089,'MSA-Lookup'!$AA$1:$AB$25,2)</f>
        <v>4472</v>
      </c>
      <c r="H4089" s="0" t="n">
        <f aca="false">IF(C4089&gt;1,IF(C4089&lt;99,VLOOKUP(F4089,'MSA-Lookup'!$AA$1:$AB$25,2),C4089),C4089)</f>
        <v>4472</v>
      </c>
    </row>
    <row r="4090" customFormat="false" ht="12.75" hidden="false" customHeight="false" outlineLevel="0" collapsed="false">
      <c r="A4090" s="0" t="n">
        <f aca="false">B4090*1000+C4090</f>
        <v>59043</v>
      </c>
      <c r="B4090" s="0" t="n">
        <v>59</v>
      </c>
      <c r="C4090" s="0" t="n">
        <v>43</v>
      </c>
      <c r="D4090" s="0" t="n">
        <v>0</v>
      </c>
      <c r="E4090" s="0" t="n">
        <f aca="false">VLOOKUP(B4090,'MSA-Lookup'!$H$2:$I$86,2)</f>
        <v>4480</v>
      </c>
      <c r="F4090" s="0" t="n">
        <f aca="false">IF(C4090&gt;1,IF(C4090&lt;99,VLOOKUP(C4090,'MSA-Lookup'!$H$1:$I$86,2),C4090),C4090)</f>
        <v>360</v>
      </c>
      <c r="G4090" s="0" t="n">
        <f aca="false">VLOOKUP(E4090,'MSA-Lookup'!$AA$1:$AB$25,2)</f>
        <v>4472</v>
      </c>
      <c r="H4090" s="0" t="n">
        <f aca="false">IF(C4090&gt;1,IF(C4090&lt;99,VLOOKUP(F4090,'MSA-Lookup'!$AA$1:$AB$25,2),C4090),C4090)</f>
        <v>4472</v>
      </c>
    </row>
    <row r="4091" customFormat="false" ht="12.75" hidden="false" customHeight="false" outlineLevel="0" collapsed="false">
      <c r="A4091" s="0" t="n">
        <f aca="false">B4091*1000+C4091</f>
        <v>59044</v>
      </c>
      <c r="B4091" s="0" t="n">
        <v>59</v>
      </c>
      <c r="C4091" s="0" t="n">
        <v>44</v>
      </c>
      <c r="D4091" s="0" t="n">
        <v>104</v>
      </c>
      <c r="E4091" s="0" t="n">
        <f aca="false">VLOOKUP(B4091,'MSA-Lookup'!$H$2:$I$86,2)</f>
        <v>4480</v>
      </c>
      <c r="F4091" s="0" t="n">
        <f aca="false">IF(C4091&gt;1,IF(C4091&lt;99,VLOOKUP(C4091,'MSA-Lookup'!$H$1:$I$86,2),C4091),C4091)</f>
        <v>360</v>
      </c>
      <c r="G4091" s="0" t="n">
        <f aca="false">VLOOKUP(E4091,'MSA-Lookup'!$AA$1:$AB$25,2)</f>
        <v>4472</v>
      </c>
      <c r="H4091" s="0" t="n">
        <f aca="false">IF(C4091&gt;1,IF(C4091&lt;99,VLOOKUP(F4091,'MSA-Lookup'!$AA$1:$AB$25,2),C4091),C4091)</f>
        <v>4472</v>
      </c>
    </row>
    <row r="4092" customFormat="false" ht="12.75" hidden="false" customHeight="false" outlineLevel="0" collapsed="false">
      <c r="A4092" s="0" t="n">
        <f aca="false">B4092*1000+C4092</f>
        <v>59045</v>
      </c>
      <c r="B4092" s="0" t="n">
        <v>59</v>
      </c>
      <c r="C4092" s="0" t="n">
        <v>45</v>
      </c>
      <c r="D4092" s="0" t="n">
        <v>0</v>
      </c>
      <c r="E4092" s="0" t="n">
        <f aca="false">VLOOKUP(B4092,'MSA-Lookup'!$H$2:$I$86,2)</f>
        <v>4480</v>
      </c>
      <c r="F4092" s="0" t="n">
        <f aca="false">IF(C4092&gt;1,IF(C4092&lt;99,VLOOKUP(C4092,'MSA-Lookup'!$H$1:$I$86,2),C4092),C4092)</f>
        <v>360</v>
      </c>
      <c r="G4092" s="0" t="n">
        <f aca="false">VLOOKUP(E4092,'MSA-Lookup'!$AA$1:$AB$25,2)</f>
        <v>4472</v>
      </c>
      <c r="H4092" s="0" t="n">
        <f aca="false">IF(C4092&gt;1,IF(C4092&lt;99,VLOOKUP(F4092,'MSA-Lookup'!$AA$1:$AB$25,2),C4092),C4092)</f>
        <v>4472</v>
      </c>
    </row>
    <row r="4093" customFormat="false" ht="12.75" hidden="false" customHeight="false" outlineLevel="0" collapsed="false">
      <c r="A4093" s="0" t="n">
        <f aca="false">B4093*1000+C4093</f>
        <v>59046</v>
      </c>
      <c r="B4093" s="0" t="n">
        <v>59</v>
      </c>
      <c r="C4093" s="0" t="n">
        <v>46</v>
      </c>
      <c r="D4093" s="0" t="n">
        <v>130</v>
      </c>
      <c r="E4093" s="0" t="n">
        <f aca="false">VLOOKUP(B4093,'MSA-Lookup'!$H$2:$I$86,2)</f>
        <v>4480</v>
      </c>
      <c r="F4093" s="0" t="n">
        <f aca="false">IF(C4093&gt;1,IF(C4093&lt;99,VLOOKUP(C4093,'MSA-Lookup'!$H$1:$I$86,2),C4093),C4093)</f>
        <v>360</v>
      </c>
      <c r="G4093" s="0" t="n">
        <f aca="false">VLOOKUP(E4093,'MSA-Lookup'!$AA$1:$AB$25,2)</f>
        <v>4472</v>
      </c>
      <c r="H4093" s="0" t="n">
        <f aca="false">IF(C4093&gt;1,IF(C4093&lt;99,VLOOKUP(F4093,'MSA-Lookup'!$AA$1:$AB$25,2),C4093),C4093)</f>
        <v>4472</v>
      </c>
    </row>
    <row r="4094" customFormat="false" ht="12.75" hidden="false" customHeight="false" outlineLevel="0" collapsed="false">
      <c r="A4094" s="0" t="n">
        <f aca="false">B4094*1000+C4094</f>
        <v>59047</v>
      </c>
      <c r="B4094" s="0" t="n">
        <v>59</v>
      </c>
      <c r="C4094" s="0" t="n">
        <v>47</v>
      </c>
      <c r="D4094" s="0" t="n">
        <v>130</v>
      </c>
      <c r="E4094" s="0" t="n">
        <f aca="false">VLOOKUP(B4094,'MSA-Lookup'!$H$2:$I$86,2)</f>
        <v>4480</v>
      </c>
      <c r="F4094" s="0" t="n">
        <f aca="false">IF(C4094&gt;1,IF(C4094&lt;99,VLOOKUP(C4094,'MSA-Lookup'!$H$1:$I$86,2),C4094),C4094)</f>
        <v>360</v>
      </c>
      <c r="G4094" s="0" t="n">
        <f aca="false">VLOOKUP(E4094,'MSA-Lookup'!$AA$1:$AB$25,2)</f>
        <v>4472</v>
      </c>
      <c r="H4094" s="0" t="n">
        <f aca="false">IF(C4094&gt;1,IF(C4094&lt;99,VLOOKUP(F4094,'MSA-Lookup'!$AA$1:$AB$25,2),C4094),C4094)</f>
        <v>4472</v>
      </c>
    </row>
    <row r="4095" customFormat="false" ht="12.75" hidden="false" customHeight="false" outlineLevel="0" collapsed="false">
      <c r="A4095" s="0" t="n">
        <f aca="false">B4095*1000+C4095</f>
        <v>59048</v>
      </c>
      <c r="B4095" s="0" t="n">
        <v>59</v>
      </c>
      <c r="C4095" s="0" t="n">
        <v>48</v>
      </c>
      <c r="D4095" s="0" t="n">
        <v>2405</v>
      </c>
      <c r="E4095" s="0" t="n">
        <f aca="false">VLOOKUP(B4095,'MSA-Lookup'!$H$2:$I$86,2)</f>
        <v>4480</v>
      </c>
      <c r="F4095" s="0" t="n">
        <f aca="false">IF(C4095&gt;1,IF(C4095&lt;99,VLOOKUP(C4095,'MSA-Lookup'!$H$1:$I$86,2),C4095),C4095)</f>
        <v>360</v>
      </c>
      <c r="G4095" s="0" t="n">
        <f aca="false">VLOOKUP(E4095,'MSA-Lookup'!$AA$1:$AB$25,2)</f>
        <v>4472</v>
      </c>
      <c r="H4095" s="0" t="n">
        <f aca="false">IF(C4095&gt;1,IF(C4095&lt;99,VLOOKUP(F4095,'MSA-Lookup'!$AA$1:$AB$25,2),C4095),C4095)</f>
        <v>4472</v>
      </c>
    </row>
    <row r="4096" customFormat="false" ht="12.75" hidden="false" customHeight="false" outlineLevel="0" collapsed="false">
      <c r="A4096" s="0" t="n">
        <f aca="false">B4096*1000+C4096</f>
        <v>59049</v>
      </c>
      <c r="B4096" s="0" t="n">
        <v>59</v>
      </c>
      <c r="C4096" s="0" t="n">
        <v>49</v>
      </c>
      <c r="D4096" s="0" t="n">
        <v>0</v>
      </c>
      <c r="E4096" s="0" t="n">
        <f aca="false">VLOOKUP(B4096,'MSA-Lookup'!$H$2:$I$86,2)</f>
        <v>4480</v>
      </c>
      <c r="F4096" s="0" t="n">
        <f aca="false">IF(C4096&gt;1,IF(C4096&lt;99,VLOOKUP(C4096,'MSA-Lookup'!$H$1:$I$86,2),C4096),C4096)</f>
        <v>7400</v>
      </c>
      <c r="G4096" s="0" t="n">
        <f aca="false">VLOOKUP(E4096,'MSA-Lookup'!$AA$1:$AB$25,2)</f>
        <v>4472</v>
      </c>
      <c r="H4096" s="0" t="n">
        <f aca="false">IF(C4096&gt;1,IF(C4096&lt;99,VLOOKUP(F4096,'MSA-Lookup'!$AA$1:$AB$25,2),C4096),C4096)</f>
        <v>7362</v>
      </c>
    </row>
    <row r="4097" customFormat="false" ht="12.75" hidden="false" customHeight="false" outlineLevel="0" collapsed="false">
      <c r="A4097" s="0" t="n">
        <f aca="false">B4097*1000+C4097</f>
        <v>59050</v>
      </c>
      <c r="B4097" s="0" t="n">
        <v>59</v>
      </c>
      <c r="C4097" s="0" t="n">
        <v>50</v>
      </c>
      <c r="D4097" s="0" t="n">
        <v>0</v>
      </c>
      <c r="E4097" s="0" t="n">
        <f aca="false">VLOOKUP(B4097,'MSA-Lookup'!$H$2:$I$86,2)</f>
        <v>4480</v>
      </c>
      <c r="F4097" s="0" t="n">
        <f aca="false">IF(C4097&gt;1,IF(C4097&lt;99,VLOOKUP(C4097,'MSA-Lookup'!$H$1:$I$86,2),C4097),C4097)</f>
        <v>7400</v>
      </c>
      <c r="G4097" s="0" t="n">
        <f aca="false">VLOOKUP(E4097,'MSA-Lookup'!$AA$1:$AB$25,2)</f>
        <v>4472</v>
      </c>
      <c r="H4097" s="0" t="n">
        <f aca="false">IF(C4097&gt;1,IF(C4097&lt;99,VLOOKUP(F4097,'MSA-Lookup'!$AA$1:$AB$25,2),C4097),C4097)</f>
        <v>7362</v>
      </c>
    </row>
    <row r="4098" customFormat="false" ht="12.75" hidden="false" customHeight="false" outlineLevel="0" collapsed="false">
      <c r="A4098" s="0" t="n">
        <f aca="false">B4098*1000+C4098</f>
        <v>59051</v>
      </c>
      <c r="B4098" s="0" t="n">
        <v>59</v>
      </c>
      <c r="C4098" s="0" t="n">
        <v>51</v>
      </c>
      <c r="D4098" s="0" t="n">
        <v>0</v>
      </c>
      <c r="E4098" s="0" t="n">
        <f aca="false">VLOOKUP(B4098,'MSA-Lookup'!$H$2:$I$86,2)</f>
        <v>4480</v>
      </c>
      <c r="F4098" s="0" t="n">
        <f aca="false">IF(C4098&gt;1,IF(C4098&lt;99,VLOOKUP(C4098,'MSA-Lookup'!$H$1:$I$86,2),C4098),C4098)</f>
        <v>7400</v>
      </c>
      <c r="G4098" s="0" t="n">
        <f aca="false">VLOOKUP(E4098,'MSA-Lookup'!$AA$1:$AB$25,2)</f>
        <v>4472</v>
      </c>
      <c r="H4098" s="0" t="n">
        <f aca="false">IF(C4098&gt;1,IF(C4098&lt;99,VLOOKUP(F4098,'MSA-Lookup'!$AA$1:$AB$25,2),C4098),C4098)</f>
        <v>7362</v>
      </c>
    </row>
    <row r="4099" customFormat="false" ht="12.75" hidden="false" customHeight="false" outlineLevel="0" collapsed="false">
      <c r="A4099" s="0" t="n">
        <f aca="false">B4099*1000+C4099</f>
        <v>59052</v>
      </c>
      <c r="B4099" s="0" t="n">
        <v>59</v>
      </c>
      <c r="C4099" s="0" t="n">
        <v>52</v>
      </c>
      <c r="D4099" s="0" t="n">
        <v>65</v>
      </c>
      <c r="E4099" s="0" t="n">
        <f aca="false">VLOOKUP(B4099,'MSA-Lookup'!$H$2:$I$86,2)</f>
        <v>4480</v>
      </c>
      <c r="F4099" s="0" t="n">
        <f aca="false">IF(C4099&gt;1,IF(C4099&lt;99,VLOOKUP(C4099,'MSA-Lookup'!$H$1:$I$86,2),C4099),C4099)</f>
        <v>4480</v>
      </c>
      <c r="G4099" s="0" t="n">
        <f aca="false">VLOOKUP(E4099,'MSA-Lookup'!$AA$1:$AB$25,2)</f>
        <v>4472</v>
      </c>
      <c r="H4099" s="0" t="n">
        <f aca="false">IF(C4099&gt;1,IF(C4099&lt;99,VLOOKUP(F4099,'MSA-Lookup'!$AA$1:$AB$25,2),C4099),C4099)</f>
        <v>4472</v>
      </c>
    </row>
    <row r="4100" customFormat="false" ht="12.75" hidden="false" customHeight="false" outlineLevel="0" collapsed="false">
      <c r="A4100" s="0" t="n">
        <f aca="false">B4100*1000+C4100</f>
        <v>59053</v>
      </c>
      <c r="B4100" s="0" t="n">
        <v>59</v>
      </c>
      <c r="C4100" s="0" t="n">
        <v>53</v>
      </c>
      <c r="D4100" s="0" t="n">
        <v>169</v>
      </c>
      <c r="E4100" s="0" t="n">
        <f aca="false">VLOOKUP(B4100,'MSA-Lookup'!$H$2:$I$86,2)</f>
        <v>4480</v>
      </c>
      <c r="F4100" s="0" t="n">
        <f aca="false">IF(C4100&gt;1,IF(C4100&lt;99,VLOOKUP(C4100,'MSA-Lookup'!$H$1:$I$86,2),C4100),C4100)</f>
        <v>4480</v>
      </c>
      <c r="G4100" s="0" t="n">
        <f aca="false">VLOOKUP(E4100,'MSA-Lookup'!$AA$1:$AB$25,2)</f>
        <v>4472</v>
      </c>
      <c r="H4100" s="0" t="n">
        <f aca="false">IF(C4100&gt;1,IF(C4100&lt;99,VLOOKUP(F4100,'MSA-Lookup'!$AA$1:$AB$25,2),C4100),C4100)</f>
        <v>4472</v>
      </c>
    </row>
    <row r="4101" customFormat="false" ht="12.75" hidden="false" customHeight="false" outlineLevel="0" collapsed="false">
      <c r="A4101" s="0" t="n">
        <f aca="false">B4101*1000+C4101</f>
        <v>59054</v>
      </c>
      <c r="B4101" s="0" t="n">
        <v>59</v>
      </c>
      <c r="C4101" s="0" t="n">
        <v>54</v>
      </c>
      <c r="D4101" s="0" t="n">
        <v>260</v>
      </c>
      <c r="E4101" s="0" t="n">
        <f aca="false">VLOOKUP(B4101,'MSA-Lookup'!$H$2:$I$86,2)</f>
        <v>4480</v>
      </c>
      <c r="F4101" s="0" t="n">
        <f aca="false">IF(C4101&gt;1,IF(C4101&lt;99,VLOOKUP(C4101,'MSA-Lookup'!$H$1:$I$86,2),C4101),C4101)</f>
        <v>4480</v>
      </c>
      <c r="G4101" s="0" t="n">
        <f aca="false">VLOOKUP(E4101,'MSA-Lookup'!$AA$1:$AB$25,2)</f>
        <v>4472</v>
      </c>
      <c r="H4101" s="0" t="n">
        <f aca="false">IF(C4101&gt;1,IF(C4101&lt;99,VLOOKUP(F4101,'MSA-Lookup'!$AA$1:$AB$25,2),C4101),C4101)</f>
        <v>4472</v>
      </c>
    </row>
    <row r="4102" customFormat="false" ht="12.75" hidden="false" customHeight="false" outlineLevel="0" collapsed="false">
      <c r="A4102" s="0" t="n">
        <f aca="false">B4102*1000+C4102</f>
        <v>59055</v>
      </c>
      <c r="B4102" s="0" t="n">
        <v>59</v>
      </c>
      <c r="C4102" s="0" t="n">
        <v>55</v>
      </c>
      <c r="D4102" s="0" t="n">
        <v>52</v>
      </c>
      <c r="E4102" s="0" t="n">
        <f aca="false">VLOOKUP(B4102,'MSA-Lookup'!$H$2:$I$86,2)</f>
        <v>4480</v>
      </c>
      <c r="F4102" s="0" t="n">
        <f aca="false">IF(C4102&gt;1,IF(C4102&lt;99,VLOOKUP(C4102,'MSA-Lookup'!$H$1:$I$86,2),C4102),C4102)</f>
        <v>4480</v>
      </c>
      <c r="G4102" s="0" t="n">
        <f aca="false">VLOOKUP(E4102,'MSA-Lookup'!$AA$1:$AB$25,2)</f>
        <v>4472</v>
      </c>
      <c r="H4102" s="0" t="n">
        <f aca="false">IF(C4102&gt;1,IF(C4102&lt;99,VLOOKUP(F4102,'MSA-Lookup'!$AA$1:$AB$25,2),C4102),C4102)</f>
        <v>4472</v>
      </c>
    </row>
    <row r="4103" customFormat="false" ht="12.75" hidden="false" customHeight="false" outlineLevel="0" collapsed="false">
      <c r="A4103" s="0" t="n">
        <f aca="false">B4103*1000+C4103</f>
        <v>59056</v>
      </c>
      <c r="B4103" s="0" t="n">
        <v>59</v>
      </c>
      <c r="C4103" s="0" t="n">
        <v>56</v>
      </c>
      <c r="D4103" s="0" t="n">
        <v>182</v>
      </c>
      <c r="E4103" s="0" t="n">
        <f aca="false">VLOOKUP(B4103,'MSA-Lookup'!$H$2:$I$86,2)</f>
        <v>4480</v>
      </c>
      <c r="F4103" s="0" t="n">
        <f aca="false">IF(C4103&gt;1,IF(C4103&lt;99,VLOOKUP(C4103,'MSA-Lookup'!$H$1:$I$86,2),C4103),C4103)</f>
        <v>4480</v>
      </c>
      <c r="G4103" s="0" t="n">
        <f aca="false">VLOOKUP(E4103,'MSA-Lookup'!$AA$1:$AB$25,2)</f>
        <v>4472</v>
      </c>
      <c r="H4103" s="0" t="n">
        <f aca="false">IF(C4103&gt;1,IF(C4103&lt;99,VLOOKUP(F4103,'MSA-Lookup'!$AA$1:$AB$25,2),C4103),C4103)</f>
        <v>4472</v>
      </c>
    </row>
    <row r="4104" customFormat="false" ht="12.75" hidden="false" customHeight="false" outlineLevel="0" collapsed="false">
      <c r="A4104" s="0" t="n">
        <f aca="false">B4104*1000+C4104</f>
        <v>59057</v>
      </c>
      <c r="B4104" s="0" t="n">
        <v>59</v>
      </c>
      <c r="C4104" s="0" t="n">
        <v>57</v>
      </c>
      <c r="D4104" s="0" t="n">
        <v>104</v>
      </c>
      <c r="E4104" s="0" t="n">
        <f aca="false">VLOOKUP(B4104,'MSA-Lookup'!$H$2:$I$86,2)</f>
        <v>4480</v>
      </c>
      <c r="F4104" s="0" t="n">
        <f aca="false">IF(C4104&gt;1,IF(C4104&lt;99,VLOOKUP(C4104,'MSA-Lookup'!$H$1:$I$86,2),C4104),C4104)</f>
        <v>4480</v>
      </c>
      <c r="G4104" s="0" t="n">
        <f aca="false">VLOOKUP(E4104,'MSA-Lookup'!$AA$1:$AB$25,2)</f>
        <v>4472</v>
      </c>
      <c r="H4104" s="0" t="n">
        <f aca="false">IF(C4104&gt;1,IF(C4104&lt;99,VLOOKUP(F4104,'MSA-Lookup'!$AA$1:$AB$25,2),C4104),C4104)</f>
        <v>4472</v>
      </c>
    </row>
    <row r="4105" customFormat="false" ht="12.75" hidden="false" customHeight="false" outlineLevel="0" collapsed="false">
      <c r="A4105" s="0" t="n">
        <f aca="false">B4105*1000+C4105</f>
        <v>59058</v>
      </c>
      <c r="B4105" s="0" t="n">
        <v>59</v>
      </c>
      <c r="C4105" s="0" t="n">
        <v>58</v>
      </c>
      <c r="D4105" s="0" t="n">
        <v>234</v>
      </c>
      <c r="E4105" s="0" t="n">
        <f aca="false">VLOOKUP(B4105,'MSA-Lookup'!$H$2:$I$86,2)</f>
        <v>4480</v>
      </c>
      <c r="F4105" s="0" t="n">
        <f aca="false">IF(C4105&gt;1,IF(C4105&lt;99,VLOOKUP(C4105,'MSA-Lookup'!$H$1:$I$86,2),C4105),C4105)</f>
        <v>4480</v>
      </c>
      <c r="G4105" s="0" t="n">
        <f aca="false">VLOOKUP(E4105,'MSA-Lookup'!$AA$1:$AB$25,2)</f>
        <v>4472</v>
      </c>
      <c r="H4105" s="0" t="n">
        <f aca="false">IF(C4105&gt;1,IF(C4105&lt;99,VLOOKUP(F4105,'MSA-Lookup'!$AA$1:$AB$25,2),C4105),C4105)</f>
        <v>4472</v>
      </c>
    </row>
    <row r="4106" customFormat="false" ht="12.75" hidden="false" customHeight="false" outlineLevel="0" collapsed="false">
      <c r="A4106" s="0" t="n">
        <f aca="false">B4106*1000+C4106</f>
        <v>59059</v>
      </c>
      <c r="B4106" s="0" t="n">
        <v>59</v>
      </c>
      <c r="C4106" s="0" t="n">
        <v>59</v>
      </c>
      <c r="D4106" s="0" t="n">
        <v>12337</v>
      </c>
      <c r="E4106" s="0" t="n">
        <f aca="false">VLOOKUP(B4106,'MSA-Lookup'!$H$2:$I$86,2)</f>
        <v>4480</v>
      </c>
      <c r="F4106" s="0" t="n">
        <f aca="false">IF(C4106&gt;1,IF(C4106&lt;99,VLOOKUP(C4106,'MSA-Lookup'!$H$1:$I$86,2),C4106),C4106)</f>
        <v>4480</v>
      </c>
      <c r="G4106" s="0" t="n">
        <f aca="false">VLOOKUP(E4106,'MSA-Lookup'!$AA$1:$AB$25,2)</f>
        <v>4472</v>
      </c>
      <c r="H4106" s="0" t="n">
        <f aca="false">IF(C4106&gt;1,IF(C4106&lt;99,VLOOKUP(F4106,'MSA-Lookup'!$AA$1:$AB$25,2),C4106),C4106)</f>
        <v>4472</v>
      </c>
    </row>
    <row r="4107" customFormat="false" ht="12.75" hidden="false" customHeight="false" outlineLevel="0" collapsed="false">
      <c r="A4107" s="0" t="n">
        <f aca="false">B4107*1000+C4107</f>
        <v>59060</v>
      </c>
      <c r="B4107" s="0" t="n">
        <v>59</v>
      </c>
      <c r="C4107" s="0" t="n">
        <v>60</v>
      </c>
      <c r="D4107" s="0" t="n">
        <v>0</v>
      </c>
      <c r="E4107" s="0" t="n">
        <f aca="false">VLOOKUP(B4107,'MSA-Lookup'!$H$2:$I$86,2)</f>
        <v>4480</v>
      </c>
      <c r="F4107" s="0" t="n">
        <f aca="false">IF(C4107&gt;1,IF(C4107&lt;99,VLOOKUP(C4107,'MSA-Lookup'!$H$1:$I$86,2),C4107),C4107)</f>
        <v>4480</v>
      </c>
      <c r="G4107" s="0" t="n">
        <f aca="false">VLOOKUP(E4107,'MSA-Lookup'!$AA$1:$AB$25,2)</f>
        <v>4472</v>
      </c>
      <c r="H4107" s="0" t="n">
        <f aca="false">IF(C4107&gt;1,IF(C4107&lt;99,VLOOKUP(F4107,'MSA-Lookup'!$AA$1:$AB$25,2),C4107),C4107)</f>
        <v>4472</v>
      </c>
    </row>
    <row r="4108" customFormat="false" ht="12.75" hidden="false" customHeight="false" outlineLevel="0" collapsed="false">
      <c r="A4108" s="0" t="n">
        <f aca="false">B4108*1000+C4108</f>
        <v>59061</v>
      </c>
      <c r="B4108" s="0" t="n">
        <v>59</v>
      </c>
      <c r="C4108" s="0" t="n">
        <v>61</v>
      </c>
      <c r="D4108" s="0" t="n">
        <v>78</v>
      </c>
      <c r="E4108" s="0" t="n">
        <f aca="false">VLOOKUP(B4108,'MSA-Lookup'!$H$2:$I$86,2)</f>
        <v>4480</v>
      </c>
      <c r="F4108" s="0" t="n">
        <f aca="false">IF(C4108&gt;1,IF(C4108&lt;99,VLOOKUP(C4108,'MSA-Lookup'!$H$1:$I$86,2),C4108),C4108)</f>
        <v>4480</v>
      </c>
      <c r="G4108" s="0" t="n">
        <f aca="false">VLOOKUP(E4108,'MSA-Lookup'!$AA$1:$AB$25,2)</f>
        <v>4472</v>
      </c>
      <c r="H4108" s="0" t="n">
        <f aca="false">IF(C4108&gt;1,IF(C4108&lt;99,VLOOKUP(F4108,'MSA-Lookup'!$AA$1:$AB$25,2),C4108),C4108)</f>
        <v>4472</v>
      </c>
    </row>
    <row r="4109" customFormat="false" ht="12.75" hidden="false" customHeight="false" outlineLevel="0" collapsed="false">
      <c r="A4109" s="0" t="n">
        <f aca="false">B4109*1000+C4109</f>
        <v>59062</v>
      </c>
      <c r="B4109" s="0" t="n">
        <v>59</v>
      </c>
      <c r="C4109" s="0" t="n">
        <v>62</v>
      </c>
      <c r="D4109" s="0" t="n">
        <v>130</v>
      </c>
      <c r="E4109" s="0" t="n">
        <f aca="false">VLOOKUP(B4109,'MSA-Lookup'!$H$2:$I$86,2)</f>
        <v>4480</v>
      </c>
      <c r="F4109" s="0" t="n">
        <f aca="false">IF(C4109&gt;1,IF(C4109&lt;99,VLOOKUP(C4109,'MSA-Lookup'!$H$1:$I$86,2),C4109),C4109)</f>
        <v>4480</v>
      </c>
      <c r="G4109" s="0" t="n">
        <f aca="false">VLOOKUP(E4109,'MSA-Lookup'!$AA$1:$AB$25,2)</f>
        <v>4472</v>
      </c>
      <c r="H4109" s="0" t="n">
        <f aca="false">IF(C4109&gt;1,IF(C4109&lt;99,VLOOKUP(F4109,'MSA-Lookup'!$AA$1:$AB$25,2),C4109),C4109)</f>
        <v>4472</v>
      </c>
    </row>
    <row r="4110" customFormat="false" ht="12.75" hidden="false" customHeight="false" outlineLevel="0" collapsed="false">
      <c r="A4110" s="0" t="n">
        <f aca="false">B4110*1000+C4110</f>
        <v>59063</v>
      </c>
      <c r="B4110" s="0" t="n">
        <v>59</v>
      </c>
      <c r="C4110" s="0" t="n">
        <v>63</v>
      </c>
      <c r="D4110" s="0" t="n">
        <v>689</v>
      </c>
      <c r="E4110" s="0" t="n">
        <f aca="false">VLOOKUP(B4110,'MSA-Lookup'!$H$2:$I$86,2)</f>
        <v>4480</v>
      </c>
      <c r="F4110" s="0" t="n">
        <f aca="false">IF(C4110&gt;1,IF(C4110&lt;99,VLOOKUP(C4110,'MSA-Lookup'!$H$1:$I$86,2),C4110),C4110)</f>
        <v>4480</v>
      </c>
      <c r="G4110" s="0" t="n">
        <f aca="false">VLOOKUP(E4110,'MSA-Lookup'!$AA$1:$AB$25,2)</f>
        <v>4472</v>
      </c>
      <c r="H4110" s="0" t="n">
        <f aca="false">IF(C4110&gt;1,IF(C4110&lt;99,VLOOKUP(F4110,'MSA-Lookup'!$AA$1:$AB$25,2),C4110),C4110)</f>
        <v>4472</v>
      </c>
    </row>
    <row r="4111" customFormat="false" ht="12.75" hidden="false" customHeight="false" outlineLevel="0" collapsed="false">
      <c r="A4111" s="0" t="n">
        <f aca="false">B4111*1000+C4111</f>
        <v>59064</v>
      </c>
      <c r="B4111" s="0" t="n">
        <v>59</v>
      </c>
      <c r="C4111" s="0" t="n">
        <v>64</v>
      </c>
      <c r="D4111" s="0" t="n">
        <v>17784</v>
      </c>
      <c r="E4111" s="0" t="n">
        <f aca="false">VLOOKUP(B4111,'MSA-Lookup'!$H$2:$I$86,2)</f>
        <v>4480</v>
      </c>
      <c r="F4111" s="0" t="n">
        <f aca="false">IF(C4111&gt;1,IF(C4111&lt;99,VLOOKUP(C4111,'MSA-Lookup'!$H$1:$I$86,2),C4111),C4111)</f>
        <v>4480</v>
      </c>
      <c r="G4111" s="0" t="n">
        <f aca="false">VLOOKUP(E4111,'MSA-Lookup'!$AA$1:$AB$25,2)</f>
        <v>4472</v>
      </c>
      <c r="H4111" s="0" t="n">
        <f aca="false">IF(C4111&gt;1,IF(C4111&lt;99,VLOOKUP(F4111,'MSA-Lookup'!$AA$1:$AB$25,2),C4111),C4111)</f>
        <v>4472</v>
      </c>
    </row>
    <row r="4112" customFormat="false" ht="12.75" hidden="false" customHeight="false" outlineLevel="0" collapsed="false">
      <c r="A4112" s="0" t="n">
        <f aca="false">B4112*1000+C4112</f>
        <v>59065</v>
      </c>
      <c r="B4112" s="0" t="n">
        <v>59</v>
      </c>
      <c r="C4112" s="0" t="n">
        <v>65</v>
      </c>
      <c r="D4112" s="0" t="n">
        <v>4849</v>
      </c>
      <c r="E4112" s="0" t="n">
        <f aca="false">VLOOKUP(B4112,'MSA-Lookup'!$H$2:$I$86,2)</f>
        <v>4480</v>
      </c>
      <c r="F4112" s="0" t="n">
        <f aca="false">IF(C4112&gt;1,IF(C4112&lt;99,VLOOKUP(C4112,'MSA-Lookup'!$H$1:$I$86,2),C4112),C4112)</f>
        <v>4480</v>
      </c>
      <c r="G4112" s="0" t="n">
        <f aca="false">VLOOKUP(E4112,'MSA-Lookup'!$AA$1:$AB$25,2)</f>
        <v>4472</v>
      </c>
      <c r="H4112" s="0" t="n">
        <f aca="false">IF(C4112&gt;1,IF(C4112&lt;99,VLOOKUP(F4112,'MSA-Lookup'!$AA$1:$AB$25,2),C4112),C4112)</f>
        <v>4472</v>
      </c>
    </row>
    <row r="4113" customFormat="false" ht="12.75" hidden="false" customHeight="false" outlineLevel="0" collapsed="false">
      <c r="A4113" s="0" t="n">
        <f aca="false">B4113*1000+C4113</f>
        <v>59066</v>
      </c>
      <c r="B4113" s="0" t="n">
        <v>59</v>
      </c>
      <c r="C4113" s="0" t="n">
        <v>66</v>
      </c>
      <c r="D4113" s="0" t="n">
        <v>715</v>
      </c>
      <c r="E4113" s="0" t="n">
        <f aca="false">VLOOKUP(B4113,'MSA-Lookup'!$H$2:$I$86,2)</f>
        <v>4480</v>
      </c>
      <c r="F4113" s="0" t="n">
        <f aca="false">IF(C4113&gt;1,IF(C4113&lt;99,VLOOKUP(C4113,'MSA-Lookup'!$H$1:$I$86,2),C4113),C4113)</f>
        <v>4480</v>
      </c>
      <c r="G4113" s="0" t="n">
        <f aca="false">VLOOKUP(E4113,'MSA-Lookup'!$AA$1:$AB$25,2)</f>
        <v>4472</v>
      </c>
      <c r="H4113" s="0" t="n">
        <f aca="false">IF(C4113&gt;1,IF(C4113&lt;99,VLOOKUP(F4113,'MSA-Lookup'!$AA$1:$AB$25,2),C4113),C4113)</f>
        <v>4472</v>
      </c>
    </row>
    <row r="4114" customFormat="false" ht="12.75" hidden="false" customHeight="false" outlineLevel="0" collapsed="false">
      <c r="A4114" s="0" t="n">
        <f aca="false">B4114*1000+C4114</f>
        <v>59067</v>
      </c>
      <c r="B4114" s="0" t="n">
        <v>59</v>
      </c>
      <c r="C4114" s="0" t="n">
        <v>67</v>
      </c>
      <c r="D4114" s="0" t="n">
        <v>117</v>
      </c>
      <c r="E4114" s="0" t="n">
        <f aca="false">VLOOKUP(B4114,'MSA-Lookup'!$H$2:$I$86,2)</f>
        <v>4480</v>
      </c>
      <c r="F4114" s="0" t="n">
        <f aca="false">IF(C4114&gt;1,IF(C4114&lt;99,VLOOKUP(C4114,'MSA-Lookup'!$H$1:$I$86,2),C4114),C4114)</f>
        <v>6000</v>
      </c>
      <c r="G4114" s="0" t="n">
        <f aca="false">VLOOKUP(E4114,'MSA-Lookup'!$AA$1:$AB$25,2)</f>
        <v>4472</v>
      </c>
      <c r="H4114" s="0" t="n">
        <f aca="false">IF(C4114&gt;1,IF(C4114&lt;99,VLOOKUP(F4114,'MSA-Lookup'!$AA$1:$AB$25,2),C4114),C4114)</f>
        <v>4472</v>
      </c>
    </row>
    <row r="4115" customFormat="false" ht="12.75" hidden="false" customHeight="false" outlineLevel="0" collapsed="false">
      <c r="A4115" s="0" t="n">
        <f aca="false">B4115*1000+C4115</f>
        <v>59068</v>
      </c>
      <c r="B4115" s="0" t="n">
        <v>59</v>
      </c>
      <c r="C4115" s="0" t="n">
        <v>68</v>
      </c>
      <c r="D4115" s="0" t="n">
        <v>0</v>
      </c>
      <c r="E4115" s="0" t="n">
        <f aca="false">VLOOKUP(B4115,'MSA-Lookup'!$H$2:$I$86,2)</f>
        <v>4480</v>
      </c>
      <c r="F4115" s="0" t="n">
        <f aca="false">IF(C4115&gt;1,IF(C4115&lt;99,VLOOKUP(C4115,'MSA-Lookup'!$H$1:$I$86,2),C4115),C4115)</f>
        <v>6780</v>
      </c>
      <c r="G4115" s="0" t="n">
        <f aca="false">VLOOKUP(E4115,'MSA-Lookup'!$AA$1:$AB$25,2)</f>
        <v>4472</v>
      </c>
      <c r="H4115" s="0" t="n">
        <f aca="false">IF(C4115&gt;1,IF(C4115&lt;99,VLOOKUP(F4115,'MSA-Lookup'!$AA$1:$AB$25,2),C4115),C4115)</f>
        <v>4472</v>
      </c>
    </row>
    <row r="4116" customFormat="false" ht="12.75" hidden="false" customHeight="false" outlineLevel="0" collapsed="false">
      <c r="A4116" s="0" t="n">
        <f aca="false">B4116*1000+C4116</f>
        <v>59069</v>
      </c>
      <c r="B4116" s="0" t="n">
        <v>59</v>
      </c>
      <c r="C4116" s="0" t="n">
        <v>69</v>
      </c>
      <c r="D4116" s="0" t="n">
        <v>845</v>
      </c>
      <c r="E4116" s="0" t="n">
        <f aca="false">VLOOKUP(B4116,'MSA-Lookup'!$H$2:$I$86,2)</f>
        <v>4480</v>
      </c>
      <c r="F4116" s="0" t="n">
        <f aca="false">IF(C4116&gt;1,IF(C4116&lt;99,VLOOKUP(C4116,'MSA-Lookup'!$H$1:$I$86,2),C4116),C4116)</f>
        <v>6780</v>
      </c>
      <c r="G4116" s="0" t="n">
        <f aca="false">VLOOKUP(E4116,'MSA-Lookup'!$AA$1:$AB$25,2)</f>
        <v>4472</v>
      </c>
      <c r="H4116" s="0" t="n">
        <f aca="false">IF(C4116&gt;1,IF(C4116&lt;99,VLOOKUP(F4116,'MSA-Lookup'!$AA$1:$AB$25,2),C4116),C4116)</f>
        <v>4472</v>
      </c>
    </row>
    <row r="4117" customFormat="false" ht="12.75" hidden="false" customHeight="false" outlineLevel="0" collapsed="false">
      <c r="A4117" s="0" t="n">
        <f aca="false">B4117*1000+C4117</f>
        <v>59070</v>
      </c>
      <c r="B4117" s="0" t="n">
        <v>59</v>
      </c>
      <c r="C4117" s="0" t="n">
        <v>70</v>
      </c>
      <c r="D4117" s="0" t="n">
        <v>572</v>
      </c>
      <c r="E4117" s="0" t="n">
        <f aca="false">VLOOKUP(B4117,'MSA-Lookup'!$H$2:$I$86,2)</f>
        <v>4480</v>
      </c>
      <c r="F4117" s="0" t="n">
        <f aca="false">IF(C4117&gt;1,IF(C4117&lt;99,VLOOKUP(C4117,'MSA-Lookup'!$H$1:$I$86,2),C4117),C4117)</f>
        <v>6780</v>
      </c>
      <c r="G4117" s="0" t="n">
        <f aca="false">VLOOKUP(E4117,'MSA-Lookup'!$AA$1:$AB$25,2)</f>
        <v>4472</v>
      </c>
      <c r="H4117" s="0" t="n">
        <f aca="false">IF(C4117&gt;1,IF(C4117&lt;99,VLOOKUP(F4117,'MSA-Lookup'!$AA$1:$AB$25,2),C4117),C4117)</f>
        <v>4472</v>
      </c>
    </row>
    <row r="4118" customFormat="false" ht="12.75" hidden="false" customHeight="false" outlineLevel="0" collapsed="false">
      <c r="A4118" s="0" t="n">
        <f aca="false">B4118*1000+C4118</f>
        <v>59071</v>
      </c>
      <c r="B4118" s="0" t="n">
        <v>59</v>
      </c>
      <c r="C4118" s="0" t="n">
        <v>71</v>
      </c>
      <c r="D4118" s="0" t="n">
        <v>2093</v>
      </c>
      <c r="E4118" s="0" t="n">
        <f aca="false">VLOOKUP(B4118,'MSA-Lookup'!$H$2:$I$86,2)</f>
        <v>4480</v>
      </c>
      <c r="F4118" s="0" t="n">
        <f aca="false">IF(C4118&gt;1,IF(C4118&lt;99,VLOOKUP(C4118,'MSA-Lookup'!$H$1:$I$86,2),C4118),C4118)</f>
        <v>6780</v>
      </c>
      <c r="G4118" s="0" t="n">
        <f aca="false">VLOOKUP(E4118,'MSA-Lookup'!$AA$1:$AB$25,2)</f>
        <v>4472</v>
      </c>
      <c r="H4118" s="0" t="n">
        <f aca="false">IF(C4118&gt;1,IF(C4118&lt;99,VLOOKUP(F4118,'MSA-Lookup'!$AA$1:$AB$25,2),C4118),C4118)</f>
        <v>4472</v>
      </c>
    </row>
    <row r="4119" customFormat="false" ht="12.75" hidden="false" customHeight="false" outlineLevel="0" collapsed="false">
      <c r="A4119" s="0" t="n">
        <f aca="false">B4119*1000+C4119</f>
        <v>59072</v>
      </c>
      <c r="B4119" s="0" t="n">
        <v>59</v>
      </c>
      <c r="C4119" s="0" t="n">
        <v>72</v>
      </c>
      <c r="D4119" s="0" t="n">
        <v>7631</v>
      </c>
      <c r="E4119" s="0" t="n">
        <f aca="false">VLOOKUP(B4119,'MSA-Lookup'!$H$2:$I$86,2)</f>
        <v>4480</v>
      </c>
      <c r="F4119" s="0" t="n">
        <f aca="false">IF(C4119&gt;1,IF(C4119&lt;99,VLOOKUP(C4119,'MSA-Lookup'!$H$1:$I$86,2),C4119),C4119)</f>
        <v>6780</v>
      </c>
      <c r="G4119" s="0" t="n">
        <f aca="false">VLOOKUP(E4119,'MSA-Lookup'!$AA$1:$AB$25,2)</f>
        <v>4472</v>
      </c>
      <c r="H4119" s="0" t="n">
        <f aca="false">IF(C4119&gt;1,IF(C4119&lt;99,VLOOKUP(F4119,'MSA-Lookup'!$AA$1:$AB$25,2),C4119),C4119)</f>
        <v>4472</v>
      </c>
    </row>
    <row r="4120" customFormat="false" ht="12.75" hidden="false" customHeight="false" outlineLevel="0" collapsed="false">
      <c r="A4120" s="0" t="n">
        <f aca="false">B4120*1000+C4120</f>
        <v>59073</v>
      </c>
      <c r="B4120" s="0" t="n">
        <v>59</v>
      </c>
      <c r="C4120" s="0" t="n">
        <v>73</v>
      </c>
      <c r="D4120" s="0" t="n">
        <v>0</v>
      </c>
      <c r="E4120" s="0" t="n">
        <f aca="false">VLOOKUP(B4120,'MSA-Lookup'!$H$2:$I$86,2)</f>
        <v>4480</v>
      </c>
      <c r="F4120" s="0" t="n">
        <f aca="false">IF(C4120&gt;1,IF(C4120&lt;99,VLOOKUP(C4120,'MSA-Lookup'!$H$1:$I$86,2),C4120),C4120)</f>
        <v>8720</v>
      </c>
      <c r="G4120" s="0" t="n">
        <f aca="false">VLOOKUP(E4120,'MSA-Lookup'!$AA$1:$AB$25,2)</f>
        <v>4472</v>
      </c>
      <c r="H4120" s="0" t="n">
        <f aca="false">IF(C4120&gt;1,IF(C4120&lt;99,VLOOKUP(F4120,'MSA-Lookup'!$AA$1:$AB$25,2),C4120),C4120)</f>
        <v>7362</v>
      </c>
    </row>
    <row r="4121" customFormat="false" ht="12.75" hidden="false" customHeight="false" outlineLevel="0" collapsed="false">
      <c r="A4121" s="0" t="n">
        <f aca="false">B4121*1000+C4121</f>
        <v>59075</v>
      </c>
      <c r="B4121" s="0" t="n">
        <v>59</v>
      </c>
      <c r="C4121" s="0" t="n">
        <v>75</v>
      </c>
      <c r="D4121" s="0" t="n">
        <v>0</v>
      </c>
      <c r="E4121" s="0" t="n">
        <f aca="false">VLOOKUP(B4121,'MSA-Lookup'!$H$2:$I$86,2)</f>
        <v>4480</v>
      </c>
      <c r="F4121" s="0" t="n">
        <f aca="false">IF(C4121&gt;1,IF(C4121&lt;99,VLOOKUP(C4121,'MSA-Lookup'!$H$1:$I$86,2),C4121),C4121)</f>
        <v>8780</v>
      </c>
      <c r="G4121" s="0" t="n">
        <f aca="false">VLOOKUP(E4121,'MSA-Lookup'!$AA$1:$AB$25,2)</f>
        <v>4472</v>
      </c>
      <c r="H4121" s="0" t="n">
        <f aca="false">IF(C4121&gt;1,IF(C4121&lt;99,VLOOKUP(F4121,'MSA-Lookup'!$AA$1:$AB$25,2),C4121),C4121)</f>
        <v>8780</v>
      </c>
    </row>
    <row r="4122" customFormat="false" ht="12.75" hidden="false" customHeight="false" outlineLevel="0" collapsed="false">
      <c r="A4122" s="0" t="n">
        <f aca="false">B4122*1000+C4122</f>
        <v>59076</v>
      </c>
      <c r="B4122" s="0" t="n">
        <v>59</v>
      </c>
      <c r="C4122" s="0" t="n">
        <v>76</v>
      </c>
      <c r="D4122" s="0" t="n">
        <v>0</v>
      </c>
      <c r="E4122" s="0" t="n">
        <f aca="false">VLOOKUP(B4122,'MSA-Lookup'!$H$2:$I$86,2)</f>
        <v>4480</v>
      </c>
      <c r="F4122" s="0" t="n">
        <f aca="false">IF(C4122&gt;1,IF(C4122&lt;99,VLOOKUP(C4122,'MSA-Lookup'!$H$1:$I$86,2),C4122),C4122)</f>
        <v>7485</v>
      </c>
      <c r="G4122" s="0" t="n">
        <f aca="false">VLOOKUP(E4122,'MSA-Lookup'!$AA$1:$AB$25,2)</f>
        <v>4472</v>
      </c>
      <c r="H4122" s="0" t="n">
        <f aca="false">IF(C4122&gt;1,IF(C4122&lt;99,VLOOKUP(F4122,'MSA-Lookup'!$AA$1:$AB$25,2),C4122),C4122)</f>
        <v>7362</v>
      </c>
    </row>
    <row r="4123" customFormat="false" ht="12.75" hidden="false" customHeight="false" outlineLevel="0" collapsed="false">
      <c r="A4123" s="0" t="n">
        <f aca="false">B4123*1000+C4123</f>
        <v>59077</v>
      </c>
      <c r="B4123" s="0" t="n">
        <v>59</v>
      </c>
      <c r="C4123" s="0" t="n">
        <v>77</v>
      </c>
      <c r="D4123" s="0" t="n">
        <v>0</v>
      </c>
      <c r="E4123" s="0" t="n">
        <f aca="false">VLOOKUP(B4123,'MSA-Lookup'!$H$2:$I$86,2)</f>
        <v>4480</v>
      </c>
      <c r="F4123" s="0" t="n">
        <f aca="false">IF(C4123&gt;1,IF(C4123&lt;99,VLOOKUP(C4123,'MSA-Lookup'!$H$1:$I$86,2),C4123),C4123)</f>
        <v>9999</v>
      </c>
      <c r="G4123" s="0" t="n">
        <f aca="false">VLOOKUP(E4123,'MSA-Lookup'!$AA$1:$AB$25,2)</f>
        <v>4472</v>
      </c>
      <c r="H4123" s="0" t="n">
        <f aca="false">IF(C4123&gt;1,IF(C4123&lt;99,VLOOKUP(F4123,'MSA-Lookup'!$AA$1:$AB$25,2),C4123),C4123)</f>
        <v>9999</v>
      </c>
    </row>
    <row r="4124" customFormat="false" ht="12.75" hidden="false" customHeight="false" outlineLevel="0" collapsed="false">
      <c r="A4124" s="0" t="n">
        <f aca="false">B4124*1000+C4124</f>
        <v>59078</v>
      </c>
      <c r="B4124" s="0" t="n">
        <v>59</v>
      </c>
      <c r="C4124" s="0" t="n">
        <v>78</v>
      </c>
      <c r="D4124" s="0" t="n">
        <v>0</v>
      </c>
      <c r="E4124" s="0" t="n">
        <f aca="false">VLOOKUP(B4124,'MSA-Lookup'!$H$2:$I$86,2)</f>
        <v>4480</v>
      </c>
      <c r="F4124" s="0" t="n">
        <f aca="false">IF(C4124&gt;1,IF(C4124&lt;99,VLOOKUP(C4124,'MSA-Lookup'!$H$1:$I$86,2),C4124),C4124)</f>
        <v>680</v>
      </c>
      <c r="G4124" s="0" t="n">
        <f aca="false">VLOOKUP(E4124,'MSA-Lookup'!$AA$1:$AB$25,2)</f>
        <v>4472</v>
      </c>
      <c r="H4124" s="0" t="n">
        <f aca="false">IF(C4124&gt;1,IF(C4124&lt;99,VLOOKUP(F4124,'MSA-Lookup'!$AA$1:$AB$25,2),C4124),C4124)</f>
        <v>680</v>
      </c>
    </row>
    <row r="4125" customFormat="false" ht="12.75" hidden="false" customHeight="false" outlineLevel="0" collapsed="false">
      <c r="A4125" s="0" t="n">
        <f aca="false">B4125*1000+C4125</f>
        <v>59079</v>
      </c>
      <c r="B4125" s="0" t="n">
        <v>59</v>
      </c>
      <c r="C4125" s="0" t="n">
        <v>79</v>
      </c>
      <c r="D4125" s="0" t="n">
        <v>0</v>
      </c>
      <c r="E4125" s="0" t="n">
        <f aca="false">VLOOKUP(B4125,'MSA-Lookup'!$H$2:$I$86,2)</f>
        <v>4480</v>
      </c>
      <c r="F4125" s="0" t="n">
        <f aca="false">IF(C4125&gt;1,IF(C4125&lt;99,VLOOKUP(C4125,'MSA-Lookup'!$H$1:$I$86,2),C4125),C4125)</f>
        <v>680</v>
      </c>
      <c r="G4125" s="0" t="n">
        <f aca="false">VLOOKUP(E4125,'MSA-Lookup'!$AA$1:$AB$25,2)</f>
        <v>4472</v>
      </c>
      <c r="H4125" s="0" t="n">
        <f aca="false">IF(C4125&gt;1,IF(C4125&lt;99,VLOOKUP(F4125,'MSA-Lookup'!$AA$1:$AB$25,2),C4125),C4125)</f>
        <v>680</v>
      </c>
    </row>
    <row r="4126" customFormat="false" ht="12.75" hidden="false" customHeight="false" outlineLevel="0" collapsed="false">
      <c r="A4126" s="0" t="n">
        <f aca="false">B4126*1000+C4126</f>
        <v>59080</v>
      </c>
      <c r="B4126" s="0" t="n">
        <v>59</v>
      </c>
      <c r="C4126" s="0" t="n">
        <v>80</v>
      </c>
      <c r="D4126" s="0" t="n">
        <v>0</v>
      </c>
      <c r="E4126" s="0" t="n">
        <f aca="false">VLOOKUP(B4126,'MSA-Lookup'!$H$2:$I$86,2)</f>
        <v>4480</v>
      </c>
      <c r="F4126" s="0" t="n">
        <f aca="false">IF(C4126&gt;1,IF(C4126&lt;99,VLOOKUP(C4126,'MSA-Lookup'!$H$1:$I$86,2),C4126),C4126)</f>
        <v>9999</v>
      </c>
      <c r="G4126" s="0" t="n">
        <f aca="false">VLOOKUP(E4126,'MSA-Lookup'!$AA$1:$AB$25,2)</f>
        <v>4472</v>
      </c>
      <c r="H4126" s="0" t="n">
        <f aca="false">IF(C4126&gt;1,IF(C4126&lt;99,VLOOKUP(F4126,'MSA-Lookup'!$AA$1:$AB$25,2),C4126),C4126)</f>
        <v>9999</v>
      </c>
    </row>
    <row r="4127" customFormat="false" ht="12.75" hidden="false" customHeight="false" outlineLevel="0" collapsed="false">
      <c r="A4127" s="0" t="n">
        <f aca="false">B4127*1000+C4127</f>
        <v>59081</v>
      </c>
      <c r="B4127" s="0" t="n">
        <v>59</v>
      </c>
      <c r="C4127" s="0" t="n">
        <v>81</v>
      </c>
      <c r="D4127" s="0" t="n">
        <v>390</v>
      </c>
      <c r="E4127" s="0" t="n">
        <f aca="false">VLOOKUP(B4127,'MSA-Lookup'!$H$2:$I$86,2)</f>
        <v>4480</v>
      </c>
      <c r="F4127" s="0" t="n">
        <f aca="false">IF(C4127&gt;1,IF(C4127&lt;99,VLOOKUP(C4127,'MSA-Lookup'!$H$1:$I$86,2),C4127),C4127)</f>
        <v>6780</v>
      </c>
      <c r="G4127" s="0" t="n">
        <f aca="false">VLOOKUP(E4127,'MSA-Lookup'!$AA$1:$AB$25,2)</f>
        <v>4472</v>
      </c>
      <c r="H4127" s="0" t="n">
        <f aca="false">IF(C4127&gt;1,IF(C4127&lt;99,VLOOKUP(F4127,'MSA-Lookup'!$AA$1:$AB$25,2),C4127),C4127)</f>
        <v>4472</v>
      </c>
    </row>
    <row r="4128" customFormat="false" ht="12.75" hidden="false" customHeight="false" outlineLevel="0" collapsed="false">
      <c r="A4128" s="0" t="n">
        <f aca="false">B4128*1000+C4128</f>
        <v>59082</v>
      </c>
      <c r="B4128" s="0" t="n">
        <v>59</v>
      </c>
      <c r="C4128" s="0" t="n">
        <v>82</v>
      </c>
      <c r="D4128" s="0" t="n">
        <v>130</v>
      </c>
      <c r="E4128" s="0" t="n">
        <f aca="false">VLOOKUP(B4128,'MSA-Lookup'!$H$2:$I$86,2)</f>
        <v>4480</v>
      </c>
      <c r="F4128" s="0" t="n">
        <f aca="false">IF(C4128&gt;1,IF(C4128&lt;99,VLOOKUP(C4128,'MSA-Lookup'!$H$1:$I$86,2),C4128),C4128)</f>
        <v>6780</v>
      </c>
      <c r="G4128" s="0" t="n">
        <f aca="false">VLOOKUP(E4128,'MSA-Lookup'!$AA$1:$AB$25,2)</f>
        <v>4472</v>
      </c>
      <c r="H4128" s="0" t="n">
        <f aca="false">IF(C4128&gt;1,IF(C4128&lt;99,VLOOKUP(F4128,'MSA-Lookup'!$AA$1:$AB$25,2),C4128),C4128)</f>
        <v>4472</v>
      </c>
    </row>
    <row r="4129" customFormat="false" ht="12.75" hidden="false" customHeight="false" outlineLevel="0" collapsed="false">
      <c r="A4129" s="0" t="n">
        <f aca="false">B4129*1000+C4129</f>
        <v>59083</v>
      </c>
      <c r="B4129" s="0" t="n">
        <v>59</v>
      </c>
      <c r="C4129" s="0" t="n">
        <v>83</v>
      </c>
      <c r="D4129" s="0" t="n">
        <v>0</v>
      </c>
      <c r="E4129" s="0" t="n">
        <f aca="false">VLOOKUP(B4129,'MSA-Lookup'!$H$2:$I$86,2)</f>
        <v>4480</v>
      </c>
      <c r="F4129" s="0" t="n">
        <f aca="false">IF(C4129&gt;1,IF(C4129&lt;99,VLOOKUP(C4129,'MSA-Lookup'!$H$1:$I$86,2),C4129),C4129)</f>
        <v>6000</v>
      </c>
      <c r="G4129" s="0" t="n">
        <f aca="false">VLOOKUP(E4129,'MSA-Lookup'!$AA$1:$AB$25,2)</f>
        <v>4472</v>
      </c>
      <c r="H4129" s="0" t="n">
        <f aca="false">IF(C4129&gt;1,IF(C4129&lt;99,VLOOKUP(F4129,'MSA-Lookup'!$AA$1:$AB$25,2),C4129),C4129)</f>
        <v>4472</v>
      </c>
    </row>
    <row r="4130" customFormat="false" ht="12.75" hidden="false" customHeight="false" outlineLevel="0" collapsed="false">
      <c r="A4130" s="0" t="n">
        <f aca="false">B4130*1000+C4130</f>
        <v>59084</v>
      </c>
      <c r="B4130" s="0" t="n">
        <v>59</v>
      </c>
      <c r="C4130" s="0" t="n">
        <v>84</v>
      </c>
      <c r="D4130" s="0" t="n">
        <v>1170</v>
      </c>
      <c r="E4130" s="0" t="n">
        <f aca="false">VLOOKUP(B4130,'MSA-Lookup'!$H$2:$I$86,2)</f>
        <v>4480</v>
      </c>
      <c r="F4130" s="0" t="n">
        <f aca="false">IF(C4130&gt;1,IF(C4130&lt;99,VLOOKUP(C4130,'MSA-Lookup'!$H$1:$I$86,2),C4130),C4130)</f>
        <v>360</v>
      </c>
      <c r="G4130" s="0" t="n">
        <f aca="false">VLOOKUP(E4130,'MSA-Lookup'!$AA$1:$AB$25,2)</f>
        <v>4472</v>
      </c>
      <c r="H4130" s="0" t="n">
        <f aca="false">IF(C4130&gt;1,IF(C4130&lt;99,VLOOKUP(F4130,'MSA-Lookup'!$AA$1:$AB$25,2),C4130),C4130)</f>
        <v>4472</v>
      </c>
    </row>
    <row r="4131" customFormat="false" ht="12.75" hidden="false" customHeight="false" outlineLevel="0" collapsed="false">
      <c r="A4131" s="0" t="n">
        <f aca="false">B4131*1000+C4131</f>
        <v>59085</v>
      </c>
      <c r="B4131" s="0" t="n">
        <v>59</v>
      </c>
      <c r="C4131" s="0" t="n">
        <v>85</v>
      </c>
      <c r="D4131" s="0" t="n">
        <v>0</v>
      </c>
      <c r="E4131" s="0" t="n">
        <f aca="false">VLOOKUP(B4131,'MSA-Lookup'!$H$2:$I$86,2)</f>
        <v>4480</v>
      </c>
      <c r="F4131" s="0" t="n">
        <f aca="false">IF(C4131&gt;1,IF(C4131&lt;99,VLOOKUP(C4131,'MSA-Lookup'!$H$1:$I$86,2),C4131),C4131)</f>
        <v>8120</v>
      </c>
      <c r="G4131" s="0" t="n">
        <f aca="false">VLOOKUP(E4131,'MSA-Lookup'!$AA$1:$AB$25,2)</f>
        <v>4472</v>
      </c>
      <c r="H4131" s="0" t="n">
        <f aca="false">IF(C4131&gt;1,IF(C4131&lt;99,VLOOKUP(F4131,'MSA-Lookup'!$AA$1:$AB$25,2),C4131),C4131)</f>
        <v>8120</v>
      </c>
    </row>
    <row r="4132" customFormat="false" ht="12.75" hidden="false" customHeight="false" outlineLevel="0" collapsed="false">
      <c r="A4132" s="0" t="n">
        <f aca="false">B4132*1000+C4132</f>
        <v>59858</v>
      </c>
      <c r="B4132" s="0" t="n">
        <v>59</v>
      </c>
      <c r="C4132" s="0" t="n">
        <v>858</v>
      </c>
      <c r="D4132" s="0" t="n">
        <v>0</v>
      </c>
      <c r="E4132" s="0" t="n">
        <f aca="false">VLOOKUP(B4132,'MSA-Lookup'!$H$2:$I$86,2)</f>
        <v>4480</v>
      </c>
      <c r="F4132" s="0" t="n">
        <f aca="false">IF(C4132&gt;1,IF(C4132&lt;99,VLOOKUP(C4132,'MSA-Lookup'!$H$1:$I$86,2),C4132),C4132)</f>
        <v>858</v>
      </c>
      <c r="G4132" s="0" t="n">
        <f aca="false">VLOOKUP(E4132,'MSA-Lookup'!$AA$1:$AB$25,2)</f>
        <v>4472</v>
      </c>
      <c r="H4132" s="0" t="n">
        <f aca="false">IF(C4132&gt;1,IF(C4132&lt;99,VLOOKUP(F4132,'MSA-Lookup'!$AA$1:$AB$25,2),C4132),C4132)</f>
        <v>858</v>
      </c>
    </row>
    <row r="4133" customFormat="false" ht="12.75" hidden="false" customHeight="false" outlineLevel="0" collapsed="false">
      <c r="A4133" s="0" t="n">
        <f aca="false">B4133*1000+C4133</f>
        <v>59983</v>
      </c>
      <c r="B4133" s="0" t="n">
        <v>59</v>
      </c>
      <c r="C4133" s="0" t="n">
        <v>983</v>
      </c>
      <c r="D4133" s="0" t="n">
        <v>0</v>
      </c>
      <c r="E4133" s="0" t="n">
        <f aca="false">VLOOKUP(B4133,'MSA-Lookup'!$H$2:$I$86,2)</f>
        <v>4480</v>
      </c>
      <c r="F4133" s="0" t="n">
        <f aca="false">IF(C4133&gt;1,IF(C4133&lt;99,VLOOKUP(C4133,'MSA-Lookup'!$H$1:$I$86,2),C4133),C4133)</f>
        <v>983</v>
      </c>
      <c r="G4133" s="0" t="n">
        <f aca="false">VLOOKUP(E4133,'MSA-Lookup'!$AA$1:$AB$25,2)</f>
        <v>4472</v>
      </c>
      <c r="H4133" s="0" t="n">
        <f aca="false">IF(C4133&gt;1,IF(C4133&lt;99,VLOOKUP(F4133,'MSA-Lookup'!$AA$1:$AB$25,2),C4133),C4133)</f>
        <v>983</v>
      </c>
    </row>
    <row r="4134" customFormat="false" ht="12.75" hidden="false" customHeight="false" outlineLevel="0" collapsed="false">
      <c r="A4134" s="0" t="n">
        <f aca="false">B4134*1000+C4134</f>
        <v>59999</v>
      </c>
      <c r="B4134" s="0" t="n">
        <v>59</v>
      </c>
      <c r="C4134" s="0" t="n">
        <v>999</v>
      </c>
      <c r="D4134" s="0" t="n">
        <v>0</v>
      </c>
      <c r="E4134" s="0" t="n">
        <f aca="false">VLOOKUP(B4134,'MSA-Lookup'!$H$2:$I$86,2)</f>
        <v>4480</v>
      </c>
      <c r="F4134" s="0" t="n">
        <f aca="false">IF(C4134&gt;1,IF(C4134&lt;99,VLOOKUP(C4134,'MSA-Lookup'!$H$1:$I$86,2),C4134),C4134)</f>
        <v>999</v>
      </c>
      <c r="G4134" s="0" t="n">
        <f aca="false">VLOOKUP(E4134,'MSA-Lookup'!$AA$1:$AB$25,2)</f>
        <v>4472</v>
      </c>
      <c r="H4134" s="0" t="n">
        <f aca="false">IF(C4134&gt;1,IF(C4134&lt;99,VLOOKUP(F4134,'MSA-Lookup'!$AA$1:$AB$25,2),C4134),C4134)</f>
        <v>999</v>
      </c>
    </row>
    <row r="4135" customFormat="false" ht="12.75" hidden="false" customHeight="false" outlineLevel="0" collapsed="false">
      <c r="A4135" s="0" t="n">
        <f aca="false">B4135*1000+C4135</f>
        <v>60000</v>
      </c>
      <c r="B4135" s="0" t="n">
        <v>60</v>
      </c>
      <c r="C4135" s="0" t="n">
        <v>0</v>
      </c>
      <c r="D4135" s="0" t="n">
        <v>49257</v>
      </c>
      <c r="E4135" s="0" t="n">
        <f aca="false">VLOOKUP(B4135,'MSA-Lookup'!$H$2:$I$86,2)</f>
        <v>4480</v>
      </c>
      <c r="F4135" s="0" t="n">
        <f aca="false">IF(C4135&gt;1,IF(C4135&lt;99,VLOOKUP(C4135,'MSA-Lookup'!$H$1:$I$86,2),C4135),C4135)</f>
        <v>0</v>
      </c>
      <c r="G4135" s="0" t="n">
        <f aca="false">VLOOKUP(E4135,'MSA-Lookup'!$AA$1:$AB$25,2)</f>
        <v>4472</v>
      </c>
      <c r="H4135" s="0" t="n">
        <f aca="false">IF(C4135&gt;1,IF(C4135&lt;99,VLOOKUP(F4135,'MSA-Lookup'!$AA$1:$AB$25,2),C4135),C4135)</f>
        <v>0</v>
      </c>
    </row>
    <row r="4136" customFormat="false" ht="12.75" hidden="false" customHeight="false" outlineLevel="0" collapsed="false">
      <c r="A4136" s="0" t="n">
        <f aca="false">B4136*1000+C4136</f>
        <v>60001</v>
      </c>
      <c r="B4136" s="0" t="n">
        <v>60</v>
      </c>
      <c r="C4136" s="0" t="n">
        <v>1</v>
      </c>
      <c r="D4136" s="0" t="n">
        <v>0</v>
      </c>
      <c r="E4136" s="0" t="n">
        <f aca="false">VLOOKUP(B4136,'MSA-Lookup'!$H$2:$I$86,2)</f>
        <v>4480</v>
      </c>
      <c r="F4136" s="0" t="n">
        <f aca="false">IF(C4136&gt;1,IF(C4136&lt;99,VLOOKUP(C4136,'MSA-Lookup'!$H$1:$I$86,2),C4136),C4136)</f>
        <v>1</v>
      </c>
      <c r="G4136" s="0" t="n">
        <f aca="false">VLOOKUP(E4136,'MSA-Lookup'!$AA$1:$AB$25,2)</f>
        <v>4472</v>
      </c>
      <c r="H4136" s="0" t="n">
        <f aca="false">IF(C4136&gt;1,IF(C4136&lt;99,VLOOKUP(F4136,'MSA-Lookup'!$AA$1:$AB$25,2),C4136),C4136)</f>
        <v>1</v>
      </c>
    </row>
    <row r="4137" customFormat="false" ht="12.75" hidden="false" customHeight="false" outlineLevel="0" collapsed="false">
      <c r="A4137" s="0" t="n">
        <f aca="false">B4137*1000+C4137</f>
        <v>60002</v>
      </c>
      <c r="B4137" s="0" t="n">
        <v>60</v>
      </c>
      <c r="C4137" s="0" t="n">
        <v>2</v>
      </c>
      <c r="D4137" s="0" t="n">
        <v>0</v>
      </c>
      <c r="E4137" s="0" t="n">
        <f aca="false">VLOOKUP(B4137,'MSA-Lookup'!$H$2:$I$86,2)</f>
        <v>4480</v>
      </c>
      <c r="F4137" s="0" t="n">
        <f aca="false">IF(C4137&gt;1,IF(C4137&lt;99,VLOOKUP(C4137,'MSA-Lookup'!$H$1:$I$86,2),C4137),C4137)</f>
        <v>9999</v>
      </c>
      <c r="G4137" s="0" t="n">
        <f aca="false">VLOOKUP(E4137,'MSA-Lookup'!$AA$1:$AB$25,2)</f>
        <v>4472</v>
      </c>
      <c r="H4137" s="0" t="n">
        <f aca="false">IF(C4137&gt;1,IF(C4137&lt;99,VLOOKUP(F4137,'MSA-Lookup'!$AA$1:$AB$25,2),C4137),C4137)</f>
        <v>9999</v>
      </c>
    </row>
    <row r="4138" customFormat="false" ht="12.75" hidden="false" customHeight="false" outlineLevel="0" collapsed="false">
      <c r="A4138" s="0" t="n">
        <f aca="false">B4138*1000+C4138</f>
        <v>60003</v>
      </c>
      <c r="B4138" s="0" t="n">
        <v>60</v>
      </c>
      <c r="C4138" s="0" t="n">
        <v>3</v>
      </c>
      <c r="D4138" s="0" t="n">
        <v>0</v>
      </c>
      <c r="E4138" s="0" t="n">
        <f aca="false">VLOOKUP(B4138,'MSA-Lookup'!$H$2:$I$86,2)</f>
        <v>4480</v>
      </c>
      <c r="F4138" s="0" t="n">
        <f aca="false">IF(C4138&gt;1,IF(C4138&lt;99,VLOOKUP(C4138,'MSA-Lookup'!$H$1:$I$86,2),C4138),C4138)</f>
        <v>6690</v>
      </c>
      <c r="G4138" s="0" t="n">
        <f aca="false">VLOOKUP(E4138,'MSA-Lookup'!$AA$1:$AB$25,2)</f>
        <v>4472</v>
      </c>
      <c r="H4138" s="0" t="n">
        <f aca="false">IF(C4138&gt;1,IF(C4138&lt;99,VLOOKUP(F4138,'MSA-Lookup'!$AA$1:$AB$25,2),C4138),C4138)</f>
        <v>6690</v>
      </c>
    </row>
    <row r="4139" customFormat="false" ht="12.75" hidden="false" customHeight="false" outlineLevel="0" collapsed="false">
      <c r="A4139" s="0" t="n">
        <f aca="false">B4139*1000+C4139</f>
        <v>60004</v>
      </c>
      <c r="B4139" s="0" t="n">
        <v>60</v>
      </c>
      <c r="C4139" s="0" t="n">
        <v>4</v>
      </c>
      <c r="D4139" s="0" t="n">
        <v>117</v>
      </c>
      <c r="E4139" s="0" t="n">
        <f aca="false">VLOOKUP(B4139,'MSA-Lookup'!$H$2:$I$86,2)</f>
        <v>4480</v>
      </c>
      <c r="F4139" s="0" t="n">
        <f aca="false">IF(C4139&gt;1,IF(C4139&lt;99,VLOOKUP(C4139,'MSA-Lookup'!$H$1:$I$86,2),C4139),C4139)</f>
        <v>9999</v>
      </c>
      <c r="G4139" s="0" t="n">
        <f aca="false">VLOOKUP(E4139,'MSA-Lookup'!$AA$1:$AB$25,2)</f>
        <v>4472</v>
      </c>
      <c r="H4139" s="0" t="n">
        <f aca="false">IF(C4139&gt;1,IF(C4139&lt;99,VLOOKUP(F4139,'MSA-Lookup'!$AA$1:$AB$25,2),C4139),C4139)</f>
        <v>9999</v>
      </c>
    </row>
    <row r="4140" customFormat="false" ht="12.75" hidden="false" customHeight="false" outlineLevel="0" collapsed="false">
      <c r="A4140" s="0" t="n">
        <f aca="false">B4140*1000+C4140</f>
        <v>60005</v>
      </c>
      <c r="B4140" s="0" t="n">
        <v>60</v>
      </c>
      <c r="C4140" s="0" t="n">
        <v>5</v>
      </c>
      <c r="D4140" s="0" t="n">
        <v>0</v>
      </c>
      <c r="E4140" s="0" t="n">
        <f aca="false">VLOOKUP(B4140,'MSA-Lookup'!$H$2:$I$86,2)</f>
        <v>4480</v>
      </c>
      <c r="F4140" s="0" t="n">
        <f aca="false">IF(C4140&gt;1,IF(C4140&lt;99,VLOOKUP(C4140,'MSA-Lookup'!$H$1:$I$86,2),C4140),C4140)</f>
        <v>9999</v>
      </c>
      <c r="G4140" s="0" t="n">
        <f aca="false">VLOOKUP(E4140,'MSA-Lookup'!$AA$1:$AB$25,2)</f>
        <v>4472</v>
      </c>
      <c r="H4140" s="0" t="n">
        <f aca="false">IF(C4140&gt;1,IF(C4140&lt;99,VLOOKUP(F4140,'MSA-Lookup'!$AA$1:$AB$25,2),C4140),C4140)</f>
        <v>9999</v>
      </c>
    </row>
    <row r="4141" customFormat="false" ht="12.75" hidden="false" customHeight="false" outlineLevel="0" collapsed="false">
      <c r="A4141" s="0" t="n">
        <f aca="false">B4141*1000+C4141</f>
        <v>60006</v>
      </c>
      <c r="B4141" s="0" t="n">
        <v>60</v>
      </c>
      <c r="C4141" s="0" t="n">
        <v>6</v>
      </c>
      <c r="D4141" s="0" t="n">
        <v>0</v>
      </c>
      <c r="E4141" s="0" t="n">
        <f aca="false">VLOOKUP(B4141,'MSA-Lookup'!$H$2:$I$86,2)</f>
        <v>4480</v>
      </c>
      <c r="F4141" s="0" t="n">
        <f aca="false">IF(C4141&gt;1,IF(C4141&lt;99,VLOOKUP(C4141,'MSA-Lookup'!$H$1:$I$86,2),C4141),C4141)</f>
        <v>1620</v>
      </c>
      <c r="G4141" s="0" t="n">
        <f aca="false">VLOOKUP(E4141,'MSA-Lookup'!$AA$1:$AB$25,2)</f>
        <v>4472</v>
      </c>
      <c r="H4141" s="0" t="n">
        <f aca="false">IF(C4141&gt;1,IF(C4141&lt;99,VLOOKUP(F4141,'MSA-Lookup'!$AA$1:$AB$25,2),C4141),C4141)</f>
        <v>1620</v>
      </c>
    </row>
    <row r="4142" customFormat="false" ht="12.75" hidden="false" customHeight="false" outlineLevel="0" collapsed="false">
      <c r="A4142" s="0" t="n">
        <f aca="false">B4142*1000+C4142</f>
        <v>60007</v>
      </c>
      <c r="B4142" s="0" t="n">
        <v>60</v>
      </c>
      <c r="C4142" s="0" t="n">
        <v>7</v>
      </c>
      <c r="D4142" s="0" t="n">
        <v>0</v>
      </c>
      <c r="E4142" s="0" t="n">
        <f aca="false">VLOOKUP(B4142,'MSA-Lookup'!$H$2:$I$86,2)</f>
        <v>4480</v>
      </c>
      <c r="F4142" s="0" t="n">
        <f aca="false">IF(C4142&gt;1,IF(C4142&lt;99,VLOOKUP(C4142,'MSA-Lookup'!$H$1:$I$86,2),C4142),C4142)</f>
        <v>9999</v>
      </c>
      <c r="G4142" s="0" t="n">
        <f aca="false">VLOOKUP(E4142,'MSA-Lookup'!$AA$1:$AB$25,2)</f>
        <v>4472</v>
      </c>
      <c r="H4142" s="0" t="n">
        <f aca="false">IF(C4142&gt;1,IF(C4142&lt;99,VLOOKUP(F4142,'MSA-Lookup'!$AA$1:$AB$25,2),C4142),C4142)</f>
        <v>9999</v>
      </c>
    </row>
    <row r="4143" customFormat="false" ht="12.75" hidden="false" customHeight="false" outlineLevel="0" collapsed="false">
      <c r="A4143" s="0" t="n">
        <f aca="false">B4143*1000+C4143</f>
        <v>60008</v>
      </c>
      <c r="B4143" s="0" t="n">
        <v>60</v>
      </c>
      <c r="C4143" s="0" t="n">
        <v>8</v>
      </c>
      <c r="D4143" s="0" t="n">
        <v>0</v>
      </c>
      <c r="E4143" s="0" t="n">
        <f aca="false">VLOOKUP(B4143,'MSA-Lookup'!$H$2:$I$86,2)</f>
        <v>4480</v>
      </c>
      <c r="F4143" s="0" t="n">
        <f aca="false">IF(C4143&gt;1,IF(C4143&lt;99,VLOOKUP(C4143,'MSA-Lookup'!$H$1:$I$86,2),C4143),C4143)</f>
        <v>9340</v>
      </c>
      <c r="G4143" s="0" t="n">
        <f aca="false">VLOOKUP(E4143,'MSA-Lookup'!$AA$1:$AB$25,2)</f>
        <v>4472</v>
      </c>
      <c r="H4143" s="0" t="n">
        <f aca="false">IF(C4143&gt;1,IF(C4143&lt;99,VLOOKUP(F4143,'MSA-Lookup'!$AA$1:$AB$25,2),C4143),C4143)</f>
        <v>9340</v>
      </c>
    </row>
    <row r="4144" customFormat="false" ht="12.75" hidden="false" customHeight="false" outlineLevel="0" collapsed="false">
      <c r="A4144" s="0" t="n">
        <f aca="false">B4144*1000+C4144</f>
        <v>60009</v>
      </c>
      <c r="B4144" s="0" t="n">
        <v>60</v>
      </c>
      <c r="C4144" s="0" t="n">
        <v>9</v>
      </c>
      <c r="D4144" s="0" t="n">
        <v>0</v>
      </c>
      <c r="E4144" s="0" t="n">
        <f aca="false">VLOOKUP(B4144,'MSA-Lookup'!$H$2:$I$86,2)</f>
        <v>4480</v>
      </c>
      <c r="F4144" s="0" t="n">
        <f aca="false">IF(C4144&gt;1,IF(C4144&lt;99,VLOOKUP(C4144,'MSA-Lookup'!$H$1:$I$86,2),C4144),C4144)</f>
        <v>8720</v>
      </c>
      <c r="G4144" s="0" t="n">
        <f aca="false">VLOOKUP(E4144,'MSA-Lookup'!$AA$1:$AB$25,2)</f>
        <v>4472</v>
      </c>
      <c r="H4144" s="0" t="n">
        <f aca="false">IF(C4144&gt;1,IF(C4144&lt;99,VLOOKUP(F4144,'MSA-Lookup'!$AA$1:$AB$25,2),C4144),C4144)</f>
        <v>7362</v>
      </c>
    </row>
    <row r="4145" customFormat="false" ht="12.75" hidden="false" customHeight="false" outlineLevel="0" collapsed="false">
      <c r="A4145" s="0" t="n">
        <f aca="false">B4145*1000+C4145</f>
        <v>60010</v>
      </c>
      <c r="B4145" s="0" t="n">
        <v>60</v>
      </c>
      <c r="C4145" s="0" t="n">
        <v>10</v>
      </c>
      <c r="D4145" s="0" t="n">
        <v>0</v>
      </c>
      <c r="E4145" s="0" t="n">
        <f aca="false">VLOOKUP(B4145,'MSA-Lookup'!$H$2:$I$86,2)</f>
        <v>4480</v>
      </c>
      <c r="F4145" s="0" t="n">
        <f aca="false">IF(C4145&gt;1,IF(C4145&lt;99,VLOOKUP(C4145,'MSA-Lookup'!$H$1:$I$86,2),C4145),C4145)</f>
        <v>6920</v>
      </c>
      <c r="G4145" s="0" t="n">
        <f aca="false">VLOOKUP(E4145,'MSA-Lookup'!$AA$1:$AB$25,2)</f>
        <v>4472</v>
      </c>
      <c r="H4145" s="0" t="n">
        <f aca="false">IF(C4145&gt;1,IF(C4145&lt;99,VLOOKUP(F4145,'MSA-Lookup'!$AA$1:$AB$25,2),C4145),C4145)</f>
        <v>6920</v>
      </c>
    </row>
    <row r="4146" customFormat="false" ht="12.75" hidden="false" customHeight="false" outlineLevel="0" collapsed="false">
      <c r="A4146" s="0" t="n">
        <f aca="false">B4146*1000+C4146</f>
        <v>60011</v>
      </c>
      <c r="B4146" s="0" t="n">
        <v>60</v>
      </c>
      <c r="C4146" s="0" t="n">
        <v>11</v>
      </c>
      <c r="D4146" s="0" t="n">
        <v>0</v>
      </c>
      <c r="E4146" s="0" t="n">
        <f aca="false">VLOOKUP(B4146,'MSA-Lookup'!$H$2:$I$86,2)</f>
        <v>4480</v>
      </c>
      <c r="F4146" s="0" t="n">
        <f aca="false">IF(C4146&gt;1,IF(C4146&lt;99,VLOOKUP(C4146,'MSA-Lookup'!$H$1:$I$86,2),C4146),C4146)</f>
        <v>6920</v>
      </c>
      <c r="G4146" s="0" t="n">
        <f aca="false">VLOOKUP(E4146,'MSA-Lookup'!$AA$1:$AB$25,2)</f>
        <v>4472</v>
      </c>
      <c r="H4146" s="0" t="n">
        <f aca="false">IF(C4146&gt;1,IF(C4146&lt;99,VLOOKUP(F4146,'MSA-Lookup'!$AA$1:$AB$25,2),C4146),C4146)</f>
        <v>6920</v>
      </c>
    </row>
    <row r="4147" customFormat="false" ht="12.75" hidden="false" customHeight="false" outlineLevel="0" collapsed="false">
      <c r="A4147" s="0" t="n">
        <f aca="false">B4147*1000+C4147</f>
        <v>60012</v>
      </c>
      <c r="B4147" s="0" t="n">
        <v>60</v>
      </c>
      <c r="C4147" s="0" t="n">
        <v>12</v>
      </c>
      <c r="D4147" s="0" t="n">
        <v>0</v>
      </c>
      <c r="E4147" s="0" t="n">
        <f aca="false">VLOOKUP(B4147,'MSA-Lookup'!$H$2:$I$86,2)</f>
        <v>4480</v>
      </c>
      <c r="F4147" s="0" t="n">
        <f aca="false">IF(C4147&gt;1,IF(C4147&lt;99,VLOOKUP(C4147,'MSA-Lookup'!$H$1:$I$86,2),C4147),C4147)</f>
        <v>6920</v>
      </c>
      <c r="G4147" s="0" t="n">
        <f aca="false">VLOOKUP(E4147,'MSA-Lookup'!$AA$1:$AB$25,2)</f>
        <v>4472</v>
      </c>
      <c r="H4147" s="0" t="n">
        <f aca="false">IF(C4147&gt;1,IF(C4147&lt;99,VLOOKUP(F4147,'MSA-Lookup'!$AA$1:$AB$25,2),C4147),C4147)</f>
        <v>6920</v>
      </c>
    </row>
    <row r="4148" customFormat="false" ht="12.75" hidden="false" customHeight="false" outlineLevel="0" collapsed="false">
      <c r="A4148" s="0" t="n">
        <f aca="false">B4148*1000+C4148</f>
        <v>60013</v>
      </c>
      <c r="B4148" s="0" t="n">
        <v>60</v>
      </c>
      <c r="C4148" s="0" t="n">
        <v>13</v>
      </c>
      <c r="D4148" s="0" t="n">
        <v>0</v>
      </c>
      <c r="E4148" s="0" t="n">
        <f aca="false">VLOOKUP(B4148,'MSA-Lookup'!$H$2:$I$86,2)</f>
        <v>4480</v>
      </c>
      <c r="F4148" s="0" t="n">
        <f aca="false">IF(C4148&gt;1,IF(C4148&lt;99,VLOOKUP(C4148,'MSA-Lookup'!$H$1:$I$86,2),C4148),C4148)</f>
        <v>7500</v>
      </c>
      <c r="G4148" s="0" t="n">
        <f aca="false">VLOOKUP(E4148,'MSA-Lookup'!$AA$1:$AB$25,2)</f>
        <v>4472</v>
      </c>
      <c r="H4148" s="0" t="n">
        <f aca="false">IF(C4148&gt;1,IF(C4148&lt;99,VLOOKUP(F4148,'MSA-Lookup'!$AA$1:$AB$25,2),C4148),C4148)</f>
        <v>7362</v>
      </c>
    </row>
    <row r="4149" customFormat="false" ht="12.75" hidden="false" customHeight="false" outlineLevel="0" collapsed="false">
      <c r="A4149" s="0" t="n">
        <f aca="false">B4149*1000+C4149</f>
        <v>60014</v>
      </c>
      <c r="B4149" s="0" t="n">
        <v>60</v>
      </c>
      <c r="C4149" s="0" t="n">
        <v>14</v>
      </c>
      <c r="D4149" s="0" t="n">
        <v>0</v>
      </c>
      <c r="E4149" s="0" t="n">
        <f aca="false">VLOOKUP(B4149,'MSA-Lookup'!$H$2:$I$86,2)</f>
        <v>4480</v>
      </c>
      <c r="F4149" s="0" t="n">
        <f aca="false">IF(C4149&gt;1,IF(C4149&lt;99,VLOOKUP(C4149,'MSA-Lookup'!$H$1:$I$86,2),C4149),C4149)</f>
        <v>7500</v>
      </c>
      <c r="G4149" s="0" t="n">
        <f aca="false">VLOOKUP(E4149,'MSA-Lookup'!$AA$1:$AB$25,2)</f>
        <v>4472</v>
      </c>
      <c r="H4149" s="0" t="n">
        <f aca="false">IF(C4149&gt;1,IF(C4149&lt;99,VLOOKUP(F4149,'MSA-Lookup'!$AA$1:$AB$25,2),C4149),C4149)</f>
        <v>7362</v>
      </c>
    </row>
    <row r="4150" customFormat="false" ht="12.75" hidden="false" customHeight="false" outlineLevel="0" collapsed="false">
      <c r="A4150" s="0" t="n">
        <f aca="false">B4150*1000+C4150</f>
        <v>60015</v>
      </c>
      <c r="B4150" s="0" t="n">
        <v>60</v>
      </c>
      <c r="C4150" s="0" t="n">
        <v>15</v>
      </c>
      <c r="D4150" s="0" t="n">
        <v>0</v>
      </c>
      <c r="E4150" s="0" t="n">
        <f aca="false">VLOOKUP(B4150,'MSA-Lookup'!$H$2:$I$86,2)</f>
        <v>4480</v>
      </c>
      <c r="F4150" s="0" t="n">
        <f aca="false">IF(C4150&gt;1,IF(C4150&lt;99,VLOOKUP(C4150,'MSA-Lookup'!$H$1:$I$86,2),C4150),C4150)</f>
        <v>7360</v>
      </c>
      <c r="G4150" s="0" t="n">
        <f aca="false">VLOOKUP(E4150,'MSA-Lookup'!$AA$1:$AB$25,2)</f>
        <v>4472</v>
      </c>
      <c r="H4150" s="0" t="n">
        <f aca="false">IF(C4150&gt;1,IF(C4150&lt;99,VLOOKUP(F4150,'MSA-Lookup'!$AA$1:$AB$25,2),C4150),C4150)</f>
        <v>7362</v>
      </c>
    </row>
    <row r="4151" customFormat="false" ht="12.75" hidden="false" customHeight="false" outlineLevel="0" collapsed="false">
      <c r="A4151" s="0" t="n">
        <f aca="false">B4151*1000+C4151</f>
        <v>60016</v>
      </c>
      <c r="B4151" s="0" t="n">
        <v>60</v>
      </c>
      <c r="C4151" s="0" t="n">
        <v>16</v>
      </c>
      <c r="D4151" s="0" t="n">
        <v>0</v>
      </c>
      <c r="E4151" s="0" t="n">
        <f aca="false">VLOOKUP(B4151,'MSA-Lookup'!$H$2:$I$86,2)</f>
        <v>4480</v>
      </c>
      <c r="F4151" s="0" t="n">
        <f aca="false">IF(C4151&gt;1,IF(C4151&lt;99,VLOOKUP(C4151,'MSA-Lookup'!$H$1:$I$86,2),C4151),C4151)</f>
        <v>8720</v>
      </c>
      <c r="G4151" s="0" t="n">
        <f aca="false">VLOOKUP(E4151,'MSA-Lookup'!$AA$1:$AB$25,2)</f>
        <v>4472</v>
      </c>
      <c r="H4151" s="0" t="n">
        <f aca="false">IF(C4151&gt;1,IF(C4151&lt;99,VLOOKUP(F4151,'MSA-Lookup'!$AA$1:$AB$25,2),C4151),C4151)</f>
        <v>7362</v>
      </c>
    </row>
    <row r="4152" customFormat="false" ht="12.75" hidden="false" customHeight="false" outlineLevel="0" collapsed="false">
      <c r="A4152" s="0" t="n">
        <f aca="false">B4152*1000+C4152</f>
        <v>60017</v>
      </c>
      <c r="B4152" s="0" t="n">
        <v>60</v>
      </c>
      <c r="C4152" s="0" t="n">
        <v>17</v>
      </c>
      <c r="D4152" s="0" t="n">
        <v>0</v>
      </c>
      <c r="E4152" s="0" t="n">
        <f aca="false">VLOOKUP(B4152,'MSA-Lookup'!$H$2:$I$86,2)</f>
        <v>4480</v>
      </c>
      <c r="F4152" s="0" t="n">
        <f aca="false">IF(C4152&gt;1,IF(C4152&lt;99,VLOOKUP(C4152,'MSA-Lookup'!$H$1:$I$86,2),C4152),C4152)</f>
        <v>5775</v>
      </c>
      <c r="G4152" s="0" t="n">
        <f aca="false">VLOOKUP(E4152,'MSA-Lookup'!$AA$1:$AB$25,2)</f>
        <v>4472</v>
      </c>
      <c r="H4152" s="0" t="n">
        <f aca="false">IF(C4152&gt;1,IF(C4152&lt;99,VLOOKUP(F4152,'MSA-Lookup'!$AA$1:$AB$25,2),C4152),C4152)</f>
        <v>7362</v>
      </c>
    </row>
    <row r="4153" customFormat="false" ht="12.75" hidden="false" customHeight="false" outlineLevel="0" collapsed="false">
      <c r="A4153" s="0" t="n">
        <f aca="false">B4153*1000+C4153</f>
        <v>60018</v>
      </c>
      <c r="B4153" s="0" t="n">
        <v>60</v>
      </c>
      <c r="C4153" s="0" t="n">
        <v>18</v>
      </c>
      <c r="D4153" s="0" t="n">
        <v>0</v>
      </c>
      <c r="E4153" s="0" t="n">
        <f aca="false">VLOOKUP(B4153,'MSA-Lookup'!$H$2:$I$86,2)</f>
        <v>4480</v>
      </c>
      <c r="F4153" s="0" t="n">
        <f aca="false">IF(C4153&gt;1,IF(C4153&lt;99,VLOOKUP(C4153,'MSA-Lookup'!$H$1:$I$86,2),C4153),C4153)</f>
        <v>5775</v>
      </c>
      <c r="G4153" s="0" t="n">
        <f aca="false">VLOOKUP(E4153,'MSA-Lookup'!$AA$1:$AB$25,2)</f>
        <v>4472</v>
      </c>
      <c r="H4153" s="0" t="n">
        <f aca="false">IF(C4153&gt;1,IF(C4153&lt;99,VLOOKUP(F4153,'MSA-Lookup'!$AA$1:$AB$25,2),C4153),C4153)</f>
        <v>7362</v>
      </c>
    </row>
    <row r="4154" customFormat="false" ht="12.75" hidden="false" customHeight="false" outlineLevel="0" collapsed="false">
      <c r="A4154" s="0" t="n">
        <f aca="false">B4154*1000+C4154</f>
        <v>60019</v>
      </c>
      <c r="B4154" s="0" t="n">
        <v>60</v>
      </c>
      <c r="C4154" s="0" t="n">
        <v>19</v>
      </c>
      <c r="D4154" s="0" t="n">
        <v>0</v>
      </c>
      <c r="E4154" s="0" t="n">
        <f aca="false">VLOOKUP(B4154,'MSA-Lookup'!$H$2:$I$86,2)</f>
        <v>4480</v>
      </c>
      <c r="F4154" s="0" t="n">
        <f aca="false">IF(C4154&gt;1,IF(C4154&lt;99,VLOOKUP(C4154,'MSA-Lookup'!$H$1:$I$86,2),C4154),C4154)</f>
        <v>7360</v>
      </c>
      <c r="G4154" s="0" t="n">
        <f aca="false">VLOOKUP(E4154,'MSA-Lookup'!$AA$1:$AB$25,2)</f>
        <v>4472</v>
      </c>
      <c r="H4154" s="0" t="n">
        <f aca="false">IF(C4154&gt;1,IF(C4154&lt;99,VLOOKUP(F4154,'MSA-Lookup'!$AA$1:$AB$25,2),C4154),C4154)</f>
        <v>7362</v>
      </c>
    </row>
    <row r="4155" customFormat="false" ht="12.75" hidden="false" customHeight="false" outlineLevel="0" collapsed="false">
      <c r="A4155" s="0" t="n">
        <f aca="false">B4155*1000+C4155</f>
        <v>60020</v>
      </c>
      <c r="B4155" s="0" t="n">
        <v>60</v>
      </c>
      <c r="C4155" s="0" t="n">
        <v>20</v>
      </c>
      <c r="D4155" s="0" t="n">
        <v>0</v>
      </c>
      <c r="E4155" s="0" t="n">
        <f aca="false">VLOOKUP(B4155,'MSA-Lookup'!$H$2:$I$86,2)</f>
        <v>4480</v>
      </c>
      <c r="F4155" s="0" t="n">
        <f aca="false">IF(C4155&gt;1,IF(C4155&lt;99,VLOOKUP(C4155,'MSA-Lookup'!$H$1:$I$86,2),C4155),C4155)</f>
        <v>5775</v>
      </c>
      <c r="G4155" s="0" t="n">
        <f aca="false">VLOOKUP(E4155,'MSA-Lookup'!$AA$1:$AB$25,2)</f>
        <v>4472</v>
      </c>
      <c r="H4155" s="0" t="n">
        <f aca="false">IF(C4155&gt;1,IF(C4155&lt;99,VLOOKUP(F4155,'MSA-Lookup'!$AA$1:$AB$25,2),C4155),C4155)</f>
        <v>7362</v>
      </c>
    </row>
    <row r="4156" customFormat="false" ht="12.75" hidden="false" customHeight="false" outlineLevel="0" collapsed="false">
      <c r="A4156" s="0" t="n">
        <f aca="false">B4156*1000+C4156</f>
        <v>60021</v>
      </c>
      <c r="B4156" s="0" t="n">
        <v>60</v>
      </c>
      <c r="C4156" s="0" t="n">
        <v>21</v>
      </c>
      <c r="D4156" s="0" t="n">
        <v>91</v>
      </c>
      <c r="E4156" s="0" t="n">
        <f aca="false">VLOOKUP(B4156,'MSA-Lookup'!$H$2:$I$86,2)</f>
        <v>4480</v>
      </c>
      <c r="F4156" s="0" t="n">
        <f aca="false">IF(C4156&gt;1,IF(C4156&lt;99,VLOOKUP(C4156,'MSA-Lookup'!$H$1:$I$86,2),C4156),C4156)</f>
        <v>5775</v>
      </c>
      <c r="G4156" s="0" t="n">
        <f aca="false">VLOOKUP(E4156,'MSA-Lookup'!$AA$1:$AB$25,2)</f>
        <v>4472</v>
      </c>
      <c r="H4156" s="0" t="n">
        <f aca="false">IF(C4156&gt;1,IF(C4156&lt;99,VLOOKUP(F4156,'MSA-Lookup'!$AA$1:$AB$25,2),C4156),C4156)</f>
        <v>7362</v>
      </c>
    </row>
    <row r="4157" customFormat="false" ht="12.75" hidden="false" customHeight="false" outlineLevel="0" collapsed="false">
      <c r="A4157" s="0" t="n">
        <f aca="false">B4157*1000+C4157</f>
        <v>60022</v>
      </c>
      <c r="B4157" s="0" t="n">
        <v>60</v>
      </c>
      <c r="C4157" s="0" t="n">
        <v>22</v>
      </c>
      <c r="D4157" s="0" t="n">
        <v>0</v>
      </c>
      <c r="E4157" s="0" t="n">
        <f aca="false">VLOOKUP(B4157,'MSA-Lookup'!$H$2:$I$86,2)</f>
        <v>4480</v>
      </c>
      <c r="F4157" s="0" t="n">
        <f aca="false">IF(C4157&gt;1,IF(C4157&lt;99,VLOOKUP(C4157,'MSA-Lookup'!$H$1:$I$86,2),C4157),C4157)</f>
        <v>7360</v>
      </c>
      <c r="G4157" s="0" t="n">
        <f aca="false">VLOOKUP(E4157,'MSA-Lookup'!$AA$1:$AB$25,2)</f>
        <v>4472</v>
      </c>
      <c r="H4157" s="0" t="n">
        <f aca="false">IF(C4157&gt;1,IF(C4157&lt;99,VLOOKUP(F4157,'MSA-Lookup'!$AA$1:$AB$25,2),C4157),C4157)</f>
        <v>7362</v>
      </c>
    </row>
    <row r="4158" customFormat="false" ht="12.75" hidden="false" customHeight="false" outlineLevel="0" collapsed="false">
      <c r="A4158" s="0" t="n">
        <f aca="false">B4158*1000+C4158</f>
        <v>60023</v>
      </c>
      <c r="B4158" s="0" t="n">
        <v>60</v>
      </c>
      <c r="C4158" s="0" t="n">
        <v>23</v>
      </c>
      <c r="D4158" s="0" t="n">
        <v>0</v>
      </c>
      <c r="E4158" s="0" t="n">
        <f aca="false">VLOOKUP(B4158,'MSA-Lookup'!$H$2:$I$86,2)</f>
        <v>4480</v>
      </c>
      <c r="F4158" s="0" t="n">
        <f aca="false">IF(C4158&gt;1,IF(C4158&lt;99,VLOOKUP(C4158,'MSA-Lookup'!$H$1:$I$86,2),C4158),C4158)</f>
        <v>8120</v>
      </c>
      <c r="G4158" s="0" t="n">
        <f aca="false">VLOOKUP(E4158,'MSA-Lookup'!$AA$1:$AB$25,2)</f>
        <v>4472</v>
      </c>
      <c r="H4158" s="0" t="n">
        <f aca="false">IF(C4158&gt;1,IF(C4158&lt;99,VLOOKUP(F4158,'MSA-Lookup'!$AA$1:$AB$25,2),C4158),C4158)</f>
        <v>8120</v>
      </c>
    </row>
    <row r="4159" customFormat="false" ht="12.75" hidden="false" customHeight="false" outlineLevel="0" collapsed="false">
      <c r="A4159" s="0" t="n">
        <f aca="false">B4159*1000+C4159</f>
        <v>60024</v>
      </c>
      <c r="B4159" s="0" t="n">
        <v>60</v>
      </c>
      <c r="C4159" s="0" t="n">
        <v>24</v>
      </c>
      <c r="D4159" s="0" t="n">
        <v>0</v>
      </c>
      <c r="E4159" s="0" t="n">
        <f aca="false">VLOOKUP(B4159,'MSA-Lookup'!$H$2:$I$86,2)</f>
        <v>4480</v>
      </c>
      <c r="F4159" s="0" t="n">
        <f aca="false">IF(C4159&gt;1,IF(C4159&lt;99,VLOOKUP(C4159,'MSA-Lookup'!$H$1:$I$86,2),C4159),C4159)</f>
        <v>5170</v>
      </c>
      <c r="G4159" s="0" t="n">
        <f aca="false">VLOOKUP(E4159,'MSA-Lookup'!$AA$1:$AB$25,2)</f>
        <v>4472</v>
      </c>
      <c r="H4159" s="0" t="n">
        <f aca="false">IF(C4159&gt;1,IF(C4159&lt;99,VLOOKUP(F4159,'MSA-Lookup'!$AA$1:$AB$25,2),C4159),C4159)</f>
        <v>5170</v>
      </c>
    </row>
    <row r="4160" customFormat="false" ht="12.75" hidden="false" customHeight="false" outlineLevel="0" collapsed="false">
      <c r="A4160" s="0" t="n">
        <f aca="false">B4160*1000+C4160</f>
        <v>60025</v>
      </c>
      <c r="B4160" s="0" t="n">
        <v>60</v>
      </c>
      <c r="C4160" s="0" t="n">
        <v>25</v>
      </c>
      <c r="D4160" s="0" t="n">
        <v>0</v>
      </c>
      <c r="E4160" s="0" t="n">
        <f aca="false">VLOOKUP(B4160,'MSA-Lookup'!$H$2:$I$86,2)</f>
        <v>4480</v>
      </c>
      <c r="F4160" s="0" t="n">
        <f aca="false">IF(C4160&gt;1,IF(C4160&lt;99,VLOOKUP(C4160,'MSA-Lookup'!$H$1:$I$86,2),C4160),C4160)</f>
        <v>5170</v>
      </c>
      <c r="G4160" s="0" t="n">
        <f aca="false">VLOOKUP(E4160,'MSA-Lookup'!$AA$1:$AB$25,2)</f>
        <v>4472</v>
      </c>
      <c r="H4160" s="0" t="n">
        <f aca="false">IF(C4160&gt;1,IF(C4160&lt;99,VLOOKUP(F4160,'MSA-Lookup'!$AA$1:$AB$25,2),C4160),C4160)</f>
        <v>5170</v>
      </c>
    </row>
    <row r="4161" customFormat="false" ht="12.75" hidden="false" customHeight="false" outlineLevel="0" collapsed="false">
      <c r="A4161" s="0" t="n">
        <f aca="false">B4161*1000+C4161</f>
        <v>60026</v>
      </c>
      <c r="B4161" s="0" t="n">
        <v>60</v>
      </c>
      <c r="C4161" s="0" t="n">
        <v>26</v>
      </c>
      <c r="D4161" s="0" t="n">
        <v>0</v>
      </c>
      <c r="E4161" s="0" t="n">
        <f aca="false">VLOOKUP(B4161,'MSA-Lookup'!$H$2:$I$86,2)</f>
        <v>4480</v>
      </c>
      <c r="F4161" s="0" t="n">
        <f aca="false">IF(C4161&gt;1,IF(C4161&lt;99,VLOOKUP(C4161,'MSA-Lookup'!$H$1:$I$86,2),C4161),C4161)</f>
        <v>9999</v>
      </c>
      <c r="G4161" s="0" t="n">
        <f aca="false">VLOOKUP(E4161,'MSA-Lookup'!$AA$1:$AB$25,2)</f>
        <v>4472</v>
      </c>
      <c r="H4161" s="0" t="n">
        <f aca="false">IF(C4161&gt;1,IF(C4161&lt;99,VLOOKUP(F4161,'MSA-Lookup'!$AA$1:$AB$25,2),C4161),C4161)</f>
        <v>9999</v>
      </c>
    </row>
    <row r="4162" customFormat="false" ht="12.75" hidden="false" customHeight="false" outlineLevel="0" collapsed="false">
      <c r="A4162" s="0" t="n">
        <f aca="false">B4162*1000+C4162</f>
        <v>60027</v>
      </c>
      <c r="B4162" s="0" t="n">
        <v>60</v>
      </c>
      <c r="C4162" s="0" t="n">
        <v>27</v>
      </c>
      <c r="D4162" s="0" t="n">
        <v>0</v>
      </c>
      <c r="E4162" s="0" t="n">
        <f aca="false">VLOOKUP(B4162,'MSA-Lookup'!$H$2:$I$86,2)</f>
        <v>4480</v>
      </c>
      <c r="F4162" s="0" t="n">
        <f aca="false">IF(C4162&gt;1,IF(C4162&lt;99,VLOOKUP(C4162,'MSA-Lookup'!$H$1:$I$86,2),C4162),C4162)</f>
        <v>9999</v>
      </c>
      <c r="G4162" s="0" t="n">
        <f aca="false">VLOOKUP(E4162,'MSA-Lookup'!$AA$1:$AB$25,2)</f>
        <v>4472</v>
      </c>
      <c r="H4162" s="0" t="n">
        <f aca="false">IF(C4162&gt;1,IF(C4162&lt;99,VLOOKUP(F4162,'MSA-Lookup'!$AA$1:$AB$25,2),C4162),C4162)</f>
        <v>9999</v>
      </c>
    </row>
    <row r="4163" customFormat="false" ht="12.75" hidden="false" customHeight="false" outlineLevel="0" collapsed="false">
      <c r="A4163" s="0" t="n">
        <f aca="false">B4163*1000+C4163</f>
        <v>60028</v>
      </c>
      <c r="B4163" s="0" t="n">
        <v>60</v>
      </c>
      <c r="C4163" s="0" t="n">
        <v>28</v>
      </c>
      <c r="D4163" s="0" t="n">
        <v>0</v>
      </c>
      <c r="E4163" s="0" t="n">
        <f aca="false">VLOOKUP(B4163,'MSA-Lookup'!$H$2:$I$86,2)</f>
        <v>4480</v>
      </c>
      <c r="F4163" s="0" t="n">
        <f aca="false">IF(C4163&gt;1,IF(C4163&lt;99,VLOOKUP(C4163,'MSA-Lookup'!$H$1:$I$86,2),C4163),C4163)</f>
        <v>6920</v>
      </c>
      <c r="G4163" s="0" t="n">
        <f aca="false">VLOOKUP(E4163,'MSA-Lookup'!$AA$1:$AB$25,2)</f>
        <v>4472</v>
      </c>
      <c r="H4163" s="0" t="n">
        <f aca="false">IF(C4163&gt;1,IF(C4163&lt;99,VLOOKUP(F4163,'MSA-Lookup'!$AA$1:$AB$25,2),C4163),C4163)</f>
        <v>6920</v>
      </c>
    </row>
    <row r="4164" customFormat="false" ht="12.75" hidden="false" customHeight="false" outlineLevel="0" collapsed="false">
      <c r="A4164" s="0" t="n">
        <f aca="false">B4164*1000+C4164</f>
        <v>60029</v>
      </c>
      <c r="B4164" s="0" t="n">
        <v>60</v>
      </c>
      <c r="C4164" s="0" t="n">
        <v>29</v>
      </c>
      <c r="D4164" s="0" t="n">
        <v>0</v>
      </c>
      <c r="E4164" s="0" t="n">
        <f aca="false">VLOOKUP(B4164,'MSA-Lookup'!$H$2:$I$86,2)</f>
        <v>4480</v>
      </c>
      <c r="F4164" s="0" t="n">
        <f aca="false">IF(C4164&gt;1,IF(C4164&lt;99,VLOOKUP(C4164,'MSA-Lookup'!$H$1:$I$86,2),C4164),C4164)</f>
        <v>6920</v>
      </c>
      <c r="G4164" s="0" t="n">
        <f aca="false">VLOOKUP(E4164,'MSA-Lookup'!$AA$1:$AB$25,2)</f>
        <v>4472</v>
      </c>
      <c r="H4164" s="0" t="n">
        <f aca="false">IF(C4164&gt;1,IF(C4164&lt;99,VLOOKUP(F4164,'MSA-Lookup'!$AA$1:$AB$25,2),C4164),C4164)</f>
        <v>6920</v>
      </c>
    </row>
    <row r="4165" customFormat="false" ht="12.75" hidden="false" customHeight="false" outlineLevel="0" collapsed="false">
      <c r="A4165" s="0" t="n">
        <f aca="false">B4165*1000+C4165</f>
        <v>60030</v>
      </c>
      <c r="B4165" s="0" t="n">
        <v>60</v>
      </c>
      <c r="C4165" s="0" t="n">
        <v>30</v>
      </c>
      <c r="D4165" s="0" t="n">
        <v>0</v>
      </c>
      <c r="E4165" s="0" t="n">
        <f aca="false">VLOOKUP(B4165,'MSA-Lookup'!$H$2:$I$86,2)</f>
        <v>4480</v>
      </c>
      <c r="F4165" s="0" t="n">
        <f aca="false">IF(C4165&gt;1,IF(C4165&lt;99,VLOOKUP(C4165,'MSA-Lookup'!$H$1:$I$86,2),C4165),C4165)</f>
        <v>4940</v>
      </c>
      <c r="G4165" s="0" t="n">
        <f aca="false">VLOOKUP(E4165,'MSA-Lookup'!$AA$1:$AB$25,2)</f>
        <v>4472</v>
      </c>
      <c r="H4165" s="0" t="n">
        <f aca="false">IF(C4165&gt;1,IF(C4165&lt;99,VLOOKUP(F4165,'MSA-Lookup'!$AA$1:$AB$25,2),C4165),C4165)</f>
        <v>4940</v>
      </c>
    </row>
    <row r="4166" customFormat="false" ht="12.75" hidden="false" customHeight="false" outlineLevel="0" collapsed="false">
      <c r="A4166" s="0" t="n">
        <f aca="false">B4166*1000+C4166</f>
        <v>60031</v>
      </c>
      <c r="B4166" s="0" t="n">
        <v>60</v>
      </c>
      <c r="C4166" s="0" t="n">
        <v>31</v>
      </c>
      <c r="D4166" s="0" t="n">
        <v>0</v>
      </c>
      <c r="E4166" s="0" t="n">
        <f aca="false">VLOOKUP(B4166,'MSA-Lookup'!$H$2:$I$86,2)</f>
        <v>4480</v>
      </c>
      <c r="F4166" s="0" t="n">
        <f aca="false">IF(C4166&gt;1,IF(C4166&lt;99,VLOOKUP(C4166,'MSA-Lookup'!$H$1:$I$86,2),C4166),C4166)</f>
        <v>9999</v>
      </c>
      <c r="G4166" s="0" t="n">
        <f aca="false">VLOOKUP(E4166,'MSA-Lookup'!$AA$1:$AB$25,2)</f>
        <v>4472</v>
      </c>
      <c r="H4166" s="0" t="n">
        <f aca="false">IF(C4166&gt;1,IF(C4166&lt;99,VLOOKUP(F4166,'MSA-Lookup'!$AA$1:$AB$25,2),C4166),C4166)</f>
        <v>9999</v>
      </c>
    </row>
    <row r="4167" customFormat="false" ht="12.75" hidden="false" customHeight="false" outlineLevel="0" collapsed="false">
      <c r="A4167" s="0" t="n">
        <f aca="false">B4167*1000+C4167</f>
        <v>60032</v>
      </c>
      <c r="B4167" s="0" t="n">
        <v>60</v>
      </c>
      <c r="C4167" s="0" t="n">
        <v>32</v>
      </c>
      <c r="D4167" s="0" t="n">
        <v>0</v>
      </c>
      <c r="E4167" s="0" t="n">
        <f aca="false">VLOOKUP(B4167,'MSA-Lookup'!$H$2:$I$86,2)</f>
        <v>4480</v>
      </c>
      <c r="F4167" s="0" t="n">
        <f aca="false">IF(C4167&gt;1,IF(C4167&lt;99,VLOOKUP(C4167,'MSA-Lookup'!$H$1:$I$86,2),C4167),C4167)</f>
        <v>7480</v>
      </c>
      <c r="G4167" s="0" t="n">
        <f aca="false">VLOOKUP(E4167,'MSA-Lookup'!$AA$1:$AB$25,2)</f>
        <v>4472</v>
      </c>
      <c r="H4167" s="0" t="n">
        <f aca="false">IF(C4167&gt;1,IF(C4167&lt;99,VLOOKUP(F4167,'MSA-Lookup'!$AA$1:$AB$25,2),C4167),C4167)</f>
        <v>7480</v>
      </c>
    </row>
    <row r="4168" customFormat="false" ht="12.75" hidden="false" customHeight="false" outlineLevel="0" collapsed="false">
      <c r="A4168" s="0" t="n">
        <f aca="false">B4168*1000+C4168</f>
        <v>60033</v>
      </c>
      <c r="B4168" s="0" t="n">
        <v>60</v>
      </c>
      <c r="C4168" s="0" t="n">
        <v>33</v>
      </c>
      <c r="D4168" s="0" t="n">
        <v>0</v>
      </c>
      <c r="E4168" s="0" t="n">
        <f aca="false">VLOOKUP(B4168,'MSA-Lookup'!$H$2:$I$86,2)</f>
        <v>4480</v>
      </c>
      <c r="F4168" s="0" t="n">
        <f aca="false">IF(C4168&gt;1,IF(C4168&lt;99,VLOOKUP(C4168,'MSA-Lookup'!$H$1:$I$86,2),C4168),C4168)</f>
        <v>7320</v>
      </c>
      <c r="G4168" s="0" t="n">
        <f aca="false">VLOOKUP(E4168,'MSA-Lookup'!$AA$1:$AB$25,2)</f>
        <v>4472</v>
      </c>
      <c r="H4168" s="0" t="n">
        <f aca="false">IF(C4168&gt;1,IF(C4168&lt;99,VLOOKUP(F4168,'MSA-Lookup'!$AA$1:$AB$25,2),C4168),C4168)</f>
        <v>7320</v>
      </c>
    </row>
    <row r="4169" customFormat="false" ht="12.75" hidden="false" customHeight="false" outlineLevel="0" collapsed="false">
      <c r="A4169" s="0" t="n">
        <f aca="false">B4169*1000+C4169</f>
        <v>60034</v>
      </c>
      <c r="B4169" s="0" t="n">
        <v>60</v>
      </c>
      <c r="C4169" s="0" t="n">
        <v>34</v>
      </c>
      <c r="D4169" s="0" t="n">
        <v>0</v>
      </c>
      <c r="E4169" s="0" t="n">
        <f aca="false">VLOOKUP(B4169,'MSA-Lookup'!$H$2:$I$86,2)</f>
        <v>4480</v>
      </c>
      <c r="F4169" s="0" t="n">
        <f aca="false">IF(C4169&gt;1,IF(C4169&lt;99,VLOOKUP(C4169,'MSA-Lookup'!$H$1:$I$86,2),C4169),C4169)</f>
        <v>7320</v>
      </c>
      <c r="G4169" s="0" t="n">
        <f aca="false">VLOOKUP(E4169,'MSA-Lookup'!$AA$1:$AB$25,2)</f>
        <v>4472</v>
      </c>
      <c r="H4169" s="0" t="n">
        <f aca="false">IF(C4169&gt;1,IF(C4169&lt;99,VLOOKUP(F4169,'MSA-Lookup'!$AA$1:$AB$25,2),C4169),C4169)</f>
        <v>7320</v>
      </c>
    </row>
    <row r="4170" customFormat="false" ht="12.75" hidden="false" customHeight="false" outlineLevel="0" collapsed="false">
      <c r="A4170" s="0" t="n">
        <f aca="false">B4170*1000+C4170</f>
        <v>60035</v>
      </c>
      <c r="B4170" s="0" t="n">
        <v>60</v>
      </c>
      <c r="C4170" s="0" t="n">
        <v>35</v>
      </c>
      <c r="D4170" s="0" t="n">
        <v>0</v>
      </c>
      <c r="E4170" s="0" t="n">
        <f aca="false">VLOOKUP(B4170,'MSA-Lookup'!$H$2:$I$86,2)</f>
        <v>4480</v>
      </c>
      <c r="F4170" s="0" t="n">
        <f aca="false">IF(C4170&gt;1,IF(C4170&lt;99,VLOOKUP(C4170,'MSA-Lookup'!$H$1:$I$86,2),C4170),C4170)</f>
        <v>7320</v>
      </c>
      <c r="G4170" s="0" t="n">
        <f aca="false">VLOOKUP(E4170,'MSA-Lookup'!$AA$1:$AB$25,2)</f>
        <v>4472</v>
      </c>
      <c r="H4170" s="0" t="n">
        <f aca="false">IF(C4170&gt;1,IF(C4170&lt;99,VLOOKUP(F4170,'MSA-Lookup'!$AA$1:$AB$25,2),C4170),C4170)</f>
        <v>7320</v>
      </c>
    </row>
    <row r="4171" customFormat="false" ht="12.75" hidden="false" customHeight="false" outlineLevel="0" collapsed="false">
      <c r="A4171" s="0" t="n">
        <f aca="false">B4171*1000+C4171</f>
        <v>60036</v>
      </c>
      <c r="B4171" s="0" t="n">
        <v>60</v>
      </c>
      <c r="C4171" s="0" t="n">
        <v>36</v>
      </c>
      <c r="D4171" s="0" t="n">
        <v>0</v>
      </c>
      <c r="E4171" s="0" t="n">
        <f aca="false">VLOOKUP(B4171,'MSA-Lookup'!$H$2:$I$86,2)</f>
        <v>4480</v>
      </c>
      <c r="F4171" s="0" t="n">
        <f aca="false">IF(C4171&gt;1,IF(C4171&lt;99,VLOOKUP(C4171,'MSA-Lookup'!$H$1:$I$86,2),C4171),C4171)</f>
        <v>7320</v>
      </c>
      <c r="G4171" s="0" t="n">
        <f aca="false">VLOOKUP(E4171,'MSA-Lookup'!$AA$1:$AB$25,2)</f>
        <v>4472</v>
      </c>
      <c r="H4171" s="0" t="n">
        <f aca="false">IF(C4171&gt;1,IF(C4171&lt;99,VLOOKUP(F4171,'MSA-Lookup'!$AA$1:$AB$25,2),C4171),C4171)</f>
        <v>7320</v>
      </c>
    </row>
    <row r="4172" customFormat="false" ht="12.75" hidden="false" customHeight="false" outlineLevel="0" collapsed="false">
      <c r="A4172" s="0" t="n">
        <f aca="false">B4172*1000+C4172</f>
        <v>60037</v>
      </c>
      <c r="B4172" s="0" t="n">
        <v>60</v>
      </c>
      <c r="C4172" s="0" t="n">
        <v>37</v>
      </c>
      <c r="D4172" s="0" t="n">
        <v>0</v>
      </c>
      <c r="E4172" s="0" t="n">
        <f aca="false">VLOOKUP(B4172,'MSA-Lookup'!$H$2:$I$86,2)</f>
        <v>4480</v>
      </c>
      <c r="F4172" s="0" t="n">
        <f aca="false">IF(C4172&gt;1,IF(C4172&lt;99,VLOOKUP(C4172,'MSA-Lookup'!$H$1:$I$86,2),C4172),C4172)</f>
        <v>7320</v>
      </c>
      <c r="G4172" s="0" t="n">
        <f aca="false">VLOOKUP(E4172,'MSA-Lookup'!$AA$1:$AB$25,2)</f>
        <v>4472</v>
      </c>
      <c r="H4172" s="0" t="n">
        <f aca="false">IF(C4172&gt;1,IF(C4172&lt;99,VLOOKUP(F4172,'MSA-Lookup'!$AA$1:$AB$25,2),C4172),C4172)</f>
        <v>7320</v>
      </c>
    </row>
    <row r="4173" customFormat="false" ht="12.75" hidden="false" customHeight="false" outlineLevel="0" collapsed="false">
      <c r="A4173" s="0" t="n">
        <f aca="false">B4173*1000+C4173</f>
        <v>60038</v>
      </c>
      <c r="B4173" s="0" t="n">
        <v>60</v>
      </c>
      <c r="C4173" s="0" t="n">
        <v>38</v>
      </c>
      <c r="D4173" s="0" t="n">
        <v>0</v>
      </c>
      <c r="E4173" s="0" t="n">
        <f aca="false">VLOOKUP(B4173,'MSA-Lookup'!$H$2:$I$86,2)</f>
        <v>4480</v>
      </c>
      <c r="F4173" s="0" t="n">
        <f aca="false">IF(C4173&gt;1,IF(C4173&lt;99,VLOOKUP(C4173,'MSA-Lookup'!$H$1:$I$86,2),C4173),C4173)</f>
        <v>7120</v>
      </c>
      <c r="G4173" s="0" t="n">
        <f aca="false">VLOOKUP(E4173,'MSA-Lookup'!$AA$1:$AB$25,2)</f>
        <v>4472</v>
      </c>
      <c r="H4173" s="0" t="n">
        <f aca="false">IF(C4173&gt;1,IF(C4173&lt;99,VLOOKUP(F4173,'MSA-Lookup'!$AA$1:$AB$25,2),C4173),C4173)</f>
        <v>7120</v>
      </c>
    </row>
    <row r="4174" customFormat="false" ht="12.75" hidden="false" customHeight="false" outlineLevel="0" collapsed="false">
      <c r="A4174" s="0" t="n">
        <f aca="false">B4174*1000+C4174</f>
        <v>60039</v>
      </c>
      <c r="B4174" s="0" t="n">
        <v>60</v>
      </c>
      <c r="C4174" s="0" t="n">
        <v>39</v>
      </c>
      <c r="D4174" s="0" t="n">
        <v>65</v>
      </c>
      <c r="E4174" s="0" t="n">
        <f aca="false">VLOOKUP(B4174,'MSA-Lookup'!$H$2:$I$86,2)</f>
        <v>4480</v>
      </c>
      <c r="F4174" s="0" t="n">
        <f aca="false">IF(C4174&gt;1,IF(C4174&lt;99,VLOOKUP(C4174,'MSA-Lookup'!$H$1:$I$86,2),C4174),C4174)</f>
        <v>7120</v>
      </c>
      <c r="G4174" s="0" t="n">
        <f aca="false">VLOOKUP(E4174,'MSA-Lookup'!$AA$1:$AB$25,2)</f>
        <v>4472</v>
      </c>
      <c r="H4174" s="0" t="n">
        <f aca="false">IF(C4174&gt;1,IF(C4174&lt;99,VLOOKUP(F4174,'MSA-Lookup'!$AA$1:$AB$25,2),C4174),C4174)</f>
        <v>7120</v>
      </c>
    </row>
    <row r="4175" customFormat="false" ht="12.75" hidden="false" customHeight="false" outlineLevel="0" collapsed="false">
      <c r="A4175" s="0" t="n">
        <f aca="false">B4175*1000+C4175</f>
        <v>60040</v>
      </c>
      <c r="B4175" s="0" t="n">
        <v>60</v>
      </c>
      <c r="C4175" s="0" t="n">
        <v>40</v>
      </c>
      <c r="D4175" s="0" t="n">
        <v>0</v>
      </c>
      <c r="E4175" s="0" t="n">
        <f aca="false">VLOOKUP(B4175,'MSA-Lookup'!$H$2:$I$86,2)</f>
        <v>4480</v>
      </c>
      <c r="F4175" s="0" t="n">
        <f aca="false">IF(C4175&gt;1,IF(C4175&lt;99,VLOOKUP(C4175,'MSA-Lookup'!$H$1:$I$86,2),C4175),C4175)</f>
        <v>2840</v>
      </c>
      <c r="G4175" s="0" t="n">
        <f aca="false">VLOOKUP(E4175,'MSA-Lookup'!$AA$1:$AB$25,2)</f>
        <v>4472</v>
      </c>
      <c r="H4175" s="0" t="n">
        <f aca="false">IF(C4175&gt;1,IF(C4175&lt;99,VLOOKUP(F4175,'MSA-Lookup'!$AA$1:$AB$25,2),C4175),C4175)</f>
        <v>2840</v>
      </c>
    </row>
    <row r="4176" customFormat="false" ht="12.75" hidden="false" customHeight="false" outlineLevel="0" collapsed="false">
      <c r="A4176" s="0" t="n">
        <f aca="false">B4176*1000+C4176</f>
        <v>60041</v>
      </c>
      <c r="B4176" s="0" t="n">
        <v>60</v>
      </c>
      <c r="C4176" s="0" t="n">
        <v>41</v>
      </c>
      <c r="D4176" s="0" t="n">
        <v>0</v>
      </c>
      <c r="E4176" s="0" t="n">
        <f aca="false">VLOOKUP(B4176,'MSA-Lookup'!$H$2:$I$86,2)</f>
        <v>4480</v>
      </c>
      <c r="F4176" s="0" t="n">
        <f aca="false">IF(C4176&gt;1,IF(C4176&lt;99,VLOOKUP(C4176,'MSA-Lookup'!$H$1:$I$86,2),C4176),C4176)</f>
        <v>2840</v>
      </c>
      <c r="G4176" s="0" t="n">
        <f aca="false">VLOOKUP(E4176,'MSA-Lookup'!$AA$1:$AB$25,2)</f>
        <v>4472</v>
      </c>
      <c r="H4176" s="0" t="n">
        <f aca="false">IF(C4176&gt;1,IF(C4176&lt;99,VLOOKUP(F4176,'MSA-Lookup'!$AA$1:$AB$25,2),C4176),C4176)</f>
        <v>2840</v>
      </c>
    </row>
    <row r="4177" customFormat="false" ht="12.75" hidden="false" customHeight="false" outlineLevel="0" collapsed="false">
      <c r="A4177" s="0" t="n">
        <f aca="false">B4177*1000+C4177</f>
        <v>60042</v>
      </c>
      <c r="B4177" s="0" t="n">
        <v>60</v>
      </c>
      <c r="C4177" s="0" t="n">
        <v>42</v>
      </c>
      <c r="D4177" s="0" t="n">
        <v>182</v>
      </c>
      <c r="E4177" s="0" t="n">
        <f aca="false">VLOOKUP(B4177,'MSA-Lookup'!$H$2:$I$86,2)</f>
        <v>4480</v>
      </c>
      <c r="F4177" s="0" t="n">
        <f aca="false">IF(C4177&gt;1,IF(C4177&lt;99,VLOOKUP(C4177,'MSA-Lookup'!$H$1:$I$86,2),C4177),C4177)</f>
        <v>360</v>
      </c>
      <c r="G4177" s="0" t="n">
        <f aca="false">VLOOKUP(E4177,'MSA-Lookup'!$AA$1:$AB$25,2)</f>
        <v>4472</v>
      </c>
      <c r="H4177" s="0" t="n">
        <f aca="false">IF(C4177&gt;1,IF(C4177&lt;99,VLOOKUP(F4177,'MSA-Lookup'!$AA$1:$AB$25,2),C4177),C4177)</f>
        <v>4472</v>
      </c>
    </row>
    <row r="4178" customFormat="false" ht="12.75" hidden="false" customHeight="false" outlineLevel="0" collapsed="false">
      <c r="A4178" s="0" t="n">
        <f aca="false">B4178*1000+C4178</f>
        <v>60043</v>
      </c>
      <c r="B4178" s="0" t="n">
        <v>60</v>
      </c>
      <c r="C4178" s="0" t="n">
        <v>43</v>
      </c>
      <c r="D4178" s="0" t="n">
        <v>0</v>
      </c>
      <c r="E4178" s="0" t="n">
        <f aca="false">VLOOKUP(B4178,'MSA-Lookup'!$H$2:$I$86,2)</f>
        <v>4480</v>
      </c>
      <c r="F4178" s="0" t="n">
        <f aca="false">IF(C4178&gt;1,IF(C4178&lt;99,VLOOKUP(C4178,'MSA-Lookup'!$H$1:$I$86,2),C4178),C4178)</f>
        <v>360</v>
      </c>
      <c r="G4178" s="0" t="n">
        <f aca="false">VLOOKUP(E4178,'MSA-Lookup'!$AA$1:$AB$25,2)</f>
        <v>4472</v>
      </c>
      <c r="H4178" s="0" t="n">
        <f aca="false">IF(C4178&gt;1,IF(C4178&lt;99,VLOOKUP(F4178,'MSA-Lookup'!$AA$1:$AB$25,2),C4178),C4178)</f>
        <v>4472</v>
      </c>
    </row>
    <row r="4179" customFormat="false" ht="12.75" hidden="false" customHeight="false" outlineLevel="0" collapsed="false">
      <c r="A4179" s="0" t="n">
        <f aca="false">B4179*1000+C4179</f>
        <v>60044</v>
      </c>
      <c r="B4179" s="0" t="n">
        <v>60</v>
      </c>
      <c r="C4179" s="0" t="n">
        <v>44</v>
      </c>
      <c r="D4179" s="0" t="n">
        <v>0</v>
      </c>
      <c r="E4179" s="0" t="n">
        <f aca="false">VLOOKUP(B4179,'MSA-Lookup'!$H$2:$I$86,2)</f>
        <v>4480</v>
      </c>
      <c r="F4179" s="0" t="n">
        <f aca="false">IF(C4179&gt;1,IF(C4179&lt;99,VLOOKUP(C4179,'MSA-Lookup'!$H$1:$I$86,2),C4179),C4179)</f>
        <v>360</v>
      </c>
      <c r="G4179" s="0" t="n">
        <f aca="false">VLOOKUP(E4179,'MSA-Lookup'!$AA$1:$AB$25,2)</f>
        <v>4472</v>
      </c>
      <c r="H4179" s="0" t="n">
        <f aca="false">IF(C4179&gt;1,IF(C4179&lt;99,VLOOKUP(F4179,'MSA-Lookup'!$AA$1:$AB$25,2),C4179),C4179)</f>
        <v>4472</v>
      </c>
    </row>
    <row r="4180" customFormat="false" ht="12.75" hidden="false" customHeight="false" outlineLevel="0" collapsed="false">
      <c r="A4180" s="0" t="n">
        <f aca="false">B4180*1000+C4180</f>
        <v>60045</v>
      </c>
      <c r="B4180" s="0" t="n">
        <v>60</v>
      </c>
      <c r="C4180" s="0" t="n">
        <v>45</v>
      </c>
      <c r="D4180" s="0" t="n">
        <v>0</v>
      </c>
      <c r="E4180" s="0" t="n">
        <f aca="false">VLOOKUP(B4180,'MSA-Lookup'!$H$2:$I$86,2)</f>
        <v>4480</v>
      </c>
      <c r="F4180" s="0" t="n">
        <f aca="false">IF(C4180&gt;1,IF(C4180&lt;99,VLOOKUP(C4180,'MSA-Lookup'!$H$1:$I$86,2),C4180),C4180)</f>
        <v>360</v>
      </c>
      <c r="G4180" s="0" t="n">
        <f aca="false">VLOOKUP(E4180,'MSA-Lookup'!$AA$1:$AB$25,2)</f>
        <v>4472</v>
      </c>
      <c r="H4180" s="0" t="n">
        <f aca="false">IF(C4180&gt;1,IF(C4180&lt;99,VLOOKUP(F4180,'MSA-Lookup'!$AA$1:$AB$25,2),C4180),C4180)</f>
        <v>4472</v>
      </c>
    </row>
    <row r="4181" customFormat="false" ht="12.75" hidden="false" customHeight="false" outlineLevel="0" collapsed="false">
      <c r="A4181" s="0" t="n">
        <f aca="false">B4181*1000+C4181</f>
        <v>60046</v>
      </c>
      <c r="B4181" s="0" t="n">
        <v>60</v>
      </c>
      <c r="C4181" s="0" t="n">
        <v>46</v>
      </c>
      <c r="D4181" s="0" t="n">
        <v>195</v>
      </c>
      <c r="E4181" s="0" t="n">
        <f aca="false">VLOOKUP(B4181,'MSA-Lookup'!$H$2:$I$86,2)</f>
        <v>4480</v>
      </c>
      <c r="F4181" s="0" t="n">
        <f aca="false">IF(C4181&gt;1,IF(C4181&lt;99,VLOOKUP(C4181,'MSA-Lookup'!$H$1:$I$86,2),C4181),C4181)</f>
        <v>360</v>
      </c>
      <c r="G4181" s="0" t="n">
        <f aca="false">VLOOKUP(E4181,'MSA-Lookup'!$AA$1:$AB$25,2)</f>
        <v>4472</v>
      </c>
      <c r="H4181" s="0" t="n">
        <f aca="false">IF(C4181&gt;1,IF(C4181&lt;99,VLOOKUP(F4181,'MSA-Lookup'!$AA$1:$AB$25,2),C4181),C4181)</f>
        <v>4472</v>
      </c>
    </row>
    <row r="4182" customFormat="false" ht="12.75" hidden="false" customHeight="false" outlineLevel="0" collapsed="false">
      <c r="A4182" s="0" t="n">
        <f aca="false">B4182*1000+C4182</f>
        <v>60047</v>
      </c>
      <c r="B4182" s="0" t="n">
        <v>60</v>
      </c>
      <c r="C4182" s="0" t="n">
        <v>47</v>
      </c>
      <c r="D4182" s="0" t="n">
        <v>130</v>
      </c>
      <c r="E4182" s="0" t="n">
        <f aca="false">VLOOKUP(B4182,'MSA-Lookup'!$H$2:$I$86,2)</f>
        <v>4480</v>
      </c>
      <c r="F4182" s="0" t="n">
        <f aca="false">IF(C4182&gt;1,IF(C4182&lt;99,VLOOKUP(C4182,'MSA-Lookup'!$H$1:$I$86,2),C4182),C4182)</f>
        <v>360</v>
      </c>
      <c r="G4182" s="0" t="n">
        <f aca="false">VLOOKUP(E4182,'MSA-Lookup'!$AA$1:$AB$25,2)</f>
        <v>4472</v>
      </c>
      <c r="H4182" s="0" t="n">
        <f aca="false">IF(C4182&gt;1,IF(C4182&lt;99,VLOOKUP(F4182,'MSA-Lookup'!$AA$1:$AB$25,2),C4182),C4182)</f>
        <v>4472</v>
      </c>
    </row>
    <row r="4183" customFormat="false" ht="12.75" hidden="false" customHeight="false" outlineLevel="0" collapsed="false">
      <c r="A4183" s="0" t="n">
        <f aca="false">B4183*1000+C4183</f>
        <v>60048</v>
      </c>
      <c r="B4183" s="0" t="n">
        <v>60</v>
      </c>
      <c r="C4183" s="0" t="n">
        <v>48</v>
      </c>
      <c r="D4183" s="0" t="n">
        <v>1287</v>
      </c>
      <c r="E4183" s="0" t="n">
        <f aca="false">VLOOKUP(B4183,'MSA-Lookup'!$H$2:$I$86,2)</f>
        <v>4480</v>
      </c>
      <c r="F4183" s="0" t="n">
        <f aca="false">IF(C4183&gt;1,IF(C4183&lt;99,VLOOKUP(C4183,'MSA-Lookup'!$H$1:$I$86,2),C4183),C4183)</f>
        <v>360</v>
      </c>
      <c r="G4183" s="0" t="n">
        <f aca="false">VLOOKUP(E4183,'MSA-Lookup'!$AA$1:$AB$25,2)</f>
        <v>4472</v>
      </c>
      <c r="H4183" s="0" t="n">
        <f aca="false">IF(C4183&gt;1,IF(C4183&lt;99,VLOOKUP(F4183,'MSA-Lookup'!$AA$1:$AB$25,2),C4183),C4183)</f>
        <v>4472</v>
      </c>
    </row>
    <row r="4184" customFormat="false" ht="12.75" hidden="false" customHeight="false" outlineLevel="0" collapsed="false">
      <c r="A4184" s="0" t="n">
        <f aca="false">B4184*1000+C4184</f>
        <v>60049</v>
      </c>
      <c r="B4184" s="0" t="n">
        <v>60</v>
      </c>
      <c r="C4184" s="0" t="n">
        <v>49</v>
      </c>
      <c r="D4184" s="0" t="n">
        <v>0</v>
      </c>
      <c r="E4184" s="0" t="n">
        <f aca="false">VLOOKUP(B4184,'MSA-Lookup'!$H$2:$I$86,2)</f>
        <v>4480</v>
      </c>
      <c r="F4184" s="0" t="n">
        <f aca="false">IF(C4184&gt;1,IF(C4184&lt;99,VLOOKUP(C4184,'MSA-Lookup'!$H$1:$I$86,2),C4184),C4184)</f>
        <v>7400</v>
      </c>
      <c r="G4184" s="0" t="n">
        <f aca="false">VLOOKUP(E4184,'MSA-Lookup'!$AA$1:$AB$25,2)</f>
        <v>4472</v>
      </c>
      <c r="H4184" s="0" t="n">
        <f aca="false">IF(C4184&gt;1,IF(C4184&lt;99,VLOOKUP(F4184,'MSA-Lookup'!$AA$1:$AB$25,2),C4184),C4184)</f>
        <v>7362</v>
      </c>
    </row>
    <row r="4185" customFormat="false" ht="12.75" hidden="false" customHeight="false" outlineLevel="0" collapsed="false">
      <c r="A4185" s="0" t="n">
        <f aca="false">B4185*1000+C4185</f>
        <v>60050</v>
      </c>
      <c r="B4185" s="0" t="n">
        <v>60</v>
      </c>
      <c r="C4185" s="0" t="n">
        <v>50</v>
      </c>
      <c r="D4185" s="0" t="n">
        <v>0</v>
      </c>
      <c r="E4185" s="0" t="n">
        <f aca="false">VLOOKUP(B4185,'MSA-Lookup'!$H$2:$I$86,2)</f>
        <v>4480</v>
      </c>
      <c r="F4185" s="0" t="n">
        <f aca="false">IF(C4185&gt;1,IF(C4185&lt;99,VLOOKUP(C4185,'MSA-Lookup'!$H$1:$I$86,2),C4185),C4185)</f>
        <v>7400</v>
      </c>
      <c r="G4185" s="0" t="n">
        <f aca="false">VLOOKUP(E4185,'MSA-Lookup'!$AA$1:$AB$25,2)</f>
        <v>4472</v>
      </c>
      <c r="H4185" s="0" t="n">
        <f aca="false">IF(C4185&gt;1,IF(C4185&lt;99,VLOOKUP(F4185,'MSA-Lookup'!$AA$1:$AB$25,2),C4185),C4185)</f>
        <v>7362</v>
      </c>
    </row>
    <row r="4186" customFormat="false" ht="12.75" hidden="false" customHeight="false" outlineLevel="0" collapsed="false">
      <c r="A4186" s="0" t="n">
        <f aca="false">B4186*1000+C4186</f>
        <v>60051</v>
      </c>
      <c r="B4186" s="0" t="n">
        <v>60</v>
      </c>
      <c r="C4186" s="0" t="n">
        <v>51</v>
      </c>
      <c r="D4186" s="0" t="n">
        <v>0</v>
      </c>
      <c r="E4186" s="0" t="n">
        <f aca="false">VLOOKUP(B4186,'MSA-Lookup'!$H$2:$I$86,2)</f>
        <v>4480</v>
      </c>
      <c r="F4186" s="0" t="n">
        <f aca="false">IF(C4186&gt;1,IF(C4186&lt;99,VLOOKUP(C4186,'MSA-Lookup'!$H$1:$I$86,2),C4186),C4186)</f>
        <v>7400</v>
      </c>
      <c r="G4186" s="0" t="n">
        <f aca="false">VLOOKUP(E4186,'MSA-Lookup'!$AA$1:$AB$25,2)</f>
        <v>4472</v>
      </c>
      <c r="H4186" s="0" t="n">
        <f aca="false">IF(C4186&gt;1,IF(C4186&lt;99,VLOOKUP(F4186,'MSA-Lookup'!$AA$1:$AB$25,2),C4186),C4186)</f>
        <v>7362</v>
      </c>
    </row>
    <row r="4187" customFormat="false" ht="12.75" hidden="false" customHeight="false" outlineLevel="0" collapsed="false">
      <c r="A4187" s="0" t="n">
        <f aca="false">B4187*1000+C4187</f>
        <v>60052</v>
      </c>
      <c r="B4187" s="0" t="n">
        <v>60</v>
      </c>
      <c r="C4187" s="0" t="n">
        <v>52</v>
      </c>
      <c r="D4187" s="0" t="n">
        <v>91</v>
      </c>
      <c r="E4187" s="0" t="n">
        <f aca="false">VLOOKUP(B4187,'MSA-Lookup'!$H$2:$I$86,2)</f>
        <v>4480</v>
      </c>
      <c r="F4187" s="0" t="n">
        <f aca="false">IF(C4187&gt;1,IF(C4187&lt;99,VLOOKUP(C4187,'MSA-Lookup'!$H$1:$I$86,2),C4187),C4187)</f>
        <v>4480</v>
      </c>
      <c r="G4187" s="0" t="n">
        <f aca="false">VLOOKUP(E4187,'MSA-Lookup'!$AA$1:$AB$25,2)</f>
        <v>4472</v>
      </c>
      <c r="H4187" s="0" t="n">
        <f aca="false">IF(C4187&gt;1,IF(C4187&lt;99,VLOOKUP(F4187,'MSA-Lookup'!$AA$1:$AB$25,2),C4187),C4187)</f>
        <v>4472</v>
      </c>
    </row>
    <row r="4188" customFormat="false" ht="12.75" hidden="false" customHeight="false" outlineLevel="0" collapsed="false">
      <c r="A4188" s="0" t="n">
        <f aca="false">B4188*1000+C4188</f>
        <v>60053</v>
      </c>
      <c r="B4188" s="0" t="n">
        <v>60</v>
      </c>
      <c r="C4188" s="0" t="n">
        <v>53</v>
      </c>
      <c r="D4188" s="0" t="n">
        <v>169</v>
      </c>
      <c r="E4188" s="0" t="n">
        <f aca="false">VLOOKUP(B4188,'MSA-Lookup'!$H$2:$I$86,2)</f>
        <v>4480</v>
      </c>
      <c r="F4188" s="0" t="n">
        <f aca="false">IF(C4188&gt;1,IF(C4188&lt;99,VLOOKUP(C4188,'MSA-Lookup'!$H$1:$I$86,2),C4188),C4188)</f>
        <v>4480</v>
      </c>
      <c r="G4188" s="0" t="n">
        <f aca="false">VLOOKUP(E4188,'MSA-Lookup'!$AA$1:$AB$25,2)</f>
        <v>4472</v>
      </c>
      <c r="H4188" s="0" t="n">
        <f aca="false">IF(C4188&gt;1,IF(C4188&lt;99,VLOOKUP(F4188,'MSA-Lookup'!$AA$1:$AB$25,2),C4188),C4188)</f>
        <v>4472</v>
      </c>
    </row>
    <row r="4189" customFormat="false" ht="12.75" hidden="false" customHeight="false" outlineLevel="0" collapsed="false">
      <c r="A4189" s="0" t="n">
        <f aca="false">B4189*1000+C4189</f>
        <v>60054</v>
      </c>
      <c r="B4189" s="0" t="n">
        <v>60</v>
      </c>
      <c r="C4189" s="0" t="n">
        <v>54</v>
      </c>
      <c r="D4189" s="0" t="n">
        <v>0</v>
      </c>
      <c r="E4189" s="0" t="n">
        <f aca="false">VLOOKUP(B4189,'MSA-Lookup'!$H$2:$I$86,2)</f>
        <v>4480</v>
      </c>
      <c r="F4189" s="0" t="n">
        <f aca="false">IF(C4189&gt;1,IF(C4189&lt;99,VLOOKUP(C4189,'MSA-Lookup'!$H$1:$I$86,2),C4189),C4189)</f>
        <v>4480</v>
      </c>
      <c r="G4189" s="0" t="n">
        <f aca="false">VLOOKUP(E4189,'MSA-Lookup'!$AA$1:$AB$25,2)</f>
        <v>4472</v>
      </c>
      <c r="H4189" s="0" t="n">
        <f aca="false">IF(C4189&gt;1,IF(C4189&lt;99,VLOOKUP(F4189,'MSA-Lookup'!$AA$1:$AB$25,2),C4189),C4189)</f>
        <v>4472</v>
      </c>
    </row>
    <row r="4190" customFormat="false" ht="12.75" hidden="false" customHeight="false" outlineLevel="0" collapsed="false">
      <c r="A4190" s="0" t="n">
        <f aca="false">B4190*1000+C4190</f>
        <v>60055</v>
      </c>
      <c r="B4190" s="0" t="n">
        <v>60</v>
      </c>
      <c r="C4190" s="0" t="n">
        <v>55</v>
      </c>
      <c r="D4190" s="0" t="n">
        <v>91</v>
      </c>
      <c r="E4190" s="0" t="n">
        <f aca="false">VLOOKUP(B4190,'MSA-Lookup'!$H$2:$I$86,2)</f>
        <v>4480</v>
      </c>
      <c r="F4190" s="0" t="n">
        <f aca="false">IF(C4190&gt;1,IF(C4190&lt;99,VLOOKUP(C4190,'MSA-Lookup'!$H$1:$I$86,2),C4190),C4190)</f>
        <v>4480</v>
      </c>
      <c r="G4190" s="0" t="n">
        <f aca="false">VLOOKUP(E4190,'MSA-Lookup'!$AA$1:$AB$25,2)</f>
        <v>4472</v>
      </c>
      <c r="H4190" s="0" t="n">
        <f aca="false">IF(C4190&gt;1,IF(C4190&lt;99,VLOOKUP(F4190,'MSA-Lookup'!$AA$1:$AB$25,2),C4190),C4190)</f>
        <v>4472</v>
      </c>
    </row>
    <row r="4191" customFormat="false" ht="12.75" hidden="false" customHeight="false" outlineLevel="0" collapsed="false">
      <c r="A4191" s="0" t="n">
        <f aca="false">B4191*1000+C4191</f>
        <v>60056</v>
      </c>
      <c r="B4191" s="0" t="n">
        <v>60</v>
      </c>
      <c r="C4191" s="0" t="n">
        <v>56</v>
      </c>
      <c r="D4191" s="0" t="n">
        <v>364</v>
      </c>
      <c r="E4191" s="0" t="n">
        <f aca="false">VLOOKUP(B4191,'MSA-Lookup'!$H$2:$I$86,2)</f>
        <v>4480</v>
      </c>
      <c r="F4191" s="0" t="n">
        <f aca="false">IF(C4191&gt;1,IF(C4191&lt;99,VLOOKUP(C4191,'MSA-Lookup'!$H$1:$I$86,2),C4191),C4191)</f>
        <v>4480</v>
      </c>
      <c r="G4191" s="0" t="n">
        <f aca="false">VLOOKUP(E4191,'MSA-Lookup'!$AA$1:$AB$25,2)</f>
        <v>4472</v>
      </c>
      <c r="H4191" s="0" t="n">
        <f aca="false">IF(C4191&gt;1,IF(C4191&lt;99,VLOOKUP(F4191,'MSA-Lookup'!$AA$1:$AB$25,2),C4191),C4191)</f>
        <v>4472</v>
      </c>
    </row>
    <row r="4192" customFormat="false" ht="12.75" hidden="false" customHeight="false" outlineLevel="0" collapsed="false">
      <c r="A4192" s="0" t="n">
        <f aca="false">B4192*1000+C4192</f>
        <v>60057</v>
      </c>
      <c r="B4192" s="0" t="n">
        <v>60</v>
      </c>
      <c r="C4192" s="0" t="n">
        <v>57</v>
      </c>
      <c r="D4192" s="0" t="n">
        <v>104</v>
      </c>
      <c r="E4192" s="0" t="n">
        <f aca="false">VLOOKUP(B4192,'MSA-Lookup'!$H$2:$I$86,2)</f>
        <v>4480</v>
      </c>
      <c r="F4192" s="0" t="n">
        <f aca="false">IF(C4192&gt;1,IF(C4192&lt;99,VLOOKUP(C4192,'MSA-Lookup'!$H$1:$I$86,2),C4192),C4192)</f>
        <v>4480</v>
      </c>
      <c r="G4192" s="0" t="n">
        <f aca="false">VLOOKUP(E4192,'MSA-Lookup'!$AA$1:$AB$25,2)</f>
        <v>4472</v>
      </c>
      <c r="H4192" s="0" t="n">
        <f aca="false">IF(C4192&gt;1,IF(C4192&lt;99,VLOOKUP(F4192,'MSA-Lookup'!$AA$1:$AB$25,2),C4192),C4192)</f>
        <v>4472</v>
      </c>
    </row>
    <row r="4193" customFormat="false" ht="12.75" hidden="false" customHeight="false" outlineLevel="0" collapsed="false">
      <c r="A4193" s="0" t="n">
        <f aca="false">B4193*1000+C4193</f>
        <v>60058</v>
      </c>
      <c r="B4193" s="0" t="n">
        <v>60</v>
      </c>
      <c r="C4193" s="0" t="n">
        <v>58</v>
      </c>
      <c r="D4193" s="0" t="n">
        <v>0</v>
      </c>
      <c r="E4193" s="0" t="n">
        <f aca="false">VLOOKUP(B4193,'MSA-Lookup'!$H$2:$I$86,2)</f>
        <v>4480</v>
      </c>
      <c r="F4193" s="0" t="n">
        <f aca="false">IF(C4193&gt;1,IF(C4193&lt;99,VLOOKUP(C4193,'MSA-Lookup'!$H$1:$I$86,2),C4193),C4193)</f>
        <v>4480</v>
      </c>
      <c r="G4193" s="0" t="n">
        <f aca="false">VLOOKUP(E4193,'MSA-Lookup'!$AA$1:$AB$25,2)</f>
        <v>4472</v>
      </c>
      <c r="H4193" s="0" t="n">
        <f aca="false">IF(C4193&gt;1,IF(C4193&lt;99,VLOOKUP(F4193,'MSA-Lookup'!$AA$1:$AB$25,2),C4193),C4193)</f>
        <v>4472</v>
      </c>
    </row>
    <row r="4194" customFormat="false" ht="12.75" hidden="false" customHeight="false" outlineLevel="0" collapsed="false">
      <c r="A4194" s="0" t="n">
        <f aca="false">B4194*1000+C4194</f>
        <v>60059</v>
      </c>
      <c r="B4194" s="0" t="n">
        <v>60</v>
      </c>
      <c r="C4194" s="0" t="n">
        <v>59</v>
      </c>
      <c r="D4194" s="0" t="n">
        <v>0</v>
      </c>
      <c r="E4194" s="0" t="n">
        <f aca="false">VLOOKUP(B4194,'MSA-Lookup'!$H$2:$I$86,2)</f>
        <v>4480</v>
      </c>
      <c r="F4194" s="0" t="n">
        <f aca="false">IF(C4194&gt;1,IF(C4194&lt;99,VLOOKUP(C4194,'MSA-Lookup'!$H$1:$I$86,2),C4194),C4194)</f>
        <v>4480</v>
      </c>
      <c r="G4194" s="0" t="n">
        <f aca="false">VLOOKUP(E4194,'MSA-Lookup'!$AA$1:$AB$25,2)</f>
        <v>4472</v>
      </c>
      <c r="H4194" s="0" t="n">
        <f aca="false">IF(C4194&gt;1,IF(C4194&lt;99,VLOOKUP(F4194,'MSA-Lookup'!$AA$1:$AB$25,2),C4194),C4194)</f>
        <v>4472</v>
      </c>
    </row>
    <row r="4195" customFormat="false" ht="12.75" hidden="false" customHeight="false" outlineLevel="0" collapsed="false">
      <c r="A4195" s="0" t="n">
        <f aca="false">B4195*1000+C4195</f>
        <v>60060</v>
      </c>
      <c r="B4195" s="0" t="n">
        <v>60</v>
      </c>
      <c r="C4195" s="0" t="n">
        <v>60</v>
      </c>
      <c r="D4195" s="0" t="n">
        <v>9555</v>
      </c>
      <c r="E4195" s="0" t="n">
        <f aca="false">VLOOKUP(B4195,'MSA-Lookup'!$H$2:$I$86,2)</f>
        <v>4480</v>
      </c>
      <c r="F4195" s="0" t="n">
        <f aca="false">IF(C4195&gt;1,IF(C4195&lt;99,VLOOKUP(C4195,'MSA-Lookup'!$H$1:$I$86,2),C4195),C4195)</f>
        <v>4480</v>
      </c>
      <c r="G4195" s="0" t="n">
        <f aca="false">VLOOKUP(E4195,'MSA-Lookup'!$AA$1:$AB$25,2)</f>
        <v>4472</v>
      </c>
      <c r="H4195" s="0" t="n">
        <f aca="false">IF(C4195&gt;1,IF(C4195&lt;99,VLOOKUP(F4195,'MSA-Lookup'!$AA$1:$AB$25,2),C4195),C4195)</f>
        <v>4472</v>
      </c>
    </row>
    <row r="4196" customFormat="false" ht="12.75" hidden="false" customHeight="false" outlineLevel="0" collapsed="false">
      <c r="A4196" s="0" t="n">
        <f aca="false">B4196*1000+C4196</f>
        <v>60061</v>
      </c>
      <c r="B4196" s="0" t="n">
        <v>60</v>
      </c>
      <c r="C4196" s="0" t="n">
        <v>61</v>
      </c>
      <c r="D4196" s="0" t="n">
        <v>910</v>
      </c>
      <c r="E4196" s="0" t="n">
        <f aca="false">VLOOKUP(B4196,'MSA-Lookup'!$H$2:$I$86,2)</f>
        <v>4480</v>
      </c>
      <c r="F4196" s="0" t="n">
        <f aca="false">IF(C4196&gt;1,IF(C4196&lt;99,VLOOKUP(C4196,'MSA-Lookup'!$H$1:$I$86,2),C4196),C4196)</f>
        <v>4480</v>
      </c>
      <c r="G4196" s="0" t="n">
        <f aca="false">VLOOKUP(E4196,'MSA-Lookup'!$AA$1:$AB$25,2)</f>
        <v>4472</v>
      </c>
      <c r="H4196" s="0" t="n">
        <f aca="false">IF(C4196&gt;1,IF(C4196&lt;99,VLOOKUP(F4196,'MSA-Lookup'!$AA$1:$AB$25,2),C4196),C4196)</f>
        <v>4472</v>
      </c>
    </row>
    <row r="4197" customFormat="false" ht="12.75" hidden="false" customHeight="false" outlineLevel="0" collapsed="false">
      <c r="A4197" s="0" t="n">
        <f aca="false">B4197*1000+C4197</f>
        <v>60062</v>
      </c>
      <c r="B4197" s="0" t="n">
        <v>60</v>
      </c>
      <c r="C4197" s="0" t="n">
        <v>62</v>
      </c>
      <c r="D4197" s="0" t="n">
        <v>520</v>
      </c>
      <c r="E4197" s="0" t="n">
        <f aca="false">VLOOKUP(B4197,'MSA-Lookup'!$H$2:$I$86,2)</f>
        <v>4480</v>
      </c>
      <c r="F4197" s="0" t="n">
        <f aca="false">IF(C4197&gt;1,IF(C4197&lt;99,VLOOKUP(C4197,'MSA-Lookup'!$H$1:$I$86,2),C4197),C4197)</f>
        <v>4480</v>
      </c>
      <c r="G4197" s="0" t="n">
        <f aca="false">VLOOKUP(E4197,'MSA-Lookup'!$AA$1:$AB$25,2)</f>
        <v>4472</v>
      </c>
      <c r="H4197" s="0" t="n">
        <f aca="false">IF(C4197&gt;1,IF(C4197&lt;99,VLOOKUP(F4197,'MSA-Lookup'!$AA$1:$AB$25,2),C4197),C4197)</f>
        <v>4472</v>
      </c>
    </row>
    <row r="4198" customFormat="false" ht="12.75" hidden="false" customHeight="false" outlineLevel="0" collapsed="false">
      <c r="A4198" s="0" t="n">
        <f aca="false">B4198*1000+C4198</f>
        <v>60063</v>
      </c>
      <c r="B4198" s="0" t="n">
        <v>60</v>
      </c>
      <c r="C4198" s="0" t="n">
        <v>63</v>
      </c>
      <c r="D4198" s="0" t="n">
        <v>0</v>
      </c>
      <c r="E4198" s="0" t="n">
        <f aca="false">VLOOKUP(B4198,'MSA-Lookup'!$H$2:$I$86,2)</f>
        <v>4480</v>
      </c>
      <c r="F4198" s="0" t="n">
        <f aca="false">IF(C4198&gt;1,IF(C4198&lt;99,VLOOKUP(C4198,'MSA-Lookup'!$H$1:$I$86,2),C4198),C4198)</f>
        <v>4480</v>
      </c>
      <c r="G4198" s="0" t="n">
        <f aca="false">VLOOKUP(E4198,'MSA-Lookup'!$AA$1:$AB$25,2)</f>
        <v>4472</v>
      </c>
      <c r="H4198" s="0" t="n">
        <f aca="false">IF(C4198&gt;1,IF(C4198&lt;99,VLOOKUP(F4198,'MSA-Lookup'!$AA$1:$AB$25,2),C4198),C4198)</f>
        <v>4472</v>
      </c>
    </row>
    <row r="4199" customFormat="false" ht="12.75" hidden="false" customHeight="false" outlineLevel="0" collapsed="false">
      <c r="A4199" s="0" t="n">
        <f aca="false">B4199*1000+C4199</f>
        <v>60064</v>
      </c>
      <c r="B4199" s="0" t="n">
        <v>60</v>
      </c>
      <c r="C4199" s="0" t="n">
        <v>64</v>
      </c>
      <c r="D4199" s="0" t="n">
        <v>19968</v>
      </c>
      <c r="E4199" s="0" t="n">
        <f aca="false">VLOOKUP(B4199,'MSA-Lookup'!$H$2:$I$86,2)</f>
        <v>4480</v>
      </c>
      <c r="F4199" s="0" t="n">
        <f aca="false">IF(C4199&gt;1,IF(C4199&lt;99,VLOOKUP(C4199,'MSA-Lookup'!$H$1:$I$86,2),C4199),C4199)</f>
        <v>4480</v>
      </c>
      <c r="G4199" s="0" t="n">
        <f aca="false">VLOOKUP(E4199,'MSA-Lookup'!$AA$1:$AB$25,2)</f>
        <v>4472</v>
      </c>
      <c r="H4199" s="0" t="n">
        <f aca="false">IF(C4199&gt;1,IF(C4199&lt;99,VLOOKUP(F4199,'MSA-Lookup'!$AA$1:$AB$25,2),C4199),C4199)</f>
        <v>4472</v>
      </c>
    </row>
    <row r="4200" customFormat="false" ht="12.75" hidden="false" customHeight="false" outlineLevel="0" collapsed="false">
      <c r="A4200" s="0" t="n">
        <f aca="false">B4200*1000+C4200</f>
        <v>60065</v>
      </c>
      <c r="B4200" s="0" t="n">
        <v>60</v>
      </c>
      <c r="C4200" s="0" t="n">
        <v>65</v>
      </c>
      <c r="D4200" s="0" t="n">
        <v>11674</v>
      </c>
      <c r="E4200" s="0" t="n">
        <f aca="false">VLOOKUP(B4200,'MSA-Lookup'!$H$2:$I$86,2)</f>
        <v>4480</v>
      </c>
      <c r="F4200" s="0" t="n">
        <f aca="false">IF(C4200&gt;1,IF(C4200&lt;99,VLOOKUP(C4200,'MSA-Lookup'!$H$1:$I$86,2),C4200),C4200)</f>
        <v>4480</v>
      </c>
      <c r="G4200" s="0" t="n">
        <f aca="false">VLOOKUP(E4200,'MSA-Lookup'!$AA$1:$AB$25,2)</f>
        <v>4472</v>
      </c>
      <c r="H4200" s="0" t="n">
        <f aca="false">IF(C4200&gt;1,IF(C4200&lt;99,VLOOKUP(F4200,'MSA-Lookup'!$AA$1:$AB$25,2),C4200),C4200)</f>
        <v>4472</v>
      </c>
    </row>
    <row r="4201" customFormat="false" ht="12.75" hidden="false" customHeight="false" outlineLevel="0" collapsed="false">
      <c r="A4201" s="0" t="n">
        <f aca="false">B4201*1000+C4201</f>
        <v>60066</v>
      </c>
      <c r="B4201" s="0" t="n">
        <v>60</v>
      </c>
      <c r="C4201" s="0" t="n">
        <v>66</v>
      </c>
      <c r="D4201" s="0" t="n">
        <v>4381</v>
      </c>
      <c r="E4201" s="0" t="n">
        <f aca="false">VLOOKUP(B4201,'MSA-Lookup'!$H$2:$I$86,2)</f>
        <v>4480</v>
      </c>
      <c r="F4201" s="0" t="n">
        <f aca="false">IF(C4201&gt;1,IF(C4201&lt;99,VLOOKUP(C4201,'MSA-Lookup'!$H$1:$I$86,2),C4201),C4201)</f>
        <v>4480</v>
      </c>
      <c r="G4201" s="0" t="n">
        <f aca="false">VLOOKUP(E4201,'MSA-Lookup'!$AA$1:$AB$25,2)</f>
        <v>4472</v>
      </c>
      <c r="H4201" s="0" t="n">
        <f aca="false">IF(C4201&gt;1,IF(C4201&lt;99,VLOOKUP(F4201,'MSA-Lookup'!$AA$1:$AB$25,2),C4201),C4201)</f>
        <v>4472</v>
      </c>
    </row>
    <row r="4202" customFormat="false" ht="12.75" hidden="false" customHeight="false" outlineLevel="0" collapsed="false">
      <c r="A4202" s="0" t="n">
        <f aca="false">B4202*1000+C4202</f>
        <v>60067</v>
      </c>
      <c r="B4202" s="0" t="n">
        <v>60</v>
      </c>
      <c r="C4202" s="0" t="n">
        <v>67</v>
      </c>
      <c r="D4202" s="0" t="n">
        <v>0</v>
      </c>
      <c r="E4202" s="0" t="n">
        <f aca="false">VLOOKUP(B4202,'MSA-Lookup'!$H$2:$I$86,2)</f>
        <v>4480</v>
      </c>
      <c r="F4202" s="0" t="n">
        <f aca="false">IF(C4202&gt;1,IF(C4202&lt;99,VLOOKUP(C4202,'MSA-Lookup'!$H$1:$I$86,2),C4202),C4202)</f>
        <v>6000</v>
      </c>
      <c r="G4202" s="0" t="n">
        <f aca="false">VLOOKUP(E4202,'MSA-Lookup'!$AA$1:$AB$25,2)</f>
        <v>4472</v>
      </c>
      <c r="H4202" s="0" t="n">
        <f aca="false">IF(C4202&gt;1,IF(C4202&lt;99,VLOOKUP(F4202,'MSA-Lookup'!$AA$1:$AB$25,2),C4202),C4202)</f>
        <v>4472</v>
      </c>
    </row>
    <row r="4203" customFormat="false" ht="12.75" hidden="false" customHeight="false" outlineLevel="0" collapsed="false">
      <c r="A4203" s="0" t="n">
        <f aca="false">B4203*1000+C4203</f>
        <v>60068</v>
      </c>
      <c r="B4203" s="0" t="n">
        <v>60</v>
      </c>
      <c r="C4203" s="0" t="n">
        <v>68</v>
      </c>
      <c r="D4203" s="0" t="n">
        <v>0</v>
      </c>
      <c r="E4203" s="0" t="n">
        <f aca="false">VLOOKUP(B4203,'MSA-Lookup'!$H$2:$I$86,2)</f>
        <v>4480</v>
      </c>
      <c r="F4203" s="0" t="n">
        <f aca="false">IF(C4203&gt;1,IF(C4203&lt;99,VLOOKUP(C4203,'MSA-Lookup'!$H$1:$I$86,2),C4203),C4203)</f>
        <v>6780</v>
      </c>
      <c r="G4203" s="0" t="n">
        <f aca="false">VLOOKUP(E4203,'MSA-Lookup'!$AA$1:$AB$25,2)</f>
        <v>4472</v>
      </c>
      <c r="H4203" s="0" t="n">
        <f aca="false">IF(C4203&gt;1,IF(C4203&lt;99,VLOOKUP(F4203,'MSA-Lookup'!$AA$1:$AB$25,2),C4203),C4203)</f>
        <v>4472</v>
      </c>
    </row>
    <row r="4204" customFormat="false" ht="12.75" hidden="false" customHeight="false" outlineLevel="0" collapsed="false">
      <c r="A4204" s="0" t="n">
        <f aca="false">B4204*1000+C4204</f>
        <v>60069</v>
      </c>
      <c r="B4204" s="0" t="n">
        <v>60</v>
      </c>
      <c r="C4204" s="0" t="n">
        <v>69</v>
      </c>
      <c r="D4204" s="0" t="n">
        <v>65</v>
      </c>
      <c r="E4204" s="0" t="n">
        <f aca="false">VLOOKUP(B4204,'MSA-Lookup'!$H$2:$I$86,2)</f>
        <v>4480</v>
      </c>
      <c r="F4204" s="0" t="n">
        <f aca="false">IF(C4204&gt;1,IF(C4204&lt;99,VLOOKUP(C4204,'MSA-Lookup'!$H$1:$I$86,2),C4204),C4204)</f>
        <v>6780</v>
      </c>
      <c r="G4204" s="0" t="n">
        <f aca="false">VLOOKUP(E4204,'MSA-Lookup'!$AA$1:$AB$25,2)</f>
        <v>4472</v>
      </c>
      <c r="H4204" s="0" t="n">
        <f aca="false">IF(C4204&gt;1,IF(C4204&lt;99,VLOOKUP(F4204,'MSA-Lookup'!$AA$1:$AB$25,2),C4204),C4204)</f>
        <v>4472</v>
      </c>
    </row>
    <row r="4205" customFormat="false" ht="12.75" hidden="false" customHeight="false" outlineLevel="0" collapsed="false">
      <c r="A4205" s="0" t="n">
        <f aca="false">B4205*1000+C4205</f>
        <v>60070</v>
      </c>
      <c r="B4205" s="0" t="n">
        <v>60</v>
      </c>
      <c r="C4205" s="0" t="n">
        <v>70</v>
      </c>
      <c r="D4205" s="0" t="n">
        <v>0</v>
      </c>
      <c r="E4205" s="0" t="n">
        <f aca="false">VLOOKUP(B4205,'MSA-Lookup'!$H$2:$I$86,2)</f>
        <v>4480</v>
      </c>
      <c r="F4205" s="0" t="n">
        <f aca="false">IF(C4205&gt;1,IF(C4205&lt;99,VLOOKUP(C4205,'MSA-Lookup'!$H$1:$I$86,2),C4205),C4205)</f>
        <v>6780</v>
      </c>
      <c r="G4205" s="0" t="n">
        <f aca="false">VLOOKUP(E4205,'MSA-Lookup'!$AA$1:$AB$25,2)</f>
        <v>4472</v>
      </c>
      <c r="H4205" s="0" t="n">
        <f aca="false">IF(C4205&gt;1,IF(C4205&lt;99,VLOOKUP(F4205,'MSA-Lookup'!$AA$1:$AB$25,2),C4205),C4205)</f>
        <v>4472</v>
      </c>
    </row>
    <row r="4206" customFormat="false" ht="12.75" hidden="false" customHeight="false" outlineLevel="0" collapsed="false">
      <c r="A4206" s="0" t="n">
        <f aca="false">B4206*1000+C4206</f>
        <v>60071</v>
      </c>
      <c r="B4206" s="0" t="n">
        <v>60</v>
      </c>
      <c r="C4206" s="0" t="n">
        <v>71</v>
      </c>
      <c r="D4206" s="0" t="n">
        <v>182</v>
      </c>
      <c r="E4206" s="0" t="n">
        <f aca="false">VLOOKUP(B4206,'MSA-Lookup'!$H$2:$I$86,2)</f>
        <v>4480</v>
      </c>
      <c r="F4206" s="0" t="n">
        <f aca="false">IF(C4206&gt;1,IF(C4206&lt;99,VLOOKUP(C4206,'MSA-Lookup'!$H$1:$I$86,2),C4206),C4206)</f>
        <v>6780</v>
      </c>
      <c r="G4206" s="0" t="n">
        <f aca="false">VLOOKUP(E4206,'MSA-Lookup'!$AA$1:$AB$25,2)</f>
        <v>4472</v>
      </c>
      <c r="H4206" s="0" t="n">
        <f aca="false">IF(C4206&gt;1,IF(C4206&lt;99,VLOOKUP(F4206,'MSA-Lookup'!$AA$1:$AB$25,2),C4206),C4206)</f>
        <v>4472</v>
      </c>
    </row>
    <row r="4207" customFormat="false" ht="12.75" hidden="false" customHeight="false" outlineLevel="0" collapsed="false">
      <c r="A4207" s="0" t="n">
        <f aca="false">B4207*1000+C4207</f>
        <v>60072</v>
      </c>
      <c r="B4207" s="0" t="n">
        <v>60</v>
      </c>
      <c r="C4207" s="0" t="n">
        <v>72</v>
      </c>
      <c r="D4207" s="0" t="n">
        <v>0</v>
      </c>
      <c r="E4207" s="0" t="n">
        <f aca="false">VLOOKUP(B4207,'MSA-Lookup'!$H$2:$I$86,2)</f>
        <v>4480</v>
      </c>
      <c r="F4207" s="0" t="n">
        <f aca="false">IF(C4207&gt;1,IF(C4207&lt;99,VLOOKUP(C4207,'MSA-Lookup'!$H$1:$I$86,2),C4207),C4207)</f>
        <v>6780</v>
      </c>
      <c r="G4207" s="0" t="n">
        <f aca="false">VLOOKUP(E4207,'MSA-Lookup'!$AA$1:$AB$25,2)</f>
        <v>4472</v>
      </c>
      <c r="H4207" s="0" t="n">
        <f aca="false">IF(C4207&gt;1,IF(C4207&lt;99,VLOOKUP(F4207,'MSA-Lookup'!$AA$1:$AB$25,2),C4207),C4207)</f>
        <v>4472</v>
      </c>
    </row>
    <row r="4208" customFormat="false" ht="12.75" hidden="false" customHeight="false" outlineLevel="0" collapsed="false">
      <c r="A4208" s="0" t="n">
        <f aca="false">B4208*1000+C4208</f>
        <v>60073</v>
      </c>
      <c r="B4208" s="0" t="n">
        <v>60</v>
      </c>
      <c r="C4208" s="0" t="n">
        <v>73</v>
      </c>
      <c r="D4208" s="0" t="n">
        <v>0</v>
      </c>
      <c r="E4208" s="0" t="n">
        <f aca="false">VLOOKUP(B4208,'MSA-Lookup'!$H$2:$I$86,2)</f>
        <v>4480</v>
      </c>
      <c r="F4208" s="0" t="n">
        <f aca="false">IF(C4208&gt;1,IF(C4208&lt;99,VLOOKUP(C4208,'MSA-Lookup'!$H$1:$I$86,2),C4208),C4208)</f>
        <v>8720</v>
      </c>
      <c r="G4208" s="0" t="n">
        <f aca="false">VLOOKUP(E4208,'MSA-Lookup'!$AA$1:$AB$25,2)</f>
        <v>4472</v>
      </c>
      <c r="H4208" s="0" t="n">
        <f aca="false">IF(C4208&gt;1,IF(C4208&lt;99,VLOOKUP(F4208,'MSA-Lookup'!$AA$1:$AB$25,2),C4208),C4208)</f>
        <v>7362</v>
      </c>
    </row>
    <row r="4209" customFormat="false" ht="12.75" hidden="false" customHeight="false" outlineLevel="0" collapsed="false">
      <c r="A4209" s="0" t="n">
        <f aca="false">B4209*1000+C4209</f>
        <v>60075</v>
      </c>
      <c r="B4209" s="0" t="n">
        <v>60</v>
      </c>
      <c r="C4209" s="0" t="n">
        <v>75</v>
      </c>
      <c r="D4209" s="0" t="n">
        <v>0</v>
      </c>
      <c r="E4209" s="0" t="n">
        <f aca="false">VLOOKUP(B4209,'MSA-Lookup'!$H$2:$I$86,2)</f>
        <v>4480</v>
      </c>
      <c r="F4209" s="0" t="n">
        <f aca="false">IF(C4209&gt;1,IF(C4209&lt;99,VLOOKUP(C4209,'MSA-Lookup'!$H$1:$I$86,2),C4209),C4209)</f>
        <v>8780</v>
      </c>
      <c r="G4209" s="0" t="n">
        <f aca="false">VLOOKUP(E4209,'MSA-Lookup'!$AA$1:$AB$25,2)</f>
        <v>4472</v>
      </c>
      <c r="H4209" s="0" t="n">
        <f aca="false">IF(C4209&gt;1,IF(C4209&lt;99,VLOOKUP(F4209,'MSA-Lookup'!$AA$1:$AB$25,2),C4209),C4209)</f>
        <v>8780</v>
      </c>
    </row>
    <row r="4210" customFormat="false" ht="12.75" hidden="false" customHeight="false" outlineLevel="0" collapsed="false">
      <c r="A4210" s="0" t="n">
        <f aca="false">B4210*1000+C4210</f>
        <v>60076</v>
      </c>
      <c r="B4210" s="0" t="n">
        <v>60</v>
      </c>
      <c r="C4210" s="0" t="n">
        <v>76</v>
      </c>
      <c r="D4210" s="0" t="n">
        <v>0</v>
      </c>
      <c r="E4210" s="0" t="n">
        <f aca="false">VLOOKUP(B4210,'MSA-Lookup'!$H$2:$I$86,2)</f>
        <v>4480</v>
      </c>
      <c r="F4210" s="0" t="n">
        <f aca="false">IF(C4210&gt;1,IF(C4210&lt;99,VLOOKUP(C4210,'MSA-Lookup'!$H$1:$I$86,2),C4210),C4210)</f>
        <v>7485</v>
      </c>
      <c r="G4210" s="0" t="n">
        <f aca="false">VLOOKUP(E4210,'MSA-Lookup'!$AA$1:$AB$25,2)</f>
        <v>4472</v>
      </c>
      <c r="H4210" s="0" t="n">
        <f aca="false">IF(C4210&gt;1,IF(C4210&lt;99,VLOOKUP(F4210,'MSA-Lookup'!$AA$1:$AB$25,2),C4210),C4210)</f>
        <v>7362</v>
      </c>
    </row>
    <row r="4211" customFormat="false" ht="12.75" hidden="false" customHeight="false" outlineLevel="0" collapsed="false">
      <c r="A4211" s="0" t="n">
        <f aca="false">B4211*1000+C4211</f>
        <v>60077</v>
      </c>
      <c r="B4211" s="0" t="n">
        <v>60</v>
      </c>
      <c r="C4211" s="0" t="n">
        <v>77</v>
      </c>
      <c r="D4211" s="0" t="n">
        <v>0</v>
      </c>
      <c r="E4211" s="0" t="n">
        <f aca="false">VLOOKUP(B4211,'MSA-Lookup'!$H$2:$I$86,2)</f>
        <v>4480</v>
      </c>
      <c r="F4211" s="0" t="n">
        <f aca="false">IF(C4211&gt;1,IF(C4211&lt;99,VLOOKUP(C4211,'MSA-Lookup'!$H$1:$I$86,2),C4211),C4211)</f>
        <v>9999</v>
      </c>
      <c r="G4211" s="0" t="n">
        <f aca="false">VLOOKUP(E4211,'MSA-Lookup'!$AA$1:$AB$25,2)</f>
        <v>4472</v>
      </c>
      <c r="H4211" s="0" t="n">
        <f aca="false">IF(C4211&gt;1,IF(C4211&lt;99,VLOOKUP(F4211,'MSA-Lookup'!$AA$1:$AB$25,2),C4211),C4211)</f>
        <v>9999</v>
      </c>
    </row>
    <row r="4212" customFormat="false" ht="12.75" hidden="false" customHeight="false" outlineLevel="0" collapsed="false">
      <c r="A4212" s="0" t="n">
        <f aca="false">B4212*1000+C4212</f>
        <v>60078</v>
      </c>
      <c r="B4212" s="0" t="n">
        <v>60</v>
      </c>
      <c r="C4212" s="0" t="n">
        <v>78</v>
      </c>
      <c r="D4212" s="0" t="n">
        <v>0</v>
      </c>
      <c r="E4212" s="0" t="n">
        <f aca="false">VLOOKUP(B4212,'MSA-Lookup'!$H$2:$I$86,2)</f>
        <v>4480</v>
      </c>
      <c r="F4212" s="0" t="n">
        <f aca="false">IF(C4212&gt;1,IF(C4212&lt;99,VLOOKUP(C4212,'MSA-Lookup'!$H$1:$I$86,2),C4212),C4212)</f>
        <v>680</v>
      </c>
      <c r="G4212" s="0" t="n">
        <f aca="false">VLOOKUP(E4212,'MSA-Lookup'!$AA$1:$AB$25,2)</f>
        <v>4472</v>
      </c>
      <c r="H4212" s="0" t="n">
        <f aca="false">IF(C4212&gt;1,IF(C4212&lt;99,VLOOKUP(F4212,'MSA-Lookup'!$AA$1:$AB$25,2),C4212),C4212)</f>
        <v>680</v>
      </c>
    </row>
    <row r="4213" customFormat="false" ht="12.75" hidden="false" customHeight="false" outlineLevel="0" collapsed="false">
      <c r="A4213" s="0" t="n">
        <f aca="false">B4213*1000+C4213</f>
        <v>60079</v>
      </c>
      <c r="B4213" s="0" t="n">
        <v>60</v>
      </c>
      <c r="C4213" s="0" t="n">
        <v>79</v>
      </c>
      <c r="D4213" s="0" t="n">
        <v>0</v>
      </c>
      <c r="E4213" s="0" t="n">
        <f aca="false">VLOOKUP(B4213,'MSA-Lookup'!$H$2:$I$86,2)</f>
        <v>4480</v>
      </c>
      <c r="F4213" s="0" t="n">
        <f aca="false">IF(C4213&gt;1,IF(C4213&lt;99,VLOOKUP(C4213,'MSA-Lookup'!$H$1:$I$86,2),C4213),C4213)</f>
        <v>680</v>
      </c>
      <c r="G4213" s="0" t="n">
        <f aca="false">VLOOKUP(E4213,'MSA-Lookup'!$AA$1:$AB$25,2)</f>
        <v>4472</v>
      </c>
      <c r="H4213" s="0" t="n">
        <f aca="false">IF(C4213&gt;1,IF(C4213&lt;99,VLOOKUP(F4213,'MSA-Lookup'!$AA$1:$AB$25,2),C4213),C4213)</f>
        <v>680</v>
      </c>
    </row>
    <row r="4214" customFormat="false" ht="12.75" hidden="false" customHeight="false" outlineLevel="0" collapsed="false">
      <c r="A4214" s="0" t="n">
        <f aca="false">B4214*1000+C4214</f>
        <v>60080</v>
      </c>
      <c r="B4214" s="0" t="n">
        <v>60</v>
      </c>
      <c r="C4214" s="0" t="n">
        <v>80</v>
      </c>
      <c r="D4214" s="0" t="n">
        <v>0</v>
      </c>
      <c r="E4214" s="0" t="n">
        <f aca="false">VLOOKUP(B4214,'MSA-Lookup'!$H$2:$I$86,2)</f>
        <v>4480</v>
      </c>
      <c r="F4214" s="0" t="n">
        <f aca="false">IF(C4214&gt;1,IF(C4214&lt;99,VLOOKUP(C4214,'MSA-Lookup'!$H$1:$I$86,2),C4214),C4214)</f>
        <v>9999</v>
      </c>
      <c r="G4214" s="0" t="n">
        <f aca="false">VLOOKUP(E4214,'MSA-Lookup'!$AA$1:$AB$25,2)</f>
        <v>4472</v>
      </c>
      <c r="H4214" s="0" t="n">
        <f aca="false">IF(C4214&gt;1,IF(C4214&lt;99,VLOOKUP(F4214,'MSA-Lookup'!$AA$1:$AB$25,2),C4214),C4214)</f>
        <v>9999</v>
      </c>
    </row>
    <row r="4215" customFormat="false" ht="12.75" hidden="false" customHeight="false" outlineLevel="0" collapsed="false">
      <c r="A4215" s="0" t="n">
        <f aca="false">B4215*1000+C4215</f>
        <v>60081</v>
      </c>
      <c r="B4215" s="0" t="n">
        <v>60</v>
      </c>
      <c r="C4215" s="0" t="n">
        <v>81</v>
      </c>
      <c r="D4215" s="0" t="n">
        <v>0</v>
      </c>
      <c r="E4215" s="0" t="n">
        <f aca="false">VLOOKUP(B4215,'MSA-Lookup'!$H$2:$I$86,2)</f>
        <v>4480</v>
      </c>
      <c r="F4215" s="0" t="n">
        <f aca="false">IF(C4215&gt;1,IF(C4215&lt;99,VLOOKUP(C4215,'MSA-Lookup'!$H$1:$I$86,2),C4215),C4215)</f>
        <v>6780</v>
      </c>
      <c r="G4215" s="0" t="n">
        <f aca="false">VLOOKUP(E4215,'MSA-Lookup'!$AA$1:$AB$25,2)</f>
        <v>4472</v>
      </c>
      <c r="H4215" s="0" t="n">
        <f aca="false">IF(C4215&gt;1,IF(C4215&lt;99,VLOOKUP(F4215,'MSA-Lookup'!$AA$1:$AB$25,2),C4215),C4215)</f>
        <v>4472</v>
      </c>
    </row>
    <row r="4216" customFormat="false" ht="12.75" hidden="false" customHeight="false" outlineLevel="0" collapsed="false">
      <c r="A4216" s="0" t="n">
        <f aca="false">B4216*1000+C4216</f>
        <v>60082</v>
      </c>
      <c r="B4216" s="0" t="n">
        <v>60</v>
      </c>
      <c r="C4216" s="0" t="n">
        <v>82</v>
      </c>
      <c r="D4216" s="0" t="n">
        <v>0</v>
      </c>
      <c r="E4216" s="0" t="n">
        <f aca="false">VLOOKUP(B4216,'MSA-Lookup'!$H$2:$I$86,2)</f>
        <v>4480</v>
      </c>
      <c r="F4216" s="0" t="n">
        <f aca="false">IF(C4216&gt;1,IF(C4216&lt;99,VLOOKUP(C4216,'MSA-Lookup'!$H$1:$I$86,2),C4216),C4216)</f>
        <v>6780</v>
      </c>
      <c r="G4216" s="0" t="n">
        <f aca="false">VLOOKUP(E4216,'MSA-Lookup'!$AA$1:$AB$25,2)</f>
        <v>4472</v>
      </c>
      <c r="H4216" s="0" t="n">
        <f aca="false">IF(C4216&gt;1,IF(C4216&lt;99,VLOOKUP(F4216,'MSA-Lookup'!$AA$1:$AB$25,2),C4216),C4216)</f>
        <v>4472</v>
      </c>
    </row>
    <row r="4217" customFormat="false" ht="12.75" hidden="false" customHeight="false" outlineLevel="0" collapsed="false">
      <c r="A4217" s="0" t="n">
        <f aca="false">B4217*1000+C4217</f>
        <v>60083</v>
      </c>
      <c r="B4217" s="0" t="n">
        <v>60</v>
      </c>
      <c r="C4217" s="0" t="n">
        <v>83</v>
      </c>
      <c r="D4217" s="0" t="n">
        <v>0</v>
      </c>
      <c r="E4217" s="0" t="n">
        <f aca="false">VLOOKUP(B4217,'MSA-Lookup'!$H$2:$I$86,2)</f>
        <v>4480</v>
      </c>
      <c r="F4217" s="0" t="n">
        <f aca="false">IF(C4217&gt;1,IF(C4217&lt;99,VLOOKUP(C4217,'MSA-Lookup'!$H$1:$I$86,2),C4217),C4217)</f>
        <v>6000</v>
      </c>
      <c r="G4217" s="0" t="n">
        <f aca="false">VLOOKUP(E4217,'MSA-Lookup'!$AA$1:$AB$25,2)</f>
        <v>4472</v>
      </c>
      <c r="H4217" s="0" t="n">
        <f aca="false">IF(C4217&gt;1,IF(C4217&lt;99,VLOOKUP(F4217,'MSA-Lookup'!$AA$1:$AB$25,2),C4217),C4217)</f>
        <v>4472</v>
      </c>
    </row>
    <row r="4218" customFormat="false" ht="12.75" hidden="false" customHeight="false" outlineLevel="0" collapsed="false">
      <c r="A4218" s="0" t="n">
        <f aca="false">B4218*1000+C4218</f>
        <v>60084</v>
      </c>
      <c r="B4218" s="0" t="n">
        <v>60</v>
      </c>
      <c r="C4218" s="0" t="n">
        <v>84</v>
      </c>
      <c r="D4218" s="0" t="n">
        <v>689</v>
      </c>
      <c r="E4218" s="0" t="n">
        <f aca="false">VLOOKUP(B4218,'MSA-Lookup'!$H$2:$I$86,2)</f>
        <v>4480</v>
      </c>
      <c r="F4218" s="0" t="n">
        <f aca="false">IF(C4218&gt;1,IF(C4218&lt;99,VLOOKUP(C4218,'MSA-Lookup'!$H$1:$I$86,2),C4218),C4218)</f>
        <v>360</v>
      </c>
      <c r="G4218" s="0" t="n">
        <f aca="false">VLOOKUP(E4218,'MSA-Lookup'!$AA$1:$AB$25,2)</f>
        <v>4472</v>
      </c>
      <c r="H4218" s="0" t="n">
        <f aca="false">IF(C4218&gt;1,IF(C4218&lt;99,VLOOKUP(F4218,'MSA-Lookup'!$AA$1:$AB$25,2),C4218),C4218)</f>
        <v>4472</v>
      </c>
    </row>
    <row r="4219" customFormat="false" ht="12.75" hidden="false" customHeight="false" outlineLevel="0" collapsed="false">
      <c r="A4219" s="0" t="n">
        <f aca="false">B4219*1000+C4219</f>
        <v>60085</v>
      </c>
      <c r="B4219" s="0" t="n">
        <v>60</v>
      </c>
      <c r="C4219" s="0" t="n">
        <v>85</v>
      </c>
      <c r="D4219" s="0" t="n">
        <v>0</v>
      </c>
      <c r="E4219" s="0" t="n">
        <f aca="false">VLOOKUP(B4219,'MSA-Lookup'!$H$2:$I$86,2)</f>
        <v>4480</v>
      </c>
      <c r="F4219" s="0" t="n">
        <f aca="false">IF(C4219&gt;1,IF(C4219&lt;99,VLOOKUP(C4219,'MSA-Lookup'!$H$1:$I$86,2),C4219),C4219)</f>
        <v>8120</v>
      </c>
      <c r="G4219" s="0" t="n">
        <f aca="false">VLOOKUP(E4219,'MSA-Lookup'!$AA$1:$AB$25,2)</f>
        <v>4472</v>
      </c>
      <c r="H4219" s="0" t="n">
        <f aca="false">IF(C4219&gt;1,IF(C4219&lt;99,VLOOKUP(F4219,'MSA-Lookup'!$AA$1:$AB$25,2),C4219),C4219)</f>
        <v>8120</v>
      </c>
    </row>
    <row r="4220" customFormat="false" ht="12.75" hidden="false" customHeight="false" outlineLevel="0" collapsed="false">
      <c r="A4220" s="0" t="n">
        <f aca="false">B4220*1000+C4220</f>
        <v>60858</v>
      </c>
      <c r="B4220" s="0" t="n">
        <v>60</v>
      </c>
      <c r="C4220" s="0" t="n">
        <v>858</v>
      </c>
      <c r="D4220" s="0" t="n">
        <v>0</v>
      </c>
      <c r="E4220" s="0" t="n">
        <f aca="false">VLOOKUP(B4220,'MSA-Lookup'!$H$2:$I$86,2)</f>
        <v>4480</v>
      </c>
      <c r="F4220" s="0" t="n">
        <f aca="false">IF(C4220&gt;1,IF(C4220&lt;99,VLOOKUP(C4220,'MSA-Lookup'!$H$1:$I$86,2),C4220),C4220)</f>
        <v>858</v>
      </c>
      <c r="G4220" s="0" t="n">
        <f aca="false">VLOOKUP(E4220,'MSA-Lookup'!$AA$1:$AB$25,2)</f>
        <v>4472</v>
      </c>
      <c r="H4220" s="0" t="n">
        <f aca="false">IF(C4220&gt;1,IF(C4220&lt;99,VLOOKUP(F4220,'MSA-Lookup'!$AA$1:$AB$25,2),C4220),C4220)</f>
        <v>858</v>
      </c>
    </row>
    <row r="4221" customFormat="false" ht="12.75" hidden="false" customHeight="false" outlineLevel="0" collapsed="false">
      <c r="A4221" s="0" t="n">
        <f aca="false">B4221*1000+C4221</f>
        <v>60983</v>
      </c>
      <c r="B4221" s="0" t="n">
        <v>60</v>
      </c>
      <c r="C4221" s="0" t="n">
        <v>983</v>
      </c>
      <c r="D4221" s="0" t="n">
        <v>0</v>
      </c>
      <c r="E4221" s="0" t="n">
        <f aca="false">VLOOKUP(B4221,'MSA-Lookup'!$H$2:$I$86,2)</f>
        <v>4480</v>
      </c>
      <c r="F4221" s="0" t="n">
        <f aca="false">IF(C4221&gt;1,IF(C4221&lt;99,VLOOKUP(C4221,'MSA-Lookup'!$H$1:$I$86,2),C4221),C4221)</f>
        <v>983</v>
      </c>
      <c r="G4221" s="0" t="n">
        <f aca="false">VLOOKUP(E4221,'MSA-Lookup'!$AA$1:$AB$25,2)</f>
        <v>4472</v>
      </c>
      <c r="H4221" s="0" t="n">
        <f aca="false">IF(C4221&gt;1,IF(C4221&lt;99,VLOOKUP(F4221,'MSA-Lookup'!$AA$1:$AB$25,2),C4221),C4221)</f>
        <v>983</v>
      </c>
    </row>
    <row r="4222" customFormat="false" ht="12.75" hidden="false" customHeight="false" outlineLevel="0" collapsed="false">
      <c r="A4222" s="0" t="n">
        <f aca="false">B4222*1000+C4222</f>
        <v>60999</v>
      </c>
      <c r="B4222" s="0" t="n">
        <v>60</v>
      </c>
      <c r="C4222" s="0" t="n">
        <v>999</v>
      </c>
      <c r="D4222" s="0" t="n">
        <v>91</v>
      </c>
      <c r="E4222" s="0" t="n">
        <f aca="false">VLOOKUP(B4222,'MSA-Lookup'!$H$2:$I$86,2)</f>
        <v>4480</v>
      </c>
      <c r="F4222" s="0" t="n">
        <f aca="false">IF(C4222&gt;1,IF(C4222&lt;99,VLOOKUP(C4222,'MSA-Lookup'!$H$1:$I$86,2),C4222),C4222)</f>
        <v>999</v>
      </c>
      <c r="G4222" s="0" t="n">
        <f aca="false">VLOOKUP(E4222,'MSA-Lookup'!$AA$1:$AB$25,2)</f>
        <v>4472</v>
      </c>
      <c r="H4222" s="0" t="n">
        <f aca="false">IF(C4222&gt;1,IF(C4222&lt;99,VLOOKUP(F4222,'MSA-Lookup'!$AA$1:$AB$25,2),C4222),C4222)</f>
        <v>999</v>
      </c>
    </row>
    <row r="4223" customFormat="false" ht="12.75" hidden="false" customHeight="false" outlineLevel="0" collapsed="false">
      <c r="A4223" s="0" t="n">
        <f aca="false">B4223*1000+C4223</f>
        <v>61000</v>
      </c>
      <c r="B4223" s="0" t="n">
        <v>61</v>
      </c>
      <c r="C4223" s="0" t="n">
        <v>0</v>
      </c>
      <c r="D4223" s="0" t="n">
        <v>56628</v>
      </c>
      <c r="E4223" s="0" t="n">
        <f aca="false">VLOOKUP(B4223,'MSA-Lookup'!$H$2:$I$86,2)</f>
        <v>4480</v>
      </c>
      <c r="F4223" s="0" t="n">
        <f aca="false">IF(C4223&gt;1,IF(C4223&lt;99,VLOOKUP(C4223,'MSA-Lookup'!$H$1:$I$86,2),C4223),C4223)</f>
        <v>0</v>
      </c>
      <c r="G4223" s="0" t="n">
        <f aca="false">VLOOKUP(E4223,'MSA-Lookup'!$AA$1:$AB$25,2)</f>
        <v>4472</v>
      </c>
      <c r="H4223" s="0" t="n">
        <f aca="false">IF(C4223&gt;1,IF(C4223&lt;99,VLOOKUP(F4223,'MSA-Lookup'!$AA$1:$AB$25,2),C4223),C4223)</f>
        <v>0</v>
      </c>
    </row>
    <row r="4224" customFormat="false" ht="12.75" hidden="false" customHeight="false" outlineLevel="0" collapsed="false">
      <c r="A4224" s="0" t="n">
        <f aca="false">B4224*1000+C4224</f>
        <v>61001</v>
      </c>
      <c r="B4224" s="0" t="n">
        <v>61</v>
      </c>
      <c r="C4224" s="0" t="n">
        <v>1</v>
      </c>
      <c r="D4224" s="0" t="n">
        <v>0</v>
      </c>
      <c r="E4224" s="0" t="n">
        <f aca="false">VLOOKUP(B4224,'MSA-Lookup'!$H$2:$I$86,2)</f>
        <v>4480</v>
      </c>
      <c r="F4224" s="0" t="n">
        <f aca="false">IF(C4224&gt;1,IF(C4224&lt;99,VLOOKUP(C4224,'MSA-Lookup'!$H$1:$I$86,2),C4224),C4224)</f>
        <v>1</v>
      </c>
      <c r="G4224" s="0" t="n">
        <f aca="false">VLOOKUP(E4224,'MSA-Lookup'!$AA$1:$AB$25,2)</f>
        <v>4472</v>
      </c>
      <c r="H4224" s="0" t="n">
        <f aca="false">IF(C4224&gt;1,IF(C4224&lt;99,VLOOKUP(F4224,'MSA-Lookup'!$AA$1:$AB$25,2),C4224),C4224)</f>
        <v>1</v>
      </c>
    </row>
    <row r="4225" customFormat="false" ht="12.75" hidden="false" customHeight="false" outlineLevel="0" collapsed="false">
      <c r="A4225" s="0" t="n">
        <f aca="false">B4225*1000+C4225</f>
        <v>61002</v>
      </c>
      <c r="B4225" s="0" t="n">
        <v>61</v>
      </c>
      <c r="C4225" s="0" t="n">
        <v>2</v>
      </c>
      <c r="D4225" s="0" t="n">
        <v>0</v>
      </c>
      <c r="E4225" s="0" t="n">
        <f aca="false">VLOOKUP(B4225,'MSA-Lookup'!$H$2:$I$86,2)</f>
        <v>4480</v>
      </c>
      <c r="F4225" s="0" t="n">
        <f aca="false">IF(C4225&gt;1,IF(C4225&lt;99,VLOOKUP(C4225,'MSA-Lookup'!$H$1:$I$86,2),C4225),C4225)</f>
        <v>9999</v>
      </c>
      <c r="G4225" s="0" t="n">
        <f aca="false">VLOOKUP(E4225,'MSA-Lookup'!$AA$1:$AB$25,2)</f>
        <v>4472</v>
      </c>
      <c r="H4225" s="0" t="n">
        <f aca="false">IF(C4225&gt;1,IF(C4225&lt;99,VLOOKUP(F4225,'MSA-Lookup'!$AA$1:$AB$25,2),C4225),C4225)</f>
        <v>9999</v>
      </c>
    </row>
    <row r="4226" customFormat="false" ht="12.75" hidden="false" customHeight="false" outlineLevel="0" collapsed="false">
      <c r="A4226" s="0" t="n">
        <f aca="false">B4226*1000+C4226</f>
        <v>61003</v>
      </c>
      <c r="B4226" s="0" t="n">
        <v>61</v>
      </c>
      <c r="C4226" s="0" t="n">
        <v>3</v>
      </c>
      <c r="D4226" s="0" t="n">
        <v>0</v>
      </c>
      <c r="E4226" s="0" t="n">
        <f aca="false">VLOOKUP(B4226,'MSA-Lookup'!$H$2:$I$86,2)</f>
        <v>4480</v>
      </c>
      <c r="F4226" s="0" t="n">
        <f aca="false">IF(C4226&gt;1,IF(C4226&lt;99,VLOOKUP(C4226,'MSA-Lookup'!$H$1:$I$86,2),C4226),C4226)</f>
        <v>6690</v>
      </c>
      <c r="G4226" s="0" t="n">
        <f aca="false">VLOOKUP(E4226,'MSA-Lookup'!$AA$1:$AB$25,2)</f>
        <v>4472</v>
      </c>
      <c r="H4226" s="0" t="n">
        <f aca="false">IF(C4226&gt;1,IF(C4226&lt;99,VLOOKUP(F4226,'MSA-Lookup'!$AA$1:$AB$25,2),C4226),C4226)</f>
        <v>6690</v>
      </c>
    </row>
    <row r="4227" customFormat="false" ht="12.75" hidden="false" customHeight="false" outlineLevel="0" collapsed="false">
      <c r="A4227" s="0" t="n">
        <f aca="false">B4227*1000+C4227</f>
        <v>61004</v>
      </c>
      <c r="B4227" s="0" t="n">
        <v>61</v>
      </c>
      <c r="C4227" s="0" t="n">
        <v>4</v>
      </c>
      <c r="D4227" s="0" t="n">
        <v>0</v>
      </c>
      <c r="E4227" s="0" t="n">
        <f aca="false">VLOOKUP(B4227,'MSA-Lookup'!$H$2:$I$86,2)</f>
        <v>4480</v>
      </c>
      <c r="F4227" s="0" t="n">
        <f aca="false">IF(C4227&gt;1,IF(C4227&lt;99,VLOOKUP(C4227,'MSA-Lookup'!$H$1:$I$86,2),C4227),C4227)</f>
        <v>9999</v>
      </c>
      <c r="G4227" s="0" t="n">
        <f aca="false">VLOOKUP(E4227,'MSA-Lookup'!$AA$1:$AB$25,2)</f>
        <v>4472</v>
      </c>
      <c r="H4227" s="0" t="n">
        <f aca="false">IF(C4227&gt;1,IF(C4227&lt;99,VLOOKUP(F4227,'MSA-Lookup'!$AA$1:$AB$25,2),C4227),C4227)</f>
        <v>9999</v>
      </c>
    </row>
    <row r="4228" customFormat="false" ht="12.75" hidden="false" customHeight="false" outlineLevel="0" collapsed="false">
      <c r="A4228" s="0" t="n">
        <f aca="false">B4228*1000+C4228</f>
        <v>61005</v>
      </c>
      <c r="B4228" s="0" t="n">
        <v>61</v>
      </c>
      <c r="C4228" s="0" t="n">
        <v>5</v>
      </c>
      <c r="D4228" s="0" t="n">
        <v>0</v>
      </c>
      <c r="E4228" s="0" t="n">
        <f aca="false">VLOOKUP(B4228,'MSA-Lookup'!$H$2:$I$86,2)</f>
        <v>4480</v>
      </c>
      <c r="F4228" s="0" t="n">
        <f aca="false">IF(C4228&gt;1,IF(C4228&lt;99,VLOOKUP(C4228,'MSA-Lookup'!$H$1:$I$86,2),C4228),C4228)</f>
        <v>9999</v>
      </c>
      <c r="G4228" s="0" t="n">
        <f aca="false">VLOOKUP(E4228,'MSA-Lookup'!$AA$1:$AB$25,2)</f>
        <v>4472</v>
      </c>
      <c r="H4228" s="0" t="n">
        <f aca="false">IF(C4228&gt;1,IF(C4228&lt;99,VLOOKUP(F4228,'MSA-Lookup'!$AA$1:$AB$25,2),C4228),C4228)</f>
        <v>9999</v>
      </c>
    </row>
    <row r="4229" customFormat="false" ht="12.75" hidden="false" customHeight="false" outlineLevel="0" collapsed="false">
      <c r="A4229" s="0" t="n">
        <f aca="false">B4229*1000+C4229</f>
        <v>61006</v>
      </c>
      <c r="B4229" s="0" t="n">
        <v>61</v>
      </c>
      <c r="C4229" s="0" t="n">
        <v>6</v>
      </c>
      <c r="D4229" s="0" t="n">
        <v>0</v>
      </c>
      <c r="E4229" s="0" t="n">
        <f aca="false">VLOOKUP(B4229,'MSA-Lookup'!$H$2:$I$86,2)</f>
        <v>4480</v>
      </c>
      <c r="F4229" s="0" t="n">
        <f aca="false">IF(C4229&gt;1,IF(C4229&lt;99,VLOOKUP(C4229,'MSA-Lookup'!$H$1:$I$86,2),C4229),C4229)</f>
        <v>1620</v>
      </c>
      <c r="G4229" s="0" t="n">
        <f aca="false">VLOOKUP(E4229,'MSA-Lookup'!$AA$1:$AB$25,2)</f>
        <v>4472</v>
      </c>
      <c r="H4229" s="0" t="n">
        <f aca="false">IF(C4229&gt;1,IF(C4229&lt;99,VLOOKUP(F4229,'MSA-Lookup'!$AA$1:$AB$25,2),C4229),C4229)</f>
        <v>1620</v>
      </c>
    </row>
    <row r="4230" customFormat="false" ht="12.75" hidden="false" customHeight="false" outlineLevel="0" collapsed="false">
      <c r="A4230" s="0" t="n">
        <f aca="false">B4230*1000+C4230</f>
        <v>61007</v>
      </c>
      <c r="B4230" s="0" t="n">
        <v>61</v>
      </c>
      <c r="C4230" s="0" t="n">
        <v>7</v>
      </c>
      <c r="D4230" s="0" t="n">
        <v>0</v>
      </c>
      <c r="E4230" s="0" t="n">
        <f aca="false">VLOOKUP(B4230,'MSA-Lookup'!$H$2:$I$86,2)</f>
        <v>4480</v>
      </c>
      <c r="F4230" s="0" t="n">
        <f aca="false">IF(C4230&gt;1,IF(C4230&lt;99,VLOOKUP(C4230,'MSA-Lookup'!$H$1:$I$86,2),C4230),C4230)</f>
        <v>9999</v>
      </c>
      <c r="G4230" s="0" t="n">
        <f aca="false">VLOOKUP(E4230,'MSA-Lookup'!$AA$1:$AB$25,2)</f>
        <v>4472</v>
      </c>
      <c r="H4230" s="0" t="n">
        <f aca="false">IF(C4230&gt;1,IF(C4230&lt;99,VLOOKUP(F4230,'MSA-Lookup'!$AA$1:$AB$25,2),C4230),C4230)</f>
        <v>9999</v>
      </c>
    </row>
    <row r="4231" customFormat="false" ht="12.75" hidden="false" customHeight="false" outlineLevel="0" collapsed="false">
      <c r="A4231" s="0" t="n">
        <f aca="false">B4231*1000+C4231</f>
        <v>61008</v>
      </c>
      <c r="B4231" s="0" t="n">
        <v>61</v>
      </c>
      <c r="C4231" s="0" t="n">
        <v>8</v>
      </c>
      <c r="D4231" s="0" t="n">
        <v>0</v>
      </c>
      <c r="E4231" s="0" t="n">
        <f aca="false">VLOOKUP(B4231,'MSA-Lookup'!$H$2:$I$86,2)</f>
        <v>4480</v>
      </c>
      <c r="F4231" s="0" t="n">
        <f aca="false">IF(C4231&gt;1,IF(C4231&lt;99,VLOOKUP(C4231,'MSA-Lookup'!$H$1:$I$86,2),C4231),C4231)</f>
        <v>9340</v>
      </c>
      <c r="G4231" s="0" t="n">
        <f aca="false">VLOOKUP(E4231,'MSA-Lookup'!$AA$1:$AB$25,2)</f>
        <v>4472</v>
      </c>
      <c r="H4231" s="0" t="n">
        <f aca="false">IF(C4231&gt;1,IF(C4231&lt;99,VLOOKUP(F4231,'MSA-Lookup'!$AA$1:$AB$25,2),C4231),C4231)</f>
        <v>9340</v>
      </c>
    </row>
    <row r="4232" customFormat="false" ht="12.75" hidden="false" customHeight="false" outlineLevel="0" collapsed="false">
      <c r="A4232" s="0" t="n">
        <f aca="false">B4232*1000+C4232</f>
        <v>61009</v>
      </c>
      <c r="B4232" s="0" t="n">
        <v>61</v>
      </c>
      <c r="C4232" s="0" t="n">
        <v>9</v>
      </c>
      <c r="D4232" s="0" t="n">
        <v>0</v>
      </c>
      <c r="E4232" s="0" t="n">
        <f aca="false">VLOOKUP(B4232,'MSA-Lookup'!$H$2:$I$86,2)</f>
        <v>4480</v>
      </c>
      <c r="F4232" s="0" t="n">
        <f aca="false">IF(C4232&gt;1,IF(C4232&lt;99,VLOOKUP(C4232,'MSA-Lookup'!$H$1:$I$86,2),C4232),C4232)</f>
        <v>8720</v>
      </c>
      <c r="G4232" s="0" t="n">
        <f aca="false">VLOOKUP(E4232,'MSA-Lookup'!$AA$1:$AB$25,2)</f>
        <v>4472</v>
      </c>
      <c r="H4232" s="0" t="n">
        <f aca="false">IF(C4232&gt;1,IF(C4232&lt;99,VLOOKUP(F4232,'MSA-Lookup'!$AA$1:$AB$25,2),C4232),C4232)</f>
        <v>7362</v>
      </c>
    </row>
    <row r="4233" customFormat="false" ht="12.75" hidden="false" customHeight="false" outlineLevel="0" collapsed="false">
      <c r="A4233" s="0" t="n">
        <f aca="false">B4233*1000+C4233</f>
        <v>61010</v>
      </c>
      <c r="B4233" s="0" t="n">
        <v>61</v>
      </c>
      <c r="C4233" s="0" t="n">
        <v>10</v>
      </c>
      <c r="D4233" s="0" t="n">
        <v>0</v>
      </c>
      <c r="E4233" s="0" t="n">
        <f aca="false">VLOOKUP(B4233,'MSA-Lookup'!$H$2:$I$86,2)</f>
        <v>4480</v>
      </c>
      <c r="F4233" s="0" t="n">
        <f aca="false">IF(C4233&gt;1,IF(C4233&lt;99,VLOOKUP(C4233,'MSA-Lookup'!$H$1:$I$86,2),C4233),C4233)</f>
        <v>6920</v>
      </c>
      <c r="G4233" s="0" t="n">
        <f aca="false">VLOOKUP(E4233,'MSA-Lookup'!$AA$1:$AB$25,2)</f>
        <v>4472</v>
      </c>
      <c r="H4233" s="0" t="n">
        <f aca="false">IF(C4233&gt;1,IF(C4233&lt;99,VLOOKUP(F4233,'MSA-Lookup'!$AA$1:$AB$25,2),C4233),C4233)</f>
        <v>6920</v>
      </c>
    </row>
    <row r="4234" customFormat="false" ht="12.75" hidden="false" customHeight="false" outlineLevel="0" collapsed="false">
      <c r="A4234" s="0" t="n">
        <f aca="false">B4234*1000+C4234</f>
        <v>61011</v>
      </c>
      <c r="B4234" s="0" t="n">
        <v>61</v>
      </c>
      <c r="C4234" s="0" t="n">
        <v>11</v>
      </c>
      <c r="D4234" s="0" t="n">
        <v>0</v>
      </c>
      <c r="E4234" s="0" t="n">
        <f aca="false">VLOOKUP(B4234,'MSA-Lookup'!$H$2:$I$86,2)</f>
        <v>4480</v>
      </c>
      <c r="F4234" s="0" t="n">
        <f aca="false">IF(C4234&gt;1,IF(C4234&lt;99,VLOOKUP(C4234,'MSA-Lookup'!$H$1:$I$86,2),C4234),C4234)</f>
        <v>6920</v>
      </c>
      <c r="G4234" s="0" t="n">
        <f aca="false">VLOOKUP(E4234,'MSA-Lookup'!$AA$1:$AB$25,2)</f>
        <v>4472</v>
      </c>
      <c r="H4234" s="0" t="n">
        <f aca="false">IF(C4234&gt;1,IF(C4234&lt;99,VLOOKUP(F4234,'MSA-Lookup'!$AA$1:$AB$25,2),C4234),C4234)</f>
        <v>6920</v>
      </c>
    </row>
    <row r="4235" customFormat="false" ht="12.75" hidden="false" customHeight="false" outlineLevel="0" collapsed="false">
      <c r="A4235" s="0" t="n">
        <f aca="false">B4235*1000+C4235</f>
        <v>61012</v>
      </c>
      <c r="B4235" s="0" t="n">
        <v>61</v>
      </c>
      <c r="C4235" s="0" t="n">
        <v>12</v>
      </c>
      <c r="D4235" s="0" t="n">
        <v>0</v>
      </c>
      <c r="E4235" s="0" t="n">
        <f aca="false">VLOOKUP(B4235,'MSA-Lookup'!$H$2:$I$86,2)</f>
        <v>4480</v>
      </c>
      <c r="F4235" s="0" t="n">
        <f aca="false">IF(C4235&gt;1,IF(C4235&lt;99,VLOOKUP(C4235,'MSA-Lookup'!$H$1:$I$86,2),C4235),C4235)</f>
        <v>6920</v>
      </c>
      <c r="G4235" s="0" t="n">
        <f aca="false">VLOOKUP(E4235,'MSA-Lookup'!$AA$1:$AB$25,2)</f>
        <v>4472</v>
      </c>
      <c r="H4235" s="0" t="n">
        <f aca="false">IF(C4235&gt;1,IF(C4235&lt;99,VLOOKUP(F4235,'MSA-Lookup'!$AA$1:$AB$25,2),C4235),C4235)</f>
        <v>6920</v>
      </c>
    </row>
    <row r="4236" customFormat="false" ht="12.75" hidden="false" customHeight="false" outlineLevel="0" collapsed="false">
      <c r="A4236" s="0" t="n">
        <f aca="false">B4236*1000+C4236</f>
        <v>61013</v>
      </c>
      <c r="B4236" s="0" t="n">
        <v>61</v>
      </c>
      <c r="C4236" s="0" t="n">
        <v>13</v>
      </c>
      <c r="D4236" s="0" t="n">
        <v>0</v>
      </c>
      <c r="E4236" s="0" t="n">
        <f aca="false">VLOOKUP(B4236,'MSA-Lookup'!$H$2:$I$86,2)</f>
        <v>4480</v>
      </c>
      <c r="F4236" s="0" t="n">
        <f aca="false">IF(C4236&gt;1,IF(C4236&lt;99,VLOOKUP(C4236,'MSA-Lookup'!$H$1:$I$86,2),C4236),C4236)</f>
        <v>7500</v>
      </c>
      <c r="G4236" s="0" t="n">
        <f aca="false">VLOOKUP(E4236,'MSA-Lookup'!$AA$1:$AB$25,2)</f>
        <v>4472</v>
      </c>
      <c r="H4236" s="0" t="n">
        <f aca="false">IF(C4236&gt;1,IF(C4236&lt;99,VLOOKUP(F4236,'MSA-Lookup'!$AA$1:$AB$25,2),C4236),C4236)</f>
        <v>7362</v>
      </c>
    </row>
    <row r="4237" customFormat="false" ht="12.75" hidden="false" customHeight="false" outlineLevel="0" collapsed="false">
      <c r="A4237" s="0" t="n">
        <f aca="false">B4237*1000+C4237</f>
        <v>61014</v>
      </c>
      <c r="B4237" s="0" t="n">
        <v>61</v>
      </c>
      <c r="C4237" s="0" t="n">
        <v>14</v>
      </c>
      <c r="D4237" s="0" t="n">
        <v>0</v>
      </c>
      <c r="E4237" s="0" t="n">
        <f aca="false">VLOOKUP(B4237,'MSA-Lookup'!$H$2:$I$86,2)</f>
        <v>4480</v>
      </c>
      <c r="F4237" s="0" t="n">
        <f aca="false">IF(C4237&gt;1,IF(C4237&lt;99,VLOOKUP(C4237,'MSA-Lookup'!$H$1:$I$86,2),C4237),C4237)</f>
        <v>7500</v>
      </c>
      <c r="G4237" s="0" t="n">
        <f aca="false">VLOOKUP(E4237,'MSA-Lookup'!$AA$1:$AB$25,2)</f>
        <v>4472</v>
      </c>
      <c r="H4237" s="0" t="n">
        <f aca="false">IF(C4237&gt;1,IF(C4237&lt;99,VLOOKUP(F4237,'MSA-Lookup'!$AA$1:$AB$25,2),C4237),C4237)</f>
        <v>7362</v>
      </c>
    </row>
    <row r="4238" customFormat="false" ht="12.75" hidden="false" customHeight="false" outlineLevel="0" collapsed="false">
      <c r="A4238" s="0" t="n">
        <f aca="false">B4238*1000+C4238</f>
        <v>61015</v>
      </c>
      <c r="B4238" s="0" t="n">
        <v>61</v>
      </c>
      <c r="C4238" s="0" t="n">
        <v>15</v>
      </c>
      <c r="D4238" s="0" t="n">
        <v>0</v>
      </c>
      <c r="E4238" s="0" t="n">
        <f aca="false">VLOOKUP(B4238,'MSA-Lookup'!$H$2:$I$86,2)</f>
        <v>4480</v>
      </c>
      <c r="F4238" s="0" t="n">
        <f aca="false">IF(C4238&gt;1,IF(C4238&lt;99,VLOOKUP(C4238,'MSA-Lookup'!$H$1:$I$86,2),C4238),C4238)</f>
        <v>7360</v>
      </c>
      <c r="G4238" s="0" t="n">
        <f aca="false">VLOOKUP(E4238,'MSA-Lookup'!$AA$1:$AB$25,2)</f>
        <v>4472</v>
      </c>
      <c r="H4238" s="0" t="n">
        <f aca="false">IF(C4238&gt;1,IF(C4238&lt;99,VLOOKUP(F4238,'MSA-Lookup'!$AA$1:$AB$25,2),C4238),C4238)</f>
        <v>7362</v>
      </c>
    </row>
    <row r="4239" customFormat="false" ht="12.75" hidden="false" customHeight="false" outlineLevel="0" collapsed="false">
      <c r="A4239" s="0" t="n">
        <f aca="false">B4239*1000+C4239</f>
        <v>61016</v>
      </c>
      <c r="B4239" s="0" t="n">
        <v>61</v>
      </c>
      <c r="C4239" s="0" t="n">
        <v>16</v>
      </c>
      <c r="D4239" s="0" t="n">
        <v>0</v>
      </c>
      <c r="E4239" s="0" t="n">
        <f aca="false">VLOOKUP(B4239,'MSA-Lookup'!$H$2:$I$86,2)</f>
        <v>4480</v>
      </c>
      <c r="F4239" s="0" t="n">
        <f aca="false">IF(C4239&gt;1,IF(C4239&lt;99,VLOOKUP(C4239,'MSA-Lookup'!$H$1:$I$86,2),C4239),C4239)</f>
        <v>8720</v>
      </c>
      <c r="G4239" s="0" t="n">
        <f aca="false">VLOOKUP(E4239,'MSA-Lookup'!$AA$1:$AB$25,2)</f>
        <v>4472</v>
      </c>
      <c r="H4239" s="0" t="n">
        <f aca="false">IF(C4239&gt;1,IF(C4239&lt;99,VLOOKUP(F4239,'MSA-Lookup'!$AA$1:$AB$25,2),C4239),C4239)</f>
        <v>7362</v>
      </c>
    </row>
    <row r="4240" customFormat="false" ht="12.75" hidden="false" customHeight="false" outlineLevel="0" collapsed="false">
      <c r="A4240" s="0" t="n">
        <f aca="false">B4240*1000+C4240</f>
        <v>61017</v>
      </c>
      <c r="B4240" s="0" t="n">
        <v>61</v>
      </c>
      <c r="C4240" s="0" t="n">
        <v>17</v>
      </c>
      <c r="D4240" s="0" t="n">
        <v>0</v>
      </c>
      <c r="E4240" s="0" t="n">
        <f aca="false">VLOOKUP(B4240,'MSA-Lookup'!$H$2:$I$86,2)</f>
        <v>4480</v>
      </c>
      <c r="F4240" s="0" t="n">
        <f aca="false">IF(C4240&gt;1,IF(C4240&lt;99,VLOOKUP(C4240,'MSA-Lookup'!$H$1:$I$86,2),C4240),C4240)</f>
        <v>5775</v>
      </c>
      <c r="G4240" s="0" t="n">
        <f aca="false">VLOOKUP(E4240,'MSA-Lookup'!$AA$1:$AB$25,2)</f>
        <v>4472</v>
      </c>
      <c r="H4240" s="0" t="n">
        <f aca="false">IF(C4240&gt;1,IF(C4240&lt;99,VLOOKUP(F4240,'MSA-Lookup'!$AA$1:$AB$25,2),C4240),C4240)</f>
        <v>7362</v>
      </c>
    </row>
    <row r="4241" customFormat="false" ht="12.75" hidden="false" customHeight="false" outlineLevel="0" collapsed="false">
      <c r="A4241" s="0" t="n">
        <f aca="false">B4241*1000+C4241</f>
        <v>61018</v>
      </c>
      <c r="B4241" s="0" t="n">
        <v>61</v>
      </c>
      <c r="C4241" s="0" t="n">
        <v>18</v>
      </c>
      <c r="D4241" s="0" t="n">
        <v>0</v>
      </c>
      <c r="E4241" s="0" t="n">
        <f aca="false">VLOOKUP(B4241,'MSA-Lookup'!$H$2:$I$86,2)</f>
        <v>4480</v>
      </c>
      <c r="F4241" s="0" t="n">
        <f aca="false">IF(C4241&gt;1,IF(C4241&lt;99,VLOOKUP(C4241,'MSA-Lookup'!$H$1:$I$86,2),C4241),C4241)</f>
        <v>5775</v>
      </c>
      <c r="G4241" s="0" t="n">
        <f aca="false">VLOOKUP(E4241,'MSA-Lookup'!$AA$1:$AB$25,2)</f>
        <v>4472</v>
      </c>
      <c r="H4241" s="0" t="n">
        <f aca="false">IF(C4241&gt;1,IF(C4241&lt;99,VLOOKUP(F4241,'MSA-Lookup'!$AA$1:$AB$25,2),C4241),C4241)</f>
        <v>7362</v>
      </c>
    </row>
    <row r="4242" customFormat="false" ht="12.75" hidden="false" customHeight="false" outlineLevel="0" collapsed="false">
      <c r="A4242" s="0" t="n">
        <f aca="false">B4242*1000+C4242</f>
        <v>61019</v>
      </c>
      <c r="B4242" s="0" t="n">
        <v>61</v>
      </c>
      <c r="C4242" s="0" t="n">
        <v>19</v>
      </c>
      <c r="D4242" s="0" t="n">
        <v>0</v>
      </c>
      <c r="E4242" s="0" t="n">
        <f aca="false">VLOOKUP(B4242,'MSA-Lookup'!$H$2:$I$86,2)</f>
        <v>4480</v>
      </c>
      <c r="F4242" s="0" t="n">
        <f aca="false">IF(C4242&gt;1,IF(C4242&lt;99,VLOOKUP(C4242,'MSA-Lookup'!$H$1:$I$86,2),C4242),C4242)</f>
        <v>7360</v>
      </c>
      <c r="G4242" s="0" t="n">
        <f aca="false">VLOOKUP(E4242,'MSA-Lookup'!$AA$1:$AB$25,2)</f>
        <v>4472</v>
      </c>
      <c r="H4242" s="0" t="n">
        <f aca="false">IF(C4242&gt;1,IF(C4242&lt;99,VLOOKUP(F4242,'MSA-Lookup'!$AA$1:$AB$25,2),C4242),C4242)</f>
        <v>7362</v>
      </c>
    </row>
    <row r="4243" customFormat="false" ht="12.75" hidden="false" customHeight="false" outlineLevel="0" collapsed="false">
      <c r="A4243" s="0" t="n">
        <f aca="false">B4243*1000+C4243</f>
        <v>61020</v>
      </c>
      <c r="B4243" s="0" t="n">
        <v>61</v>
      </c>
      <c r="C4243" s="0" t="n">
        <v>20</v>
      </c>
      <c r="D4243" s="0" t="n">
        <v>0</v>
      </c>
      <c r="E4243" s="0" t="n">
        <f aca="false">VLOOKUP(B4243,'MSA-Lookup'!$H$2:$I$86,2)</f>
        <v>4480</v>
      </c>
      <c r="F4243" s="0" t="n">
        <f aca="false">IF(C4243&gt;1,IF(C4243&lt;99,VLOOKUP(C4243,'MSA-Lookup'!$H$1:$I$86,2),C4243),C4243)</f>
        <v>5775</v>
      </c>
      <c r="G4243" s="0" t="n">
        <f aca="false">VLOOKUP(E4243,'MSA-Lookup'!$AA$1:$AB$25,2)</f>
        <v>4472</v>
      </c>
      <c r="H4243" s="0" t="n">
        <f aca="false">IF(C4243&gt;1,IF(C4243&lt;99,VLOOKUP(F4243,'MSA-Lookup'!$AA$1:$AB$25,2),C4243),C4243)</f>
        <v>7362</v>
      </c>
    </row>
    <row r="4244" customFormat="false" ht="12.75" hidden="false" customHeight="false" outlineLevel="0" collapsed="false">
      <c r="A4244" s="0" t="n">
        <f aca="false">B4244*1000+C4244</f>
        <v>61021</v>
      </c>
      <c r="B4244" s="0" t="n">
        <v>61</v>
      </c>
      <c r="C4244" s="0" t="n">
        <v>21</v>
      </c>
      <c r="D4244" s="0" t="n">
        <v>0</v>
      </c>
      <c r="E4244" s="0" t="n">
        <f aca="false">VLOOKUP(B4244,'MSA-Lookup'!$H$2:$I$86,2)</f>
        <v>4480</v>
      </c>
      <c r="F4244" s="0" t="n">
        <f aca="false">IF(C4244&gt;1,IF(C4244&lt;99,VLOOKUP(C4244,'MSA-Lookup'!$H$1:$I$86,2),C4244),C4244)</f>
        <v>5775</v>
      </c>
      <c r="G4244" s="0" t="n">
        <f aca="false">VLOOKUP(E4244,'MSA-Lookup'!$AA$1:$AB$25,2)</f>
        <v>4472</v>
      </c>
      <c r="H4244" s="0" t="n">
        <f aca="false">IF(C4244&gt;1,IF(C4244&lt;99,VLOOKUP(F4244,'MSA-Lookup'!$AA$1:$AB$25,2),C4244),C4244)</f>
        <v>7362</v>
      </c>
    </row>
    <row r="4245" customFormat="false" ht="12.75" hidden="false" customHeight="false" outlineLevel="0" collapsed="false">
      <c r="A4245" s="0" t="n">
        <f aca="false">B4245*1000+C4245</f>
        <v>61022</v>
      </c>
      <c r="B4245" s="0" t="n">
        <v>61</v>
      </c>
      <c r="C4245" s="0" t="n">
        <v>22</v>
      </c>
      <c r="D4245" s="0" t="n">
        <v>377</v>
      </c>
      <c r="E4245" s="0" t="n">
        <f aca="false">VLOOKUP(B4245,'MSA-Lookup'!$H$2:$I$86,2)</f>
        <v>4480</v>
      </c>
      <c r="F4245" s="0" t="n">
        <f aca="false">IF(C4245&gt;1,IF(C4245&lt;99,VLOOKUP(C4245,'MSA-Lookup'!$H$1:$I$86,2),C4245),C4245)</f>
        <v>7360</v>
      </c>
      <c r="G4245" s="0" t="n">
        <f aca="false">VLOOKUP(E4245,'MSA-Lookup'!$AA$1:$AB$25,2)</f>
        <v>4472</v>
      </c>
      <c r="H4245" s="0" t="n">
        <f aca="false">IF(C4245&gt;1,IF(C4245&lt;99,VLOOKUP(F4245,'MSA-Lookup'!$AA$1:$AB$25,2),C4245),C4245)</f>
        <v>7362</v>
      </c>
    </row>
    <row r="4246" customFormat="false" ht="12.75" hidden="false" customHeight="false" outlineLevel="0" collapsed="false">
      <c r="A4246" s="0" t="n">
        <f aca="false">B4246*1000+C4246</f>
        <v>61023</v>
      </c>
      <c r="B4246" s="0" t="n">
        <v>61</v>
      </c>
      <c r="C4246" s="0" t="n">
        <v>23</v>
      </c>
      <c r="D4246" s="0" t="n">
        <v>0</v>
      </c>
      <c r="E4246" s="0" t="n">
        <f aca="false">VLOOKUP(B4246,'MSA-Lookup'!$H$2:$I$86,2)</f>
        <v>4480</v>
      </c>
      <c r="F4246" s="0" t="n">
        <f aca="false">IF(C4246&gt;1,IF(C4246&lt;99,VLOOKUP(C4246,'MSA-Lookup'!$H$1:$I$86,2),C4246),C4246)</f>
        <v>8120</v>
      </c>
      <c r="G4246" s="0" t="n">
        <f aca="false">VLOOKUP(E4246,'MSA-Lookup'!$AA$1:$AB$25,2)</f>
        <v>4472</v>
      </c>
      <c r="H4246" s="0" t="n">
        <f aca="false">IF(C4246&gt;1,IF(C4246&lt;99,VLOOKUP(F4246,'MSA-Lookup'!$AA$1:$AB$25,2),C4246),C4246)</f>
        <v>8120</v>
      </c>
    </row>
    <row r="4247" customFormat="false" ht="12.75" hidden="false" customHeight="false" outlineLevel="0" collapsed="false">
      <c r="A4247" s="0" t="n">
        <f aca="false">B4247*1000+C4247</f>
        <v>61024</v>
      </c>
      <c r="B4247" s="0" t="n">
        <v>61</v>
      </c>
      <c r="C4247" s="0" t="n">
        <v>24</v>
      </c>
      <c r="D4247" s="0" t="n">
        <v>0</v>
      </c>
      <c r="E4247" s="0" t="n">
        <f aca="false">VLOOKUP(B4247,'MSA-Lookup'!$H$2:$I$86,2)</f>
        <v>4480</v>
      </c>
      <c r="F4247" s="0" t="n">
        <f aca="false">IF(C4247&gt;1,IF(C4247&lt;99,VLOOKUP(C4247,'MSA-Lookup'!$H$1:$I$86,2),C4247),C4247)</f>
        <v>5170</v>
      </c>
      <c r="G4247" s="0" t="n">
        <f aca="false">VLOOKUP(E4247,'MSA-Lookup'!$AA$1:$AB$25,2)</f>
        <v>4472</v>
      </c>
      <c r="H4247" s="0" t="n">
        <f aca="false">IF(C4247&gt;1,IF(C4247&lt;99,VLOOKUP(F4247,'MSA-Lookup'!$AA$1:$AB$25,2),C4247),C4247)</f>
        <v>5170</v>
      </c>
    </row>
    <row r="4248" customFormat="false" ht="12.75" hidden="false" customHeight="false" outlineLevel="0" collapsed="false">
      <c r="A4248" s="0" t="n">
        <f aca="false">B4248*1000+C4248</f>
        <v>61025</v>
      </c>
      <c r="B4248" s="0" t="n">
        <v>61</v>
      </c>
      <c r="C4248" s="0" t="n">
        <v>25</v>
      </c>
      <c r="D4248" s="0" t="n">
        <v>0</v>
      </c>
      <c r="E4248" s="0" t="n">
        <f aca="false">VLOOKUP(B4248,'MSA-Lookup'!$H$2:$I$86,2)</f>
        <v>4480</v>
      </c>
      <c r="F4248" s="0" t="n">
        <f aca="false">IF(C4248&gt;1,IF(C4248&lt;99,VLOOKUP(C4248,'MSA-Lookup'!$H$1:$I$86,2),C4248),C4248)</f>
        <v>5170</v>
      </c>
      <c r="G4248" s="0" t="n">
        <f aca="false">VLOOKUP(E4248,'MSA-Lookup'!$AA$1:$AB$25,2)</f>
        <v>4472</v>
      </c>
      <c r="H4248" s="0" t="n">
        <f aca="false">IF(C4248&gt;1,IF(C4248&lt;99,VLOOKUP(F4248,'MSA-Lookup'!$AA$1:$AB$25,2),C4248),C4248)</f>
        <v>5170</v>
      </c>
    </row>
    <row r="4249" customFormat="false" ht="12.75" hidden="false" customHeight="false" outlineLevel="0" collapsed="false">
      <c r="A4249" s="0" t="n">
        <f aca="false">B4249*1000+C4249</f>
        <v>61026</v>
      </c>
      <c r="B4249" s="0" t="n">
        <v>61</v>
      </c>
      <c r="C4249" s="0" t="n">
        <v>26</v>
      </c>
      <c r="D4249" s="0" t="n">
        <v>0</v>
      </c>
      <c r="E4249" s="0" t="n">
        <f aca="false">VLOOKUP(B4249,'MSA-Lookup'!$H$2:$I$86,2)</f>
        <v>4480</v>
      </c>
      <c r="F4249" s="0" t="n">
        <f aca="false">IF(C4249&gt;1,IF(C4249&lt;99,VLOOKUP(C4249,'MSA-Lookup'!$H$1:$I$86,2),C4249),C4249)</f>
        <v>9999</v>
      </c>
      <c r="G4249" s="0" t="n">
        <f aca="false">VLOOKUP(E4249,'MSA-Lookup'!$AA$1:$AB$25,2)</f>
        <v>4472</v>
      </c>
      <c r="H4249" s="0" t="n">
        <f aca="false">IF(C4249&gt;1,IF(C4249&lt;99,VLOOKUP(F4249,'MSA-Lookup'!$AA$1:$AB$25,2),C4249),C4249)</f>
        <v>9999</v>
      </c>
    </row>
    <row r="4250" customFormat="false" ht="12.75" hidden="false" customHeight="false" outlineLevel="0" collapsed="false">
      <c r="A4250" s="0" t="n">
        <f aca="false">B4250*1000+C4250</f>
        <v>61027</v>
      </c>
      <c r="B4250" s="0" t="n">
        <v>61</v>
      </c>
      <c r="C4250" s="0" t="n">
        <v>27</v>
      </c>
      <c r="D4250" s="0" t="n">
        <v>0</v>
      </c>
      <c r="E4250" s="0" t="n">
        <f aca="false">VLOOKUP(B4250,'MSA-Lookup'!$H$2:$I$86,2)</f>
        <v>4480</v>
      </c>
      <c r="F4250" s="0" t="n">
        <f aca="false">IF(C4250&gt;1,IF(C4250&lt;99,VLOOKUP(C4250,'MSA-Lookup'!$H$1:$I$86,2),C4250),C4250)</f>
        <v>9999</v>
      </c>
      <c r="G4250" s="0" t="n">
        <f aca="false">VLOOKUP(E4250,'MSA-Lookup'!$AA$1:$AB$25,2)</f>
        <v>4472</v>
      </c>
      <c r="H4250" s="0" t="n">
        <f aca="false">IF(C4250&gt;1,IF(C4250&lt;99,VLOOKUP(F4250,'MSA-Lookup'!$AA$1:$AB$25,2),C4250),C4250)</f>
        <v>9999</v>
      </c>
    </row>
    <row r="4251" customFormat="false" ht="12.75" hidden="false" customHeight="false" outlineLevel="0" collapsed="false">
      <c r="A4251" s="0" t="n">
        <f aca="false">B4251*1000+C4251</f>
        <v>61028</v>
      </c>
      <c r="B4251" s="0" t="n">
        <v>61</v>
      </c>
      <c r="C4251" s="0" t="n">
        <v>28</v>
      </c>
      <c r="D4251" s="0" t="n">
        <v>0</v>
      </c>
      <c r="E4251" s="0" t="n">
        <f aca="false">VLOOKUP(B4251,'MSA-Lookup'!$H$2:$I$86,2)</f>
        <v>4480</v>
      </c>
      <c r="F4251" s="0" t="n">
        <f aca="false">IF(C4251&gt;1,IF(C4251&lt;99,VLOOKUP(C4251,'MSA-Lookup'!$H$1:$I$86,2),C4251),C4251)</f>
        <v>6920</v>
      </c>
      <c r="G4251" s="0" t="n">
        <f aca="false">VLOOKUP(E4251,'MSA-Lookup'!$AA$1:$AB$25,2)</f>
        <v>4472</v>
      </c>
      <c r="H4251" s="0" t="n">
        <f aca="false">IF(C4251&gt;1,IF(C4251&lt;99,VLOOKUP(F4251,'MSA-Lookup'!$AA$1:$AB$25,2),C4251),C4251)</f>
        <v>6920</v>
      </c>
    </row>
    <row r="4252" customFormat="false" ht="12.75" hidden="false" customHeight="false" outlineLevel="0" collapsed="false">
      <c r="A4252" s="0" t="n">
        <f aca="false">B4252*1000+C4252</f>
        <v>61029</v>
      </c>
      <c r="B4252" s="0" t="n">
        <v>61</v>
      </c>
      <c r="C4252" s="0" t="n">
        <v>29</v>
      </c>
      <c r="D4252" s="0" t="n">
        <v>0</v>
      </c>
      <c r="E4252" s="0" t="n">
        <f aca="false">VLOOKUP(B4252,'MSA-Lookup'!$H$2:$I$86,2)</f>
        <v>4480</v>
      </c>
      <c r="F4252" s="0" t="n">
        <f aca="false">IF(C4252&gt;1,IF(C4252&lt;99,VLOOKUP(C4252,'MSA-Lookup'!$H$1:$I$86,2),C4252),C4252)</f>
        <v>6920</v>
      </c>
      <c r="G4252" s="0" t="n">
        <f aca="false">VLOOKUP(E4252,'MSA-Lookup'!$AA$1:$AB$25,2)</f>
        <v>4472</v>
      </c>
      <c r="H4252" s="0" t="n">
        <f aca="false">IF(C4252&gt;1,IF(C4252&lt;99,VLOOKUP(F4252,'MSA-Lookup'!$AA$1:$AB$25,2),C4252),C4252)</f>
        <v>6920</v>
      </c>
    </row>
    <row r="4253" customFormat="false" ht="12.75" hidden="false" customHeight="false" outlineLevel="0" collapsed="false">
      <c r="A4253" s="0" t="n">
        <f aca="false">B4253*1000+C4253</f>
        <v>61030</v>
      </c>
      <c r="B4253" s="0" t="n">
        <v>61</v>
      </c>
      <c r="C4253" s="0" t="n">
        <v>30</v>
      </c>
      <c r="D4253" s="0" t="n">
        <v>0</v>
      </c>
      <c r="E4253" s="0" t="n">
        <f aca="false">VLOOKUP(B4253,'MSA-Lookup'!$H$2:$I$86,2)</f>
        <v>4480</v>
      </c>
      <c r="F4253" s="0" t="n">
        <f aca="false">IF(C4253&gt;1,IF(C4253&lt;99,VLOOKUP(C4253,'MSA-Lookup'!$H$1:$I$86,2),C4253),C4253)</f>
        <v>4940</v>
      </c>
      <c r="G4253" s="0" t="n">
        <f aca="false">VLOOKUP(E4253,'MSA-Lookup'!$AA$1:$AB$25,2)</f>
        <v>4472</v>
      </c>
      <c r="H4253" s="0" t="n">
        <f aca="false">IF(C4253&gt;1,IF(C4253&lt;99,VLOOKUP(F4253,'MSA-Lookup'!$AA$1:$AB$25,2),C4253),C4253)</f>
        <v>4940</v>
      </c>
    </row>
    <row r="4254" customFormat="false" ht="12.75" hidden="false" customHeight="false" outlineLevel="0" collapsed="false">
      <c r="A4254" s="0" t="n">
        <f aca="false">B4254*1000+C4254</f>
        <v>61031</v>
      </c>
      <c r="B4254" s="0" t="n">
        <v>61</v>
      </c>
      <c r="C4254" s="0" t="n">
        <v>31</v>
      </c>
      <c r="D4254" s="0" t="n">
        <v>0</v>
      </c>
      <c r="E4254" s="0" t="n">
        <f aca="false">VLOOKUP(B4254,'MSA-Lookup'!$H$2:$I$86,2)</f>
        <v>4480</v>
      </c>
      <c r="F4254" s="0" t="n">
        <f aca="false">IF(C4254&gt;1,IF(C4254&lt;99,VLOOKUP(C4254,'MSA-Lookup'!$H$1:$I$86,2),C4254),C4254)</f>
        <v>9999</v>
      </c>
      <c r="G4254" s="0" t="n">
        <f aca="false">VLOOKUP(E4254,'MSA-Lookup'!$AA$1:$AB$25,2)</f>
        <v>4472</v>
      </c>
      <c r="H4254" s="0" t="n">
        <f aca="false">IF(C4254&gt;1,IF(C4254&lt;99,VLOOKUP(F4254,'MSA-Lookup'!$AA$1:$AB$25,2),C4254),C4254)</f>
        <v>9999</v>
      </c>
    </row>
    <row r="4255" customFormat="false" ht="12.75" hidden="false" customHeight="false" outlineLevel="0" collapsed="false">
      <c r="A4255" s="0" t="n">
        <f aca="false">B4255*1000+C4255</f>
        <v>61032</v>
      </c>
      <c r="B4255" s="0" t="n">
        <v>61</v>
      </c>
      <c r="C4255" s="0" t="n">
        <v>32</v>
      </c>
      <c r="D4255" s="0" t="n">
        <v>0</v>
      </c>
      <c r="E4255" s="0" t="n">
        <f aca="false">VLOOKUP(B4255,'MSA-Lookup'!$H$2:$I$86,2)</f>
        <v>4480</v>
      </c>
      <c r="F4255" s="0" t="n">
        <f aca="false">IF(C4255&gt;1,IF(C4255&lt;99,VLOOKUP(C4255,'MSA-Lookup'!$H$1:$I$86,2),C4255),C4255)</f>
        <v>7480</v>
      </c>
      <c r="G4255" s="0" t="n">
        <f aca="false">VLOOKUP(E4255,'MSA-Lookup'!$AA$1:$AB$25,2)</f>
        <v>4472</v>
      </c>
      <c r="H4255" s="0" t="n">
        <f aca="false">IF(C4255&gt;1,IF(C4255&lt;99,VLOOKUP(F4255,'MSA-Lookup'!$AA$1:$AB$25,2),C4255),C4255)</f>
        <v>7480</v>
      </c>
    </row>
    <row r="4256" customFormat="false" ht="12.75" hidden="false" customHeight="false" outlineLevel="0" collapsed="false">
      <c r="A4256" s="0" t="n">
        <f aca="false">B4256*1000+C4256</f>
        <v>61033</v>
      </c>
      <c r="B4256" s="0" t="n">
        <v>61</v>
      </c>
      <c r="C4256" s="0" t="n">
        <v>33</v>
      </c>
      <c r="D4256" s="0" t="n">
        <v>0</v>
      </c>
      <c r="E4256" s="0" t="n">
        <f aca="false">VLOOKUP(B4256,'MSA-Lookup'!$H$2:$I$86,2)</f>
        <v>4480</v>
      </c>
      <c r="F4256" s="0" t="n">
        <f aca="false">IF(C4256&gt;1,IF(C4256&lt;99,VLOOKUP(C4256,'MSA-Lookup'!$H$1:$I$86,2),C4256),C4256)</f>
        <v>7320</v>
      </c>
      <c r="G4256" s="0" t="n">
        <f aca="false">VLOOKUP(E4256,'MSA-Lookup'!$AA$1:$AB$25,2)</f>
        <v>4472</v>
      </c>
      <c r="H4256" s="0" t="n">
        <f aca="false">IF(C4256&gt;1,IF(C4256&lt;99,VLOOKUP(F4256,'MSA-Lookup'!$AA$1:$AB$25,2),C4256),C4256)</f>
        <v>7320</v>
      </c>
    </row>
    <row r="4257" customFormat="false" ht="12.75" hidden="false" customHeight="false" outlineLevel="0" collapsed="false">
      <c r="A4257" s="0" t="n">
        <f aca="false">B4257*1000+C4257</f>
        <v>61034</v>
      </c>
      <c r="B4257" s="0" t="n">
        <v>61</v>
      </c>
      <c r="C4257" s="0" t="n">
        <v>34</v>
      </c>
      <c r="D4257" s="0" t="n">
        <v>0</v>
      </c>
      <c r="E4257" s="0" t="n">
        <f aca="false">VLOOKUP(B4257,'MSA-Lookup'!$H$2:$I$86,2)</f>
        <v>4480</v>
      </c>
      <c r="F4257" s="0" t="n">
        <f aca="false">IF(C4257&gt;1,IF(C4257&lt;99,VLOOKUP(C4257,'MSA-Lookup'!$H$1:$I$86,2),C4257),C4257)</f>
        <v>7320</v>
      </c>
      <c r="G4257" s="0" t="n">
        <f aca="false">VLOOKUP(E4257,'MSA-Lookup'!$AA$1:$AB$25,2)</f>
        <v>4472</v>
      </c>
      <c r="H4257" s="0" t="n">
        <f aca="false">IF(C4257&gt;1,IF(C4257&lt;99,VLOOKUP(F4257,'MSA-Lookup'!$AA$1:$AB$25,2),C4257),C4257)</f>
        <v>7320</v>
      </c>
    </row>
    <row r="4258" customFormat="false" ht="12.75" hidden="false" customHeight="false" outlineLevel="0" collapsed="false">
      <c r="A4258" s="0" t="n">
        <f aca="false">B4258*1000+C4258</f>
        <v>61035</v>
      </c>
      <c r="B4258" s="0" t="n">
        <v>61</v>
      </c>
      <c r="C4258" s="0" t="n">
        <v>35</v>
      </c>
      <c r="D4258" s="0" t="n">
        <v>0</v>
      </c>
      <c r="E4258" s="0" t="n">
        <f aca="false">VLOOKUP(B4258,'MSA-Lookup'!$H$2:$I$86,2)</f>
        <v>4480</v>
      </c>
      <c r="F4258" s="0" t="n">
        <f aca="false">IF(C4258&gt;1,IF(C4258&lt;99,VLOOKUP(C4258,'MSA-Lookup'!$H$1:$I$86,2),C4258),C4258)</f>
        <v>7320</v>
      </c>
      <c r="G4258" s="0" t="n">
        <f aca="false">VLOOKUP(E4258,'MSA-Lookup'!$AA$1:$AB$25,2)</f>
        <v>4472</v>
      </c>
      <c r="H4258" s="0" t="n">
        <f aca="false">IF(C4258&gt;1,IF(C4258&lt;99,VLOOKUP(F4258,'MSA-Lookup'!$AA$1:$AB$25,2),C4258),C4258)</f>
        <v>7320</v>
      </c>
    </row>
    <row r="4259" customFormat="false" ht="12.75" hidden="false" customHeight="false" outlineLevel="0" collapsed="false">
      <c r="A4259" s="0" t="n">
        <f aca="false">B4259*1000+C4259</f>
        <v>61036</v>
      </c>
      <c r="B4259" s="0" t="n">
        <v>61</v>
      </c>
      <c r="C4259" s="0" t="n">
        <v>36</v>
      </c>
      <c r="D4259" s="0" t="n">
        <v>0</v>
      </c>
      <c r="E4259" s="0" t="n">
        <f aca="false">VLOOKUP(B4259,'MSA-Lookup'!$H$2:$I$86,2)</f>
        <v>4480</v>
      </c>
      <c r="F4259" s="0" t="n">
        <f aca="false">IF(C4259&gt;1,IF(C4259&lt;99,VLOOKUP(C4259,'MSA-Lookup'!$H$1:$I$86,2),C4259),C4259)</f>
        <v>7320</v>
      </c>
      <c r="G4259" s="0" t="n">
        <f aca="false">VLOOKUP(E4259,'MSA-Lookup'!$AA$1:$AB$25,2)</f>
        <v>4472</v>
      </c>
      <c r="H4259" s="0" t="n">
        <f aca="false">IF(C4259&gt;1,IF(C4259&lt;99,VLOOKUP(F4259,'MSA-Lookup'!$AA$1:$AB$25,2),C4259),C4259)</f>
        <v>7320</v>
      </c>
    </row>
    <row r="4260" customFormat="false" ht="12.75" hidden="false" customHeight="false" outlineLevel="0" collapsed="false">
      <c r="A4260" s="0" t="n">
        <f aca="false">B4260*1000+C4260</f>
        <v>61037</v>
      </c>
      <c r="B4260" s="0" t="n">
        <v>61</v>
      </c>
      <c r="C4260" s="0" t="n">
        <v>37</v>
      </c>
      <c r="D4260" s="0" t="n">
        <v>0</v>
      </c>
      <c r="E4260" s="0" t="n">
        <f aca="false">VLOOKUP(B4260,'MSA-Lookup'!$H$2:$I$86,2)</f>
        <v>4480</v>
      </c>
      <c r="F4260" s="0" t="n">
        <f aca="false">IF(C4260&gt;1,IF(C4260&lt;99,VLOOKUP(C4260,'MSA-Lookup'!$H$1:$I$86,2),C4260),C4260)</f>
        <v>7320</v>
      </c>
      <c r="G4260" s="0" t="n">
        <f aca="false">VLOOKUP(E4260,'MSA-Lookup'!$AA$1:$AB$25,2)</f>
        <v>4472</v>
      </c>
      <c r="H4260" s="0" t="n">
        <f aca="false">IF(C4260&gt;1,IF(C4260&lt;99,VLOOKUP(F4260,'MSA-Lookup'!$AA$1:$AB$25,2),C4260),C4260)</f>
        <v>7320</v>
      </c>
    </row>
    <row r="4261" customFormat="false" ht="12.75" hidden="false" customHeight="false" outlineLevel="0" collapsed="false">
      <c r="A4261" s="0" t="n">
        <f aca="false">B4261*1000+C4261</f>
        <v>61038</v>
      </c>
      <c r="B4261" s="0" t="n">
        <v>61</v>
      </c>
      <c r="C4261" s="0" t="n">
        <v>38</v>
      </c>
      <c r="D4261" s="0" t="n">
        <v>0</v>
      </c>
      <c r="E4261" s="0" t="n">
        <f aca="false">VLOOKUP(B4261,'MSA-Lookup'!$H$2:$I$86,2)</f>
        <v>4480</v>
      </c>
      <c r="F4261" s="0" t="n">
        <f aca="false">IF(C4261&gt;1,IF(C4261&lt;99,VLOOKUP(C4261,'MSA-Lookup'!$H$1:$I$86,2),C4261),C4261)</f>
        <v>7120</v>
      </c>
      <c r="G4261" s="0" t="n">
        <f aca="false">VLOOKUP(E4261,'MSA-Lookup'!$AA$1:$AB$25,2)</f>
        <v>4472</v>
      </c>
      <c r="H4261" s="0" t="n">
        <f aca="false">IF(C4261&gt;1,IF(C4261&lt;99,VLOOKUP(F4261,'MSA-Lookup'!$AA$1:$AB$25,2),C4261),C4261)</f>
        <v>7120</v>
      </c>
    </row>
    <row r="4262" customFormat="false" ht="12.75" hidden="false" customHeight="false" outlineLevel="0" collapsed="false">
      <c r="A4262" s="0" t="n">
        <f aca="false">B4262*1000+C4262</f>
        <v>61039</v>
      </c>
      <c r="B4262" s="0" t="n">
        <v>61</v>
      </c>
      <c r="C4262" s="0" t="n">
        <v>39</v>
      </c>
      <c r="D4262" s="0" t="n">
        <v>130</v>
      </c>
      <c r="E4262" s="0" t="n">
        <f aca="false">VLOOKUP(B4262,'MSA-Lookup'!$H$2:$I$86,2)</f>
        <v>4480</v>
      </c>
      <c r="F4262" s="0" t="n">
        <f aca="false">IF(C4262&gt;1,IF(C4262&lt;99,VLOOKUP(C4262,'MSA-Lookup'!$H$1:$I$86,2),C4262),C4262)</f>
        <v>7120</v>
      </c>
      <c r="G4262" s="0" t="n">
        <f aca="false">VLOOKUP(E4262,'MSA-Lookup'!$AA$1:$AB$25,2)</f>
        <v>4472</v>
      </c>
      <c r="H4262" s="0" t="n">
        <f aca="false">IF(C4262&gt;1,IF(C4262&lt;99,VLOOKUP(F4262,'MSA-Lookup'!$AA$1:$AB$25,2),C4262),C4262)</f>
        <v>7120</v>
      </c>
    </row>
    <row r="4263" customFormat="false" ht="12.75" hidden="false" customHeight="false" outlineLevel="0" collapsed="false">
      <c r="A4263" s="0" t="n">
        <f aca="false">B4263*1000+C4263</f>
        <v>61040</v>
      </c>
      <c r="B4263" s="0" t="n">
        <v>61</v>
      </c>
      <c r="C4263" s="0" t="n">
        <v>40</v>
      </c>
      <c r="D4263" s="0" t="n">
        <v>0</v>
      </c>
      <c r="E4263" s="0" t="n">
        <f aca="false">VLOOKUP(B4263,'MSA-Lookup'!$H$2:$I$86,2)</f>
        <v>4480</v>
      </c>
      <c r="F4263" s="0" t="n">
        <f aca="false">IF(C4263&gt;1,IF(C4263&lt;99,VLOOKUP(C4263,'MSA-Lookup'!$H$1:$I$86,2),C4263),C4263)</f>
        <v>2840</v>
      </c>
      <c r="G4263" s="0" t="n">
        <f aca="false">VLOOKUP(E4263,'MSA-Lookup'!$AA$1:$AB$25,2)</f>
        <v>4472</v>
      </c>
      <c r="H4263" s="0" t="n">
        <f aca="false">IF(C4263&gt;1,IF(C4263&lt;99,VLOOKUP(F4263,'MSA-Lookup'!$AA$1:$AB$25,2),C4263),C4263)</f>
        <v>2840</v>
      </c>
    </row>
    <row r="4264" customFormat="false" ht="12.75" hidden="false" customHeight="false" outlineLevel="0" collapsed="false">
      <c r="A4264" s="0" t="n">
        <f aca="false">B4264*1000+C4264</f>
        <v>61041</v>
      </c>
      <c r="B4264" s="0" t="n">
        <v>61</v>
      </c>
      <c r="C4264" s="0" t="n">
        <v>41</v>
      </c>
      <c r="D4264" s="0" t="n">
        <v>0</v>
      </c>
      <c r="E4264" s="0" t="n">
        <f aca="false">VLOOKUP(B4264,'MSA-Lookup'!$H$2:$I$86,2)</f>
        <v>4480</v>
      </c>
      <c r="F4264" s="0" t="n">
        <f aca="false">IF(C4264&gt;1,IF(C4264&lt;99,VLOOKUP(C4264,'MSA-Lookup'!$H$1:$I$86,2),C4264),C4264)</f>
        <v>2840</v>
      </c>
      <c r="G4264" s="0" t="n">
        <f aca="false">VLOOKUP(E4264,'MSA-Lookup'!$AA$1:$AB$25,2)</f>
        <v>4472</v>
      </c>
      <c r="H4264" s="0" t="n">
        <f aca="false">IF(C4264&gt;1,IF(C4264&lt;99,VLOOKUP(F4264,'MSA-Lookup'!$AA$1:$AB$25,2),C4264),C4264)</f>
        <v>2840</v>
      </c>
    </row>
    <row r="4265" customFormat="false" ht="12.75" hidden="false" customHeight="false" outlineLevel="0" collapsed="false">
      <c r="A4265" s="0" t="n">
        <f aca="false">B4265*1000+C4265</f>
        <v>61042</v>
      </c>
      <c r="B4265" s="0" t="n">
        <v>61</v>
      </c>
      <c r="C4265" s="0" t="n">
        <v>42</v>
      </c>
      <c r="D4265" s="0" t="n">
        <v>52</v>
      </c>
      <c r="E4265" s="0" t="n">
        <f aca="false">VLOOKUP(B4265,'MSA-Lookup'!$H$2:$I$86,2)</f>
        <v>4480</v>
      </c>
      <c r="F4265" s="0" t="n">
        <f aca="false">IF(C4265&gt;1,IF(C4265&lt;99,VLOOKUP(C4265,'MSA-Lookup'!$H$1:$I$86,2),C4265),C4265)</f>
        <v>360</v>
      </c>
      <c r="G4265" s="0" t="n">
        <f aca="false">VLOOKUP(E4265,'MSA-Lookup'!$AA$1:$AB$25,2)</f>
        <v>4472</v>
      </c>
      <c r="H4265" s="0" t="n">
        <f aca="false">IF(C4265&gt;1,IF(C4265&lt;99,VLOOKUP(F4265,'MSA-Lookup'!$AA$1:$AB$25,2),C4265),C4265)</f>
        <v>4472</v>
      </c>
    </row>
    <row r="4266" customFormat="false" ht="12.75" hidden="false" customHeight="false" outlineLevel="0" collapsed="false">
      <c r="A4266" s="0" t="n">
        <f aca="false">B4266*1000+C4266</f>
        <v>61043</v>
      </c>
      <c r="B4266" s="0" t="n">
        <v>61</v>
      </c>
      <c r="C4266" s="0" t="n">
        <v>43</v>
      </c>
      <c r="D4266" s="0" t="n">
        <v>0</v>
      </c>
      <c r="E4266" s="0" t="n">
        <f aca="false">VLOOKUP(B4266,'MSA-Lookup'!$H$2:$I$86,2)</f>
        <v>4480</v>
      </c>
      <c r="F4266" s="0" t="n">
        <f aca="false">IF(C4266&gt;1,IF(C4266&lt;99,VLOOKUP(C4266,'MSA-Lookup'!$H$1:$I$86,2),C4266),C4266)</f>
        <v>360</v>
      </c>
      <c r="G4266" s="0" t="n">
        <f aca="false">VLOOKUP(E4266,'MSA-Lookup'!$AA$1:$AB$25,2)</f>
        <v>4472</v>
      </c>
      <c r="H4266" s="0" t="n">
        <f aca="false">IF(C4266&gt;1,IF(C4266&lt;99,VLOOKUP(F4266,'MSA-Lookup'!$AA$1:$AB$25,2),C4266),C4266)</f>
        <v>4472</v>
      </c>
    </row>
    <row r="4267" customFormat="false" ht="12.75" hidden="false" customHeight="false" outlineLevel="0" collapsed="false">
      <c r="A4267" s="0" t="n">
        <f aca="false">B4267*1000+C4267</f>
        <v>61044</v>
      </c>
      <c r="B4267" s="0" t="n">
        <v>61</v>
      </c>
      <c r="C4267" s="0" t="n">
        <v>44</v>
      </c>
      <c r="D4267" s="0" t="n">
        <v>0</v>
      </c>
      <c r="E4267" s="0" t="n">
        <f aca="false">VLOOKUP(B4267,'MSA-Lookup'!$H$2:$I$86,2)</f>
        <v>4480</v>
      </c>
      <c r="F4267" s="0" t="n">
        <f aca="false">IF(C4267&gt;1,IF(C4267&lt;99,VLOOKUP(C4267,'MSA-Lookup'!$H$1:$I$86,2),C4267),C4267)</f>
        <v>360</v>
      </c>
      <c r="G4267" s="0" t="n">
        <f aca="false">VLOOKUP(E4267,'MSA-Lookup'!$AA$1:$AB$25,2)</f>
        <v>4472</v>
      </c>
      <c r="H4267" s="0" t="n">
        <f aca="false">IF(C4267&gt;1,IF(C4267&lt;99,VLOOKUP(F4267,'MSA-Lookup'!$AA$1:$AB$25,2),C4267),C4267)</f>
        <v>4472</v>
      </c>
    </row>
    <row r="4268" customFormat="false" ht="12.75" hidden="false" customHeight="false" outlineLevel="0" collapsed="false">
      <c r="A4268" s="0" t="n">
        <f aca="false">B4268*1000+C4268</f>
        <v>61045</v>
      </c>
      <c r="B4268" s="0" t="n">
        <v>61</v>
      </c>
      <c r="C4268" s="0" t="n">
        <v>45</v>
      </c>
      <c r="D4268" s="0" t="n">
        <v>0</v>
      </c>
      <c r="E4268" s="0" t="n">
        <f aca="false">VLOOKUP(B4268,'MSA-Lookup'!$H$2:$I$86,2)</f>
        <v>4480</v>
      </c>
      <c r="F4268" s="0" t="n">
        <f aca="false">IF(C4268&gt;1,IF(C4268&lt;99,VLOOKUP(C4268,'MSA-Lookup'!$H$1:$I$86,2),C4268),C4268)</f>
        <v>360</v>
      </c>
      <c r="G4268" s="0" t="n">
        <f aca="false">VLOOKUP(E4268,'MSA-Lookup'!$AA$1:$AB$25,2)</f>
        <v>4472</v>
      </c>
      <c r="H4268" s="0" t="n">
        <f aca="false">IF(C4268&gt;1,IF(C4268&lt;99,VLOOKUP(F4268,'MSA-Lookup'!$AA$1:$AB$25,2),C4268),C4268)</f>
        <v>4472</v>
      </c>
    </row>
    <row r="4269" customFormat="false" ht="12.75" hidden="false" customHeight="false" outlineLevel="0" collapsed="false">
      <c r="A4269" s="0" t="n">
        <f aca="false">B4269*1000+C4269</f>
        <v>61046</v>
      </c>
      <c r="B4269" s="0" t="n">
        <v>61</v>
      </c>
      <c r="C4269" s="0" t="n">
        <v>46</v>
      </c>
      <c r="D4269" s="0" t="n">
        <v>0</v>
      </c>
      <c r="E4269" s="0" t="n">
        <f aca="false">VLOOKUP(B4269,'MSA-Lookup'!$H$2:$I$86,2)</f>
        <v>4480</v>
      </c>
      <c r="F4269" s="0" t="n">
        <f aca="false">IF(C4269&gt;1,IF(C4269&lt;99,VLOOKUP(C4269,'MSA-Lookup'!$H$1:$I$86,2),C4269),C4269)</f>
        <v>360</v>
      </c>
      <c r="G4269" s="0" t="n">
        <f aca="false">VLOOKUP(E4269,'MSA-Lookup'!$AA$1:$AB$25,2)</f>
        <v>4472</v>
      </c>
      <c r="H4269" s="0" t="n">
        <f aca="false">IF(C4269&gt;1,IF(C4269&lt;99,VLOOKUP(F4269,'MSA-Lookup'!$AA$1:$AB$25,2),C4269),C4269)</f>
        <v>4472</v>
      </c>
    </row>
    <row r="4270" customFormat="false" ht="12.75" hidden="false" customHeight="false" outlineLevel="0" collapsed="false">
      <c r="A4270" s="0" t="n">
        <f aca="false">B4270*1000+C4270</f>
        <v>61047</v>
      </c>
      <c r="B4270" s="0" t="n">
        <v>61</v>
      </c>
      <c r="C4270" s="0" t="n">
        <v>47</v>
      </c>
      <c r="D4270" s="0" t="n">
        <v>65</v>
      </c>
      <c r="E4270" s="0" t="n">
        <f aca="false">VLOOKUP(B4270,'MSA-Lookup'!$H$2:$I$86,2)</f>
        <v>4480</v>
      </c>
      <c r="F4270" s="0" t="n">
        <f aca="false">IF(C4270&gt;1,IF(C4270&lt;99,VLOOKUP(C4270,'MSA-Lookup'!$H$1:$I$86,2),C4270),C4270)</f>
        <v>360</v>
      </c>
      <c r="G4270" s="0" t="n">
        <f aca="false">VLOOKUP(E4270,'MSA-Lookup'!$AA$1:$AB$25,2)</f>
        <v>4472</v>
      </c>
      <c r="H4270" s="0" t="n">
        <f aca="false">IF(C4270&gt;1,IF(C4270&lt;99,VLOOKUP(F4270,'MSA-Lookup'!$AA$1:$AB$25,2),C4270),C4270)</f>
        <v>4472</v>
      </c>
    </row>
    <row r="4271" customFormat="false" ht="12.75" hidden="false" customHeight="false" outlineLevel="0" collapsed="false">
      <c r="A4271" s="0" t="n">
        <f aca="false">B4271*1000+C4271</f>
        <v>61048</v>
      </c>
      <c r="B4271" s="0" t="n">
        <v>61</v>
      </c>
      <c r="C4271" s="0" t="n">
        <v>48</v>
      </c>
      <c r="D4271" s="0" t="n">
        <v>247</v>
      </c>
      <c r="E4271" s="0" t="n">
        <f aca="false">VLOOKUP(B4271,'MSA-Lookup'!$H$2:$I$86,2)</f>
        <v>4480</v>
      </c>
      <c r="F4271" s="0" t="n">
        <f aca="false">IF(C4271&gt;1,IF(C4271&lt;99,VLOOKUP(C4271,'MSA-Lookup'!$H$1:$I$86,2),C4271),C4271)</f>
        <v>360</v>
      </c>
      <c r="G4271" s="0" t="n">
        <f aca="false">VLOOKUP(E4271,'MSA-Lookup'!$AA$1:$AB$25,2)</f>
        <v>4472</v>
      </c>
      <c r="H4271" s="0" t="n">
        <f aca="false">IF(C4271&gt;1,IF(C4271&lt;99,VLOOKUP(F4271,'MSA-Lookup'!$AA$1:$AB$25,2),C4271),C4271)</f>
        <v>4472</v>
      </c>
    </row>
    <row r="4272" customFormat="false" ht="12.75" hidden="false" customHeight="false" outlineLevel="0" collapsed="false">
      <c r="A4272" s="0" t="n">
        <f aca="false">B4272*1000+C4272</f>
        <v>61049</v>
      </c>
      <c r="B4272" s="0" t="n">
        <v>61</v>
      </c>
      <c r="C4272" s="0" t="n">
        <v>49</v>
      </c>
      <c r="D4272" s="0" t="n">
        <v>0</v>
      </c>
      <c r="E4272" s="0" t="n">
        <f aca="false">VLOOKUP(B4272,'MSA-Lookup'!$H$2:$I$86,2)</f>
        <v>4480</v>
      </c>
      <c r="F4272" s="0" t="n">
        <f aca="false">IF(C4272&gt;1,IF(C4272&lt;99,VLOOKUP(C4272,'MSA-Lookup'!$H$1:$I$86,2),C4272),C4272)</f>
        <v>7400</v>
      </c>
      <c r="G4272" s="0" t="n">
        <f aca="false">VLOOKUP(E4272,'MSA-Lookup'!$AA$1:$AB$25,2)</f>
        <v>4472</v>
      </c>
      <c r="H4272" s="0" t="n">
        <f aca="false">IF(C4272&gt;1,IF(C4272&lt;99,VLOOKUP(F4272,'MSA-Lookup'!$AA$1:$AB$25,2),C4272),C4272)</f>
        <v>7362</v>
      </c>
    </row>
    <row r="4273" customFormat="false" ht="12.75" hidden="false" customHeight="false" outlineLevel="0" collapsed="false">
      <c r="A4273" s="0" t="n">
        <f aca="false">B4273*1000+C4273</f>
        <v>61050</v>
      </c>
      <c r="B4273" s="0" t="n">
        <v>61</v>
      </c>
      <c r="C4273" s="0" t="n">
        <v>50</v>
      </c>
      <c r="D4273" s="0" t="n">
        <v>0</v>
      </c>
      <c r="E4273" s="0" t="n">
        <f aca="false">VLOOKUP(B4273,'MSA-Lookup'!$H$2:$I$86,2)</f>
        <v>4480</v>
      </c>
      <c r="F4273" s="0" t="n">
        <f aca="false">IF(C4273&gt;1,IF(C4273&lt;99,VLOOKUP(C4273,'MSA-Lookup'!$H$1:$I$86,2),C4273),C4273)</f>
        <v>7400</v>
      </c>
      <c r="G4273" s="0" t="n">
        <f aca="false">VLOOKUP(E4273,'MSA-Lookup'!$AA$1:$AB$25,2)</f>
        <v>4472</v>
      </c>
      <c r="H4273" s="0" t="n">
        <f aca="false">IF(C4273&gt;1,IF(C4273&lt;99,VLOOKUP(F4273,'MSA-Lookup'!$AA$1:$AB$25,2),C4273),C4273)</f>
        <v>7362</v>
      </c>
    </row>
    <row r="4274" customFormat="false" ht="12.75" hidden="false" customHeight="false" outlineLevel="0" collapsed="false">
      <c r="A4274" s="0" t="n">
        <f aca="false">B4274*1000+C4274</f>
        <v>61051</v>
      </c>
      <c r="B4274" s="0" t="n">
        <v>61</v>
      </c>
      <c r="C4274" s="0" t="n">
        <v>51</v>
      </c>
      <c r="D4274" s="0" t="n">
        <v>0</v>
      </c>
      <c r="E4274" s="0" t="n">
        <f aca="false">VLOOKUP(B4274,'MSA-Lookup'!$H$2:$I$86,2)</f>
        <v>4480</v>
      </c>
      <c r="F4274" s="0" t="n">
        <f aca="false">IF(C4274&gt;1,IF(C4274&lt;99,VLOOKUP(C4274,'MSA-Lookup'!$H$1:$I$86,2),C4274),C4274)</f>
        <v>7400</v>
      </c>
      <c r="G4274" s="0" t="n">
        <f aca="false">VLOOKUP(E4274,'MSA-Lookup'!$AA$1:$AB$25,2)</f>
        <v>4472</v>
      </c>
      <c r="H4274" s="0" t="n">
        <f aca="false">IF(C4274&gt;1,IF(C4274&lt;99,VLOOKUP(F4274,'MSA-Lookup'!$AA$1:$AB$25,2),C4274),C4274)</f>
        <v>7362</v>
      </c>
    </row>
    <row r="4275" customFormat="false" ht="12.75" hidden="false" customHeight="false" outlineLevel="0" collapsed="false">
      <c r="A4275" s="0" t="n">
        <f aca="false">B4275*1000+C4275</f>
        <v>61052</v>
      </c>
      <c r="B4275" s="0" t="n">
        <v>61</v>
      </c>
      <c r="C4275" s="0" t="n">
        <v>52</v>
      </c>
      <c r="D4275" s="0" t="n">
        <v>273</v>
      </c>
      <c r="E4275" s="0" t="n">
        <f aca="false">VLOOKUP(B4275,'MSA-Lookup'!$H$2:$I$86,2)</f>
        <v>4480</v>
      </c>
      <c r="F4275" s="0" t="n">
        <f aca="false">IF(C4275&gt;1,IF(C4275&lt;99,VLOOKUP(C4275,'MSA-Lookup'!$H$1:$I$86,2),C4275),C4275)</f>
        <v>4480</v>
      </c>
      <c r="G4275" s="0" t="n">
        <f aca="false">VLOOKUP(E4275,'MSA-Lookup'!$AA$1:$AB$25,2)</f>
        <v>4472</v>
      </c>
      <c r="H4275" s="0" t="n">
        <f aca="false">IF(C4275&gt;1,IF(C4275&lt;99,VLOOKUP(F4275,'MSA-Lookup'!$AA$1:$AB$25,2),C4275),C4275)</f>
        <v>4472</v>
      </c>
    </row>
    <row r="4276" customFormat="false" ht="12.75" hidden="false" customHeight="false" outlineLevel="0" collapsed="false">
      <c r="A4276" s="0" t="n">
        <f aca="false">B4276*1000+C4276</f>
        <v>61053</v>
      </c>
      <c r="B4276" s="0" t="n">
        <v>61</v>
      </c>
      <c r="C4276" s="0" t="n">
        <v>53</v>
      </c>
      <c r="D4276" s="0" t="n">
        <v>0</v>
      </c>
      <c r="E4276" s="0" t="n">
        <f aca="false">VLOOKUP(B4276,'MSA-Lookup'!$H$2:$I$86,2)</f>
        <v>4480</v>
      </c>
      <c r="F4276" s="0" t="n">
        <f aca="false">IF(C4276&gt;1,IF(C4276&lt;99,VLOOKUP(C4276,'MSA-Lookup'!$H$1:$I$86,2),C4276),C4276)</f>
        <v>4480</v>
      </c>
      <c r="G4276" s="0" t="n">
        <f aca="false">VLOOKUP(E4276,'MSA-Lookup'!$AA$1:$AB$25,2)</f>
        <v>4472</v>
      </c>
      <c r="H4276" s="0" t="n">
        <f aca="false">IF(C4276&gt;1,IF(C4276&lt;99,VLOOKUP(F4276,'MSA-Lookup'!$AA$1:$AB$25,2),C4276),C4276)</f>
        <v>4472</v>
      </c>
    </row>
    <row r="4277" customFormat="false" ht="12.75" hidden="false" customHeight="false" outlineLevel="0" collapsed="false">
      <c r="A4277" s="0" t="n">
        <f aca="false">B4277*1000+C4277</f>
        <v>61054</v>
      </c>
      <c r="B4277" s="0" t="n">
        <v>61</v>
      </c>
      <c r="C4277" s="0" t="n">
        <v>54</v>
      </c>
      <c r="D4277" s="0" t="n">
        <v>260</v>
      </c>
      <c r="E4277" s="0" t="n">
        <f aca="false">VLOOKUP(B4277,'MSA-Lookup'!$H$2:$I$86,2)</f>
        <v>4480</v>
      </c>
      <c r="F4277" s="0" t="n">
        <f aca="false">IF(C4277&gt;1,IF(C4277&lt;99,VLOOKUP(C4277,'MSA-Lookup'!$H$1:$I$86,2),C4277),C4277)</f>
        <v>4480</v>
      </c>
      <c r="G4277" s="0" t="n">
        <f aca="false">VLOOKUP(E4277,'MSA-Lookup'!$AA$1:$AB$25,2)</f>
        <v>4472</v>
      </c>
      <c r="H4277" s="0" t="n">
        <f aca="false">IF(C4277&gt;1,IF(C4277&lt;99,VLOOKUP(F4277,'MSA-Lookup'!$AA$1:$AB$25,2),C4277),C4277)</f>
        <v>4472</v>
      </c>
    </row>
    <row r="4278" customFormat="false" ht="12.75" hidden="false" customHeight="false" outlineLevel="0" collapsed="false">
      <c r="A4278" s="0" t="n">
        <f aca="false">B4278*1000+C4278</f>
        <v>61055</v>
      </c>
      <c r="B4278" s="0" t="n">
        <v>61</v>
      </c>
      <c r="C4278" s="0" t="n">
        <v>55</v>
      </c>
      <c r="D4278" s="0" t="n">
        <v>0</v>
      </c>
      <c r="E4278" s="0" t="n">
        <f aca="false">VLOOKUP(B4278,'MSA-Lookup'!$H$2:$I$86,2)</f>
        <v>4480</v>
      </c>
      <c r="F4278" s="0" t="n">
        <f aca="false">IF(C4278&gt;1,IF(C4278&lt;99,VLOOKUP(C4278,'MSA-Lookup'!$H$1:$I$86,2),C4278),C4278)</f>
        <v>4480</v>
      </c>
      <c r="G4278" s="0" t="n">
        <f aca="false">VLOOKUP(E4278,'MSA-Lookup'!$AA$1:$AB$25,2)</f>
        <v>4472</v>
      </c>
      <c r="H4278" s="0" t="n">
        <f aca="false">IF(C4278&gt;1,IF(C4278&lt;99,VLOOKUP(F4278,'MSA-Lookup'!$AA$1:$AB$25,2),C4278),C4278)</f>
        <v>4472</v>
      </c>
    </row>
    <row r="4279" customFormat="false" ht="12.75" hidden="false" customHeight="false" outlineLevel="0" collapsed="false">
      <c r="A4279" s="0" t="n">
        <f aca="false">B4279*1000+C4279</f>
        <v>61056</v>
      </c>
      <c r="B4279" s="0" t="n">
        <v>61</v>
      </c>
      <c r="C4279" s="0" t="n">
        <v>56</v>
      </c>
      <c r="D4279" s="0" t="n">
        <v>819</v>
      </c>
      <c r="E4279" s="0" t="n">
        <f aca="false">VLOOKUP(B4279,'MSA-Lookup'!$H$2:$I$86,2)</f>
        <v>4480</v>
      </c>
      <c r="F4279" s="0" t="n">
        <f aca="false">IF(C4279&gt;1,IF(C4279&lt;99,VLOOKUP(C4279,'MSA-Lookup'!$H$1:$I$86,2),C4279),C4279)</f>
        <v>4480</v>
      </c>
      <c r="G4279" s="0" t="n">
        <f aca="false">VLOOKUP(E4279,'MSA-Lookup'!$AA$1:$AB$25,2)</f>
        <v>4472</v>
      </c>
      <c r="H4279" s="0" t="n">
        <f aca="false">IF(C4279&gt;1,IF(C4279&lt;99,VLOOKUP(F4279,'MSA-Lookup'!$AA$1:$AB$25,2),C4279),C4279)</f>
        <v>4472</v>
      </c>
    </row>
    <row r="4280" customFormat="false" ht="12.75" hidden="false" customHeight="false" outlineLevel="0" collapsed="false">
      <c r="A4280" s="0" t="n">
        <f aca="false">B4280*1000+C4280</f>
        <v>61057</v>
      </c>
      <c r="B4280" s="0" t="n">
        <v>61</v>
      </c>
      <c r="C4280" s="0" t="n">
        <v>57</v>
      </c>
      <c r="D4280" s="0" t="n">
        <v>481</v>
      </c>
      <c r="E4280" s="0" t="n">
        <f aca="false">VLOOKUP(B4280,'MSA-Lookup'!$H$2:$I$86,2)</f>
        <v>4480</v>
      </c>
      <c r="F4280" s="0" t="n">
        <f aca="false">IF(C4280&gt;1,IF(C4280&lt;99,VLOOKUP(C4280,'MSA-Lookup'!$H$1:$I$86,2),C4280),C4280)</f>
        <v>4480</v>
      </c>
      <c r="G4280" s="0" t="n">
        <f aca="false">VLOOKUP(E4280,'MSA-Lookup'!$AA$1:$AB$25,2)</f>
        <v>4472</v>
      </c>
      <c r="H4280" s="0" t="n">
        <f aca="false">IF(C4280&gt;1,IF(C4280&lt;99,VLOOKUP(F4280,'MSA-Lookup'!$AA$1:$AB$25,2),C4280),C4280)</f>
        <v>4472</v>
      </c>
    </row>
    <row r="4281" customFormat="false" ht="12.75" hidden="false" customHeight="false" outlineLevel="0" collapsed="false">
      <c r="A4281" s="0" t="n">
        <f aca="false">B4281*1000+C4281</f>
        <v>61058</v>
      </c>
      <c r="B4281" s="0" t="n">
        <v>61</v>
      </c>
      <c r="C4281" s="0" t="n">
        <v>58</v>
      </c>
      <c r="D4281" s="0" t="n">
        <v>39</v>
      </c>
      <c r="E4281" s="0" t="n">
        <f aca="false">VLOOKUP(B4281,'MSA-Lookup'!$H$2:$I$86,2)</f>
        <v>4480</v>
      </c>
      <c r="F4281" s="0" t="n">
        <f aca="false">IF(C4281&gt;1,IF(C4281&lt;99,VLOOKUP(C4281,'MSA-Lookup'!$H$1:$I$86,2),C4281),C4281)</f>
        <v>4480</v>
      </c>
      <c r="G4281" s="0" t="n">
        <f aca="false">VLOOKUP(E4281,'MSA-Lookup'!$AA$1:$AB$25,2)</f>
        <v>4472</v>
      </c>
      <c r="H4281" s="0" t="n">
        <f aca="false">IF(C4281&gt;1,IF(C4281&lt;99,VLOOKUP(F4281,'MSA-Lookup'!$AA$1:$AB$25,2),C4281),C4281)</f>
        <v>4472</v>
      </c>
    </row>
    <row r="4282" customFormat="false" ht="12.75" hidden="false" customHeight="false" outlineLevel="0" collapsed="false">
      <c r="A4282" s="0" t="n">
        <f aca="false">B4282*1000+C4282</f>
        <v>61059</v>
      </c>
      <c r="B4282" s="0" t="n">
        <v>61</v>
      </c>
      <c r="C4282" s="0" t="n">
        <v>59</v>
      </c>
      <c r="D4282" s="0" t="n">
        <v>0</v>
      </c>
      <c r="E4282" s="0" t="n">
        <f aca="false">VLOOKUP(B4282,'MSA-Lookup'!$H$2:$I$86,2)</f>
        <v>4480</v>
      </c>
      <c r="F4282" s="0" t="n">
        <f aca="false">IF(C4282&gt;1,IF(C4282&lt;99,VLOOKUP(C4282,'MSA-Lookup'!$H$1:$I$86,2),C4282),C4282)</f>
        <v>4480</v>
      </c>
      <c r="G4282" s="0" t="n">
        <f aca="false">VLOOKUP(E4282,'MSA-Lookup'!$AA$1:$AB$25,2)</f>
        <v>4472</v>
      </c>
      <c r="H4282" s="0" t="n">
        <f aca="false">IF(C4282&gt;1,IF(C4282&lt;99,VLOOKUP(F4282,'MSA-Lookup'!$AA$1:$AB$25,2),C4282),C4282)</f>
        <v>4472</v>
      </c>
    </row>
    <row r="4283" customFormat="false" ht="12.75" hidden="false" customHeight="false" outlineLevel="0" collapsed="false">
      <c r="A4283" s="0" t="n">
        <f aca="false">B4283*1000+C4283</f>
        <v>61060</v>
      </c>
      <c r="B4283" s="0" t="n">
        <v>61</v>
      </c>
      <c r="C4283" s="0" t="n">
        <v>60</v>
      </c>
      <c r="D4283" s="0" t="n">
        <v>611</v>
      </c>
      <c r="E4283" s="0" t="n">
        <f aca="false">VLOOKUP(B4283,'MSA-Lookup'!$H$2:$I$86,2)</f>
        <v>4480</v>
      </c>
      <c r="F4283" s="0" t="n">
        <f aca="false">IF(C4283&gt;1,IF(C4283&lt;99,VLOOKUP(C4283,'MSA-Lookup'!$H$1:$I$86,2),C4283),C4283)</f>
        <v>4480</v>
      </c>
      <c r="G4283" s="0" t="n">
        <f aca="false">VLOOKUP(E4283,'MSA-Lookup'!$AA$1:$AB$25,2)</f>
        <v>4472</v>
      </c>
      <c r="H4283" s="0" t="n">
        <f aca="false">IF(C4283&gt;1,IF(C4283&lt;99,VLOOKUP(F4283,'MSA-Lookup'!$AA$1:$AB$25,2),C4283),C4283)</f>
        <v>4472</v>
      </c>
    </row>
    <row r="4284" customFormat="false" ht="12.75" hidden="false" customHeight="false" outlineLevel="0" collapsed="false">
      <c r="A4284" s="0" t="n">
        <f aca="false">B4284*1000+C4284</f>
        <v>61061</v>
      </c>
      <c r="B4284" s="0" t="n">
        <v>61</v>
      </c>
      <c r="C4284" s="0" t="n">
        <v>61</v>
      </c>
      <c r="D4284" s="0" t="n">
        <v>8996</v>
      </c>
      <c r="E4284" s="0" t="n">
        <f aca="false">VLOOKUP(B4284,'MSA-Lookup'!$H$2:$I$86,2)</f>
        <v>4480</v>
      </c>
      <c r="F4284" s="0" t="n">
        <f aca="false">IF(C4284&gt;1,IF(C4284&lt;99,VLOOKUP(C4284,'MSA-Lookup'!$H$1:$I$86,2),C4284),C4284)</f>
        <v>4480</v>
      </c>
      <c r="G4284" s="0" t="n">
        <f aca="false">VLOOKUP(E4284,'MSA-Lookup'!$AA$1:$AB$25,2)</f>
        <v>4472</v>
      </c>
      <c r="H4284" s="0" t="n">
        <f aca="false">IF(C4284&gt;1,IF(C4284&lt;99,VLOOKUP(F4284,'MSA-Lookup'!$AA$1:$AB$25,2),C4284),C4284)</f>
        <v>4472</v>
      </c>
    </row>
    <row r="4285" customFormat="false" ht="12.75" hidden="false" customHeight="false" outlineLevel="0" collapsed="false">
      <c r="A4285" s="0" t="n">
        <f aca="false">B4285*1000+C4285</f>
        <v>61062</v>
      </c>
      <c r="B4285" s="0" t="n">
        <v>61</v>
      </c>
      <c r="C4285" s="0" t="n">
        <v>62</v>
      </c>
      <c r="D4285" s="0" t="n">
        <v>2925</v>
      </c>
      <c r="E4285" s="0" t="n">
        <f aca="false">VLOOKUP(B4285,'MSA-Lookup'!$H$2:$I$86,2)</f>
        <v>4480</v>
      </c>
      <c r="F4285" s="0" t="n">
        <f aca="false">IF(C4285&gt;1,IF(C4285&lt;99,VLOOKUP(C4285,'MSA-Lookup'!$H$1:$I$86,2),C4285),C4285)</f>
        <v>4480</v>
      </c>
      <c r="G4285" s="0" t="n">
        <f aca="false">VLOOKUP(E4285,'MSA-Lookup'!$AA$1:$AB$25,2)</f>
        <v>4472</v>
      </c>
      <c r="H4285" s="0" t="n">
        <f aca="false">IF(C4285&gt;1,IF(C4285&lt;99,VLOOKUP(F4285,'MSA-Lookup'!$AA$1:$AB$25,2),C4285),C4285)</f>
        <v>4472</v>
      </c>
    </row>
    <row r="4286" customFormat="false" ht="12.75" hidden="false" customHeight="false" outlineLevel="0" collapsed="false">
      <c r="A4286" s="0" t="n">
        <f aca="false">B4286*1000+C4286</f>
        <v>61063</v>
      </c>
      <c r="B4286" s="0" t="n">
        <v>61</v>
      </c>
      <c r="C4286" s="0" t="n">
        <v>63</v>
      </c>
      <c r="D4286" s="0" t="n">
        <v>429</v>
      </c>
      <c r="E4286" s="0" t="n">
        <f aca="false">VLOOKUP(B4286,'MSA-Lookup'!$H$2:$I$86,2)</f>
        <v>4480</v>
      </c>
      <c r="F4286" s="0" t="n">
        <f aca="false">IF(C4286&gt;1,IF(C4286&lt;99,VLOOKUP(C4286,'MSA-Lookup'!$H$1:$I$86,2),C4286),C4286)</f>
        <v>4480</v>
      </c>
      <c r="G4286" s="0" t="n">
        <f aca="false">VLOOKUP(E4286,'MSA-Lookup'!$AA$1:$AB$25,2)</f>
        <v>4472</v>
      </c>
      <c r="H4286" s="0" t="n">
        <f aca="false">IF(C4286&gt;1,IF(C4286&lt;99,VLOOKUP(F4286,'MSA-Lookup'!$AA$1:$AB$25,2),C4286),C4286)</f>
        <v>4472</v>
      </c>
    </row>
    <row r="4287" customFormat="false" ht="12.75" hidden="false" customHeight="false" outlineLevel="0" collapsed="false">
      <c r="A4287" s="0" t="n">
        <f aca="false">B4287*1000+C4287</f>
        <v>61064</v>
      </c>
      <c r="B4287" s="0" t="n">
        <v>61</v>
      </c>
      <c r="C4287" s="0" t="n">
        <v>64</v>
      </c>
      <c r="D4287" s="0" t="n">
        <v>13611</v>
      </c>
      <c r="E4287" s="0" t="n">
        <f aca="false">VLOOKUP(B4287,'MSA-Lookup'!$H$2:$I$86,2)</f>
        <v>4480</v>
      </c>
      <c r="F4287" s="0" t="n">
        <f aca="false">IF(C4287&gt;1,IF(C4287&lt;99,VLOOKUP(C4287,'MSA-Lookup'!$H$1:$I$86,2),C4287),C4287)</f>
        <v>4480</v>
      </c>
      <c r="G4287" s="0" t="n">
        <f aca="false">VLOOKUP(E4287,'MSA-Lookup'!$AA$1:$AB$25,2)</f>
        <v>4472</v>
      </c>
      <c r="H4287" s="0" t="n">
        <f aca="false">IF(C4287&gt;1,IF(C4287&lt;99,VLOOKUP(F4287,'MSA-Lookup'!$AA$1:$AB$25,2),C4287),C4287)</f>
        <v>4472</v>
      </c>
    </row>
    <row r="4288" customFormat="false" ht="12.75" hidden="false" customHeight="false" outlineLevel="0" collapsed="false">
      <c r="A4288" s="0" t="n">
        <f aca="false">B4288*1000+C4288</f>
        <v>61065</v>
      </c>
      <c r="B4288" s="0" t="n">
        <v>61</v>
      </c>
      <c r="C4288" s="0" t="n">
        <v>65</v>
      </c>
      <c r="D4288" s="0" t="n">
        <v>19682</v>
      </c>
      <c r="E4288" s="0" t="n">
        <f aca="false">VLOOKUP(B4288,'MSA-Lookup'!$H$2:$I$86,2)</f>
        <v>4480</v>
      </c>
      <c r="F4288" s="0" t="n">
        <f aca="false">IF(C4288&gt;1,IF(C4288&lt;99,VLOOKUP(C4288,'MSA-Lookup'!$H$1:$I$86,2),C4288),C4288)</f>
        <v>4480</v>
      </c>
      <c r="G4288" s="0" t="n">
        <f aca="false">VLOOKUP(E4288,'MSA-Lookup'!$AA$1:$AB$25,2)</f>
        <v>4472</v>
      </c>
      <c r="H4288" s="0" t="n">
        <f aca="false">IF(C4288&gt;1,IF(C4288&lt;99,VLOOKUP(F4288,'MSA-Lookup'!$AA$1:$AB$25,2),C4288),C4288)</f>
        <v>4472</v>
      </c>
    </row>
    <row r="4289" customFormat="false" ht="12.75" hidden="false" customHeight="false" outlineLevel="0" collapsed="false">
      <c r="A4289" s="0" t="n">
        <f aca="false">B4289*1000+C4289</f>
        <v>61066</v>
      </c>
      <c r="B4289" s="0" t="n">
        <v>61</v>
      </c>
      <c r="C4289" s="0" t="n">
        <v>66</v>
      </c>
      <c r="D4289" s="0" t="n">
        <v>1300</v>
      </c>
      <c r="E4289" s="0" t="n">
        <f aca="false">VLOOKUP(B4289,'MSA-Lookup'!$H$2:$I$86,2)</f>
        <v>4480</v>
      </c>
      <c r="F4289" s="0" t="n">
        <f aca="false">IF(C4289&gt;1,IF(C4289&lt;99,VLOOKUP(C4289,'MSA-Lookup'!$H$1:$I$86,2),C4289),C4289)</f>
        <v>4480</v>
      </c>
      <c r="G4289" s="0" t="n">
        <f aca="false">VLOOKUP(E4289,'MSA-Lookup'!$AA$1:$AB$25,2)</f>
        <v>4472</v>
      </c>
      <c r="H4289" s="0" t="n">
        <f aca="false">IF(C4289&gt;1,IF(C4289&lt;99,VLOOKUP(F4289,'MSA-Lookup'!$AA$1:$AB$25,2),C4289),C4289)</f>
        <v>4472</v>
      </c>
    </row>
    <row r="4290" customFormat="false" ht="12.75" hidden="false" customHeight="false" outlineLevel="0" collapsed="false">
      <c r="A4290" s="0" t="n">
        <f aca="false">B4290*1000+C4290</f>
        <v>61067</v>
      </c>
      <c r="B4290" s="0" t="n">
        <v>61</v>
      </c>
      <c r="C4290" s="0" t="n">
        <v>67</v>
      </c>
      <c r="D4290" s="0" t="n">
        <v>195</v>
      </c>
      <c r="E4290" s="0" t="n">
        <f aca="false">VLOOKUP(B4290,'MSA-Lookup'!$H$2:$I$86,2)</f>
        <v>4480</v>
      </c>
      <c r="F4290" s="0" t="n">
        <f aca="false">IF(C4290&gt;1,IF(C4290&lt;99,VLOOKUP(C4290,'MSA-Lookup'!$H$1:$I$86,2),C4290),C4290)</f>
        <v>6000</v>
      </c>
      <c r="G4290" s="0" t="n">
        <f aca="false">VLOOKUP(E4290,'MSA-Lookup'!$AA$1:$AB$25,2)</f>
        <v>4472</v>
      </c>
      <c r="H4290" s="0" t="n">
        <f aca="false">IF(C4290&gt;1,IF(C4290&lt;99,VLOOKUP(F4290,'MSA-Lookup'!$AA$1:$AB$25,2),C4290),C4290)</f>
        <v>4472</v>
      </c>
    </row>
    <row r="4291" customFormat="false" ht="12.75" hidden="false" customHeight="false" outlineLevel="0" collapsed="false">
      <c r="A4291" s="0" t="n">
        <f aca="false">B4291*1000+C4291</f>
        <v>61068</v>
      </c>
      <c r="B4291" s="0" t="n">
        <v>61</v>
      </c>
      <c r="C4291" s="0" t="n">
        <v>68</v>
      </c>
      <c r="D4291" s="0" t="n">
        <v>0</v>
      </c>
      <c r="E4291" s="0" t="n">
        <f aca="false">VLOOKUP(B4291,'MSA-Lookup'!$H$2:$I$86,2)</f>
        <v>4480</v>
      </c>
      <c r="F4291" s="0" t="n">
        <f aca="false">IF(C4291&gt;1,IF(C4291&lt;99,VLOOKUP(C4291,'MSA-Lookup'!$H$1:$I$86,2),C4291),C4291)</f>
        <v>6780</v>
      </c>
      <c r="G4291" s="0" t="n">
        <f aca="false">VLOOKUP(E4291,'MSA-Lookup'!$AA$1:$AB$25,2)</f>
        <v>4472</v>
      </c>
      <c r="H4291" s="0" t="n">
        <f aca="false">IF(C4291&gt;1,IF(C4291&lt;99,VLOOKUP(F4291,'MSA-Lookup'!$AA$1:$AB$25,2),C4291),C4291)</f>
        <v>4472</v>
      </c>
    </row>
    <row r="4292" customFormat="false" ht="12.75" hidden="false" customHeight="false" outlineLevel="0" collapsed="false">
      <c r="A4292" s="0" t="n">
        <f aca="false">B4292*1000+C4292</f>
        <v>61069</v>
      </c>
      <c r="B4292" s="0" t="n">
        <v>61</v>
      </c>
      <c r="C4292" s="0" t="n">
        <v>69</v>
      </c>
      <c r="D4292" s="0" t="n">
        <v>156</v>
      </c>
      <c r="E4292" s="0" t="n">
        <f aca="false">VLOOKUP(B4292,'MSA-Lookup'!$H$2:$I$86,2)</f>
        <v>4480</v>
      </c>
      <c r="F4292" s="0" t="n">
        <f aca="false">IF(C4292&gt;1,IF(C4292&lt;99,VLOOKUP(C4292,'MSA-Lookup'!$H$1:$I$86,2),C4292),C4292)</f>
        <v>6780</v>
      </c>
      <c r="G4292" s="0" t="n">
        <f aca="false">VLOOKUP(E4292,'MSA-Lookup'!$AA$1:$AB$25,2)</f>
        <v>4472</v>
      </c>
      <c r="H4292" s="0" t="n">
        <f aca="false">IF(C4292&gt;1,IF(C4292&lt;99,VLOOKUP(F4292,'MSA-Lookup'!$AA$1:$AB$25,2),C4292),C4292)</f>
        <v>4472</v>
      </c>
    </row>
    <row r="4293" customFormat="false" ht="12.75" hidden="false" customHeight="false" outlineLevel="0" collapsed="false">
      <c r="A4293" s="0" t="n">
        <f aca="false">B4293*1000+C4293</f>
        <v>61070</v>
      </c>
      <c r="B4293" s="0" t="n">
        <v>61</v>
      </c>
      <c r="C4293" s="0" t="n">
        <v>70</v>
      </c>
      <c r="D4293" s="0" t="n">
        <v>0</v>
      </c>
      <c r="E4293" s="0" t="n">
        <f aca="false">VLOOKUP(B4293,'MSA-Lookup'!$H$2:$I$86,2)</f>
        <v>4480</v>
      </c>
      <c r="F4293" s="0" t="n">
        <f aca="false">IF(C4293&gt;1,IF(C4293&lt;99,VLOOKUP(C4293,'MSA-Lookup'!$H$1:$I$86,2),C4293),C4293)</f>
        <v>6780</v>
      </c>
      <c r="G4293" s="0" t="n">
        <f aca="false">VLOOKUP(E4293,'MSA-Lookup'!$AA$1:$AB$25,2)</f>
        <v>4472</v>
      </c>
      <c r="H4293" s="0" t="n">
        <f aca="false">IF(C4293&gt;1,IF(C4293&lt;99,VLOOKUP(F4293,'MSA-Lookup'!$AA$1:$AB$25,2),C4293),C4293)</f>
        <v>4472</v>
      </c>
    </row>
    <row r="4294" customFormat="false" ht="12.75" hidden="false" customHeight="false" outlineLevel="0" collapsed="false">
      <c r="A4294" s="0" t="n">
        <f aca="false">B4294*1000+C4294</f>
        <v>61071</v>
      </c>
      <c r="B4294" s="0" t="n">
        <v>61</v>
      </c>
      <c r="C4294" s="0" t="n">
        <v>71</v>
      </c>
      <c r="D4294" s="0" t="n">
        <v>299</v>
      </c>
      <c r="E4294" s="0" t="n">
        <f aca="false">VLOOKUP(B4294,'MSA-Lookup'!$H$2:$I$86,2)</f>
        <v>4480</v>
      </c>
      <c r="F4294" s="0" t="n">
        <f aca="false">IF(C4294&gt;1,IF(C4294&lt;99,VLOOKUP(C4294,'MSA-Lookup'!$H$1:$I$86,2),C4294),C4294)</f>
        <v>6780</v>
      </c>
      <c r="G4294" s="0" t="n">
        <f aca="false">VLOOKUP(E4294,'MSA-Lookup'!$AA$1:$AB$25,2)</f>
        <v>4472</v>
      </c>
      <c r="H4294" s="0" t="n">
        <f aca="false">IF(C4294&gt;1,IF(C4294&lt;99,VLOOKUP(F4294,'MSA-Lookup'!$AA$1:$AB$25,2),C4294),C4294)</f>
        <v>4472</v>
      </c>
    </row>
    <row r="4295" customFormat="false" ht="12.75" hidden="false" customHeight="false" outlineLevel="0" collapsed="false">
      <c r="A4295" s="0" t="n">
        <f aca="false">B4295*1000+C4295</f>
        <v>61072</v>
      </c>
      <c r="B4295" s="0" t="n">
        <v>61</v>
      </c>
      <c r="C4295" s="0" t="n">
        <v>72</v>
      </c>
      <c r="D4295" s="0" t="n">
        <v>0</v>
      </c>
      <c r="E4295" s="0" t="n">
        <f aca="false">VLOOKUP(B4295,'MSA-Lookup'!$H$2:$I$86,2)</f>
        <v>4480</v>
      </c>
      <c r="F4295" s="0" t="n">
        <f aca="false">IF(C4295&gt;1,IF(C4295&lt;99,VLOOKUP(C4295,'MSA-Lookup'!$H$1:$I$86,2),C4295),C4295)</f>
        <v>6780</v>
      </c>
      <c r="G4295" s="0" t="n">
        <f aca="false">VLOOKUP(E4295,'MSA-Lookup'!$AA$1:$AB$25,2)</f>
        <v>4472</v>
      </c>
      <c r="H4295" s="0" t="n">
        <f aca="false">IF(C4295&gt;1,IF(C4295&lt;99,VLOOKUP(F4295,'MSA-Lookup'!$AA$1:$AB$25,2),C4295),C4295)</f>
        <v>4472</v>
      </c>
    </row>
    <row r="4296" customFormat="false" ht="12.75" hidden="false" customHeight="false" outlineLevel="0" collapsed="false">
      <c r="A4296" s="0" t="n">
        <f aca="false">B4296*1000+C4296</f>
        <v>61073</v>
      </c>
      <c r="B4296" s="0" t="n">
        <v>61</v>
      </c>
      <c r="C4296" s="0" t="n">
        <v>73</v>
      </c>
      <c r="D4296" s="0" t="n">
        <v>0</v>
      </c>
      <c r="E4296" s="0" t="n">
        <f aca="false">VLOOKUP(B4296,'MSA-Lookup'!$H$2:$I$86,2)</f>
        <v>4480</v>
      </c>
      <c r="F4296" s="0" t="n">
        <f aca="false">IF(C4296&gt;1,IF(C4296&lt;99,VLOOKUP(C4296,'MSA-Lookup'!$H$1:$I$86,2),C4296),C4296)</f>
        <v>8720</v>
      </c>
      <c r="G4296" s="0" t="n">
        <f aca="false">VLOOKUP(E4296,'MSA-Lookup'!$AA$1:$AB$25,2)</f>
        <v>4472</v>
      </c>
      <c r="H4296" s="0" t="n">
        <f aca="false">IF(C4296&gt;1,IF(C4296&lt;99,VLOOKUP(F4296,'MSA-Lookup'!$AA$1:$AB$25,2),C4296),C4296)</f>
        <v>7362</v>
      </c>
    </row>
    <row r="4297" customFormat="false" ht="12.75" hidden="false" customHeight="false" outlineLevel="0" collapsed="false">
      <c r="A4297" s="0" t="n">
        <f aca="false">B4297*1000+C4297</f>
        <v>61075</v>
      </c>
      <c r="B4297" s="0" t="n">
        <v>61</v>
      </c>
      <c r="C4297" s="0" t="n">
        <v>75</v>
      </c>
      <c r="D4297" s="0" t="n">
        <v>0</v>
      </c>
      <c r="E4297" s="0" t="n">
        <f aca="false">VLOOKUP(B4297,'MSA-Lookup'!$H$2:$I$86,2)</f>
        <v>4480</v>
      </c>
      <c r="F4297" s="0" t="n">
        <f aca="false">IF(C4297&gt;1,IF(C4297&lt;99,VLOOKUP(C4297,'MSA-Lookup'!$H$1:$I$86,2),C4297),C4297)</f>
        <v>8780</v>
      </c>
      <c r="G4297" s="0" t="n">
        <f aca="false">VLOOKUP(E4297,'MSA-Lookup'!$AA$1:$AB$25,2)</f>
        <v>4472</v>
      </c>
      <c r="H4297" s="0" t="n">
        <f aca="false">IF(C4297&gt;1,IF(C4297&lt;99,VLOOKUP(F4297,'MSA-Lookup'!$AA$1:$AB$25,2),C4297),C4297)</f>
        <v>8780</v>
      </c>
    </row>
    <row r="4298" customFormat="false" ht="12.75" hidden="false" customHeight="false" outlineLevel="0" collapsed="false">
      <c r="A4298" s="0" t="n">
        <f aca="false">B4298*1000+C4298</f>
        <v>61076</v>
      </c>
      <c r="B4298" s="0" t="n">
        <v>61</v>
      </c>
      <c r="C4298" s="0" t="n">
        <v>76</v>
      </c>
      <c r="D4298" s="0" t="n">
        <v>0</v>
      </c>
      <c r="E4298" s="0" t="n">
        <f aca="false">VLOOKUP(B4298,'MSA-Lookup'!$H$2:$I$86,2)</f>
        <v>4480</v>
      </c>
      <c r="F4298" s="0" t="n">
        <f aca="false">IF(C4298&gt;1,IF(C4298&lt;99,VLOOKUP(C4298,'MSA-Lookup'!$H$1:$I$86,2),C4298),C4298)</f>
        <v>7485</v>
      </c>
      <c r="G4298" s="0" t="n">
        <f aca="false">VLOOKUP(E4298,'MSA-Lookup'!$AA$1:$AB$25,2)</f>
        <v>4472</v>
      </c>
      <c r="H4298" s="0" t="n">
        <f aca="false">IF(C4298&gt;1,IF(C4298&lt;99,VLOOKUP(F4298,'MSA-Lookup'!$AA$1:$AB$25,2),C4298),C4298)</f>
        <v>7362</v>
      </c>
    </row>
    <row r="4299" customFormat="false" ht="12.75" hidden="false" customHeight="false" outlineLevel="0" collapsed="false">
      <c r="A4299" s="0" t="n">
        <f aca="false">B4299*1000+C4299</f>
        <v>61077</v>
      </c>
      <c r="B4299" s="0" t="n">
        <v>61</v>
      </c>
      <c r="C4299" s="0" t="n">
        <v>77</v>
      </c>
      <c r="D4299" s="0" t="n">
        <v>0</v>
      </c>
      <c r="E4299" s="0" t="n">
        <f aca="false">VLOOKUP(B4299,'MSA-Lookup'!$H$2:$I$86,2)</f>
        <v>4480</v>
      </c>
      <c r="F4299" s="0" t="n">
        <f aca="false">IF(C4299&gt;1,IF(C4299&lt;99,VLOOKUP(C4299,'MSA-Lookup'!$H$1:$I$86,2),C4299),C4299)</f>
        <v>9999</v>
      </c>
      <c r="G4299" s="0" t="n">
        <f aca="false">VLOOKUP(E4299,'MSA-Lookup'!$AA$1:$AB$25,2)</f>
        <v>4472</v>
      </c>
      <c r="H4299" s="0" t="n">
        <f aca="false">IF(C4299&gt;1,IF(C4299&lt;99,VLOOKUP(F4299,'MSA-Lookup'!$AA$1:$AB$25,2),C4299),C4299)</f>
        <v>9999</v>
      </c>
    </row>
    <row r="4300" customFormat="false" ht="12.75" hidden="false" customHeight="false" outlineLevel="0" collapsed="false">
      <c r="A4300" s="0" t="n">
        <f aca="false">B4300*1000+C4300</f>
        <v>61078</v>
      </c>
      <c r="B4300" s="0" t="n">
        <v>61</v>
      </c>
      <c r="C4300" s="0" t="n">
        <v>78</v>
      </c>
      <c r="D4300" s="0" t="n">
        <v>0</v>
      </c>
      <c r="E4300" s="0" t="n">
        <f aca="false">VLOOKUP(B4300,'MSA-Lookup'!$H$2:$I$86,2)</f>
        <v>4480</v>
      </c>
      <c r="F4300" s="0" t="n">
        <f aca="false">IF(C4300&gt;1,IF(C4300&lt;99,VLOOKUP(C4300,'MSA-Lookup'!$H$1:$I$86,2),C4300),C4300)</f>
        <v>680</v>
      </c>
      <c r="G4300" s="0" t="n">
        <f aca="false">VLOOKUP(E4300,'MSA-Lookup'!$AA$1:$AB$25,2)</f>
        <v>4472</v>
      </c>
      <c r="H4300" s="0" t="n">
        <f aca="false">IF(C4300&gt;1,IF(C4300&lt;99,VLOOKUP(F4300,'MSA-Lookup'!$AA$1:$AB$25,2),C4300),C4300)</f>
        <v>680</v>
      </c>
    </row>
    <row r="4301" customFormat="false" ht="12.75" hidden="false" customHeight="false" outlineLevel="0" collapsed="false">
      <c r="A4301" s="0" t="n">
        <f aca="false">B4301*1000+C4301</f>
        <v>61079</v>
      </c>
      <c r="B4301" s="0" t="n">
        <v>61</v>
      </c>
      <c r="C4301" s="0" t="n">
        <v>79</v>
      </c>
      <c r="D4301" s="0" t="n">
        <v>0</v>
      </c>
      <c r="E4301" s="0" t="n">
        <f aca="false">VLOOKUP(B4301,'MSA-Lookup'!$H$2:$I$86,2)</f>
        <v>4480</v>
      </c>
      <c r="F4301" s="0" t="n">
        <f aca="false">IF(C4301&gt;1,IF(C4301&lt;99,VLOOKUP(C4301,'MSA-Lookup'!$H$1:$I$86,2),C4301),C4301)</f>
        <v>680</v>
      </c>
      <c r="G4301" s="0" t="n">
        <f aca="false">VLOOKUP(E4301,'MSA-Lookup'!$AA$1:$AB$25,2)</f>
        <v>4472</v>
      </c>
      <c r="H4301" s="0" t="n">
        <f aca="false">IF(C4301&gt;1,IF(C4301&lt;99,VLOOKUP(F4301,'MSA-Lookup'!$AA$1:$AB$25,2),C4301),C4301)</f>
        <v>680</v>
      </c>
    </row>
    <row r="4302" customFormat="false" ht="12.75" hidden="false" customHeight="false" outlineLevel="0" collapsed="false">
      <c r="A4302" s="0" t="n">
        <f aca="false">B4302*1000+C4302</f>
        <v>61080</v>
      </c>
      <c r="B4302" s="0" t="n">
        <v>61</v>
      </c>
      <c r="C4302" s="0" t="n">
        <v>80</v>
      </c>
      <c r="D4302" s="0" t="n">
        <v>0</v>
      </c>
      <c r="E4302" s="0" t="n">
        <f aca="false">VLOOKUP(B4302,'MSA-Lookup'!$H$2:$I$86,2)</f>
        <v>4480</v>
      </c>
      <c r="F4302" s="0" t="n">
        <f aca="false">IF(C4302&gt;1,IF(C4302&lt;99,VLOOKUP(C4302,'MSA-Lookup'!$H$1:$I$86,2),C4302),C4302)</f>
        <v>9999</v>
      </c>
      <c r="G4302" s="0" t="n">
        <f aca="false">VLOOKUP(E4302,'MSA-Lookup'!$AA$1:$AB$25,2)</f>
        <v>4472</v>
      </c>
      <c r="H4302" s="0" t="n">
        <f aca="false">IF(C4302&gt;1,IF(C4302&lt;99,VLOOKUP(F4302,'MSA-Lookup'!$AA$1:$AB$25,2),C4302),C4302)</f>
        <v>9999</v>
      </c>
    </row>
    <row r="4303" customFormat="false" ht="12.75" hidden="false" customHeight="false" outlineLevel="0" collapsed="false">
      <c r="A4303" s="0" t="n">
        <f aca="false">B4303*1000+C4303</f>
        <v>61081</v>
      </c>
      <c r="B4303" s="0" t="n">
        <v>61</v>
      </c>
      <c r="C4303" s="0" t="n">
        <v>81</v>
      </c>
      <c r="D4303" s="0" t="n">
        <v>117</v>
      </c>
      <c r="E4303" s="0" t="n">
        <f aca="false">VLOOKUP(B4303,'MSA-Lookup'!$H$2:$I$86,2)</f>
        <v>4480</v>
      </c>
      <c r="F4303" s="0" t="n">
        <f aca="false">IF(C4303&gt;1,IF(C4303&lt;99,VLOOKUP(C4303,'MSA-Lookup'!$H$1:$I$86,2),C4303),C4303)</f>
        <v>6780</v>
      </c>
      <c r="G4303" s="0" t="n">
        <f aca="false">VLOOKUP(E4303,'MSA-Lookup'!$AA$1:$AB$25,2)</f>
        <v>4472</v>
      </c>
      <c r="H4303" s="0" t="n">
        <f aca="false">IF(C4303&gt;1,IF(C4303&lt;99,VLOOKUP(F4303,'MSA-Lookup'!$AA$1:$AB$25,2),C4303),C4303)</f>
        <v>4472</v>
      </c>
    </row>
    <row r="4304" customFormat="false" ht="12.75" hidden="false" customHeight="false" outlineLevel="0" collapsed="false">
      <c r="A4304" s="0" t="n">
        <f aca="false">B4304*1000+C4304</f>
        <v>61082</v>
      </c>
      <c r="B4304" s="0" t="n">
        <v>61</v>
      </c>
      <c r="C4304" s="0" t="n">
        <v>82</v>
      </c>
      <c r="D4304" s="0" t="n">
        <v>0</v>
      </c>
      <c r="E4304" s="0" t="n">
        <f aca="false">VLOOKUP(B4304,'MSA-Lookup'!$H$2:$I$86,2)</f>
        <v>4480</v>
      </c>
      <c r="F4304" s="0" t="n">
        <f aca="false">IF(C4304&gt;1,IF(C4304&lt;99,VLOOKUP(C4304,'MSA-Lookup'!$H$1:$I$86,2),C4304),C4304)</f>
        <v>6780</v>
      </c>
      <c r="G4304" s="0" t="n">
        <f aca="false">VLOOKUP(E4304,'MSA-Lookup'!$AA$1:$AB$25,2)</f>
        <v>4472</v>
      </c>
      <c r="H4304" s="0" t="n">
        <f aca="false">IF(C4304&gt;1,IF(C4304&lt;99,VLOOKUP(F4304,'MSA-Lookup'!$AA$1:$AB$25,2),C4304),C4304)</f>
        <v>4472</v>
      </c>
    </row>
    <row r="4305" customFormat="false" ht="12.75" hidden="false" customHeight="false" outlineLevel="0" collapsed="false">
      <c r="A4305" s="0" t="n">
        <f aca="false">B4305*1000+C4305</f>
        <v>61083</v>
      </c>
      <c r="B4305" s="0" t="n">
        <v>61</v>
      </c>
      <c r="C4305" s="0" t="n">
        <v>83</v>
      </c>
      <c r="D4305" s="0" t="n">
        <v>0</v>
      </c>
      <c r="E4305" s="0" t="n">
        <f aca="false">VLOOKUP(B4305,'MSA-Lookup'!$H$2:$I$86,2)</f>
        <v>4480</v>
      </c>
      <c r="F4305" s="0" t="n">
        <f aca="false">IF(C4305&gt;1,IF(C4305&lt;99,VLOOKUP(C4305,'MSA-Lookup'!$H$1:$I$86,2),C4305),C4305)</f>
        <v>6000</v>
      </c>
      <c r="G4305" s="0" t="n">
        <f aca="false">VLOOKUP(E4305,'MSA-Lookup'!$AA$1:$AB$25,2)</f>
        <v>4472</v>
      </c>
      <c r="H4305" s="0" t="n">
        <f aca="false">IF(C4305&gt;1,IF(C4305&lt;99,VLOOKUP(F4305,'MSA-Lookup'!$AA$1:$AB$25,2),C4305),C4305)</f>
        <v>4472</v>
      </c>
    </row>
    <row r="4306" customFormat="false" ht="12.75" hidden="false" customHeight="false" outlineLevel="0" collapsed="false">
      <c r="A4306" s="0" t="n">
        <f aca="false">B4306*1000+C4306</f>
        <v>61084</v>
      </c>
      <c r="B4306" s="0" t="n">
        <v>61</v>
      </c>
      <c r="C4306" s="0" t="n">
        <v>84</v>
      </c>
      <c r="D4306" s="0" t="n">
        <v>117</v>
      </c>
      <c r="E4306" s="0" t="n">
        <f aca="false">VLOOKUP(B4306,'MSA-Lookup'!$H$2:$I$86,2)</f>
        <v>4480</v>
      </c>
      <c r="F4306" s="0" t="n">
        <f aca="false">IF(C4306&gt;1,IF(C4306&lt;99,VLOOKUP(C4306,'MSA-Lookup'!$H$1:$I$86,2),C4306),C4306)</f>
        <v>360</v>
      </c>
      <c r="G4306" s="0" t="n">
        <f aca="false">VLOOKUP(E4306,'MSA-Lookup'!$AA$1:$AB$25,2)</f>
        <v>4472</v>
      </c>
      <c r="H4306" s="0" t="n">
        <f aca="false">IF(C4306&gt;1,IF(C4306&lt;99,VLOOKUP(F4306,'MSA-Lookup'!$AA$1:$AB$25,2),C4306),C4306)</f>
        <v>4472</v>
      </c>
    </row>
    <row r="4307" customFormat="false" ht="12.75" hidden="false" customHeight="false" outlineLevel="0" collapsed="false">
      <c r="A4307" s="0" t="n">
        <f aca="false">B4307*1000+C4307</f>
        <v>61085</v>
      </c>
      <c r="B4307" s="0" t="n">
        <v>61</v>
      </c>
      <c r="C4307" s="0" t="n">
        <v>85</v>
      </c>
      <c r="D4307" s="0" t="n">
        <v>0</v>
      </c>
      <c r="E4307" s="0" t="n">
        <f aca="false">VLOOKUP(B4307,'MSA-Lookup'!$H$2:$I$86,2)</f>
        <v>4480</v>
      </c>
      <c r="F4307" s="0" t="n">
        <f aca="false">IF(C4307&gt;1,IF(C4307&lt;99,VLOOKUP(C4307,'MSA-Lookup'!$H$1:$I$86,2),C4307),C4307)</f>
        <v>8120</v>
      </c>
      <c r="G4307" s="0" t="n">
        <f aca="false">VLOOKUP(E4307,'MSA-Lookup'!$AA$1:$AB$25,2)</f>
        <v>4472</v>
      </c>
      <c r="H4307" s="0" t="n">
        <f aca="false">IF(C4307&gt;1,IF(C4307&lt;99,VLOOKUP(F4307,'MSA-Lookup'!$AA$1:$AB$25,2),C4307),C4307)</f>
        <v>8120</v>
      </c>
    </row>
    <row r="4308" customFormat="false" ht="12.75" hidden="false" customHeight="false" outlineLevel="0" collapsed="false">
      <c r="A4308" s="0" t="n">
        <f aca="false">B4308*1000+C4308</f>
        <v>61858</v>
      </c>
      <c r="B4308" s="0" t="n">
        <v>61</v>
      </c>
      <c r="C4308" s="0" t="n">
        <v>858</v>
      </c>
      <c r="D4308" s="0" t="n">
        <v>0</v>
      </c>
      <c r="E4308" s="0" t="n">
        <f aca="false">VLOOKUP(B4308,'MSA-Lookup'!$H$2:$I$86,2)</f>
        <v>4480</v>
      </c>
      <c r="F4308" s="0" t="n">
        <f aca="false">IF(C4308&gt;1,IF(C4308&lt;99,VLOOKUP(C4308,'MSA-Lookup'!$H$1:$I$86,2),C4308),C4308)</f>
        <v>858</v>
      </c>
      <c r="G4308" s="0" t="n">
        <f aca="false">VLOOKUP(E4308,'MSA-Lookup'!$AA$1:$AB$25,2)</f>
        <v>4472</v>
      </c>
      <c r="H4308" s="0" t="n">
        <f aca="false">IF(C4308&gt;1,IF(C4308&lt;99,VLOOKUP(F4308,'MSA-Lookup'!$AA$1:$AB$25,2),C4308),C4308)</f>
        <v>858</v>
      </c>
    </row>
    <row r="4309" customFormat="false" ht="12.75" hidden="false" customHeight="false" outlineLevel="0" collapsed="false">
      <c r="A4309" s="0" t="n">
        <f aca="false">B4309*1000+C4309</f>
        <v>61983</v>
      </c>
      <c r="B4309" s="0" t="n">
        <v>61</v>
      </c>
      <c r="C4309" s="0" t="n">
        <v>983</v>
      </c>
      <c r="D4309" s="0" t="n">
        <v>0</v>
      </c>
      <c r="E4309" s="0" t="n">
        <f aca="false">VLOOKUP(B4309,'MSA-Lookup'!$H$2:$I$86,2)</f>
        <v>4480</v>
      </c>
      <c r="F4309" s="0" t="n">
        <f aca="false">IF(C4309&gt;1,IF(C4309&lt;99,VLOOKUP(C4309,'MSA-Lookup'!$H$1:$I$86,2),C4309),C4309)</f>
        <v>983</v>
      </c>
      <c r="G4309" s="0" t="n">
        <f aca="false">VLOOKUP(E4309,'MSA-Lookup'!$AA$1:$AB$25,2)</f>
        <v>4472</v>
      </c>
      <c r="H4309" s="0" t="n">
        <f aca="false">IF(C4309&gt;1,IF(C4309&lt;99,VLOOKUP(F4309,'MSA-Lookup'!$AA$1:$AB$25,2),C4309),C4309)</f>
        <v>983</v>
      </c>
    </row>
    <row r="4310" customFormat="false" ht="12.75" hidden="false" customHeight="false" outlineLevel="0" collapsed="false">
      <c r="A4310" s="0" t="n">
        <f aca="false">B4310*1000+C4310</f>
        <v>61999</v>
      </c>
      <c r="B4310" s="0" t="n">
        <v>61</v>
      </c>
      <c r="C4310" s="0" t="n">
        <v>999</v>
      </c>
      <c r="D4310" s="0" t="n">
        <v>0</v>
      </c>
      <c r="E4310" s="0" t="n">
        <f aca="false">VLOOKUP(B4310,'MSA-Lookup'!$H$2:$I$86,2)</f>
        <v>4480</v>
      </c>
      <c r="F4310" s="0" t="n">
        <f aca="false">IF(C4310&gt;1,IF(C4310&lt;99,VLOOKUP(C4310,'MSA-Lookup'!$H$1:$I$86,2),C4310),C4310)</f>
        <v>999</v>
      </c>
      <c r="G4310" s="0" t="n">
        <f aca="false">VLOOKUP(E4310,'MSA-Lookup'!$AA$1:$AB$25,2)</f>
        <v>4472</v>
      </c>
      <c r="H4310" s="0" t="n">
        <f aca="false">IF(C4310&gt;1,IF(C4310&lt;99,VLOOKUP(F4310,'MSA-Lookup'!$AA$1:$AB$25,2),C4310),C4310)</f>
        <v>999</v>
      </c>
    </row>
    <row r="4311" customFormat="false" ht="12.75" hidden="false" customHeight="false" outlineLevel="0" collapsed="false">
      <c r="A4311" s="0" t="n">
        <f aca="false">B4311*1000+C4311</f>
        <v>62000</v>
      </c>
      <c r="B4311" s="0" t="n">
        <v>62</v>
      </c>
      <c r="C4311" s="0" t="n">
        <v>0</v>
      </c>
      <c r="D4311" s="0" t="n">
        <v>56004</v>
      </c>
      <c r="E4311" s="0" t="n">
        <f aca="false">VLOOKUP(B4311,'MSA-Lookup'!$H$2:$I$86,2)</f>
        <v>4480</v>
      </c>
      <c r="F4311" s="0" t="n">
        <f aca="false">IF(C4311&gt;1,IF(C4311&lt;99,VLOOKUP(C4311,'MSA-Lookup'!$H$1:$I$86,2),C4311),C4311)</f>
        <v>0</v>
      </c>
      <c r="G4311" s="0" t="n">
        <f aca="false">VLOOKUP(E4311,'MSA-Lookup'!$AA$1:$AB$25,2)</f>
        <v>4472</v>
      </c>
      <c r="H4311" s="0" t="n">
        <f aca="false">IF(C4311&gt;1,IF(C4311&lt;99,VLOOKUP(F4311,'MSA-Lookup'!$AA$1:$AB$25,2),C4311),C4311)</f>
        <v>0</v>
      </c>
    </row>
    <row r="4312" customFormat="false" ht="12.75" hidden="false" customHeight="false" outlineLevel="0" collapsed="false">
      <c r="A4312" s="0" t="n">
        <f aca="false">B4312*1000+C4312</f>
        <v>62001</v>
      </c>
      <c r="B4312" s="0" t="n">
        <v>62</v>
      </c>
      <c r="C4312" s="0" t="n">
        <v>1</v>
      </c>
      <c r="D4312" s="0" t="n">
        <v>156</v>
      </c>
      <c r="E4312" s="0" t="n">
        <f aca="false">VLOOKUP(B4312,'MSA-Lookup'!$H$2:$I$86,2)</f>
        <v>4480</v>
      </c>
      <c r="F4312" s="0" t="n">
        <f aca="false">IF(C4312&gt;1,IF(C4312&lt;99,VLOOKUP(C4312,'MSA-Lookup'!$H$1:$I$86,2),C4312),C4312)</f>
        <v>1</v>
      </c>
      <c r="G4312" s="0" t="n">
        <f aca="false">VLOOKUP(E4312,'MSA-Lookup'!$AA$1:$AB$25,2)</f>
        <v>4472</v>
      </c>
      <c r="H4312" s="0" t="n">
        <f aca="false">IF(C4312&gt;1,IF(C4312&lt;99,VLOOKUP(F4312,'MSA-Lookup'!$AA$1:$AB$25,2),C4312),C4312)</f>
        <v>1</v>
      </c>
    </row>
    <row r="4313" customFormat="false" ht="12.75" hidden="false" customHeight="false" outlineLevel="0" collapsed="false">
      <c r="A4313" s="0" t="n">
        <f aca="false">B4313*1000+C4313</f>
        <v>62002</v>
      </c>
      <c r="B4313" s="0" t="n">
        <v>62</v>
      </c>
      <c r="C4313" s="0" t="n">
        <v>2</v>
      </c>
      <c r="D4313" s="0" t="n">
        <v>104</v>
      </c>
      <c r="E4313" s="0" t="n">
        <f aca="false">VLOOKUP(B4313,'MSA-Lookup'!$H$2:$I$86,2)</f>
        <v>4480</v>
      </c>
      <c r="F4313" s="0" t="n">
        <f aca="false">IF(C4313&gt;1,IF(C4313&lt;99,VLOOKUP(C4313,'MSA-Lookup'!$H$1:$I$86,2),C4313),C4313)</f>
        <v>9999</v>
      </c>
      <c r="G4313" s="0" t="n">
        <f aca="false">VLOOKUP(E4313,'MSA-Lookup'!$AA$1:$AB$25,2)</f>
        <v>4472</v>
      </c>
      <c r="H4313" s="0" t="n">
        <f aca="false">IF(C4313&gt;1,IF(C4313&lt;99,VLOOKUP(F4313,'MSA-Lookup'!$AA$1:$AB$25,2),C4313),C4313)</f>
        <v>9999</v>
      </c>
    </row>
    <row r="4314" customFormat="false" ht="12.75" hidden="false" customHeight="false" outlineLevel="0" collapsed="false">
      <c r="A4314" s="0" t="n">
        <f aca="false">B4314*1000+C4314</f>
        <v>62003</v>
      </c>
      <c r="B4314" s="0" t="n">
        <v>62</v>
      </c>
      <c r="C4314" s="0" t="n">
        <v>3</v>
      </c>
      <c r="D4314" s="0" t="n">
        <v>0</v>
      </c>
      <c r="E4314" s="0" t="n">
        <f aca="false">VLOOKUP(B4314,'MSA-Lookup'!$H$2:$I$86,2)</f>
        <v>4480</v>
      </c>
      <c r="F4314" s="0" t="n">
        <f aca="false">IF(C4314&gt;1,IF(C4314&lt;99,VLOOKUP(C4314,'MSA-Lookup'!$H$1:$I$86,2),C4314),C4314)</f>
        <v>6690</v>
      </c>
      <c r="G4314" s="0" t="n">
        <f aca="false">VLOOKUP(E4314,'MSA-Lookup'!$AA$1:$AB$25,2)</f>
        <v>4472</v>
      </c>
      <c r="H4314" s="0" t="n">
        <f aca="false">IF(C4314&gt;1,IF(C4314&lt;99,VLOOKUP(F4314,'MSA-Lookup'!$AA$1:$AB$25,2),C4314),C4314)</f>
        <v>6690</v>
      </c>
    </row>
    <row r="4315" customFormat="false" ht="12.75" hidden="false" customHeight="false" outlineLevel="0" collapsed="false">
      <c r="A4315" s="0" t="n">
        <f aca="false">B4315*1000+C4315</f>
        <v>62004</v>
      </c>
      <c r="B4315" s="0" t="n">
        <v>62</v>
      </c>
      <c r="C4315" s="0" t="n">
        <v>4</v>
      </c>
      <c r="D4315" s="0" t="n">
        <v>0</v>
      </c>
      <c r="E4315" s="0" t="n">
        <f aca="false">VLOOKUP(B4315,'MSA-Lookup'!$H$2:$I$86,2)</f>
        <v>4480</v>
      </c>
      <c r="F4315" s="0" t="n">
        <f aca="false">IF(C4315&gt;1,IF(C4315&lt;99,VLOOKUP(C4315,'MSA-Lookup'!$H$1:$I$86,2),C4315),C4315)</f>
        <v>9999</v>
      </c>
      <c r="G4315" s="0" t="n">
        <f aca="false">VLOOKUP(E4315,'MSA-Lookup'!$AA$1:$AB$25,2)</f>
        <v>4472</v>
      </c>
      <c r="H4315" s="0" t="n">
        <f aca="false">IF(C4315&gt;1,IF(C4315&lt;99,VLOOKUP(F4315,'MSA-Lookup'!$AA$1:$AB$25,2),C4315),C4315)</f>
        <v>9999</v>
      </c>
    </row>
    <row r="4316" customFormat="false" ht="12.75" hidden="false" customHeight="false" outlineLevel="0" collapsed="false">
      <c r="A4316" s="0" t="n">
        <f aca="false">B4316*1000+C4316</f>
        <v>62005</v>
      </c>
      <c r="B4316" s="0" t="n">
        <v>62</v>
      </c>
      <c r="C4316" s="0" t="n">
        <v>5</v>
      </c>
      <c r="D4316" s="0" t="n">
        <v>0</v>
      </c>
      <c r="E4316" s="0" t="n">
        <f aca="false">VLOOKUP(B4316,'MSA-Lookup'!$H$2:$I$86,2)</f>
        <v>4480</v>
      </c>
      <c r="F4316" s="0" t="n">
        <f aca="false">IF(C4316&gt;1,IF(C4316&lt;99,VLOOKUP(C4316,'MSA-Lookup'!$H$1:$I$86,2),C4316),C4316)</f>
        <v>9999</v>
      </c>
      <c r="G4316" s="0" t="n">
        <f aca="false">VLOOKUP(E4316,'MSA-Lookup'!$AA$1:$AB$25,2)</f>
        <v>4472</v>
      </c>
      <c r="H4316" s="0" t="n">
        <f aca="false">IF(C4316&gt;1,IF(C4316&lt;99,VLOOKUP(F4316,'MSA-Lookup'!$AA$1:$AB$25,2),C4316),C4316)</f>
        <v>9999</v>
      </c>
    </row>
    <row r="4317" customFormat="false" ht="12.75" hidden="false" customHeight="false" outlineLevel="0" collapsed="false">
      <c r="A4317" s="0" t="n">
        <f aca="false">B4317*1000+C4317</f>
        <v>62006</v>
      </c>
      <c r="B4317" s="0" t="n">
        <v>62</v>
      </c>
      <c r="C4317" s="0" t="n">
        <v>6</v>
      </c>
      <c r="D4317" s="0" t="n">
        <v>0</v>
      </c>
      <c r="E4317" s="0" t="n">
        <f aca="false">VLOOKUP(B4317,'MSA-Lookup'!$H$2:$I$86,2)</f>
        <v>4480</v>
      </c>
      <c r="F4317" s="0" t="n">
        <f aca="false">IF(C4317&gt;1,IF(C4317&lt;99,VLOOKUP(C4317,'MSA-Lookup'!$H$1:$I$86,2),C4317),C4317)</f>
        <v>1620</v>
      </c>
      <c r="G4317" s="0" t="n">
        <f aca="false">VLOOKUP(E4317,'MSA-Lookup'!$AA$1:$AB$25,2)</f>
        <v>4472</v>
      </c>
      <c r="H4317" s="0" t="n">
        <f aca="false">IF(C4317&gt;1,IF(C4317&lt;99,VLOOKUP(F4317,'MSA-Lookup'!$AA$1:$AB$25,2),C4317),C4317)</f>
        <v>1620</v>
      </c>
    </row>
    <row r="4318" customFormat="false" ht="12.75" hidden="false" customHeight="false" outlineLevel="0" collapsed="false">
      <c r="A4318" s="0" t="n">
        <f aca="false">B4318*1000+C4318</f>
        <v>62007</v>
      </c>
      <c r="B4318" s="0" t="n">
        <v>62</v>
      </c>
      <c r="C4318" s="0" t="n">
        <v>7</v>
      </c>
      <c r="D4318" s="0" t="n">
        <v>0</v>
      </c>
      <c r="E4318" s="0" t="n">
        <f aca="false">VLOOKUP(B4318,'MSA-Lookup'!$H$2:$I$86,2)</f>
        <v>4480</v>
      </c>
      <c r="F4318" s="0" t="n">
        <f aca="false">IF(C4318&gt;1,IF(C4318&lt;99,VLOOKUP(C4318,'MSA-Lookup'!$H$1:$I$86,2),C4318),C4318)</f>
        <v>9999</v>
      </c>
      <c r="G4318" s="0" t="n">
        <f aca="false">VLOOKUP(E4318,'MSA-Lookup'!$AA$1:$AB$25,2)</f>
        <v>4472</v>
      </c>
      <c r="H4318" s="0" t="n">
        <f aca="false">IF(C4318&gt;1,IF(C4318&lt;99,VLOOKUP(F4318,'MSA-Lookup'!$AA$1:$AB$25,2),C4318),C4318)</f>
        <v>9999</v>
      </c>
    </row>
    <row r="4319" customFormat="false" ht="12.75" hidden="false" customHeight="false" outlineLevel="0" collapsed="false">
      <c r="A4319" s="0" t="n">
        <f aca="false">B4319*1000+C4319</f>
        <v>62008</v>
      </c>
      <c r="B4319" s="0" t="n">
        <v>62</v>
      </c>
      <c r="C4319" s="0" t="n">
        <v>8</v>
      </c>
      <c r="D4319" s="0" t="n">
        <v>0</v>
      </c>
      <c r="E4319" s="0" t="n">
        <f aca="false">VLOOKUP(B4319,'MSA-Lookup'!$H$2:$I$86,2)</f>
        <v>4480</v>
      </c>
      <c r="F4319" s="0" t="n">
        <f aca="false">IF(C4319&gt;1,IF(C4319&lt;99,VLOOKUP(C4319,'MSA-Lookup'!$H$1:$I$86,2),C4319),C4319)</f>
        <v>9340</v>
      </c>
      <c r="G4319" s="0" t="n">
        <f aca="false">VLOOKUP(E4319,'MSA-Lookup'!$AA$1:$AB$25,2)</f>
        <v>4472</v>
      </c>
      <c r="H4319" s="0" t="n">
        <f aca="false">IF(C4319&gt;1,IF(C4319&lt;99,VLOOKUP(F4319,'MSA-Lookup'!$AA$1:$AB$25,2),C4319),C4319)</f>
        <v>9340</v>
      </c>
    </row>
    <row r="4320" customFormat="false" ht="12.75" hidden="false" customHeight="false" outlineLevel="0" collapsed="false">
      <c r="A4320" s="0" t="n">
        <f aca="false">B4320*1000+C4320</f>
        <v>62009</v>
      </c>
      <c r="B4320" s="0" t="n">
        <v>62</v>
      </c>
      <c r="C4320" s="0" t="n">
        <v>9</v>
      </c>
      <c r="D4320" s="0" t="n">
        <v>0</v>
      </c>
      <c r="E4320" s="0" t="n">
        <f aca="false">VLOOKUP(B4320,'MSA-Lookup'!$H$2:$I$86,2)</f>
        <v>4480</v>
      </c>
      <c r="F4320" s="0" t="n">
        <f aca="false">IF(C4320&gt;1,IF(C4320&lt;99,VLOOKUP(C4320,'MSA-Lookup'!$H$1:$I$86,2),C4320),C4320)</f>
        <v>8720</v>
      </c>
      <c r="G4320" s="0" t="n">
        <f aca="false">VLOOKUP(E4320,'MSA-Lookup'!$AA$1:$AB$25,2)</f>
        <v>4472</v>
      </c>
      <c r="H4320" s="0" t="n">
        <f aca="false">IF(C4320&gt;1,IF(C4320&lt;99,VLOOKUP(F4320,'MSA-Lookup'!$AA$1:$AB$25,2),C4320),C4320)</f>
        <v>7362</v>
      </c>
    </row>
    <row r="4321" customFormat="false" ht="12.75" hidden="false" customHeight="false" outlineLevel="0" collapsed="false">
      <c r="A4321" s="0" t="n">
        <f aca="false">B4321*1000+C4321</f>
        <v>62010</v>
      </c>
      <c r="B4321" s="0" t="n">
        <v>62</v>
      </c>
      <c r="C4321" s="0" t="n">
        <v>10</v>
      </c>
      <c r="D4321" s="0" t="n">
        <v>0</v>
      </c>
      <c r="E4321" s="0" t="n">
        <f aca="false">VLOOKUP(B4321,'MSA-Lookup'!$H$2:$I$86,2)</f>
        <v>4480</v>
      </c>
      <c r="F4321" s="0" t="n">
        <f aca="false">IF(C4321&gt;1,IF(C4321&lt;99,VLOOKUP(C4321,'MSA-Lookup'!$H$1:$I$86,2),C4321),C4321)</f>
        <v>6920</v>
      </c>
      <c r="G4321" s="0" t="n">
        <f aca="false">VLOOKUP(E4321,'MSA-Lookup'!$AA$1:$AB$25,2)</f>
        <v>4472</v>
      </c>
      <c r="H4321" s="0" t="n">
        <f aca="false">IF(C4321&gt;1,IF(C4321&lt;99,VLOOKUP(F4321,'MSA-Lookup'!$AA$1:$AB$25,2),C4321),C4321)</f>
        <v>6920</v>
      </c>
    </row>
    <row r="4322" customFormat="false" ht="12.75" hidden="false" customHeight="false" outlineLevel="0" collapsed="false">
      <c r="A4322" s="0" t="n">
        <f aca="false">B4322*1000+C4322</f>
        <v>62011</v>
      </c>
      <c r="B4322" s="0" t="n">
        <v>62</v>
      </c>
      <c r="C4322" s="0" t="n">
        <v>11</v>
      </c>
      <c r="D4322" s="0" t="n">
        <v>0</v>
      </c>
      <c r="E4322" s="0" t="n">
        <f aca="false">VLOOKUP(B4322,'MSA-Lookup'!$H$2:$I$86,2)</f>
        <v>4480</v>
      </c>
      <c r="F4322" s="0" t="n">
        <f aca="false">IF(C4322&gt;1,IF(C4322&lt;99,VLOOKUP(C4322,'MSA-Lookup'!$H$1:$I$86,2),C4322),C4322)</f>
        <v>6920</v>
      </c>
      <c r="G4322" s="0" t="n">
        <f aca="false">VLOOKUP(E4322,'MSA-Lookup'!$AA$1:$AB$25,2)</f>
        <v>4472</v>
      </c>
      <c r="H4322" s="0" t="n">
        <f aca="false">IF(C4322&gt;1,IF(C4322&lt;99,VLOOKUP(F4322,'MSA-Lookup'!$AA$1:$AB$25,2),C4322),C4322)</f>
        <v>6920</v>
      </c>
    </row>
    <row r="4323" customFormat="false" ht="12.75" hidden="false" customHeight="false" outlineLevel="0" collapsed="false">
      <c r="A4323" s="0" t="n">
        <f aca="false">B4323*1000+C4323</f>
        <v>62012</v>
      </c>
      <c r="B4323" s="0" t="n">
        <v>62</v>
      </c>
      <c r="C4323" s="0" t="n">
        <v>12</v>
      </c>
      <c r="D4323" s="0" t="n">
        <v>0</v>
      </c>
      <c r="E4323" s="0" t="n">
        <f aca="false">VLOOKUP(B4323,'MSA-Lookup'!$H$2:$I$86,2)</f>
        <v>4480</v>
      </c>
      <c r="F4323" s="0" t="n">
        <f aca="false">IF(C4323&gt;1,IF(C4323&lt;99,VLOOKUP(C4323,'MSA-Lookup'!$H$1:$I$86,2),C4323),C4323)</f>
        <v>6920</v>
      </c>
      <c r="G4323" s="0" t="n">
        <f aca="false">VLOOKUP(E4323,'MSA-Lookup'!$AA$1:$AB$25,2)</f>
        <v>4472</v>
      </c>
      <c r="H4323" s="0" t="n">
        <f aca="false">IF(C4323&gt;1,IF(C4323&lt;99,VLOOKUP(F4323,'MSA-Lookup'!$AA$1:$AB$25,2),C4323),C4323)</f>
        <v>6920</v>
      </c>
    </row>
    <row r="4324" customFormat="false" ht="12.75" hidden="false" customHeight="false" outlineLevel="0" collapsed="false">
      <c r="A4324" s="0" t="n">
        <f aca="false">B4324*1000+C4324</f>
        <v>62013</v>
      </c>
      <c r="B4324" s="0" t="n">
        <v>62</v>
      </c>
      <c r="C4324" s="0" t="n">
        <v>13</v>
      </c>
      <c r="D4324" s="0" t="n">
        <v>0</v>
      </c>
      <c r="E4324" s="0" t="n">
        <f aca="false">VLOOKUP(B4324,'MSA-Lookup'!$H$2:$I$86,2)</f>
        <v>4480</v>
      </c>
      <c r="F4324" s="0" t="n">
        <f aca="false">IF(C4324&gt;1,IF(C4324&lt;99,VLOOKUP(C4324,'MSA-Lookup'!$H$1:$I$86,2),C4324),C4324)</f>
        <v>7500</v>
      </c>
      <c r="G4324" s="0" t="n">
        <f aca="false">VLOOKUP(E4324,'MSA-Lookup'!$AA$1:$AB$25,2)</f>
        <v>4472</v>
      </c>
      <c r="H4324" s="0" t="n">
        <f aca="false">IF(C4324&gt;1,IF(C4324&lt;99,VLOOKUP(F4324,'MSA-Lookup'!$AA$1:$AB$25,2),C4324),C4324)</f>
        <v>7362</v>
      </c>
    </row>
    <row r="4325" customFormat="false" ht="12.75" hidden="false" customHeight="false" outlineLevel="0" collapsed="false">
      <c r="A4325" s="0" t="n">
        <f aca="false">B4325*1000+C4325</f>
        <v>62014</v>
      </c>
      <c r="B4325" s="0" t="n">
        <v>62</v>
      </c>
      <c r="C4325" s="0" t="n">
        <v>14</v>
      </c>
      <c r="D4325" s="0" t="n">
        <v>0</v>
      </c>
      <c r="E4325" s="0" t="n">
        <f aca="false">VLOOKUP(B4325,'MSA-Lookup'!$H$2:$I$86,2)</f>
        <v>4480</v>
      </c>
      <c r="F4325" s="0" t="n">
        <f aca="false">IF(C4325&gt;1,IF(C4325&lt;99,VLOOKUP(C4325,'MSA-Lookup'!$H$1:$I$86,2),C4325),C4325)</f>
        <v>7500</v>
      </c>
      <c r="G4325" s="0" t="n">
        <f aca="false">VLOOKUP(E4325,'MSA-Lookup'!$AA$1:$AB$25,2)</f>
        <v>4472</v>
      </c>
      <c r="H4325" s="0" t="n">
        <f aca="false">IF(C4325&gt;1,IF(C4325&lt;99,VLOOKUP(F4325,'MSA-Lookup'!$AA$1:$AB$25,2),C4325),C4325)</f>
        <v>7362</v>
      </c>
    </row>
    <row r="4326" customFormat="false" ht="12.75" hidden="false" customHeight="false" outlineLevel="0" collapsed="false">
      <c r="A4326" s="0" t="n">
        <f aca="false">B4326*1000+C4326</f>
        <v>62015</v>
      </c>
      <c r="B4326" s="0" t="n">
        <v>62</v>
      </c>
      <c r="C4326" s="0" t="n">
        <v>15</v>
      </c>
      <c r="D4326" s="0" t="n">
        <v>0</v>
      </c>
      <c r="E4326" s="0" t="n">
        <f aca="false">VLOOKUP(B4326,'MSA-Lookup'!$H$2:$I$86,2)</f>
        <v>4480</v>
      </c>
      <c r="F4326" s="0" t="n">
        <f aca="false">IF(C4326&gt;1,IF(C4326&lt;99,VLOOKUP(C4326,'MSA-Lookup'!$H$1:$I$86,2),C4326),C4326)</f>
        <v>7360</v>
      </c>
      <c r="G4326" s="0" t="n">
        <f aca="false">VLOOKUP(E4326,'MSA-Lookup'!$AA$1:$AB$25,2)</f>
        <v>4472</v>
      </c>
      <c r="H4326" s="0" t="n">
        <f aca="false">IF(C4326&gt;1,IF(C4326&lt;99,VLOOKUP(F4326,'MSA-Lookup'!$AA$1:$AB$25,2),C4326),C4326)</f>
        <v>7362</v>
      </c>
    </row>
    <row r="4327" customFormat="false" ht="12.75" hidden="false" customHeight="false" outlineLevel="0" collapsed="false">
      <c r="A4327" s="0" t="n">
        <f aca="false">B4327*1000+C4327</f>
        <v>62016</v>
      </c>
      <c r="B4327" s="0" t="n">
        <v>62</v>
      </c>
      <c r="C4327" s="0" t="n">
        <v>16</v>
      </c>
      <c r="D4327" s="0" t="n">
        <v>0</v>
      </c>
      <c r="E4327" s="0" t="n">
        <f aca="false">VLOOKUP(B4327,'MSA-Lookup'!$H$2:$I$86,2)</f>
        <v>4480</v>
      </c>
      <c r="F4327" s="0" t="n">
        <f aca="false">IF(C4327&gt;1,IF(C4327&lt;99,VLOOKUP(C4327,'MSA-Lookup'!$H$1:$I$86,2),C4327),C4327)</f>
        <v>8720</v>
      </c>
      <c r="G4327" s="0" t="n">
        <f aca="false">VLOOKUP(E4327,'MSA-Lookup'!$AA$1:$AB$25,2)</f>
        <v>4472</v>
      </c>
      <c r="H4327" s="0" t="n">
        <f aca="false">IF(C4327&gt;1,IF(C4327&lt;99,VLOOKUP(F4327,'MSA-Lookup'!$AA$1:$AB$25,2),C4327),C4327)</f>
        <v>7362</v>
      </c>
    </row>
    <row r="4328" customFormat="false" ht="12.75" hidden="false" customHeight="false" outlineLevel="0" collapsed="false">
      <c r="A4328" s="0" t="n">
        <f aca="false">B4328*1000+C4328</f>
        <v>62017</v>
      </c>
      <c r="B4328" s="0" t="n">
        <v>62</v>
      </c>
      <c r="C4328" s="0" t="n">
        <v>17</v>
      </c>
      <c r="D4328" s="0" t="n">
        <v>0</v>
      </c>
      <c r="E4328" s="0" t="n">
        <f aca="false">VLOOKUP(B4328,'MSA-Lookup'!$H$2:$I$86,2)</f>
        <v>4480</v>
      </c>
      <c r="F4328" s="0" t="n">
        <f aca="false">IF(C4328&gt;1,IF(C4328&lt;99,VLOOKUP(C4328,'MSA-Lookup'!$H$1:$I$86,2),C4328),C4328)</f>
        <v>5775</v>
      </c>
      <c r="G4328" s="0" t="n">
        <f aca="false">VLOOKUP(E4328,'MSA-Lookup'!$AA$1:$AB$25,2)</f>
        <v>4472</v>
      </c>
      <c r="H4328" s="0" t="n">
        <f aca="false">IF(C4328&gt;1,IF(C4328&lt;99,VLOOKUP(F4328,'MSA-Lookup'!$AA$1:$AB$25,2),C4328),C4328)</f>
        <v>7362</v>
      </c>
    </row>
    <row r="4329" customFormat="false" ht="12.75" hidden="false" customHeight="false" outlineLevel="0" collapsed="false">
      <c r="A4329" s="0" t="n">
        <f aca="false">B4329*1000+C4329</f>
        <v>62018</v>
      </c>
      <c r="B4329" s="0" t="n">
        <v>62</v>
      </c>
      <c r="C4329" s="0" t="n">
        <v>18</v>
      </c>
      <c r="D4329" s="0" t="n">
        <v>0</v>
      </c>
      <c r="E4329" s="0" t="n">
        <f aca="false">VLOOKUP(B4329,'MSA-Lookup'!$H$2:$I$86,2)</f>
        <v>4480</v>
      </c>
      <c r="F4329" s="0" t="n">
        <f aca="false">IF(C4329&gt;1,IF(C4329&lt;99,VLOOKUP(C4329,'MSA-Lookup'!$H$1:$I$86,2),C4329),C4329)</f>
        <v>5775</v>
      </c>
      <c r="G4329" s="0" t="n">
        <f aca="false">VLOOKUP(E4329,'MSA-Lookup'!$AA$1:$AB$25,2)</f>
        <v>4472</v>
      </c>
      <c r="H4329" s="0" t="n">
        <f aca="false">IF(C4329&gt;1,IF(C4329&lt;99,VLOOKUP(F4329,'MSA-Lookup'!$AA$1:$AB$25,2),C4329),C4329)</f>
        <v>7362</v>
      </c>
    </row>
    <row r="4330" customFormat="false" ht="12.75" hidden="false" customHeight="false" outlineLevel="0" collapsed="false">
      <c r="A4330" s="0" t="n">
        <f aca="false">B4330*1000+C4330</f>
        <v>62019</v>
      </c>
      <c r="B4330" s="0" t="n">
        <v>62</v>
      </c>
      <c r="C4330" s="0" t="n">
        <v>19</v>
      </c>
      <c r="D4330" s="0" t="n">
        <v>0</v>
      </c>
      <c r="E4330" s="0" t="n">
        <f aca="false">VLOOKUP(B4330,'MSA-Lookup'!$H$2:$I$86,2)</f>
        <v>4480</v>
      </c>
      <c r="F4330" s="0" t="n">
        <f aca="false">IF(C4330&gt;1,IF(C4330&lt;99,VLOOKUP(C4330,'MSA-Lookup'!$H$1:$I$86,2),C4330),C4330)</f>
        <v>7360</v>
      </c>
      <c r="G4330" s="0" t="n">
        <f aca="false">VLOOKUP(E4330,'MSA-Lookup'!$AA$1:$AB$25,2)</f>
        <v>4472</v>
      </c>
      <c r="H4330" s="0" t="n">
        <f aca="false">IF(C4330&gt;1,IF(C4330&lt;99,VLOOKUP(F4330,'MSA-Lookup'!$AA$1:$AB$25,2),C4330),C4330)</f>
        <v>7362</v>
      </c>
    </row>
    <row r="4331" customFormat="false" ht="12.75" hidden="false" customHeight="false" outlineLevel="0" collapsed="false">
      <c r="A4331" s="0" t="n">
        <f aca="false">B4331*1000+C4331</f>
        <v>62020</v>
      </c>
      <c r="B4331" s="0" t="n">
        <v>62</v>
      </c>
      <c r="C4331" s="0" t="n">
        <v>20</v>
      </c>
      <c r="D4331" s="0" t="n">
        <v>0</v>
      </c>
      <c r="E4331" s="0" t="n">
        <f aca="false">VLOOKUP(B4331,'MSA-Lookup'!$H$2:$I$86,2)</f>
        <v>4480</v>
      </c>
      <c r="F4331" s="0" t="n">
        <f aca="false">IF(C4331&gt;1,IF(C4331&lt;99,VLOOKUP(C4331,'MSA-Lookup'!$H$1:$I$86,2),C4331),C4331)</f>
        <v>5775</v>
      </c>
      <c r="G4331" s="0" t="n">
        <f aca="false">VLOOKUP(E4331,'MSA-Lookup'!$AA$1:$AB$25,2)</f>
        <v>4472</v>
      </c>
      <c r="H4331" s="0" t="n">
        <f aca="false">IF(C4331&gt;1,IF(C4331&lt;99,VLOOKUP(F4331,'MSA-Lookup'!$AA$1:$AB$25,2),C4331),C4331)</f>
        <v>7362</v>
      </c>
    </row>
    <row r="4332" customFormat="false" ht="12.75" hidden="false" customHeight="false" outlineLevel="0" collapsed="false">
      <c r="A4332" s="0" t="n">
        <f aca="false">B4332*1000+C4332</f>
        <v>62021</v>
      </c>
      <c r="B4332" s="0" t="n">
        <v>62</v>
      </c>
      <c r="C4332" s="0" t="n">
        <v>21</v>
      </c>
      <c r="D4332" s="0" t="n">
        <v>0</v>
      </c>
      <c r="E4332" s="0" t="n">
        <f aca="false">VLOOKUP(B4332,'MSA-Lookup'!$H$2:$I$86,2)</f>
        <v>4480</v>
      </c>
      <c r="F4332" s="0" t="n">
        <f aca="false">IF(C4332&gt;1,IF(C4332&lt;99,VLOOKUP(C4332,'MSA-Lookup'!$H$1:$I$86,2),C4332),C4332)</f>
        <v>5775</v>
      </c>
      <c r="G4332" s="0" t="n">
        <f aca="false">VLOOKUP(E4332,'MSA-Lookup'!$AA$1:$AB$25,2)</f>
        <v>4472</v>
      </c>
      <c r="H4332" s="0" t="n">
        <f aca="false">IF(C4332&gt;1,IF(C4332&lt;99,VLOOKUP(F4332,'MSA-Lookup'!$AA$1:$AB$25,2),C4332),C4332)</f>
        <v>7362</v>
      </c>
    </row>
    <row r="4333" customFormat="false" ht="12.75" hidden="false" customHeight="false" outlineLevel="0" collapsed="false">
      <c r="A4333" s="0" t="n">
        <f aca="false">B4333*1000+C4333</f>
        <v>62022</v>
      </c>
      <c r="B4333" s="0" t="n">
        <v>62</v>
      </c>
      <c r="C4333" s="0" t="n">
        <v>22</v>
      </c>
      <c r="D4333" s="0" t="n">
        <v>0</v>
      </c>
      <c r="E4333" s="0" t="n">
        <f aca="false">VLOOKUP(B4333,'MSA-Lookup'!$H$2:$I$86,2)</f>
        <v>4480</v>
      </c>
      <c r="F4333" s="0" t="n">
        <f aca="false">IF(C4333&gt;1,IF(C4333&lt;99,VLOOKUP(C4333,'MSA-Lookup'!$H$1:$I$86,2),C4333),C4333)</f>
        <v>7360</v>
      </c>
      <c r="G4333" s="0" t="n">
        <f aca="false">VLOOKUP(E4333,'MSA-Lookup'!$AA$1:$AB$25,2)</f>
        <v>4472</v>
      </c>
      <c r="H4333" s="0" t="n">
        <f aca="false">IF(C4333&gt;1,IF(C4333&lt;99,VLOOKUP(F4333,'MSA-Lookup'!$AA$1:$AB$25,2),C4333),C4333)</f>
        <v>7362</v>
      </c>
    </row>
    <row r="4334" customFormat="false" ht="12.75" hidden="false" customHeight="false" outlineLevel="0" collapsed="false">
      <c r="A4334" s="0" t="n">
        <f aca="false">B4334*1000+C4334</f>
        <v>62023</v>
      </c>
      <c r="B4334" s="0" t="n">
        <v>62</v>
      </c>
      <c r="C4334" s="0" t="n">
        <v>23</v>
      </c>
      <c r="D4334" s="0" t="n">
        <v>0</v>
      </c>
      <c r="E4334" s="0" t="n">
        <f aca="false">VLOOKUP(B4334,'MSA-Lookup'!$H$2:$I$86,2)</f>
        <v>4480</v>
      </c>
      <c r="F4334" s="0" t="n">
        <f aca="false">IF(C4334&gt;1,IF(C4334&lt;99,VLOOKUP(C4334,'MSA-Lookup'!$H$1:$I$86,2),C4334),C4334)</f>
        <v>8120</v>
      </c>
      <c r="G4334" s="0" t="n">
        <f aca="false">VLOOKUP(E4334,'MSA-Lookup'!$AA$1:$AB$25,2)</f>
        <v>4472</v>
      </c>
      <c r="H4334" s="0" t="n">
        <f aca="false">IF(C4334&gt;1,IF(C4334&lt;99,VLOOKUP(F4334,'MSA-Lookup'!$AA$1:$AB$25,2),C4334),C4334)</f>
        <v>8120</v>
      </c>
    </row>
    <row r="4335" customFormat="false" ht="12.75" hidden="false" customHeight="false" outlineLevel="0" collapsed="false">
      <c r="A4335" s="0" t="n">
        <f aca="false">B4335*1000+C4335</f>
        <v>62024</v>
      </c>
      <c r="B4335" s="0" t="n">
        <v>62</v>
      </c>
      <c r="C4335" s="0" t="n">
        <v>24</v>
      </c>
      <c r="D4335" s="0" t="n">
        <v>0</v>
      </c>
      <c r="E4335" s="0" t="n">
        <f aca="false">VLOOKUP(B4335,'MSA-Lookup'!$H$2:$I$86,2)</f>
        <v>4480</v>
      </c>
      <c r="F4335" s="0" t="n">
        <f aca="false">IF(C4335&gt;1,IF(C4335&lt;99,VLOOKUP(C4335,'MSA-Lookup'!$H$1:$I$86,2),C4335),C4335)</f>
        <v>5170</v>
      </c>
      <c r="G4335" s="0" t="n">
        <f aca="false">VLOOKUP(E4335,'MSA-Lookup'!$AA$1:$AB$25,2)</f>
        <v>4472</v>
      </c>
      <c r="H4335" s="0" t="n">
        <f aca="false">IF(C4335&gt;1,IF(C4335&lt;99,VLOOKUP(F4335,'MSA-Lookup'!$AA$1:$AB$25,2),C4335),C4335)</f>
        <v>5170</v>
      </c>
    </row>
    <row r="4336" customFormat="false" ht="12.75" hidden="false" customHeight="false" outlineLevel="0" collapsed="false">
      <c r="A4336" s="0" t="n">
        <f aca="false">B4336*1000+C4336</f>
        <v>62025</v>
      </c>
      <c r="B4336" s="0" t="n">
        <v>62</v>
      </c>
      <c r="C4336" s="0" t="n">
        <v>25</v>
      </c>
      <c r="D4336" s="0" t="n">
        <v>0</v>
      </c>
      <c r="E4336" s="0" t="n">
        <f aca="false">VLOOKUP(B4336,'MSA-Lookup'!$H$2:$I$86,2)</f>
        <v>4480</v>
      </c>
      <c r="F4336" s="0" t="n">
        <f aca="false">IF(C4336&gt;1,IF(C4336&lt;99,VLOOKUP(C4336,'MSA-Lookup'!$H$1:$I$86,2),C4336),C4336)</f>
        <v>5170</v>
      </c>
      <c r="G4336" s="0" t="n">
        <f aca="false">VLOOKUP(E4336,'MSA-Lookup'!$AA$1:$AB$25,2)</f>
        <v>4472</v>
      </c>
      <c r="H4336" s="0" t="n">
        <f aca="false">IF(C4336&gt;1,IF(C4336&lt;99,VLOOKUP(F4336,'MSA-Lookup'!$AA$1:$AB$25,2),C4336),C4336)</f>
        <v>5170</v>
      </c>
    </row>
    <row r="4337" customFormat="false" ht="12.75" hidden="false" customHeight="false" outlineLevel="0" collapsed="false">
      <c r="A4337" s="0" t="n">
        <f aca="false">B4337*1000+C4337</f>
        <v>62026</v>
      </c>
      <c r="B4337" s="0" t="n">
        <v>62</v>
      </c>
      <c r="C4337" s="0" t="n">
        <v>26</v>
      </c>
      <c r="D4337" s="0" t="n">
        <v>0</v>
      </c>
      <c r="E4337" s="0" t="n">
        <f aca="false">VLOOKUP(B4337,'MSA-Lookup'!$H$2:$I$86,2)</f>
        <v>4480</v>
      </c>
      <c r="F4337" s="0" t="n">
        <f aca="false">IF(C4337&gt;1,IF(C4337&lt;99,VLOOKUP(C4337,'MSA-Lookup'!$H$1:$I$86,2),C4337),C4337)</f>
        <v>9999</v>
      </c>
      <c r="G4337" s="0" t="n">
        <f aca="false">VLOOKUP(E4337,'MSA-Lookup'!$AA$1:$AB$25,2)</f>
        <v>4472</v>
      </c>
      <c r="H4337" s="0" t="n">
        <f aca="false">IF(C4337&gt;1,IF(C4337&lt;99,VLOOKUP(F4337,'MSA-Lookup'!$AA$1:$AB$25,2),C4337),C4337)</f>
        <v>9999</v>
      </c>
    </row>
    <row r="4338" customFormat="false" ht="12.75" hidden="false" customHeight="false" outlineLevel="0" collapsed="false">
      <c r="A4338" s="0" t="n">
        <f aca="false">B4338*1000+C4338</f>
        <v>62027</v>
      </c>
      <c r="B4338" s="0" t="n">
        <v>62</v>
      </c>
      <c r="C4338" s="0" t="n">
        <v>27</v>
      </c>
      <c r="D4338" s="0" t="n">
        <v>0</v>
      </c>
      <c r="E4338" s="0" t="n">
        <f aca="false">VLOOKUP(B4338,'MSA-Lookup'!$H$2:$I$86,2)</f>
        <v>4480</v>
      </c>
      <c r="F4338" s="0" t="n">
        <f aca="false">IF(C4338&gt;1,IF(C4338&lt;99,VLOOKUP(C4338,'MSA-Lookup'!$H$1:$I$86,2),C4338),C4338)</f>
        <v>9999</v>
      </c>
      <c r="G4338" s="0" t="n">
        <f aca="false">VLOOKUP(E4338,'MSA-Lookup'!$AA$1:$AB$25,2)</f>
        <v>4472</v>
      </c>
      <c r="H4338" s="0" t="n">
        <f aca="false">IF(C4338&gt;1,IF(C4338&lt;99,VLOOKUP(F4338,'MSA-Lookup'!$AA$1:$AB$25,2),C4338),C4338)</f>
        <v>9999</v>
      </c>
    </row>
    <row r="4339" customFormat="false" ht="12.75" hidden="false" customHeight="false" outlineLevel="0" collapsed="false">
      <c r="A4339" s="0" t="n">
        <f aca="false">B4339*1000+C4339</f>
        <v>62028</v>
      </c>
      <c r="B4339" s="0" t="n">
        <v>62</v>
      </c>
      <c r="C4339" s="0" t="n">
        <v>28</v>
      </c>
      <c r="D4339" s="0" t="n">
        <v>0</v>
      </c>
      <c r="E4339" s="0" t="n">
        <f aca="false">VLOOKUP(B4339,'MSA-Lookup'!$H$2:$I$86,2)</f>
        <v>4480</v>
      </c>
      <c r="F4339" s="0" t="n">
        <f aca="false">IF(C4339&gt;1,IF(C4339&lt;99,VLOOKUP(C4339,'MSA-Lookup'!$H$1:$I$86,2),C4339),C4339)</f>
        <v>6920</v>
      </c>
      <c r="G4339" s="0" t="n">
        <f aca="false">VLOOKUP(E4339,'MSA-Lookup'!$AA$1:$AB$25,2)</f>
        <v>4472</v>
      </c>
      <c r="H4339" s="0" t="n">
        <f aca="false">IF(C4339&gt;1,IF(C4339&lt;99,VLOOKUP(F4339,'MSA-Lookup'!$AA$1:$AB$25,2),C4339),C4339)</f>
        <v>6920</v>
      </c>
    </row>
    <row r="4340" customFormat="false" ht="12.75" hidden="false" customHeight="false" outlineLevel="0" collapsed="false">
      <c r="A4340" s="0" t="n">
        <f aca="false">B4340*1000+C4340</f>
        <v>62029</v>
      </c>
      <c r="B4340" s="0" t="n">
        <v>62</v>
      </c>
      <c r="C4340" s="0" t="n">
        <v>29</v>
      </c>
      <c r="D4340" s="0" t="n">
        <v>0</v>
      </c>
      <c r="E4340" s="0" t="n">
        <f aca="false">VLOOKUP(B4340,'MSA-Lookup'!$H$2:$I$86,2)</f>
        <v>4480</v>
      </c>
      <c r="F4340" s="0" t="n">
        <f aca="false">IF(C4340&gt;1,IF(C4340&lt;99,VLOOKUP(C4340,'MSA-Lookup'!$H$1:$I$86,2),C4340),C4340)</f>
        <v>6920</v>
      </c>
      <c r="G4340" s="0" t="n">
        <f aca="false">VLOOKUP(E4340,'MSA-Lookup'!$AA$1:$AB$25,2)</f>
        <v>4472</v>
      </c>
      <c r="H4340" s="0" t="n">
        <f aca="false">IF(C4340&gt;1,IF(C4340&lt;99,VLOOKUP(F4340,'MSA-Lookup'!$AA$1:$AB$25,2),C4340),C4340)</f>
        <v>6920</v>
      </c>
    </row>
    <row r="4341" customFormat="false" ht="12.75" hidden="false" customHeight="false" outlineLevel="0" collapsed="false">
      <c r="A4341" s="0" t="n">
        <f aca="false">B4341*1000+C4341</f>
        <v>62030</v>
      </c>
      <c r="B4341" s="0" t="n">
        <v>62</v>
      </c>
      <c r="C4341" s="0" t="n">
        <v>30</v>
      </c>
      <c r="D4341" s="0" t="n">
        <v>0</v>
      </c>
      <c r="E4341" s="0" t="n">
        <f aca="false">VLOOKUP(B4341,'MSA-Lookup'!$H$2:$I$86,2)</f>
        <v>4480</v>
      </c>
      <c r="F4341" s="0" t="n">
        <f aca="false">IF(C4341&gt;1,IF(C4341&lt;99,VLOOKUP(C4341,'MSA-Lookup'!$H$1:$I$86,2),C4341),C4341)</f>
        <v>4940</v>
      </c>
      <c r="G4341" s="0" t="n">
        <f aca="false">VLOOKUP(E4341,'MSA-Lookup'!$AA$1:$AB$25,2)</f>
        <v>4472</v>
      </c>
      <c r="H4341" s="0" t="n">
        <f aca="false">IF(C4341&gt;1,IF(C4341&lt;99,VLOOKUP(F4341,'MSA-Lookup'!$AA$1:$AB$25,2),C4341),C4341)</f>
        <v>4940</v>
      </c>
    </row>
    <row r="4342" customFormat="false" ht="12.75" hidden="false" customHeight="false" outlineLevel="0" collapsed="false">
      <c r="A4342" s="0" t="n">
        <f aca="false">B4342*1000+C4342</f>
        <v>62031</v>
      </c>
      <c r="B4342" s="0" t="n">
        <v>62</v>
      </c>
      <c r="C4342" s="0" t="n">
        <v>31</v>
      </c>
      <c r="D4342" s="0" t="n">
        <v>0</v>
      </c>
      <c r="E4342" s="0" t="n">
        <f aca="false">VLOOKUP(B4342,'MSA-Lookup'!$H$2:$I$86,2)</f>
        <v>4480</v>
      </c>
      <c r="F4342" s="0" t="n">
        <f aca="false">IF(C4342&gt;1,IF(C4342&lt;99,VLOOKUP(C4342,'MSA-Lookup'!$H$1:$I$86,2),C4342),C4342)</f>
        <v>9999</v>
      </c>
      <c r="G4342" s="0" t="n">
        <f aca="false">VLOOKUP(E4342,'MSA-Lookup'!$AA$1:$AB$25,2)</f>
        <v>4472</v>
      </c>
      <c r="H4342" s="0" t="n">
        <f aca="false">IF(C4342&gt;1,IF(C4342&lt;99,VLOOKUP(F4342,'MSA-Lookup'!$AA$1:$AB$25,2),C4342),C4342)</f>
        <v>9999</v>
      </c>
    </row>
    <row r="4343" customFormat="false" ht="12.75" hidden="false" customHeight="false" outlineLevel="0" collapsed="false">
      <c r="A4343" s="0" t="n">
        <f aca="false">B4343*1000+C4343</f>
        <v>62032</v>
      </c>
      <c r="B4343" s="0" t="n">
        <v>62</v>
      </c>
      <c r="C4343" s="0" t="n">
        <v>32</v>
      </c>
      <c r="D4343" s="0" t="n">
        <v>0</v>
      </c>
      <c r="E4343" s="0" t="n">
        <f aca="false">VLOOKUP(B4343,'MSA-Lookup'!$H$2:$I$86,2)</f>
        <v>4480</v>
      </c>
      <c r="F4343" s="0" t="n">
        <f aca="false">IF(C4343&gt;1,IF(C4343&lt;99,VLOOKUP(C4343,'MSA-Lookup'!$H$1:$I$86,2),C4343),C4343)</f>
        <v>7480</v>
      </c>
      <c r="G4343" s="0" t="n">
        <f aca="false">VLOOKUP(E4343,'MSA-Lookup'!$AA$1:$AB$25,2)</f>
        <v>4472</v>
      </c>
      <c r="H4343" s="0" t="n">
        <f aca="false">IF(C4343&gt;1,IF(C4343&lt;99,VLOOKUP(F4343,'MSA-Lookup'!$AA$1:$AB$25,2),C4343),C4343)</f>
        <v>7480</v>
      </c>
    </row>
    <row r="4344" customFormat="false" ht="12.75" hidden="false" customHeight="false" outlineLevel="0" collapsed="false">
      <c r="A4344" s="0" t="n">
        <f aca="false">B4344*1000+C4344</f>
        <v>62033</v>
      </c>
      <c r="B4344" s="0" t="n">
        <v>62</v>
      </c>
      <c r="C4344" s="0" t="n">
        <v>33</v>
      </c>
      <c r="D4344" s="0" t="n">
        <v>0</v>
      </c>
      <c r="E4344" s="0" t="n">
        <f aca="false">VLOOKUP(B4344,'MSA-Lookup'!$H$2:$I$86,2)</f>
        <v>4480</v>
      </c>
      <c r="F4344" s="0" t="n">
        <f aca="false">IF(C4344&gt;1,IF(C4344&lt;99,VLOOKUP(C4344,'MSA-Lookup'!$H$1:$I$86,2),C4344),C4344)</f>
        <v>7320</v>
      </c>
      <c r="G4344" s="0" t="n">
        <f aca="false">VLOOKUP(E4344,'MSA-Lookup'!$AA$1:$AB$25,2)</f>
        <v>4472</v>
      </c>
      <c r="H4344" s="0" t="n">
        <f aca="false">IF(C4344&gt;1,IF(C4344&lt;99,VLOOKUP(F4344,'MSA-Lookup'!$AA$1:$AB$25,2),C4344),C4344)</f>
        <v>7320</v>
      </c>
    </row>
    <row r="4345" customFormat="false" ht="12.75" hidden="false" customHeight="false" outlineLevel="0" collapsed="false">
      <c r="A4345" s="0" t="n">
        <f aca="false">B4345*1000+C4345</f>
        <v>62034</v>
      </c>
      <c r="B4345" s="0" t="n">
        <v>62</v>
      </c>
      <c r="C4345" s="0" t="n">
        <v>34</v>
      </c>
      <c r="D4345" s="0" t="n">
        <v>117</v>
      </c>
      <c r="E4345" s="0" t="n">
        <f aca="false">VLOOKUP(B4345,'MSA-Lookup'!$H$2:$I$86,2)</f>
        <v>4480</v>
      </c>
      <c r="F4345" s="0" t="n">
        <f aca="false">IF(C4345&gt;1,IF(C4345&lt;99,VLOOKUP(C4345,'MSA-Lookup'!$H$1:$I$86,2),C4345),C4345)</f>
        <v>7320</v>
      </c>
      <c r="G4345" s="0" t="n">
        <f aca="false">VLOOKUP(E4345,'MSA-Lookup'!$AA$1:$AB$25,2)</f>
        <v>4472</v>
      </c>
      <c r="H4345" s="0" t="n">
        <f aca="false">IF(C4345&gt;1,IF(C4345&lt;99,VLOOKUP(F4345,'MSA-Lookup'!$AA$1:$AB$25,2),C4345),C4345)</f>
        <v>7320</v>
      </c>
    </row>
    <row r="4346" customFormat="false" ht="12.75" hidden="false" customHeight="false" outlineLevel="0" collapsed="false">
      <c r="A4346" s="0" t="n">
        <f aca="false">B4346*1000+C4346</f>
        <v>62035</v>
      </c>
      <c r="B4346" s="0" t="n">
        <v>62</v>
      </c>
      <c r="C4346" s="0" t="n">
        <v>35</v>
      </c>
      <c r="D4346" s="0" t="n">
        <v>0</v>
      </c>
      <c r="E4346" s="0" t="n">
        <f aca="false">VLOOKUP(B4346,'MSA-Lookup'!$H$2:$I$86,2)</f>
        <v>4480</v>
      </c>
      <c r="F4346" s="0" t="n">
        <f aca="false">IF(C4346&gt;1,IF(C4346&lt;99,VLOOKUP(C4346,'MSA-Lookup'!$H$1:$I$86,2),C4346),C4346)</f>
        <v>7320</v>
      </c>
      <c r="G4346" s="0" t="n">
        <f aca="false">VLOOKUP(E4346,'MSA-Lookup'!$AA$1:$AB$25,2)</f>
        <v>4472</v>
      </c>
      <c r="H4346" s="0" t="n">
        <f aca="false">IF(C4346&gt;1,IF(C4346&lt;99,VLOOKUP(F4346,'MSA-Lookup'!$AA$1:$AB$25,2),C4346),C4346)</f>
        <v>7320</v>
      </c>
    </row>
    <row r="4347" customFormat="false" ht="12.75" hidden="false" customHeight="false" outlineLevel="0" collapsed="false">
      <c r="A4347" s="0" t="n">
        <f aca="false">B4347*1000+C4347</f>
        <v>62036</v>
      </c>
      <c r="B4347" s="0" t="n">
        <v>62</v>
      </c>
      <c r="C4347" s="0" t="n">
        <v>36</v>
      </c>
      <c r="D4347" s="0" t="n">
        <v>0</v>
      </c>
      <c r="E4347" s="0" t="n">
        <f aca="false">VLOOKUP(B4347,'MSA-Lookup'!$H$2:$I$86,2)</f>
        <v>4480</v>
      </c>
      <c r="F4347" s="0" t="n">
        <f aca="false">IF(C4347&gt;1,IF(C4347&lt;99,VLOOKUP(C4347,'MSA-Lookup'!$H$1:$I$86,2),C4347),C4347)</f>
        <v>7320</v>
      </c>
      <c r="G4347" s="0" t="n">
        <f aca="false">VLOOKUP(E4347,'MSA-Lookup'!$AA$1:$AB$25,2)</f>
        <v>4472</v>
      </c>
      <c r="H4347" s="0" t="n">
        <f aca="false">IF(C4347&gt;1,IF(C4347&lt;99,VLOOKUP(F4347,'MSA-Lookup'!$AA$1:$AB$25,2),C4347),C4347)</f>
        <v>7320</v>
      </c>
    </row>
    <row r="4348" customFormat="false" ht="12.75" hidden="false" customHeight="false" outlineLevel="0" collapsed="false">
      <c r="A4348" s="0" t="n">
        <f aca="false">B4348*1000+C4348</f>
        <v>62037</v>
      </c>
      <c r="B4348" s="0" t="n">
        <v>62</v>
      </c>
      <c r="C4348" s="0" t="n">
        <v>37</v>
      </c>
      <c r="D4348" s="0" t="n">
        <v>0</v>
      </c>
      <c r="E4348" s="0" t="n">
        <f aca="false">VLOOKUP(B4348,'MSA-Lookup'!$H$2:$I$86,2)</f>
        <v>4480</v>
      </c>
      <c r="F4348" s="0" t="n">
        <f aca="false">IF(C4348&gt;1,IF(C4348&lt;99,VLOOKUP(C4348,'MSA-Lookup'!$H$1:$I$86,2),C4348),C4348)</f>
        <v>7320</v>
      </c>
      <c r="G4348" s="0" t="n">
        <f aca="false">VLOOKUP(E4348,'MSA-Lookup'!$AA$1:$AB$25,2)</f>
        <v>4472</v>
      </c>
      <c r="H4348" s="0" t="n">
        <f aca="false">IF(C4348&gt;1,IF(C4348&lt;99,VLOOKUP(F4348,'MSA-Lookup'!$AA$1:$AB$25,2),C4348),C4348)</f>
        <v>7320</v>
      </c>
    </row>
    <row r="4349" customFormat="false" ht="12.75" hidden="false" customHeight="false" outlineLevel="0" collapsed="false">
      <c r="A4349" s="0" t="n">
        <f aca="false">B4349*1000+C4349</f>
        <v>62038</v>
      </c>
      <c r="B4349" s="0" t="n">
        <v>62</v>
      </c>
      <c r="C4349" s="0" t="n">
        <v>38</v>
      </c>
      <c r="D4349" s="0" t="n">
        <v>0</v>
      </c>
      <c r="E4349" s="0" t="n">
        <f aca="false">VLOOKUP(B4349,'MSA-Lookup'!$H$2:$I$86,2)</f>
        <v>4480</v>
      </c>
      <c r="F4349" s="0" t="n">
        <f aca="false">IF(C4349&gt;1,IF(C4349&lt;99,VLOOKUP(C4349,'MSA-Lookup'!$H$1:$I$86,2),C4349),C4349)</f>
        <v>7120</v>
      </c>
      <c r="G4349" s="0" t="n">
        <f aca="false">VLOOKUP(E4349,'MSA-Lookup'!$AA$1:$AB$25,2)</f>
        <v>4472</v>
      </c>
      <c r="H4349" s="0" t="n">
        <f aca="false">IF(C4349&gt;1,IF(C4349&lt;99,VLOOKUP(F4349,'MSA-Lookup'!$AA$1:$AB$25,2),C4349),C4349)</f>
        <v>7120</v>
      </c>
    </row>
    <row r="4350" customFormat="false" ht="12.75" hidden="false" customHeight="false" outlineLevel="0" collapsed="false">
      <c r="A4350" s="0" t="n">
        <f aca="false">B4350*1000+C4350</f>
        <v>62039</v>
      </c>
      <c r="B4350" s="0" t="n">
        <v>62</v>
      </c>
      <c r="C4350" s="0" t="n">
        <v>39</v>
      </c>
      <c r="D4350" s="0" t="n">
        <v>0</v>
      </c>
      <c r="E4350" s="0" t="n">
        <f aca="false">VLOOKUP(B4350,'MSA-Lookup'!$H$2:$I$86,2)</f>
        <v>4480</v>
      </c>
      <c r="F4350" s="0" t="n">
        <f aca="false">IF(C4350&gt;1,IF(C4350&lt;99,VLOOKUP(C4350,'MSA-Lookup'!$H$1:$I$86,2),C4350),C4350)</f>
        <v>7120</v>
      </c>
      <c r="G4350" s="0" t="n">
        <f aca="false">VLOOKUP(E4350,'MSA-Lookup'!$AA$1:$AB$25,2)</f>
        <v>4472</v>
      </c>
      <c r="H4350" s="0" t="n">
        <f aca="false">IF(C4350&gt;1,IF(C4350&lt;99,VLOOKUP(F4350,'MSA-Lookup'!$AA$1:$AB$25,2),C4350),C4350)</f>
        <v>7120</v>
      </c>
    </row>
    <row r="4351" customFormat="false" ht="12.75" hidden="false" customHeight="false" outlineLevel="0" collapsed="false">
      <c r="A4351" s="0" t="n">
        <f aca="false">B4351*1000+C4351</f>
        <v>62040</v>
      </c>
      <c r="B4351" s="0" t="n">
        <v>62</v>
      </c>
      <c r="C4351" s="0" t="n">
        <v>40</v>
      </c>
      <c r="D4351" s="0" t="n">
        <v>0</v>
      </c>
      <c r="E4351" s="0" t="n">
        <f aca="false">VLOOKUP(B4351,'MSA-Lookup'!$H$2:$I$86,2)</f>
        <v>4480</v>
      </c>
      <c r="F4351" s="0" t="n">
        <f aca="false">IF(C4351&gt;1,IF(C4351&lt;99,VLOOKUP(C4351,'MSA-Lookup'!$H$1:$I$86,2),C4351),C4351)</f>
        <v>2840</v>
      </c>
      <c r="G4351" s="0" t="n">
        <f aca="false">VLOOKUP(E4351,'MSA-Lookup'!$AA$1:$AB$25,2)</f>
        <v>4472</v>
      </c>
      <c r="H4351" s="0" t="n">
        <f aca="false">IF(C4351&gt;1,IF(C4351&lt;99,VLOOKUP(F4351,'MSA-Lookup'!$AA$1:$AB$25,2),C4351),C4351)</f>
        <v>2840</v>
      </c>
    </row>
    <row r="4352" customFormat="false" ht="12.75" hidden="false" customHeight="false" outlineLevel="0" collapsed="false">
      <c r="A4352" s="0" t="n">
        <f aca="false">B4352*1000+C4352</f>
        <v>62041</v>
      </c>
      <c r="B4352" s="0" t="n">
        <v>62</v>
      </c>
      <c r="C4352" s="0" t="n">
        <v>41</v>
      </c>
      <c r="D4352" s="0" t="n">
        <v>0</v>
      </c>
      <c r="E4352" s="0" t="n">
        <f aca="false">VLOOKUP(B4352,'MSA-Lookup'!$H$2:$I$86,2)</f>
        <v>4480</v>
      </c>
      <c r="F4352" s="0" t="n">
        <f aca="false">IF(C4352&gt;1,IF(C4352&lt;99,VLOOKUP(C4352,'MSA-Lookup'!$H$1:$I$86,2),C4352),C4352)</f>
        <v>2840</v>
      </c>
      <c r="G4352" s="0" t="n">
        <f aca="false">VLOOKUP(E4352,'MSA-Lookup'!$AA$1:$AB$25,2)</f>
        <v>4472</v>
      </c>
      <c r="H4352" s="0" t="n">
        <f aca="false">IF(C4352&gt;1,IF(C4352&lt;99,VLOOKUP(F4352,'MSA-Lookup'!$AA$1:$AB$25,2),C4352),C4352)</f>
        <v>2840</v>
      </c>
    </row>
    <row r="4353" customFormat="false" ht="12.75" hidden="false" customHeight="false" outlineLevel="0" collapsed="false">
      <c r="A4353" s="0" t="n">
        <f aca="false">B4353*1000+C4353</f>
        <v>62042</v>
      </c>
      <c r="B4353" s="0" t="n">
        <v>62</v>
      </c>
      <c r="C4353" s="0" t="n">
        <v>42</v>
      </c>
      <c r="D4353" s="0" t="n">
        <v>0</v>
      </c>
      <c r="E4353" s="0" t="n">
        <f aca="false">VLOOKUP(B4353,'MSA-Lookup'!$H$2:$I$86,2)</f>
        <v>4480</v>
      </c>
      <c r="F4353" s="0" t="n">
        <f aca="false">IF(C4353&gt;1,IF(C4353&lt;99,VLOOKUP(C4353,'MSA-Lookup'!$H$1:$I$86,2),C4353),C4353)</f>
        <v>360</v>
      </c>
      <c r="G4353" s="0" t="n">
        <f aca="false">VLOOKUP(E4353,'MSA-Lookup'!$AA$1:$AB$25,2)</f>
        <v>4472</v>
      </c>
      <c r="H4353" s="0" t="n">
        <f aca="false">IF(C4353&gt;1,IF(C4353&lt;99,VLOOKUP(F4353,'MSA-Lookup'!$AA$1:$AB$25,2),C4353),C4353)</f>
        <v>4472</v>
      </c>
    </row>
    <row r="4354" customFormat="false" ht="12.75" hidden="false" customHeight="false" outlineLevel="0" collapsed="false">
      <c r="A4354" s="0" t="n">
        <f aca="false">B4354*1000+C4354</f>
        <v>62043</v>
      </c>
      <c r="B4354" s="0" t="n">
        <v>62</v>
      </c>
      <c r="C4354" s="0" t="n">
        <v>43</v>
      </c>
      <c r="D4354" s="0" t="n">
        <v>0</v>
      </c>
      <c r="E4354" s="0" t="n">
        <f aca="false">VLOOKUP(B4354,'MSA-Lookup'!$H$2:$I$86,2)</f>
        <v>4480</v>
      </c>
      <c r="F4354" s="0" t="n">
        <f aca="false">IF(C4354&gt;1,IF(C4354&lt;99,VLOOKUP(C4354,'MSA-Lookup'!$H$1:$I$86,2),C4354),C4354)</f>
        <v>360</v>
      </c>
      <c r="G4354" s="0" t="n">
        <f aca="false">VLOOKUP(E4354,'MSA-Lookup'!$AA$1:$AB$25,2)</f>
        <v>4472</v>
      </c>
      <c r="H4354" s="0" t="n">
        <f aca="false">IF(C4354&gt;1,IF(C4354&lt;99,VLOOKUP(F4354,'MSA-Lookup'!$AA$1:$AB$25,2),C4354),C4354)</f>
        <v>4472</v>
      </c>
    </row>
    <row r="4355" customFormat="false" ht="12.75" hidden="false" customHeight="false" outlineLevel="0" collapsed="false">
      <c r="A4355" s="0" t="n">
        <f aca="false">B4355*1000+C4355</f>
        <v>62044</v>
      </c>
      <c r="B4355" s="0" t="n">
        <v>62</v>
      </c>
      <c r="C4355" s="0" t="n">
        <v>44</v>
      </c>
      <c r="D4355" s="0" t="n">
        <v>0</v>
      </c>
      <c r="E4355" s="0" t="n">
        <f aca="false">VLOOKUP(B4355,'MSA-Lookup'!$H$2:$I$86,2)</f>
        <v>4480</v>
      </c>
      <c r="F4355" s="0" t="n">
        <f aca="false">IF(C4355&gt;1,IF(C4355&lt;99,VLOOKUP(C4355,'MSA-Lookup'!$H$1:$I$86,2),C4355),C4355)</f>
        <v>360</v>
      </c>
      <c r="G4355" s="0" t="n">
        <f aca="false">VLOOKUP(E4355,'MSA-Lookup'!$AA$1:$AB$25,2)</f>
        <v>4472</v>
      </c>
      <c r="H4355" s="0" t="n">
        <f aca="false">IF(C4355&gt;1,IF(C4355&lt;99,VLOOKUP(F4355,'MSA-Lookup'!$AA$1:$AB$25,2),C4355),C4355)</f>
        <v>4472</v>
      </c>
    </row>
    <row r="4356" customFormat="false" ht="12.75" hidden="false" customHeight="false" outlineLevel="0" collapsed="false">
      <c r="A4356" s="0" t="n">
        <f aca="false">B4356*1000+C4356</f>
        <v>62045</v>
      </c>
      <c r="B4356" s="0" t="n">
        <v>62</v>
      </c>
      <c r="C4356" s="0" t="n">
        <v>45</v>
      </c>
      <c r="D4356" s="0" t="n">
        <v>0</v>
      </c>
      <c r="E4356" s="0" t="n">
        <f aca="false">VLOOKUP(B4356,'MSA-Lookup'!$H$2:$I$86,2)</f>
        <v>4480</v>
      </c>
      <c r="F4356" s="0" t="n">
        <f aca="false">IF(C4356&gt;1,IF(C4356&lt;99,VLOOKUP(C4356,'MSA-Lookup'!$H$1:$I$86,2),C4356),C4356)</f>
        <v>360</v>
      </c>
      <c r="G4356" s="0" t="n">
        <f aca="false">VLOOKUP(E4356,'MSA-Lookup'!$AA$1:$AB$25,2)</f>
        <v>4472</v>
      </c>
      <c r="H4356" s="0" t="n">
        <f aca="false">IF(C4356&gt;1,IF(C4356&lt;99,VLOOKUP(F4356,'MSA-Lookup'!$AA$1:$AB$25,2),C4356),C4356)</f>
        <v>4472</v>
      </c>
    </row>
    <row r="4357" customFormat="false" ht="12.75" hidden="false" customHeight="false" outlineLevel="0" collapsed="false">
      <c r="A4357" s="0" t="n">
        <f aca="false">B4357*1000+C4357</f>
        <v>62046</v>
      </c>
      <c r="B4357" s="0" t="n">
        <v>62</v>
      </c>
      <c r="C4357" s="0" t="n">
        <v>46</v>
      </c>
      <c r="D4357" s="0" t="n">
        <v>143</v>
      </c>
      <c r="E4357" s="0" t="n">
        <f aca="false">VLOOKUP(B4357,'MSA-Lookup'!$H$2:$I$86,2)</f>
        <v>4480</v>
      </c>
      <c r="F4357" s="0" t="n">
        <f aca="false">IF(C4357&gt;1,IF(C4357&lt;99,VLOOKUP(C4357,'MSA-Lookup'!$H$1:$I$86,2),C4357),C4357)</f>
        <v>360</v>
      </c>
      <c r="G4357" s="0" t="n">
        <f aca="false">VLOOKUP(E4357,'MSA-Lookup'!$AA$1:$AB$25,2)</f>
        <v>4472</v>
      </c>
      <c r="H4357" s="0" t="n">
        <f aca="false">IF(C4357&gt;1,IF(C4357&lt;99,VLOOKUP(F4357,'MSA-Lookup'!$AA$1:$AB$25,2),C4357),C4357)</f>
        <v>4472</v>
      </c>
    </row>
    <row r="4358" customFormat="false" ht="12.75" hidden="false" customHeight="false" outlineLevel="0" collapsed="false">
      <c r="A4358" s="0" t="n">
        <f aca="false">B4358*1000+C4358</f>
        <v>62047</v>
      </c>
      <c r="B4358" s="0" t="n">
        <v>62</v>
      </c>
      <c r="C4358" s="0" t="n">
        <v>47</v>
      </c>
      <c r="D4358" s="0" t="n">
        <v>0</v>
      </c>
      <c r="E4358" s="0" t="n">
        <f aca="false">VLOOKUP(B4358,'MSA-Lookup'!$H$2:$I$86,2)</f>
        <v>4480</v>
      </c>
      <c r="F4358" s="0" t="n">
        <f aca="false">IF(C4358&gt;1,IF(C4358&lt;99,VLOOKUP(C4358,'MSA-Lookup'!$H$1:$I$86,2),C4358),C4358)</f>
        <v>360</v>
      </c>
      <c r="G4358" s="0" t="n">
        <f aca="false">VLOOKUP(E4358,'MSA-Lookup'!$AA$1:$AB$25,2)</f>
        <v>4472</v>
      </c>
      <c r="H4358" s="0" t="n">
        <f aca="false">IF(C4358&gt;1,IF(C4358&lt;99,VLOOKUP(F4358,'MSA-Lookup'!$AA$1:$AB$25,2),C4358),C4358)</f>
        <v>4472</v>
      </c>
    </row>
    <row r="4359" customFormat="false" ht="12.75" hidden="false" customHeight="false" outlineLevel="0" collapsed="false">
      <c r="A4359" s="0" t="n">
        <f aca="false">B4359*1000+C4359</f>
        <v>62048</v>
      </c>
      <c r="B4359" s="0" t="n">
        <v>62</v>
      </c>
      <c r="C4359" s="0" t="n">
        <v>48</v>
      </c>
      <c r="D4359" s="0" t="n">
        <v>650</v>
      </c>
      <c r="E4359" s="0" t="n">
        <f aca="false">VLOOKUP(B4359,'MSA-Lookup'!$H$2:$I$86,2)</f>
        <v>4480</v>
      </c>
      <c r="F4359" s="0" t="n">
        <f aca="false">IF(C4359&gt;1,IF(C4359&lt;99,VLOOKUP(C4359,'MSA-Lookup'!$H$1:$I$86,2),C4359),C4359)</f>
        <v>360</v>
      </c>
      <c r="G4359" s="0" t="n">
        <f aca="false">VLOOKUP(E4359,'MSA-Lookup'!$AA$1:$AB$25,2)</f>
        <v>4472</v>
      </c>
      <c r="H4359" s="0" t="n">
        <f aca="false">IF(C4359&gt;1,IF(C4359&lt;99,VLOOKUP(F4359,'MSA-Lookup'!$AA$1:$AB$25,2),C4359),C4359)</f>
        <v>4472</v>
      </c>
    </row>
    <row r="4360" customFormat="false" ht="12.75" hidden="false" customHeight="false" outlineLevel="0" collapsed="false">
      <c r="A4360" s="0" t="n">
        <f aca="false">B4360*1000+C4360</f>
        <v>62049</v>
      </c>
      <c r="B4360" s="0" t="n">
        <v>62</v>
      </c>
      <c r="C4360" s="0" t="n">
        <v>49</v>
      </c>
      <c r="D4360" s="0" t="n">
        <v>0</v>
      </c>
      <c r="E4360" s="0" t="n">
        <f aca="false">VLOOKUP(B4360,'MSA-Lookup'!$H$2:$I$86,2)</f>
        <v>4480</v>
      </c>
      <c r="F4360" s="0" t="n">
        <f aca="false">IF(C4360&gt;1,IF(C4360&lt;99,VLOOKUP(C4360,'MSA-Lookup'!$H$1:$I$86,2),C4360),C4360)</f>
        <v>7400</v>
      </c>
      <c r="G4360" s="0" t="n">
        <f aca="false">VLOOKUP(E4360,'MSA-Lookup'!$AA$1:$AB$25,2)</f>
        <v>4472</v>
      </c>
      <c r="H4360" s="0" t="n">
        <f aca="false">IF(C4360&gt;1,IF(C4360&lt;99,VLOOKUP(F4360,'MSA-Lookup'!$AA$1:$AB$25,2),C4360),C4360)</f>
        <v>7362</v>
      </c>
    </row>
    <row r="4361" customFormat="false" ht="12.75" hidden="false" customHeight="false" outlineLevel="0" collapsed="false">
      <c r="A4361" s="0" t="n">
        <f aca="false">B4361*1000+C4361</f>
        <v>62050</v>
      </c>
      <c r="B4361" s="0" t="n">
        <v>62</v>
      </c>
      <c r="C4361" s="0" t="n">
        <v>50</v>
      </c>
      <c r="D4361" s="0" t="n">
        <v>0</v>
      </c>
      <c r="E4361" s="0" t="n">
        <f aca="false">VLOOKUP(B4361,'MSA-Lookup'!$H$2:$I$86,2)</f>
        <v>4480</v>
      </c>
      <c r="F4361" s="0" t="n">
        <f aca="false">IF(C4361&gt;1,IF(C4361&lt;99,VLOOKUP(C4361,'MSA-Lookup'!$H$1:$I$86,2),C4361),C4361)</f>
        <v>7400</v>
      </c>
      <c r="G4361" s="0" t="n">
        <f aca="false">VLOOKUP(E4361,'MSA-Lookup'!$AA$1:$AB$25,2)</f>
        <v>4472</v>
      </c>
      <c r="H4361" s="0" t="n">
        <f aca="false">IF(C4361&gt;1,IF(C4361&lt;99,VLOOKUP(F4361,'MSA-Lookup'!$AA$1:$AB$25,2),C4361),C4361)</f>
        <v>7362</v>
      </c>
    </row>
    <row r="4362" customFormat="false" ht="12.75" hidden="false" customHeight="false" outlineLevel="0" collapsed="false">
      <c r="A4362" s="0" t="n">
        <f aca="false">B4362*1000+C4362</f>
        <v>62051</v>
      </c>
      <c r="B4362" s="0" t="n">
        <v>62</v>
      </c>
      <c r="C4362" s="0" t="n">
        <v>51</v>
      </c>
      <c r="D4362" s="0" t="n">
        <v>0</v>
      </c>
      <c r="E4362" s="0" t="n">
        <f aca="false">VLOOKUP(B4362,'MSA-Lookup'!$H$2:$I$86,2)</f>
        <v>4480</v>
      </c>
      <c r="F4362" s="0" t="n">
        <f aca="false">IF(C4362&gt;1,IF(C4362&lt;99,VLOOKUP(C4362,'MSA-Lookup'!$H$1:$I$86,2),C4362),C4362)</f>
        <v>7400</v>
      </c>
      <c r="G4362" s="0" t="n">
        <f aca="false">VLOOKUP(E4362,'MSA-Lookup'!$AA$1:$AB$25,2)</f>
        <v>4472</v>
      </c>
      <c r="H4362" s="0" t="n">
        <f aca="false">IF(C4362&gt;1,IF(C4362&lt;99,VLOOKUP(F4362,'MSA-Lookup'!$AA$1:$AB$25,2),C4362),C4362)</f>
        <v>7362</v>
      </c>
    </row>
    <row r="4363" customFormat="false" ht="12.75" hidden="false" customHeight="false" outlineLevel="0" collapsed="false">
      <c r="A4363" s="0" t="n">
        <f aca="false">B4363*1000+C4363</f>
        <v>62052</v>
      </c>
      <c r="B4363" s="0" t="n">
        <v>62</v>
      </c>
      <c r="C4363" s="0" t="n">
        <v>52</v>
      </c>
      <c r="D4363" s="0" t="n">
        <v>1560</v>
      </c>
      <c r="E4363" s="0" t="n">
        <f aca="false">VLOOKUP(B4363,'MSA-Lookup'!$H$2:$I$86,2)</f>
        <v>4480</v>
      </c>
      <c r="F4363" s="0" t="n">
        <f aca="false">IF(C4363&gt;1,IF(C4363&lt;99,VLOOKUP(C4363,'MSA-Lookup'!$H$1:$I$86,2),C4363),C4363)</f>
        <v>4480</v>
      </c>
      <c r="G4363" s="0" t="n">
        <f aca="false">VLOOKUP(E4363,'MSA-Lookup'!$AA$1:$AB$25,2)</f>
        <v>4472</v>
      </c>
      <c r="H4363" s="0" t="n">
        <f aca="false">IF(C4363&gt;1,IF(C4363&lt;99,VLOOKUP(F4363,'MSA-Lookup'!$AA$1:$AB$25,2),C4363),C4363)</f>
        <v>4472</v>
      </c>
    </row>
    <row r="4364" customFormat="false" ht="12.75" hidden="false" customHeight="false" outlineLevel="0" collapsed="false">
      <c r="A4364" s="0" t="n">
        <f aca="false">B4364*1000+C4364</f>
        <v>62053</v>
      </c>
      <c r="B4364" s="0" t="n">
        <v>62</v>
      </c>
      <c r="C4364" s="0" t="n">
        <v>53</v>
      </c>
      <c r="D4364" s="0" t="n">
        <v>143</v>
      </c>
      <c r="E4364" s="0" t="n">
        <f aca="false">VLOOKUP(B4364,'MSA-Lookup'!$H$2:$I$86,2)</f>
        <v>4480</v>
      </c>
      <c r="F4364" s="0" t="n">
        <f aca="false">IF(C4364&gt;1,IF(C4364&lt;99,VLOOKUP(C4364,'MSA-Lookup'!$H$1:$I$86,2),C4364),C4364)</f>
        <v>4480</v>
      </c>
      <c r="G4364" s="0" t="n">
        <f aca="false">VLOOKUP(E4364,'MSA-Lookup'!$AA$1:$AB$25,2)</f>
        <v>4472</v>
      </c>
      <c r="H4364" s="0" t="n">
        <f aca="false">IF(C4364&gt;1,IF(C4364&lt;99,VLOOKUP(F4364,'MSA-Lookup'!$AA$1:$AB$25,2),C4364),C4364)</f>
        <v>4472</v>
      </c>
    </row>
    <row r="4365" customFormat="false" ht="12.75" hidden="false" customHeight="false" outlineLevel="0" collapsed="false">
      <c r="A4365" s="0" t="n">
        <f aca="false">B4365*1000+C4365</f>
        <v>62054</v>
      </c>
      <c r="B4365" s="0" t="n">
        <v>62</v>
      </c>
      <c r="C4365" s="0" t="n">
        <v>54</v>
      </c>
      <c r="D4365" s="0" t="n">
        <v>65</v>
      </c>
      <c r="E4365" s="0" t="n">
        <f aca="false">VLOOKUP(B4365,'MSA-Lookup'!$H$2:$I$86,2)</f>
        <v>4480</v>
      </c>
      <c r="F4365" s="0" t="n">
        <f aca="false">IF(C4365&gt;1,IF(C4365&lt;99,VLOOKUP(C4365,'MSA-Lookup'!$H$1:$I$86,2),C4365),C4365)</f>
        <v>4480</v>
      </c>
      <c r="G4365" s="0" t="n">
        <f aca="false">VLOOKUP(E4365,'MSA-Lookup'!$AA$1:$AB$25,2)</f>
        <v>4472</v>
      </c>
      <c r="H4365" s="0" t="n">
        <f aca="false">IF(C4365&gt;1,IF(C4365&lt;99,VLOOKUP(F4365,'MSA-Lookup'!$AA$1:$AB$25,2),C4365),C4365)</f>
        <v>4472</v>
      </c>
    </row>
    <row r="4366" customFormat="false" ht="12.75" hidden="false" customHeight="false" outlineLevel="0" collapsed="false">
      <c r="A4366" s="0" t="n">
        <f aca="false">B4366*1000+C4366</f>
        <v>62055</v>
      </c>
      <c r="B4366" s="0" t="n">
        <v>62</v>
      </c>
      <c r="C4366" s="0" t="n">
        <v>55</v>
      </c>
      <c r="D4366" s="0" t="n">
        <v>0</v>
      </c>
      <c r="E4366" s="0" t="n">
        <f aca="false">VLOOKUP(B4366,'MSA-Lookup'!$H$2:$I$86,2)</f>
        <v>4480</v>
      </c>
      <c r="F4366" s="0" t="n">
        <f aca="false">IF(C4366&gt;1,IF(C4366&lt;99,VLOOKUP(C4366,'MSA-Lookup'!$H$1:$I$86,2),C4366),C4366)</f>
        <v>4480</v>
      </c>
      <c r="G4366" s="0" t="n">
        <f aca="false">VLOOKUP(E4366,'MSA-Lookup'!$AA$1:$AB$25,2)</f>
        <v>4472</v>
      </c>
      <c r="H4366" s="0" t="n">
        <f aca="false">IF(C4366&gt;1,IF(C4366&lt;99,VLOOKUP(F4366,'MSA-Lookup'!$AA$1:$AB$25,2),C4366),C4366)</f>
        <v>4472</v>
      </c>
    </row>
    <row r="4367" customFormat="false" ht="12.75" hidden="false" customHeight="false" outlineLevel="0" collapsed="false">
      <c r="A4367" s="0" t="n">
        <f aca="false">B4367*1000+C4367</f>
        <v>62056</v>
      </c>
      <c r="B4367" s="0" t="n">
        <v>62</v>
      </c>
      <c r="C4367" s="0" t="n">
        <v>56</v>
      </c>
      <c r="D4367" s="0" t="n">
        <v>104</v>
      </c>
      <c r="E4367" s="0" t="n">
        <f aca="false">VLOOKUP(B4367,'MSA-Lookup'!$H$2:$I$86,2)</f>
        <v>4480</v>
      </c>
      <c r="F4367" s="0" t="n">
        <f aca="false">IF(C4367&gt;1,IF(C4367&lt;99,VLOOKUP(C4367,'MSA-Lookup'!$H$1:$I$86,2),C4367),C4367)</f>
        <v>4480</v>
      </c>
      <c r="G4367" s="0" t="n">
        <f aca="false">VLOOKUP(E4367,'MSA-Lookup'!$AA$1:$AB$25,2)</f>
        <v>4472</v>
      </c>
      <c r="H4367" s="0" t="n">
        <f aca="false">IF(C4367&gt;1,IF(C4367&lt;99,VLOOKUP(F4367,'MSA-Lookup'!$AA$1:$AB$25,2),C4367),C4367)</f>
        <v>4472</v>
      </c>
    </row>
    <row r="4368" customFormat="false" ht="12.75" hidden="false" customHeight="false" outlineLevel="0" collapsed="false">
      <c r="A4368" s="0" t="n">
        <f aca="false">B4368*1000+C4368</f>
        <v>62057</v>
      </c>
      <c r="B4368" s="0" t="n">
        <v>62</v>
      </c>
      <c r="C4368" s="0" t="n">
        <v>57</v>
      </c>
      <c r="D4368" s="0" t="n">
        <v>195</v>
      </c>
      <c r="E4368" s="0" t="n">
        <f aca="false">VLOOKUP(B4368,'MSA-Lookup'!$H$2:$I$86,2)</f>
        <v>4480</v>
      </c>
      <c r="F4368" s="0" t="n">
        <f aca="false">IF(C4368&gt;1,IF(C4368&lt;99,VLOOKUP(C4368,'MSA-Lookup'!$H$1:$I$86,2),C4368),C4368)</f>
        <v>4480</v>
      </c>
      <c r="G4368" s="0" t="n">
        <f aca="false">VLOOKUP(E4368,'MSA-Lookup'!$AA$1:$AB$25,2)</f>
        <v>4472</v>
      </c>
      <c r="H4368" s="0" t="n">
        <f aca="false">IF(C4368&gt;1,IF(C4368&lt;99,VLOOKUP(F4368,'MSA-Lookup'!$AA$1:$AB$25,2),C4368),C4368)</f>
        <v>4472</v>
      </c>
    </row>
    <row r="4369" customFormat="false" ht="12.75" hidden="false" customHeight="false" outlineLevel="0" collapsed="false">
      <c r="A4369" s="0" t="n">
        <f aca="false">B4369*1000+C4369</f>
        <v>62058</v>
      </c>
      <c r="B4369" s="0" t="n">
        <v>62</v>
      </c>
      <c r="C4369" s="0" t="n">
        <v>58</v>
      </c>
      <c r="D4369" s="0" t="n">
        <v>117</v>
      </c>
      <c r="E4369" s="0" t="n">
        <f aca="false">VLOOKUP(B4369,'MSA-Lookup'!$H$2:$I$86,2)</f>
        <v>4480</v>
      </c>
      <c r="F4369" s="0" t="n">
        <f aca="false">IF(C4369&gt;1,IF(C4369&lt;99,VLOOKUP(C4369,'MSA-Lookup'!$H$1:$I$86,2),C4369),C4369)</f>
        <v>4480</v>
      </c>
      <c r="G4369" s="0" t="n">
        <f aca="false">VLOOKUP(E4369,'MSA-Lookup'!$AA$1:$AB$25,2)</f>
        <v>4472</v>
      </c>
      <c r="H4369" s="0" t="n">
        <f aca="false">IF(C4369&gt;1,IF(C4369&lt;99,VLOOKUP(F4369,'MSA-Lookup'!$AA$1:$AB$25,2),C4369),C4369)</f>
        <v>4472</v>
      </c>
    </row>
    <row r="4370" customFormat="false" ht="12.75" hidden="false" customHeight="false" outlineLevel="0" collapsed="false">
      <c r="A4370" s="0" t="n">
        <f aca="false">B4370*1000+C4370</f>
        <v>62059</v>
      </c>
      <c r="B4370" s="0" t="n">
        <v>62</v>
      </c>
      <c r="C4370" s="0" t="n">
        <v>59</v>
      </c>
      <c r="D4370" s="0" t="n">
        <v>260</v>
      </c>
      <c r="E4370" s="0" t="n">
        <f aca="false">VLOOKUP(B4370,'MSA-Lookup'!$H$2:$I$86,2)</f>
        <v>4480</v>
      </c>
      <c r="F4370" s="0" t="n">
        <f aca="false">IF(C4370&gt;1,IF(C4370&lt;99,VLOOKUP(C4370,'MSA-Lookup'!$H$1:$I$86,2),C4370),C4370)</f>
        <v>4480</v>
      </c>
      <c r="G4370" s="0" t="n">
        <f aca="false">VLOOKUP(E4370,'MSA-Lookup'!$AA$1:$AB$25,2)</f>
        <v>4472</v>
      </c>
      <c r="H4370" s="0" t="n">
        <f aca="false">IF(C4370&gt;1,IF(C4370&lt;99,VLOOKUP(F4370,'MSA-Lookup'!$AA$1:$AB$25,2),C4370),C4370)</f>
        <v>4472</v>
      </c>
    </row>
    <row r="4371" customFormat="false" ht="12.75" hidden="false" customHeight="false" outlineLevel="0" collapsed="false">
      <c r="A4371" s="0" t="n">
        <f aca="false">B4371*1000+C4371</f>
        <v>62060</v>
      </c>
      <c r="B4371" s="0" t="n">
        <v>62</v>
      </c>
      <c r="C4371" s="0" t="n">
        <v>60</v>
      </c>
      <c r="D4371" s="0" t="n">
        <v>338</v>
      </c>
      <c r="E4371" s="0" t="n">
        <f aca="false">VLOOKUP(B4371,'MSA-Lookup'!$H$2:$I$86,2)</f>
        <v>4480</v>
      </c>
      <c r="F4371" s="0" t="n">
        <f aca="false">IF(C4371&gt;1,IF(C4371&lt;99,VLOOKUP(C4371,'MSA-Lookup'!$H$1:$I$86,2),C4371),C4371)</f>
        <v>4480</v>
      </c>
      <c r="G4371" s="0" t="n">
        <f aca="false">VLOOKUP(E4371,'MSA-Lookup'!$AA$1:$AB$25,2)</f>
        <v>4472</v>
      </c>
      <c r="H4371" s="0" t="n">
        <f aca="false">IF(C4371&gt;1,IF(C4371&lt;99,VLOOKUP(F4371,'MSA-Lookup'!$AA$1:$AB$25,2),C4371),C4371)</f>
        <v>4472</v>
      </c>
    </row>
    <row r="4372" customFormat="false" ht="12.75" hidden="false" customHeight="false" outlineLevel="0" collapsed="false">
      <c r="A4372" s="0" t="n">
        <f aca="false">B4372*1000+C4372</f>
        <v>62061</v>
      </c>
      <c r="B4372" s="0" t="n">
        <v>62</v>
      </c>
      <c r="C4372" s="0" t="n">
        <v>61</v>
      </c>
      <c r="D4372" s="0" t="n">
        <v>806</v>
      </c>
      <c r="E4372" s="0" t="n">
        <f aca="false">VLOOKUP(B4372,'MSA-Lookup'!$H$2:$I$86,2)</f>
        <v>4480</v>
      </c>
      <c r="F4372" s="0" t="n">
        <f aca="false">IF(C4372&gt;1,IF(C4372&lt;99,VLOOKUP(C4372,'MSA-Lookup'!$H$1:$I$86,2),C4372),C4372)</f>
        <v>4480</v>
      </c>
      <c r="G4372" s="0" t="n">
        <f aca="false">VLOOKUP(E4372,'MSA-Lookup'!$AA$1:$AB$25,2)</f>
        <v>4472</v>
      </c>
      <c r="H4372" s="0" t="n">
        <f aca="false">IF(C4372&gt;1,IF(C4372&lt;99,VLOOKUP(F4372,'MSA-Lookup'!$AA$1:$AB$25,2),C4372),C4372)</f>
        <v>4472</v>
      </c>
    </row>
    <row r="4373" customFormat="false" ht="12.75" hidden="false" customHeight="false" outlineLevel="0" collapsed="false">
      <c r="A4373" s="0" t="n">
        <f aca="false">B4373*1000+C4373</f>
        <v>62062</v>
      </c>
      <c r="B4373" s="0" t="n">
        <v>62</v>
      </c>
      <c r="C4373" s="0" t="n">
        <v>62</v>
      </c>
      <c r="D4373" s="0" t="n">
        <v>19799</v>
      </c>
      <c r="E4373" s="0" t="n">
        <f aca="false">VLOOKUP(B4373,'MSA-Lookup'!$H$2:$I$86,2)</f>
        <v>4480</v>
      </c>
      <c r="F4373" s="0" t="n">
        <f aca="false">IF(C4373&gt;1,IF(C4373&lt;99,VLOOKUP(C4373,'MSA-Lookup'!$H$1:$I$86,2),C4373),C4373)</f>
        <v>4480</v>
      </c>
      <c r="G4373" s="0" t="n">
        <f aca="false">VLOOKUP(E4373,'MSA-Lookup'!$AA$1:$AB$25,2)</f>
        <v>4472</v>
      </c>
      <c r="H4373" s="0" t="n">
        <f aca="false">IF(C4373&gt;1,IF(C4373&lt;99,VLOOKUP(F4373,'MSA-Lookup'!$AA$1:$AB$25,2),C4373),C4373)</f>
        <v>4472</v>
      </c>
    </row>
    <row r="4374" customFormat="false" ht="12.75" hidden="false" customHeight="false" outlineLevel="0" collapsed="false">
      <c r="A4374" s="0" t="n">
        <f aca="false">B4374*1000+C4374</f>
        <v>62063</v>
      </c>
      <c r="B4374" s="0" t="n">
        <v>62</v>
      </c>
      <c r="C4374" s="0" t="n">
        <v>63</v>
      </c>
      <c r="D4374" s="0" t="n">
        <v>312</v>
      </c>
      <c r="E4374" s="0" t="n">
        <f aca="false">VLOOKUP(B4374,'MSA-Lookup'!$H$2:$I$86,2)</f>
        <v>4480</v>
      </c>
      <c r="F4374" s="0" t="n">
        <f aca="false">IF(C4374&gt;1,IF(C4374&lt;99,VLOOKUP(C4374,'MSA-Lookup'!$H$1:$I$86,2),C4374),C4374)</f>
        <v>4480</v>
      </c>
      <c r="G4374" s="0" t="n">
        <f aca="false">VLOOKUP(E4374,'MSA-Lookup'!$AA$1:$AB$25,2)</f>
        <v>4472</v>
      </c>
      <c r="H4374" s="0" t="n">
        <f aca="false">IF(C4374&gt;1,IF(C4374&lt;99,VLOOKUP(F4374,'MSA-Lookup'!$AA$1:$AB$25,2),C4374),C4374)</f>
        <v>4472</v>
      </c>
    </row>
    <row r="4375" customFormat="false" ht="12.75" hidden="false" customHeight="false" outlineLevel="0" collapsed="false">
      <c r="A4375" s="0" t="n">
        <f aca="false">B4375*1000+C4375</f>
        <v>62064</v>
      </c>
      <c r="B4375" s="0" t="n">
        <v>62</v>
      </c>
      <c r="C4375" s="0" t="n">
        <v>64</v>
      </c>
      <c r="D4375" s="0" t="n">
        <v>9711</v>
      </c>
      <c r="E4375" s="0" t="n">
        <f aca="false">VLOOKUP(B4375,'MSA-Lookup'!$H$2:$I$86,2)</f>
        <v>4480</v>
      </c>
      <c r="F4375" s="0" t="n">
        <f aca="false">IF(C4375&gt;1,IF(C4375&lt;99,VLOOKUP(C4375,'MSA-Lookup'!$H$1:$I$86,2),C4375),C4375)</f>
        <v>4480</v>
      </c>
      <c r="G4375" s="0" t="n">
        <f aca="false">VLOOKUP(E4375,'MSA-Lookup'!$AA$1:$AB$25,2)</f>
        <v>4472</v>
      </c>
      <c r="H4375" s="0" t="n">
        <f aca="false">IF(C4375&gt;1,IF(C4375&lt;99,VLOOKUP(F4375,'MSA-Lookup'!$AA$1:$AB$25,2),C4375),C4375)</f>
        <v>4472</v>
      </c>
    </row>
    <row r="4376" customFormat="false" ht="12.75" hidden="false" customHeight="false" outlineLevel="0" collapsed="false">
      <c r="A4376" s="0" t="n">
        <f aca="false">B4376*1000+C4376</f>
        <v>62065</v>
      </c>
      <c r="B4376" s="0" t="n">
        <v>62</v>
      </c>
      <c r="C4376" s="0" t="n">
        <v>65</v>
      </c>
      <c r="D4376" s="0" t="n">
        <v>38376</v>
      </c>
      <c r="E4376" s="0" t="n">
        <f aca="false">VLOOKUP(B4376,'MSA-Lookup'!$H$2:$I$86,2)</f>
        <v>4480</v>
      </c>
      <c r="F4376" s="0" t="n">
        <f aca="false">IF(C4376&gt;1,IF(C4376&lt;99,VLOOKUP(C4376,'MSA-Lookup'!$H$1:$I$86,2),C4376),C4376)</f>
        <v>4480</v>
      </c>
      <c r="G4376" s="0" t="n">
        <f aca="false">VLOOKUP(E4376,'MSA-Lookup'!$AA$1:$AB$25,2)</f>
        <v>4472</v>
      </c>
      <c r="H4376" s="0" t="n">
        <f aca="false">IF(C4376&gt;1,IF(C4376&lt;99,VLOOKUP(F4376,'MSA-Lookup'!$AA$1:$AB$25,2),C4376),C4376)</f>
        <v>4472</v>
      </c>
    </row>
    <row r="4377" customFormat="false" ht="12.75" hidden="false" customHeight="false" outlineLevel="0" collapsed="false">
      <c r="A4377" s="0" t="n">
        <f aca="false">B4377*1000+C4377</f>
        <v>62066</v>
      </c>
      <c r="B4377" s="0" t="n">
        <v>62</v>
      </c>
      <c r="C4377" s="0" t="n">
        <v>66</v>
      </c>
      <c r="D4377" s="0" t="n">
        <v>377</v>
      </c>
      <c r="E4377" s="0" t="n">
        <f aca="false">VLOOKUP(B4377,'MSA-Lookup'!$H$2:$I$86,2)</f>
        <v>4480</v>
      </c>
      <c r="F4377" s="0" t="n">
        <f aca="false">IF(C4377&gt;1,IF(C4377&lt;99,VLOOKUP(C4377,'MSA-Lookup'!$H$1:$I$86,2),C4377),C4377)</f>
        <v>4480</v>
      </c>
      <c r="G4377" s="0" t="n">
        <f aca="false">VLOOKUP(E4377,'MSA-Lookup'!$AA$1:$AB$25,2)</f>
        <v>4472</v>
      </c>
      <c r="H4377" s="0" t="n">
        <f aca="false">IF(C4377&gt;1,IF(C4377&lt;99,VLOOKUP(F4377,'MSA-Lookup'!$AA$1:$AB$25,2),C4377),C4377)</f>
        <v>4472</v>
      </c>
    </row>
    <row r="4378" customFormat="false" ht="12.75" hidden="false" customHeight="false" outlineLevel="0" collapsed="false">
      <c r="A4378" s="0" t="n">
        <f aca="false">B4378*1000+C4378</f>
        <v>62067</v>
      </c>
      <c r="B4378" s="0" t="n">
        <v>62</v>
      </c>
      <c r="C4378" s="0" t="n">
        <v>67</v>
      </c>
      <c r="D4378" s="0" t="n">
        <v>39</v>
      </c>
      <c r="E4378" s="0" t="n">
        <f aca="false">VLOOKUP(B4378,'MSA-Lookup'!$H$2:$I$86,2)</f>
        <v>4480</v>
      </c>
      <c r="F4378" s="0" t="n">
        <f aca="false">IF(C4378&gt;1,IF(C4378&lt;99,VLOOKUP(C4378,'MSA-Lookup'!$H$1:$I$86,2),C4378),C4378)</f>
        <v>6000</v>
      </c>
      <c r="G4378" s="0" t="n">
        <f aca="false">VLOOKUP(E4378,'MSA-Lookup'!$AA$1:$AB$25,2)</f>
        <v>4472</v>
      </c>
      <c r="H4378" s="0" t="n">
        <f aca="false">IF(C4378&gt;1,IF(C4378&lt;99,VLOOKUP(F4378,'MSA-Lookup'!$AA$1:$AB$25,2),C4378),C4378)</f>
        <v>4472</v>
      </c>
    </row>
    <row r="4379" customFormat="false" ht="12.75" hidden="false" customHeight="false" outlineLevel="0" collapsed="false">
      <c r="A4379" s="0" t="n">
        <f aca="false">B4379*1000+C4379</f>
        <v>62068</v>
      </c>
      <c r="B4379" s="0" t="n">
        <v>62</v>
      </c>
      <c r="C4379" s="0" t="n">
        <v>68</v>
      </c>
      <c r="D4379" s="0" t="n">
        <v>0</v>
      </c>
      <c r="E4379" s="0" t="n">
        <f aca="false">VLOOKUP(B4379,'MSA-Lookup'!$H$2:$I$86,2)</f>
        <v>4480</v>
      </c>
      <c r="F4379" s="0" t="n">
        <f aca="false">IF(C4379&gt;1,IF(C4379&lt;99,VLOOKUP(C4379,'MSA-Lookup'!$H$1:$I$86,2),C4379),C4379)</f>
        <v>6780</v>
      </c>
      <c r="G4379" s="0" t="n">
        <f aca="false">VLOOKUP(E4379,'MSA-Lookup'!$AA$1:$AB$25,2)</f>
        <v>4472</v>
      </c>
      <c r="H4379" s="0" t="n">
        <f aca="false">IF(C4379&gt;1,IF(C4379&lt;99,VLOOKUP(F4379,'MSA-Lookup'!$AA$1:$AB$25,2),C4379),C4379)</f>
        <v>4472</v>
      </c>
    </row>
    <row r="4380" customFormat="false" ht="12.75" hidden="false" customHeight="false" outlineLevel="0" collapsed="false">
      <c r="A4380" s="0" t="n">
        <f aca="false">B4380*1000+C4380</f>
        <v>62069</v>
      </c>
      <c r="B4380" s="0" t="n">
        <v>62</v>
      </c>
      <c r="C4380" s="0" t="n">
        <v>69</v>
      </c>
      <c r="D4380" s="0" t="n">
        <v>0</v>
      </c>
      <c r="E4380" s="0" t="n">
        <f aca="false">VLOOKUP(B4380,'MSA-Lookup'!$H$2:$I$86,2)</f>
        <v>4480</v>
      </c>
      <c r="F4380" s="0" t="n">
        <f aca="false">IF(C4380&gt;1,IF(C4380&lt;99,VLOOKUP(C4380,'MSA-Lookup'!$H$1:$I$86,2),C4380),C4380)</f>
        <v>6780</v>
      </c>
      <c r="G4380" s="0" t="n">
        <f aca="false">VLOOKUP(E4380,'MSA-Lookup'!$AA$1:$AB$25,2)</f>
        <v>4472</v>
      </c>
      <c r="H4380" s="0" t="n">
        <f aca="false">IF(C4380&gt;1,IF(C4380&lt;99,VLOOKUP(F4380,'MSA-Lookup'!$AA$1:$AB$25,2),C4380),C4380)</f>
        <v>4472</v>
      </c>
    </row>
    <row r="4381" customFormat="false" ht="12.75" hidden="false" customHeight="false" outlineLevel="0" collapsed="false">
      <c r="A4381" s="0" t="n">
        <f aca="false">B4381*1000+C4381</f>
        <v>62070</v>
      </c>
      <c r="B4381" s="0" t="n">
        <v>62</v>
      </c>
      <c r="C4381" s="0" t="n">
        <v>70</v>
      </c>
      <c r="D4381" s="0" t="n">
        <v>0</v>
      </c>
      <c r="E4381" s="0" t="n">
        <f aca="false">VLOOKUP(B4381,'MSA-Lookup'!$H$2:$I$86,2)</f>
        <v>4480</v>
      </c>
      <c r="F4381" s="0" t="n">
        <f aca="false">IF(C4381&gt;1,IF(C4381&lt;99,VLOOKUP(C4381,'MSA-Lookup'!$H$1:$I$86,2),C4381),C4381)</f>
        <v>6780</v>
      </c>
      <c r="G4381" s="0" t="n">
        <f aca="false">VLOOKUP(E4381,'MSA-Lookup'!$AA$1:$AB$25,2)</f>
        <v>4472</v>
      </c>
      <c r="H4381" s="0" t="n">
        <f aca="false">IF(C4381&gt;1,IF(C4381&lt;99,VLOOKUP(F4381,'MSA-Lookup'!$AA$1:$AB$25,2),C4381),C4381)</f>
        <v>4472</v>
      </c>
    </row>
    <row r="4382" customFormat="false" ht="12.75" hidden="false" customHeight="false" outlineLevel="0" collapsed="false">
      <c r="A4382" s="0" t="n">
        <f aca="false">B4382*1000+C4382</f>
        <v>62071</v>
      </c>
      <c r="B4382" s="0" t="n">
        <v>62</v>
      </c>
      <c r="C4382" s="0" t="n">
        <v>71</v>
      </c>
      <c r="D4382" s="0" t="n">
        <v>0</v>
      </c>
      <c r="E4382" s="0" t="n">
        <f aca="false">VLOOKUP(B4382,'MSA-Lookup'!$H$2:$I$86,2)</f>
        <v>4480</v>
      </c>
      <c r="F4382" s="0" t="n">
        <f aca="false">IF(C4382&gt;1,IF(C4382&lt;99,VLOOKUP(C4382,'MSA-Lookup'!$H$1:$I$86,2),C4382),C4382)</f>
        <v>6780</v>
      </c>
      <c r="G4382" s="0" t="n">
        <f aca="false">VLOOKUP(E4382,'MSA-Lookup'!$AA$1:$AB$25,2)</f>
        <v>4472</v>
      </c>
      <c r="H4382" s="0" t="n">
        <f aca="false">IF(C4382&gt;1,IF(C4382&lt;99,VLOOKUP(F4382,'MSA-Lookup'!$AA$1:$AB$25,2),C4382),C4382)</f>
        <v>4472</v>
      </c>
    </row>
    <row r="4383" customFormat="false" ht="12.75" hidden="false" customHeight="false" outlineLevel="0" collapsed="false">
      <c r="A4383" s="0" t="n">
        <f aca="false">B4383*1000+C4383</f>
        <v>62072</v>
      </c>
      <c r="B4383" s="0" t="n">
        <v>62</v>
      </c>
      <c r="C4383" s="0" t="n">
        <v>72</v>
      </c>
      <c r="D4383" s="0" t="n">
        <v>0</v>
      </c>
      <c r="E4383" s="0" t="n">
        <f aca="false">VLOOKUP(B4383,'MSA-Lookup'!$H$2:$I$86,2)</f>
        <v>4480</v>
      </c>
      <c r="F4383" s="0" t="n">
        <f aca="false">IF(C4383&gt;1,IF(C4383&lt;99,VLOOKUP(C4383,'MSA-Lookup'!$H$1:$I$86,2),C4383),C4383)</f>
        <v>6780</v>
      </c>
      <c r="G4383" s="0" t="n">
        <f aca="false">VLOOKUP(E4383,'MSA-Lookup'!$AA$1:$AB$25,2)</f>
        <v>4472</v>
      </c>
      <c r="H4383" s="0" t="n">
        <f aca="false">IF(C4383&gt;1,IF(C4383&lt;99,VLOOKUP(F4383,'MSA-Lookup'!$AA$1:$AB$25,2),C4383),C4383)</f>
        <v>4472</v>
      </c>
    </row>
    <row r="4384" customFormat="false" ht="12.75" hidden="false" customHeight="false" outlineLevel="0" collapsed="false">
      <c r="A4384" s="0" t="n">
        <f aca="false">B4384*1000+C4384</f>
        <v>62073</v>
      </c>
      <c r="B4384" s="0" t="n">
        <v>62</v>
      </c>
      <c r="C4384" s="0" t="n">
        <v>73</v>
      </c>
      <c r="D4384" s="0" t="n">
        <v>0</v>
      </c>
      <c r="E4384" s="0" t="n">
        <f aca="false">VLOOKUP(B4384,'MSA-Lookup'!$H$2:$I$86,2)</f>
        <v>4480</v>
      </c>
      <c r="F4384" s="0" t="n">
        <f aca="false">IF(C4384&gt;1,IF(C4384&lt;99,VLOOKUP(C4384,'MSA-Lookup'!$H$1:$I$86,2),C4384),C4384)</f>
        <v>8720</v>
      </c>
      <c r="G4384" s="0" t="n">
        <f aca="false">VLOOKUP(E4384,'MSA-Lookup'!$AA$1:$AB$25,2)</f>
        <v>4472</v>
      </c>
      <c r="H4384" s="0" t="n">
        <f aca="false">IF(C4384&gt;1,IF(C4384&lt;99,VLOOKUP(F4384,'MSA-Lookup'!$AA$1:$AB$25,2),C4384),C4384)</f>
        <v>7362</v>
      </c>
    </row>
    <row r="4385" customFormat="false" ht="12.75" hidden="false" customHeight="false" outlineLevel="0" collapsed="false">
      <c r="A4385" s="0" t="n">
        <f aca="false">B4385*1000+C4385</f>
        <v>62075</v>
      </c>
      <c r="B4385" s="0" t="n">
        <v>62</v>
      </c>
      <c r="C4385" s="0" t="n">
        <v>75</v>
      </c>
      <c r="D4385" s="0" t="n">
        <v>0</v>
      </c>
      <c r="E4385" s="0" t="n">
        <f aca="false">VLOOKUP(B4385,'MSA-Lookup'!$H$2:$I$86,2)</f>
        <v>4480</v>
      </c>
      <c r="F4385" s="0" t="n">
        <f aca="false">IF(C4385&gt;1,IF(C4385&lt;99,VLOOKUP(C4385,'MSA-Lookup'!$H$1:$I$86,2),C4385),C4385)</f>
        <v>8780</v>
      </c>
      <c r="G4385" s="0" t="n">
        <f aca="false">VLOOKUP(E4385,'MSA-Lookup'!$AA$1:$AB$25,2)</f>
        <v>4472</v>
      </c>
      <c r="H4385" s="0" t="n">
        <f aca="false">IF(C4385&gt;1,IF(C4385&lt;99,VLOOKUP(F4385,'MSA-Lookup'!$AA$1:$AB$25,2),C4385),C4385)</f>
        <v>8780</v>
      </c>
    </row>
    <row r="4386" customFormat="false" ht="12.75" hidden="false" customHeight="false" outlineLevel="0" collapsed="false">
      <c r="A4386" s="0" t="n">
        <f aca="false">B4386*1000+C4386</f>
        <v>62076</v>
      </c>
      <c r="B4386" s="0" t="n">
        <v>62</v>
      </c>
      <c r="C4386" s="0" t="n">
        <v>76</v>
      </c>
      <c r="D4386" s="0" t="n">
        <v>0</v>
      </c>
      <c r="E4386" s="0" t="n">
        <f aca="false">VLOOKUP(B4386,'MSA-Lookup'!$H$2:$I$86,2)</f>
        <v>4480</v>
      </c>
      <c r="F4386" s="0" t="n">
        <f aca="false">IF(C4386&gt;1,IF(C4386&lt;99,VLOOKUP(C4386,'MSA-Lookup'!$H$1:$I$86,2),C4386),C4386)</f>
        <v>7485</v>
      </c>
      <c r="G4386" s="0" t="n">
        <f aca="false">VLOOKUP(E4386,'MSA-Lookup'!$AA$1:$AB$25,2)</f>
        <v>4472</v>
      </c>
      <c r="H4386" s="0" t="n">
        <f aca="false">IF(C4386&gt;1,IF(C4386&lt;99,VLOOKUP(F4386,'MSA-Lookup'!$AA$1:$AB$25,2),C4386),C4386)</f>
        <v>7362</v>
      </c>
    </row>
    <row r="4387" customFormat="false" ht="12.75" hidden="false" customHeight="false" outlineLevel="0" collapsed="false">
      <c r="A4387" s="0" t="n">
        <f aca="false">B4387*1000+C4387</f>
        <v>62077</v>
      </c>
      <c r="B4387" s="0" t="n">
        <v>62</v>
      </c>
      <c r="C4387" s="0" t="n">
        <v>77</v>
      </c>
      <c r="D4387" s="0" t="n">
        <v>0</v>
      </c>
      <c r="E4387" s="0" t="n">
        <f aca="false">VLOOKUP(B4387,'MSA-Lookup'!$H$2:$I$86,2)</f>
        <v>4480</v>
      </c>
      <c r="F4387" s="0" t="n">
        <f aca="false">IF(C4387&gt;1,IF(C4387&lt;99,VLOOKUP(C4387,'MSA-Lookup'!$H$1:$I$86,2),C4387),C4387)</f>
        <v>9999</v>
      </c>
      <c r="G4387" s="0" t="n">
        <f aca="false">VLOOKUP(E4387,'MSA-Lookup'!$AA$1:$AB$25,2)</f>
        <v>4472</v>
      </c>
      <c r="H4387" s="0" t="n">
        <f aca="false">IF(C4387&gt;1,IF(C4387&lt;99,VLOOKUP(F4387,'MSA-Lookup'!$AA$1:$AB$25,2),C4387),C4387)</f>
        <v>9999</v>
      </c>
    </row>
    <row r="4388" customFormat="false" ht="12.75" hidden="false" customHeight="false" outlineLevel="0" collapsed="false">
      <c r="A4388" s="0" t="n">
        <f aca="false">B4388*1000+C4388</f>
        <v>62078</v>
      </c>
      <c r="B4388" s="0" t="n">
        <v>62</v>
      </c>
      <c r="C4388" s="0" t="n">
        <v>78</v>
      </c>
      <c r="D4388" s="0" t="n">
        <v>0</v>
      </c>
      <c r="E4388" s="0" t="n">
        <f aca="false">VLOOKUP(B4388,'MSA-Lookup'!$H$2:$I$86,2)</f>
        <v>4480</v>
      </c>
      <c r="F4388" s="0" t="n">
        <f aca="false">IF(C4388&gt;1,IF(C4388&lt;99,VLOOKUP(C4388,'MSA-Lookup'!$H$1:$I$86,2),C4388),C4388)</f>
        <v>680</v>
      </c>
      <c r="G4388" s="0" t="n">
        <f aca="false">VLOOKUP(E4388,'MSA-Lookup'!$AA$1:$AB$25,2)</f>
        <v>4472</v>
      </c>
      <c r="H4388" s="0" t="n">
        <f aca="false">IF(C4388&gt;1,IF(C4388&lt;99,VLOOKUP(F4388,'MSA-Lookup'!$AA$1:$AB$25,2),C4388),C4388)</f>
        <v>680</v>
      </c>
    </row>
    <row r="4389" customFormat="false" ht="12.75" hidden="false" customHeight="false" outlineLevel="0" collapsed="false">
      <c r="A4389" s="0" t="n">
        <f aca="false">B4389*1000+C4389</f>
        <v>62079</v>
      </c>
      <c r="B4389" s="0" t="n">
        <v>62</v>
      </c>
      <c r="C4389" s="0" t="n">
        <v>79</v>
      </c>
      <c r="D4389" s="0" t="n">
        <v>0</v>
      </c>
      <c r="E4389" s="0" t="n">
        <f aca="false">VLOOKUP(B4389,'MSA-Lookup'!$H$2:$I$86,2)</f>
        <v>4480</v>
      </c>
      <c r="F4389" s="0" t="n">
        <f aca="false">IF(C4389&gt;1,IF(C4389&lt;99,VLOOKUP(C4389,'MSA-Lookup'!$H$1:$I$86,2),C4389),C4389)</f>
        <v>680</v>
      </c>
      <c r="G4389" s="0" t="n">
        <f aca="false">VLOOKUP(E4389,'MSA-Lookup'!$AA$1:$AB$25,2)</f>
        <v>4472</v>
      </c>
      <c r="H4389" s="0" t="n">
        <f aca="false">IF(C4389&gt;1,IF(C4389&lt;99,VLOOKUP(F4389,'MSA-Lookup'!$AA$1:$AB$25,2),C4389),C4389)</f>
        <v>680</v>
      </c>
    </row>
    <row r="4390" customFormat="false" ht="12.75" hidden="false" customHeight="false" outlineLevel="0" collapsed="false">
      <c r="A4390" s="0" t="n">
        <f aca="false">B4390*1000+C4390</f>
        <v>62080</v>
      </c>
      <c r="B4390" s="0" t="n">
        <v>62</v>
      </c>
      <c r="C4390" s="0" t="n">
        <v>80</v>
      </c>
      <c r="D4390" s="0" t="n">
        <v>0</v>
      </c>
      <c r="E4390" s="0" t="n">
        <f aca="false">VLOOKUP(B4390,'MSA-Lookup'!$H$2:$I$86,2)</f>
        <v>4480</v>
      </c>
      <c r="F4390" s="0" t="n">
        <f aca="false">IF(C4390&gt;1,IF(C4390&lt;99,VLOOKUP(C4390,'MSA-Lookup'!$H$1:$I$86,2),C4390),C4390)</f>
        <v>9999</v>
      </c>
      <c r="G4390" s="0" t="n">
        <f aca="false">VLOOKUP(E4390,'MSA-Lookup'!$AA$1:$AB$25,2)</f>
        <v>4472</v>
      </c>
      <c r="H4390" s="0" t="n">
        <f aca="false">IF(C4390&gt;1,IF(C4390&lt;99,VLOOKUP(F4390,'MSA-Lookup'!$AA$1:$AB$25,2),C4390),C4390)</f>
        <v>9999</v>
      </c>
    </row>
    <row r="4391" customFormat="false" ht="12.75" hidden="false" customHeight="false" outlineLevel="0" collapsed="false">
      <c r="A4391" s="0" t="n">
        <f aca="false">B4391*1000+C4391</f>
        <v>62081</v>
      </c>
      <c r="B4391" s="0" t="n">
        <v>62</v>
      </c>
      <c r="C4391" s="0" t="n">
        <v>81</v>
      </c>
      <c r="D4391" s="0" t="n">
        <v>0</v>
      </c>
      <c r="E4391" s="0" t="n">
        <f aca="false">VLOOKUP(B4391,'MSA-Lookup'!$H$2:$I$86,2)</f>
        <v>4480</v>
      </c>
      <c r="F4391" s="0" t="n">
        <f aca="false">IF(C4391&gt;1,IF(C4391&lt;99,VLOOKUP(C4391,'MSA-Lookup'!$H$1:$I$86,2),C4391),C4391)</f>
        <v>6780</v>
      </c>
      <c r="G4391" s="0" t="n">
        <f aca="false">VLOOKUP(E4391,'MSA-Lookup'!$AA$1:$AB$25,2)</f>
        <v>4472</v>
      </c>
      <c r="H4391" s="0" t="n">
        <f aca="false">IF(C4391&gt;1,IF(C4391&lt;99,VLOOKUP(F4391,'MSA-Lookup'!$AA$1:$AB$25,2),C4391),C4391)</f>
        <v>4472</v>
      </c>
    </row>
    <row r="4392" customFormat="false" ht="12.75" hidden="false" customHeight="false" outlineLevel="0" collapsed="false">
      <c r="A4392" s="0" t="n">
        <f aca="false">B4392*1000+C4392</f>
        <v>62082</v>
      </c>
      <c r="B4392" s="0" t="n">
        <v>62</v>
      </c>
      <c r="C4392" s="0" t="n">
        <v>82</v>
      </c>
      <c r="D4392" s="0" t="n">
        <v>0</v>
      </c>
      <c r="E4392" s="0" t="n">
        <f aca="false">VLOOKUP(B4392,'MSA-Lookup'!$H$2:$I$86,2)</f>
        <v>4480</v>
      </c>
      <c r="F4392" s="0" t="n">
        <f aca="false">IF(C4392&gt;1,IF(C4392&lt;99,VLOOKUP(C4392,'MSA-Lookup'!$H$1:$I$86,2),C4392),C4392)</f>
        <v>6780</v>
      </c>
      <c r="G4392" s="0" t="n">
        <f aca="false">VLOOKUP(E4392,'MSA-Lookup'!$AA$1:$AB$25,2)</f>
        <v>4472</v>
      </c>
      <c r="H4392" s="0" t="n">
        <f aca="false">IF(C4392&gt;1,IF(C4392&lt;99,VLOOKUP(F4392,'MSA-Lookup'!$AA$1:$AB$25,2),C4392),C4392)</f>
        <v>4472</v>
      </c>
    </row>
    <row r="4393" customFormat="false" ht="12.75" hidden="false" customHeight="false" outlineLevel="0" collapsed="false">
      <c r="A4393" s="0" t="n">
        <f aca="false">B4393*1000+C4393</f>
        <v>62083</v>
      </c>
      <c r="B4393" s="0" t="n">
        <v>62</v>
      </c>
      <c r="C4393" s="0" t="n">
        <v>83</v>
      </c>
      <c r="D4393" s="0" t="n">
        <v>0</v>
      </c>
      <c r="E4393" s="0" t="n">
        <f aca="false">VLOOKUP(B4393,'MSA-Lookup'!$H$2:$I$86,2)</f>
        <v>4480</v>
      </c>
      <c r="F4393" s="0" t="n">
        <f aca="false">IF(C4393&gt;1,IF(C4393&lt;99,VLOOKUP(C4393,'MSA-Lookup'!$H$1:$I$86,2),C4393),C4393)</f>
        <v>6000</v>
      </c>
      <c r="G4393" s="0" t="n">
        <f aca="false">VLOOKUP(E4393,'MSA-Lookup'!$AA$1:$AB$25,2)</f>
        <v>4472</v>
      </c>
      <c r="H4393" s="0" t="n">
        <f aca="false">IF(C4393&gt;1,IF(C4393&lt;99,VLOOKUP(F4393,'MSA-Lookup'!$AA$1:$AB$25,2),C4393),C4393)</f>
        <v>4472</v>
      </c>
    </row>
    <row r="4394" customFormat="false" ht="12.75" hidden="false" customHeight="false" outlineLevel="0" collapsed="false">
      <c r="A4394" s="0" t="n">
        <f aca="false">B4394*1000+C4394</f>
        <v>62084</v>
      </c>
      <c r="B4394" s="0" t="n">
        <v>62</v>
      </c>
      <c r="C4394" s="0" t="n">
        <v>84</v>
      </c>
      <c r="D4394" s="0" t="n">
        <v>0</v>
      </c>
      <c r="E4394" s="0" t="n">
        <f aca="false">VLOOKUP(B4394,'MSA-Lookup'!$H$2:$I$86,2)</f>
        <v>4480</v>
      </c>
      <c r="F4394" s="0" t="n">
        <f aca="false">IF(C4394&gt;1,IF(C4394&lt;99,VLOOKUP(C4394,'MSA-Lookup'!$H$1:$I$86,2),C4394),C4394)</f>
        <v>360</v>
      </c>
      <c r="G4394" s="0" t="n">
        <f aca="false">VLOOKUP(E4394,'MSA-Lookup'!$AA$1:$AB$25,2)</f>
        <v>4472</v>
      </c>
      <c r="H4394" s="0" t="n">
        <f aca="false">IF(C4394&gt;1,IF(C4394&lt;99,VLOOKUP(F4394,'MSA-Lookup'!$AA$1:$AB$25,2),C4394),C4394)</f>
        <v>4472</v>
      </c>
    </row>
    <row r="4395" customFormat="false" ht="12.75" hidden="false" customHeight="false" outlineLevel="0" collapsed="false">
      <c r="A4395" s="0" t="n">
        <f aca="false">B4395*1000+C4395</f>
        <v>62085</v>
      </c>
      <c r="B4395" s="0" t="n">
        <v>62</v>
      </c>
      <c r="C4395" s="0" t="n">
        <v>85</v>
      </c>
      <c r="D4395" s="0" t="n">
        <v>0</v>
      </c>
      <c r="E4395" s="0" t="n">
        <f aca="false">VLOOKUP(B4395,'MSA-Lookup'!$H$2:$I$86,2)</f>
        <v>4480</v>
      </c>
      <c r="F4395" s="0" t="n">
        <f aca="false">IF(C4395&gt;1,IF(C4395&lt;99,VLOOKUP(C4395,'MSA-Lookup'!$H$1:$I$86,2),C4395),C4395)</f>
        <v>8120</v>
      </c>
      <c r="G4395" s="0" t="n">
        <f aca="false">VLOOKUP(E4395,'MSA-Lookup'!$AA$1:$AB$25,2)</f>
        <v>4472</v>
      </c>
      <c r="H4395" s="0" t="n">
        <f aca="false">IF(C4395&gt;1,IF(C4395&lt;99,VLOOKUP(F4395,'MSA-Lookup'!$AA$1:$AB$25,2),C4395),C4395)</f>
        <v>8120</v>
      </c>
    </row>
    <row r="4396" customFormat="false" ht="12.75" hidden="false" customHeight="false" outlineLevel="0" collapsed="false">
      <c r="A4396" s="0" t="n">
        <f aca="false">B4396*1000+C4396</f>
        <v>62858</v>
      </c>
      <c r="B4396" s="0" t="n">
        <v>62</v>
      </c>
      <c r="C4396" s="0" t="n">
        <v>858</v>
      </c>
      <c r="D4396" s="0" t="n">
        <v>0</v>
      </c>
      <c r="E4396" s="0" t="n">
        <f aca="false">VLOOKUP(B4396,'MSA-Lookup'!$H$2:$I$86,2)</f>
        <v>4480</v>
      </c>
      <c r="F4396" s="0" t="n">
        <f aca="false">IF(C4396&gt;1,IF(C4396&lt;99,VLOOKUP(C4396,'MSA-Lookup'!$H$1:$I$86,2),C4396),C4396)</f>
        <v>858</v>
      </c>
      <c r="G4396" s="0" t="n">
        <f aca="false">VLOOKUP(E4396,'MSA-Lookup'!$AA$1:$AB$25,2)</f>
        <v>4472</v>
      </c>
      <c r="H4396" s="0" t="n">
        <f aca="false">IF(C4396&gt;1,IF(C4396&lt;99,VLOOKUP(F4396,'MSA-Lookup'!$AA$1:$AB$25,2),C4396),C4396)</f>
        <v>858</v>
      </c>
    </row>
    <row r="4397" customFormat="false" ht="12.75" hidden="false" customHeight="false" outlineLevel="0" collapsed="false">
      <c r="A4397" s="0" t="n">
        <f aca="false">B4397*1000+C4397</f>
        <v>62983</v>
      </c>
      <c r="B4397" s="0" t="n">
        <v>62</v>
      </c>
      <c r="C4397" s="0" t="n">
        <v>983</v>
      </c>
      <c r="D4397" s="0" t="n">
        <v>0</v>
      </c>
      <c r="E4397" s="0" t="n">
        <f aca="false">VLOOKUP(B4397,'MSA-Lookup'!$H$2:$I$86,2)</f>
        <v>4480</v>
      </c>
      <c r="F4397" s="0" t="n">
        <f aca="false">IF(C4397&gt;1,IF(C4397&lt;99,VLOOKUP(C4397,'MSA-Lookup'!$H$1:$I$86,2),C4397),C4397)</f>
        <v>983</v>
      </c>
      <c r="G4397" s="0" t="n">
        <f aca="false">VLOOKUP(E4397,'MSA-Lookup'!$AA$1:$AB$25,2)</f>
        <v>4472</v>
      </c>
      <c r="H4397" s="0" t="n">
        <f aca="false">IF(C4397&gt;1,IF(C4397&lt;99,VLOOKUP(F4397,'MSA-Lookup'!$AA$1:$AB$25,2),C4397),C4397)</f>
        <v>983</v>
      </c>
    </row>
    <row r="4398" customFormat="false" ht="12.75" hidden="false" customHeight="false" outlineLevel="0" collapsed="false">
      <c r="A4398" s="0" t="n">
        <f aca="false">B4398*1000+C4398</f>
        <v>62999</v>
      </c>
      <c r="B4398" s="0" t="n">
        <v>62</v>
      </c>
      <c r="C4398" s="0" t="n">
        <v>999</v>
      </c>
      <c r="D4398" s="0" t="n">
        <v>104</v>
      </c>
      <c r="E4398" s="0" t="n">
        <f aca="false">VLOOKUP(B4398,'MSA-Lookup'!$H$2:$I$86,2)</f>
        <v>4480</v>
      </c>
      <c r="F4398" s="0" t="n">
        <f aca="false">IF(C4398&gt;1,IF(C4398&lt;99,VLOOKUP(C4398,'MSA-Lookup'!$H$1:$I$86,2),C4398),C4398)</f>
        <v>999</v>
      </c>
      <c r="G4398" s="0" t="n">
        <f aca="false">VLOOKUP(E4398,'MSA-Lookup'!$AA$1:$AB$25,2)</f>
        <v>4472</v>
      </c>
      <c r="H4398" s="0" t="n">
        <f aca="false">IF(C4398&gt;1,IF(C4398&lt;99,VLOOKUP(F4398,'MSA-Lookup'!$AA$1:$AB$25,2),C4398),C4398)</f>
        <v>999</v>
      </c>
    </row>
    <row r="4399" customFormat="false" ht="12.75" hidden="false" customHeight="false" outlineLevel="0" collapsed="false">
      <c r="A4399" s="0" t="n">
        <f aca="false">B4399*1000+C4399</f>
        <v>63000</v>
      </c>
      <c r="B4399" s="0" t="n">
        <v>63</v>
      </c>
      <c r="C4399" s="0" t="n">
        <v>0</v>
      </c>
      <c r="D4399" s="0" t="n">
        <v>67782</v>
      </c>
      <c r="E4399" s="0" t="n">
        <f aca="false">VLOOKUP(B4399,'MSA-Lookup'!$H$2:$I$86,2)</f>
        <v>4480</v>
      </c>
      <c r="F4399" s="0" t="n">
        <f aca="false">IF(C4399&gt;1,IF(C4399&lt;99,VLOOKUP(C4399,'MSA-Lookup'!$H$1:$I$86,2),C4399),C4399)</f>
        <v>0</v>
      </c>
      <c r="G4399" s="0" t="n">
        <f aca="false">VLOOKUP(E4399,'MSA-Lookup'!$AA$1:$AB$25,2)</f>
        <v>4472</v>
      </c>
      <c r="H4399" s="0" t="n">
        <f aca="false">IF(C4399&gt;1,IF(C4399&lt;99,VLOOKUP(F4399,'MSA-Lookup'!$AA$1:$AB$25,2),C4399),C4399)</f>
        <v>0</v>
      </c>
    </row>
    <row r="4400" customFormat="false" ht="12.75" hidden="false" customHeight="false" outlineLevel="0" collapsed="false">
      <c r="A4400" s="0" t="n">
        <f aca="false">B4400*1000+C4400</f>
        <v>63001</v>
      </c>
      <c r="B4400" s="0" t="n">
        <v>63</v>
      </c>
      <c r="C4400" s="0" t="n">
        <v>1</v>
      </c>
      <c r="D4400" s="0" t="n">
        <v>0</v>
      </c>
      <c r="E4400" s="0" t="n">
        <f aca="false">VLOOKUP(B4400,'MSA-Lookup'!$H$2:$I$86,2)</f>
        <v>4480</v>
      </c>
      <c r="F4400" s="0" t="n">
        <f aca="false">IF(C4400&gt;1,IF(C4400&lt;99,VLOOKUP(C4400,'MSA-Lookup'!$H$1:$I$86,2),C4400),C4400)</f>
        <v>1</v>
      </c>
      <c r="G4400" s="0" t="n">
        <f aca="false">VLOOKUP(E4400,'MSA-Lookup'!$AA$1:$AB$25,2)</f>
        <v>4472</v>
      </c>
      <c r="H4400" s="0" t="n">
        <f aca="false">IF(C4400&gt;1,IF(C4400&lt;99,VLOOKUP(F4400,'MSA-Lookup'!$AA$1:$AB$25,2),C4400),C4400)</f>
        <v>1</v>
      </c>
    </row>
    <row r="4401" customFormat="false" ht="12.75" hidden="false" customHeight="false" outlineLevel="0" collapsed="false">
      <c r="A4401" s="0" t="n">
        <f aca="false">B4401*1000+C4401</f>
        <v>63002</v>
      </c>
      <c r="B4401" s="0" t="n">
        <v>63</v>
      </c>
      <c r="C4401" s="0" t="n">
        <v>2</v>
      </c>
      <c r="D4401" s="0" t="n">
        <v>0</v>
      </c>
      <c r="E4401" s="0" t="n">
        <f aca="false">VLOOKUP(B4401,'MSA-Lookup'!$H$2:$I$86,2)</f>
        <v>4480</v>
      </c>
      <c r="F4401" s="0" t="n">
        <f aca="false">IF(C4401&gt;1,IF(C4401&lt;99,VLOOKUP(C4401,'MSA-Lookup'!$H$1:$I$86,2),C4401),C4401)</f>
        <v>9999</v>
      </c>
      <c r="G4401" s="0" t="n">
        <f aca="false">VLOOKUP(E4401,'MSA-Lookup'!$AA$1:$AB$25,2)</f>
        <v>4472</v>
      </c>
      <c r="H4401" s="0" t="n">
        <f aca="false">IF(C4401&gt;1,IF(C4401&lt;99,VLOOKUP(F4401,'MSA-Lookup'!$AA$1:$AB$25,2),C4401),C4401)</f>
        <v>9999</v>
      </c>
    </row>
    <row r="4402" customFormat="false" ht="12.75" hidden="false" customHeight="false" outlineLevel="0" collapsed="false">
      <c r="A4402" s="0" t="n">
        <f aca="false">B4402*1000+C4402</f>
        <v>63003</v>
      </c>
      <c r="B4402" s="0" t="n">
        <v>63</v>
      </c>
      <c r="C4402" s="0" t="n">
        <v>3</v>
      </c>
      <c r="D4402" s="0" t="n">
        <v>0</v>
      </c>
      <c r="E4402" s="0" t="n">
        <f aca="false">VLOOKUP(B4402,'MSA-Lookup'!$H$2:$I$86,2)</f>
        <v>4480</v>
      </c>
      <c r="F4402" s="0" t="n">
        <f aca="false">IF(C4402&gt;1,IF(C4402&lt;99,VLOOKUP(C4402,'MSA-Lookup'!$H$1:$I$86,2),C4402),C4402)</f>
        <v>6690</v>
      </c>
      <c r="G4402" s="0" t="n">
        <f aca="false">VLOOKUP(E4402,'MSA-Lookup'!$AA$1:$AB$25,2)</f>
        <v>4472</v>
      </c>
      <c r="H4402" s="0" t="n">
        <f aca="false">IF(C4402&gt;1,IF(C4402&lt;99,VLOOKUP(F4402,'MSA-Lookup'!$AA$1:$AB$25,2),C4402),C4402)</f>
        <v>6690</v>
      </c>
    </row>
    <row r="4403" customFormat="false" ht="12.75" hidden="false" customHeight="false" outlineLevel="0" collapsed="false">
      <c r="A4403" s="0" t="n">
        <f aca="false">B4403*1000+C4403</f>
        <v>63004</v>
      </c>
      <c r="B4403" s="0" t="n">
        <v>63</v>
      </c>
      <c r="C4403" s="0" t="n">
        <v>4</v>
      </c>
      <c r="D4403" s="0" t="n">
        <v>0</v>
      </c>
      <c r="E4403" s="0" t="n">
        <f aca="false">VLOOKUP(B4403,'MSA-Lookup'!$H$2:$I$86,2)</f>
        <v>4480</v>
      </c>
      <c r="F4403" s="0" t="n">
        <f aca="false">IF(C4403&gt;1,IF(C4403&lt;99,VLOOKUP(C4403,'MSA-Lookup'!$H$1:$I$86,2),C4403),C4403)</f>
        <v>9999</v>
      </c>
      <c r="G4403" s="0" t="n">
        <f aca="false">VLOOKUP(E4403,'MSA-Lookup'!$AA$1:$AB$25,2)</f>
        <v>4472</v>
      </c>
      <c r="H4403" s="0" t="n">
        <f aca="false">IF(C4403&gt;1,IF(C4403&lt;99,VLOOKUP(F4403,'MSA-Lookup'!$AA$1:$AB$25,2),C4403),C4403)</f>
        <v>9999</v>
      </c>
    </row>
    <row r="4404" customFormat="false" ht="12.75" hidden="false" customHeight="false" outlineLevel="0" collapsed="false">
      <c r="A4404" s="0" t="n">
        <f aca="false">B4404*1000+C4404</f>
        <v>63005</v>
      </c>
      <c r="B4404" s="0" t="n">
        <v>63</v>
      </c>
      <c r="C4404" s="0" t="n">
        <v>5</v>
      </c>
      <c r="D4404" s="0" t="n">
        <v>0</v>
      </c>
      <c r="E4404" s="0" t="n">
        <f aca="false">VLOOKUP(B4404,'MSA-Lookup'!$H$2:$I$86,2)</f>
        <v>4480</v>
      </c>
      <c r="F4404" s="0" t="n">
        <f aca="false">IF(C4404&gt;1,IF(C4404&lt;99,VLOOKUP(C4404,'MSA-Lookup'!$H$1:$I$86,2),C4404),C4404)</f>
        <v>9999</v>
      </c>
      <c r="G4404" s="0" t="n">
        <f aca="false">VLOOKUP(E4404,'MSA-Lookup'!$AA$1:$AB$25,2)</f>
        <v>4472</v>
      </c>
      <c r="H4404" s="0" t="n">
        <f aca="false">IF(C4404&gt;1,IF(C4404&lt;99,VLOOKUP(F4404,'MSA-Lookup'!$AA$1:$AB$25,2),C4404),C4404)</f>
        <v>9999</v>
      </c>
    </row>
    <row r="4405" customFormat="false" ht="12.75" hidden="false" customHeight="false" outlineLevel="0" collapsed="false">
      <c r="A4405" s="0" t="n">
        <f aca="false">B4405*1000+C4405</f>
        <v>63006</v>
      </c>
      <c r="B4405" s="0" t="n">
        <v>63</v>
      </c>
      <c r="C4405" s="0" t="n">
        <v>6</v>
      </c>
      <c r="D4405" s="0" t="n">
        <v>0</v>
      </c>
      <c r="E4405" s="0" t="n">
        <f aca="false">VLOOKUP(B4405,'MSA-Lookup'!$H$2:$I$86,2)</f>
        <v>4480</v>
      </c>
      <c r="F4405" s="0" t="n">
        <f aca="false">IF(C4405&gt;1,IF(C4405&lt;99,VLOOKUP(C4405,'MSA-Lookup'!$H$1:$I$86,2),C4405),C4405)</f>
        <v>1620</v>
      </c>
      <c r="G4405" s="0" t="n">
        <f aca="false">VLOOKUP(E4405,'MSA-Lookup'!$AA$1:$AB$25,2)</f>
        <v>4472</v>
      </c>
      <c r="H4405" s="0" t="n">
        <f aca="false">IF(C4405&gt;1,IF(C4405&lt;99,VLOOKUP(F4405,'MSA-Lookup'!$AA$1:$AB$25,2),C4405),C4405)</f>
        <v>1620</v>
      </c>
    </row>
    <row r="4406" customFormat="false" ht="12.75" hidden="false" customHeight="false" outlineLevel="0" collapsed="false">
      <c r="A4406" s="0" t="n">
        <f aca="false">B4406*1000+C4406</f>
        <v>63007</v>
      </c>
      <c r="B4406" s="0" t="n">
        <v>63</v>
      </c>
      <c r="C4406" s="0" t="n">
        <v>7</v>
      </c>
      <c r="D4406" s="0" t="n">
        <v>0</v>
      </c>
      <c r="E4406" s="0" t="n">
        <f aca="false">VLOOKUP(B4406,'MSA-Lookup'!$H$2:$I$86,2)</f>
        <v>4480</v>
      </c>
      <c r="F4406" s="0" t="n">
        <f aca="false">IF(C4406&gt;1,IF(C4406&lt;99,VLOOKUP(C4406,'MSA-Lookup'!$H$1:$I$86,2),C4406),C4406)</f>
        <v>9999</v>
      </c>
      <c r="G4406" s="0" t="n">
        <f aca="false">VLOOKUP(E4406,'MSA-Lookup'!$AA$1:$AB$25,2)</f>
        <v>4472</v>
      </c>
      <c r="H4406" s="0" t="n">
        <f aca="false">IF(C4406&gt;1,IF(C4406&lt;99,VLOOKUP(F4406,'MSA-Lookup'!$AA$1:$AB$25,2),C4406),C4406)</f>
        <v>9999</v>
      </c>
    </row>
    <row r="4407" customFormat="false" ht="12.75" hidden="false" customHeight="false" outlineLevel="0" collapsed="false">
      <c r="A4407" s="0" t="n">
        <f aca="false">B4407*1000+C4407</f>
        <v>63008</v>
      </c>
      <c r="B4407" s="0" t="n">
        <v>63</v>
      </c>
      <c r="C4407" s="0" t="n">
        <v>8</v>
      </c>
      <c r="D4407" s="0" t="n">
        <v>0</v>
      </c>
      <c r="E4407" s="0" t="n">
        <f aca="false">VLOOKUP(B4407,'MSA-Lookup'!$H$2:$I$86,2)</f>
        <v>4480</v>
      </c>
      <c r="F4407" s="0" t="n">
        <f aca="false">IF(C4407&gt;1,IF(C4407&lt;99,VLOOKUP(C4407,'MSA-Lookup'!$H$1:$I$86,2),C4407),C4407)</f>
        <v>9340</v>
      </c>
      <c r="G4407" s="0" t="n">
        <f aca="false">VLOOKUP(E4407,'MSA-Lookup'!$AA$1:$AB$25,2)</f>
        <v>4472</v>
      </c>
      <c r="H4407" s="0" t="n">
        <f aca="false">IF(C4407&gt;1,IF(C4407&lt;99,VLOOKUP(F4407,'MSA-Lookup'!$AA$1:$AB$25,2),C4407),C4407)</f>
        <v>9340</v>
      </c>
    </row>
    <row r="4408" customFormat="false" ht="12.75" hidden="false" customHeight="false" outlineLevel="0" collapsed="false">
      <c r="A4408" s="0" t="n">
        <f aca="false">B4408*1000+C4408</f>
        <v>63009</v>
      </c>
      <c r="B4408" s="0" t="n">
        <v>63</v>
      </c>
      <c r="C4408" s="0" t="n">
        <v>9</v>
      </c>
      <c r="D4408" s="0" t="n">
        <v>0</v>
      </c>
      <c r="E4408" s="0" t="n">
        <f aca="false">VLOOKUP(B4408,'MSA-Lookup'!$H$2:$I$86,2)</f>
        <v>4480</v>
      </c>
      <c r="F4408" s="0" t="n">
        <f aca="false">IF(C4408&gt;1,IF(C4408&lt;99,VLOOKUP(C4408,'MSA-Lookup'!$H$1:$I$86,2),C4408),C4408)</f>
        <v>8720</v>
      </c>
      <c r="G4408" s="0" t="n">
        <f aca="false">VLOOKUP(E4408,'MSA-Lookup'!$AA$1:$AB$25,2)</f>
        <v>4472</v>
      </c>
      <c r="H4408" s="0" t="n">
        <f aca="false">IF(C4408&gt;1,IF(C4408&lt;99,VLOOKUP(F4408,'MSA-Lookup'!$AA$1:$AB$25,2),C4408),C4408)</f>
        <v>7362</v>
      </c>
    </row>
    <row r="4409" customFormat="false" ht="12.75" hidden="false" customHeight="false" outlineLevel="0" collapsed="false">
      <c r="A4409" s="0" t="n">
        <f aca="false">B4409*1000+C4409</f>
        <v>63010</v>
      </c>
      <c r="B4409" s="0" t="n">
        <v>63</v>
      </c>
      <c r="C4409" s="0" t="n">
        <v>10</v>
      </c>
      <c r="D4409" s="0" t="n">
        <v>0</v>
      </c>
      <c r="E4409" s="0" t="n">
        <f aca="false">VLOOKUP(B4409,'MSA-Lookup'!$H$2:$I$86,2)</f>
        <v>4480</v>
      </c>
      <c r="F4409" s="0" t="n">
        <f aca="false">IF(C4409&gt;1,IF(C4409&lt;99,VLOOKUP(C4409,'MSA-Lookup'!$H$1:$I$86,2),C4409),C4409)</f>
        <v>6920</v>
      </c>
      <c r="G4409" s="0" t="n">
        <f aca="false">VLOOKUP(E4409,'MSA-Lookup'!$AA$1:$AB$25,2)</f>
        <v>4472</v>
      </c>
      <c r="H4409" s="0" t="n">
        <f aca="false">IF(C4409&gt;1,IF(C4409&lt;99,VLOOKUP(F4409,'MSA-Lookup'!$AA$1:$AB$25,2),C4409),C4409)</f>
        <v>6920</v>
      </c>
    </row>
    <row r="4410" customFormat="false" ht="12.75" hidden="false" customHeight="false" outlineLevel="0" collapsed="false">
      <c r="A4410" s="0" t="n">
        <f aca="false">B4410*1000+C4410</f>
        <v>63011</v>
      </c>
      <c r="B4410" s="0" t="n">
        <v>63</v>
      </c>
      <c r="C4410" s="0" t="n">
        <v>11</v>
      </c>
      <c r="D4410" s="0" t="n">
        <v>0</v>
      </c>
      <c r="E4410" s="0" t="n">
        <f aca="false">VLOOKUP(B4410,'MSA-Lookup'!$H$2:$I$86,2)</f>
        <v>4480</v>
      </c>
      <c r="F4410" s="0" t="n">
        <f aca="false">IF(C4410&gt;1,IF(C4410&lt;99,VLOOKUP(C4410,'MSA-Lookup'!$H$1:$I$86,2),C4410),C4410)</f>
        <v>6920</v>
      </c>
      <c r="G4410" s="0" t="n">
        <f aca="false">VLOOKUP(E4410,'MSA-Lookup'!$AA$1:$AB$25,2)</f>
        <v>4472</v>
      </c>
      <c r="H4410" s="0" t="n">
        <f aca="false">IF(C4410&gt;1,IF(C4410&lt;99,VLOOKUP(F4410,'MSA-Lookup'!$AA$1:$AB$25,2),C4410),C4410)</f>
        <v>6920</v>
      </c>
    </row>
    <row r="4411" customFormat="false" ht="12.75" hidden="false" customHeight="false" outlineLevel="0" collapsed="false">
      <c r="A4411" s="0" t="n">
        <f aca="false">B4411*1000+C4411</f>
        <v>63012</v>
      </c>
      <c r="B4411" s="0" t="n">
        <v>63</v>
      </c>
      <c r="C4411" s="0" t="n">
        <v>12</v>
      </c>
      <c r="D4411" s="0" t="n">
        <v>0</v>
      </c>
      <c r="E4411" s="0" t="n">
        <f aca="false">VLOOKUP(B4411,'MSA-Lookup'!$H$2:$I$86,2)</f>
        <v>4480</v>
      </c>
      <c r="F4411" s="0" t="n">
        <f aca="false">IF(C4411&gt;1,IF(C4411&lt;99,VLOOKUP(C4411,'MSA-Lookup'!$H$1:$I$86,2),C4411),C4411)</f>
        <v>6920</v>
      </c>
      <c r="G4411" s="0" t="n">
        <f aca="false">VLOOKUP(E4411,'MSA-Lookup'!$AA$1:$AB$25,2)</f>
        <v>4472</v>
      </c>
      <c r="H4411" s="0" t="n">
        <f aca="false">IF(C4411&gt;1,IF(C4411&lt;99,VLOOKUP(F4411,'MSA-Lookup'!$AA$1:$AB$25,2),C4411),C4411)</f>
        <v>6920</v>
      </c>
    </row>
    <row r="4412" customFormat="false" ht="12.75" hidden="false" customHeight="false" outlineLevel="0" collapsed="false">
      <c r="A4412" s="0" t="n">
        <f aca="false">B4412*1000+C4412</f>
        <v>63013</v>
      </c>
      <c r="B4412" s="0" t="n">
        <v>63</v>
      </c>
      <c r="C4412" s="0" t="n">
        <v>13</v>
      </c>
      <c r="D4412" s="0" t="n">
        <v>0</v>
      </c>
      <c r="E4412" s="0" t="n">
        <f aca="false">VLOOKUP(B4412,'MSA-Lookup'!$H$2:$I$86,2)</f>
        <v>4480</v>
      </c>
      <c r="F4412" s="0" t="n">
        <f aca="false">IF(C4412&gt;1,IF(C4412&lt;99,VLOOKUP(C4412,'MSA-Lookup'!$H$1:$I$86,2),C4412),C4412)</f>
        <v>7500</v>
      </c>
      <c r="G4412" s="0" t="n">
        <f aca="false">VLOOKUP(E4412,'MSA-Lookup'!$AA$1:$AB$25,2)</f>
        <v>4472</v>
      </c>
      <c r="H4412" s="0" t="n">
        <f aca="false">IF(C4412&gt;1,IF(C4412&lt;99,VLOOKUP(F4412,'MSA-Lookup'!$AA$1:$AB$25,2),C4412),C4412)</f>
        <v>7362</v>
      </c>
    </row>
    <row r="4413" customFormat="false" ht="12.75" hidden="false" customHeight="false" outlineLevel="0" collapsed="false">
      <c r="A4413" s="0" t="n">
        <f aca="false">B4413*1000+C4413</f>
        <v>63014</v>
      </c>
      <c r="B4413" s="0" t="n">
        <v>63</v>
      </c>
      <c r="C4413" s="0" t="n">
        <v>14</v>
      </c>
      <c r="D4413" s="0" t="n">
        <v>0</v>
      </c>
      <c r="E4413" s="0" t="n">
        <f aca="false">VLOOKUP(B4413,'MSA-Lookup'!$H$2:$I$86,2)</f>
        <v>4480</v>
      </c>
      <c r="F4413" s="0" t="n">
        <f aca="false">IF(C4413&gt;1,IF(C4413&lt;99,VLOOKUP(C4413,'MSA-Lookup'!$H$1:$I$86,2),C4413),C4413)</f>
        <v>7500</v>
      </c>
      <c r="G4413" s="0" t="n">
        <f aca="false">VLOOKUP(E4413,'MSA-Lookup'!$AA$1:$AB$25,2)</f>
        <v>4472</v>
      </c>
      <c r="H4413" s="0" t="n">
        <f aca="false">IF(C4413&gt;1,IF(C4413&lt;99,VLOOKUP(F4413,'MSA-Lookup'!$AA$1:$AB$25,2),C4413),C4413)</f>
        <v>7362</v>
      </c>
    </row>
    <row r="4414" customFormat="false" ht="12.75" hidden="false" customHeight="false" outlineLevel="0" collapsed="false">
      <c r="A4414" s="0" t="n">
        <f aca="false">B4414*1000+C4414</f>
        <v>63015</v>
      </c>
      <c r="B4414" s="0" t="n">
        <v>63</v>
      </c>
      <c r="C4414" s="0" t="n">
        <v>15</v>
      </c>
      <c r="D4414" s="0" t="n">
        <v>0</v>
      </c>
      <c r="E4414" s="0" t="n">
        <f aca="false">VLOOKUP(B4414,'MSA-Lookup'!$H$2:$I$86,2)</f>
        <v>4480</v>
      </c>
      <c r="F4414" s="0" t="n">
        <f aca="false">IF(C4414&gt;1,IF(C4414&lt;99,VLOOKUP(C4414,'MSA-Lookup'!$H$1:$I$86,2),C4414),C4414)</f>
        <v>7360</v>
      </c>
      <c r="G4414" s="0" t="n">
        <f aca="false">VLOOKUP(E4414,'MSA-Lookup'!$AA$1:$AB$25,2)</f>
        <v>4472</v>
      </c>
      <c r="H4414" s="0" t="n">
        <f aca="false">IF(C4414&gt;1,IF(C4414&lt;99,VLOOKUP(F4414,'MSA-Lookup'!$AA$1:$AB$25,2),C4414),C4414)</f>
        <v>7362</v>
      </c>
    </row>
    <row r="4415" customFormat="false" ht="12.75" hidden="false" customHeight="false" outlineLevel="0" collapsed="false">
      <c r="A4415" s="0" t="n">
        <f aca="false">B4415*1000+C4415</f>
        <v>63016</v>
      </c>
      <c r="B4415" s="0" t="n">
        <v>63</v>
      </c>
      <c r="C4415" s="0" t="n">
        <v>16</v>
      </c>
      <c r="D4415" s="0" t="n">
        <v>0</v>
      </c>
      <c r="E4415" s="0" t="n">
        <f aca="false">VLOOKUP(B4415,'MSA-Lookup'!$H$2:$I$86,2)</f>
        <v>4480</v>
      </c>
      <c r="F4415" s="0" t="n">
        <f aca="false">IF(C4415&gt;1,IF(C4415&lt;99,VLOOKUP(C4415,'MSA-Lookup'!$H$1:$I$86,2),C4415),C4415)</f>
        <v>8720</v>
      </c>
      <c r="G4415" s="0" t="n">
        <f aca="false">VLOOKUP(E4415,'MSA-Lookup'!$AA$1:$AB$25,2)</f>
        <v>4472</v>
      </c>
      <c r="H4415" s="0" t="n">
        <f aca="false">IF(C4415&gt;1,IF(C4415&lt;99,VLOOKUP(F4415,'MSA-Lookup'!$AA$1:$AB$25,2),C4415),C4415)</f>
        <v>7362</v>
      </c>
    </row>
    <row r="4416" customFormat="false" ht="12.75" hidden="false" customHeight="false" outlineLevel="0" collapsed="false">
      <c r="A4416" s="0" t="n">
        <f aca="false">B4416*1000+C4416</f>
        <v>63017</v>
      </c>
      <c r="B4416" s="0" t="n">
        <v>63</v>
      </c>
      <c r="C4416" s="0" t="n">
        <v>17</v>
      </c>
      <c r="D4416" s="0" t="n">
        <v>0</v>
      </c>
      <c r="E4416" s="0" t="n">
        <f aca="false">VLOOKUP(B4416,'MSA-Lookup'!$H$2:$I$86,2)</f>
        <v>4480</v>
      </c>
      <c r="F4416" s="0" t="n">
        <f aca="false">IF(C4416&gt;1,IF(C4416&lt;99,VLOOKUP(C4416,'MSA-Lookup'!$H$1:$I$86,2),C4416),C4416)</f>
        <v>5775</v>
      </c>
      <c r="G4416" s="0" t="n">
        <f aca="false">VLOOKUP(E4416,'MSA-Lookup'!$AA$1:$AB$25,2)</f>
        <v>4472</v>
      </c>
      <c r="H4416" s="0" t="n">
        <f aca="false">IF(C4416&gt;1,IF(C4416&lt;99,VLOOKUP(F4416,'MSA-Lookup'!$AA$1:$AB$25,2),C4416),C4416)</f>
        <v>7362</v>
      </c>
    </row>
    <row r="4417" customFormat="false" ht="12.75" hidden="false" customHeight="false" outlineLevel="0" collapsed="false">
      <c r="A4417" s="0" t="n">
        <f aca="false">B4417*1000+C4417</f>
        <v>63018</v>
      </c>
      <c r="B4417" s="0" t="n">
        <v>63</v>
      </c>
      <c r="C4417" s="0" t="n">
        <v>18</v>
      </c>
      <c r="D4417" s="0" t="n">
        <v>0</v>
      </c>
      <c r="E4417" s="0" t="n">
        <f aca="false">VLOOKUP(B4417,'MSA-Lookup'!$H$2:$I$86,2)</f>
        <v>4480</v>
      </c>
      <c r="F4417" s="0" t="n">
        <f aca="false">IF(C4417&gt;1,IF(C4417&lt;99,VLOOKUP(C4417,'MSA-Lookup'!$H$1:$I$86,2),C4417),C4417)</f>
        <v>5775</v>
      </c>
      <c r="G4417" s="0" t="n">
        <f aca="false">VLOOKUP(E4417,'MSA-Lookup'!$AA$1:$AB$25,2)</f>
        <v>4472</v>
      </c>
      <c r="H4417" s="0" t="n">
        <f aca="false">IF(C4417&gt;1,IF(C4417&lt;99,VLOOKUP(F4417,'MSA-Lookup'!$AA$1:$AB$25,2),C4417),C4417)</f>
        <v>7362</v>
      </c>
    </row>
    <row r="4418" customFormat="false" ht="12.75" hidden="false" customHeight="false" outlineLevel="0" collapsed="false">
      <c r="A4418" s="0" t="n">
        <f aca="false">B4418*1000+C4418</f>
        <v>63019</v>
      </c>
      <c r="B4418" s="0" t="n">
        <v>63</v>
      </c>
      <c r="C4418" s="0" t="n">
        <v>19</v>
      </c>
      <c r="D4418" s="0" t="n">
        <v>0</v>
      </c>
      <c r="E4418" s="0" t="n">
        <f aca="false">VLOOKUP(B4418,'MSA-Lookup'!$H$2:$I$86,2)</f>
        <v>4480</v>
      </c>
      <c r="F4418" s="0" t="n">
        <f aca="false">IF(C4418&gt;1,IF(C4418&lt;99,VLOOKUP(C4418,'MSA-Lookup'!$H$1:$I$86,2),C4418),C4418)</f>
        <v>7360</v>
      </c>
      <c r="G4418" s="0" t="n">
        <f aca="false">VLOOKUP(E4418,'MSA-Lookup'!$AA$1:$AB$25,2)</f>
        <v>4472</v>
      </c>
      <c r="H4418" s="0" t="n">
        <f aca="false">IF(C4418&gt;1,IF(C4418&lt;99,VLOOKUP(F4418,'MSA-Lookup'!$AA$1:$AB$25,2),C4418),C4418)</f>
        <v>7362</v>
      </c>
    </row>
    <row r="4419" customFormat="false" ht="12.75" hidden="false" customHeight="false" outlineLevel="0" collapsed="false">
      <c r="A4419" s="0" t="n">
        <f aca="false">B4419*1000+C4419</f>
        <v>63020</v>
      </c>
      <c r="B4419" s="0" t="n">
        <v>63</v>
      </c>
      <c r="C4419" s="0" t="n">
        <v>20</v>
      </c>
      <c r="D4419" s="0" t="n">
        <v>0</v>
      </c>
      <c r="E4419" s="0" t="n">
        <f aca="false">VLOOKUP(B4419,'MSA-Lookup'!$H$2:$I$86,2)</f>
        <v>4480</v>
      </c>
      <c r="F4419" s="0" t="n">
        <f aca="false">IF(C4419&gt;1,IF(C4419&lt;99,VLOOKUP(C4419,'MSA-Lookup'!$H$1:$I$86,2),C4419),C4419)</f>
        <v>5775</v>
      </c>
      <c r="G4419" s="0" t="n">
        <f aca="false">VLOOKUP(E4419,'MSA-Lookup'!$AA$1:$AB$25,2)</f>
        <v>4472</v>
      </c>
      <c r="H4419" s="0" t="n">
        <f aca="false">IF(C4419&gt;1,IF(C4419&lt;99,VLOOKUP(F4419,'MSA-Lookup'!$AA$1:$AB$25,2),C4419),C4419)</f>
        <v>7362</v>
      </c>
    </row>
    <row r="4420" customFormat="false" ht="12.75" hidden="false" customHeight="false" outlineLevel="0" collapsed="false">
      <c r="A4420" s="0" t="n">
        <f aca="false">B4420*1000+C4420</f>
        <v>63021</v>
      </c>
      <c r="B4420" s="0" t="n">
        <v>63</v>
      </c>
      <c r="C4420" s="0" t="n">
        <v>21</v>
      </c>
      <c r="D4420" s="0" t="n">
        <v>0</v>
      </c>
      <c r="E4420" s="0" t="n">
        <f aca="false">VLOOKUP(B4420,'MSA-Lookup'!$H$2:$I$86,2)</f>
        <v>4480</v>
      </c>
      <c r="F4420" s="0" t="n">
        <f aca="false">IF(C4420&gt;1,IF(C4420&lt;99,VLOOKUP(C4420,'MSA-Lookup'!$H$1:$I$86,2),C4420),C4420)</f>
        <v>5775</v>
      </c>
      <c r="G4420" s="0" t="n">
        <f aca="false">VLOOKUP(E4420,'MSA-Lookup'!$AA$1:$AB$25,2)</f>
        <v>4472</v>
      </c>
      <c r="H4420" s="0" t="n">
        <f aca="false">IF(C4420&gt;1,IF(C4420&lt;99,VLOOKUP(F4420,'MSA-Lookup'!$AA$1:$AB$25,2),C4420),C4420)</f>
        <v>7362</v>
      </c>
    </row>
    <row r="4421" customFormat="false" ht="12.75" hidden="false" customHeight="false" outlineLevel="0" collapsed="false">
      <c r="A4421" s="0" t="n">
        <f aca="false">B4421*1000+C4421</f>
        <v>63022</v>
      </c>
      <c r="B4421" s="0" t="n">
        <v>63</v>
      </c>
      <c r="C4421" s="0" t="n">
        <v>22</v>
      </c>
      <c r="D4421" s="0" t="n">
        <v>0</v>
      </c>
      <c r="E4421" s="0" t="n">
        <f aca="false">VLOOKUP(B4421,'MSA-Lookup'!$H$2:$I$86,2)</f>
        <v>4480</v>
      </c>
      <c r="F4421" s="0" t="n">
        <f aca="false">IF(C4421&gt;1,IF(C4421&lt;99,VLOOKUP(C4421,'MSA-Lookup'!$H$1:$I$86,2),C4421),C4421)</f>
        <v>7360</v>
      </c>
      <c r="G4421" s="0" t="n">
        <f aca="false">VLOOKUP(E4421,'MSA-Lookup'!$AA$1:$AB$25,2)</f>
        <v>4472</v>
      </c>
      <c r="H4421" s="0" t="n">
        <f aca="false">IF(C4421&gt;1,IF(C4421&lt;99,VLOOKUP(F4421,'MSA-Lookup'!$AA$1:$AB$25,2),C4421),C4421)</f>
        <v>7362</v>
      </c>
    </row>
    <row r="4422" customFormat="false" ht="12.75" hidden="false" customHeight="false" outlineLevel="0" collapsed="false">
      <c r="A4422" s="0" t="n">
        <f aca="false">B4422*1000+C4422</f>
        <v>63023</v>
      </c>
      <c r="B4422" s="0" t="n">
        <v>63</v>
      </c>
      <c r="C4422" s="0" t="n">
        <v>23</v>
      </c>
      <c r="D4422" s="0" t="n">
        <v>0</v>
      </c>
      <c r="E4422" s="0" t="n">
        <f aca="false">VLOOKUP(B4422,'MSA-Lookup'!$H$2:$I$86,2)</f>
        <v>4480</v>
      </c>
      <c r="F4422" s="0" t="n">
        <f aca="false">IF(C4422&gt;1,IF(C4422&lt;99,VLOOKUP(C4422,'MSA-Lookup'!$H$1:$I$86,2),C4422),C4422)</f>
        <v>8120</v>
      </c>
      <c r="G4422" s="0" t="n">
        <f aca="false">VLOOKUP(E4422,'MSA-Lookup'!$AA$1:$AB$25,2)</f>
        <v>4472</v>
      </c>
      <c r="H4422" s="0" t="n">
        <f aca="false">IF(C4422&gt;1,IF(C4422&lt;99,VLOOKUP(F4422,'MSA-Lookup'!$AA$1:$AB$25,2),C4422),C4422)</f>
        <v>8120</v>
      </c>
    </row>
    <row r="4423" customFormat="false" ht="12.75" hidden="false" customHeight="false" outlineLevel="0" collapsed="false">
      <c r="A4423" s="0" t="n">
        <f aca="false">B4423*1000+C4423</f>
        <v>63024</v>
      </c>
      <c r="B4423" s="0" t="n">
        <v>63</v>
      </c>
      <c r="C4423" s="0" t="n">
        <v>24</v>
      </c>
      <c r="D4423" s="0" t="n">
        <v>0</v>
      </c>
      <c r="E4423" s="0" t="n">
        <f aca="false">VLOOKUP(B4423,'MSA-Lookup'!$H$2:$I$86,2)</f>
        <v>4480</v>
      </c>
      <c r="F4423" s="0" t="n">
        <f aca="false">IF(C4423&gt;1,IF(C4423&lt;99,VLOOKUP(C4423,'MSA-Lookup'!$H$1:$I$86,2),C4423),C4423)</f>
        <v>5170</v>
      </c>
      <c r="G4423" s="0" t="n">
        <f aca="false">VLOOKUP(E4423,'MSA-Lookup'!$AA$1:$AB$25,2)</f>
        <v>4472</v>
      </c>
      <c r="H4423" s="0" t="n">
        <f aca="false">IF(C4423&gt;1,IF(C4423&lt;99,VLOOKUP(F4423,'MSA-Lookup'!$AA$1:$AB$25,2),C4423),C4423)</f>
        <v>5170</v>
      </c>
    </row>
    <row r="4424" customFormat="false" ht="12.75" hidden="false" customHeight="false" outlineLevel="0" collapsed="false">
      <c r="A4424" s="0" t="n">
        <f aca="false">B4424*1000+C4424</f>
        <v>63025</v>
      </c>
      <c r="B4424" s="0" t="n">
        <v>63</v>
      </c>
      <c r="C4424" s="0" t="n">
        <v>25</v>
      </c>
      <c r="D4424" s="0" t="n">
        <v>0</v>
      </c>
      <c r="E4424" s="0" t="n">
        <f aca="false">VLOOKUP(B4424,'MSA-Lookup'!$H$2:$I$86,2)</f>
        <v>4480</v>
      </c>
      <c r="F4424" s="0" t="n">
        <f aca="false">IF(C4424&gt;1,IF(C4424&lt;99,VLOOKUP(C4424,'MSA-Lookup'!$H$1:$I$86,2),C4424),C4424)</f>
        <v>5170</v>
      </c>
      <c r="G4424" s="0" t="n">
        <f aca="false">VLOOKUP(E4424,'MSA-Lookup'!$AA$1:$AB$25,2)</f>
        <v>4472</v>
      </c>
      <c r="H4424" s="0" t="n">
        <f aca="false">IF(C4424&gt;1,IF(C4424&lt;99,VLOOKUP(F4424,'MSA-Lookup'!$AA$1:$AB$25,2),C4424),C4424)</f>
        <v>5170</v>
      </c>
    </row>
    <row r="4425" customFormat="false" ht="12.75" hidden="false" customHeight="false" outlineLevel="0" collapsed="false">
      <c r="A4425" s="0" t="n">
        <f aca="false">B4425*1000+C4425</f>
        <v>63026</v>
      </c>
      <c r="B4425" s="0" t="n">
        <v>63</v>
      </c>
      <c r="C4425" s="0" t="n">
        <v>26</v>
      </c>
      <c r="D4425" s="0" t="n">
        <v>0</v>
      </c>
      <c r="E4425" s="0" t="n">
        <f aca="false">VLOOKUP(B4425,'MSA-Lookup'!$H$2:$I$86,2)</f>
        <v>4480</v>
      </c>
      <c r="F4425" s="0" t="n">
        <f aca="false">IF(C4425&gt;1,IF(C4425&lt;99,VLOOKUP(C4425,'MSA-Lookup'!$H$1:$I$86,2),C4425),C4425)</f>
        <v>9999</v>
      </c>
      <c r="G4425" s="0" t="n">
        <f aca="false">VLOOKUP(E4425,'MSA-Lookup'!$AA$1:$AB$25,2)</f>
        <v>4472</v>
      </c>
      <c r="H4425" s="0" t="n">
        <f aca="false">IF(C4425&gt;1,IF(C4425&lt;99,VLOOKUP(F4425,'MSA-Lookup'!$AA$1:$AB$25,2),C4425),C4425)</f>
        <v>9999</v>
      </c>
    </row>
    <row r="4426" customFormat="false" ht="12.75" hidden="false" customHeight="false" outlineLevel="0" collapsed="false">
      <c r="A4426" s="0" t="n">
        <f aca="false">B4426*1000+C4426</f>
        <v>63027</v>
      </c>
      <c r="B4426" s="0" t="n">
        <v>63</v>
      </c>
      <c r="C4426" s="0" t="n">
        <v>27</v>
      </c>
      <c r="D4426" s="0" t="n">
        <v>0</v>
      </c>
      <c r="E4426" s="0" t="n">
        <f aca="false">VLOOKUP(B4426,'MSA-Lookup'!$H$2:$I$86,2)</f>
        <v>4480</v>
      </c>
      <c r="F4426" s="0" t="n">
        <f aca="false">IF(C4426&gt;1,IF(C4426&lt;99,VLOOKUP(C4426,'MSA-Lookup'!$H$1:$I$86,2),C4426),C4426)</f>
        <v>9999</v>
      </c>
      <c r="G4426" s="0" t="n">
        <f aca="false">VLOOKUP(E4426,'MSA-Lookup'!$AA$1:$AB$25,2)</f>
        <v>4472</v>
      </c>
      <c r="H4426" s="0" t="n">
        <f aca="false">IF(C4426&gt;1,IF(C4426&lt;99,VLOOKUP(F4426,'MSA-Lookup'!$AA$1:$AB$25,2),C4426),C4426)</f>
        <v>9999</v>
      </c>
    </row>
    <row r="4427" customFormat="false" ht="12.75" hidden="false" customHeight="false" outlineLevel="0" collapsed="false">
      <c r="A4427" s="0" t="n">
        <f aca="false">B4427*1000+C4427</f>
        <v>63028</v>
      </c>
      <c r="B4427" s="0" t="n">
        <v>63</v>
      </c>
      <c r="C4427" s="0" t="n">
        <v>28</v>
      </c>
      <c r="D4427" s="0" t="n">
        <v>0</v>
      </c>
      <c r="E4427" s="0" t="n">
        <f aca="false">VLOOKUP(B4427,'MSA-Lookup'!$H$2:$I$86,2)</f>
        <v>4480</v>
      </c>
      <c r="F4427" s="0" t="n">
        <f aca="false">IF(C4427&gt;1,IF(C4427&lt;99,VLOOKUP(C4427,'MSA-Lookup'!$H$1:$I$86,2),C4427),C4427)</f>
        <v>6920</v>
      </c>
      <c r="G4427" s="0" t="n">
        <f aca="false">VLOOKUP(E4427,'MSA-Lookup'!$AA$1:$AB$25,2)</f>
        <v>4472</v>
      </c>
      <c r="H4427" s="0" t="n">
        <f aca="false">IF(C4427&gt;1,IF(C4427&lt;99,VLOOKUP(F4427,'MSA-Lookup'!$AA$1:$AB$25,2),C4427),C4427)</f>
        <v>6920</v>
      </c>
    </row>
    <row r="4428" customFormat="false" ht="12.75" hidden="false" customHeight="false" outlineLevel="0" collapsed="false">
      <c r="A4428" s="0" t="n">
        <f aca="false">B4428*1000+C4428</f>
        <v>63029</v>
      </c>
      <c r="B4428" s="0" t="n">
        <v>63</v>
      </c>
      <c r="C4428" s="0" t="n">
        <v>29</v>
      </c>
      <c r="D4428" s="0" t="n">
        <v>0</v>
      </c>
      <c r="E4428" s="0" t="n">
        <f aca="false">VLOOKUP(B4428,'MSA-Lookup'!$H$2:$I$86,2)</f>
        <v>4480</v>
      </c>
      <c r="F4428" s="0" t="n">
        <f aca="false">IF(C4428&gt;1,IF(C4428&lt;99,VLOOKUP(C4428,'MSA-Lookup'!$H$1:$I$86,2),C4428),C4428)</f>
        <v>6920</v>
      </c>
      <c r="G4428" s="0" t="n">
        <f aca="false">VLOOKUP(E4428,'MSA-Lookup'!$AA$1:$AB$25,2)</f>
        <v>4472</v>
      </c>
      <c r="H4428" s="0" t="n">
        <f aca="false">IF(C4428&gt;1,IF(C4428&lt;99,VLOOKUP(F4428,'MSA-Lookup'!$AA$1:$AB$25,2),C4428),C4428)</f>
        <v>6920</v>
      </c>
    </row>
    <row r="4429" customFormat="false" ht="12.75" hidden="false" customHeight="false" outlineLevel="0" collapsed="false">
      <c r="A4429" s="0" t="n">
        <f aca="false">B4429*1000+C4429</f>
        <v>63030</v>
      </c>
      <c r="B4429" s="0" t="n">
        <v>63</v>
      </c>
      <c r="C4429" s="0" t="n">
        <v>30</v>
      </c>
      <c r="D4429" s="0" t="n">
        <v>0</v>
      </c>
      <c r="E4429" s="0" t="n">
        <f aca="false">VLOOKUP(B4429,'MSA-Lookup'!$H$2:$I$86,2)</f>
        <v>4480</v>
      </c>
      <c r="F4429" s="0" t="n">
        <f aca="false">IF(C4429&gt;1,IF(C4429&lt;99,VLOOKUP(C4429,'MSA-Lookup'!$H$1:$I$86,2),C4429),C4429)</f>
        <v>4940</v>
      </c>
      <c r="G4429" s="0" t="n">
        <f aca="false">VLOOKUP(E4429,'MSA-Lookup'!$AA$1:$AB$25,2)</f>
        <v>4472</v>
      </c>
      <c r="H4429" s="0" t="n">
        <f aca="false">IF(C4429&gt;1,IF(C4429&lt;99,VLOOKUP(F4429,'MSA-Lookup'!$AA$1:$AB$25,2),C4429),C4429)</f>
        <v>4940</v>
      </c>
    </row>
    <row r="4430" customFormat="false" ht="12.75" hidden="false" customHeight="false" outlineLevel="0" collapsed="false">
      <c r="A4430" s="0" t="n">
        <f aca="false">B4430*1000+C4430</f>
        <v>63031</v>
      </c>
      <c r="B4430" s="0" t="n">
        <v>63</v>
      </c>
      <c r="C4430" s="0" t="n">
        <v>31</v>
      </c>
      <c r="D4430" s="0" t="n">
        <v>0</v>
      </c>
      <c r="E4430" s="0" t="n">
        <f aca="false">VLOOKUP(B4430,'MSA-Lookup'!$H$2:$I$86,2)</f>
        <v>4480</v>
      </c>
      <c r="F4430" s="0" t="n">
        <f aca="false">IF(C4430&gt;1,IF(C4430&lt;99,VLOOKUP(C4430,'MSA-Lookup'!$H$1:$I$86,2),C4430),C4430)</f>
        <v>9999</v>
      </c>
      <c r="G4430" s="0" t="n">
        <f aca="false">VLOOKUP(E4430,'MSA-Lookup'!$AA$1:$AB$25,2)</f>
        <v>4472</v>
      </c>
      <c r="H4430" s="0" t="n">
        <f aca="false">IF(C4430&gt;1,IF(C4430&lt;99,VLOOKUP(F4430,'MSA-Lookup'!$AA$1:$AB$25,2),C4430),C4430)</f>
        <v>9999</v>
      </c>
    </row>
    <row r="4431" customFormat="false" ht="12.75" hidden="false" customHeight="false" outlineLevel="0" collapsed="false">
      <c r="A4431" s="0" t="n">
        <f aca="false">B4431*1000+C4431</f>
        <v>63032</v>
      </c>
      <c r="B4431" s="0" t="n">
        <v>63</v>
      </c>
      <c r="C4431" s="0" t="n">
        <v>32</v>
      </c>
      <c r="D4431" s="0" t="n">
        <v>0</v>
      </c>
      <c r="E4431" s="0" t="n">
        <f aca="false">VLOOKUP(B4431,'MSA-Lookup'!$H$2:$I$86,2)</f>
        <v>4480</v>
      </c>
      <c r="F4431" s="0" t="n">
        <f aca="false">IF(C4431&gt;1,IF(C4431&lt;99,VLOOKUP(C4431,'MSA-Lookup'!$H$1:$I$86,2),C4431),C4431)</f>
        <v>7480</v>
      </c>
      <c r="G4431" s="0" t="n">
        <f aca="false">VLOOKUP(E4431,'MSA-Lookup'!$AA$1:$AB$25,2)</f>
        <v>4472</v>
      </c>
      <c r="H4431" s="0" t="n">
        <f aca="false">IF(C4431&gt;1,IF(C4431&lt;99,VLOOKUP(F4431,'MSA-Lookup'!$AA$1:$AB$25,2),C4431),C4431)</f>
        <v>7480</v>
      </c>
    </row>
    <row r="4432" customFormat="false" ht="12.75" hidden="false" customHeight="false" outlineLevel="0" collapsed="false">
      <c r="A4432" s="0" t="n">
        <f aca="false">B4432*1000+C4432</f>
        <v>63033</v>
      </c>
      <c r="B4432" s="0" t="n">
        <v>63</v>
      </c>
      <c r="C4432" s="0" t="n">
        <v>33</v>
      </c>
      <c r="D4432" s="0" t="n">
        <v>39</v>
      </c>
      <c r="E4432" s="0" t="n">
        <f aca="false">VLOOKUP(B4432,'MSA-Lookup'!$H$2:$I$86,2)</f>
        <v>4480</v>
      </c>
      <c r="F4432" s="0" t="n">
        <f aca="false">IF(C4432&gt;1,IF(C4432&lt;99,VLOOKUP(C4432,'MSA-Lookup'!$H$1:$I$86,2),C4432),C4432)</f>
        <v>7320</v>
      </c>
      <c r="G4432" s="0" t="n">
        <f aca="false">VLOOKUP(E4432,'MSA-Lookup'!$AA$1:$AB$25,2)</f>
        <v>4472</v>
      </c>
      <c r="H4432" s="0" t="n">
        <f aca="false">IF(C4432&gt;1,IF(C4432&lt;99,VLOOKUP(F4432,'MSA-Lookup'!$AA$1:$AB$25,2),C4432),C4432)</f>
        <v>7320</v>
      </c>
    </row>
    <row r="4433" customFormat="false" ht="12.75" hidden="false" customHeight="false" outlineLevel="0" collapsed="false">
      <c r="A4433" s="0" t="n">
        <f aca="false">B4433*1000+C4433</f>
        <v>63034</v>
      </c>
      <c r="B4433" s="0" t="n">
        <v>63</v>
      </c>
      <c r="C4433" s="0" t="n">
        <v>34</v>
      </c>
      <c r="D4433" s="0" t="n">
        <v>0</v>
      </c>
      <c r="E4433" s="0" t="n">
        <f aca="false">VLOOKUP(B4433,'MSA-Lookup'!$H$2:$I$86,2)</f>
        <v>4480</v>
      </c>
      <c r="F4433" s="0" t="n">
        <f aca="false">IF(C4433&gt;1,IF(C4433&lt;99,VLOOKUP(C4433,'MSA-Lookup'!$H$1:$I$86,2),C4433),C4433)</f>
        <v>7320</v>
      </c>
      <c r="G4433" s="0" t="n">
        <f aca="false">VLOOKUP(E4433,'MSA-Lookup'!$AA$1:$AB$25,2)</f>
        <v>4472</v>
      </c>
      <c r="H4433" s="0" t="n">
        <f aca="false">IF(C4433&gt;1,IF(C4433&lt;99,VLOOKUP(F4433,'MSA-Lookup'!$AA$1:$AB$25,2),C4433),C4433)</f>
        <v>7320</v>
      </c>
    </row>
    <row r="4434" customFormat="false" ht="12.75" hidden="false" customHeight="false" outlineLevel="0" collapsed="false">
      <c r="A4434" s="0" t="n">
        <f aca="false">B4434*1000+C4434</f>
        <v>63035</v>
      </c>
      <c r="B4434" s="0" t="n">
        <v>63</v>
      </c>
      <c r="C4434" s="0" t="n">
        <v>35</v>
      </c>
      <c r="D4434" s="0" t="n">
        <v>0</v>
      </c>
      <c r="E4434" s="0" t="n">
        <f aca="false">VLOOKUP(B4434,'MSA-Lookup'!$H$2:$I$86,2)</f>
        <v>4480</v>
      </c>
      <c r="F4434" s="0" t="n">
        <f aca="false">IF(C4434&gt;1,IF(C4434&lt;99,VLOOKUP(C4434,'MSA-Lookup'!$H$1:$I$86,2),C4434),C4434)</f>
        <v>7320</v>
      </c>
      <c r="G4434" s="0" t="n">
        <f aca="false">VLOOKUP(E4434,'MSA-Lookup'!$AA$1:$AB$25,2)</f>
        <v>4472</v>
      </c>
      <c r="H4434" s="0" t="n">
        <f aca="false">IF(C4434&gt;1,IF(C4434&lt;99,VLOOKUP(F4434,'MSA-Lookup'!$AA$1:$AB$25,2),C4434),C4434)</f>
        <v>7320</v>
      </c>
    </row>
    <row r="4435" customFormat="false" ht="12.75" hidden="false" customHeight="false" outlineLevel="0" collapsed="false">
      <c r="A4435" s="0" t="n">
        <f aca="false">B4435*1000+C4435</f>
        <v>63036</v>
      </c>
      <c r="B4435" s="0" t="n">
        <v>63</v>
      </c>
      <c r="C4435" s="0" t="n">
        <v>36</v>
      </c>
      <c r="D4435" s="0" t="n">
        <v>0</v>
      </c>
      <c r="E4435" s="0" t="n">
        <f aca="false">VLOOKUP(B4435,'MSA-Lookup'!$H$2:$I$86,2)</f>
        <v>4480</v>
      </c>
      <c r="F4435" s="0" t="n">
        <f aca="false">IF(C4435&gt;1,IF(C4435&lt;99,VLOOKUP(C4435,'MSA-Lookup'!$H$1:$I$86,2),C4435),C4435)</f>
        <v>7320</v>
      </c>
      <c r="G4435" s="0" t="n">
        <f aca="false">VLOOKUP(E4435,'MSA-Lookup'!$AA$1:$AB$25,2)</f>
        <v>4472</v>
      </c>
      <c r="H4435" s="0" t="n">
        <f aca="false">IF(C4435&gt;1,IF(C4435&lt;99,VLOOKUP(F4435,'MSA-Lookup'!$AA$1:$AB$25,2),C4435),C4435)</f>
        <v>7320</v>
      </c>
    </row>
    <row r="4436" customFormat="false" ht="12.75" hidden="false" customHeight="false" outlineLevel="0" collapsed="false">
      <c r="A4436" s="0" t="n">
        <f aca="false">B4436*1000+C4436</f>
        <v>63037</v>
      </c>
      <c r="B4436" s="0" t="n">
        <v>63</v>
      </c>
      <c r="C4436" s="0" t="n">
        <v>37</v>
      </c>
      <c r="D4436" s="0" t="n">
        <v>143</v>
      </c>
      <c r="E4436" s="0" t="n">
        <f aca="false">VLOOKUP(B4436,'MSA-Lookup'!$H$2:$I$86,2)</f>
        <v>4480</v>
      </c>
      <c r="F4436" s="0" t="n">
        <f aca="false">IF(C4436&gt;1,IF(C4436&lt;99,VLOOKUP(C4436,'MSA-Lookup'!$H$1:$I$86,2),C4436),C4436)</f>
        <v>7320</v>
      </c>
      <c r="G4436" s="0" t="n">
        <f aca="false">VLOOKUP(E4436,'MSA-Lookup'!$AA$1:$AB$25,2)</f>
        <v>4472</v>
      </c>
      <c r="H4436" s="0" t="n">
        <f aca="false">IF(C4436&gt;1,IF(C4436&lt;99,VLOOKUP(F4436,'MSA-Lookup'!$AA$1:$AB$25,2),C4436),C4436)</f>
        <v>7320</v>
      </c>
    </row>
    <row r="4437" customFormat="false" ht="12.75" hidden="false" customHeight="false" outlineLevel="0" collapsed="false">
      <c r="A4437" s="0" t="n">
        <f aca="false">B4437*1000+C4437</f>
        <v>63038</v>
      </c>
      <c r="B4437" s="0" t="n">
        <v>63</v>
      </c>
      <c r="C4437" s="0" t="n">
        <v>38</v>
      </c>
      <c r="D4437" s="0" t="n">
        <v>0</v>
      </c>
      <c r="E4437" s="0" t="n">
        <f aca="false">VLOOKUP(B4437,'MSA-Lookup'!$H$2:$I$86,2)</f>
        <v>4480</v>
      </c>
      <c r="F4437" s="0" t="n">
        <f aca="false">IF(C4437&gt;1,IF(C4437&lt;99,VLOOKUP(C4437,'MSA-Lookup'!$H$1:$I$86,2),C4437),C4437)</f>
        <v>7120</v>
      </c>
      <c r="G4437" s="0" t="n">
        <f aca="false">VLOOKUP(E4437,'MSA-Lookup'!$AA$1:$AB$25,2)</f>
        <v>4472</v>
      </c>
      <c r="H4437" s="0" t="n">
        <f aca="false">IF(C4437&gt;1,IF(C4437&lt;99,VLOOKUP(F4437,'MSA-Lookup'!$AA$1:$AB$25,2),C4437),C4437)</f>
        <v>7120</v>
      </c>
    </row>
    <row r="4438" customFormat="false" ht="12.75" hidden="false" customHeight="false" outlineLevel="0" collapsed="false">
      <c r="A4438" s="0" t="n">
        <f aca="false">B4438*1000+C4438</f>
        <v>63039</v>
      </c>
      <c r="B4438" s="0" t="n">
        <v>63</v>
      </c>
      <c r="C4438" s="0" t="n">
        <v>39</v>
      </c>
      <c r="D4438" s="0" t="n">
        <v>0</v>
      </c>
      <c r="E4438" s="0" t="n">
        <f aca="false">VLOOKUP(B4438,'MSA-Lookup'!$H$2:$I$86,2)</f>
        <v>4480</v>
      </c>
      <c r="F4438" s="0" t="n">
        <f aca="false">IF(C4438&gt;1,IF(C4438&lt;99,VLOOKUP(C4438,'MSA-Lookup'!$H$1:$I$86,2),C4438),C4438)</f>
        <v>7120</v>
      </c>
      <c r="G4438" s="0" t="n">
        <f aca="false">VLOOKUP(E4438,'MSA-Lookup'!$AA$1:$AB$25,2)</f>
        <v>4472</v>
      </c>
      <c r="H4438" s="0" t="n">
        <f aca="false">IF(C4438&gt;1,IF(C4438&lt;99,VLOOKUP(F4438,'MSA-Lookup'!$AA$1:$AB$25,2),C4438),C4438)</f>
        <v>7120</v>
      </c>
    </row>
    <row r="4439" customFormat="false" ht="12.75" hidden="false" customHeight="false" outlineLevel="0" collapsed="false">
      <c r="A4439" s="0" t="n">
        <f aca="false">B4439*1000+C4439</f>
        <v>63040</v>
      </c>
      <c r="B4439" s="0" t="n">
        <v>63</v>
      </c>
      <c r="C4439" s="0" t="n">
        <v>40</v>
      </c>
      <c r="D4439" s="0" t="n">
        <v>0</v>
      </c>
      <c r="E4439" s="0" t="n">
        <f aca="false">VLOOKUP(B4439,'MSA-Lookup'!$H$2:$I$86,2)</f>
        <v>4480</v>
      </c>
      <c r="F4439" s="0" t="n">
        <f aca="false">IF(C4439&gt;1,IF(C4439&lt;99,VLOOKUP(C4439,'MSA-Lookup'!$H$1:$I$86,2),C4439),C4439)</f>
        <v>2840</v>
      </c>
      <c r="G4439" s="0" t="n">
        <f aca="false">VLOOKUP(E4439,'MSA-Lookup'!$AA$1:$AB$25,2)</f>
        <v>4472</v>
      </c>
      <c r="H4439" s="0" t="n">
        <f aca="false">IF(C4439&gt;1,IF(C4439&lt;99,VLOOKUP(F4439,'MSA-Lookup'!$AA$1:$AB$25,2),C4439),C4439)</f>
        <v>2840</v>
      </c>
    </row>
    <row r="4440" customFormat="false" ht="12.75" hidden="false" customHeight="false" outlineLevel="0" collapsed="false">
      <c r="A4440" s="0" t="n">
        <f aca="false">B4440*1000+C4440</f>
        <v>63041</v>
      </c>
      <c r="B4440" s="0" t="n">
        <v>63</v>
      </c>
      <c r="C4440" s="0" t="n">
        <v>41</v>
      </c>
      <c r="D4440" s="0" t="n">
        <v>0</v>
      </c>
      <c r="E4440" s="0" t="n">
        <f aca="false">VLOOKUP(B4440,'MSA-Lookup'!$H$2:$I$86,2)</f>
        <v>4480</v>
      </c>
      <c r="F4440" s="0" t="n">
        <f aca="false">IF(C4440&gt;1,IF(C4440&lt;99,VLOOKUP(C4440,'MSA-Lookup'!$H$1:$I$86,2),C4440),C4440)</f>
        <v>2840</v>
      </c>
      <c r="G4440" s="0" t="n">
        <f aca="false">VLOOKUP(E4440,'MSA-Lookup'!$AA$1:$AB$25,2)</f>
        <v>4472</v>
      </c>
      <c r="H4440" s="0" t="n">
        <f aca="false">IF(C4440&gt;1,IF(C4440&lt;99,VLOOKUP(F4440,'MSA-Lookup'!$AA$1:$AB$25,2),C4440),C4440)</f>
        <v>2840</v>
      </c>
    </row>
    <row r="4441" customFormat="false" ht="12.75" hidden="false" customHeight="false" outlineLevel="0" collapsed="false">
      <c r="A4441" s="0" t="n">
        <f aca="false">B4441*1000+C4441</f>
        <v>63042</v>
      </c>
      <c r="B4441" s="0" t="n">
        <v>63</v>
      </c>
      <c r="C4441" s="0" t="n">
        <v>42</v>
      </c>
      <c r="D4441" s="0" t="n">
        <v>0</v>
      </c>
      <c r="E4441" s="0" t="n">
        <f aca="false">VLOOKUP(B4441,'MSA-Lookup'!$H$2:$I$86,2)</f>
        <v>4480</v>
      </c>
      <c r="F4441" s="0" t="n">
        <f aca="false">IF(C4441&gt;1,IF(C4441&lt;99,VLOOKUP(C4441,'MSA-Lookup'!$H$1:$I$86,2),C4441),C4441)</f>
        <v>360</v>
      </c>
      <c r="G4441" s="0" t="n">
        <f aca="false">VLOOKUP(E4441,'MSA-Lookup'!$AA$1:$AB$25,2)</f>
        <v>4472</v>
      </c>
      <c r="H4441" s="0" t="n">
        <f aca="false">IF(C4441&gt;1,IF(C4441&lt;99,VLOOKUP(F4441,'MSA-Lookup'!$AA$1:$AB$25,2),C4441),C4441)</f>
        <v>4472</v>
      </c>
    </row>
    <row r="4442" customFormat="false" ht="12.75" hidden="false" customHeight="false" outlineLevel="0" collapsed="false">
      <c r="A4442" s="0" t="n">
        <f aca="false">B4442*1000+C4442</f>
        <v>63043</v>
      </c>
      <c r="B4442" s="0" t="n">
        <v>63</v>
      </c>
      <c r="C4442" s="0" t="n">
        <v>43</v>
      </c>
      <c r="D4442" s="0" t="n">
        <v>0</v>
      </c>
      <c r="E4442" s="0" t="n">
        <f aca="false">VLOOKUP(B4442,'MSA-Lookup'!$H$2:$I$86,2)</f>
        <v>4480</v>
      </c>
      <c r="F4442" s="0" t="n">
        <f aca="false">IF(C4442&gt;1,IF(C4442&lt;99,VLOOKUP(C4442,'MSA-Lookup'!$H$1:$I$86,2),C4442),C4442)</f>
        <v>360</v>
      </c>
      <c r="G4442" s="0" t="n">
        <f aca="false">VLOOKUP(E4442,'MSA-Lookup'!$AA$1:$AB$25,2)</f>
        <v>4472</v>
      </c>
      <c r="H4442" s="0" t="n">
        <f aca="false">IF(C4442&gt;1,IF(C4442&lt;99,VLOOKUP(F4442,'MSA-Lookup'!$AA$1:$AB$25,2),C4442),C4442)</f>
        <v>4472</v>
      </c>
    </row>
    <row r="4443" customFormat="false" ht="12.75" hidden="false" customHeight="false" outlineLevel="0" collapsed="false">
      <c r="A4443" s="0" t="n">
        <f aca="false">B4443*1000+C4443</f>
        <v>63044</v>
      </c>
      <c r="B4443" s="0" t="n">
        <v>63</v>
      </c>
      <c r="C4443" s="0" t="n">
        <v>44</v>
      </c>
      <c r="D4443" s="0" t="n">
        <v>0</v>
      </c>
      <c r="E4443" s="0" t="n">
        <f aca="false">VLOOKUP(B4443,'MSA-Lookup'!$H$2:$I$86,2)</f>
        <v>4480</v>
      </c>
      <c r="F4443" s="0" t="n">
        <f aca="false">IF(C4443&gt;1,IF(C4443&lt;99,VLOOKUP(C4443,'MSA-Lookup'!$H$1:$I$86,2),C4443),C4443)</f>
        <v>360</v>
      </c>
      <c r="G4443" s="0" t="n">
        <f aca="false">VLOOKUP(E4443,'MSA-Lookup'!$AA$1:$AB$25,2)</f>
        <v>4472</v>
      </c>
      <c r="H4443" s="0" t="n">
        <f aca="false">IF(C4443&gt;1,IF(C4443&lt;99,VLOOKUP(F4443,'MSA-Lookup'!$AA$1:$AB$25,2),C4443),C4443)</f>
        <v>4472</v>
      </c>
    </row>
    <row r="4444" customFormat="false" ht="12.75" hidden="false" customHeight="false" outlineLevel="0" collapsed="false">
      <c r="A4444" s="0" t="n">
        <f aca="false">B4444*1000+C4444</f>
        <v>63045</v>
      </c>
      <c r="B4444" s="0" t="n">
        <v>63</v>
      </c>
      <c r="C4444" s="0" t="n">
        <v>45</v>
      </c>
      <c r="D4444" s="0" t="n">
        <v>0</v>
      </c>
      <c r="E4444" s="0" t="n">
        <f aca="false">VLOOKUP(B4444,'MSA-Lookup'!$H$2:$I$86,2)</f>
        <v>4480</v>
      </c>
      <c r="F4444" s="0" t="n">
        <f aca="false">IF(C4444&gt;1,IF(C4444&lt;99,VLOOKUP(C4444,'MSA-Lookup'!$H$1:$I$86,2),C4444),C4444)</f>
        <v>360</v>
      </c>
      <c r="G4444" s="0" t="n">
        <f aca="false">VLOOKUP(E4444,'MSA-Lookup'!$AA$1:$AB$25,2)</f>
        <v>4472</v>
      </c>
      <c r="H4444" s="0" t="n">
        <f aca="false">IF(C4444&gt;1,IF(C4444&lt;99,VLOOKUP(F4444,'MSA-Lookup'!$AA$1:$AB$25,2),C4444),C4444)</f>
        <v>4472</v>
      </c>
    </row>
    <row r="4445" customFormat="false" ht="12.75" hidden="false" customHeight="false" outlineLevel="0" collapsed="false">
      <c r="A4445" s="0" t="n">
        <f aca="false">B4445*1000+C4445</f>
        <v>63046</v>
      </c>
      <c r="B4445" s="0" t="n">
        <v>63</v>
      </c>
      <c r="C4445" s="0" t="n">
        <v>46</v>
      </c>
      <c r="D4445" s="0" t="n">
        <v>0</v>
      </c>
      <c r="E4445" s="0" t="n">
        <f aca="false">VLOOKUP(B4445,'MSA-Lookup'!$H$2:$I$86,2)</f>
        <v>4480</v>
      </c>
      <c r="F4445" s="0" t="n">
        <f aca="false">IF(C4445&gt;1,IF(C4445&lt;99,VLOOKUP(C4445,'MSA-Lookup'!$H$1:$I$86,2),C4445),C4445)</f>
        <v>360</v>
      </c>
      <c r="G4445" s="0" t="n">
        <f aca="false">VLOOKUP(E4445,'MSA-Lookup'!$AA$1:$AB$25,2)</f>
        <v>4472</v>
      </c>
      <c r="H4445" s="0" t="n">
        <f aca="false">IF(C4445&gt;1,IF(C4445&lt;99,VLOOKUP(F4445,'MSA-Lookup'!$AA$1:$AB$25,2),C4445),C4445)</f>
        <v>4472</v>
      </c>
    </row>
    <row r="4446" customFormat="false" ht="12.75" hidden="false" customHeight="false" outlineLevel="0" collapsed="false">
      <c r="A4446" s="0" t="n">
        <f aca="false">B4446*1000+C4446</f>
        <v>63047</v>
      </c>
      <c r="B4446" s="0" t="n">
        <v>63</v>
      </c>
      <c r="C4446" s="0" t="n">
        <v>47</v>
      </c>
      <c r="D4446" s="0" t="n">
        <v>156</v>
      </c>
      <c r="E4446" s="0" t="n">
        <f aca="false">VLOOKUP(B4446,'MSA-Lookup'!$H$2:$I$86,2)</f>
        <v>4480</v>
      </c>
      <c r="F4446" s="0" t="n">
        <f aca="false">IF(C4446&gt;1,IF(C4446&lt;99,VLOOKUP(C4446,'MSA-Lookup'!$H$1:$I$86,2),C4446),C4446)</f>
        <v>360</v>
      </c>
      <c r="G4446" s="0" t="n">
        <f aca="false">VLOOKUP(E4446,'MSA-Lookup'!$AA$1:$AB$25,2)</f>
        <v>4472</v>
      </c>
      <c r="H4446" s="0" t="n">
        <f aca="false">IF(C4446&gt;1,IF(C4446&lt;99,VLOOKUP(F4446,'MSA-Lookup'!$AA$1:$AB$25,2),C4446),C4446)</f>
        <v>4472</v>
      </c>
    </row>
    <row r="4447" customFormat="false" ht="12.75" hidden="false" customHeight="false" outlineLevel="0" collapsed="false">
      <c r="A4447" s="0" t="n">
        <f aca="false">B4447*1000+C4447</f>
        <v>63048</v>
      </c>
      <c r="B4447" s="0" t="n">
        <v>63</v>
      </c>
      <c r="C4447" s="0" t="n">
        <v>48</v>
      </c>
      <c r="D4447" s="0" t="n">
        <v>247</v>
      </c>
      <c r="E4447" s="0" t="n">
        <f aca="false">VLOOKUP(B4447,'MSA-Lookup'!$H$2:$I$86,2)</f>
        <v>4480</v>
      </c>
      <c r="F4447" s="0" t="n">
        <f aca="false">IF(C4447&gt;1,IF(C4447&lt;99,VLOOKUP(C4447,'MSA-Lookup'!$H$1:$I$86,2),C4447),C4447)</f>
        <v>360</v>
      </c>
      <c r="G4447" s="0" t="n">
        <f aca="false">VLOOKUP(E4447,'MSA-Lookup'!$AA$1:$AB$25,2)</f>
        <v>4472</v>
      </c>
      <c r="H4447" s="0" t="n">
        <f aca="false">IF(C4447&gt;1,IF(C4447&lt;99,VLOOKUP(F4447,'MSA-Lookup'!$AA$1:$AB$25,2),C4447),C4447)</f>
        <v>4472</v>
      </c>
    </row>
    <row r="4448" customFormat="false" ht="12.75" hidden="false" customHeight="false" outlineLevel="0" collapsed="false">
      <c r="A4448" s="0" t="n">
        <f aca="false">B4448*1000+C4448</f>
        <v>63049</v>
      </c>
      <c r="B4448" s="0" t="n">
        <v>63</v>
      </c>
      <c r="C4448" s="0" t="n">
        <v>49</v>
      </c>
      <c r="D4448" s="0" t="n">
        <v>0</v>
      </c>
      <c r="E4448" s="0" t="n">
        <f aca="false">VLOOKUP(B4448,'MSA-Lookup'!$H$2:$I$86,2)</f>
        <v>4480</v>
      </c>
      <c r="F4448" s="0" t="n">
        <f aca="false">IF(C4448&gt;1,IF(C4448&lt;99,VLOOKUP(C4448,'MSA-Lookup'!$H$1:$I$86,2),C4448),C4448)</f>
        <v>7400</v>
      </c>
      <c r="G4448" s="0" t="n">
        <f aca="false">VLOOKUP(E4448,'MSA-Lookup'!$AA$1:$AB$25,2)</f>
        <v>4472</v>
      </c>
      <c r="H4448" s="0" t="n">
        <f aca="false">IF(C4448&gt;1,IF(C4448&lt;99,VLOOKUP(F4448,'MSA-Lookup'!$AA$1:$AB$25,2),C4448),C4448)</f>
        <v>7362</v>
      </c>
    </row>
    <row r="4449" customFormat="false" ht="12.75" hidden="false" customHeight="false" outlineLevel="0" collapsed="false">
      <c r="A4449" s="0" t="n">
        <f aca="false">B4449*1000+C4449</f>
        <v>63050</v>
      </c>
      <c r="B4449" s="0" t="n">
        <v>63</v>
      </c>
      <c r="C4449" s="0" t="n">
        <v>50</v>
      </c>
      <c r="D4449" s="0" t="n">
        <v>0</v>
      </c>
      <c r="E4449" s="0" t="n">
        <f aca="false">VLOOKUP(B4449,'MSA-Lookup'!$H$2:$I$86,2)</f>
        <v>4480</v>
      </c>
      <c r="F4449" s="0" t="n">
        <f aca="false">IF(C4449&gt;1,IF(C4449&lt;99,VLOOKUP(C4449,'MSA-Lookup'!$H$1:$I$86,2),C4449),C4449)</f>
        <v>7400</v>
      </c>
      <c r="G4449" s="0" t="n">
        <f aca="false">VLOOKUP(E4449,'MSA-Lookup'!$AA$1:$AB$25,2)</f>
        <v>4472</v>
      </c>
      <c r="H4449" s="0" t="n">
        <f aca="false">IF(C4449&gt;1,IF(C4449&lt;99,VLOOKUP(F4449,'MSA-Lookup'!$AA$1:$AB$25,2),C4449),C4449)</f>
        <v>7362</v>
      </c>
    </row>
    <row r="4450" customFormat="false" ht="12.75" hidden="false" customHeight="false" outlineLevel="0" collapsed="false">
      <c r="A4450" s="0" t="n">
        <f aca="false">B4450*1000+C4450</f>
        <v>63051</v>
      </c>
      <c r="B4450" s="0" t="n">
        <v>63</v>
      </c>
      <c r="C4450" s="0" t="n">
        <v>51</v>
      </c>
      <c r="D4450" s="0" t="n">
        <v>0</v>
      </c>
      <c r="E4450" s="0" t="n">
        <f aca="false">VLOOKUP(B4450,'MSA-Lookup'!$H$2:$I$86,2)</f>
        <v>4480</v>
      </c>
      <c r="F4450" s="0" t="n">
        <f aca="false">IF(C4450&gt;1,IF(C4450&lt;99,VLOOKUP(C4450,'MSA-Lookup'!$H$1:$I$86,2),C4450),C4450)</f>
        <v>7400</v>
      </c>
      <c r="G4450" s="0" t="n">
        <f aca="false">VLOOKUP(E4450,'MSA-Lookup'!$AA$1:$AB$25,2)</f>
        <v>4472</v>
      </c>
      <c r="H4450" s="0" t="n">
        <f aca="false">IF(C4450&gt;1,IF(C4450&lt;99,VLOOKUP(F4450,'MSA-Lookup'!$AA$1:$AB$25,2),C4450),C4450)</f>
        <v>7362</v>
      </c>
    </row>
    <row r="4451" customFormat="false" ht="12.75" hidden="false" customHeight="false" outlineLevel="0" collapsed="false">
      <c r="A4451" s="0" t="n">
        <f aca="false">B4451*1000+C4451</f>
        <v>63052</v>
      </c>
      <c r="B4451" s="0" t="n">
        <v>63</v>
      </c>
      <c r="C4451" s="0" t="n">
        <v>52</v>
      </c>
      <c r="D4451" s="0" t="n">
        <v>936</v>
      </c>
      <c r="E4451" s="0" t="n">
        <f aca="false">VLOOKUP(B4451,'MSA-Lookup'!$H$2:$I$86,2)</f>
        <v>4480</v>
      </c>
      <c r="F4451" s="0" t="n">
        <f aca="false">IF(C4451&gt;1,IF(C4451&lt;99,VLOOKUP(C4451,'MSA-Lookup'!$H$1:$I$86,2),C4451),C4451)</f>
        <v>4480</v>
      </c>
      <c r="G4451" s="0" t="n">
        <f aca="false">VLOOKUP(E4451,'MSA-Lookup'!$AA$1:$AB$25,2)</f>
        <v>4472</v>
      </c>
      <c r="H4451" s="0" t="n">
        <f aca="false">IF(C4451&gt;1,IF(C4451&lt;99,VLOOKUP(F4451,'MSA-Lookup'!$AA$1:$AB$25,2),C4451),C4451)</f>
        <v>4472</v>
      </c>
    </row>
    <row r="4452" customFormat="false" ht="12.75" hidden="false" customHeight="false" outlineLevel="0" collapsed="false">
      <c r="A4452" s="0" t="n">
        <f aca="false">B4452*1000+C4452</f>
        <v>63053</v>
      </c>
      <c r="B4452" s="0" t="n">
        <v>63</v>
      </c>
      <c r="C4452" s="0" t="n">
        <v>53</v>
      </c>
      <c r="D4452" s="0" t="n">
        <v>2652</v>
      </c>
      <c r="E4452" s="0" t="n">
        <f aca="false">VLOOKUP(B4452,'MSA-Lookup'!$H$2:$I$86,2)</f>
        <v>4480</v>
      </c>
      <c r="F4452" s="0" t="n">
        <f aca="false">IF(C4452&gt;1,IF(C4452&lt;99,VLOOKUP(C4452,'MSA-Lookup'!$H$1:$I$86,2),C4452),C4452)</f>
        <v>4480</v>
      </c>
      <c r="G4452" s="0" t="n">
        <f aca="false">VLOOKUP(E4452,'MSA-Lookup'!$AA$1:$AB$25,2)</f>
        <v>4472</v>
      </c>
      <c r="H4452" s="0" t="n">
        <f aca="false">IF(C4452&gt;1,IF(C4452&lt;99,VLOOKUP(F4452,'MSA-Lookup'!$AA$1:$AB$25,2),C4452),C4452)</f>
        <v>4472</v>
      </c>
    </row>
    <row r="4453" customFormat="false" ht="12.75" hidden="false" customHeight="false" outlineLevel="0" collapsed="false">
      <c r="A4453" s="0" t="n">
        <f aca="false">B4453*1000+C4453</f>
        <v>63054</v>
      </c>
      <c r="B4453" s="0" t="n">
        <v>63</v>
      </c>
      <c r="C4453" s="0" t="n">
        <v>54</v>
      </c>
      <c r="D4453" s="0" t="n">
        <v>624</v>
      </c>
      <c r="E4453" s="0" t="n">
        <f aca="false">VLOOKUP(B4453,'MSA-Lookup'!$H$2:$I$86,2)</f>
        <v>4480</v>
      </c>
      <c r="F4453" s="0" t="n">
        <f aca="false">IF(C4453&gt;1,IF(C4453&lt;99,VLOOKUP(C4453,'MSA-Lookup'!$H$1:$I$86,2),C4453),C4453)</f>
        <v>4480</v>
      </c>
      <c r="G4453" s="0" t="n">
        <f aca="false">VLOOKUP(E4453,'MSA-Lookup'!$AA$1:$AB$25,2)</f>
        <v>4472</v>
      </c>
      <c r="H4453" s="0" t="n">
        <f aca="false">IF(C4453&gt;1,IF(C4453&lt;99,VLOOKUP(F4453,'MSA-Lookup'!$AA$1:$AB$25,2),C4453),C4453)</f>
        <v>4472</v>
      </c>
    </row>
    <row r="4454" customFormat="false" ht="12.75" hidden="false" customHeight="false" outlineLevel="0" collapsed="false">
      <c r="A4454" s="0" t="n">
        <f aca="false">B4454*1000+C4454</f>
        <v>63055</v>
      </c>
      <c r="B4454" s="0" t="n">
        <v>63</v>
      </c>
      <c r="C4454" s="0" t="n">
        <v>55</v>
      </c>
      <c r="D4454" s="0" t="n">
        <v>221</v>
      </c>
      <c r="E4454" s="0" t="n">
        <f aca="false">VLOOKUP(B4454,'MSA-Lookup'!$H$2:$I$86,2)</f>
        <v>4480</v>
      </c>
      <c r="F4454" s="0" t="n">
        <f aca="false">IF(C4454&gt;1,IF(C4454&lt;99,VLOOKUP(C4454,'MSA-Lookup'!$H$1:$I$86,2),C4454),C4454)</f>
        <v>4480</v>
      </c>
      <c r="G4454" s="0" t="n">
        <f aca="false">VLOOKUP(E4454,'MSA-Lookup'!$AA$1:$AB$25,2)</f>
        <v>4472</v>
      </c>
      <c r="H4454" s="0" t="n">
        <f aca="false">IF(C4454&gt;1,IF(C4454&lt;99,VLOOKUP(F4454,'MSA-Lookup'!$AA$1:$AB$25,2),C4454),C4454)</f>
        <v>4472</v>
      </c>
    </row>
    <row r="4455" customFormat="false" ht="12.75" hidden="false" customHeight="false" outlineLevel="0" collapsed="false">
      <c r="A4455" s="0" t="n">
        <f aca="false">B4455*1000+C4455</f>
        <v>63056</v>
      </c>
      <c r="B4455" s="0" t="n">
        <v>63</v>
      </c>
      <c r="C4455" s="0" t="n">
        <v>56</v>
      </c>
      <c r="D4455" s="0" t="n">
        <v>104</v>
      </c>
      <c r="E4455" s="0" t="n">
        <f aca="false">VLOOKUP(B4455,'MSA-Lookup'!$H$2:$I$86,2)</f>
        <v>4480</v>
      </c>
      <c r="F4455" s="0" t="n">
        <f aca="false">IF(C4455&gt;1,IF(C4455&lt;99,VLOOKUP(C4455,'MSA-Lookup'!$H$1:$I$86,2),C4455),C4455)</f>
        <v>4480</v>
      </c>
      <c r="G4455" s="0" t="n">
        <f aca="false">VLOOKUP(E4455,'MSA-Lookup'!$AA$1:$AB$25,2)</f>
        <v>4472</v>
      </c>
      <c r="H4455" s="0" t="n">
        <f aca="false">IF(C4455&gt;1,IF(C4455&lt;99,VLOOKUP(F4455,'MSA-Lookup'!$AA$1:$AB$25,2),C4455),C4455)</f>
        <v>4472</v>
      </c>
    </row>
    <row r="4456" customFormat="false" ht="12.75" hidden="false" customHeight="false" outlineLevel="0" collapsed="false">
      <c r="A4456" s="0" t="n">
        <f aca="false">B4456*1000+C4456</f>
        <v>63057</v>
      </c>
      <c r="B4456" s="0" t="n">
        <v>63</v>
      </c>
      <c r="C4456" s="0" t="n">
        <v>57</v>
      </c>
      <c r="D4456" s="0" t="n">
        <v>0</v>
      </c>
      <c r="E4456" s="0" t="n">
        <f aca="false">VLOOKUP(B4456,'MSA-Lookup'!$H$2:$I$86,2)</f>
        <v>4480</v>
      </c>
      <c r="F4456" s="0" t="n">
        <f aca="false">IF(C4456&gt;1,IF(C4456&lt;99,VLOOKUP(C4456,'MSA-Lookup'!$H$1:$I$86,2),C4456),C4456)</f>
        <v>4480</v>
      </c>
      <c r="G4456" s="0" t="n">
        <f aca="false">VLOOKUP(E4456,'MSA-Lookup'!$AA$1:$AB$25,2)</f>
        <v>4472</v>
      </c>
      <c r="H4456" s="0" t="n">
        <f aca="false">IF(C4456&gt;1,IF(C4456&lt;99,VLOOKUP(F4456,'MSA-Lookup'!$AA$1:$AB$25,2),C4456),C4456)</f>
        <v>4472</v>
      </c>
    </row>
    <row r="4457" customFormat="false" ht="12.75" hidden="false" customHeight="false" outlineLevel="0" collapsed="false">
      <c r="A4457" s="0" t="n">
        <f aca="false">B4457*1000+C4457</f>
        <v>63058</v>
      </c>
      <c r="B4457" s="0" t="n">
        <v>63</v>
      </c>
      <c r="C4457" s="0" t="n">
        <v>58</v>
      </c>
      <c r="D4457" s="0" t="n">
        <v>572</v>
      </c>
      <c r="E4457" s="0" t="n">
        <f aca="false">VLOOKUP(B4457,'MSA-Lookup'!$H$2:$I$86,2)</f>
        <v>4480</v>
      </c>
      <c r="F4457" s="0" t="n">
        <f aca="false">IF(C4457&gt;1,IF(C4457&lt;99,VLOOKUP(C4457,'MSA-Lookup'!$H$1:$I$86,2),C4457),C4457)</f>
        <v>4480</v>
      </c>
      <c r="G4457" s="0" t="n">
        <f aca="false">VLOOKUP(E4457,'MSA-Lookup'!$AA$1:$AB$25,2)</f>
        <v>4472</v>
      </c>
      <c r="H4457" s="0" t="n">
        <f aca="false">IF(C4457&gt;1,IF(C4457&lt;99,VLOOKUP(F4457,'MSA-Lookup'!$AA$1:$AB$25,2),C4457),C4457)</f>
        <v>4472</v>
      </c>
    </row>
    <row r="4458" customFormat="false" ht="12.75" hidden="false" customHeight="false" outlineLevel="0" collapsed="false">
      <c r="A4458" s="0" t="n">
        <f aca="false">B4458*1000+C4458</f>
        <v>63059</v>
      </c>
      <c r="B4458" s="0" t="n">
        <v>63</v>
      </c>
      <c r="C4458" s="0" t="n">
        <v>59</v>
      </c>
      <c r="D4458" s="0" t="n">
        <v>195</v>
      </c>
      <c r="E4458" s="0" t="n">
        <f aca="false">VLOOKUP(B4458,'MSA-Lookup'!$H$2:$I$86,2)</f>
        <v>4480</v>
      </c>
      <c r="F4458" s="0" t="n">
        <f aca="false">IF(C4458&gt;1,IF(C4458&lt;99,VLOOKUP(C4458,'MSA-Lookup'!$H$1:$I$86,2),C4458),C4458)</f>
        <v>4480</v>
      </c>
      <c r="G4458" s="0" t="n">
        <f aca="false">VLOOKUP(E4458,'MSA-Lookup'!$AA$1:$AB$25,2)</f>
        <v>4472</v>
      </c>
      <c r="H4458" s="0" t="n">
        <f aca="false">IF(C4458&gt;1,IF(C4458&lt;99,VLOOKUP(F4458,'MSA-Lookup'!$AA$1:$AB$25,2),C4458),C4458)</f>
        <v>4472</v>
      </c>
    </row>
    <row r="4459" customFormat="false" ht="12.75" hidden="false" customHeight="false" outlineLevel="0" collapsed="false">
      <c r="A4459" s="0" t="n">
        <f aca="false">B4459*1000+C4459</f>
        <v>63060</v>
      </c>
      <c r="B4459" s="0" t="n">
        <v>63</v>
      </c>
      <c r="C4459" s="0" t="n">
        <v>60</v>
      </c>
      <c r="D4459" s="0" t="n">
        <v>65</v>
      </c>
      <c r="E4459" s="0" t="n">
        <f aca="false">VLOOKUP(B4459,'MSA-Lookup'!$H$2:$I$86,2)</f>
        <v>4480</v>
      </c>
      <c r="F4459" s="0" t="n">
        <f aca="false">IF(C4459&gt;1,IF(C4459&lt;99,VLOOKUP(C4459,'MSA-Lookup'!$H$1:$I$86,2),C4459),C4459)</f>
        <v>4480</v>
      </c>
      <c r="G4459" s="0" t="n">
        <f aca="false">VLOOKUP(E4459,'MSA-Lookup'!$AA$1:$AB$25,2)</f>
        <v>4472</v>
      </c>
      <c r="H4459" s="0" t="n">
        <f aca="false">IF(C4459&gt;1,IF(C4459&lt;99,VLOOKUP(F4459,'MSA-Lookup'!$AA$1:$AB$25,2),C4459),C4459)</f>
        <v>4472</v>
      </c>
    </row>
    <row r="4460" customFormat="false" ht="12.75" hidden="false" customHeight="false" outlineLevel="0" collapsed="false">
      <c r="A4460" s="0" t="n">
        <f aca="false">B4460*1000+C4460</f>
        <v>63061</v>
      </c>
      <c r="B4460" s="0" t="n">
        <v>63</v>
      </c>
      <c r="C4460" s="0" t="n">
        <v>61</v>
      </c>
      <c r="D4460" s="0" t="n">
        <v>0</v>
      </c>
      <c r="E4460" s="0" t="n">
        <f aca="false">VLOOKUP(B4460,'MSA-Lookup'!$H$2:$I$86,2)</f>
        <v>4480</v>
      </c>
      <c r="F4460" s="0" t="n">
        <f aca="false">IF(C4460&gt;1,IF(C4460&lt;99,VLOOKUP(C4460,'MSA-Lookup'!$H$1:$I$86,2),C4460),C4460)</f>
        <v>4480</v>
      </c>
      <c r="G4460" s="0" t="n">
        <f aca="false">VLOOKUP(E4460,'MSA-Lookup'!$AA$1:$AB$25,2)</f>
        <v>4472</v>
      </c>
      <c r="H4460" s="0" t="n">
        <f aca="false">IF(C4460&gt;1,IF(C4460&lt;99,VLOOKUP(F4460,'MSA-Lookup'!$AA$1:$AB$25,2),C4460),C4460)</f>
        <v>4472</v>
      </c>
    </row>
    <row r="4461" customFormat="false" ht="12.75" hidden="false" customHeight="false" outlineLevel="0" collapsed="false">
      <c r="A4461" s="0" t="n">
        <f aca="false">B4461*1000+C4461</f>
        <v>63062</v>
      </c>
      <c r="B4461" s="0" t="n">
        <v>63</v>
      </c>
      <c r="C4461" s="0" t="n">
        <v>62</v>
      </c>
      <c r="D4461" s="0" t="n">
        <v>286</v>
      </c>
      <c r="E4461" s="0" t="n">
        <f aca="false">VLOOKUP(B4461,'MSA-Lookup'!$H$2:$I$86,2)</f>
        <v>4480</v>
      </c>
      <c r="F4461" s="0" t="n">
        <f aca="false">IF(C4461&gt;1,IF(C4461&lt;99,VLOOKUP(C4461,'MSA-Lookup'!$H$1:$I$86,2),C4461),C4461)</f>
        <v>4480</v>
      </c>
      <c r="G4461" s="0" t="n">
        <f aca="false">VLOOKUP(E4461,'MSA-Lookup'!$AA$1:$AB$25,2)</f>
        <v>4472</v>
      </c>
      <c r="H4461" s="0" t="n">
        <f aca="false">IF(C4461&gt;1,IF(C4461&lt;99,VLOOKUP(F4461,'MSA-Lookup'!$AA$1:$AB$25,2),C4461),C4461)</f>
        <v>4472</v>
      </c>
    </row>
    <row r="4462" customFormat="false" ht="12.75" hidden="false" customHeight="false" outlineLevel="0" collapsed="false">
      <c r="A4462" s="0" t="n">
        <f aca="false">B4462*1000+C4462</f>
        <v>63063</v>
      </c>
      <c r="B4462" s="0" t="n">
        <v>63</v>
      </c>
      <c r="C4462" s="0" t="n">
        <v>63</v>
      </c>
      <c r="D4462" s="0" t="n">
        <v>23192</v>
      </c>
      <c r="E4462" s="0" t="n">
        <f aca="false">VLOOKUP(B4462,'MSA-Lookup'!$H$2:$I$86,2)</f>
        <v>4480</v>
      </c>
      <c r="F4462" s="0" t="n">
        <f aca="false">IF(C4462&gt;1,IF(C4462&lt;99,VLOOKUP(C4462,'MSA-Lookup'!$H$1:$I$86,2),C4462),C4462)</f>
        <v>4480</v>
      </c>
      <c r="G4462" s="0" t="n">
        <f aca="false">VLOOKUP(E4462,'MSA-Lookup'!$AA$1:$AB$25,2)</f>
        <v>4472</v>
      </c>
      <c r="H4462" s="0" t="n">
        <f aca="false">IF(C4462&gt;1,IF(C4462&lt;99,VLOOKUP(F4462,'MSA-Lookup'!$AA$1:$AB$25,2),C4462),C4462)</f>
        <v>4472</v>
      </c>
    </row>
    <row r="4463" customFormat="false" ht="12.75" hidden="false" customHeight="false" outlineLevel="0" collapsed="false">
      <c r="A4463" s="0" t="n">
        <f aca="false">B4463*1000+C4463</f>
        <v>63064</v>
      </c>
      <c r="B4463" s="0" t="n">
        <v>63</v>
      </c>
      <c r="C4463" s="0" t="n">
        <v>64</v>
      </c>
      <c r="D4463" s="0" t="n">
        <v>13468</v>
      </c>
      <c r="E4463" s="0" t="n">
        <f aca="false">VLOOKUP(B4463,'MSA-Lookup'!$H$2:$I$86,2)</f>
        <v>4480</v>
      </c>
      <c r="F4463" s="0" t="n">
        <f aca="false">IF(C4463&gt;1,IF(C4463&lt;99,VLOOKUP(C4463,'MSA-Lookup'!$H$1:$I$86,2),C4463),C4463)</f>
        <v>4480</v>
      </c>
      <c r="G4463" s="0" t="n">
        <f aca="false">VLOOKUP(E4463,'MSA-Lookup'!$AA$1:$AB$25,2)</f>
        <v>4472</v>
      </c>
      <c r="H4463" s="0" t="n">
        <f aca="false">IF(C4463&gt;1,IF(C4463&lt;99,VLOOKUP(F4463,'MSA-Lookup'!$AA$1:$AB$25,2),C4463),C4463)</f>
        <v>4472</v>
      </c>
    </row>
    <row r="4464" customFormat="false" ht="12.75" hidden="false" customHeight="false" outlineLevel="0" collapsed="false">
      <c r="A4464" s="0" t="n">
        <f aca="false">B4464*1000+C4464</f>
        <v>63065</v>
      </c>
      <c r="B4464" s="0" t="n">
        <v>63</v>
      </c>
      <c r="C4464" s="0" t="n">
        <v>65</v>
      </c>
      <c r="D4464" s="0" t="n">
        <v>17498</v>
      </c>
      <c r="E4464" s="0" t="n">
        <f aca="false">VLOOKUP(B4464,'MSA-Lookup'!$H$2:$I$86,2)</f>
        <v>4480</v>
      </c>
      <c r="F4464" s="0" t="n">
        <f aca="false">IF(C4464&gt;1,IF(C4464&lt;99,VLOOKUP(C4464,'MSA-Lookup'!$H$1:$I$86,2),C4464),C4464)</f>
        <v>4480</v>
      </c>
      <c r="G4464" s="0" t="n">
        <f aca="false">VLOOKUP(E4464,'MSA-Lookup'!$AA$1:$AB$25,2)</f>
        <v>4472</v>
      </c>
      <c r="H4464" s="0" t="n">
        <f aca="false">IF(C4464&gt;1,IF(C4464&lt;99,VLOOKUP(F4464,'MSA-Lookup'!$AA$1:$AB$25,2),C4464),C4464)</f>
        <v>4472</v>
      </c>
    </row>
    <row r="4465" customFormat="false" ht="12.75" hidden="false" customHeight="false" outlineLevel="0" collapsed="false">
      <c r="A4465" s="0" t="n">
        <f aca="false">B4465*1000+C4465</f>
        <v>63066</v>
      </c>
      <c r="B4465" s="0" t="n">
        <v>63</v>
      </c>
      <c r="C4465" s="0" t="n">
        <v>66</v>
      </c>
      <c r="D4465" s="0" t="n">
        <v>182</v>
      </c>
      <c r="E4465" s="0" t="n">
        <f aca="false">VLOOKUP(B4465,'MSA-Lookup'!$H$2:$I$86,2)</f>
        <v>4480</v>
      </c>
      <c r="F4465" s="0" t="n">
        <f aca="false">IF(C4465&gt;1,IF(C4465&lt;99,VLOOKUP(C4465,'MSA-Lookup'!$H$1:$I$86,2),C4465),C4465)</f>
        <v>4480</v>
      </c>
      <c r="G4465" s="0" t="n">
        <f aca="false">VLOOKUP(E4465,'MSA-Lookup'!$AA$1:$AB$25,2)</f>
        <v>4472</v>
      </c>
      <c r="H4465" s="0" t="n">
        <f aca="false">IF(C4465&gt;1,IF(C4465&lt;99,VLOOKUP(F4465,'MSA-Lookup'!$AA$1:$AB$25,2),C4465),C4465)</f>
        <v>4472</v>
      </c>
    </row>
    <row r="4466" customFormat="false" ht="12.75" hidden="false" customHeight="false" outlineLevel="0" collapsed="false">
      <c r="A4466" s="0" t="n">
        <f aca="false">B4466*1000+C4466</f>
        <v>63067</v>
      </c>
      <c r="B4466" s="0" t="n">
        <v>63</v>
      </c>
      <c r="C4466" s="0" t="n">
        <v>67</v>
      </c>
      <c r="D4466" s="0" t="n">
        <v>0</v>
      </c>
      <c r="E4466" s="0" t="n">
        <f aca="false">VLOOKUP(B4466,'MSA-Lookup'!$H$2:$I$86,2)</f>
        <v>4480</v>
      </c>
      <c r="F4466" s="0" t="n">
        <f aca="false">IF(C4466&gt;1,IF(C4466&lt;99,VLOOKUP(C4466,'MSA-Lookup'!$H$1:$I$86,2),C4466),C4466)</f>
        <v>6000</v>
      </c>
      <c r="G4466" s="0" t="n">
        <f aca="false">VLOOKUP(E4466,'MSA-Lookup'!$AA$1:$AB$25,2)</f>
        <v>4472</v>
      </c>
      <c r="H4466" s="0" t="n">
        <f aca="false">IF(C4466&gt;1,IF(C4466&lt;99,VLOOKUP(F4466,'MSA-Lookup'!$AA$1:$AB$25,2),C4466),C4466)</f>
        <v>4472</v>
      </c>
    </row>
    <row r="4467" customFormat="false" ht="12.75" hidden="false" customHeight="false" outlineLevel="0" collapsed="false">
      <c r="A4467" s="0" t="n">
        <f aca="false">B4467*1000+C4467</f>
        <v>63068</v>
      </c>
      <c r="B4467" s="0" t="n">
        <v>63</v>
      </c>
      <c r="C4467" s="0" t="n">
        <v>68</v>
      </c>
      <c r="D4467" s="0" t="n">
        <v>0</v>
      </c>
      <c r="E4467" s="0" t="n">
        <f aca="false">VLOOKUP(B4467,'MSA-Lookup'!$H$2:$I$86,2)</f>
        <v>4480</v>
      </c>
      <c r="F4467" s="0" t="n">
        <f aca="false">IF(C4467&gt;1,IF(C4467&lt;99,VLOOKUP(C4467,'MSA-Lookup'!$H$1:$I$86,2),C4467),C4467)</f>
        <v>6780</v>
      </c>
      <c r="G4467" s="0" t="n">
        <f aca="false">VLOOKUP(E4467,'MSA-Lookup'!$AA$1:$AB$25,2)</f>
        <v>4472</v>
      </c>
      <c r="H4467" s="0" t="n">
        <f aca="false">IF(C4467&gt;1,IF(C4467&lt;99,VLOOKUP(F4467,'MSA-Lookup'!$AA$1:$AB$25,2),C4467),C4467)</f>
        <v>4472</v>
      </c>
    </row>
    <row r="4468" customFormat="false" ht="12.75" hidden="false" customHeight="false" outlineLevel="0" collapsed="false">
      <c r="A4468" s="0" t="n">
        <f aca="false">B4468*1000+C4468</f>
        <v>63069</v>
      </c>
      <c r="B4468" s="0" t="n">
        <v>63</v>
      </c>
      <c r="C4468" s="0" t="n">
        <v>69</v>
      </c>
      <c r="D4468" s="0" t="n">
        <v>0</v>
      </c>
      <c r="E4468" s="0" t="n">
        <f aca="false">VLOOKUP(B4468,'MSA-Lookup'!$H$2:$I$86,2)</f>
        <v>4480</v>
      </c>
      <c r="F4468" s="0" t="n">
        <f aca="false">IF(C4468&gt;1,IF(C4468&lt;99,VLOOKUP(C4468,'MSA-Lookup'!$H$1:$I$86,2),C4468),C4468)</f>
        <v>6780</v>
      </c>
      <c r="G4468" s="0" t="n">
        <f aca="false">VLOOKUP(E4468,'MSA-Lookup'!$AA$1:$AB$25,2)</f>
        <v>4472</v>
      </c>
      <c r="H4468" s="0" t="n">
        <f aca="false">IF(C4468&gt;1,IF(C4468&lt;99,VLOOKUP(F4468,'MSA-Lookup'!$AA$1:$AB$25,2),C4468),C4468)</f>
        <v>4472</v>
      </c>
    </row>
    <row r="4469" customFormat="false" ht="12.75" hidden="false" customHeight="false" outlineLevel="0" collapsed="false">
      <c r="A4469" s="0" t="n">
        <f aca="false">B4469*1000+C4469</f>
        <v>63070</v>
      </c>
      <c r="B4469" s="0" t="n">
        <v>63</v>
      </c>
      <c r="C4469" s="0" t="n">
        <v>70</v>
      </c>
      <c r="D4469" s="0" t="n">
        <v>0</v>
      </c>
      <c r="E4469" s="0" t="n">
        <f aca="false">VLOOKUP(B4469,'MSA-Lookup'!$H$2:$I$86,2)</f>
        <v>4480</v>
      </c>
      <c r="F4469" s="0" t="n">
        <f aca="false">IF(C4469&gt;1,IF(C4469&lt;99,VLOOKUP(C4469,'MSA-Lookup'!$H$1:$I$86,2),C4469),C4469)</f>
        <v>6780</v>
      </c>
      <c r="G4469" s="0" t="n">
        <f aca="false">VLOOKUP(E4469,'MSA-Lookup'!$AA$1:$AB$25,2)</f>
        <v>4472</v>
      </c>
      <c r="H4469" s="0" t="n">
        <f aca="false">IF(C4469&gt;1,IF(C4469&lt;99,VLOOKUP(F4469,'MSA-Lookup'!$AA$1:$AB$25,2),C4469),C4469)</f>
        <v>4472</v>
      </c>
    </row>
    <row r="4470" customFormat="false" ht="12.75" hidden="false" customHeight="false" outlineLevel="0" collapsed="false">
      <c r="A4470" s="0" t="n">
        <f aca="false">B4470*1000+C4470</f>
        <v>63071</v>
      </c>
      <c r="B4470" s="0" t="n">
        <v>63</v>
      </c>
      <c r="C4470" s="0" t="n">
        <v>71</v>
      </c>
      <c r="D4470" s="0" t="n">
        <v>0</v>
      </c>
      <c r="E4470" s="0" t="n">
        <f aca="false">VLOOKUP(B4470,'MSA-Lookup'!$H$2:$I$86,2)</f>
        <v>4480</v>
      </c>
      <c r="F4470" s="0" t="n">
        <f aca="false">IF(C4470&gt;1,IF(C4470&lt;99,VLOOKUP(C4470,'MSA-Lookup'!$H$1:$I$86,2),C4470),C4470)</f>
        <v>6780</v>
      </c>
      <c r="G4470" s="0" t="n">
        <f aca="false">VLOOKUP(E4470,'MSA-Lookup'!$AA$1:$AB$25,2)</f>
        <v>4472</v>
      </c>
      <c r="H4470" s="0" t="n">
        <f aca="false">IF(C4470&gt;1,IF(C4470&lt;99,VLOOKUP(F4470,'MSA-Lookup'!$AA$1:$AB$25,2),C4470),C4470)</f>
        <v>4472</v>
      </c>
    </row>
    <row r="4471" customFormat="false" ht="12.75" hidden="false" customHeight="false" outlineLevel="0" collapsed="false">
      <c r="A4471" s="0" t="n">
        <f aca="false">B4471*1000+C4471</f>
        <v>63072</v>
      </c>
      <c r="B4471" s="0" t="n">
        <v>63</v>
      </c>
      <c r="C4471" s="0" t="n">
        <v>72</v>
      </c>
      <c r="D4471" s="0" t="n">
        <v>299</v>
      </c>
      <c r="E4471" s="0" t="n">
        <f aca="false">VLOOKUP(B4471,'MSA-Lookup'!$H$2:$I$86,2)</f>
        <v>4480</v>
      </c>
      <c r="F4471" s="0" t="n">
        <f aca="false">IF(C4471&gt;1,IF(C4471&lt;99,VLOOKUP(C4471,'MSA-Lookup'!$H$1:$I$86,2),C4471),C4471)</f>
        <v>6780</v>
      </c>
      <c r="G4471" s="0" t="n">
        <f aca="false">VLOOKUP(E4471,'MSA-Lookup'!$AA$1:$AB$25,2)</f>
        <v>4472</v>
      </c>
      <c r="H4471" s="0" t="n">
        <f aca="false">IF(C4471&gt;1,IF(C4471&lt;99,VLOOKUP(F4471,'MSA-Lookup'!$AA$1:$AB$25,2),C4471),C4471)</f>
        <v>4472</v>
      </c>
    </row>
    <row r="4472" customFormat="false" ht="12.75" hidden="false" customHeight="false" outlineLevel="0" collapsed="false">
      <c r="A4472" s="0" t="n">
        <f aca="false">B4472*1000+C4472</f>
        <v>63073</v>
      </c>
      <c r="B4472" s="0" t="n">
        <v>63</v>
      </c>
      <c r="C4472" s="0" t="n">
        <v>73</v>
      </c>
      <c r="D4472" s="0" t="n">
        <v>0</v>
      </c>
      <c r="E4472" s="0" t="n">
        <f aca="false">VLOOKUP(B4472,'MSA-Lookup'!$H$2:$I$86,2)</f>
        <v>4480</v>
      </c>
      <c r="F4472" s="0" t="n">
        <f aca="false">IF(C4472&gt;1,IF(C4472&lt;99,VLOOKUP(C4472,'MSA-Lookup'!$H$1:$I$86,2),C4472),C4472)</f>
        <v>8720</v>
      </c>
      <c r="G4472" s="0" t="n">
        <f aca="false">VLOOKUP(E4472,'MSA-Lookup'!$AA$1:$AB$25,2)</f>
        <v>4472</v>
      </c>
      <c r="H4472" s="0" t="n">
        <f aca="false">IF(C4472&gt;1,IF(C4472&lt;99,VLOOKUP(F4472,'MSA-Lookup'!$AA$1:$AB$25,2),C4472),C4472)</f>
        <v>7362</v>
      </c>
    </row>
    <row r="4473" customFormat="false" ht="12.75" hidden="false" customHeight="false" outlineLevel="0" collapsed="false">
      <c r="A4473" s="0" t="n">
        <f aca="false">B4473*1000+C4473</f>
        <v>63075</v>
      </c>
      <c r="B4473" s="0" t="n">
        <v>63</v>
      </c>
      <c r="C4473" s="0" t="n">
        <v>75</v>
      </c>
      <c r="D4473" s="0" t="n">
        <v>0</v>
      </c>
      <c r="E4473" s="0" t="n">
        <f aca="false">VLOOKUP(B4473,'MSA-Lookup'!$H$2:$I$86,2)</f>
        <v>4480</v>
      </c>
      <c r="F4473" s="0" t="n">
        <f aca="false">IF(C4473&gt;1,IF(C4473&lt;99,VLOOKUP(C4473,'MSA-Lookup'!$H$1:$I$86,2),C4473),C4473)</f>
        <v>8780</v>
      </c>
      <c r="G4473" s="0" t="n">
        <f aca="false">VLOOKUP(E4473,'MSA-Lookup'!$AA$1:$AB$25,2)</f>
        <v>4472</v>
      </c>
      <c r="H4473" s="0" t="n">
        <f aca="false">IF(C4473&gt;1,IF(C4473&lt;99,VLOOKUP(F4473,'MSA-Lookup'!$AA$1:$AB$25,2),C4473),C4473)</f>
        <v>8780</v>
      </c>
    </row>
    <row r="4474" customFormat="false" ht="12.75" hidden="false" customHeight="false" outlineLevel="0" collapsed="false">
      <c r="A4474" s="0" t="n">
        <f aca="false">B4474*1000+C4474</f>
        <v>63076</v>
      </c>
      <c r="B4474" s="0" t="n">
        <v>63</v>
      </c>
      <c r="C4474" s="0" t="n">
        <v>76</v>
      </c>
      <c r="D4474" s="0" t="n">
        <v>0</v>
      </c>
      <c r="E4474" s="0" t="n">
        <f aca="false">VLOOKUP(B4474,'MSA-Lookup'!$H$2:$I$86,2)</f>
        <v>4480</v>
      </c>
      <c r="F4474" s="0" t="n">
        <f aca="false">IF(C4474&gt;1,IF(C4474&lt;99,VLOOKUP(C4474,'MSA-Lookup'!$H$1:$I$86,2),C4474),C4474)</f>
        <v>7485</v>
      </c>
      <c r="G4474" s="0" t="n">
        <f aca="false">VLOOKUP(E4474,'MSA-Lookup'!$AA$1:$AB$25,2)</f>
        <v>4472</v>
      </c>
      <c r="H4474" s="0" t="n">
        <f aca="false">IF(C4474&gt;1,IF(C4474&lt;99,VLOOKUP(F4474,'MSA-Lookup'!$AA$1:$AB$25,2),C4474),C4474)</f>
        <v>7362</v>
      </c>
    </row>
    <row r="4475" customFormat="false" ht="12.75" hidden="false" customHeight="false" outlineLevel="0" collapsed="false">
      <c r="A4475" s="0" t="n">
        <f aca="false">B4475*1000+C4475</f>
        <v>63077</v>
      </c>
      <c r="B4475" s="0" t="n">
        <v>63</v>
      </c>
      <c r="C4475" s="0" t="n">
        <v>77</v>
      </c>
      <c r="D4475" s="0" t="n">
        <v>0</v>
      </c>
      <c r="E4475" s="0" t="n">
        <f aca="false">VLOOKUP(B4475,'MSA-Lookup'!$H$2:$I$86,2)</f>
        <v>4480</v>
      </c>
      <c r="F4475" s="0" t="n">
        <f aca="false">IF(C4475&gt;1,IF(C4475&lt;99,VLOOKUP(C4475,'MSA-Lookup'!$H$1:$I$86,2),C4475),C4475)</f>
        <v>9999</v>
      </c>
      <c r="G4475" s="0" t="n">
        <f aca="false">VLOOKUP(E4475,'MSA-Lookup'!$AA$1:$AB$25,2)</f>
        <v>4472</v>
      </c>
      <c r="H4475" s="0" t="n">
        <f aca="false">IF(C4475&gt;1,IF(C4475&lt;99,VLOOKUP(F4475,'MSA-Lookup'!$AA$1:$AB$25,2),C4475),C4475)</f>
        <v>9999</v>
      </c>
    </row>
    <row r="4476" customFormat="false" ht="12.75" hidden="false" customHeight="false" outlineLevel="0" collapsed="false">
      <c r="A4476" s="0" t="n">
        <f aca="false">B4476*1000+C4476</f>
        <v>63078</v>
      </c>
      <c r="B4476" s="0" t="n">
        <v>63</v>
      </c>
      <c r="C4476" s="0" t="n">
        <v>78</v>
      </c>
      <c r="D4476" s="0" t="n">
        <v>0</v>
      </c>
      <c r="E4476" s="0" t="n">
        <f aca="false">VLOOKUP(B4476,'MSA-Lookup'!$H$2:$I$86,2)</f>
        <v>4480</v>
      </c>
      <c r="F4476" s="0" t="n">
        <f aca="false">IF(C4476&gt;1,IF(C4476&lt;99,VLOOKUP(C4476,'MSA-Lookup'!$H$1:$I$86,2),C4476),C4476)</f>
        <v>680</v>
      </c>
      <c r="G4476" s="0" t="n">
        <f aca="false">VLOOKUP(E4476,'MSA-Lookup'!$AA$1:$AB$25,2)</f>
        <v>4472</v>
      </c>
      <c r="H4476" s="0" t="n">
        <f aca="false">IF(C4476&gt;1,IF(C4476&lt;99,VLOOKUP(F4476,'MSA-Lookup'!$AA$1:$AB$25,2),C4476),C4476)</f>
        <v>680</v>
      </c>
    </row>
    <row r="4477" customFormat="false" ht="12.75" hidden="false" customHeight="false" outlineLevel="0" collapsed="false">
      <c r="A4477" s="0" t="n">
        <f aca="false">B4477*1000+C4477</f>
        <v>63079</v>
      </c>
      <c r="B4477" s="0" t="n">
        <v>63</v>
      </c>
      <c r="C4477" s="0" t="n">
        <v>79</v>
      </c>
      <c r="D4477" s="0" t="n">
        <v>0</v>
      </c>
      <c r="E4477" s="0" t="n">
        <f aca="false">VLOOKUP(B4477,'MSA-Lookup'!$H$2:$I$86,2)</f>
        <v>4480</v>
      </c>
      <c r="F4477" s="0" t="n">
        <f aca="false">IF(C4477&gt;1,IF(C4477&lt;99,VLOOKUP(C4477,'MSA-Lookup'!$H$1:$I$86,2),C4477),C4477)</f>
        <v>680</v>
      </c>
      <c r="G4477" s="0" t="n">
        <f aca="false">VLOOKUP(E4477,'MSA-Lookup'!$AA$1:$AB$25,2)</f>
        <v>4472</v>
      </c>
      <c r="H4477" s="0" t="n">
        <f aca="false">IF(C4477&gt;1,IF(C4477&lt;99,VLOOKUP(F4477,'MSA-Lookup'!$AA$1:$AB$25,2),C4477),C4477)</f>
        <v>680</v>
      </c>
    </row>
    <row r="4478" customFormat="false" ht="12.75" hidden="false" customHeight="false" outlineLevel="0" collapsed="false">
      <c r="A4478" s="0" t="n">
        <f aca="false">B4478*1000+C4478</f>
        <v>63080</v>
      </c>
      <c r="B4478" s="0" t="n">
        <v>63</v>
      </c>
      <c r="C4478" s="0" t="n">
        <v>80</v>
      </c>
      <c r="D4478" s="0" t="n">
        <v>0</v>
      </c>
      <c r="E4478" s="0" t="n">
        <f aca="false">VLOOKUP(B4478,'MSA-Lookup'!$H$2:$I$86,2)</f>
        <v>4480</v>
      </c>
      <c r="F4478" s="0" t="n">
        <f aca="false">IF(C4478&gt;1,IF(C4478&lt;99,VLOOKUP(C4478,'MSA-Lookup'!$H$1:$I$86,2),C4478),C4478)</f>
        <v>9999</v>
      </c>
      <c r="G4478" s="0" t="n">
        <f aca="false">VLOOKUP(E4478,'MSA-Lookup'!$AA$1:$AB$25,2)</f>
        <v>4472</v>
      </c>
      <c r="H4478" s="0" t="n">
        <f aca="false">IF(C4478&gt;1,IF(C4478&lt;99,VLOOKUP(F4478,'MSA-Lookup'!$AA$1:$AB$25,2),C4478),C4478)</f>
        <v>9999</v>
      </c>
    </row>
    <row r="4479" customFormat="false" ht="12.75" hidden="false" customHeight="false" outlineLevel="0" collapsed="false">
      <c r="A4479" s="0" t="n">
        <f aca="false">B4479*1000+C4479</f>
        <v>63081</v>
      </c>
      <c r="B4479" s="0" t="n">
        <v>63</v>
      </c>
      <c r="C4479" s="0" t="n">
        <v>81</v>
      </c>
      <c r="D4479" s="0" t="n">
        <v>0</v>
      </c>
      <c r="E4479" s="0" t="n">
        <f aca="false">VLOOKUP(B4479,'MSA-Lookup'!$H$2:$I$86,2)</f>
        <v>4480</v>
      </c>
      <c r="F4479" s="0" t="n">
        <f aca="false">IF(C4479&gt;1,IF(C4479&lt;99,VLOOKUP(C4479,'MSA-Lookup'!$H$1:$I$86,2),C4479),C4479)</f>
        <v>6780</v>
      </c>
      <c r="G4479" s="0" t="n">
        <f aca="false">VLOOKUP(E4479,'MSA-Lookup'!$AA$1:$AB$25,2)</f>
        <v>4472</v>
      </c>
      <c r="H4479" s="0" t="n">
        <f aca="false">IF(C4479&gt;1,IF(C4479&lt;99,VLOOKUP(F4479,'MSA-Lookup'!$AA$1:$AB$25,2),C4479),C4479)</f>
        <v>4472</v>
      </c>
    </row>
    <row r="4480" customFormat="false" ht="12.75" hidden="false" customHeight="false" outlineLevel="0" collapsed="false">
      <c r="A4480" s="0" t="n">
        <f aca="false">B4480*1000+C4480</f>
        <v>63082</v>
      </c>
      <c r="B4480" s="0" t="n">
        <v>63</v>
      </c>
      <c r="C4480" s="0" t="n">
        <v>82</v>
      </c>
      <c r="D4480" s="0" t="n">
        <v>0</v>
      </c>
      <c r="E4480" s="0" t="n">
        <f aca="false">VLOOKUP(B4480,'MSA-Lookup'!$H$2:$I$86,2)</f>
        <v>4480</v>
      </c>
      <c r="F4480" s="0" t="n">
        <f aca="false">IF(C4480&gt;1,IF(C4480&lt;99,VLOOKUP(C4480,'MSA-Lookup'!$H$1:$I$86,2),C4480),C4480)</f>
        <v>6780</v>
      </c>
      <c r="G4480" s="0" t="n">
        <f aca="false">VLOOKUP(E4480,'MSA-Lookup'!$AA$1:$AB$25,2)</f>
        <v>4472</v>
      </c>
      <c r="H4480" s="0" t="n">
        <f aca="false">IF(C4480&gt;1,IF(C4480&lt;99,VLOOKUP(F4480,'MSA-Lookup'!$AA$1:$AB$25,2),C4480),C4480)</f>
        <v>4472</v>
      </c>
    </row>
    <row r="4481" customFormat="false" ht="12.75" hidden="false" customHeight="false" outlineLevel="0" collapsed="false">
      <c r="A4481" s="0" t="n">
        <f aca="false">B4481*1000+C4481</f>
        <v>63083</v>
      </c>
      <c r="B4481" s="0" t="n">
        <v>63</v>
      </c>
      <c r="C4481" s="0" t="n">
        <v>83</v>
      </c>
      <c r="D4481" s="0" t="n">
        <v>104</v>
      </c>
      <c r="E4481" s="0" t="n">
        <f aca="false">VLOOKUP(B4481,'MSA-Lookup'!$H$2:$I$86,2)</f>
        <v>4480</v>
      </c>
      <c r="F4481" s="0" t="n">
        <f aca="false">IF(C4481&gt;1,IF(C4481&lt;99,VLOOKUP(C4481,'MSA-Lookup'!$H$1:$I$86,2),C4481),C4481)</f>
        <v>6000</v>
      </c>
      <c r="G4481" s="0" t="n">
        <f aca="false">VLOOKUP(E4481,'MSA-Lookup'!$AA$1:$AB$25,2)</f>
        <v>4472</v>
      </c>
      <c r="H4481" s="0" t="n">
        <f aca="false">IF(C4481&gt;1,IF(C4481&lt;99,VLOOKUP(F4481,'MSA-Lookup'!$AA$1:$AB$25,2),C4481),C4481)</f>
        <v>4472</v>
      </c>
    </row>
    <row r="4482" customFormat="false" ht="12.75" hidden="false" customHeight="false" outlineLevel="0" collapsed="false">
      <c r="A4482" s="0" t="n">
        <f aca="false">B4482*1000+C4482</f>
        <v>63084</v>
      </c>
      <c r="B4482" s="0" t="n">
        <v>63</v>
      </c>
      <c r="C4482" s="0" t="n">
        <v>84</v>
      </c>
      <c r="D4482" s="0" t="n">
        <v>52</v>
      </c>
      <c r="E4482" s="0" t="n">
        <f aca="false">VLOOKUP(B4482,'MSA-Lookup'!$H$2:$I$86,2)</f>
        <v>4480</v>
      </c>
      <c r="F4482" s="0" t="n">
        <f aca="false">IF(C4482&gt;1,IF(C4482&lt;99,VLOOKUP(C4482,'MSA-Lookup'!$H$1:$I$86,2),C4482),C4482)</f>
        <v>360</v>
      </c>
      <c r="G4482" s="0" t="n">
        <f aca="false">VLOOKUP(E4482,'MSA-Lookup'!$AA$1:$AB$25,2)</f>
        <v>4472</v>
      </c>
      <c r="H4482" s="0" t="n">
        <f aca="false">IF(C4482&gt;1,IF(C4482&lt;99,VLOOKUP(F4482,'MSA-Lookup'!$AA$1:$AB$25,2),C4482),C4482)</f>
        <v>4472</v>
      </c>
    </row>
    <row r="4483" customFormat="false" ht="12.75" hidden="false" customHeight="false" outlineLevel="0" collapsed="false">
      <c r="A4483" s="0" t="n">
        <f aca="false">B4483*1000+C4483</f>
        <v>63085</v>
      </c>
      <c r="B4483" s="0" t="n">
        <v>63</v>
      </c>
      <c r="C4483" s="0" t="n">
        <v>85</v>
      </c>
      <c r="D4483" s="0" t="n">
        <v>0</v>
      </c>
      <c r="E4483" s="0" t="n">
        <f aca="false">VLOOKUP(B4483,'MSA-Lookup'!$H$2:$I$86,2)</f>
        <v>4480</v>
      </c>
      <c r="F4483" s="0" t="n">
        <f aca="false">IF(C4483&gt;1,IF(C4483&lt;99,VLOOKUP(C4483,'MSA-Lookup'!$H$1:$I$86,2),C4483),C4483)</f>
        <v>8120</v>
      </c>
      <c r="G4483" s="0" t="n">
        <f aca="false">VLOOKUP(E4483,'MSA-Lookup'!$AA$1:$AB$25,2)</f>
        <v>4472</v>
      </c>
      <c r="H4483" s="0" t="n">
        <f aca="false">IF(C4483&gt;1,IF(C4483&lt;99,VLOOKUP(F4483,'MSA-Lookup'!$AA$1:$AB$25,2),C4483),C4483)</f>
        <v>8120</v>
      </c>
    </row>
    <row r="4484" customFormat="false" ht="12.75" hidden="false" customHeight="false" outlineLevel="0" collapsed="false">
      <c r="A4484" s="0" t="n">
        <f aca="false">B4484*1000+C4484</f>
        <v>63858</v>
      </c>
      <c r="B4484" s="0" t="n">
        <v>63</v>
      </c>
      <c r="C4484" s="0" t="n">
        <v>858</v>
      </c>
      <c r="D4484" s="0" t="n">
        <v>0</v>
      </c>
      <c r="E4484" s="0" t="n">
        <f aca="false">VLOOKUP(B4484,'MSA-Lookup'!$H$2:$I$86,2)</f>
        <v>4480</v>
      </c>
      <c r="F4484" s="0" t="n">
        <f aca="false">IF(C4484&gt;1,IF(C4484&lt;99,VLOOKUP(C4484,'MSA-Lookup'!$H$1:$I$86,2),C4484),C4484)</f>
        <v>858</v>
      </c>
      <c r="G4484" s="0" t="n">
        <f aca="false">VLOOKUP(E4484,'MSA-Lookup'!$AA$1:$AB$25,2)</f>
        <v>4472</v>
      </c>
      <c r="H4484" s="0" t="n">
        <f aca="false">IF(C4484&gt;1,IF(C4484&lt;99,VLOOKUP(F4484,'MSA-Lookup'!$AA$1:$AB$25,2),C4484),C4484)</f>
        <v>858</v>
      </c>
    </row>
    <row r="4485" customFormat="false" ht="12.75" hidden="false" customHeight="false" outlineLevel="0" collapsed="false">
      <c r="A4485" s="0" t="n">
        <f aca="false">B4485*1000+C4485</f>
        <v>63983</v>
      </c>
      <c r="B4485" s="0" t="n">
        <v>63</v>
      </c>
      <c r="C4485" s="0" t="n">
        <v>983</v>
      </c>
      <c r="D4485" s="0" t="n">
        <v>0</v>
      </c>
      <c r="E4485" s="0" t="n">
        <f aca="false">VLOOKUP(B4485,'MSA-Lookup'!$H$2:$I$86,2)</f>
        <v>4480</v>
      </c>
      <c r="F4485" s="0" t="n">
        <f aca="false">IF(C4485&gt;1,IF(C4485&lt;99,VLOOKUP(C4485,'MSA-Lookup'!$H$1:$I$86,2),C4485),C4485)</f>
        <v>983</v>
      </c>
      <c r="G4485" s="0" t="n">
        <f aca="false">VLOOKUP(E4485,'MSA-Lookup'!$AA$1:$AB$25,2)</f>
        <v>4472</v>
      </c>
      <c r="H4485" s="0" t="n">
        <f aca="false">IF(C4485&gt;1,IF(C4485&lt;99,VLOOKUP(F4485,'MSA-Lookup'!$AA$1:$AB$25,2),C4485),C4485)</f>
        <v>983</v>
      </c>
    </row>
    <row r="4486" customFormat="false" ht="12.75" hidden="false" customHeight="false" outlineLevel="0" collapsed="false">
      <c r="A4486" s="0" t="n">
        <f aca="false">B4486*1000+C4486</f>
        <v>63999</v>
      </c>
      <c r="B4486" s="0" t="n">
        <v>63</v>
      </c>
      <c r="C4486" s="0" t="n">
        <v>999</v>
      </c>
      <c r="D4486" s="0" t="n">
        <v>78</v>
      </c>
      <c r="E4486" s="0" t="n">
        <f aca="false">VLOOKUP(B4486,'MSA-Lookup'!$H$2:$I$86,2)</f>
        <v>4480</v>
      </c>
      <c r="F4486" s="0" t="n">
        <f aca="false">IF(C4486&gt;1,IF(C4486&lt;99,VLOOKUP(C4486,'MSA-Lookup'!$H$1:$I$86,2),C4486),C4486)</f>
        <v>999</v>
      </c>
      <c r="G4486" s="0" t="n">
        <f aca="false">VLOOKUP(E4486,'MSA-Lookup'!$AA$1:$AB$25,2)</f>
        <v>4472</v>
      </c>
      <c r="H4486" s="0" t="n">
        <f aca="false">IF(C4486&gt;1,IF(C4486&lt;99,VLOOKUP(F4486,'MSA-Lookup'!$AA$1:$AB$25,2),C4486),C4486)</f>
        <v>999</v>
      </c>
    </row>
    <row r="4487" customFormat="false" ht="12.75" hidden="false" customHeight="false" outlineLevel="0" collapsed="false">
      <c r="A4487" s="0" t="n">
        <f aca="false">B4487*1000+C4487</f>
        <v>64000</v>
      </c>
      <c r="B4487" s="0" t="n">
        <v>64</v>
      </c>
      <c r="C4487" s="0" t="n">
        <v>0</v>
      </c>
      <c r="D4487" s="20" t="n">
        <v>1797110</v>
      </c>
      <c r="E4487" s="0" t="n">
        <f aca="false">VLOOKUP(B4487,'MSA-Lookup'!$H$2:$I$86,2)</f>
        <v>4480</v>
      </c>
      <c r="F4487" s="0" t="n">
        <f aca="false">IF(C4487&gt;1,IF(C4487&lt;99,VLOOKUP(C4487,'MSA-Lookup'!$H$1:$I$86,2),C4487),C4487)</f>
        <v>0</v>
      </c>
      <c r="G4487" s="0" t="n">
        <f aca="false">VLOOKUP(E4487,'MSA-Lookup'!$AA$1:$AB$25,2)</f>
        <v>4472</v>
      </c>
      <c r="H4487" s="0" t="n">
        <f aca="false">IF(C4487&gt;1,IF(C4487&lt;99,VLOOKUP(F4487,'MSA-Lookup'!$AA$1:$AB$25,2),C4487),C4487)</f>
        <v>0</v>
      </c>
    </row>
    <row r="4488" customFormat="false" ht="12.75" hidden="false" customHeight="false" outlineLevel="0" collapsed="false">
      <c r="A4488" s="0" t="n">
        <f aca="false">B4488*1000+C4488</f>
        <v>64001</v>
      </c>
      <c r="B4488" s="0" t="n">
        <v>64</v>
      </c>
      <c r="C4488" s="0" t="n">
        <v>1</v>
      </c>
      <c r="D4488" s="0" t="n">
        <v>1040</v>
      </c>
      <c r="E4488" s="0" t="n">
        <f aca="false">VLOOKUP(B4488,'MSA-Lookup'!$H$2:$I$86,2)</f>
        <v>4480</v>
      </c>
      <c r="F4488" s="0" t="n">
        <f aca="false">IF(C4488&gt;1,IF(C4488&lt;99,VLOOKUP(C4488,'MSA-Lookup'!$H$1:$I$86,2),C4488),C4488)</f>
        <v>1</v>
      </c>
      <c r="G4488" s="0" t="n">
        <f aca="false">VLOOKUP(E4488,'MSA-Lookup'!$AA$1:$AB$25,2)</f>
        <v>4472</v>
      </c>
      <c r="H4488" s="0" t="n">
        <f aca="false">IF(C4488&gt;1,IF(C4488&lt;99,VLOOKUP(F4488,'MSA-Lookup'!$AA$1:$AB$25,2),C4488),C4488)</f>
        <v>1</v>
      </c>
    </row>
    <row r="4489" customFormat="false" ht="12.75" hidden="false" customHeight="false" outlineLevel="0" collapsed="false">
      <c r="A4489" s="0" t="n">
        <f aca="false">B4489*1000+C4489</f>
        <v>64002</v>
      </c>
      <c r="B4489" s="0" t="n">
        <v>64</v>
      </c>
      <c r="C4489" s="0" t="n">
        <v>2</v>
      </c>
      <c r="D4489" s="0" t="n">
        <v>884</v>
      </c>
      <c r="E4489" s="0" t="n">
        <f aca="false">VLOOKUP(B4489,'MSA-Lookup'!$H$2:$I$86,2)</f>
        <v>4480</v>
      </c>
      <c r="F4489" s="0" t="n">
        <f aca="false">IF(C4489&gt;1,IF(C4489&lt;99,VLOOKUP(C4489,'MSA-Lookup'!$H$1:$I$86,2),C4489),C4489)</f>
        <v>9999</v>
      </c>
      <c r="G4489" s="0" t="n">
        <f aca="false">VLOOKUP(E4489,'MSA-Lookup'!$AA$1:$AB$25,2)</f>
        <v>4472</v>
      </c>
      <c r="H4489" s="0" t="n">
        <f aca="false">IF(C4489&gt;1,IF(C4489&lt;99,VLOOKUP(F4489,'MSA-Lookup'!$AA$1:$AB$25,2),C4489),C4489)</f>
        <v>9999</v>
      </c>
    </row>
    <row r="4490" customFormat="false" ht="12.75" hidden="false" customHeight="false" outlineLevel="0" collapsed="false">
      <c r="A4490" s="0" t="n">
        <f aca="false">B4490*1000+C4490</f>
        <v>64003</v>
      </c>
      <c r="B4490" s="0" t="n">
        <v>64</v>
      </c>
      <c r="C4490" s="0" t="n">
        <v>3</v>
      </c>
      <c r="D4490" s="0" t="n">
        <v>728</v>
      </c>
      <c r="E4490" s="0" t="n">
        <f aca="false">VLOOKUP(B4490,'MSA-Lookup'!$H$2:$I$86,2)</f>
        <v>4480</v>
      </c>
      <c r="F4490" s="0" t="n">
        <f aca="false">IF(C4490&gt;1,IF(C4490&lt;99,VLOOKUP(C4490,'MSA-Lookup'!$H$1:$I$86,2),C4490),C4490)</f>
        <v>6690</v>
      </c>
      <c r="G4490" s="0" t="n">
        <f aca="false">VLOOKUP(E4490,'MSA-Lookup'!$AA$1:$AB$25,2)</f>
        <v>4472</v>
      </c>
      <c r="H4490" s="0" t="n">
        <f aca="false">IF(C4490&gt;1,IF(C4490&lt;99,VLOOKUP(F4490,'MSA-Lookup'!$AA$1:$AB$25,2),C4490),C4490)</f>
        <v>6690</v>
      </c>
    </row>
    <row r="4491" customFormat="false" ht="12.75" hidden="false" customHeight="false" outlineLevel="0" collapsed="false">
      <c r="A4491" s="0" t="n">
        <f aca="false">B4491*1000+C4491</f>
        <v>64004</v>
      </c>
      <c r="B4491" s="0" t="n">
        <v>64</v>
      </c>
      <c r="C4491" s="0" t="n">
        <v>4</v>
      </c>
      <c r="D4491" s="0" t="n">
        <v>208</v>
      </c>
      <c r="E4491" s="0" t="n">
        <f aca="false">VLOOKUP(B4491,'MSA-Lookup'!$H$2:$I$86,2)</f>
        <v>4480</v>
      </c>
      <c r="F4491" s="0" t="n">
        <f aca="false">IF(C4491&gt;1,IF(C4491&lt;99,VLOOKUP(C4491,'MSA-Lookup'!$H$1:$I$86,2),C4491),C4491)</f>
        <v>9999</v>
      </c>
      <c r="G4491" s="0" t="n">
        <f aca="false">VLOOKUP(E4491,'MSA-Lookup'!$AA$1:$AB$25,2)</f>
        <v>4472</v>
      </c>
      <c r="H4491" s="0" t="n">
        <f aca="false">IF(C4491&gt;1,IF(C4491&lt;99,VLOOKUP(F4491,'MSA-Lookup'!$AA$1:$AB$25,2),C4491),C4491)</f>
        <v>9999</v>
      </c>
    </row>
    <row r="4492" customFormat="false" ht="12.75" hidden="false" customHeight="false" outlineLevel="0" collapsed="false">
      <c r="A4492" s="0" t="n">
        <f aca="false">B4492*1000+C4492</f>
        <v>64005</v>
      </c>
      <c r="B4492" s="0" t="n">
        <v>64</v>
      </c>
      <c r="C4492" s="0" t="n">
        <v>5</v>
      </c>
      <c r="D4492" s="0" t="n">
        <v>156</v>
      </c>
      <c r="E4492" s="0" t="n">
        <f aca="false">VLOOKUP(B4492,'MSA-Lookup'!$H$2:$I$86,2)</f>
        <v>4480</v>
      </c>
      <c r="F4492" s="0" t="n">
        <f aca="false">IF(C4492&gt;1,IF(C4492&lt;99,VLOOKUP(C4492,'MSA-Lookup'!$H$1:$I$86,2),C4492),C4492)</f>
        <v>9999</v>
      </c>
      <c r="G4492" s="0" t="n">
        <f aca="false">VLOOKUP(E4492,'MSA-Lookup'!$AA$1:$AB$25,2)</f>
        <v>4472</v>
      </c>
      <c r="H4492" s="0" t="n">
        <f aca="false">IF(C4492&gt;1,IF(C4492&lt;99,VLOOKUP(F4492,'MSA-Lookup'!$AA$1:$AB$25,2),C4492),C4492)</f>
        <v>9999</v>
      </c>
    </row>
    <row r="4493" customFormat="false" ht="12.75" hidden="false" customHeight="false" outlineLevel="0" collapsed="false">
      <c r="A4493" s="0" t="n">
        <f aca="false">B4493*1000+C4493</f>
        <v>64006</v>
      </c>
      <c r="B4493" s="0" t="n">
        <v>64</v>
      </c>
      <c r="C4493" s="0" t="n">
        <v>6</v>
      </c>
      <c r="D4493" s="0" t="n">
        <v>143</v>
      </c>
      <c r="E4493" s="0" t="n">
        <f aca="false">VLOOKUP(B4493,'MSA-Lookup'!$H$2:$I$86,2)</f>
        <v>4480</v>
      </c>
      <c r="F4493" s="0" t="n">
        <f aca="false">IF(C4493&gt;1,IF(C4493&lt;99,VLOOKUP(C4493,'MSA-Lookup'!$H$1:$I$86,2),C4493),C4493)</f>
        <v>1620</v>
      </c>
      <c r="G4493" s="0" t="n">
        <f aca="false">VLOOKUP(E4493,'MSA-Lookup'!$AA$1:$AB$25,2)</f>
        <v>4472</v>
      </c>
      <c r="H4493" s="0" t="n">
        <f aca="false">IF(C4493&gt;1,IF(C4493&lt;99,VLOOKUP(F4493,'MSA-Lookup'!$AA$1:$AB$25,2),C4493),C4493)</f>
        <v>1620</v>
      </c>
    </row>
    <row r="4494" customFormat="false" ht="12.75" hidden="false" customHeight="false" outlineLevel="0" collapsed="false">
      <c r="A4494" s="0" t="n">
        <f aca="false">B4494*1000+C4494</f>
        <v>64007</v>
      </c>
      <c r="B4494" s="0" t="n">
        <v>64</v>
      </c>
      <c r="C4494" s="0" t="n">
        <v>7</v>
      </c>
      <c r="D4494" s="0" t="n">
        <v>208</v>
      </c>
      <c r="E4494" s="0" t="n">
        <f aca="false">VLOOKUP(B4494,'MSA-Lookup'!$H$2:$I$86,2)</f>
        <v>4480</v>
      </c>
      <c r="F4494" s="0" t="n">
        <f aca="false">IF(C4494&gt;1,IF(C4494&lt;99,VLOOKUP(C4494,'MSA-Lookup'!$H$1:$I$86,2),C4494),C4494)</f>
        <v>9999</v>
      </c>
      <c r="G4494" s="0" t="n">
        <f aca="false">VLOOKUP(E4494,'MSA-Lookup'!$AA$1:$AB$25,2)</f>
        <v>4472</v>
      </c>
      <c r="H4494" s="0" t="n">
        <f aca="false">IF(C4494&gt;1,IF(C4494&lt;99,VLOOKUP(F4494,'MSA-Lookup'!$AA$1:$AB$25,2),C4494),C4494)</f>
        <v>9999</v>
      </c>
    </row>
    <row r="4495" customFormat="false" ht="12.75" hidden="false" customHeight="false" outlineLevel="0" collapsed="false">
      <c r="A4495" s="0" t="n">
        <f aca="false">B4495*1000+C4495</f>
        <v>64008</v>
      </c>
      <c r="B4495" s="0" t="n">
        <v>64</v>
      </c>
      <c r="C4495" s="0" t="n">
        <v>8</v>
      </c>
      <c r="D4495" s="0" t="n">
        <v>0</v>
      </c>
      <c r="E4495" s="0" t="n">
        <f aca="false">VLOOKUP(B4495,'MSA-Lookup'!$H$2:$I$86,2)</f>
        <v>4480</v>
      </c>
      <c r="F4495" s="0" t="n">
        <f aca="false">IF(C4495&gt;1,IF(C4495&lt;99,VLOOKUP(C4495,'MSA-Lookup'!$H$1:$I$86,2),C4495),C4495)</f>
        <v>9340</v>
      </c>
      <c r="G4495" s="0" t="n">
        <f aca="false">VLOOKUP(E4495,'MSA-Lookup'!$AA$1:$AB$25,2)</f>
        <v>4472</v>
      </c>
      <c r="H4495" s="0" t="n">
        <f aca="false">IF(C4495&gt;1,IF(C4495&lt;99,VLOOKUP(F4495,'MSA-Lookup'!$AA$1:$AB$25,2),C4495),C4495)</f>
        <v>9340</v>
      </c>
    </row>
    <row r="4496" customFormat="false" ht="12.75" hidden="false" customHeight="false" outlineLevel="0" collapsed="false">
      <c r="A4496" s="0" t="n">
        <f aca="false">B4496*1000+C4496</f>
        <v>64009</v>
      </c>
      <c r="B4496" s="0" t="n">
        <v>64</v>
      </c>
      <c r="C4496" s="0" t="n">
        <v>9</v>
      </c>
      <c r="D4496" s="0" t="n">
        <v>0</v>
      </c>
      <c r="E4496" s="0" t="n">
        <f aca="false">VLOOKUP(B4496,'MSA-Lookup'!$H$2:$I$86,2)</f>
        <v>4480</v>
      </c>
      <c r="F4496" s="0" t="n">
        <f aca="false">IF(C4496&gt;1,IF(C4496&lt;99,VLOOKUP(C4496,'MSA-Lookup'!$H$1:$I$86,2),C4496),C4496)</f>
        <v>8720</v>
      </c>
      <c r="G4496" s="0" t="n">
        <f aca="false">VLOOKUP(E4496,'MSA-Lookup'!$AA$1:$AB$25,2)</f>
        <v>4472</v>
      </c>
      <c r="H4496" s="0" t="n">
        <f aca="false">IF(C4496&gt;1,IF(C4496&lt;99,VLOOKUP(F4496,'MSA-Lookup'!$AA$1:$AB$25,2),C4496),C4496)</f>
        <v>7362</v>
      </c>
    </row>
    <row r="4497" customFormat="false" ht="12.75" hidden="false" customHeight="false" outlineLevel="0" collapsed="false">
      <c r="A4497" s="0" t="n">
        <f aca="false">B4497*1000+C4497</f>
        <v>64010</v>
      </c>
      <c r="B4497" s="0" t="n">
        <v>64</v>
      </c>
      <c r="C4497" s="0" t="n">
        <v>10</v>
      </c>
      <c r="D4497" s="0" t="n">
        <v>156</v>
      </c>
      <c r="E4497" s="0" t="n">
        <f aca="false">VLOOKUP(B4497,'MSA-Lookup'!$H$2:$I$86,2)</f>
        <v>4480</v>
      </c>
      <c r="F4497" s="0" t="n">
        <f aca="false">IF(C4497&gt;1,IF(C4497&lt;99,VLOOKUP(C4497,'MSA-Lookup'!$H$1:$I$86,2),C4497),C4497)</f>
        <v>6920</v>
      </c>
      <c r="G4497" s="0" t="n">
        <f aca="false">VLOOKUP(E4497,'MSA-Lookup'!$AA$1:$AB$25,2)</f>
        <v>4472</v>
      </c>
      <c r="H4497" s="0" t="n">
        <f aca="false">IF(C4497&gt;1,IF(C4497&lt;99,VLOOKUP(F4497,'MSA-Lookup'!$AA$1:$AB$25,2),C4497),C4497)</f>
        <v>6920</v>
      </c>
    </row>
    <row r="4498" customFormat="false" ht="12.75" hidden="false" customHeight="false" outlineLevel="0" collapsed="false">
      <c r="A4498" s="0" t="n">
        <f aca="false">B4498*1000+C4498</f>
        <v>64011</v>
      </c>
      <c r="B4498" s="0" t="n">
        <v>64</v>
      </c>
      <c r="C4498" s="0" t="n">
        <v>11</v>
      </c>
      <c r="D4498" s="0" t="n">
        <v>286</v>
      </c>
      <c r="E4498" s="0" t="n">
        <f aca="false">VLOOKUP(B4498,'MSA-Lookup'!$H$2:$I$86,2)</f>
        <v>4480</v>
      </c>
      <c r="F4498" s="0" t="n">
        <f aca="false">IF(C4498&gt;1,IF(C4498&lt;99,VLOOKUP(C4498,'MSA-Lookup'!$H$1:$I$86,2),C4498),C4498)</f>
        <v>6920</v>
      </c>
      <c r="G4498" s="0" t="n">
        <f aca="false">VLOOKUP(E4498,'MSA-Lookup'!$AA$1:$AB$25,2)</f>
        <v>4472</v>
      </c>
      <c r="H4498" s="0" t="n">
        <f aca="false">IF(C4498&gt;1,IF(C4498&lt;99,VLOOKUP(F4498,'MSA-Lookup'!$AA$1:$AB$25,2),C4498),C4498)</f>
        <v>6920</v>
      </c>
    </row>
    <row r="4499" customFormat="false" ht="12.75" hidden="false" customHeight="false" outlineLevel="0" collapsed="false">
      <c r="A4499" s="0" t="n">
        <f aca="false">B4499*1000+C4499</f>
        <v>64012</v>
      </c>
      <c r="B4499" s="0" t="n">
        <v>64</v>
      </c>
      <c r="C4499" s="0" t="n">
        <v>12</v>
      </c>
      <c r="D4499" s="0" t="n">
        <v>91</v>
      </c>
      <c r="E4499" s="0" t="n">
        <f aca="false">VLOOKUP(B4499,'MSA-Lookup'!$H$2:$I$86,2)</f>
        <v>4480</v>
      </c>
      <c r="F4499" s="0" t="n">
        <f aca="false">IF(C4499&gt;1,IF(C4499&lt;99,VLOOKUP(C4499,'MSA-Lookup'!$H$1:$I$86,2),C4499),C4499)</f>
        <v>6920</v>
      </c>
      <c r="G4499" s="0" t="n">
        <f aca="false">VLOOKUP(E4499,'MSA-Lookup'!$AA$1:$AB$25,2)</f>
        <v>4472</v>
      </c>
      <c r="H4499" s="0" t="n">
        <f aca="false">IF(C4499&gt;1,IF(C4499&lt;99,VLOOKUP(F4499,'MSA-Lookup'!$AA$1:$AB$25,2),C4499),C4499)</f>
        <v>6920</v>
      </c>
    </row>
    <row r="4500" customFormat="false" ht="12.75" hidden="false" customHeight="false" outlineLevel="0" collapsed="false">
      <c r="A4500" s="0" t="n">
        <f aca="false">B4500*1000+C4500</f>
        <v>64013</v>
      </c>
      <c r="B4500" s="0" t="n">
        <v>64</v>
      </c>
      <c r="C4500" s="0" t="n">
        <v>13</v>
      </c>
      <c r="D4500" s="0" t="n">
        <v>0</v>
      </c>
      <c r="E4500" s="0" t="n">
        <f aca="false">VLOOKUP(B4500,'MSA-Lookup'!$H$2:$I$86,2)</f>
        <v>4480</v>
      </c>
      <c r="F4500" s="0" t="n">
        <f aca="false">IF(C4500&gt;1,IF(C4500&lt;99,VLOOKUP(C4500,'MSA-Lookup'!$H$1:$I$86,2),C4500),C4500)</f>
        <v>7500</v>
      </c>
      <c r="G4500" s="0" t="n">
        <f aca="false">VLOOKUP(E4500,'MSA-Lookup'!$AA$1:$AB$25,2)</f>
        <v>4472</v>
      </c>
      <c r="H4500" s="0" t="n">
        <f aca="false">IF(C4500&gt;1,IF(C4500&lt;99,VLOOKUP(F4500,'MSA-Lookup'!$AA$1:$AB$25,2),C4500),C4500)</f>
        <v>7362</v>
      </c>
    </row>
    <row r="4501" customFormat="false" ht="12.75" hidden="false" customHeight="false" outlineLevel="0" collapsed="false">
      <c r="A4501" s="0" t="n">
        <f aca="false">B4501*1000+C4501</f>
        <v>64014</v>
      </c>
      <c r="B4501" s="0" t="n">
        <v>64</v>
      </c>
      <c r="C4501" s="0" t="n">
        <v>14</v>
      </c>
      <c r="D4501" s="0" t="n">
        <v>0</v>
      </c>
      <c r="E4501" s="0" t="n">
        <f aca="false">VLOOKUP(B4501,'MSA-Lookup'!$H$2:$I$86,2)</f>
        <v>4480</v>
      </c>
      <c r="F4501" s="0" t="n">
        <f aca="false">IF(C4501&gt;1,IF(C4501&lt;99,VLOOKUP(C4501,'MSA-Lookup'!$H$1:$I$86,2),C4501),C4501)</f>
        <v>7500</v>
      </c>
      <c r="G4501" s="0" t="n">
        <f aca="false">VLOOKUP(E4501,'MSA-Lookup'!$AA$1:$AB$25,2)</f>
        <v>4472</v>
      </c>
      <c r="H4501" s="0" t="n">
        <f aca="false">IF(C4501&gt;1,IF(C4501&lt;99,VLOOKUP(F4501,'MSA-Lookup'!$AA$1:$AB$25,2),C4501),C4501)</f>
        <v>7362</v>
      </c>
    </row>
    <row r="4502" customFormat="false" ht="12.75" hidden="false" customHeight="false" outlineLevel="0" collapsed="false">
      <c r="A4502" s="0" t="n">
        <f aca="false">B4502*1000+C4502</f>
        <v>64015</v>
      </c>
      <c r="B4502" s="0" t="n">
        <v>64</v>
      </c>
      <c r="C4502" s="0" t="n">
        <v>15</v>
      </c>
      <c r="D4502" s="0" t="n">
        <v>65</v>
      </c>
      <c r="E4502" s="0" t="n">
        <f aca="false">VLOOKUP(B4502,'MSA-Lookup'!$H$2:$I$86,2)</f>
        <v>4480</v>
      </c>
      <c r="F4502" s="0" t="n">
        <f aca="false">IF(C4502&gt;1,IF(C4502&lt;99,VLOOKUP(C4502,'MSA-Lookup'!$H$1:$I$86,2),C4502),C4502)</f>
        <v>7360</v>
      </c>
      <c r="G4502" s="0" t="n">
        <f aca="false">VLOOKUP(E4502,'MSA-Lookup'!$AA$1:$AB$25,2)</f>
        <v>4472</v>
      </c>
      <c r="H4502" s="0" t="n">
        <f aca="false">IF(C4502&gt;1,IF(C4502&lt;99,VLOOKUP(F4502,'MSA-Lookup'!$AA$1:$AB$25,2),C4502),C4502)</f>
        <v>7362</v>
      </c>
    </row>
    <row r="4503" customFormat="false" ht="12.75" hidden="false" customHeight="false" outlineLevel="0" collapsed="false">
      <c r="A4503" s="0" t="n">
        <f aca="false">B4503*1000+C4503</f>
        <v>64016</v>
      </c>
      <c r="B4503" s="0" t="n">
        <v>64</v>
      </c>
      <c r="C4503" s="0" t="n">
        <v>16</v>
      </c>
      <c r="D4503" s="0" t="n">
        <v>143</v>
      </c>
      <c r="E4503" s="0" t="n">
        <f aca="false">VLOOKUP(B4503,'MSA-Lookup'!$H$2:$I$86,2)</f>
        <v>4480</v>
      </c>
      <c r="F4503" s="0" t="n">
        <f aca="false">IF(C4503&gt;1,IF(C4503&lt;99,VLOOKUP(C4503,'MSA-Lookup'!$H$1:$I$86,2),C4503),C4503)</f>
        <v>8720</v>
      </c>
      <c r="G4503" s="0" t="n">
        <f aca="false">VLOOKUP(E4503,'MSA-Lookup'!$AA$1:$AB$25,2)</f>
        <v>4472</v>
      </c>
      <c r="H4503" s="0" t="n">
        <f aca="false">IF(C4503&gt;1,IF(C4503&lt;99,VLOOKUP(F4503,'MSA-Lookup'!$AA$1:$AB$25,2),C4503),C4503)</f>
        <v>7362</v>
      </c>
    </row>
    <row r="4504" customFormat="false" ht="12.75" hidden="false" customHeight="false" outlineLevel="0" collapsed="false">
      <c r="A4504" s="0" t="n">
        <f aca="false">B4504*1000+C4504</f>
        <v>64017</v>
      </c>
      <c r="B4504" s="0" t="n">
        <v>64</v>
      </c>
      <c r="C4504" s="0" t="n">
        <v>17</v>
      </c>
      <c r="D4504" s="0" t="n">
        <v>130</v>
      </c>
      <c r="E4504" s="0" t="n">
        <f aca="false">VLOOKUP(B4504,'MSA-Lookup'!$H$2:$I$86,2)</f>
        <v>4480</v>
      </c>
      <c r="F4504" s="0" t="n">
        <f aca="false">IF(C4504&gt;1,IF(C4504&lt;99,VLOOKUP(C4504,'MSA-Lookup'!$H$1:$I$86,2),C4504),C4504)</f>
        <v>5775</v>
      </c>
      <c r="G4504" s="0" t="n">
        <f aca="false">VLOOKUP(E4504,'MSA-Lookup'!$AA$1:$AB$25,2)</f>
        <v>4472</v>
      </c>
      <c r="H4504" s="0" t="n">
        <f aca="false">IF(C4504&gt;1,IF(C4504&lt;99,VLOOKUP(F4504,'MSA-Lookup'!$AA$1:$AB$25,2),C4504),C4504)</f>
        <v>7362</v>
      </c>
    </row>
    <row r="4505" customFormat="false" ht="12.75" hidden="false" customHeight="false" outlineLevel="0" collapsed="false">
      <c r="A4505" s="0" t="n">
        <f aca="false">B4505*1000+C4505</f>
        <v>64018</v>
      </c>
      <c r="B4505" s="0" t="n">
        <v>64</v>
      </c>
      <c r="C4505" s="0" t="n">
        <v>18</v>
      </c>
      <c r="D4505" s="0" t="n">
        <v>351</v>
      </c>
      <c r="E4505" s="0" t="n">
        <f aca="false">VLOOKUP(B4505,'MSA-Lookup'!$H$2:$I$86,2)</f>
        <v>4480</v>
      </c>
      <c r="F4505" s="0" t="n">
        <f aca="false">IF(C4505&gt;1,IF(C4505&lt;99,VLOOKUP(C4505,'MSA-Lookup'!$H$1:$I$86,2),C4505),C4505)</f>
        <v>5775</v>
      </c>
      <c r="G4505" s="0" t="n">
        <f aca="false">VLOOKUP(E4505,'MSA-Lookup'!$AA$1:$AB$25,2)</f>
        <v>4472</v>
      </c>
      <c r="H4505" s="0" t="n">
        <f aca="false">IF(C4505&gt;1,IF(C4505&lt;99,VLOOKUP(F4505,'MSA-Lookup'!$AA$1:$AB$25,2),C4505),C4505)</f>
        <v>7362</v>
      </c>
    </row>
    <row r="4506" customFormat="false" ht="12.75" hidden="false" customHeight="false" outlineLevel="0" collapsed="false">
      <c r="A4506" s="0" t="n">
        <f aca="false">B4506*1000+C4506</f>
        <v>64019</v>
      </c>
      <c r="B4506" s="0" t="n">
        <v>64</v>
      </c>
      <c r="C4506" s="0" t="n">
        <v>19</v>
      </c>
      <c r="D4506" s="0" t="n">
        <v>442</v>
      </c>
      <c r="E4506" s="0" t="n">
        <f aca="false">VLOOKUP(B4506,'MSA-Lookup'!$H$2:$I$86,2)</f>
        <v>4480</v>
      </c>
      <c r="F4506" s="0" t="n">
        <f aca="false">IF(C4506&gt;1,IF(C4506&lt;99,VLOOKUP(C4506,'MSA-Lookup'!$H$1:$I$86,2),C4506),C4506)</f>
        <v>7360</v>
      </c>
      <c r="G4506" s="0" t="n">
        <f aca="false">VLOOKUP(E4506,'MSA-Lookup'!$AA$1:$AB$25,2)</f>
        <v>4472</v>
      </c>
      <c r="H4506" s="0" t="n">
        <f aca="false">IF(C4506&gt;1,IF(C4506&lt;99,VLOOKUP(F4506,'MSA-Lookup'!$AA$1:$AB$25,2),C4506),C4506)</f>
        <v>7362</v>
      </c>
    </row>
    <row r="4507" customFormat="false" ht="12.75" hidden="false" customHeight="false" outlineLevel="0" collapsed="false">
      <c r="A4507" s="0" t="n">
        <f aca="false">B4507*1000+C4507</f>
        <v>64020</v>
      </c>
      <c r="B4507" s="0" t="n">
        <v>64</v>
      </c>
      <c r="C4507" s="0" t="n">
        <v>20</v>
      </c>
      <c r="D4507" s="0" t="n">
        <v>0</v>
      </c>
      <c r="E4507" s="0" t="n">
        <f aca="false">VLOOKUP(B4507,'MSA-Lookup'!$H$2:$I$86,2)</f>
        <v>4480</v>
      </c>
      <c r="F4507" s="0" t="n">
        <f aca="false">IF(C4507&gt;1,IF(C4507&lt;99,VLOOKUP(C4507,'MSA-Lookup'!$H$1:$I$86,2),C4507),C4507)</f>
        <v>5775</v>
      </c>
      <c r="G4507" s="0" t="n">
        <f aca="false">VLOOKUP(E4507,'MSA-Lookup'!$AA$1:$AB$25,2)</f>
        <v>4472</v>
      </c>
      <c r="H4507" s="0" t="n">
        <f aca="false">IF(C4507&gt;1,IF(C4507&lt;99,VLOOKUP(F4507,'MSA-Lookup'!$AA$1:$AB$25,2),C4507),C4507)</f>
        <v>7362</v>
      </c>
    </row>
    <row r="4508" customFormat="false" ht="12.75" hidden="false" customHeight="false" outlineLevel="0" collapsed="false">
      <c r="A4508" s="0" t="n">
        <f aca="false">B4508*1000+C4508</f>
        <v>64021</v>
      </c>
      <c r="B4508" s="0" t="n">
        <v>64</v>
      </c>
      <c r="C4508" s="0" t="n">
        <v>21</v>
      </c>
      <c r="D4508" s="0" t="n">
        <v>585</v>
      </c>
      <c r="E4508" s="0" t="n">
        <f aca="false">VLOOKUP(B4508,'MSA-Lookup'!$H$2:$I$86,2)</f>
        <v>4480</v>
      </c>
      <c r="F4508" s="0" t="n">
        <f aca="false">IF(C4508&gt;1,IF(C4508&lt;99,VLOOKUP(C4508,'MSA-Lookup'!$H$1:$I$86,2),C4508),C4508)</f>
        <v>5775</v>
      </c>
      <c r="G4508" s="0" t="n">
        <f aca="false">VLOOKUP(E4508,'MSA-Lookup'!$AA$1:$AB$25,2)</f>
        <v>4472</v>
      </c>
      <c r="H4508" s="0" t="n">
        <f aca="false">IF(C4508&gt;1,IF(C4508&lt;99,VLOOKUP(F4508,'MSA-Lookup'!$AA$1:$AB$25,2),C4508),C4508)</f>
        <v>7362</v>
      </c>
    </row>
    <row r="4509" customFormat="false" ht="12.75" hidden="false" customHeight="false" outlineLevel="0" collapsed="false">
      <c r="A4509" s="0" t="n">
        <f aca="false">B4509*1000+C4509</f>
        <v>64022</v>
      </c>
      <c r="B4509" s="0" t="n">
        <v>64</v>
      </c>
      <c r="C4509" s="0" t="n">
        <v>22</v>
      </c>
      <c r="D4509" s="0" t="n">
        <v>286</v>
      </c>
      <c r="E4509" s="0" t="n">
        <f aca="false">VLOOKUP(B4509,'MSA-Lookup'!$H$2:$I$86,2)</f>
        <v>4480</v>
      </c>
      <c r="F4509" s="0" t="n">
        <f aca="false">IF(C4509&gt;1,IF(C4509&lt;99,VLOOKUP(C4509,'MSA-Lookup'!$H$1:$I$86,2),C4509),C4509)</f>
        <v>7360</v>
      </c>
      <c r="G4509" s="0" t="n">
        <f aca="false">VLOOKUP(E4509,'MSA-Lookup'!$AA$1:$AB$25,2)</f>
        <v>4472</v>
      </c>
      <c r="H4509" s="0" t="n">
        <f aca="false">IF(C4509&gt;1,IF(C4509&lt;99,VLOOKUP(F4509,'MSA-Lookup'!$AA$1:$AB$25,2),C4509),C4509)</f>
        <v>7362</v>
      </c>
    </row>
    <row r="4510" customFormat="false" ht="12.75" hidden="false" customHeight="false" outlineLevel="0" collapsed="false">
      <c r="A4510" s="0" t="n">
        <f aca="false">B4510*1000+C4510</f>
        <v>64023</v>
      </c>
      <c r="B4510" s="0" t="n">
        <v>64</v>
      </c>
      <c r="C4510" s="0" t="n">
        <v>23</v>
      </c>
      <c r="D4510" s="0" t="n">
        <v>156</v>
      </c>
      <c r="E4510" s="0" t="n">
        <f aca="false">VLOOKUP(B4510,'MSA-Lookup'!$H$2:$I$86,2)</f>
        <v>4480</v>
      </c>
      <c r="F4510" s="0" t="n">
        <f aca="false">IF(C4510&gt;1,IF(C4510&lt;99,VLOOKUP(C4510,'MSA-Lookup'!$H$1:$I$86,2),C4510),C4510)</f>
        <v>8120</v>
      </c>
      <c r="G4510" s="0" t="n">
        <f aca="false">VLOOKUP(E4510,'MSA-Lookup'!$AA$1:$AB$25,2)</f>
        <v>4472</v>
      </c>
      <c r="H4510" s="0" t="n">
        <f aca="false">IF(C4510&gt;1,IF(C4510&lt;99,VLOOKUP(F4510,'MSA-Lookup'!$AA$1:$AB$25,2),C4510),C4510)</f>
        <v>8120</v>
      </c>
    </row>
    <row r="4511" customFormat="false" ht="12.75" hidden="false" customHeight="false" outlineLevel="0" collapsed="false">
      <c r="A4511" s="0" t="n">
        <f aca="false">B4511*1000+C4511</f>
        <v>64024</v>
      </c>
      <c r="B4511" s="0" t="n">
        <v>64</v>
      </c>
      <c r="C4511" s="0" t="n">
        <v>24</v>
      </c>
      <c r="D4511" s="0" t="n">
        <v>0</v>
      </c>
      <c r="E4511" s="0" t="n">
        <f aca="false">VLOOKUP(B4511,'MSA-Lookup'!$H$2:$I$86,2)</f>
        <v>4480</v>
      </c>
      <c r="F4511" s="0" t="n">
        <f aca="false">IF(C4511&gt;1,IF(C4511&lt;99,VLOOKUP(C4511,'MSA-Lookup'!$H$1:$I$86,2),C4511),C4511)</f>
        <v>5170</v>
      </c>
      <c r="G4511" s="0" t="n">
        <f aca="false">VLOOKUP(E4511,'MSA-Lookup'!$AA$1:$AB$25,2)</f>
        <v>4472</v>
      </c>
      <c r="H4511" s="0" t="n">
        <f aca="false">IF(C4511&gt;1,IF(C4511&lt;99,VLOOKUP(F4511,'MSA-Lookup'!$AA$1:$AB$25,2),C4511),C4511)</f>
        <v>5170</v>
      </c>
    </row>
    <row r="4512" customFormat="false" ht="12.75" hidden="false" customHeight="false" outlineLevel="0" collapsed="false">
      <c r="A4512" s="0" t="n">
        <f aca="false">B4512*1000+C4512</f>
        <v>64025</v>
      </c>
      <c r="B4512" s="0" t="n">
        <v>64</v>
      </c>
      <c r="C4512" s="0" t="n">
        <v>25</v>
      </c>
      <c r="D4512" s="0" t="n">
        <v>78</v>
      </c>
      <c r="E4512" s="0" t="n">
        <f aca="false">VLOOKUP(B4512,'MSA-Lookup'!$H$2:$I$86,2)</f>
        <v>4480</v>
      </c>
      <c r="F4512" s="0" t="n">
        <f aca="false">IF(C4512&gt;1,IF(C4512&lt;99,VLOOKUP(C4512,'MSA-Lookup'!$H$1:$I$86,2),C4512),C4512)</f>
        <v>5170</v>
      </c>
      <c r="G4512" s="0" t="n">
        <f aca="false">VLOOKUP(E4512,'MSA-Lookup'!$AA$1:$AB$25,2)</f>
        <v>4472</v>
      </c>
      <c r="H4512" s="0" t="n">
        <f aca="false">IF(C4512&gt;1,IF(C4512&lt;99,VLOOKUP(F4512,'MSA-Lookup'!$AA$1:$AB$25,2),C4512),C4512)</f>
        <v>5170</v>
      </c>
    </row>
    <row r="4513" customFormat="false" ht="12.75" hidden="false" customHeight="false" outlineLevel="0" collapsed="false">
      <c r="A4513" s="0" t="n">
        <f aca="false">B4513*1000+C4513</f>
        <v>64026</v>
      </c>
      <c r="B4513" s="0" t="n">
        <v>64</v>
      </c>
      <c r="C4513" s="0" t="n">
        <v>26</v>
      </c>
      <c r="D4513" s="0" t="n">
        <v>182</v>
      </c>
      <c r="E4513" s="0" t="n">
        <f aca="false">VLOOKUP(B4513,'MSA-Lookup'!$H$2:$I$86,2)</f>
        <v>4480</v>
      </c>
      <c r="F4513" s="0" t="n">
        <f aca="false">IF(C4513&gt;1,IF(C4513&lt;99,VLOOKUP(C4513,'MSA-Lookup'!$H$1:$I$86,2),C4513),C4513)</f>
        <v>9999</v>
      </c>
      <c r="G4513" s="0" t="n">
        <f aca="false">VLOOKUP(E4513,'MSA-Lookup'!$AA$1:$AB$25,2)</f>
        <v>4472</v>
      </c>
      <c r="H4513" s="0" t="n">
        <f aca="false">IF(C4513&gt;1,IF(C4513&lt;99,VLOOKUP(F4513,'MSA-Lookup'!$AA$1:$AB$25,2),C4513),C4513)</f>
        <v>9999</v>
      </c>
    </row>
    <row r="4514" customFormat="false" ht="12.75" hidden="false" customHeight="false" outlineLevel="0" collapsed="false">
      <c r="A4514" s="0" t="n">
        <f aca="false">B4514*1000+C4514</f>
        <v>64027</v>
      </c>
      <c r="B4514" s="0" t="n">
        <v>64</v>
      </c>
      <c r="C4514" s="0" t="n">
        <v>27</v>
      </c>
      <c r="D4514" s="0" t="n">
        <v>91</v>
      </c>
      <c r="E4514" s="0" t="n">
        <f aca="false">VLOOKUP(B4514,'MSA-Lookup'!$H$2:$I$86,2)</f>
        <v>4480</v>
      </c>
      <c r="F4514" s="0" t="n">
        <f aca="false">IF(C4514&gt;1,IF(C4514&lt;99,VLOOKUP(C4514,'MSA-Lookup'!$H$1:$I$86,2),C4514),C4514)</f>
        <v>9999</v>
      </c>
      <c r="G4514" s="0" t="n">
        <f aca="false">VLOOKUP(E4514,'MSA-Lookup'!$AA$1:$AB$25,2)</f>
        <v>4472</v>
      </c>
      <c r="H4514" s="0" t="n">
        <f aca="false">IF(C4514&gt;1,IF(C4514&lt;99,VLOOKUP(F4514,'MSA-Lookup'!$AA$1:$AB$25,2),C4514),C4514)</f>
        <v>9999</v>
      </c>
    </row>
    <row r="4515" customFormat="false" ht="12.75" hidden="false" customHeight="false" outlineLevel="0" collapsed="false">
      <c r="A4515" s="0" t="n">
        <f aca="false">B4515*1000+C4515</f>
        <v>64028</v>
      </c>
      <c r="B4515" s="0" t="n">
        <v>64</v>
      </c>
      <c r="C4515" s="0" t="n">
        <v>28</v>
      </c>
      <c r="D4515" s="0" t="n">
        <v>65</v>
      </c>
      <c r="E4515" s="0" t="n">
        <f aca="false">VLOOKUP(B4515,'MSA-Lookup'!$H$2:$I$86,2)</f>
        <v>4480</v>
      </c>
      <c r="F4515" s="0" t="n">
        <f aca="false">IF(C4515&gt;1,IF(C4515&lt;99,VLOOKUP(C4515,'MSA-Lookup'!$H$1:$I$86,2),C4515),C4515)</f>
        <v>6920</v>
      </c>
      <c r="G4515" s="0" t="n">
        <f aca="false">VLOOKUP(E4515,'MSA-Lookup'!$AA$1:$AB$25,2)</f>
        <v>4472</v>
      </c>
      <c r="H4515" s="0" t="n">
        <f aca="false">IF(C4515&gt;1,IF(C4515&lt;99,VLOOKUP(F4515,'MSA-Lookup'!$AA$1:$AB$25,2),C4515),C4515)</f>
        <v>6920</v>
      </c>
    </row>
    <row r="4516" customFormat="false" ht="12.75" hidden="false" customHeight="false" outlineLevel="0" collapsed="false">
      <c r="A4516" s="0" t="n">
        <f aca="false">B4516*1000+C4516</f>
        <v>64029</v>
      </c>
      <c r="B4516" s="0" t="n">
        <v>64</v>
      </c>
      <c r="C4516" s="0" t="n">
        <v>29</v>
      </c>
      <c r="D4516" s="0" t="n">
        <v>299</v>
      </c>
      <c r="E4516" s="0" t="n">
        <f aca="false">VLOOKUP(B4516,'MSA-Lookup'!$H$2:$I$86,2)</f>
        <v>4480</v>
      </c>
      <c r="F4516" s="0" t="n">
        <f aca="false">IF(C4516&gt;1,IF(C4516&lt;99,VLOOKUP(C4516,'MSA-Lookup'!$H$1:$I$86,2),C4516),C4516)</f>
        <v>6920</v>
      </c>
      <c r="G4516" s="0" t="n">
        <f aca="false">VLOOKUP(E4516,'MSA-Lookup'!$AA$1:$AB$25,2)</f>
        <v>4472</v>
      </c>
      <c r="H4516" s="0" t="n">
        <f aca="false">IF(C4516&gt;1,IF(C4516&lt;99,VLOOKUP(F4516,'MSA-Lookup'!$AA$1:$AB$25,2),C4516),C4516)</f>
        <v>6920</v>
      </c>
    </row>
    <row r="4517" customFormat="false" ht="12.75" hidden="false" customHeight="false" outlineLevel="0" collapsed="false">
      <c r="A4517" s="0" t="n">
        <f aca="false">B4517*1000+C4517</f>
        <v>64030</v>
      </c>
      <c r="B4517" s="0" t="n">
        <v>64</v>
      </c>
      <c r="C4517" s="0" t="n">
        <v>30</v>
      </c>
      <c r="D4517" s="0" t="n">
        <v>0</v>
      </c>
      <c r="E4517" s="0" t="n">
        <f aca="false">VLOOKUP(B4517,'MSA-Lookup'!$H$2:$I$86,2)</f>
        <v>4480</v>
      </c>
      <c r="F4517" s="0" t="n">
        <f aca="false">IF(C4517&gt;1,IF(C4517&lt;99,VLOOKUP(C4517,'MSA-Lookup'!$H$1:$I$86,2),C4517),C4517)</f>
        <v>4940</v>
      </c>
      <c r="G4517" s="0" t="n">
        <f aca="false">VLOOKUP(E4517,'MSA-Lookup'!$AA$1:$AB$25,2)</f>
        <v>4472</v>
      </c>
      <c r="H4517" s="0" t="n">
        <f aca="false">IF(C4517&gt;1,IF(C4517&lt;99,VLOOKUP(F4517,'MSA-Lookup'!$AA$1:$AB$25,2),C4517),C4517)</f>
        <v>4940</v>
      </c>
    </row>
    <row r="4518" customFormat="false" ht="12.75" hidden="false" customHeight="false" outlineLevel="0" collapsed="false">
      <c r="A4518" s="0" t="n">
        <f aca="false">B4518*1000+C4518</f>
        <v>64031</v>
      </c>
      <c r="B4518" s="0" t="n">
        <v>64</v>
      </c>
      <c r="C4518" s="0" t="n">
        <v>31</v>
      </c>
      <c r="D4518" s="0" t="n">
        <v>624</v>
      </c>
      <c r="E4518" s="0" t="n">
        <f aca="false">VLOOKUP(B4518,'MSA-Lookup'!$H$2:$I$86,2)</f>
        <v>4480</v>
      </c>
      <c r="F4518" s="0" t="n">
        <f aca="false">IF(C4518&gt;1,IF(C4518&lt;99,VLOOKUP(C4518,'MSA-Lookup'!$H$1:$I$86,2),C4518),C4518)</f>
        <v>9999</v>
      </c>
      <c r="G4518" s="0" t="n">
        <f aca="false">VLOOKUP(E4518,'MSA-Lookup'!$AA$1:$AB$25,2)</f>
        <v>4472</v>
      </c>
      <c r="H4518" s="0" t="n">
        <f aca="false">IF(C4518&gt;1,IF(C4518&lt;99,VLOOKUP(F4518,'MSA-Lookup'!$AA$1:$AB$25,2),C4518),C4518)</f>
        <v>9999</v>
      </c>
    </row>
    <row r="4519" customFormat="false" ht="12.75" hidden="false" customHeight="false" outlineLevel="0" collapsed="false">
      <c r="A4519" s="0" t="n">
        <f aca="false">B4519*1000+C4519</f>
        <v>64032</v>
      </c>
      <c r="B4519" s="0" t="n">
        <v>64</v>
      </c>
      <c r="C4519" s="0" t="n">
        <v>32</v>
      </c>
      <c r="D4519" s="0" t="n">
        <v>299</v>
      </c>
      <c r="E4519" s="0" t="n">
        <f aca="false">VLOOKUP(B4519,'MSA-Lookup'!$H$2:$I$86,2)</f>
        <v>4480</v>
      </c>
      <c r="F4519" s="0" t="n">
        <f aca="false">IF(C4519&gt;1,IF(C4519&lt;99,VLOOKUP(C4519,'MSA-Lookup'!$H$1:$I$86,2),C4519),C4519)</f>
        <v>7480</v>
      </c>
      <c r="G4519" s="0" t="n">
        <f aca="false">VLOOKUP(E4519,'MSA-Lookup'!$AA$1:$AB$25,2)</f>
        <v>4472</v>
      </c>
      <c r="H4519" s="0" t="n">
        <f aca="false">IF(C4519&gt;1,IF(C4519&lt;99,VLOOKUP(F4519,'MSA-Lookup'!$AA$1:$AB$25,2),C4519),C4519)</f>
        <v>7480</v>
      </c>
    </row>
    <row r="4520" customFormat="false" ht="12.75" hidden="false" customHeight="false" outlineLevel="0" collapsed="false">
      <c r="A4520" s="0" t="n">
        <f aca="false">B4520*1000+C4520</f>
        <v>64033</v>
      </c>
      <c r="B4520" s="0" t="n">
        <v>64</v>
      </c>
      <c r="C4520" s="0" t="n">
        <v>33</v>
      </c>
      <c r="D4520" s="0" t="n">
        <v>689</v>
      </c>
      <c r="E4520" s="0" t="n">
        <f aca="false">VLOOKUP(B4520,'MSA-Lookup'!$H$2:$I$86,2)</f>
        <v>4480</v>
      </c>
      <c r="F4520" s="0" t="n">
        <f aca="false">IF(C4520&gt;1,IF(C4520&lt;99,VLOOKUP(C4520,'MSA-Lookup'!$H$1:$I$86,2),C4520),C4520)</f>
        <v>7320</v>
      </c>
      <c r="G4520" s="0" t="n">
        <f aca="false">VLOOKUP(E4520,'MSA-Lookup'!$AA$1:$AB$25,2)</f>
        <v>4472</v>
      </c>
      <c r="H4520" s="0" t="n">
        <f aca="false">IF(C4520&gt;1,IF(C4520&lt;99,VLOOKUP(F4520,'MSA-Lookup'!$AA$1:$AB$25,2),C4520),C4520)</f>
        <v>7320</v>
      </c>
    </row>
    <row r="4521" customFormat="false" ht="12.75" hidden="false" customHeight="false" outlineLevel="0" collapsed="false">
      <c r="A4521" s="0" t="n">
        <f aca="false">B4521*1000+C4521</f>
        <v>64034</v>
      </c>
      <c r="B4521" s="0" t="n">
        <v>64</v>
      </c>
      <c r="C4521" s="0" t="n">
        <v>34</v>
      </c>
      <c r="D4521" s="0" t="n">
        <v>0</v>
      </c>
      <c r="E4521" s="0" t="n">
        <f aca="false">VLOOKUP(B4521,'MSA-Lookup'!$H$2:$I$86,2)</f>
        <v>4480</v>
      </c>
      <c r="F4521" s="0" t="n">
        <f aca="false">IF(C4521&gt;1,IF(C4521&lt;99,VLOOKUP(C4521,'MSA-Lookup'!$H$1:$I$86,2),C4521),C4521)</f>
        <v>7320</v>
      </c>
      <c r="G4521" s="0" t="n">
        <f aca="false">VLOOKUP(E4521,'MSA-Lookup'!$AA$1:$AB$25,2)</f>
        <v>4472</v>
      </c>
      <c r="H4521" s="0" t="n">
        <f aca="false">IF(C4521&gt;1,IF(C4521&lt;99,VLOOKUP(F4521,'MSA-Lookup'!$AA$1:$AB$25,2),C4521),C4521)</f>
        <v>7320</v>
      </c>
    </row>
    <row r="4522" customFormat="false" ht="12.75" hidden="false" customHeight="false" outlineLevel="0" collapsed="false">
      <c r="A4522" s="0" t="n">
        <f aca="false">B4522*1000+C4522</f>
        <v>64035</v>
      </c>
      <c r="B4522" s="0" t="n">
        <v>64</v>
      </c>
      <c r="C4522" s="0" t="n">
        <v>35</v>
      </c>
      <c r="D4522" s="0" t="n">
        <v>52</v>
      </c>
      <c r="E4522" s="0" t="n">
        <f aca="false">VLOOKUP(B4522,'MSA-Lookup'!$H$2:$I$86,2)</f>
        <v>4480</v>
      </c>
      <c r="F4522" s="0" t="n">
        <f aca="false">IF(C4522&gt;1,IF(C4522&lt;99,VLOOKUP(C4522,'MSA-Lookup'!$H$1:$I$86,2),C4522),C4522)</f>
        <v>7320</v>
      </c>
      <c r="G4522" s="0" t="n">
        <f aca="false">VLOOKUP(E4522,'MSA-Lookup'!$AA$1:$AB$25,2)</f>
        <v>4472</v>
      </c>
      <c r="H4522" s="0" t="n">
        <f aca="false">IF(C4522&gt;1,IF(C4522&lt;99,VLOOKUP(F4522,'MSA-Lookup'!$AA$1:$AB$25,2),C4522),C4522)</f>
        <v>7320</v>
      </c>
    </row>
    <row r="4523" customFormat="false" ht="12.75" hidden="false" customHeight="false" outlineLevel="0" collapsed="false">
      <c r="A4523" s="0" t="n">
        <f aca="false">B4523*1000+C4523</f>
        <v>64036</v>
      </c>
      <c r="B4523" s="0" t="n">
        <v>64</v>
      </c>
      <c r="C4523" s="0" t="n">
        <v>36</v>
      </c>
      <c r="D4523" s="0" t="n">
        <v>0</v>
      </c>
      <c r="E4523" s="0" t="n">
        <f aca="false">VLOOKUP(B4523,'MSA-Lookup'!$H$2:$I$86,2)</f>
        <v>4480</v>
      </c>
      <c r="F4523" s="0" t="n">
        <f aca="false">IF(C4523&gt;1,IF(C4523&lt;99,VLOOKUP(C4523,'MSA-Lookup'!$H$1:$I$86,2),C4523),C4523)</f>
        <v>7320</v>
      </c>
      <c r="G4523" s="0" t="n">
        <f aca="false">VLOOKUP(E4523,'MSA-Lookup'!$AA$1:$AB$25,2)</f>
        <v>4472</v>
      </c>
      <c r="H4523" s="0" t="n">
        <f aca="false">IF(C4523&gt;1,IF(C4523&lt;99,VLOOKUP(F4523,'MSA-Lookup'!$AA$1:$AB$25,2),C4523),C4523)</f>
        <v>7320</v>
      </c>
    </row>
    <row r="4524" customFormat="false" ht="12.75" hidden="false" customHeight="false" outlineLevel="0" collapsed="false">
      <c r="A4524" s="0" t="n">
        <f aca="false">B4524*1000+C4524</f>
        <v>64037</v>
      </c>
      <c r="B4524" s="0" t="n">
        <v>64</v>
      </c>
      <c r="C4524" s="0" t="n">
        <v>37</v>
      </c>
      <c r="D4524" s="0" t="n">
        <v>273</v>
      </c>
      <c r="E4524" s="0" t="n">
        <f aca="false">VLOOKUP(B4524,'MSA-Lookup'!$H$2:$I$86,2)</f>
        <v>4480</v>
      </c>
      <c r="F4524" s="0" t="n">
        <f aca="false">IF(C4524&gt;1,IF(C4524&lt;99,VLOOKUP(C4524,'MSA-Lookup'!$H$1:$I$86,2),C4524),C4524)</f>
        <v>7320</v>
      </c>
      <c r="G4524" s="0" t="n">
        <f aca="false">VLOOKUP(E4524,'MSA-Lookup'!$AA$1:$AB$25,2)</f>
        <v>4472</v>
      </c>
      <c r="H4524" s="0" t="n">
        <f aca="false">IF(C4524&gt;1,IF(C4524&lt;99,VLOOKUP(F4524,'MSA-Lookup'!$AA$1:$AB$25,2),C4524),C4524)</f>
        <v>7320</v>
      </c>
    </row>
    <row r="4525" customFormat="false" ht="12.75" hidden="false" customHeight="false" outlineLevel="0" collapsed="false">
      <c r="A4525" s="0" t="n">
        <f aca="false">B4525*1000+C4525</f>
        <v>64038</v>
      </c>
      <c r="B4525" s="0" t="n">
        <v>64</v>
      </c>
      <c r="C4525" s="0" t="n">
        <v>38</v>
      </c>
      <c r="D4525" s="0" t="n">
        <v>0</v>
      </c>
      <c r="E4525" s="0" t="n">
        <f aca="false">VLOOKUP(B4525,'MSA-Lookup'!$H$2:$I$86,2)</f>
        <v>4480</v>
      </c>
      <c r="F4525" s="0" t="n">
        <f aca="false">IF(C4525&gt;1,IF(C4525&lt;99,VLOOKUP(C4525,'MSA-Lookup'!$H$1:$I$86,2),C4525),C4525)</f>
        <v>7120</v>
      </c>
      <c r="G4525" s="0" t="n">
        <f aca="false">VLOOKUP(E4525,'MSA-Lookup'!$AA$1:$AB$25,2)</f>
        <v>4472</v>
      </c>
      <c r="H4525" s="0" t="n">
        <f aca="false">IF(C4525&gt;1,IF(C4525&lt;99,VLOOKUP(F4525,'MSA-Lookup'!$AA$1:$AB$25,2),C4525),C4525)</f>
        <v>7120</v>
      </c>
    </row>
    <row r="4526" customFormat="false" ht="12.75" hidden="false" customHeight="false" outlineLevel="0" collapsed="false">
      <c r="A4526" s="0" t="n">
        <f aca="false">B4526*1000+C4526</f>
        <v>64039</v>
      </c>
      <c r="B4526" s="0" t="n">
        <v>64</v>
      </c>
      <c r="C4526" s="0" t="n">
        <v>39</v>
      </c>
      <c r="D4526" s="0" t="n">
        <v>117</v>
      </c>
      <c r="E4526" s="0" t="n">
        <f aca="false">VLOOKUP(B4526,'MSA-Lookup'!$H$2:$I$86,2)</f>
        <v>4480</v>
      </c>
      <c r="F4526" s="0" t="n">
        <f aca="false">IF(C4526&gt;1,IF(C4526&lt;99,VLOOKUP(C4526,'MSA-Lookup'!$H$1:$I$86,2),C4526),C4526)</f>
        <v>7120</v>
      </c>
      <c r="G4526" s="0" t="n">
        <f aca="false">VLOOKUP(E4526,'MSA-Lookup'!$AA$1:$AB$25,2)</f>
        <v>4472</v>
      </c>
      <c r="H4526" s="0" t="n">
        <f aca="false">IF(C4526&gt;1,IF(C4526&lt;99,VLOOKUP(F4526,'MSA-Lookup'!$AA$1:$AB$25,2),C4526),C4526)</f>
        <v>7120</v>
      </c>
    </row>
    <row r="4527" customFormat="false" ht="12.75" hidden="false" customHeight="false" outlineLevel="0" collapsed="false">
      <c r="A4527" s="0" t="n">
        <f aca="false">B4527*1000+C4527</f>
        <v>64040</v>
      </c>
      <c r="B4527" s="0" t="n">
        <v>64</v>
      </c>
      <c r="C4527" s="0" t="n">
        <v>40</v>
      </c>
      <c r="D4527" s="0" t="n">
        <v>221</v>
      </c>
      <c r="E4527" s="0" t="n">
        <f aca="false">VLOOKUP(B4527,'MSA-Lookup'!$H$2:$I$86,2)</f>
        <v>4480</v>
      </c>
      <c r="F4527" s="0" t="n">
        <f aca="false">IF(C4527&gt;1,IF(C4527&lt;99,VLOOKUP(C4527,'MSA-Lookup'!$H$1:$I$86,2),C4527),C4527)</f>
        <v>2840</v>
      </c>
      <c r="G4527" s="0" t="n">
        <f aca="false">VLOOKUP(E4527,'MSA-Lookup'!$AA$1:$AB$25,2)</f>
        <v>4472</v>
      </c>
      <c r="H4527" s="0" t="n">
        <f aca="false">IF(C4527&gt;1,IF(C4527&lt;99,VLOOKUP(F4527,'MSA-Lookup'!$AA$1:$AB$25,2),C4527),C4527)</f>
        <v>2840</v>
      </c>
    </row>
    <row r="4528" customFormat="false" ht="12.75" hidden="false" customHeight="false" outlineLevel="0" collapsed="false">
      <c r="A4528" s="0" t="n">
        <f aca="false">B4528*1000+C4528</f>
        <v>64041</v>
      </c>
      <c r="B4528" s="0" t="n">
        <v>64</v>
      </c>
      <c r="C4528" s="0" t="n">
        <v>41</v>
      </c>
      <c r="D4528" s="0" t="n">
        <v>65</v>
      </c>
      <c r="E4528" s="0" t="n">
        <f aca="false">VLOOKUP(B4528,'MSA-Lookup'!$H$2:$I$86,2)</f>
        <v>4480</v>
      </c>
      <c r="F4528" s="0" t="n">
        <f aca="false">IF(C4528&gt;1,IF(C4528&lt;99,VLOOKUP(C4528,'MSA-Lookup'!$H$1:$I$86,2),C4528),C4528)</f>
        <v>2840</v>
      </c>
      <c r="G4528" s="0" t="n">
        <f aca="false">VLOOKUP(E4528,'MSA-Lookup'!$AA$1:$AB$25,2)</f>
        <v>4472</v>
      </c>
      <c r="H4528" s="0" t="n">
        <f aca="false">IF(C4528&gt;1,IF(C4528&lt;99,VLOOKUP(F4528,'MSA-Lookup'!$AA$1:$AB$25,2),C4528),C4528)</f>
        <v>2840</v>
      </c>
    </row>
    <row r="4529" customFormat="false" ht="12.75" hidden="false" customHeight="false" outlineLevel="0" collapsed="false">
      <c r="A4529" s="0" t="n">
        <f aca="false">B4529*1000+C4529</f>
        <v>64042</v>
      </c>
      <c r="B4529" s="0" t="n">
        <v>64</v>
      </c>
      <c r="C4529" s="0" t="n">
        <v>42</v>
      </c>
      <c r="D4529" s="0" t="n">
        <v>4524</v>
      </c>
      <c r="E4529" s="0" t="n">
        <f aca="false">VLOOKUP(B4529,'MSA-Lookup'!$H$2:$I$86,2)</f>
        <v>4480</v>
      </c>
      <c r="F4529" s="0" t="n">
        <f aca="false">IF(C4529&gt;1,IF(C4529&lt;99,VLOOKUP(C4529,'MSA-Lookup'!$H$1:$I$86,2),C4529),C4529)</f>
        <v>360</v>
      </c>
      <c r="G4529" s="0" t="n">
        <f aca="false">VLOOKUP(E4529,'MSA-Lookup'!$AA$1:$AB$25,2)</f>
        <v>4472</v>
      </c>
      <c r="H4529" s="0" t="n">
        <f aca="false">IF(C4529&gt;1,IF(C4529&lt;99,VLOOKUP(F4529,'MSA-Lookup'!$AA$1:$AB$25,2),C4529),C4529)</f>
        <v>4472</v>
      </c>
    </row>
    <row r="4530" customFormat="false" ht="12.75" hidden="false" customHeight="false" outlineLevel="0" collapsed="false">
      <c r="A4530" s="0" t="n">
        <f aca="false">B4530*1000+C4530</f>
        <v>64043</v>
      </c>
      <c r="B4530" s="0" t="n">
        <v>64</v>
      </c>
      <c r="C4530" s="0" t="n">
        <v>43</v>
      </c>
      <c r="D4530" s="0" t="n">
        <v>1118</v>
      </c>
      <c r="E4530" s="0" t="n">
        <f aca="false">VLOOKUP(B4530,'MSA-Lookup'!$H$2:$I$86,2)</f>
        <v>4480</v>
      </c>
      <c r="F4530" s="0" t="n">
        <f aca="false">IF(C4530&gt;1,IF(C4530&lt;99,VLOOKUP(C4530,'MSA-Lookup'!$H$1:$I$86,2),C4530),C4530)</f>
        <v>360</v>
      </c>
      <c r="G4530" s="0" t="n">
        <f aca="false">VLOOKUP(E4530,'MSA-Lookup'!$AA$1:$AB$25,2)</f>
        <v>4472</v>
      </c>
      <c r="H4530" s="0" t="n">
        <f aca="false">IF(C4530&gt;1,IF(C4530&lt;99,VLOOKUP(F4530,'MSA-Lookup'!$AA$1:$AB$25,2),C4530),C4530)</f>
        <v>4472</v>
      </c>
    </row>
    <row r="4531" customFormat="false" ht="12.75" hidden="false" customHeight="false" outlineLevel="0" collapsed="false">
      <c r="A4531" s="0" t="n">
        <f aca="false">B4531*1000+C4531</f>
        <v>64044</v>
      </c>
      <c r="B4531" s="0" t="n">
        <v>64</v>
      </c>
      <c r="C4531" s="0" t="n">
        <v>44</v>
      </c>
      <c r="D4531" s="0" t="n">
        <v>429</v>
      </c>
      <c r="E4531" s="0" t="n">
        <f aca="false">VLOOKUP(B4531,'MSA-Lookup'!$H$2:$I$86,2)</f>
        <v>4480</v>
      </c>
      <c r="F4531" s="0" t="n">
        <f aca="false">IF(C4531&gt;1,IF(C4531&lt;99,VLOOKUP(C4531,'MSA-Lookup'!$H$1:$I$86,2),C4531),C4531)</f>
        <v>360</v>
      </c>
      <c r="G4531" s="0" t="n">
        <f aca="false">VLOOKUP(E4531,'MSA-Lookup'!$AA$1:$AB$25,2)</f>
        <v>4472</v>
      </c>
      <c r="H4531" s="0" t="n">
        <f aca="false">IF(C4531&gt;1,IF(C4531&lt;99,VLOOKUP(F4531,'MSA-Lookup'!$AA$1:$AB$25,2),C4531),C4531)</f>
        <v>4472</v>
      </c>
    </row>
    <row r="4532" customFormat="false" ht="12.75" hidden="false" customHeight="false" outlineLevel="0" collapsed="false">
      <c r="A4532" s="0" t="n">
        <f aca="false">B4532*1000+C4532</f>
        <v>64045</v>
      </c>
      <c r="B4532" s="0" t="n">
        <v>64</v>
      </c>
      <c r="C4532" s="0" t="n">
        <v>45</v>
      </c>
      <c r="D4532" s="0" t="n">
        <v>91</v>
      </c>
      <c r="E4532" s="0" t="n">
        <f aca="false">VLOOKUP(B4532,'MSA-Lookup'!$H$2:$I$86,2)</f>
        <v>4480</v>
      </c>
      <c r="F4532" s="0" t="n">
        <f aca="false">IF(C4532&gt;1,IF(C4532&lt;99,VLOOKUP(C4532,'MSA-Lookup'!$H$1:$I$86,2),C4532),C4532)</f>
        <v>360</v>
      </c>
      <c r="G4532" s="0" t="n">
        <f aca="false">VLOOKUP(E4532,'MSA-Lookup'!$AA$1:$AB$25,2)</f>
        <v>4472</v>
      </c>
      <c r="H4532" s="0" t="n">
        <f aca="false">IF(C4532&gt;1,IF(C4532&lt;99,VLOOKUP(F4532,'MSA-Lookup'!$AA$1:$AB$25,2),C4532),C4532)</f>
        <v>4472</v>
      </c>
    </row>
    <row r="4533" customFormat="false" ht="12.75" hidden="false" customHeight="false" outlineLevel="0" collapsed="false">
      <c r="A4533" s="0" t="n">
        <f aca="false">B4533*1000+C4533</f>
        <v>64046</v>
      </c>
      <c r="B4533" s="0" t="n">
        <v>64</v>
      </c>
      <c r="C4533" s="0" t="n">
        <v>46</v>
      </c>
      <c r="D4533" s="0" t="n">
        <v>1937</v>
      </c>
      <c r="E4533" s="0" t="n">
        <f aca="false">VLOOKUP(B4533,'MSA-Lookup'!$H$2:$I$86,2)</f>
        <v>4480</v>
      </c>
      <c r="F4533" s="0" t="n">
        <f aca="false">IF(C4533&gt;1,IF(C4533&lt;99,VLOOKUP(C4533,'MSA-Lookup'!$H$1:$I$86,2),C4533),C4533)</f>
        <v>360</v>
      </c>
      <c r="G4533" s="0" t="n">
        <f aca="false">VLOOKUP(E4533,'MSA-Lookup'!$AA$1:$AB$25,2)</f>
        <v>4472</v>
      </c>
      <c r="H4533" s="0" t="n">
        <f aca="false">IF(C4533&gt;1,IF(C4533&lt;99,VLOOKUP(F4533,'MSA-Lookup'!$AA$1:$AB$25,2),C4533),C4533)</f>
        <v>4472</v>
      </c>
    </row>
    <row r="4534" customFormat="false" ht="12.75" hidden="false" customHeight="false" outlineLevel="0" collapsed="false">
      <c r="A4534" s="0" t="n">
        <f aca="false">B4534*1000+C4534</f>
        <v>64047</v>
      </c>
      <c r="B4534" s="0" t="n">
        <v>64</v>
      </c>
      <c r="C4534" s="0" t="n">
        <v>47</v>
      </c>
      <c r="D4534" s="0" t="n">
        <v>4095</v>
      </c>
      <c r="E4534" s="0" t="n">
        <f aca="false">VLOOKUP(B4534,'MSA-Lookup'!$H$2:$I$86,2)</f>
        <v>4480</v>
      </c>
      <c r="F4534" s="0" t="n">
        <f aca="false">IF(C4534&gt;1,IF(C4534&lt;99,VLOOKUP(C4534,'MSA-Lookup'!$H$1:$I$86,2),C4534),C4534)</f>
        <v>360</v>
      </c>
      <c r="G4534" s="0" t="n">
        <f aca="false">VLOOKUP(E4534,'MSA-Lookup'!$AA$1:$AB$25,2)</f>
        <v>4472</v>
      </c>
      <c r="H4534" s="0" t="n">
        <f aca="false">IF(C4534&gt;1,IF(C4534&lt;99,VLOOKUP(F4534,'MSA-Lookup'!$AA$1:$AB$25,2),C4534),C4534)</f>
        <v>4472</v>
      </c>
    </row>
    <row r="4535" customFormat="false" ht="12.75" hidden="false" customHeight="false" outlineLevel="0" collapsed="false">
      <c r="A4535" s="0" t="n">
        <f aca="false">B4535*1000+C4535</f>
        <v>64048</v>
      </c>
      <c r="B4535" s="0" t="n">
        <v>64</v>
      </c>
      <c r="C4535" s="0" t="n">
        <v>48</v>
      </c>
      <c r="D4535" s="0" t="n">
        <v>50973</v>
      </c>
      <c r="E4535" s="0" t="n">
        <f aca="false">VLOOKUP(B4535,'MSA-Lookup'!$H$2:$I$86,2)</f>
        <v>4480</v>
      </c>
      <c r="F4535" s="0" t="n">
        <f aca="false">IF(C4535&gt;1,IF(C4535&lt;99,VLOOKUP(C4535,'MSA-Lookup'!$H$1:$I$86,2),C4535),C4535)</f>
        <v>360</v>
      </c>
      <c r="G4535" s="0" t="n">
        <f aca="false">VLOOKUP(E4535,'MSA-Lookup'!$AA$1:$AB$25,2)</f>
        <v>4472</v>
      </c>
      <c r="H4535" s="0" t="n">
        <f aca="false">IF(C4535&gt;1,IF(C4535&lt;99,VLOOKUP(F4535,'MSA-Lookup'!$AA$1:$AB$25,2),C4535),C4535)</f>
        <v>4472</v>
      </c>
    </row>
    <row r="4536" customFormat="false" ht="12.75" hidden="false" customHeight="false" outlineLevel="0" collapsed="false">
      <c r="A4536" s="0" t="n">
        <f aca="false">B4536*1000+C4536</f>
        <v>64049</v>
      </c>
      <c r="B4536" s="0" t="n">
        <v>64</v>
      </c>
      <c r="C4536" s="0" t="n">
        <v>49</v>
      </c>
      <c r="D4536" s="0" t="n">
        <v>65</v>
      </c>
      <c r="E4536" s="0" t="n">
        <f aca="false">VLOOKUP(B4536,'MSA-Lookup'!$H$2:$I$86,2)</f>
        <v>4480</v>
      </c>
      <c r="F4536" s="0" t="n">
        <f aca="false">IF(C4536&gt;1,IF(C4536&lt;99,VLOOKUP(C4536,'MSA-Lookup'!$H$1:$I$86,2),C4536),C4536)</f>
        <v>7400</v>
      </c>
      <c r="G4536" s="0" t="n">
        <f aca="false">VLOOKUP(E4536,'MSA-Lookup'!$AA$1:$AB$25,2)</f>
        <v>4472</v>
      </c>
      <c r="H4536" s="0" t="n">
        <f aca="false">IF(C4536&gt;1,IF(C4536&lt;99,VLOOKUP(F4536,'MSA-Lookup'!$AA$1:$AB$25,2),C4536),C4536)</f>
        <v>7362</v>
      </c>
    </row>
    <row r="4537" customFormat="false" ht="12.75" hidden="false" customHeight="false" outlineLevel="0" collapsed="false">
      <c r="A4537" s="0" t="n">
        <f aca="false">B4537*1000+C4537</f>
        <v>64050</v>
      </c>
      <c r="B4537" s="0" t="n">
        <v>64</v>
      </c>
      <c r="C4537" s="0" t="n">
        <v>50</v>
      </c>
      <c r="D4537" s="0" t="n">
        <v>65</v>
      </c>
      <c r="E4537" s="0" t="n">
        <f aca="false">VLOOKUP(B4537,'MSA-Lookup'!$H$2:$I$86,2)</f>
        <v>4480</v>
      </c>
      <c r="F4537" s="0" t="n">
        <f aca="false">IF(C4537&gt;1,IF(C4537&lt;99,VLOOKUP(C4537,'MSA-Lookup'!$H$1:$I$86,2),C4537),C4537)</f>
        <v>7400</v>
      </c>
      <c r="G4537" s="0" t="n">
        <f aca="false">VLOOKUP(E4537,'MSA-Lookup'!$AA$1:$AB$25,2)</f>
        <v>4472</v>
      </c>
      <c r="H4537" s="0" t="n">
        <f aca="false">IF(C4537&gt;1,IF(C4537&lt;99,VLOOKUP(F4537,'MSA-Lookup'!$AA$1:$AB$25,2),C4537),C4537)</f>
        <v>7362</v>
      </c>
    </row>
    <row r="4538" customFormat="false" ht="12.75" hidden="false" customHeight="false" outlineLevel="0" collapsed="false">
      <c r="A4538" s="0" t="n">
        <f aca="false">B4538*1000+C4538</f>
        <v>64051</v>
      </c>
      <c r="B4538" s="0" t="n">
        <v>64</v>
      </c>
      <c r="C4538" s="0" t="n">
        <v>51</v>
      </c>
      <c r="D4538" s="0" t="n">
        <v>169</v>
      </c>
      <c r="E4538" s="0" t="n">
        <f aca="false">VLOOKUP(B4538,'MSA-Lookup'!$H$2:$I$86,2)</f>
        <v>4480</v>
      </c>
      <c r="F4538" s="0" t="n">
        <f aca="false">IF(C4538&gt;1,IF(C4538&lt;99,VLOOKUP(C4538,'MSA-Lookup'!$H$1:$I$86,2),C4538),C4538)</f>
        <v>7400</v>
      </c>
      <c r="G4538" s="0" t="n">
        <f aca="false">VLOOKUP(E4538,'MSA-Lookup'!$AA$1:$AB$25,2)</f>
        <v>4472</v>
      </c>
      <c r="H4538" s="0" t="n">
        <f aca="false">IF(C4538&gt;1,IF(C4538&lt;99,VLOOKUP(F4538,'MSA-Lookup'!$AA$1:$AB$25,2),C4538),C4538)</f>
        <v>7362</v>
      </c>
    </row>
    <row r="4539" customFormat="false" ht="12.75" hidden="false" customHeight="false" outlineLevel="0" collapsed="false">
      <c r="A4539" s="0" t="n">
        <f aca="false">B4539*1000+C4539</f>
        <v>64052</v>
      </c>
      <c r="B4539" s="0" t="n">
        <v>64</v>
      </c>
      <c r="C4539" s="0" t="n">
        <v>52</v>
      </c>
      <c r="D4539" s="0" t="n">
        <v>17498</v>
      </c>
      <c r="E4539" s="0" t="n">
        <f aca="false">VLOOKUP(B4539,'MSA-Lookup'!$H$2:$I$86,2)</f>
        <v>4480</v>
      </c>
      <c r="F4539" s="0" t="n">
        <f aca="false">IF(C4539&gt;1,IF(C4539&lt;99,VLOOKUP(C4539,'MSA-Lookup'!$H$1:$I$86,2),C4539),C4539)</f>
        <v>4480</v>
      </c>
      <c r="G4539" s="0" t="n">
        <f aca="false">VLOOKUP(E4539,'MSA-Lookup'!$AA$1:$AB$25,2)</f>
        <v>4472</v>
      </c>
      <c r="H4539" s="0" t="n">
        <f aca="false">IF(C4539&gt;1,IF(C4539&lt;99,VLOOKUP(F4539,'MSA-Lookup'!$AA$1:$AB$25,2),C4539),C4539)</f>
        <v>4472</v>
      </c>
    </row>
    <row r="4540" customFormat="false" ht="12.75" hidden="false" customHeight="false" outlineLevel="0" collapsed="false">
      <c r="A4540" s="0" t="n">
        <f aca="false">B4540*1000+C4540</f>
        <v>64053</v>
      </c>
      <c r="B4540" s="0" t="n">
        <v>64</v>
      </c>
      <c r="C4540" s="0" t="n">
        <v>53</v>
      </c>
      <c r="D4540" s="0" t="n">
        <v>15054</v>
      </c>
      <c r="E4540" s="0" t="n">
        <f aca="false">VLOOKUP(B4540,'MSA-Lookup'!$H$2:$I$86,2)</f>
        <v>4480</v>
      </c>
      <c r="F4540" s="0" t="n">
        <f aca="false">IF(C4540&gt;1,IF(C4540&lt;99,VLOOKUP(C4540,'MSA-Lookup'!$H$1:$I$86,2),C4540),C4540)</f>
        <v>4480</v>
      </c>
      <c r="G4540" s="0" t="n">
        <f aca="false">VLOOKUP(E4540,'MSA-Lookup'!$AA$1:$AB$25,2)</f>
        <v>4472</v>
      </c>
      <c r="H4540" s="0" t="n">
        <f aca="false">IF(C4540&gt;1,IF(C4540&lt;99,VLOOKUP(F4540,'MSA-Lookup'!$AA$1:$AB$25,2),C4540),C4540)</f>
        <v>4472</v>
      </c>
    </row>
    <row r="4541" customFormat="false" ht="12.75" hidden="false" customHeight="false" outlineLevel="0" collapsed="false">
      <c r="A4541" s="0" t="n">
        <f aca="false">B4541*1000+C4541</f>
        <v>64054</v>
      </c>
      <c r="B4541" s="0" t="n">
        <v>64</v>
      </c>
      <c r="C4541" s="0" t="n">
        <v>54</v>
      </c>
      <c r="D4541" s="0" t="n">
        <v>19383</v>
      </c>
      <c r="E4541" s="0" t="n">
        <f aca="false">VLOOKUP(B4541,'MSA-Lookup'!$H$2:$I$86,2)</f>
        <v>4480</v>
      </c>
      <c r="F4541" s="0" t="n">
        <f aca="false">IF(C4541&gt;1,IF(C4541&lt;99,VLOOKUP(C4541,'MSA-Lookup'!$H$1:$I$86,2),C4541),C4541)</f>
        <v>4480</v>
      </c>
      <c r="G4541" s="0" t="n">
        <f aca="false">VLOOKUP(E4541,'MSA-Lookup'!$AA$1:$AB$25,2)</f>
        <v>4472</v>
      </c>
      <c r="H4541" s="0" t="n">
        <f aca="false">IF(C4541&gt;1,IF(C4541&lt;99,VLOOKUP(F4541,'MSA-Lookup'!$AA$1:$AB$25,2),C4541),C4541)</f>
        <v>4472</v>
      </c>
    </row>
    <row r="4542" customFormat="false" ht="12.75" hidden="false" customHeight="false" outlineLevel="0" collapsed="false">
      <c r="A4542" s="0" t="n">
        <f aca="false">B4542*1000+C4542</f>
        <v>64055</v>
      </c>
      <c r="B4542" s="0" t="n">
        <v>64</v>
      </c>
      <c r="C4542" s="0" t="n">
        <v>55</v>
      </c>
      <c r="D4542" s="0" t="n">
        <v>6604</v>
      </c>
      <c r="E4542" s="0" t="n">
        <f aca="false">VLOOKUP(B4542,'MSA-Lookup'!$H$2:$I$86,2)</f>
        <v>4480</v>
      </c>
      <c r="F4542" s="0" t="n">
        <f aca="false">IF(C4542&gt;1,IF(C4542&lt;99,VLOOKUP(C4542,'MSA-Lookup'!$H$1:$I$86,2),C4542),C4542)</f>
        <v>4480</v>
      </c>
      <c r="G4542" s="0" t="n">
        <f aca="false">VLOOKUP(E4542,'MSA-Lookup'!$AA$1:$AB$25,2)</f>
        <v>4472</v>
      </c>
      <c r="H4542" s="0" t="n">
        <f aca="false">IF(C4542&gt;1,IF(C4542&lt;99,VLOOKUP(F4542,'MSA-Lookup'!$AA$1:$AB$25,2),C4542),C4542)</f>
        <v>4472</v>
      </c>
    </row>
    <row r="4543" customFormat="false" ht="12.75" hidden="false" customHeight="false" outlineLevel="0" collapsed="false">
      <c r="A4543" s="0" t="n">
        <f aca="false">B4543*1000+C4543</f>
        <v>64056</v>
      </c>
      <c r="B4543" s="0" t="n">
        <v>64</v>
      </c>
      <c r="C4543" s="0" t="n">
        <v>56</v>
      </c>
      <c r="D4543" s="0" t="n">
        <v>6721</v>
      </c>
      <c r="E4543" s="0" t="n">
        <f aca="false">VLOOKUP(B4543,'MSA-Lookup'!$H$2:$I$86,2)</f>
        <v>4480</v>
      </c>
      <c r="F4543" s="0" t="n">
        <f aca="false">IF(C4543&gt;1,IF(C4543&lt;99,VLOOKUP(C4543,'MSA-Lookup'!$H$1:$I$86,2),C4543),C4543)</f>
        <v>4480</v>
      </c>
      <c r="G4543" s="0" t="n">
        <f aca="false">VLOOKUP(E4543,'MSA-Lookup'!$AA$1:$AB$25,2)</f>
        <v>4472</v>
      </c>
      <c r="H4543" s="0" t="n">
        <f aca="false">IF(C4543&gt;1,IF(C4543&lt;99,VLOOKUP(F4543,'MSA-Lookup'!$AA$1:$AB$25,2),C4543),C4543)</f>
        <v>4472</v>
      </c>
    </row>
    <row r="4544" customFormat="false" ht="12.75" hidden="false" customHeight="false" outlineLevel="0" collapsed="false">
      <c r="A4544" s="0" t="n">
        <f aca="false">B4544*1000+C4544</f>
        <v>64057</v>
      </c>
      <c r="B4544" s="0" t="n">
        <v>64</v>
      </c>
      <c r="C4544" s="0" t="n">
        <v>57</v>
      </c>
      <c r="D4544" s="0" t="n">
        <v>13234</v>
      </c>
      <c r="E4544" s="0" t="n">
        <f aca="false">VLOOKUP(B4544,'MSA-Lookup'!$H$2:$I$86,2)</f>
        <v>4480</v>
      </c>
      <c r="F4544" s="0" t="n">
        <f aca="false">IF(C4544&gt;1,IF(C4544&lt;99,VLOOKUP(C4544,'MSA-Lookup'!$H$1:$I$86,2),C4544),C4544)</f>
        <v>4480</v>
      </c>
      <c r="G4544" s="0" t="n">
        <f aca="false">VLOOKUP(E4544,'MSA-Lookup'!$AA$1:$AB$25,2)</f>
        <v>4472</v>
      </c>
      <c r="H4544" s="0" t="n">
        <f aca="false">IF(C4544&gt;1,IF(C4544&lt;99,VLOOKUP(F4544,'MSA-Lookup'!$AA$1:$AB$25,2),C4544),C4544)</f>
        <v>4472</v>
      </c>
    </row>
    <row r="4545" customFormat="false" ht="12.75" hidden="false" customHeight="false" outlineLevel="0" collapsed="false">
      <c r="A4545" s="0" t="n">
        <f aca="false">B4545*1000+C4545</f>
        <v>64058</v>
      </c>
      <c r="B4545" s="0" t="n">
        <v>64</v>
      </c>
      <c r="C4545" s="0" t="n">
        <v>58</v>
      </c>
      <c r="D4545" s="0" t="n">
        <v>14352</v>
      </c>
      <c r="E4545" s="0" t="n">
        <f aca="false">VLOOKUP(B4545,'MSA-Lookup'!$H$2:$I$86,2)</f>
        <v>4480</v>
      </c>
      <c r="F4545" s="0" t="n">
        <f aca="false">IF(C4545&gt;1,IF(C4545&lt;99,VLOOKUP(C4545,'MSA-Lookup'!$H$1:$I$86,2),C4545),C4545)</f>
        <v>4480</v>
      </c>
      <c r="G4545" s="0" t="n">
        <f aca="false">VLOOKUP(E4545,'MSA-Lookup'!$AA$1:$AB$25,2)</f>
        <v>4472</v>
      </c>
      <c r="H4545" s="0" t="n">
        <f aca="false">IF(C4545&gt;1,IF(C4545&lt;99,VLOOKUP(F4545,'MSA-Lookup'!$AA$1:$AB$25,2),C4545),C4545)</f>
        <v>4472</v>
      </c>
    </row>
    <row r="4546" customFormat="false" ht="12.75" hidden="false" customHeight="false" outlineLevel="0" collapsed="false">
      <c r="A4546" s="0" t="n">
        <f aca="false">B4546*1000+C4546</f>
        <v>64059</v>
      </c>
      <c r="B4546" s="0" t="n">
        <v>64</v>
      </c>
      <c r="C4546" s="0" t="n">
        <v>59</v>
      </c>
      <c r="D4546" s="0" t="n">
        <v>13780</v>
      </c>
      <c r="E4546" s="0" t="n">
        <f aca="false">VLOOKUP(B4546,'MSA-Lookup'!$H$2:$I$86,2)</f>
        <v>4480</v>
      </c>
      <c r="F4546" s="0" t="n">
        <f aca="false">IF(C4546&gt;1,IF(C4546&lt;99,VLOOKUP(C4546,'MSA-Lookup'!$H$1:$I$86,2),C4546),C4546)</f>
        <v>4480</v>
      </c>
      <c r="G4546" s="0" t="n">
        <f aca="false">VLOOKUP(E4546,'MSA-Lookup'!$AA$1:$AB$25,2)</f>
        <v>4472</v>
      </c>
      <c r="H4546" s="0" t="n">
        <f aca="false">IF(C4546&gt;1,IF(C4546&lt;99,VLOOKUP(F4546,'MSA-Lookup'!$AA$1:$AB$25,2),C4546),C4546)</f>
        <v>4472</v>
      </c>
    </row>
    <row r="4547" customFormat="false" ht="12.75" hidden="false" customHeight="false" outlineLevel="0" collapsed="false">
      <c r="A4547" s="0" t="n">
        <f aca="false">B4547*1000+C4547</f>
        <v>64060</v>
      </c>
      <c r="B4547" s="0" t="n">
        <v>64</v>
      </c>
      <c r="C4547" s="0" t="n">
        <v>60</v>
      </c>
      <c r="D4547" s="0" t="n">
        <v>18629</v>
      </c>
      <c r="E4547" s="0" t="n">
        <f aca="false">VLOOKUP(B4547,'MSA-Lookup'!$H$2:$I$86,2)</f>
        <v>4480</v>
      </c>
      <c r="F4547" s="0" t="n">
        <f aca="false">IF(C4547&gt;1,IF(C4547&lt;99,VLOOKUP(C4547,'MSA-Lookup'!$H$1:$I$86,2),C4547),C4547)</f>
        <v>4480</v>
      </c>
      <c r="G4547" s="0" t="n">
        <f aca="false">VLOOKUP(E4547,'MSA-Lookup'!$AA$1:$AB$25,2)</f>
        <v>4472</v>
      </c>
      <c r="H4547" s="0" t="n">
        <f aca="false">IF(C4547&gt;1,IF(C4547&lt;99,VLOOKUP(F4547,'MSA-Lookup'!$AA$1:$AB$25,2),C4547),C4547)</f>
        <v>4472</v>
      </c>
    </row>
    <row r="4548" customFormat="false" ht="12.75" hidden="false" customHeight="false" outlineLevel="0" collapsed="false">
      <c r="A4548" s="0" t="n">
        <f aca="false">B4548*1000+C4548</f>
        <v>64061</v>
      </c>
      <c r="B4548" s="0" t="n">
        <v>64</v>
      </c>
      <c r="C4548" s="0" t="n">
        <v>61</v>
      </c>
      <c r="D4548" s="0" t="n">
        <v>11219</v>
      </c>
      <c r="E4548" s="0" t="n">
        <f aca="false">VLOOKUP(B4548,'MSA-Lookup'!$H$2:$I$86,2)</f>
        <v>4480</v>
      </c>
      <c r="F4548" s="0" t="n">
        <f aca="false">IF(C4548&gt;1,IF(C4548&lt;99,VLOOKUP(C4548,'MSA-Lookup'!$H$1:$I$86,2),C4548),C4548)</f>
        <v>4480</v>
      </c>
      <c r="G4548" s="0" t="n">
        <f aca="false">VLOOKUP(E4548,'MSA-Lookup'!$AA$1:$AB$25,2)</f>
        <v>4472</v>
      </c>
      <c r="H4548" s="0" t="n">
        <f aca="false">IF(C4548&gt;1,IF(C4548&lt;99,VLOOKUP(F4548,'MSA-Lookup'!$AA$1:$AB$25,2),C4548),C4548)</f>
        <v>4472</v>
      </c>
    </row>
    <row r="4549" customFormat="false" ht="12.75" hidden="false" customHeight="false" outlineLevel="0" collapsed="false">
      <c r="A4549" s="0" t="n">
        <f aca="false">B4549*1000+C4549</f>
        <v>64062</v>
      </c>
      <c r="B4549" s="0" t="n">
        <v>64</v>
      </c>
      <c r="C4549" s="0" t="n">
        <v>62</v>
      </c>
      <c r="D4549" s="0" t="n">
        <v>17758</v>
      </c>
      <c r="E4549" s="0" t="n">
        <f aca="false">VLOOKUP(B4549,'MSA-Lookup'!$H$2:$I$86,2)</f>
        <v>4480</v>
      </c>
      <c r="F4549" s="0" t="n">
        <f aca="false">IF(C4549&gt;1,IF(C4549&lt;99,VLOOKUP(C4549,'MSA-Lookup'!$H$1:$I$86,2),C4549),C4549)</f>
        <v>4480</v>
      </c>
      <c r="G4549" s="0" t="n">
        <f aca="false">VLOOKUP(E4549,'MSA-Lookup'!$AA$1:$AB$25,2)</f>
        <v>4472</v>
      </c>
      <c r="H4549" s="0" t="n">
        <f aca="false">IF(C4549&gt;1,IF(C4549&lt;99,VLOOKUP(F4549,'MSA-Lookup'!$AA$1:$AB$25,2),C4549),C4549)</f>
        <v>4472</v>
      </c>
    </row>
    <row r="4550" customFormat="false" ht="12.75" hidden="false" customHeight="false" outlineLevel="0" collapsed="false">
      <c r="A4550" s="0" t="n">
        <f aca="false">B4550*1000+C4550</f>
        <v>64063</v>
      </c>
      <c r="B4550" s="0" t="n">
        <v>64</v>
      </c>
      <c r="C4550" s="0" t="n">
        <v>63</v>
      </c>
      <c r="D4550" s="0" t="n">
        <v>38259</v>
      </c>
      <c r="E4550" s="0" t="n">
        <f aca="false">VLOOKUP(B4550,'MSA-Lookup'!$H$2:$I$86,2)</f>
        <v>4480</v>
      </c>
      <c r="F4550" s="0" t="n">
        <f aca="false">IF(C4550&gt;1,IF(C4550&lt;99,VLOOKUP(C4550,'MSA-Lookup'!$H$1:$I$86,2),C4550),C4550)</f>
        <v>4480</v>
      </c>
      <c r="G4550" s="0" t="n">
        <f aca="false">VLOOKUP(E4550,'MSA-Lookup'!$AA$1:$AB$25,2)</f>
        <v>4472</v>
      </c>
      <c r="H4550" s="0" t="n">
        <f aca="false">IF(C4550&gt;1,IF(C4550&lt;99,VLOOKUP(F4550,'MSA-Lookup'!$AA$1:$AB$25,2),C4550),C4550)</f>
        <v>4472</v>
      </c>
    </row>
    <row r="4551" customFormat="false" ht="12.75" hidden="false" customHeight="false" outlineLevel="0" collapsed="false">
      <c r="A4551" s="0" t="n">
        <f aca="false">B4551*1000+C4551</f>
        <v>64064</v>
      </c>
      <c r="B4551" s="0" t="n">
        <v>64</v>
      </c>
      <c r="C4551" s="0" t="n">
        <v>64</v>
      </c>
      <c r="D4551" s="0" t="n">
        <v>885469</v>
      </c>
      <c r="E4551" s="0" t="n">
        <f aca="false">VLOOKUP(B4551,'MSA-Lookup'!$H$2:$I$86,2)</f>
        <v>4480</v>
      </c>
      <c r="F4551" s="0" t="n">
        <f aca="false">IF(C4551&gt;1,IF(C4551&lt;99,VLOOKUP(C4551,'MSA-Lookup'!$H$1:$I$86,2),C4551),C4551)</f>
        <v>4480</v>
      </c>
      <c r="G4551" s="0" t="n">
        <f aca="false">VLOOKUP(E4551,'MSA-Lookup'!$AA$1:$AB$25,2)</f>
        <v>4472</v>
      </c>
      <c r="H4551" s="0" t="n">
        <f aca="false">IF(C4551&gt;1,IF(C4551&lt;99,VLOOKUP(F4551,'MSA-Lookup'!$AA$1:$AB$25,2),C4551),C4551)</f>
        <v>4472</v>
      </c>
    </row>
    <row r="4552" customFormat="false" ht="12.75" hidden="false" customHeight="false" outlineLevel="0" collapsed="false">
      <c r="A4552" s="0" t="n">
        <f aca="false">B4552*1000+C4552</f>
        <v>64065</v>
      </c>
      <c r="B4552" s="0" t="n">
        <v>64</v>
      </c>
      <c r="C4552" s="0" t="n">
        <v>65</v>
      </c>
      <c r="D4552" s="0" t="n">
        <v>337857</v>
      </c>
      <c r="E4552" s="0" t="n">
        <f aca="false">VLOOKUP(B4552,'MSA-Lookup'!$H$2:$I$86,2)</f>
        <v>4480</v>
      </c>
      <c r="F4552" s="0" t="n">
        <f aca="false">IF(C4552&gt;1,IF(C4552&lt;99,VLOOKUP(C4552,'MSA-Lookup'!$H$1:$I$86,2),C4552),C4552)</f>
        <v>4480</v>
      </c>
      <c r="G4552" s="0" t="n">
        <f aca="false">VLOOKUP(E4552,'MSA-Lookup'!$AA$1:$AB$25,2)</f>
        <v>4472</v>
      </c>
      <c r="H4552" s="0" t="n">
        <f aca="false">IF(C4552&gt;1,IF(C4552&lt;99,VLOOKUP(F4552,'MSA-Lookup'!$AA$1:$AB$25,2),C4552),C4552)</f>
        <v>4472</v>
      </c>
    </row>
    <row r="4553" customFormat="false" ht="12.75" hidden="false" customHeight="false" outlineLevel="0" collapsed="false">
      <c r="A4553" s="0" t="n">
        <f aca="false">B4553*1000+C4553</f>
        <v>64066</v>
      </c>
      <c r="B4553" s="0" t="n">
        <v>64</v>
      </c>
      <c r="C4553" s="0" t="n">
        <v>66</v>
      </c>
      <c r="D4553" s="0" t="n">
        <v>49153</v>
      </c>
      <c r="E4553" s="0" t="n">
        <f aca="false">VLOOKUP(B4553,'MSA-Lookup'!$H$2:$I$86,2)</f>
        <v>4480</v>
      </c>
      <c r="F4553" s="0" t="n">
        <f aca="false">IF(C4553&gt;1,IF(C4553&lt;99,VLOOKUP(C4553,'MSA-Lookup'!$H$1:$I$86,2),C4553),C4553)</f>
        <v>4480</v>
      </c>
      <c r="G4553" s="0" t="n">
        <f aca="false">VLOOKUP(E4553,'MSA-Lookup'!$AA$1:$AB$25,2)</f>
        <v>4472</v>
      </c>
      <c r="H4553" s="0" t="n">
        <f aca="false">IF(C4553&gt;1,IF(C4553&lt;99,VLOOKUP(F4553,'MSA-Lookup'!$AA$1:$AB$25,2),C4553),C4553)</f>
        <v>4472</v>
      </c>
    </row>
    <row r="4554" customFormat="false" ht="12.75" hidden="false" customHeight="false" outlineLevel="0" collapsed="false">
      <c r="A4554" s="0" t="n">
        <f aca="false">B4554*1000+C4554</f>
        <v>64067</v>
      </c>
      <c r="B4554" s="0" t="n">
        <v>64</v>
      </c>
      <c r="C4554" s="0" t="n">
        <v>67</v>
      </c>
      <c r="D4554" s="0" t="n">
        <v>5174</v>
      </c>
      <c r="E4554" s="0" t="n">
        <f aca="false">VLOOKUP(B4554,'MSA-Lookup'!$H$2:$I$86,2)</f>
        <v>4480</v>
      </c>
      <c r="F4554" s="0" t="n">
        <f aca="false">IF(C4554&gt;1,IF(C4554&lt;99,VLOOKUP(C4554,'MSA-Lookup'!$H$1:$I$86,2),C4554),C4554)</f>
        <v>6000</v>
      </c>
      <c r="G4554" s="0" t="n">
        <f aca="false">VLOOKUP(E4554,'MSA-Lookup'!$AA$1:$AB$25,2)</f>
        <v>4472</v>
      </c>
      <c r="H4554" s="0" t="n">
        <f aca="false">IF(C4554&gt;1,IF(C4554&lt;99,VLOOKUP(F4554,'MSA-Lookup'!$AA$1:$AB$25,2),C4554),C4554)</f>
        <v>4472</v>
      </c>
    </row>
    <row r="4555" customFormat="false" ht="12.75" hidden="false" customHeight="false" outlineLevel="0" collapsed="false">
      <c r="A4555" s="0" t="n">
        <f aca="false">B4555*1000+C4555</f>
        <v>64068</v>
      </c>
      <c r="B4555" s="0" t="n">
        <v>64</v>
      </c>
      <c r="C4555" s="0" t="n">
        <v>68</v>
      </c>
      <c r="D4555" s="0" t="n">
        <v>221</v>
      </c>
      <c r="E4555" s="0" t="n">
        <f aca="false">VLOOKUP(B4555,'MSA-Lookup'!$H$2:$I$86,2)</f>
        <v>4480</v>
      </c>
      <c r="F4555" s="0" t="n">
        <f aca="false">IF(C4555&gt;1,IF(C4555&lt;99,VLOOKUP(C4555,'MSA-Lookup'!$H$1:$I$86,2),C4555),C4555)</f>
        <v>6780</v>
      </c>
      <c r="G4555" s="0" t="n">
        <f aca="false">VLOOKUP(E4555,'MSA-Lookup'!$AA$1:$AB$25,2)</f>
        <v>4472</v>
      </c>
      <c r="H4555" s="0" t="n">
        <f aca="false">IF(C4555&gt;1,IF(C4555&lt;99,VLOOKUP(F4555,'MSA-Lookup'!$AA$1:$AB$25,2),C4555),C4555)</f>
        <v>4472</v>
      </c>
    </row>
    <row r="4556" customFormat="false" ht="12.75" hidden="false" customHeight="false" outlineLevel="0" collapsed="false">
      <c r="A4556" s="0" t="n">
        <f aca="false">B4556*1000+C4556</f>
        <v>64069</v>
      </c>
      <c r="B4556" s="0" t="n">
        <v>64</v>
      </c>
      <c r="C4556" s="0" t="n">
        <v>69</v>
      </c>
      <c r="D4556" s="0" t="n">
        <v>1807</v>
      </c>
      <c r="E4556" s="0" t="n">
        <f aca="false">VLOOKUP(B4556,'MSA-Lookup'!$H$2:$I$86,2)</f>
        <v>4480</v>
      </c>
      <c r="F4556" s="0" t="n">
        <f aca="false">IF(C4556&gt;1,IF(C4556&lt;99,VLOOKUP(C4556,'MSA-Lookup'!$H$1:$I$86,2),C4556),C4556)</f>
        <v>6780</v>
      </c>
      <c r="G4556" s="0" t="n">
        <f aca="false">VLOOKUP(E4556,'MSA-Lookup'!$AA$1:$AB$25,2)</f>
        <v>4472</v>
      </c>
      <c r="H4556" s="0" t="n">
        <f aca="false">IF(C4556&gt;1,IF(C4556&lt;99,VLOOKUP(F4556,'MSA-Lookup'!$AA$1:$AB$25,2),C4556),C4556)</f>
        <v>4472</v>
      </c>
    </row>
    <row r="4557" customFormat="false" ht="12.75" hidden="false" customHeight="false" outlineLevel="0" collapsed="false">
      <c r="A4557" s="0" t="n">
        <f aca="false">B4557*1000+C4557</f>
        <v>64070</v>
      </c>
      <c r="B4557" s="0" t="n">
        <v>64</v>
      </c>
      <c r="C4557" s="0" t="n">
        <v>70</v>
      </c>
      <c r="D4557" s="0" t="n">
        <v>1053</v>
      </c>
      <c r="E4557" s="0" t="n">
        <f aca="false">VLOOKUP(B4557,'MSA-Lookup'!$H$2:$I$86,2)</f>
        <v>4480</v>
      </c>
      <c r="F4557" s="0" t="n">
        <f aca="false">IF(C4557&gt;1,IF(C4557&lt;99,VLOOKUP(C4557,'MSA-Lookup'!$H$1:$I$86,2),C4557),C4557)</f>
        <v>6780</v>
      </c>
      <c r="G4557" s="0" t="n">
        <f aca="false">VLOOKUP(E4557,'MSA-Lookup'!$AA$1:$AB$25,2)</f>
        <v>4472</v>
      </c>
      <c r="H4557" s="0" t="n">
        <f aca="false">IF(C4557&gt;1,IF(C4557&lt;99,VLOOKUP(F4557,'MSA-Lookup'!$AA$1:$AB$25,2),C4557),C4557)</f>
        <v>4472</v>
      </c>
    </row>
    <row r="4558" customFormat="false" ht="12.75" hidden="false" customHeight="false" outlineLevel="0" collapsed="false">
      <c r="A4558" s="0" t="n">
        <f aca="false">B4558*1000+C4558</f>
        <v>64071</v>
      </c>
      <c r="B4558" s="0" t="n">
        <v>64</v>
      </c>
      <c r="C4558" s="0" t="n">
        <v>71</v>
      </c>
      <c r="D4558" s="0" t="n">
        <v>4095</v>
      </c>
      <c r="E4558" s="0" t="n">
        <f aca="false">VLOOKUP(B4558,'MSA-Lookup'!$H$2:$I$86,2)</f>
        <v>4480</v>
      </c>
      <c r="F4558" s="0" t="n">
        <f aca="false">IF(C4558&gt;1,IF(C4558&lt;99,VLOOKUP(C4558,'MSA-Lookup'!$H$1:$I$86,2),C4558),C4558)</f>
        <v>6780</v>
      </c>
      <c r="G4558" s="0" t="n">
        <f aca="false">VLOOKUP(E4558,'MSA-Lookup'!$AA$1:$AB$25,2)</f>
        <v>4472</v>
      </c>
      <c r="H4558" s="0" t="n">
        <f aca="false">IF(C4558&gt;1,IF(C4558&lt;99,VLOOKUP(F4558,'MSA-Lookup'!$AA$1:$AB$25,2),C4558),C4558)</f>
        <v>4472</v>
      </c>
    </row>
    <row r="4559" customFormat="false" ht="12.75" hidden="false" customHeight="false" outlineLevel="0" collapsed="false">
      <c r="A4559" s="0" t="n">
        <f aca="false">B4559*1000+C4559</f>
        <v>64072</v>
      </c>
      <c r="B4559" s="0" t="n">
        <v>64</v>
      </c>
      <c r="C4559" s="0" t="n">
        <v>72</v>
      </c>
      <c r="D4559" s="0" t="n">
        <v>9750</v>
      </c>
      <c r="E4559" s="0" t="n">
        <f aca="false">VLOOKUP(B4559,'MSA-Lookup'!$H$2:$I$86,2)</f>
        <v>4480</v>
      </c>
      <c r="F4559" s="0" t="n">
        <f aca="false">IF(C4559&gt;1,IF(C4559&lt;99,VLOOKUP(C4559,'MSA-Lookup'!$H$1:$I$86,2),C4559),C4559)</f>
        <v>6780</v>
      </c>
      <c r="G4559" s="0" t="n">
        <f aca="false">VLOOKUP(E4559,'MSA-Lookup'!$AA$1:$AB$25,2)</f>
        <v>4472</v>
      </c>
      <c r="H4559" s="0" t="n">
        <f aca="false">IF(C4559&gt;1,IF(C4559&lt;99,VLOOKUP(F4559,'MSA-Lookup'!$AA$1:$AB$25,2),C4559),C4559)</f>
        <v>4472</v>
      </c>
    </row>
    <row r="4560" customFormat="false" ht="12.75" hidden="false" customHeight="false" outlineLevel="0" collapsed="false">
      <c r="A4560" s="0" t="n">
        <f aca="false">B4560*1000+C4560</f>
        <v>64073</v>
      </c>
      <c r="B4560" s="0" t="n">
        <v>64</v>
      </c>
      <c r="C4560" s="0" t="n">
        <v>73</v>
      </c>
      <c r="D4560" s="0" t="n">
        <v>65</v>
      </c>
      <c r="E4560" s="0" t="n">
        <f aca="false">VLOOKUP(B4560,'MSA-Lookup'!$H$2:$I$86,2)</f>
        <v>4480</v>
      </c>
      <c r="F4560" s="0" t="n">
        <f aca="false">IF(C4560&gt;1,IF(C4560&lt;99,VLOOKUP(C4560,'MSA-Lookup'!$H$1:$I$86,2),C4560),C4560)</f>
        <v>8720</v>
      </c>
      <c r="G4560" s="0" t="n">
        <f aca="false">VLOOKUP(E4560,'MSA-Lookup'!$AA$1:$AB$25,2)</f>
        <v>4472</v>
      </c>
      <c r="H4560" s="0" t="n">
        <f aca="false">IF(C4560&gt;1,IF(C4560&lt;99,VLOOKUP(F4560,'MSA-Lookup'!$AA$1:$AB$25,2),C4560),C4560)</f>
        <v>7362</v>
      </c>
    </row>
    <row r="4561" customFormat="false" ht="12.75" hidden="false" customHeight="false" outlineLevel="0" collapsed="false">
      <c r="A4561" s="0" t="n">
        <f aca="false">B4561*1000+C4561</f>
        <v>64075</v>
      </c>
      <c r="B4561" s="0" t="n">
        <v>64</v>
      </c>
      <c r="C4561" s="0" t="n">
        <v>75</v>
      </c>
      <c r="D4561" s="0" t="n">
        <v>0</v>
      </c>
      <c r="E4561" s="0" t="n">
        <f aca="false">VLOOKUP(B4561,'MSA-Lookup'!$H$2:$I$86,2)</f>
        <v>4480</v>
      </c>
      <c r="F4561" s="0" t="n">
        <f aca="false">IF(C4561&gt;1,IF(C4561&lt;99,VLOOKUP(C4561,'MSA-Lookup'!$H$1:$I$86,2),C4561),C4561)</f>
        <v>8780</v>
      </c>
      <c r="G4561" s="0" t="n">
        <f aca="false">VLOOKUP(E4561,'MSA-Lookup'!$AA$1:$AB$25,2)</f>
        <v>4472</v>
      </c>
      <c r="H4561" s="0" t="n">
        <f aca="false">IF(C4561&gt;1,IF(C4561&lt;99,VLOOKUP(F4561,'MSA-Lookup'!$AA$1:$AB$25,2),C4561),C4561)</f>
        <v>8780</v>
      </c>
    </row>
    <row r="4562" customFormat="false" ht="12.75" hidden="false" customHeight="false" outlineLevel="0" collapsed="false">
      <c r="A4562" s="0" t="n">
        <f aca="false">B4562*1000+C4562</f>
        <v>64076</v>
      </c>
      <c r="B4562" s="0" t="n">
        <v>64</v>
      </c>
      <c r="C4562" s="0" t="n">
        <v>76</v>
      </c>
      <c r="D4562" s="0" t="n">
        <v>0</v>
      </c>
      <c r="E4562" s="0" t="n">
        <f aca="false">VLOOKUP(B4562,'MSA-Lookup'!$H$2:$I$86,2)</f>
        <v>4480</v>
      </c>
      <c r="F4562" s="0" t="n">
        <f aca="false">IF(C4562&gt;1,IF(C4562&lt;99,VLOOKUP(C4562,'MSA-Lookup'!$H$1:$I$86,2),C4562),C4562)</f>
        <v>7485</v>
      </c>
      <c r="G4562" s="0" t="n">
        <f aca="false">VLOOKUP(E4562,'MSA-Lookup'!$AA$1:$AB$25,2)</f>
        <v>4472</v>
      </c>
      <c r="H4562" s="0" t="n">
        <f aca="false">IF(C4562&gt;1,IF(C4562&lt;99,VLOOKUP(F4562,'MSA-Lookup'!$AA$1:$AB$25,2),C4562),C4562)</f>
        <v>7362</v>
      </c>
    </row>
    <row r="4563" customFormat="false" ht="12.75" hidden="false" customHeight="false" outlineLevel="0" collapsed="false">
      <c r="A4563" s="0" t="n">
        <f aca="false">B4563*1000+C4563</f>
        <v>64077</v>
      </c>
      <c r="B4563" s="0" t="n">
        <v>64</v>
      </c>
      <c r="C4563" s="0" t="n">
        <v>77</v>
      </c>
      <c r="D4563" s="0" t="n">
        <v>117</v>
      </c>
      <c r="E4563" s="0" t="n">
        <f aca="false">VLOOKUP(B4563,'MSA-Lookup'!$H$2:$I$86,2)</f>
        <v>4480</v>
      </c>
      <c r="F4563" s="0" t="n">
        <f aca="false">IF(C4563&gt;1,IF(C4563&lt;99,VLOOKUP(C4563,'MSA-Lookup'!$H$1:$I$86,2),C4563),C4563)</f>
        <v>9999</v>
      </c>
      <c r="G4563" s="0" t="n">
        <f aca="false">VLOOKUP(E4563,'MSA-Lookup'!$AA$1:$AB$25,2)</f>
        <v>4472</v>
      </c>
      <c r="H4563" s="0" t="n">
        <f aca="false">IF(C4563&gt;1,IF(C4563&lt;99,VLOOKUP(F4563,'MSA-Lookup'!$AA$1:$AB$25,2),C4563),C4563)</f>
        <v>9999</v>
      </c>
    </row>
    <row r="4564" customFormat="false" ht="12.75" hidden="false" customHeight="false" outlineLevel="0" collapsed="false">
      <c r="A4564" s="0" t="n">
        <f aca="false">B4564*1000+C4564</f>
        <v>64078</v>
      </c>
      <c r="B4564" s="0" t="n">
        <v>64</v>
      </c>
      <c r="C4564" s="0" t="n">
        <v>78</v>
      </c>
      <c r="D4564" s="0" t="n">
        <v>650</v>
      </c>
      <c r="E4564" s="0" t="n">
        <f aca="false">VLOOKUP(B4564,'MSA-Lookup'!$H$2:$I$86,2)</f>
        <v>4480</v>
      </c>
      <c r="F4564" s="0" t="n">
        <f aca="false">IF(C4564&gt;1,IF(C4564&lt;99,VLOOKUP(C4564,'MSA-Lookup'!$H$1:$I$86,2),C4564),C4564)</f>
        <v>680</v>
      </c>
      <c r="G4564" s="0" t="n">
        <f aca="false">VLOOKUP(E4564,'MSA-Lookup'!$AA$1:$AB$25,2)</f>
        <v>4472</v>
      </c>
      <c r="H4564" s="0" t="n">
        <f aca="false">IF(C4564&gt;1,IF(C4564&lt;99,VLOOKUP(F4564,'MSA-Lookup'!$AA$1:$AB$25,2),C4564),C4564)</f>
        <v>680</v>
      </c>
    </row>
    <row r="4565" customFormat="false" ht="12.75" hidden="false" customHeight="false" outlineLevel="0" collapsed="false">
      <c r="A4565" s="0" t="n">
        <f aca="false">B4565*1000+C4565</f>
        <v>64079</v>
      </c>
      <c r="B4565" s="0" t="n">
        <v>64</v>
      </c>
      <c r="C4565" s="0" t="n">
        <v>79</v>
      </c>
      <c r="D4565" s="0" t="n">
        <v>8060</v>
      </c>
      <c r="E4565" s="0" t="n">
        <f aca="false">VLOOKUP(B4565,'MSA-Lookup'!$H$2:$I$86,2)</f>
        <v>4480</v>
      </c>
      <c r="F4565" s="0" t="n">
        <f aca="false">IF(C4565&gt;1,IF(C4565&lt;99,VLOOKUP(C4565,'MSA-Lookup'!$H$1:$I$86,2),C4565),C4565)</f>
        <v>680</v>
      </c>
      <c r="G4565" s="0" t="n">
        <f aca="false">VLOOKUP(E4565,'MSA-Lookup'!$AA$1:$AB$25,2)</f>
        <v>4472</v>
      </c>
      <c r="H4565" s="0" t="n">
        <f aca="false">IF(C4565&gt;1,IF(C4565&lt;99,VLOOKUP(F4565,'MSA-Lookup'!$AA$1:$AB$25,2),C4565),C4565)</f>
        <v>680</v>
      </c>
    </row>
    <row r="4566" customFormat="false" ht="12.75" hidden="false" customHeight="false" outlineLevel="0" collapsed="false">
      <c r="A4566" s="0" t="n">
        <f aca="false">B4566*1000+C4566</f>
        <v>64080</v>
      </c>
      <c r="B4566" s="0" t="n">
        <v>64</v>
      </c>
      <c r="C4566" s="0" t="n">
        <v>80</v>
      </c>
      <c r="D4566" s="0" t="n">
        <v>182</v>
      </c>
      <c r="E4566" s="0" t="n">
        <f aca="false">VLOOKUP(B4566,'MSA-Lookup'!$H$2:$I$86,2)</f>
        <v>4480</v>
      </c>
      <c r="F4566" s="0" t="n">
        <f aca="false">IF(C4566&gt;1,IF(C4566&lt;99,VLOOKUP(C4566,'MSA-Lookup'!$H$1:$I$86,2),C4566),C4566)</f>
        <v>9999</v>
      </c>
      <c r="G4566" s="0" t="n">
        <f aca="false">VLOOKUP(E4566,'MSA-Lookup'!$AA$1:$AB$25,2)</f>
        <v>4472</v>
      </c>
      <c r="H4566" s="0" t="n">
        <f aca="false">IF(C4566&gt;1,IF(C4566&lt;99,VLOOKUP(F4566,'MSA-Lookup'!$AA$1:$AB$25,2),C4566),C4566)</f>
        <v>9999</v>
      </c>
    </row>
    <row r="4567" customFormat="false" ht="12.75" hidden="false" customHeight="false" outlineLevel="0" collapsed="false">
      <c r="A4567" s="0" t="n">
        <f aca="false">B4567*1000+C4567</f>
        <v>64081</v>
      </c>
      <c r="B4567" s="0" t="n">
        <v>64</v>
      </c>
      <c r="C4567" s="0" t="n">
        <v>81</v>
      </c>
      <c r="D4567" s="0" t="n">
        <v>1365</v>
      </c>
      <c r="E4567" s="0" t="n">
        <f aca="false">VLOOKUP(B4567,'MSA-Lookup'!$H$2:$I$86,2)</f>
        <v>4480</v>
      </c>
      <c r="F4567" s="0" t="n">
        <f aca="false">IF(C4567&gt;1,IF(C4567&lt;99,VLOOKUP(C4567,'MSA-Lookup'!$H$1:$I$86,2),C4567),C4567)</f>
        <v>6780</v>
      </c>
      <c r="G4567" s="0" t="n">
        <f aca="false">VLOOKUP(E4567,'MSA-Lookup'!$AA$1:$AB$25,2)</f>
        <v>4472</v>
      </c>
      <c r="H4567" s="0" t="n">
        <f aca="false">IF(C4567&gt;1,IF(C4567&lt;99,VLOOKUP(F4567,'MSA-Lookup'!$AA$1:$AB$25,2),C4567),C4567)</f>
        <v>4472</v>
      </c>
    </row>
    <row r="4568" customFormat="false" ht="12.75" hidden="false" customHeight="false" outlineLevel="0" collapsed="false">
      <c r="A4568" s="0" t="n">
        <f aca="false">B4568*1000+C4568</f>
        <v>64082</v>
      </c>
      <c r="B4568" s="0" t="n">
        <v>64</v>
      </c>
      <c r="C4568" s="0" t="n">
        <v>82</v>
      </c>
      <c r="D4568" s="0" t="n">
        <v>884</v>
      </c>
      <c r="E4568" s="0" t="n">
        <f aca="false">VLOOKUP(B4568,'MSA-Lookup'!$H$2:$I$86,2)</f>
        <v>4480</v>
      </c>
      <c r="F4568" s="0" t="n">
        <f aca="false">IF(C4568&gt;1,IF(C4568&lt;99,VLOOKUP(C4568,'MSA-Lookup'!$H$1:$I$86,2),C4568),C4568)</f>
        <v>6780</v>
      </c>
      <c r="G4568" s="0" t="n">
        <f aca="false">VLOOKUP(E4568,'MSA-Lookup'!$AA$1:$AB$25,2)</f>
        <v>4472</v>
      </c>
      <c r="H4568" s="0" t="n">
        <f aca="false">IF(C4568&gt;1,IF(C4568&lt;99,VLOOKUP(F4568,'MSA-Lookup'!$AA$1:$AB$25,2),C4568),C4568)</f>
        <v>4472</v>
      </c>
    </row>
    <row r="4569" customFormat="false" ht="12.75" hidden="false" customHeight="false" outlineLevel="0" collapsed="false">
      <c r="A4569" s="0" t="n">
        <f aca="false">B4569*1000+C4569</f>
        <v>64083</v>
      </c>
      <c r="B4569" s="0" t="n">
        <v>64</v>
      </c>
      <c r="C4569" s="0" t="n">
        <v>83</v>
      </c>
      <c r="D4569" s="0" t="n">
        <v>338</v>
      </c>
      <c r="E4569" s="0" t="n">
        <f aca="false">VLOOKUP(B4569,'MSA-Lookup'!$H$2:$I$86,2)</f>
        <v>4480</v>
      </c>
      <c r="F4569" s="0" t="n">
        <f aca="false">IF(C4569&gt;1,IF(C4569&lt;99,VLOOKUP(C4569,'MSA-Lookup'!$H$1:$I$86,2),C4569),C4569)</f>
        <v>6000</v>
      </c>
      <c r="G4569" s="0" t="n">
        <f aca="false">VLOOKUP(E4569,'MSA-Lookup'!$AA$1:$AB$25,2)</f>
        <v>4472</v>
      </c>
      <c r="H4569" s="0" t="n">
        <f aca="false">IF(C4569&gt;1,IF(C4569&lt;99,VLOOKUP(F4569,'MSA-Lookup'!$AA$1:$AB$25,2),C4569),C4569)</f>
        <v>4472</v>
      </c>
    </row>
    <row r="4570" customFormat="false" ht="12.75" hidden="false" customHeight="false" outlineLevel="0" collapsed="false">
      <c r="A4570" s="0" t="n">
        <f aca="false">B4570*1000+C4570</f>
        <v>64084</v>
      </c>
      <c r="B4570" s="0" t="n">
        <v>64</v>
      </c>
      <c r="C4570" s="0" t="n">
        <v>84</v>
      </c>
      <c r="D4570" s="0" t="n">
        <v>13793</v>
      </c>
      <c r="E4570" s="0" t="n">
        <f aca="false">VLOOKUP(B4570,'MSA-Lookup'!$H$2:$I$86,2)</f>
        <v>4480</v>
      </c>
      <c r="F4570" s="0" t="n">
        <f aca="false">IF(C4570&gt;1,IF(C4570&lt;99,VLOOKUP(C4570,'MSA-Lookup'!$H$1:$I$86,2),C4570),C4570)</f>
        <v>360</v>
      </c>
      <c r="G4570" s="0" t="n">
        <f aca="false">VLOOKUP(E4570,'MSA-Lookup'!$AA$1:$AB$25,2)</f>
        <v>4472</v>
      </c>
      <c r="H4570" s="0" t="n">
        <f aca="false">IF(C4570&gt;1,IF(C4570&lt;99,VLOOKUP(F4570,'MSA-Lookup'!$AA$1:$AB$25,2),C4570),C4570)</f>
        <v>4472</v>
      </c>
    </row>
    <row r="4571" customFormat="false" ht="12.75" hidden="false" customHeight="false" outlineLevel="0" collapsed="false">
      <c r="A4571" s="0" t="n">
        <f aca="false">B4571*1000+C4571</f>
        <v>64085</v>
      </c>
      <c r="B4571" s="0" t="n">
        <v>64</v>
      </c>
      <c r="C4571" s="0" t="n">
        <v>85</v>
      </c>
      <c r="D4571" s="0" t="n">
        <v>0</v>
      </c>
      <c r="E4571" s="0" t="n">
        <f aca="false">VLOOKUP(B4571,'MSA-Lookup'!$H$2:$I$86,2)</f>
        <v>4480</v>
      </c>
      <c r="F4571" s="0" t="n">
        <f aca="false">IF(C4571&gt;1,IF(C4571&lt;99,VLOOKUP(C4571,'MSA-Lookup'!$H$1:$I$86,2),C4571),C4571)</f>
        <v>8120</v>
      </c>
      <c r="G4571" s="0" t="n">
        <f aca="false">VLOOKUP(E4571,'MSA-Lookup'!$AA$1:$AB$25,2)</f>
        <v>4472</v>
      </c>
      <c r="H4571" s="0" t="n">
        <f aca="false">IF(C4571&gt;1,IF(C4571&lt;99,VLOOKUP(F4571,'MSA-Lookup'!$AA$1:$AB$25,2),C4571),C4571)</f>
        <v>8120</v>
      </c>
    </row>
    <row r="4572" customFormat="false" ht="12.75" hidden="false" customHeight="false" outlineLevel="0" collapsed="false">
      <c r="A4572" s="0" t="n">
        <f aca="false">B4572*1000+C4572</f>
        <v>64858</v>
      </c>
      <c r="B4572" s="0" t="n">
        <v>64</v>
      </c>
      <c r="C4572" s="0" t="n">
        <v>858</v>
      </c>
      <c r="D4572" s="0" t="n">
        <v>0</v>
      </c>
      <c r="E4572" s="0" t="n">
        <f aca="false">VLOOKUP(B4572,'MSA-Lookup'!$H$2:$I$86,2)</f>
        <v>4480</v>
      </c>
      <c r="F4572" s="0" t="n">
        <f aca="false">IF(C4572&gt;1,IF(C4572&lt;99,VLOOKUP(C4572,'MSA-Lookup'!$H$1:$I$86,2),C4572),C4572)</f>
        <v>858</v>
      </c>
      <c r="G4572" s="0" t="n">
        <f aca="false">VLOOKUP(E4572,'MSA-Lookup'!$AA$1:$AB$25,2)</f>
        <v>4472</v>
      </c>
      <c r="H4572" s="0" t="n">
        <f aca="false">IF(C4572&gt;1,IF(C4572&lt;99,VLOOKUP(F4572,'MSA-Lookup'!$AA$1:$AB$25,2),C4572),C4572)</f>
        <v>858</v>
      </c>
    </row>
    <row r="4573" customFormat="false" ht="12.75" hidden="false" customHeight="false" outlineLevel="0" collapsed="false">
      <c r="A4573" s="0" t="n">
        <f aca="false">B4573*1000+C4573</f>
        <v>64983</v>
      </c>
      <c r="B4573" s="0" t="n">
        <v>64</v>
      </c>
      <c r="C4573" s="0" t="n">
        <v>983</v>
      </c>
      <c r="D4573" s="0" t="n">
        <v>0</v>
      </c>
      <c r="E4573" s="0" t="n">
        <f aca="false">VLOOKUP(B4573,'MSA-Lookup'!$H$2:$I$86,2)</f>
        <v>4480</v>
      </c>
      <c r="F4573" s="0" t="n">
        <f aca="false">IF(C4573&gt;1,IF(C4573&lt;99,VLOOKUP(C4573,'MSA-Lookup'!$H$1:$I$86,2),C4573),C4573)</f>
        <v>983</v>
      </c>
      <c r="G4573" s="0" t="n">
        <f aca="false">VLOOKUP(E4573,'MSA-Lookup'!$AA$1:$AB$25,2)</f>
        <v>4472</v>
      </c>
      <c r="H4573" s="0" t="n">
        <f aca="false">IF(C4573&gt;1,IF(C4573&lt;99,VLOOKUP(F4573,'MSA-Lookup'!$AA$1:$AB$25,2),C4573),C4573)</f>
        <v>983</v>
      </c>
    </row>
    <row r="4574" customFormat="false" ht="12.75" hidden="false" customHeight="false" outlineLevel="0" collapsed="false">
      <c r="A4574" s="0" t="n">
        <f aca="false">B4574*1000+C4574</f>
        <v>64999</v>
      </c>
      <c r="B4574" s="0" t="n">
        <v>64</v>
      </c>
      <c r="C4574" s="0" t="n">
        <v>999</v>
      </c>
      <c r="D4574" s="0" t="n">
        <v>663</v>
      </c>
      <c r="E4574" s="0" t="n">
        <f aca="false">VLOOKUP(B4574,'MSA-Lookup'!$H$2:$I$86,2)</f>
        <v>4480</v>
      </c>
      <c r="F4574" s="0" t="n">
        <f aca="false">IF(C4574&gt;1,IF(C4574&lt;99,VLOOKUP(C4574,'MSA-Lookup'!$H$1:$I$86,2),C4574),C4574)</f>
        <v>999</v>
      </c>
      <c r="G4574" s="0" t="n">
        <f aca="false">VLOOKUP(E4574,'MSA-Lookup'!$AA$1:$AB$25,2)</f>
        <v>4472</v>
      </c>
      <c r="H4574" s="0" t="n">
        <f aca="false">IF(C4574&gt;1,IF(C4574&lt;99,VLOOKUP(F4574,'MSA-Lookup'!$AA$1:$AB$25,2),C4574),C4574)</f>
        <v>999</v>
      </c>
    </row>
    <row r="4575" customFormat="false" ht="12.75" hidden="false" customHeight="false" outlineLevel="0" collapsed="false">
      <c r="A4575" s="0" t="n">
        <f aca="false">B4575*1000+C4575</f>
        <v>65000</v>
      </c>
      <c r="B4575" s="0" t="n">
        <v>65</v>
      </c>
      <c r="C4575" s="0" t="n">
        <v>0</v>
      </c>
      <c r="D4575" s="0" t="n">
        <v>1845064</v>
      </c>
      <c r="E4575" s="0" t="n">
        <f aca="false">VLOOKUP(B4575,'MSA-Lookup'!$H$2:$I$86,2)</f>
        <v>4480</v>
      </c>
      <c r="F4575" s="0" t="n">
        <f aca="false">IF(C4575&gt;1,IF(C4575&lt;99,VLOOKUP(C4575,'MSA-Lookup'!$H$1:$I$86,2),C4575),C4575)</f>
        <v>0</v>
      </c>
      <c r="G4575" s="0" t="n">
        <f aca="false">VLOOKUP(E4575,'MSA-Lookup'!$AA$1:$AB$25,2)</f>
        <v>4472</v>
      </c>
      <c r="H4575" s="0" t="n">
        <f aca="false">IF(C4575&gt;1,IF(C4575&lt;99,VLOOKUP(F4575,'MSA-Lookup'!$AA$1:$AB$25,2),C4575),C4575)</f>
        <v>0</v>
      </c>
    </row>
    <row r="4576" customFormat="false" ht="12.75" hidden="false" customHeight="false" outlineLevel="0" collapsed="false">
      <c r="A4576" s="0" t="n">
        <f aca="false">B4576*1000+C4576</f>
        <v>65001</v>
      </c>
      <c r="B4576" s="0" t="n">
        <v>65</v>
      </c>
      <c r="C4576" s="0" t="n">
        <v>1</v>
      </c>
      <c r="D4576" s="0" t="n">
        <v>299</v>
      </c>
      <c r="E4576" s="0" t="n">
        <f aca="false">VLOOKUP(B4576,'MSA-Lookup'!$H$2:$I$86,2)</f>
        <v>4480</v>
      </c>
      <c r="F4576" s="0" t="n">
        <f aca="false">IF(C4576&gt;1,IF(C4576&lt;99,VLOOKUP(C4576,'MSA-Lookup'!$H$1:$I$86,2),C4576),C4576)</f>
        <v>1</v>
      </c>
      <c r="G4576" s="0" t="n">
        <f aca="false">VLOOKUP(E4576,'MSA-Lookup'!$AA$1:$AB$25,2)</f>
        <v>4472</v>
      </c>
      <c r="H4576" s="0" t="n">
        <f aca="false">IF(C4576&gt;1,IF(C4576&lt;99,VLOOKUP(F4576,'MSA-Lookup'!$AA$1:$AB$25,2),C4576),C4576)</f>
        <v>1</v>
      </c>
    </row>
    <row r="4577" customFormat="false" ht="12.75" hidden="false" customHeight="false" outlineLevel="0" collapsed="false">
      <c r="A4577" s="0" t="n">
        <f aca="false">B4577*1000+C4577</f>
        <v>65002</v>
      </c>
      <c r="B4577" s="0" t="n">
        <v>65</v>
      </c>
      <c r="C4577" s="0" t="n">
        <v>2</v>
      </c>
      <c r="D4577" s="0" t="n">
        <v>1235</v>
      </c>
      <c r="E4577" s="0" t="n">
        <f aca="false">VLOOKUP(B4577,'MSA-Lookup'!$H$2:$I$86,2)</f>
        <v>4480</v>
      </c>
      <c r="F4577" s="0" t="n">
        <f aca="false">IF(C4577&gt;1,IF(C4577&lt;99,VLOOKUP(C4577,'MSA-Lookup'!$H$1:$I$86,2),C4577),C4577)</f>
        <v>9999</v>
      </c>
      <c r="G4577" s="0" t="n">
        <f aca="false">VLOOKUP(E4577,'MSA-Lookup'!$AA$1:$AB$25,2)</f>
        <v>4472</v>
      </c>
      <c r="H4577" s="0" t="n">
        <f aca="false">IF(C4577&gt;1,IF(C4577&lt;99,VLOOKUP(F4577,'MSA-Lookup'!$AA$1:$AB$25,2),C4577),C4577)</f>
        <v>9999</v>
      </c>
    </row>
    <row r="4578" customFormat="false" ht="12.75" hidden="false" customHeight="false" outlineLevel="0" collapsed="false">
      <c r="A4578" s="0" t="n">
        <f aca="false">B4578*1000+C4578</f>
        <v>65003</v>
      </c>
      <c r="B4578" s="0" t="n">
        <v>65</v>
      </c>
      <c r="C4578" s="0" t="n">
        <v>3</v>
      </c>
      <c r="D4578" s="0" t="n">
        <v>351</v>
      </c>
      <c r="E4578" s="0" t="n">
        <f aca="false">VLOOKUP(B4578,'MSA-Lookup'!$H$2:$I$86,2)</f>
        <v>4480</v>
      </c>
      <c r="F4578" s="0" t="n">
        <f aca="false">IF(C4578&gt;1,IF(C4578&lt;99,VLOOKUP(C4578,'MSA-Lookup'!$H$1:$I$86,2),C4578),C4578)</f>
        <v>6690</v>
      </c>
      <c r="G4578" s="0" t="n">
        <f aca="false">VLOOKUP(E4578,'MSA-Lookup'!$AA$1:$AB$25,2)</f>
        <v>4472</v>
      </c>
      <c r="H4578" s="0" t="n">
        <f aca="false">IF(C4578&gt;1,IF(C4578&lt;99,VLOOKUP(F4578,'MSA-Lookup'!$AA$1:$AB$25,2),C4578),C4578)</f>
        <v>6690</v>
      </c>
    </row>
    <row r="4579" customFormat="false" ht="12.75" hidden="false" customHeight="false" outlineLevel="0" collapsed="false">
      <c r="A4579" s="0" t="n">
        <f aca="false">B4579*1000+C4579</f>
        <v>65004</v>
      </c>
      <c r="B4579" s="0" t="n">
        <v>65</v>
      </c>
      <c r="C4579" s="0" t="n">
        <v>4</v>
      </c>
      <c r="D4579" s="0" t="n">
        <v>65</v>
      </c>
      <c r="E4579" s="0" t="n">
        <f aca="false">VLOOKUP(B4579,'MSA-Lookup'!$H$2:$I$86,2)</f>
        <v>4480</v>
      </c>
      <c r="F4579" s="0" t="n">
        <f aca="false">IF(C4579&gt;1,IF(C4579&lt;99,VLOOKUP(C4579,'MSA-Lookup'!$H$1:$I$86,2),C4579),C4579)</f>
        <v>9999</v>
      </c>
      <c r="G4579" s="0" t="n">
        <f aca="false">VLOOKUP(E4579,'MSA-Lookup'!$AA$1:$AB$25,2)</f>
        <v>4472</v>
      </c>
      <c r="H4579" s="0" t="n">
        <f aca="false">IF(C4579&gt;1,IF(C4579&lt;99,VLOOKUP(F4579,'MSA-Lookup'!$AA$1:$AB$25,2),C4579),C4579)</f>
        <v>9999</v>
      </c>
    </row>
    <row r="4580" customFormat="false" ht="12.75" hidden="false" customHeight="false" outlineLevel="0" collapsed="false">
      <c r="A4580" s="0" t="n">
        <f aca="false">B4580*1000+C4580</f>
        <v>65005</v>
      </c>
      <c r="B4580" s="0" t="n">
        <v>65</v>
      </c>
      <c r="C4580" s="0" t="n">
        <v>5</v>
      </c>
      <c r="D4580" s="0" t="n">
        <v>156</v>
      </c>
      <c r="E4580" s="0" t="n">
        <f aca="false">VLOOKUP(B4580,'MSA-Lookup'!$H$2:$I$86,2)</f>
        <v>4480</v>
      </c>
      <c r="F4580" s="0" t="n">
        <f aca="false">IF(C4580&gt;1,IF(C4580&lt;99,VLOOKUP(C4580,'MSA-Lookup'!$H$1:$I$86,2),C4580),C4580)</f>
        <v>9999</v>
      </c>
      <c r="G4580" s="0" t="n">
        <f aca="false">VLOOKUP(E4580,'MSA-Lookup'!$AA$1:$AB$25,2)</f>
        <v>4472</v>
      </c>
      <c r="H4580" s="0" t="n">
        <f aca="false">IF(C4580&gt;1,IF(C4580&lt;99,VLOOKUP(F4580,'MSA-Lookup'!$AA$1:$AB$25,2),C4580),C4580)</f>
        <v>9999</v>
      </c>
    </row>
    <row r="4581" customFormat="false" ht="12.75" hidden="false" customHeight="false" outlineLevel="0" collapsed="false">
      <c r="A4581" s="0" t="n">
        <f aca="false">B4581*1000+C4581</f>
        <v>65006</v>
      </c>
      <c r="B4581" s="0" t="n">
        <v>65</v>
      </c>
      <c r="C4581" s="0" t="n">
        <v>6</v>
      </c>
      <c r="D4581" s="0" t="n">
        <v>130</v>
      </c>
      <c r="E4581" s="0" t="n">
        <f aca="false">VLOOKUP(B4581,'MSA-Lookup'!$H$2:$I$86,2)</f>
        <v>4480</v>
      </c>
      <c r="F4581" s="0" t="n">
        <f aca="false">IF(C4581&gt;1,IF(C4581&lt;99,VLOOKUP(C4581,'MSA-Lookup'!$H$1:$I$86,2),C4581),C4581)</f>
        <v>1620</v>
      </c>
      <c r="G4581" s="0" t="n">
        <f aca="false">VLOOKUP(E4581,'MSA-Lookup'!$AA$1:$AB$25,2)</f>
        <v>4472</v>
      </c>
      <c r="H4581" s="0" t="n">
        <f aca="false">IF(C4581&gt;1,IF(C4581&lt;99,VLOOKUP(F4581,'MSA-Lookup'!$AA$1:$AB$25,2),C4581),C4581)</f>
        <v>1620</v>
      </c>
    </row>
    <row r="4582" customFormat="false" ht="12.75" hidden="false" customHeight="false" outlineLevel="0" collapsed="false">
      <c r="A4582" s="0" t="n">
        <f aca="false">B4582*1000+C4582</f>
        <v>65007</v>
      </c>
      <c r="B4582" s="0" t="n">
        <v>65</v>
      </c>
      <c r="C4582" s="0" t="n">
        <v>7</v>
      </c>
      <c r="D4582" s="0" t="n">
        <v>65</v>
      </c>
      <c r="E4582" s="0" t="n">
        <f aca="false">VLOOKUP(B4582,'MSA-Lookup'!$H$2:$I$86,2)</f>
        <v>4480</v>
      </c>
      <c r="F4582" s="0" t="n">
        <f aca="false">IF(C4582&gt;1,IF(C4582&lt;99,VLOOKUP(C4582,'MSA-Lookup'!$H$1:$I$86,2),C4582),C4582)</f>
        <v>9999</v>
      </c>
      <c r="G4582" s="0" t="n">
        <f aca="false">VLOOKUP(E4582,'MSA-Lookup'!$AA$1:$AB$25,2)</f>
        <v>4472</v>
      </c>
      <c r="H4582" s="0" t="n">
        <f aca="false">IF(C4582&gt;1,IF(C4582&lt;99,VLOOKUP(F4582,'MSA-Lookup'!$AA$1:$AB$25,2),C4582),C4582)</f>
        <v>9999</v>
      </c>
    </row>
    <row r="4583" customFormat="false" ht="12.75" hidden="false" customHeight="false" outlineLevel="0" collapsed="false">
      <c r="A4583" s="0" t="n">
        <f aca="false">B4583*1000+C4583</f>
        <v>65008</v>
      </c>
      <c r="B4583" s="0" t="n">
        <v>65</v>
      </c>
      <c r="C4583" s="0" t="n">
        <v>8</v>
      </c>
      <c r="D4583" s="0" t="n">
        <v>364</v>
      </c>
      <c r="E4583" s="0" t="n">
        <f aca="false">VLOOKUP(B4583,'MSA-Lookup'!$H$2:$I$86,2)</f>
        <v>4480</v>
      </c>
      <c r="F4583" s="0" t="n">
        <f aca="false">IF(C4583&gt;1,IF(C4583&lt;99,VLOOKUP(C4583,'MSA-Lookup'!$H$1:$I$86,2),C4583),C4583)</f>
        <v>9340</v>
      </c>
      <c r="G4583" s="0" t="n">
        <f aca="false">VLOOKUP(E4583,'MSA-Lookup'!$AA$1:$AB$25,2)</f>
        <v>4472</v>
      </c>
      <c r="H4583" s="0" t="n">
        <f aca="false">IF(C4583&gt;1,IF(C4583&lt;99,VLOOKUP(F4583,'MSA-Lookup'!$AA$1:$AB$25,2),C4583),C4583)</f>
        <v>9340</v>
      </c>
    </row>
    <row r="4584" customFormat="false" ht="12.75" hidden="false" customHeight="false" outlineLevel="0" collapsed="false">
      <c r="A4584" s="0" t="n">
        <f aca="false">B4584*1000+C4584</f>
        <v>65009</v>
      </c>
      <c r="B4584" s="0" t="n">
        <v>65</v>
      </c>
      <c r="C4584" s="0" t="n">
        <v>9</v>
      </c>
      <c r="D4584" s="0" t="n">
        <v>156</v>
      </c>
      <c r="E4584" s="0" t="n">
        <f aca="false">VLOOKUP(B4584,'MSA-Lookup'!$H$2:$I$86,2)</f>
        <v>4480</v>
      </c>
      <c r="F4584" s="0" t="n">
        <f aca="false">IF(C4584&gt;1,IF(C4584&lt;99,VLOOKUP(C4584,'MSA-Lookup'!$H$1:$I$86,2),C4584),C4584)</f>
        <v>8720</v>
      </c>
      <c r="G4584" s="0" t="n">
        <f aca="false">VLOOKUP(E4584,'MSA-Lookup'!$AA$1:$AB$25,2)</f>
        <v>4472</v>
      </c>
      <c r="H4584" s="0" t="n">
        <f aca="false">IF(C4584&gt;1,IF(C4584&lt;99,VLOOKUP(F4584,'MSA-Lookup'!$AA$1:$AB$25,2),C4584),C4584)</f>
        <v>7362</v>
      </c>
    </row>
    <row r="4585" customFormat="false" ht="12.75" hidden="false" customHeight="false" outlineLevel="0" collapsed="false">
      <c r="A4585" s="0" t="n">
        <f aca="false">B4585*1000+C4585</f>
        <v>65010</v>
      </c>
      <c r="B4585" s="0" t="n">
        <v>65</v>
      </c>
      <c r="C4585" s="0" t="n">
        <v>10</v>
      </c>
      <c r="D4585" s="0" t="n">
        <v>0</v>
      </c>
      <c r="E4585" s="0" t="n">
        <f aca="false">VLOOKUP(B4585,'MSA-Lookup'!$H$2:$I$86,2)</f>
        <v>4480</v>
      </c>
      <c r="F4585" s="0" t="n">
        <f aca="false">IF(C4585&gt;1,IF(C4585&lt;99,VLOOKUP(C4585,'MSA-Lookup'!$H$1:$I$86,2),C4585),C4585)</f>
        <v>6920</v>
      </c>
      <c r="G4585" s="0" t="n">
        <f aca="false">VLOOKUP(E4585,'MSA-Lookup'!$AA$1:$AB$25,2)</f>
        <v>4472</v>
      </c>
      <c r="H4585" s="0" t="n">
        <f aca="false">IF(C4585&gt;1,IF(C4585&lt;99,VLOOKUP(F4585,'MSA-Lookup'!$AA$1:$AB$25,2),C4585),C4585)</f>
        <v>6920</v>
      </c>
    </row>
    <row r="4586" customFormat="false" ht="12.75" hidden="false" customHeight="false" outlineLevel="0" collapsed="false">
      <c r="A4586" s="0" t="n">
        <f aca="false">B4586*1000+C4586</f>
        <v>65011</v>
      </c>
      <c r="B4586" s="0" t="n">
        <v>65</v>
      </c>
      <c r="C4586" s="0" t="n">
        <v>11</v>
      </c>
      <c r="D4586" s="0" t="n">
        <v>234</v>
      </c>
      <c r="E4586" s="0" t="n">
        <f aca="false">VLOOKUP(B4586,'MSA-Lookup'!$H$2:$I$86,2)</f>
        <v>4480</v>
      </c>
      <c r="F4586" s="0" t="n">
        <f aca="false">IF(C4586&gt;1,IF(C4586&lt;99,VLOOKUP(C4586,'MSA-Lookup'!$H$1:$I$86,2),C4586),C4586)</f>
        <v>6920</v>
      </c>
      <c r="G4586" s="0" t="n">
        <f aca="false">VLOOKUP(E4586,'MSA-Lookup'!$AA$1:$AB$25,2)</f>
        <v>4472</v>
      </c>
      <c r="H4586" s="0" t="n">
        <f aca="false">IF(C4586&gt;1,IF(C4586&lt;99,VLOOKUP(F4586,'MSA-Lookup'!$AA$1:$AB$25,2),C4586),C4586)</f>
        <v>6920</v>
      </c>
    </row>
    <row r="4587" customFormat="false" ht="12.75" hidden="false" customHeight="false" outlineLevel="0" collapsed="false">
      <c r="A4587" s="0" t="n">
        <f aca="false">B4587*1000+C4587</f>
        <v>65012</v>
      </c>
      <c r="B4587" s="0" t="n">
        <v>65</v>
      </c>
      <c r="C4587" s="0" t="n">
        <v>12</v>
      </c>
      <c r="D4587" s="0" t="n">
        <v>0</v>
      </c>
      <c r="E4587" s="0" t="n">
        <f aca="false">VLOOKUP(B4587,'MSA-Lookup'!$H$2:$I$86,2)</f>
        <v>4480</v>
      </c>
      <c r="F4587" s="0" t="n">
        <f aca="false">IF(C4587&gt;1,IF(C4587&lt;99,VLOOKUP(C4587,'MSA-Lookup'!$H$1:$I$86,2),C4587),C4587)</f>
        <v>6920</v>
      </c>
      <c r="G4587" s="0" t="n">
        <f aca="false">VLOOKUP(E4587,'MSA-Lookup'!$AA$1:$AB$25,2)</f>
        <v>4472</v>
      </c>
      <c r="H4587" s="0" t="n">
        <f aca="false">IF(C4587&gt;1,IF(C4587&lt;99,VLOOKUP(F4587,'MSA-Lookup'!$AA$1:$AB$25,2),C4587),C4587)</f>
        <v>6920</v>
      </c>
    </row>
    <row r="4588" customFormat="false" ht="12.75" hidden="false" customHeight="false" outlineLevel="0" collapsed="false">
      <c r="A4588" s="0" t="n">
        <f aca="false">B4588*1000+C4588</f>
        <v>65013</v>
      </c>
      <c r="B4588" s="0" t="n">
        <v>65</v>
      </c>
      <c r="C4588" s="0" t="n">
        <v>13</v>
      </c>
      <c r="D4588" s="0" t="n">
        <v>0</v>
      </c>
      <c r="E4588" s="0" t="n">
        <f aca="false">VLOOKUP(B4588,'MSA-Lookup'!$H$2:$I$86,2)</f>
        <v>4480</v>
      </c>
      <c r="F4588" s="0" t="n">
        <f aca="false">IF(C4588&gt;1,IF(C4588&lt;99,VLOOKUP(C4588,'MSA-Lookup'!$H$1:$I$86,2),C4588),C4588)</f>
        <v>7500</v>
      </c>
      <c r="G4588" s="0" t="n">
        <f aca="false">VLOOKUP(E4588,'MSA-Lookup'!$AA$1:$AB$25,2)</f>
        <v>4472</v>
      </c>
      <c r="H4588" s="0" t="n">
        <f aca="false">IF(C4588&gt;1,IF(C4588&lt;99,VLOOKUP(F4588,'MSA-Lookup'!$AA$1:$AB$25,2),C4588),C4588)</f>
        <v>7362</v>
      </c>
    </row>
    <row r="4589" customFormat="false" ht="12.75" hidden="false" customHeight="false" outlineLevel="0" collapsed="false">
      <c r="A4589" s="0" t="n">
        <f aca="false">B4589*1000+C4589</f>
        <v>65014</v>
      </c>
      <c r="B4589" s="0" t="n">
        <v>65</v>
      </c>
      <c r="C4589" s="0" t="n">
        <v>14</v>
      </c>
      <c r="D4589" s="0" t="n">
        <v>0</v>
      </c>
      <c r="E4589" s="0" t="n">
        <f aca="false">VLOOKUP(B4589,'MSA-Lookup'!$H$2:$I$86,2)</f>
        <v>4480</v>
      </c>
      <c r="F4589" s="0" t="n">
        <f aca="false">IF(C4589&gt;1,IF(C4589&lt;99,VLOOKUP(C4589,'MSA-Lookup'!$H$1:$I$86,2),C4589),C4589)</f>
        <v>7500</v>
      </c>
      <c r="G4589" s="0" t="n">
        <f aca="false">VLOOKUP(E4589,'MSA-Lookup'!$AA$1:$AB$25,2)</f>
        <v>4472</v>
      </c>
      <c r="H4589" s="0" t="n">
        <f aca="false">IF(C4589&gt;1,IF(C4589&lt;99,VLOOKUP(F4589,'MSA-Lookup'!$AA$1:$AB$25,2),C4589),C4589)</f>
        <v>7362</v>
      </c>
    </row>
    <row r="4590" customFormat="false" ht="12.75" hidden="false" customHeight="false" outlineLevel="0" collapsed="false">
      <c r="A4590" s="0" t="n">
        <f aca="false">B4590*1000+C4590</f>
        <v>65015</v>
      </c>
      <c r="B4590" s="0" t="n">
        <v>65</v>
      </c>
      <c r="C4590" s="0" t="n">
        <v>15</v>
      </c>
      <c r="D4590" s="0" t="n">
        <v>0</v>
      </c>
      <c r="E4590" s="0" t="n">
        <f aca="false">VLOOKUP(B4590,'MSA-Lookup'!$H$2:$I$86,2)</f>
        <v>4480</v>
      </c>
      <c r="F4590" s="0" t="n">
        <f aca="false">IF(C4590&gt;1,IF(C4590&lt;99,VLOOKUP(C4590,'MSA-Lookup'!$H$1:$I$86,2),C4590),C4590)</f>
        <v>7360</v>
      </c>
      <c r="G4590" s="0" t="n">
        <f aca="false">VLOOKUP(E4590,'MSA-Lookup'!$AA$1:$AB$25,2)</f>
        <v>4472</v>
      </c>
      <c r="H4590" s="0" t="n">
        <f aca="false">IF(C4590&gt;1,IF(C4590&lt;99,VLOOKUP(F4590,'MSA-Lookup'!$AA$1:$AB$25,2),C4590),C4590)</f>
        <v>7362</v>
      </c>
    </row>
    <row r="4591" customFormat="false" ht="12.75" hidden="false" customHeight="false" outlineLevel="0" collapsed="false">
      <c r="A4591" s="0" t="n">
        <f aca="false">B4591*1000+C4591</f>
        <v>65016</v>
      </c>
      <c r="B4591" s="0" t="n">
        <v>65</v>
      </c>
      <c r="C4591" s="0" t="n">
        <v>16</v>
      </c>
      <c r="D4591" s="0" t="n">
        <v>247</v>
      </c>
      <c r="E4591" s="0" t="n">
        <f aca="false">VLOOKUP(B4591,'MSA-Lookup'!$H$2:$I$86,2)</f>
        <v>4480</v>
      </c>
      <c r="F4591" s="0" t="n">
        <f aca="false">IF(C4591&gt;1,IF(C4591&lt;99,VLOOKUP(C4591,'MSA-Lookup'!$H$1:$I$86,2),C4591),C4591)</f>
        <v>8720</v>
      </c>
      <c r="G4591" s="0" t="n">
        <f aca="false">VLOOKUP(E4591,'MSA-Lookup'!$AA$1:$AB$25,2)</f>
        <v>4472</v>
      </c>
      <c r="H4591" s="0" t="n">
        <f aca="false">IF(C4591&gt;1,IF(C4591&lt;99,VLOOKUP(F4591,'MSA-Lookup'!$AA$1:$AB$25,2),C4591),C4591)</f>
        <v>7362</v>
      </c>
    </row>
    <row r="4592" customFormat="false" ht="12.75" hidden="false" customHeight="false" outlineLevel="0" collapsed="false">
      <c r="A4592" s="0" t="n">
        <f aca="false">B4592*1000+C4592</f>
        <v>65017</v>
      </c>
      <c r="B4592" s="0" t="n">
        <v>65</v>
      </c>
      <c r="C4592" s="0" t="n">
        <v>17</v>
      </c>
      <c r="D4592" s="0" t="n">
        <v>91</v>
      </c>
      <c r="E4592" s="0" t="n">
        <f aca="false">VLOOKUP(B4592,'MSA-Lookup'!$H$2:$I$86,2)</f>
        <v>4480</v>
      </c>
      <c r="F4592" s="0" t="n">
        <f aca="false">IF(C4592&gt;1,IF(C4592&lt;99,VLOOKUP(C4592,'MSA-Lookup'!$H$1:$I$86,2),C4592),C4592)</f>
        <v>5775</v>
      </c>
      <c r="G4592" s="0" t="n">
        <f aca="false">VLOOKUP(E4592,'MSA-Lookup'!$AA$1:$AB$25,2)</f>
        <v>4472</v>
      </c>
      <c r="H4592" s="0" t="n">
        <f aca="false">IF(C4592&gt;1,IF(C4592&lt;99,VLOOKUP(F4592,'MSA-Lookup'!$AA$1:$AB$25,2),C4592),C4592)</f>
        <v>7362</v>
      </c>
    </row>
    <row r="4593" customFormat="false" ht="12.75" hidden="false" customHeight="false" outlineLevel="0" collapsed="false">
      <c r="A4593" s="0" t="n">
        <f aca="false">B4593*1000+C4593</f>
        <v>65018</v>
      </c>
      <c r="B4593" s="0" t="n">
        <v>65</v>
      </c>
      <c r="C4593" s="0" t="n">
        <v>18</v>
      </c>
      <c r="D4593" s="0" t="n">
        <v>559</v>
      </c>
      <c r="E4593" s="0" t="n">
        <f aca="false">VLOOKUP(B4593,'MSA-Lookup'!$H$2:$I$86,2)</f>
        <v>4480</v>
      </c>
      <c r="F4593" s="0" t="n">
        <f aca="false">IF(C4593&gt;1,IF(C4593&lt;99,VLOOKUP(C4593,'MSA-Lookup'!$H$1:$I$86,2),C4593),C4593)</f>
        <v>5775</v>
      </c>
      <c r="G4593" s="0" t="n">
        <f aca="false">VLOOKUP(E4593,'MSA-Lookup'!$AA$1:$AB$25,2)</f>
        <v>4472</v>
      </c>
      <c r="H4593" s="0" t="n">
        <f aca="false">IF(C4593&gt;1,IF(C4593&lt;99,VLOOKUP(F4593,'MSA-Lookup'!$AA$1:$AB$25,2),C4593),C4593)</f>
        <v>7362</v>
      </c>
    </row>
    <row r="4594" customFormat="false" ht="12.75" hidden="false" customHeight="false" outlineLevel="0" collapsed="false">
      <c r="A4594" s="0" t="n">
        <f aca="false">B4594*1000+C4594</f>
        <v>65019</v>
      </c>
      <c r="B4594" s="0" t="n">
        <v>65</v>
      </c>
      <c r="C4594" s="0" t="n">
        <v>19</v>
      </c>
      <c r="D4594" s="0" t="n">
        <v>806</v>
      </c>
      <c r="E4594" s="0" t="n">
        <f aca="false">VLOOKUP(B4594,'MSA-Lookup'!$H$2:$I$86,2)</f>
        <v>4480</v>
      </c>
      <c r="F4594" s="0" t="n">
        <f aca="false">IF(C4594&gt;1,IF(C4594&lt;99,VLOOKUP(C4594,'MSA-Lookup'!$H$1:$I$86,2),C4594),C4594)</f>
        <v>7360</v>
      </c>
      <c r="G4594" s="0" t="n">
        <f aca="false">VLOOKUP(E4594,'MSA-Lookup'!$AA$1:$AB$25,2)</f>
        <v>4472</v>
      </c>
      <c r="H4594" s="0" t="n">
        <f aca="false">IF(C4594&gt;1,IF(C4594&lt;99,VLOOKUP(F4594,'MSA-Lookup'!$AA$1:$AB$25,2),C4594),C4594)</f>
        <v>7362</v>
      </c>
    </row>
    <row r="4595" customFormat="false" ht="12.75" hidden="false" customHeight="false" outlineLevel="0" collapsed="false">
      <c r="A4595" s="0" t="n">
        <f aca="false">B4595*1000+C4595</f>
        <v>65020</v>
      </c>
      <c r="B4595" s="0" t="n">
        <v>65</v>
      </c>
      <c r="C4595" s="0" t="n">
        <v>20</v>
      </c>
      <c r="D4595" s="0" t="n">
        <v>0</v>
      </c>
      <c r="E4595" s="0" t="n">
        <f aca="false">VLOOKUP(B4595,'MSA-Lookup'!$H$2:$I$86,2)</f>
        <v>4480</v>
      </c>
      <c r="F4595" s="0" t="n">
        <f aca="false">IF(C4595&gt;1,IF(C4595&lt;99,VLOOKUP(C4595,'MSA-Lookup'!$H$1:$I$86,2),C4595),C4595)</f>
        <v>5775</v>
      </c>
      <c r="G4595" s="0" t="n">
        <f aca="false">VLOOKUP(E4595,'MSA-Lookup'!$AA$1:$AB$25,2)</f>
        <v>4472</v>
      </c>
      <c r="H4595" s="0" t="n">
        <f aca="false">IF(C4595&gt;1,IF(C4595&lt;99,VLOOKUP(F4595,'MSA-Lookup'!$AA$1:$AB$25,2),C4595),C4595)</f>
        <v>7362</v>
      </c>
    </row>
    <row r="4596" customFormat="false" ht="12.75" hidden="false" customHeight="false" outlineLevel="0" collapsed="false">
      <c r="A4596" s="0" t="n">
        <f aca="false">B4596*1000+C4596</f>
        <v>65021</v>
      </c>
      <c r="B4596" s="0" t="n">
        <v>65</v>
      </c>
      <c r="C4596" s="0" t="n">
        <v>21</v>
      </c>
      <c r="D4596" s="0" t="n">
        <v>455</v>
      </c>
      <c r="E4596" s="0" t="n">
        <f aca="false">VLOOKUP(B4596,'MSA-Lookup'!$H$2:$I$86,2)</f>
        <v>4480</v>
      </c>
      <c r="F4596" s="0" t="n">
        <f aca="false">IF(C4596&gt;1,IF(C4596&lt;99,VLOOKUP(C4596,'MSA-Lookup'!$H$1:$I$86,2),C4596),C4596)</f>
        <v>5775</v>
      </c>
      <c r="G4596" s="0" t="n">
        <f aca="false">VLOOKUP(E4596,'MSA-Lookup'!$AA$1:$AB$25,2)</f>
        <v>4472</v>
      </c>
      <c r="H4596" s="0" t="n">
        <f aca="false">IF(C4596&gt;1,IF(C4596&lt;99,VLOOKUP(F4596,'MSA-Lookup'!$AA$1:$AB$25,2),C4596),C4596)</f>
        <v>7362</v>
      </c>
    </row>
    <row r="4597" customFormat="false" ht="12.75" hidden="false" customHeight="false" outlineLevel="0" collapsed="false">
      <c r="A4597" s="0" t="n">
        <f aca="false">B4597*1000+C4597</f>
        <v>65022</v>
      </c>
      <c r="B4597" s="0" t="n">
        <v>65</v>
      </c>
      <c r="C4597" s="0" t="n">
        <v>22</v>
      </c>
      <c r="D4597" s="0" t="n">
        <v>1508</v>
      </c>
      <c r="E4597" s="0" t="n">
        <f aca="false">VLOOKUP(B4597,'MSA-Lookup'!$H$2:$I$86,2)</f>
        <v>4480</v>
      </c>
      <c r="F4597" s="0" t="n">
        <f aca="false">IF(C4597&gt;1,IF(C4597&lt;99,VLOOKUP(C4597,'MSA-Lookup'!$H$1:$I$86,2),C4597),C4597)</f>
        <v>7360</v>
      </c>
      <c r="G4597" s="0" t="n">
        <f aca="false">VLOOKUP(E4597,'MSA-Lookup'!$AA$1:$AB$25,2)</f>
        <v>4472</v>
      </c>
      <c r="H4597" s="0" t="n">
        <f aca="false">IF(C4597&gt;1,IF(C4597&lt;99,VLOOKUP(F4597,'MSA-Lookup'!$AA$1:$AB$25,2),C4597),C4597)</f>
        <v>7362</v>
      </c>
    </row>
    <row r="4598" customFormat="false" ht="12.75" hidden="false" customHeight="false" outlineLevel="0" collapsed="false">
      <c r="A4598" s="0" t="n">
        <f aca="false">B4598*1000+C4598</f>
        <v>65023</v>
      </c>
      <c r="B4598" s="0" t="n">
        <v>65</v>
      </c>
      <c r="C4598" s="0" t="n">
        <v>23</v>
      </c>
      <c r="D4598" s="0" t="n">
        <v>0</v>
      </c>
      <c r="E4598" s="0" t="n">
        <f aca="false">VLOOKUP(B4598,'MSA-Lookup'!$H$2:$I$86,2)</f>
        <v>4480</v>
      </c>
      <c r="F4598" s="0" t="n">
        <f aca="false">IF(C4598&gt;1,IF(C4598&lt;99,VLOOKUP(C4598,'MSA-Lookup'!$H$1:$I$86,2),C4598),C4598)</f>
        <v>8120</v>
      </c>
      <c r="G4598" s="0" t="n">
        <f aca="false">VLOOKUP(E4598,'MSA-Lookup'!$AA$1:$AB$25,2)</f>
        <v>4472</v>
      </c>
      <c r="H4598" s="0" t="n">
        <f aca="false">IF(C4598&gt;1,IF(C4598&lt;99,VLOOKUP(F4598,'MSA-Lookup'!$AA$1:$AB$25,2),C4598),C4598)</f>
        <v>8120</v>
      </c>
    </row>
    <row r="4599" customFormat="false" ht="12.75" hidden="false" customHeight="false" outlineLevel="0" collapsed="false">
      <c r="A4599" s="0" t="n">
        <f aca="false">B4599*1000+C4599</f>
        <v>65024</v>
      </c>
      <c r="B4599" s="0" t="n">
        <v>65</v>
      </c>
      <c r="C4599" s="0" t="n">
        <v>24</v>
      </c>
      <c r="D4599" s="0" t="n">
        <v>0</v>
      </c>
      <c r="E4599" s="0" t="n">
        <f aca="false">VLOOKUP(B4599,'MSA-Lookup'!$H$2:$I$86,2)</f>
        <v>4480</v>
      </c>
      <c r="F4599" s="0" t="n">
        <f aca="false">IF(C4599&gt;1,IF(C4599&lt;99,VLOOKUP(C4599,'MSA-Lookup'!$H$1:$I$86,2),C4599),C4599)</f>
        <v>5170</v>
      </c>
      <c r="G4599" s="0" t="n">
        <f aca="false">VLOOKUP(E4599,'MSA-Lookup'!$AA$1:$AB$25,2)</f>
        <v>4472</v>
      </c>
      <c r="H4599" s="0" t="n">
        <f aca="false">IF(C4599&gt;1,IF(C4599&lt;99,VLOOKUP(F4599,'MSA-Lookup'!$AA$1:$AB$25,2),C4599),C4599)</f>
        <v>5170</v>
      </c>
    </row>
    <row r="4600" customFormat="false" ht="12.75" hidden="false" customHeight="false" outlineLevel="0" collapsed="false">
      <c r="A4600" s="0" t="n">
        <f aca="false">B4600*1000+C4600</f>
        <v>65025</v>
      </c>
      <c r="B4600" s="0" t="n">
        <v>65</v>
      </c>
      <c r="C4600" s="0" t="n">
        <v>25</v>
      </c>
      <c r="D4600" s="0" t="n">
        <v>0</v>
      </c>
      <c r="E4600" s="0" t="n">
        <f aca="false">VLOOKUP(B4600,'MSA-Lookup'!$H$2:$I$86,2)</f>
        <v>4480</v>
      </c>
      <c r="F4600" s="0" t="n">
        <f aca="false">IF(C4600&gt;1,IF(C4600&lt;99,VLOOKUP(C4600,'MSA-Lookup'!$H$1:$I$86,2),C4600),C4600)</f>
        <v>5170</v>
      </c>
      <c r="G4600" s="0" t="n">
        <f aca="false">VLOOKUP(E4600,'MSA-Lookup'!$AA$1:$AB$25,2)</f>
        <v>4472</v>
      </c>
      <c r="H4600" s="0" t="n">
        <f aca="false">IF(C4600&gt;1,IF(C4600&lt;99,VLOOKUP(F4600,'MSA-Lookup'!$AA$1:$AB$25,2),C4600),C4600)</f>
        <v>5170</v>
      </c>
    </row>
    <row r="4601" customFormat="false" ht="12.75" hidden="false" customHeight="false" outlineLevel="0" collapsed="false">
      <c r="A4601" s="0" t="n">
        <f aca="false">B4601*1000+C4601</f>
        <v>65026</v>
      </c>
      <c r="B4601" s="0" t="n">
        <v>65</v>
      </c>
      <c r="C4601" s="0" t="n">
        <v>26</v>
      </c>
      <c r="D4601" s="0" t="n">
        <v>507</v>
      </c>
      <c r="E4601" s="0" t="n">
        <f aca="false">VLOOKUP(B4601,'MSA-Lookup'!$H$2:$I$86,2)</f>
        <v>4480</v>
      </c>
      <c r="F4601" s="0" t="n">
        <f aca="false">IF(C4601&gt;1,IF(C4601&lt;99,VLOOKUP(C4601,'MSA-Lookup'!$H$1:$I$86,2),C4601),C4601)</f>
        <v>9999</v>
      </c>
      <c r="G4601" s="0" t="n">
        <f aca="false">VLOOKUP(E4601,'MSA-Lookup'!$AA$1:$AB$25,2)</f>
        <v>4472</v>
      </c>
      <c r="H4601" s="0" t="n">
        <f aca="false">IF(C4601&gt;1,IF(C4601&lt;99,VLOOKUP(F4601,'MSA-Lookup'!$AA$1:$AB$25,2),C4601),C4601)</f>
        <v>9999</v>
      </c>
    </row>
    <row r="4602" customFormat="false" ht="12.75" hidden="false" customHeight="false" outlineLevel="0" collapsed="false">
      <c r="A4602" s="0" t="n">
        <f aca="false">B4602*1000+C4602</f>
        <v>65027</v>
      </c>
      <c r="B4602" s="0" t="n">
        <v>65</v>
      </c>
      <c r="C4602" s="0" t="n">
        <v>27</v>
      </c>
      <c r="D4602" s="0" t="n">
        <v>0</v>
      </c>
      <c r="E4602" s="0" t="n">
        <f aca="false">VLOOKUP(B4602,'MSA-Lookup'!$H$2:$I$86,2)</f>
        <v>4480</v>
      </c>
      <c r="F4602" s="0" t="n">
        <f aca="false">IF(C4602&gt;1,IF(C4602&lt;99,VLOOKUP(C4602,'MSA-Lookup'!$H$1:$I$86,2),C4602),C4602)</f>
        <v>9999</v>
      </c>
      <c r="G4602" s="0" t="n">
        <f aca="false">VLOOKUP(E4602,'MSA-Lookup'!$AA$1:$AB$25,2)</f>
        <v>4472</v>
      </c>
      <c r="H4602" s="0" t="n">
        <f aca="false">IF(C4602&gt;1,IF(C4602&lt;99,VLOOKUP(F4602,'MSA-Lookup'!$AA$1:$AB$25,2),C4602),C4602)</f>
        <v>9999</v>
      </c>
    </row>
    <row r="4603" customFormat="false" ht="12.75" hidden="false" customHeight="false" outlineLevel="0" collapsed="false">
      <c r="A4603" s="0" t="n">
        <f aca="false">B4603*1000+C4603</f>
        <v>65028</v>
      </c>
      <c r="B4603" s="0" t="n">
        <v>65</v>
      </c>
      <c r="C4603" s="0" t="n">
        <v>28</v>
      </c>
      <c r="D4603" s="0" t="n">
        <v>0</v>
      </c>
      <c r="E4603" s="0" t="n">
        <f aca="false">VLOOKUP(B4603,'MSA-Lookup'!$H$2:$I$86,2)</f>
        <v>4480</v>
      </c>
      <c r="F4603" s="0" t="n">
        <f aca="false">IF(C4603&gt;1,IF(C4603&lt;99,VLOOKUP(C4603,'MSA-Lookup'!$H$1:$I$86,2),C4603),C4603)</f>
        <v>6920</v>
      </c>
      <c r="G4603" s="0" t="n">
        <f aca="false">VLOOKUP(E4603,'MSA-Lookup'!$AA$1:$AB$25,2)</f>
        <v>4472</v>
      </c>
      <c r="H4603" s="0" t="n">
        <f aca="false">IF(C4603&gt;1,IF(C4603&lt;99,VLOOKUP(F4603,'MSA-Lookup'!$AA$1:$AB$25,2),C4603),C4603)</f>
        <v>6920</v>
      </c>
    </row>
    <row r="4604" customFormat="false" ht="12.75" hidden="false" customHeight="false" outlineLevel="0" collapsed="false">
      <c r="A4604" s="0" t="n">
        <f aca="false">B4604*1000+C4604</f>
        <v>65029</v>
      </c>
      <c r="B4604" s="0" t="n">
        <v>65</v>
      </c>
      <c r="C4604" s="0" t="n">
        <v>29</v>
      </c>
      <c r="D4604" s="0" t="n">
        <v>0</v>
      </c>
      <c r="E4604" s="0" t="n">
        <f aca="false">VLOOKUP(B4604,'MSA-Lookup'!$H$2:$I$86,2)</f>
        <v>4480</v>
      </c>
      <c r="F4604" s="0" t="n">
        <f aca="false">IF(C4604&gt;1,IF(C4604&lt;99,VLOOKUP(C4604,'MSA-Lookup'!$H$1:$I$86,2),C4604),C4604)</f>
        <v>6920</v>
      </c>
      <c r="G4604" s="0" t="n">
        <f aca="false">VLOOKUP(E4604,'MSA-Lookup'!$AA$1:$AB$25,2)</f>
        <v>4472</v>
      </c>
      <c r="H4604" s="0" t="n">
        <f aca="false">IF(C4604&gt;1,IF(C4604&lt;99,VLOOKUP(F4604,'MSA-Lookup'!$AA$1:$AB$25,2),C4604),C4604)</f>
        <v>6920</v>
      </c>
    </row>
    <row r="4605" customFormat="false" ht="12.75" hidden="false" customHeight="false" outlineLevel="0" collapsed="false">
      <c r="A4605" s="0" t="n">
        <f aca="false">B4605*1000+C4605</f>
        <v>65030</v>
      </c>
      <c r="B4605" s="0" t="n">
        <v>65</v>
      </c>
      <c r="C4605" s="0" t="n">
        <v>30</v>
      </c>
      <c r="D4605" s="0" t="n">
        <v>0</v>
      </c>
      <c r="E4605" s="0" t="n">
        <f aca="false">VLOOKUP(B4605,'MSA-Lookup'!$H$2:$I$86,2)</f>
        <v>4480</v>
      </c>
      <c r="F4605" s="0" t="n">
        <f aca="false">IF(C4605&gt;1,IF(C4605&lt;99,VLOOKUP(C4605,'MSA-Lookup'!$H$1:$I$86,2),C4605),C4605)</f>
        <v>4940</v>
      </c>
      <c r="G4605" s="0" t="n">
        <f aca="false">VLOOKUP(E4605,'MSA-Lookup'!$AA$1:$AB$25,2)</f>
        <v>4472</v>
      </c>
      <c r="H4605" s="0" t="n">
        <f aca="false">IF(C4605&gt;1,IF(C4605&lt;99,VLOOKUP(F4605,'MSA-Lookup'!$AA$1:$AB$25,2),C4605),C4605)</f>
        <v>4940</v>
      </c>
    </row>
    <row r="4606" customFormat="false" ht="12.75" hidden="false" customHeight="false" outlineLevel="0" collapsed="false">
      <c r="A4606" s="0" t="n">
        <f aca="false">B4606*1000+C4606</f>
        <v>65031</v>
      </c>
      <c r="B4606" s="0" t="n">
        <v>65</v>
      </c>
      <c r="C4606" s="0" t="n">
        <v>31</v>
      </c>
      <c r="D4606" s="0" t="n">
        <v>78</v>
      </c>
      <c r="E4606" s="0" t="n">
        <f aca="false">VLOOKUP(B4606,'MSA-Lookup'!$H$2:$I$86,2)</f>
        <v>4480</v>
      </c>
      <c r="F4606" s="0" t="n">
        <f aca="false">IF(C4606&gt;1,IF(C4606&lt;99,VLOOKUP(C4606,'MSA-Lookup'!$H$1:$I$86,2),C4606),C4606)</f>
        <v>9999</v>
      </c>
      <c r="G4606" s="0" t="n">
        <f aca="false">VLOOKUP(E4606,'MSA-Lookup'!$AA$1:$AB$25,2)</f>
        <v>4472</v>
      </c>
      <c r="H4606" s="0" t="n">
        <f aca="false">IF(C4606&gt;1,IF(C4606&lt;99,VLOOKUP(F4606,'MSA-Lookup'!$AA$1:$AB$25,2),C4606),C4606)</f>
        <v>9999</v>
      </c>
    </row>
    <row r="4607" customFormat="false" ht="12.75" hidden="false" customHeight="false" outlineLevel="0" collapsed="false">
      <c r="A4607" s="0" t="n">
        <f aca="false">B4607*1000+C4607</f>
        <v>65032</v>
      </c>
      <c r="B4607" s="0" t="n">
        <v>65</v>
      </c>
      <c r="C4607" s="0" t="n">
        <v>32</v>
      </c>
      <c r="D4607" s="0" t="n">
        <v>754</v>
      </c>
      <c r="E4607" s="0" t="n">
        <f aca="false">VLOOKUP(B4607,'MSA-Lookup'!$H$2:$I$86,2)</f>
        <v>4480</v>
      </c>
      <c r="F4607" s="0" t="n">
        <f aca="false">IF(C4607&gt;1,IF(C4607&lt;99,VLOOKUP(C4607,'MSA-Lookup'!$H$1:$I$86,2),C4607),C4607)</f>
        <v>7480</v>
      </c>
      <c r="G4607" s="0" t="n">
        <f aca="false">VLOOKUP(E4607,'MSA-Lookup'!$AA$1:$AB$25,2)</f>
        <v>4472</v>
      </c>
      <c r="H4607" s="0" t="n">
        <f aca="false">IF(C4607&gt;1,IF(C4607&lt;99,VLOOKUP(F4607,'MSA-Lookup'!$AA$1:$AB$25,2),C4607),C4607)</f>
        <v>7480</v>
      </c>
    </row>
    <row r="4608" customFormat="false" ht="12.75" hidden="false" customHeight="false" outlineLevel="0" collapsed="false">
      <c r="A4608" s="0" t="n">
        <f aca="false">B4608*1000+C4608</f>
        <v>65033</v>
      </c>
      <c r="B4608" s="0" t="n">
        <v>65</v>
      </c>
      <c r="C4608" s="0" t="n">
        <v>33</v>
      </c>
      <c r="D4608" s="0" t="n">
        <v>676</v>
      </c>
      <c r="E4608" s="0" t="n">
        <f aca="false">VLOOKUP(B4608,'MSA-Lookup'!$H$2:$I$86,2)</f>
        <v>4480</v>
      </c>
      <c r="F4608" s="0" t="n">
        <f aca="false">IF(C4608&gt;1,IF(C4608&lt;99,VLOOKUP(C4608,'MSA-Lookup'!$H$1:$I$86,2),C4608),C4608)</f>
        <v>7320</v>
      </c>
      <c r="G4608" s="0" t="n">
        <f aca="false">VLOOKUP(E4608,'MSA-Lookup'!$AA$1:$AB$25,2)</f>
        <v>4472</v>
      </c>
      <c r="H4608" s="0" t="n">
        <f aca="false">IF(C4608&gt;1,IF(C4608&lt;99,VLOOKUP(F4608,'MSA-Lookup'!$AA$1:$AB$25,2),C4608),C4608)</f>
        <v>7320</v>
      </c>
    </row>
    <row r="4609" customFormat="false" ht="12.75" hidden="false" customHeight="false" outlineLevel="0" collapsed="false">
      <c r="A4609" s="0" t="n">
        <f aca="false">B4609*1000+C4609</f>
        <v>65034</v>
      </c>
      <c r="B4609" s="0" t="n">
        <v>65</v>
      </c>
      <c r="C4609" s="0" t="n">
        <v>34</v>
      </c>
      <c r="D4609" s="0" t="n">
        <v>0</v>
      </c>
      <c r="E4609" s="0" t="n">
        <f aca="false">VLOOKUP(B4609,'MSA-Lookup'!$H$2:$I$86,2)</f>
        <v>4480</v>
      </c>
      <c r="F4609" s="0" t="n">
        <f aca="false">IF(C4609&gt;1,IF(C4609&lt;99,VLOOKUP(C4609,'MSA-Lookup'!$H$1:$I$86,2),C4609),C4609)</f>
        <v>7320</v>
      </c>
      <c r="G4609" s="0" t="n">
        <f aca="false">VLOOKUP(E4609,'MSA-Lookup'!$AA$1:$AB$25,2)</f>
        <v>4472</v>
      </c>
      <c r="H4609" s="0" t="n">
        <f aca="false">IF(C4609&gt;1,IF(C4609&lt;99,VLOOKUP(F4609,'MSA-Lookup'!$AA$1:$AB$25,2),C4609),C4609)</f>
        <v>7320</v>
      </c>
    </row>
    <row r="4610" customFormat="false" ht="12.75" hidden="false" customHeight="false" outlineLevel="0" collapsed="false">
      <c r="A4610" s="0" t="n">
        <f aca="false">B4610*1000+C4610</f>
        <v>65035</v>
      </c>
      <c r="B4610" s="0" t="n">
        <v>65</v>
      </c>
      <c r="C4610" s="0" t="n">
        <v>35</v>
      </c>
      <c r="D4610" s="0" t="n">
        <v>130</v>
      </c>
      <c r="E4610" s="0" t="n">
        <f aca="false">VLOOKUP(B4610,'MSA-Lookup'!$H$2:$I$86,2)</f>
        <v>4480</v>
      </c>
      <c r="F4610" s="0" t="n">
        <f aca="false">IF(C4610&gt;1,IF(C4610&lt;99,VLOOKUP(C4610,'MSA-Lookup'!$H$1:$I$86,2),C4610),C4610)</f>
        <v>7320</v>
      </c>
      <c r="G4610" s="0" t="n">
        <f aca="false">VLOOKUP(E4610,'MSA-Lookup'!$AA$1:$AB$25,2)</f>
        <v>4472</v>
      </c>
      <c r="H4610" s="0" t="n">
        <f aca="false">IF(C4610&gt;1,IF(C4610&lt;99,VLOOKUP(F4610,'MSA-Lookup'!$AA$1:$AB$25,2),C4610),C4610)</f>
        <v>7320</v>
      </c>
    </row>
    <row r="4611" customFormat="false" ht="12.75" hidden="false" customHeight="false" outlineLevel="0" collapsed="false">
      <c r="A4611" s="0" t="n">
        <f aca="false">B4611*1000+C4611</f>
        <v>65036</v>
      </c>
      <c r="B4611" s="0" t="n">
        <v>65</v>
      </c>
      <c r="C4611" s="0" t="n">
        <v>36</v>
      </c>
      <c r="D4611" s="0" t="n">
        <v>104</v>
      </c>
      <c r="E4611" s="0" t="n">
        <f aca="false">VLOOKUP(B4611,'MSA-Lookup'!$H$2:$I$86,2)</f>
        <v>4480</v>
      </c>
      <c r="F4611" s="0" t="n">
        <f aca="false">IF(C4611&gt;1,IF(C4611&lt;99,VLOOKUP(C4611,'MSA-Lookup'!$H$1:$I$86,2),C4611),C4611)</f>
        <v>7320</v>
      </c>
      <c r="G4611" s="0" t="n">
        <f aca="false">VLOOKUP(E4611,'MSA-Lookup'!$AA$1:$AB$25,2)</f>
        <v>4472</v>
      </c>
      <c r="H4611" s="0" t="n">
        <f aca="false">IF(C4611&gt;1,IF(C4611&lt;99,VLOOKUP(F4611,'MSA-Lookup'!$AA$1:$AB$25,2),C4611),C4611)</f>
        <v>7320</v>
      </c>
    </row>
    <row r="4612" customFormat="false" ht="12.75" hidden="false" customHeight="false" outlineLevel="0" collapsed="false">
      <c r="A4612" s="0" t="n">
        <f aca="false">B4612*1000+C4612</f>
        <v>65037</v>
      </c>
      <c r="B4612" s="0" t="n">
        <v>65</v>
      </c>
      <c r="C4612" s="0" t="n">
        <v>37</v>
      </c>
      <c r="D4612" s="0" t="n">
        <v>507</v>
      </c>
      <c r="E4612" s="0" t="n">
        <f aca="false">VLOOKUP(B4612,'MSA-Lookup'!$H$2:$I$86,2)</f>
        <v>4480</v>
      </c>
      <c r="F4612" s="0" t="n">
        <f aca="false">IF(C4612&gt;1,IF(C4612&lt;99,VLOOKUP(C4612,'MSA-Lookup'!$H$1:$I$86,2),C4612),C4612)</f>
        <v>7320</v>
      </c>
      <c r="G4612" s="0" t="n">
        <f aca="false">VLOOKUP(E4612,'MSA-Lookup'!$AA$1:$AB$25,2)</f>
        <v>4472</v>
      </c>
      <c r="H4612" s="0" t="n">
        <f aca="false">IF(C4612&gt;1,IF(C4612&lt;99,VLOOKUP(F4612,'MSA-Lookup'!$AA$1:$AB$25,2),C4612),C4612)</f>
        <v>7320</v>
      </c>
    </row>
    <row r="4613" customFormat="false" ht="12.75" hidden="false" customHeight="false" outlineLevel="0" collapsed="false">
      <c r="A4613" s="0" t="n">
        <f aca="false">B4613*1000+C4613</f>
        <v>65038</v>
      </c>
      <c r="B4613" s="0" t="n">
        <v>65</v>
      </c>
      <c r="C4613" s="0" t="n">
        <v>38</v>
      </c>
      <c r="D4613" s="0" t="n">
        <v>0</v>
      </c>
      <c r="E4613" s="0" t="n">
        <f aca="false">VLOOKUP(B4613,'MSA-Lookup'!$H$2:$I$86,2)</f>
        <v>4480</v>
      </c>
      <c r="F4613" s="0" t="n">
        <f aca="false">IF(C4613&gt;1,IF(C4613&lt;99,VLOOKUP(C4613,'MSA-Lookup'!$H$1:$I$86,2),C4613),C4613)</f>
        <v>7120</v>
      </c>
      <c r="G4613" s="0" t="n">
        <f aca="false">VLOOKUP(E4613,'MSA-Lookup'!$AA$1:$AB$25,2)</f>
        <v>4472</v>
      </c>
      <c r="H4613" s="0" t="n">
        <f aca="false">IF(C4613&gt;1,IF(C4613&lt;99,VLOOKUP(F4613,'MSA-Lookup'!$AA$1:$AB$25,2),C4613),C4613)</f>
        <v>7120</v>
      </c>
    </row>
    <row r="4614" customFormat="false" ht="12.75" hidden="false" customHeight="false" outlineLevel="0" collapsed="false">
      <c r="A4614" s="0" t="n">
        <f aca="false">B4614*1000+C4614</f>
        <v>65039</v>
      </c>
      <c r="B4614" s="0" t="n">
        <v>65</v>
      </c>
      <c r="C4614" s="0" t="n">
        <v>39</v>
      </c>
      <c r="D4614" s="0" t="n">
        <v>390</v>
      </c>
      <c r="E4614" s="0" t="n">
        <f aca="false">VLOOKUP(B4614,'MSA-Lookup'!$H$2:$I$86,2)</f>
        <v>4480</v>
      </c>
      <c r="F4614" s="0" t="n">
        <f aca="false">IF(C4614&gt;1,IF(C4614&lt;99,VLOOKUP(C4614,'MSA-Lookup'!$H$1:$I$86,2),C4614),C4614)</f>
        <v>7120</v>
      </c>
      <c r="G4614" s="0" t="n">
        <f aca="false">VLOOKUP(E4614,'MSA-Lookup'!$AA$1:$AB$25,2)</f>
        <v>4472</v>
      </c>
      <c r="H4614" s="0" t="n">
        <f aca="false">IF(C4614&gt;1,IF(C4614&lt;99,VLOOKUP(F4614,'MSA-Lookup'!$AA$1:$AB$25,2),C4614),C4614)</f>
        <v>7120</v>
      </c>
    </row>
    <row r="4615" customFormat="false" ht="12.75" hidden="false" customHeight="false" outlineLevel="0" collapsed="false">
      <c r="A4615" s="0" t="n">
        <f aca="false">B4615*1000+C4615</f>
        <v>65040</v>
      </c>
      <c r="B4615" s="0" t="n">
        <v>65</v>
      </c>
      <c r="C4615" s="0" t="n">
        <v>40</v>
      </c>
      <c r="D4615" s="0" t="n">
        <v>143</v>
      </c>
      <c r="E4615" s="0" t="n">
        <f aca="false">VLOOKUP(B4615,'MSA-Lookup'!$H$2:$I$86,2)</f>
        <v>4480</v>
      </c>
      <c r="F4615" s="0" t="n">
        <f aca="false">IF(C4615&gt;1,IF(C4615&lt;99,VLOOKUP(C4615,'MSA-Lookup'!$H$1:$I$86,2),C4615),C4615)</f>
        <v>2840</v>
      </c>
      <c r="G4615" s="0" t="n">
        <f aca="false">VLOOKUP(E4615,'MSA-Lookup'!$AA$1:$AB$25,2)</f>
        <v>4472</v>
      </c>
      <c r="H4615" s="0" t="n">
        <f aca="false">IF(C4615&gt;1,IF(C4615&lt;99,VLOOKUP(F4615,'MSA-Lookup'!$AA$1:$AB$25,2),C4615),C4615)</f>
        <v>2840</v>
      </c>
    </row>
    <row r="4616" customFormat="false" ht="12.75" hidden="false" customHeight="false" outlineLevel="0" collapsed="false">
      <c r="A4616" s="0" t="n">
        <f aca="false">B4616*1000+C4616</f>
        <v>65041</v>
      </c>
      <c r="B4616" s="0" t="n">
        <v>65</v>
      </c>
      <c r="C4616" s="0" t="n">
        <v>41</v>
      </c>
      <c r="D4616" s="0" t="n">
        <v>0</v>
      </c>
      <c r="E4616" s="0" t="n">
        <f aca="false">VLOOKUP(B4616,'MSA-Lookup'!$H$2:$I$86,2)</f>
        <v>4480</v>
      </c>
      <c r="F4616" s="0" t="n">
        <f aca="false">IF(C4616&gt;1,IF(C4616&lt;99,VLOOKUP(C4616,'MSA-Lookup'!$H$1:$I$86,2),C4616),C4616)</f>
        <v>2840</v>
      </c>
      <c r="G4616" s="0" t="n">
        <f aca="false">VLOOKUP(E4616,'MSA-Lookup'!$AA$1:$AB$25,2)</f>
        <v>4472</v>
      </c>
      <c r="H4616" s="0" t="n">
        <f aca="false">IF(C4616&gt;1,IF(C4616&lt;99,VLOOKUP(F4616,'MSA-Lookup'!$AA$1:$AB$25,2),C4616),C4616)</f>
        <v>2840</v>
      </c>
    </row>
    <row r="4617" customFormat="false" ht="12.75" hidden="false" customHeight="false" outlineLevel="0" collapsed="false">
      <c r="A4617" s="0" t="n">
        <f aca="false">B4617*1000+C4617</f>
        <v>65042</v>
      </c>
      <c r="B4617" s="0" t="n">
        <v>65</v>
      </c>
      <c r="C4617" s="0" t="n">
        <v>42</v>
      </c>
      <c r="D4617" s="0" t="n">
        <v>598</v>
      </c>
      <c r="E4617" s="0" t="n">
        <f aca="false">VLOOKUP(B4617,'MSA-Lookup'!$H$2:$I$86,2)</f>
        <v>4480</v>
      </c>
      <c r="F4617" s="0" t="n">
        <f aca="false">IF(C4617&gt;1,IF(C4617&lt;99,VLOOKUP(C4617,'MSA-Lookup'!$H$1:$I$86,2),C4617),C4617)</f>
        <v>360</v>
      </c>
      <c r="G4617" s="0" t="n">
        <f aca="false">VLOOKUP(E4617,'MSA-Lookup'!$AA$1:$AB$25,2)</f>
        <v>4472</v>
      </c>
      <c r="H4617" s="0" t="n">
        <f aca="false">IF(C4617&gt;1,IF(C4617&lt;99,VLOOKUP(F4617,'MSA-Lookup'!$AA$1:$AB$25,2),C4617),C4617)</f>
        <v>4472</v>
      </c>
    </row>
    <row r="4618" customFormat="false" ht="12.75" hidden="false" customHeight="false" outlineLevel="0" collapsed="false">
      <c r="A4618" s="0" t="n">
        <f aca="false">B4618*1000+C4618</f>
        <v>65043</v>
      </c>
      <c r="B4618" s="0" t="n">
        <v>65</v>
      </c>
      <c r="C4618" s="0" t="n">
        <v>43</v>
      </c>
      <c r="D4618" s="0" t="n">
        <v>117</v>
      </c>
      <c r="E4618" s="0" t="n">
        <f aca="false">VLOOKUP(B4618,'MSA-Lookup'!$H$2:$I$86,2)</f>
        <v>4480</v>
      </c>
      <c r="F4618" s="0" t="n">
        <f aca="false">IF(C4618&gt;1,IF(C4618&lt;99,VLOOKUP(C4618,'MSA-Lookup'!$H$1:$I$86,2),C4618),C4618)</f>
        <v>360</v>
      </c>
      <c r="G4618" s="0" t="n">
        <f aca="false">VLOOKUP(E4618,'MSA-Lookup'!$AA$1:$AB$25,2)</f>
        <v>4472</v>
      </c>
      <c r="H4618" s="0" t="n">
        <f aca="false">IF(C4618&gt;1,IF(C4618&lt;99,VLOOKUP(F4618,'MSA-Lookup'!$AA$1:$AB$25,2),C4618),C4618)</f>
        <v>4472</v>
      </c>
    </row>
    <row r="4619" customFormat="false" ht="12.75" hidden="false" customHeight="false" outlineLevel="0" collapsed="false">
      <c r="A4619" s="0" t="n">
        <f aca="false">B4619*1000+C4619</f>
        <v>65044</v>
      </c>
      <c r="B4619" s="0" t="n">
        <v>65</v>
      </c>
      <c r="C4619" s="0" t="n">
        <v>44</v>
      </c>
      <c r="D4619" s="0" t="n">
        <v>0</v>
      </c>
      <c r="E4619" s="0" t="n">
        <f aca="false">VLOOKUP(B4619,'MSA-Lookup'!$H$2:$I$86,2)</f>
        <v>4480</v>
      </c>
      <c r="F4619" s="0" t="n">
        <f aca="false">IF(C4619&gt;1,IF(C4619&lt;99,VLOOKUP(C4619,'MSA-Lookup'!$H$1:$I$86,2),C4619),C4619)</f>
        <v>360</v>
      </c>
      <c r="G4619" s="0" t="n">
        <f aca="false">VLOOKUP(E4619,'MSA-Lookup'!$AA$1:$AB$25,2)</f>
        <v>4472</v>
      </c>
      <c r="H4619" s="0" t="n">
        <f aca="false">IF(C4619&gt;1,IF(C4619&lt;99,VLOOKUP(F4619,'MSA-Lookup'!$AA$1:$AB$25,2),C4619),C4619)</f>
        <v>4472</v>
      </c>
    </row>
    <row r="4620" customFormat="false" ht="12.75" hidden="false" customHeight="false" outlineLevel="0" collapsed="false">
      <c r="A4620" s="0" t="n">
        <f aca="false">B4620*1000+C4620</f>
        <v>65045</v>
      </c>
      <c r="B4620" s="0" t="n">
        <v>65</v>
      </c>
      <c r="C4620" s="0" t="n">
        <v>45</v>
      </c>
      <c r="D4620" s="0" t="n">
        <v>65</v>
      </c>
      <c r="E4620" s="0" t="n">
        <f aca="false">VLOOKUP(B4620,'MSA-Lookup'!$H$2:$I$86,2)</f>
        <v>4480</v>
      </c>
      <c r="F4620" s="0" t="n">
        <f aca="false">IF(C4620&gt;1,IF(C4620&lt;99,VLOOKUP(C4620,'MSA-Lookup'!$H$1:$I$86,2),C4620),C4620)</f>
        <v>360</v>
      </c>
      <c r="G4620" s="0" t="n">
        <f aca="false">VLOOKUP(E4620,'MSA-Lookup'!$AA$1:$AB$25,2)</f>
        <v>4472</v>
      </c>
      <c r="H4620" s="0" t="n">
        <f aca="false">IF(C4620&gt;1,IF(C4620&lt;99,VLOOKUP(F4620,'MSA-Lookup'!$AA$1:$AB$25,2),C4620),C4620)</f>
        <v>4472</v>
      </c>
    </row>
    <row r="4621" customFormat="false" ht="12.75" hidden="false" customHeight="false" outlineLevel="0" collapsed="false">
      <c r="A4621" s="0" t="n">
        <f aca="false">B4621*1000+C4621</f>
        <v>65046</v>
      </c>
      <c r="B4621" s="0" t="n">
        <v>65</v>
      </c>
      <c r="C4621" s="0" t="n">
        <v>46</v>
      </c>
      <c r="D4621" s="0" t="n">
        <v>1209</v>
      </c>
      <c r="E4621" s="0" t="n">
        <f aca="false">VLOOKUP(B4621,'MSA-Lookup'!$H$2:$I$86,2)</f>
        <v>4480</v>
      </c>
      <c r="F4621" s="0" t="n">
        <f aca="false">IF(C4621&gt;1,IF(C4621&lt;99,VLOOKUP(C4621,'MSA-Lookup'!$H$1:$I$86,2),C4621),C4621)</f>
        <v>360</v>
      </c>
      <c r="G4621" s="0" t="n">
        <f aca="false">VLOOKUP(E4621,'MSA-Lookup'!$AA$1:$AB$25,2)</f>
        <v>4472</v>
      </c>
      <c r="H4621" s="0" t="n">
        <f aca="false">IF(C4621&gt;1,IF(C4621&lt;99,VLOOKUP(F4621,'MSA-Lookup'!$AA$1:$AB$25,2),C4621),C4621)</f>
        <v>4472</v>
      </c>
    </row>
    <row r="4622" customFormat="false" ht="12.75" hidden="false" customHeight="false" outlineLevel="0" collapsed="false">
      <c r="A4622" s="0" t="n">
        <f aca="false">B4622*1000+C4622</f>
        <v>65047</v>
      </c>
      <c r="B4622" s="0" t="n">
        <v>65</v>
      </c>
      <c r="C4622" s="0" t="n">
        <v>47</v>
      </c>
      <c r="D4622" s="0" t="n">
        <v>65</v>
      </c>
      <c r="E4622" s="0" t="n">
        <f aca="false">VLOOKUP(B4622,'MSA-Lookup'!$H$2:$I$86,2)</f>
        <v>4480</v>
      </c>
      <c r="F4622" s="0" t="n">
        <f aca="false">IF(C4622&gt;1,IF(C4622&lt;99,VLOOKUP(C4622,'MSA-Lookup'!$H$1:$I$86,2),C4622),C4622)</f>
        <v>360</v>
      </c>
      <c r="G4622" s="0" t="n">
        <f aca="false">VLOOKUP(E4622,'MSA-Lookup'!$AA$1:$AB$25,2)</f>
        <v>4472</v>
      </c>
      <c r="H4622" s="0" t="n">
        <f aca="false">IF(C4622&gt;1,IF(C4622&lt;99,VLOOKUP(F4622,'MSA-Lookup'!$AA$1:$AB$25,2),C4622),C4622)</f>
        <v>4472</v>
      </c>
    </row>
    <row r="4623" customFormat="false" ht="12.75" hidden="false" customHeight="false" outlineLevel="0" collapsed="false">
      <c r="A4623" s="0" t="n">
        <f aca="false">B4623*1000+C4623</f>
        <v>65048</v>
      </c>
      <c r="B4623" s="0" t="n">
        <v>65</v>
      </c>
      <c r="C4623" s="0" t="n">
        <v>48</v>
      </c>
      <c r="D4623" s="0" t="n">
        <v>9841</v>
      </c>
      <c r="E4623" s="0" t="n">
        <f aca="false">VLOOKUP(B4623,'MSA-Lookup'!$H$2:$I$86,2)</f>
        <v>4480</v>
      </c>
      <c r="F4623" s="0" t="n">
        <f aca="false">IF(C4623&gt;1,IF(C4623&lt;99,VLOOKUP(C4623,'MSA-Lookup'!$H$1:$I$86,2),C4623),C4623)</f>
        <v>360</v>
      </c>
      <c r="G4623" s="0" t="n">
        <f aca="false">VLOOKUP(E4623,'MSA-Lookup'!$AA$1:$AB$25,2)</f>
        <v>4472</v>
      </c>
      <c r="H4623" s="0" t="n">
        <f aca="false">IF(C4623&gt;1,IF(C4623&lt;99,VLOOKUP(F4623,'MSA-Lookup'!$AA$1:$AB$25,2),C4623),C4623)</f>
        <v>4472</v>
      </c>
    </row>
    <row r="4624" customFormat="false" ht="12.75" hidden="false" customHeight="false" outlineLevel="0" collapsed="false">
      <c r="A4624" s="0" t="n">
        <f aca="false">B4624*1000+C4624</f>
        <v>65049</v>
      </c>
      <c r="B4624" s="0" t="n">
        <v>65</v>
      </c>
      <c r="C4624" s="0" t="n">
        <v>49</v>
      </c>
      <c r="D4624" s="0" t="n">
        <v>0</v>
      </c>
      <c r="E4624" s="0" t="n">
        <f aca="false">VLOOKUP(B4624,'MSA-Lookup'!$H$2:$I$86,2)</f>
        <v>4480</v>
      </c>
      <c r="F4624" s="0" t="n">
        <f aca="false">IF(C4624&gt;1,IF(C4624&lt;99,VLOOKUP(C4624,'MSA-Lookup'!$H$1:$I$86,2),C4624),C4624)</f>
        <v>7400</v>
      </c>
      <c r="G4624" s="0" t="n">
        <f aca="false">VLOOKUP(E4624,'MSA-Lookup'!$AA$1:$AB$25,2)</f>
        <v>4472</v>
      </c>
      <c r="H4624" s="0" t="n">
        <f aca="false">IF(C4624&gt;1,IF(C4624&lt;99,VLOOKUP(F4624,'MSA-Lookup'!$AA$1:$AB$25,2),C4624),C4624)</f>
        <v>7362</v>
      </c>
    </row>
    <row r="4625" customFormat="false" ht="12.75" hidden="false" customHeight="false" outlineLevel="0" collapsed="false">
      <c r="A4625" s="0" t="n">
        <f aca="false">B4625*1000+C4625</f>
        <v>65050</v>
      </c>
      <c r="B4625" s="0" t="n">
        <v>65</v>
      </c>
      <c r="C4625" s="0" t="n">
        <v>50</v>
      </c>
      <c r="D4625" s="0" t="n">
        <v>104</v>
      </c>
      <c r="E4625" s="0" t="n">
        <f aca="false">VLOOKUP(B4625,'MSA-Lookup'!$H$2:$I$86,2)</f>
        <v>4480</v>
      </c>
      <c r="F4625" s="0" t="n">
        <f aca="false">IF(C4625&gt;1,IF(C4625&lt;99,VLOOKUP(C4625,'MSA-Lookup'!$H$1:$I$86,2),C4625),C4625)</f>
        <v>7400</v>
      </c>
      <c r="G4625" s="0" t="n">
        <f aca="false">VLOOKUP(E4625,'MSA-Lookup'!$AA$1:$AB$25,2)</f>
        <v>4472</v>
      </c>
      <c r="H4625" s="0" t="n">
        <f aca="false">IF(C4625&gt;1,IF(C4625&lt;99,VLOOKUP(F4625,'MSA-Lookup'!$AA$1:$AB$25,2),C4625),C4625)</f>
        <v>7362</v>
      </c>
    </row>
    <row r="4626" customFormat="false" ht="12.75" hidden="false" customHeight="false" outlineLevel="0" collapsed="false">
      <c r="A4626" s="0" t="n">
        <f aca="false">B4626*1000+C4626</f>
        <v>65051</v>
      </c>
      <c r="B4626" s="0" t="n">
        <v>65</v>
      </c>
      <c r="C4626" s="0" t="n">
        <v>51</v>
      </c>
      <c r="D4626" s="0" t="n">
        <v>117</v>
      </c>
      <c r="E4626" s="0" t="n">
        <f aca="false">VLOOKUP(B4626,'MSA-Lookup'!$H$2:$I$86,2)</f>
        <v>4480</v>
      </c>
      <c r="F4626" s="0" t="n">
        <f aca="false">IF(C4626&gt;1,IF(C4626&lt;99,VLOOKUP(C4626,'MSA-Lookup'!$H$1:$I$86,2),C4626),C4626)</f>
        <v>7400</v>
      </c>
      <c r="G4626" s="0" t="n">
        <f aca="false">VLOOKUP(E4626,'MSA-Lookup'!$AA$1:$AB$25,2)</f>
        <v>4472</v>
      </c>
      <c r="H4626" s="0" t="n">
        <f aca="false">IF(C4626&gt;1,IF(C4626&lt;99,VLOOKUP(F4626,'MSA-Lookup'!$AA$1:$AB$25,2),C4626),C4626)</f>
        <v>7362</v>
      </c>
    </row>
    <row r="4627" customFormat="false" ht="12.75" hidden="false" customHeight="false" outlineLevel="0" collapsed="false">
      <c r="A4627" s="0" t="n">
        <f aca="false">B4627*1000+C4627</f>
        <v>65052</v>
      </c>
      <c r="B4627" s="0" t="n">
        <v>65</v>
      </c>
      <c r="C4627" s="0" t="n">
        <v>52</v>
      </c>
      <c r="D4627" s="0" t="n">
        <v>53742</v>
      </c>
      <c r="E4627" s="0" t="n">
        <f aca="false">VLOOKUP(B4627,'MSA-Lookup'!$H$2:$I$86,2)</f>
        <v>4480</v>
      </c>
      <c r="F4627" s="0" t="n">
        <f aca="false">IF(C4627&gt;1,IF(C4627&lt;99,VLOOKUP(C4627,'MSA-Lookup'!$H$1:$I$86,2),C4627),C4627)</f>
        <v>4480</v>
      </c>
      <c r="G4627" s="0" t="n">
        <f aca="false">VLOOKUP(E4627,'MSA-Lookup'!$AA$1:$AB$25,2)</f>
        <v>4472</v>
      </c>
      <c r="H4627" s="0" t="n">
        <f aca="false">IF(C4627&gt;1,IF(C4627&lt;99,VLOOKUP(F4627,'MSA-Lookup'!$AA$1:$AB$25,2),C4627),C4627)</f>
        <v>4472</v>
      </c>
    </row>
    <row r="4628" customFormat="false" ht="12.75" hidden="false" customHeight="false" outlineLevel="0" collapsed="false">
      <c r="A4628" s="0" t="n">
        <f aca="false">B4628*1000+C4628</f>
        <v>65053</v>
      </c>
      <c r="B4628" s="0" t="n">
        <v>65</v>
      </c>
      <c r="C4628" s="0" t="n">
        <v>53</v>
      </c>
      <c r="D4628" s="0" t="n">
        <v>27274</v>
      </c>
      <c r="E4628" s="0" t="n">
        <f aca="false">VLOOKUP(B4628,'MSA-Lookup'!$H$2:$I$86,2)</f>
        <v>4480</v>
      </c>
      <c r="F4628" s="0" t="n">
        <f aca="false">IF(C4628&gt;1,IF(C4628&lt;99,VLOOKUP(C4628,'MSA-Lookup'!$H$1:$I$86,2),C4628),C4628)</f>
        <v>4480</v>
      </c>
      <c r="G4628" s="0" t="n">
        <f aca="false">VLOOKUP(E4628,'MSA-Lookup'!$AA$1:$AB$25,2)</f>
        <v>4472</v>
      </c>
      <c r="H4628" s="0" t="n">
        <f aca="false">IF(C4628&gt;1,IF(C4628&lt;99,VLOOKUP(F4628,'MSA-Lookup'!$AA$1:$AB$25,2),C4628),C4628)</f>
        <v>4472</v>
      </c>
    </row>
    <row r="4629" customFormat="false" ht="12.75" hidden="false" customHeight="false" outlineLevel="0" collapsed="false">
      <c r="A4629" s="0" t="n">
        <f aca="false">B4629*1000+C4629</f>
        <v>65054</v>
      </c>
      <c r="B4629" s="0" t="n">
        <v>65</v>
      </c>
      <c r="C4629" s="0" t="n">
        <v>54</v>
      </c>
      <c r="D4629" s="0" t="n">
        <v>4355</v>
      </c>
      <c r="E4629" s="0" t="n">
        <f aca="false">VLOOKUP(B4629,'MSA-Lookup'!$H$2:$I$86,2)</f>
        <v>4480</v>
      </c>
      <c r="F4629" s="0" t="n">
        <f aca="false">IF(C4629&gt;1,IF(C4629&lt;99,VLOOKUP(C4629,'MSA-Lookup'!$H$1:$I$86,2),C4629),C4629)</f>
        <v>4480</v>
      </c>
      <c r="G4629" s="0" t="n">
        <f aca="false">VLOOKUP(E4629,'MSA-Lookup'!$AA$1:$AB$25,2)</f>
        <v>4472</v>
      </c>
      <c r="H4629" s="0" t="n">
        <f aca="false">IF(C4629&gt;1,IF(C4629&lt;99,VLOOKUP(F4629,'MSA-Lookup'!$AA$1:$AB$25,2),C4629),C4629)</f>
        <v>4472</v>
      </c>
    </row>
    <row r="4630" customFormat="false" ht="12.75" hidden="false" customHeight="false" outlineLevel="0" collapsed="false">
      <c r="A4630" s="0" t="n">
        <f aca="false">B4630*1000+C4630</f>
        <v>65055</v>
      </c>
      <c r="B4630" s="0" t="n">
        <v>65</v>
      </c>
      <c r="C4630" s="0" t="n">
        <v>55</v>
      </c>
      <c r="D4630" s="0" t="n">
        <v>6903</v>
      </c>
      <c r="E4630" s="0" t="n">
        <f aca="false">VLOOKUP(B4630,'MSA-Lookup'!$H$2:$I$86,2)</f>
        <v>4480</v>
      </c>
      <c r="F4630" s="0" t="n">
        <f aca="false">IF(C4630&gt;1,IF(C4630&lt;99,VLOOKUP(C4630,'MSA-Lookup'!$H$1:$I$86,2),C4630),C4630)</f>
        <v>4480</v>
      </c>
      <c r="G4630" s="0" t="n">
        <f aca="false">VLOOKUP(E4630,'MSA-Lookup'!$AA$1:$AB$25,2)</f>
        <v>4472</v>
      </c>
      <c r="H4630" s="0" t="n">
        <f aca="false">IF(C4630&gt;1,IF(C4630&lt;99,VLOOKUP(F4630,'MSA-Lookup'!$AA$1:$AB$25,2),C4630),C4630)</f>
        <v>4472</v>
      </c>
    </row>
    <row r="4631" customFormat="false" ht="12.75" hidden="false" customHeight="false" outlineLevel="0" collapsed="false">
      <c r="A4631" s="0" t="n">
        <f aca="false">B4631*1000+C4631</f>
        <v>65056</v>
      </c>
      <c r="B4631" s="0" t="n">
        <v>65</v>
      </c>
      <c r="C4631" s="0" t="n">
        <v>56</v>
      </c>
      <c r="D4631" s="0" t="n">
        <v>5122</v>
      </c>
      <c r="E4631" s="0" t="n">
        <f aca="false">VLOOKUP(B4631,'MSA-Lookup'!$H$2:$I$86,2)</f>
        <v>4480</v>
      </c>
      <c r="F4631" s="0" t="n">
        <f aca="false">IF(C4631&gt;1,IF(C4631&lt;99,VLOOKUP(C4631,'MSA-Lookup'!$H$1:$I$86,2),C4631),C4631)</f>
        <v>4480</v>
      </c>
      <c r="G4631" s="0" t="n">
        <f aca="false">VLOOKUP(E4631,'MSA-Lookup'!$AA$1:$AB$25,2)</f>
        <v>4472</v>
      </c>
      <c r="H4631" s="0" t="n">
        <f aca="false">IF(C4631&gt;1,IF(C4631&lt;99,VLOOKUP(F4631,'MSA-Lookup'!$AA$1:$AB$25,2),C4631),C4631)</f>
        <v>4472</v>
      </c>
    </row>
    <row r="4632" customFormat="false" ht="12.75" hidden="false" customHeight="false" outlineLevel="0" collapsed="false">
      <c r="A4632" s="0" t="n">
        <f aca="false">B4632*1000+C4632</f>
        <v>65057</v>
      </c>
      <c r="B4632" s="0" t="n">
        <v>65</v>
      </c>
      <c r="C4632" s="0" t="n">
        <v>57</v>
      </c>
      <c r="D4632" s="0" t="n">
        <v>4030</v>
      </c>
      <c r="E4632" s="0" t="n">
        <f aca="false">VLOOKUP(B4632,'MSA-Lookup'!$H$2:$I$86,2)</f>
        <v>4480</v>
      </c>
      <c r="F4632" s="0" t="n">
        <f aca="false">IF(C4632&gt;1,IF(C4632&lt;99,VLOOKUP(C4632,'MSA-Lookup'!$H$1:$I$86,2),C4632),C4632)</f>
        <v>4480</v>
      </c>
      <c r="G4632" s="0" t="n">
        <f aca="false">VLOOKUP(E4632,'MSA-Lookup'!$AA$1:$AB$25,2)</f>
        <v>4472</v>
      </c>
      <c r="H4632" s="0" t="n">
        <f aca="false">IF(C4632&gt;1,IF(C4632&lt;99,VLOOKUP(F4632,'MSA-Lookup'!$AA$1:$AB$25,2),C4632),C4632)</f>
        <v>4472</v>
      </c>
    </row>
    <row r="4633" customFormat="false" ht="12.75" hidden="false" customHeight="false" outlineLevel="0" collapsed="false">
      <c r="A4633" s="0" t="n">
        <f aca="false">B4633*1000+C4633</f>
        <v>65058</v>
      </c>
      <c r="B4633" s="0" t="n">
        <v>65</v>
      </c>
      <c r="C4633" s="0" t="n">
        <v>58</v>
      </c>
      <c r="D4633" s="0" t="n">
        <v>2054</v>
      </c>
      <c r="E4633" s="0" t="n">
        <f aca="false">VLOOKUP(B4633,'MSA-Lookup'!$H$2:$I$86,2)</f>
        <v>4480</v>
      </c>
      <c r="F4633" s="0" t="n">
        <f aca="false">IF(C4633&gt;1,IF(C4633&lt;99,VLOOKUP(C4633,'MSA-Lookup'!$H$1:$I$86,2),C4633),C4633)</f>
        <v>4480</v>
      </c>
      <c r="G4633" s="0" t="n">
        <f aca="false">VLOOKUP(E4633,'MSA-Lookup'!$AA$1:$AB$25,2)</f>
        <v>4472</v>
      </c>
      <c r="H4633" s="0" t="n">
        <f aca="false">IF(C4633&gt;1,IF(C4633&lt;99,VLOOKUP(F4633,'MSA-Lookup'!$AA$1:$AB$25,2),C4633),C4633)</f>
        <v>4472</v>
      </c>
    </row>
    <row r="4634" customFormat="false" ht="12.75" hidden="false" customHeight="false" outlineLevel="0" collapsed="false">
      <c r="A4634" s="0" t="n">
        <f aca="false">B4634*1000+C4634</f>
        <v>65059</v>
      </c>
      <c r="B4634" s="0" t="n">
        <v>65</v>
      </c>
      <c r="C4634" s="0" t="n">
        <v>59</v>
      </c>
      <c r="D4634" s="0" t="n">
        <v>2054</v>
      </c>
      <c r="E4634" s="0" t="n">
        <f aca="false">VLOOKUP(B4634,'MSA-Lookup'!$H$2:$I$86,2)</f>
        <v>4480</v>
      </c>
      <c r="F4634" s="0" t="n">
        <f aca="false">IF(C4634&gt;1,IF(C4634&lt;99,VLOOKUP(C4634,'MSA-Lookup'!$H$1:$I$86,2),C4634),C4634)</f>
        <v>4480</v>
      </c>
      <c r="G4634" s="0" t="n">
        <f aca="false">VLOOKUP(E4634,'MSA-Lookup'!$AA$1:$AB$25,2)</f>
        <v>4472</v>
      </c>
      <c r="H4634" s="0" t="n">
        <f aca="false">IF(C4634&gt;1,IF(C4634&lt;99,VLOOKUP(F4634,'MSA-Lookup'!$AA$1:$AB$25,2),C4634),C4634)</f>
        <v>4472</v>
      </c>
    </row>
    <row r="4635" customFormat="false" ht="12.75" hidden="false" customHeight="false" outlineLevel="0" collapsed="false">
      <c r="A4635" s="0" t="n">
        <f aca="false">B4635*1000+C4635</f>
        <v>65060</v>
      </c>
      <c r="B4635" s="0" t="n">
        <v>65</v>
      </c>
      <c r="C4635" s="0" t="n">
        <v>60</v>
      </c>
      <c r="D4635" s="0" t="n">
        <v>13494</v>
      </c>
      <c r="E4635" s="0" t="n">
        <f aca="false">VLOOKUP(B4635,'MSA-Lookup'!$H$2:$I$86,2)</f>
        <v>4480</v>
      </c>
      <c r="F4635" s="0" t="n">
        <f aca="false">IF(C4635&gt;1,IF(C4635&lt;99,VLOOKUP(C4635,'MSA-Lookup'!$H$1:$I$86,2),C4635),C4635)</f>
        <v>4480</v>
      </c>
      <c r="G4635" s="0" t="n">
        <f aca="false">VLOOKUP(E4635,'MSA-Lookup'!$AA$1:$AB$25,2)</f>
        <v>4472</v>
      </c>
      <c r="H4635" s="0" t="n">
        <f aca="false">IF(C4635&gt;1,IF(C4635&lt;99,VLOOKUP(F4635,'MSA-Lookup'!$AA$1:$AB$25,2),C4635),C4635)</f>
        <v>4472</v>
      </c>
    </row>
    <row r="4636" customFormat="false" ht="12.75" hidden="false" customHeight="false" outlineLevel="0" collapsed="false">
      <c r="A4636" s="0" t="n">
        <f aca="false">B4636*1000+C4636</f>
        <v>65061</v>
      </c>
      <c r="B4636" s="0" t="n">
        <v>65</v>
      </c>
      <c r="C4636" s="0" t="n">
        <v>61</v>
      </c>
      <c r="D4636" s="0" t="n">
        <v>10283</v>
      </c>
      <c r="E4636" s="0" t="n">
        <f aca="false">VLOOKUP(B4636,'MSA-Lookup'!$H$2:$I$86,2)</f>
        <v>4480</v>
      </c>
      <c r="F4636" s="0" t="n">
        <f aca="false">IF(C4636&gt;1,IF(C4636&lt;99,VLOOKUP(C4636,'MSA-Lookup'!$H$1:$I$86,2),C4636),C4636)</f>
        <v>4480</v>
      </c>
      <c r="G4636" s="0" t="n">
        <f aca="false">VLOOKUP(E4636,'MSA-Lookup'!$AA$1:$AB$25,2)</f>
        <v>4472</v>
      </c>
      <c r="H4636" s="0" t="n">
        <f aca="false">IF(C4636&gt;1,IF(C4636&lt;99,VLOOKUP(F4636,'MSA-Lookup'!$AA$1:$AB$25,2),C4636),C4636)</f>
        <v>4472</v>
      </c>
    </row>
    <row r="4637" customFormat="false" ht="12.75" hidden="false" customHeight="false" outlineLevel="0" collapsed="false">
      <c r="A4637" s="0" t="n">
        <f aca="false">B4637*1000+C4637</f>
        <v>65062</v>
      </c>
      <c r="B4637" s="0" t="n">
        <v>65</v>
      </c>
      <c r="C4637" s="0" t="n">
        <v>62</v>
      </c>
      <c r="D4637" s="0" t="n">
        <v>67041</v>
      </c>
      <c r="E4637" s="0" t="n">
        <f aca="false">VLOOKUP(B4637,'MSA-Lookup'!$H$2:$I$86,2)</f>
        <v>4480</v>
      </c>
      <c r="F4637" s="0" t="n">
        <f aca="false">IF(C4637&gt;1,IF(C4637&lt;99,VLOOKUP(C4637,'MSA-Lookup'!$H$1:$I$86,2),C4637),C4637)</f>
        <v>4480</v>
      </c>
      <c r="G4637" s="0" t="n">
        <f aca="false">VLOOKUP(E4637,'MSA-Lookup'!$AA$1:$AB$25,2)</f>
        <v>4472</v>
      </c>
      <c r="H4637" s="0" t="n">
        <f aca="false">IF(C4637&gt;1,IF(C4637&lt;99,VLOOKUP(F4637,'MSA-Lookup'!$AA$1:$AB$25,2),C4637),C4637)</f>
        <v>4472</v>
      </c>
    </row>
    <row r="4638" customFormat="false" ht="12.75" hidden="false" customHeight="false" outlineLevel="0" collapsed="false">
      <c r="A4638" s="0" t="n">
        <f aca="false">B4638*1000+C4638</f>
        <v>65063</v>
      </c>
      <c r="B4638" s="0" t="n">
        <v>65</v>
      </c>
      <c r="C4638" s="0" t="n">
        <v>63</v>
      </c>
      <c r="D4638" s="0" t="n">
        <v>15015</v>
      </c>
      <c r="E4638" s="0" t="n">
        <f aca="false">VLOOKUP(B4638,'MSA-Lookup'!$H$2:$I$86,2)</f>
        <v>4480</v>
      </c>
      <c r="F4638" s="0" t="n">
        <f aca="false">IF(C4638&gt;1,IF(C4638&lt;99,VLOOKUP(C4638,'MSA-Lookup'!$H$1:$I$86,2),C4638),C4638)</f>
        <v>4480</v>
      </c>
      <c r="G4638" s="0" t="n">
        <f aca="false">VLOOKUP(E4638,'MSA-Lookup'!$AA$1:$AB$25,2)</f>
        <v>4472</v>
      </c>
      <c r="H4638" s="0" t="n">
        <f aca="false">IF(C4638&gt;1,IF(C4638&lt;99,VLOOKUP(F4638,'MSA-Lookup'!$AA$1:$AB$25,2),C4638),C4638)</f>
        <v>4472</v>
      </c>
    </row>
    <row r="4639" customFormat="false" ht="12.75" hidden="false" customHeight="false" outlineLevel="0" collapsed="false">
      <c r="A4639" s="0" t="n">
        <f aca="false">B4639*1000+C4639</f>
        <v>65064</v>
      </c>
      <c r="B4639" s="0" t="n">
        <v>65</v>
      </c>
      <c r="C4639" s="0" t="n">
        <v>64</v>
      </c>
      <c r="D4639" s="0" t="n">
        <v>230763</v>
      </c>
      <c r="E4639" s="0" t="n">
        <f aca="false">VLOOKUP(B4639,'MSA-Lookup'!$H$2:$I$86,2)</f>
        <v>4480</v>
      </c>
      <c r="F4639" s="0" t="n">
        <f aca="false">IF(C4639&gt;1,IF(C4639&lt;99,VLOOKUP(C4639,'MSA-Lookup'!$H$1:$I$86,2),C4639),C4639)</f>
        <v>4480</v>
      </c>
      <c r="G4639" s="0" t="n">
        <f aca="false">VLOOKUP(E4639,'MSA-Lookup'!$AA$1:$AB$25,2)</f>
        <v>4472</v>
      </c>
      <c r="H4639" s="0" t="n">
        <f aca="false">IF(C4639&gt;1,IF(C4639&lt;99,VLOOKUP(F4639,'MSA-Lookup'!$AA$1:$AB$25,2),C4639),C4639)</f>
        <v>4472</v>
      </c>
    </row>
    <row r="4640" customFormat="false" ht="12.75" hidden="false" customHeight="false" outlineLevel="0" collapsed="false">
      <c r="A4640" s="0" t="n">
        <f aca="false">B4640*1000+C4640</f>
        <v>65065</v>
      </c>
      <c r="B4640" s="0" t="n">
        <v>65</v>
      </c>
      <c r="C4640" s="0" t="n">
        <v>65</v>
      </c>
      <c r="D4640" s="0" t="n">
        <v>1126294</v>
      </c>
      <c r="E4640" s="0" t="n">
        <f aca="false">VLOOKUP(B4640,'MSA-Lookup'!$H$2:$I$86,2)</f>
        <v>4480</v>
      </c>
      <c r="F4640" s="0" t="n">
        <f aca="false">IF(C4640&gt;1,IF(C4640&lt;99,VLOOKUP(C4640,'MSA-Lookup'!$H$1:$I$86,2),C4640),C4640)</f>
        <v>4480</v>
      </c>
      <c r="G4640" s="0" t="n">
        <f aca="false">VLOOKUP(E4640,'MSA-Lookup'!$AA$1:$AB$25,2)</f>
        <v>4472</v>
      </c>
      <c r="H4640" s="0" t="n">
        <f aca="false">IF(C4640&gt;1,IF(C4640&lt;99,VLOOKUP(F4640,'MSA-Lookup'!$AA$1:$AB$25,2),C4640),C4640)</f>
        <v>4472</v>
      </c>
    </row>
    <row r="4641" customFormat="false" ht="12.75" hidden="false" customHeight="false" outlineLevel="0" collapsed="false">
      <c r="A4641" s="0" t="n">
        <f aca="false">B4641*1000+C4641</f>
        <v>65066</v>
      </c>
      <c r="B4641" s="0" t="n">
        <v>65</v>
      </c>
      <c r="C4641" s="0" t="n">
        <v>66</v>
      </c>
      <c r="D4641" s="0" t="n">
        <v>16029</v>
      </c>
      <c r="E4641" s="0" t="n">
        <f aca="false">VLOOKUP(B4641,'MSA-Lookup'!$H$2:$I$86,2)</f>
        <v>4480</v>
      </c>
      <c r="F4641" s="0" t="n">
        <f aca="false">IF(C4641&gt;1,IF(C4641&lt;99,VLOOKUP(C4641,'MSA-Lookup'!$H$1:$I$86,2),C4641),C4641)</f>
        <v>4480</v>
      </c>
      <c r="G4641" s="0" t="n">
        <f aca="false">VLOOKUP(E4641,'MSA-Lookup'!$AA$1:$AB$25,2)</f>
        <v>4472</v>
      </c>
      <c r="H4641" s="0" t="n">
        <f aca="false">IF(C4641&gt;1,IF(C4641&lt;99,VLOOKUP(F4641,'MSA-Lookup'!$AA$1:$AB$25,2),C4641),C4641)</f>
        <v>4472</v>
      </c>
    </row>
    <row r="4642" customFormat="false" ht="12.75" hidden="false" customHeight="false" outlineLevel="0" collapsed="false">
      <c r="A4642" s="0" t="n">
        <f aca="false">B4642*1000+C4642</f>
        <v>65067</v>
      </c>
      <c r="B4642" s="0" t="n">
        <v>65</v>
      </c>
      <c r="C4642" s="0" t="n">
        <v>67</v>
      </c>
      <c r="D4642" s="0" t="n">
        <v>14222</v>
      </c>
      <c r="E4642" s="0" t="n">
        <f aca="false">VLOOKUP(B4642,'MSA-Lookup'!$H$2:$I$86,2)</f>
        <v>4480</v>
      </c>
      <c r="F4642" s="0" t="n">
        <f aca="false">IF(C4642&gt;1,IF(C4642&lt;99,VLOOKUP(C4642,'MSA-Lookup'!$H$1:$I$86,2),C4642),C4642)</f>
        <v>6000</v>
      </c>
      <c r="G4642" s="0" t="n">
        <f aca="false">VLOOKUP(E4642,'MSA-Lookup'!$AA$1:$AB$25,2)</f>
        <v>4472</v>
      </c>
      <c r="H4642" s="0" t="n">
        <f aca="false">IF(C4642&gt;1,IF(C4642&lt;99,VLOOKUP(F4642,'MSA-Lookup'!$AA$1:$AB$25,2),C4642),C4642)</f>
        <v>4472</v>
      </c>
    </row>
    <row r="4643" customFormat="false" ht="12.75" hidden="false" customHeight="false" outlineLevel="0" collapsed="false">
      <c r="A4643" s="0" t="n">
        <f aca="false">B4643*1000+C4643</f>
        <v>65068</v>
      </c>
      <c r="B4643" s="0" t="n">
        <v>65</v>
      </c>
      <c r="C4643" s="0" t="n">
        <v>68</v>
      </c>
      <c r="D4643" s="0" t="n">
        <v>0</v>
      </c>
      <c r="E4643" s="0" t="n">
        <f aca="false">VLOOKUP(B4643,'MSA-Lookup'!$H$2:$I$86,2)</f>
        <v>4480</v>
      </c>
      <c r="F4643" s="0" t="n">
        <f aca="false">IF(C4643&gt;1,IF(C4643&lt;99,VLOOKUP(C4643,'MSA-Lookup'!$H$1:$I$86,2),C4643),C4643)</f>
        <v>6780</v>
      </c>
      <c r="G4643" s="0" t="n">
        <f aca="false">VLOOKUP(E4643,'MSA-Lookup'!$AA$1:$AB$25,2)</f>
        <v>4472</v>
      </c>
      <c r="H4643" s="0" t="n">
        <f aca="false">IF(C4643&gt;1,IF(C4643&lt;99,VLOOKUP(F4643,'MSA-Lookup'!$AA$1:$AB$25,2),C4643),C4643)</f>
        <v>4472</v>
      </c>
    </row>
    <row r="4644" customFormat="false" ht="12.75" hidden="false" customHeight="false" outlineLevel="0" collapsed="false">
      <c r="A4644" s="0" t="n">
        <f aca="false">B4644*1000+C4644</f>
        <v>65069</v>
      </c>
      <c r="B4644" s="0" t="n">
        <v>65</v>
      </c>
      <c r="C4644" s="0" t="n">
        <v>69</v>
      </c>
      <c r="D4644" s="0" t="n">
        <v>442</v>
      </c>
      <c r="E4644" s="0" t="n">
        <f aca="false">VLOOKUP(B4644,'MSA-Lookup'!$H$2:$I$86,2)</f>
        <v>4480</v>
      </c>
      <c r="F4644" s="0" t="n">
        <f aca="false">IF(C4644&gt;1,IF(C4644&lt;99,VLOOKUP(C4644,'MSA-Lookup'!$H$1:$I$86,2),C4644),C4644)</f>
        <v>6780</v>
      </c>
      <c r="G4644" s="0" t="n">
        <f aca="false">VLOOKUP(E4644,'MSA-Lookup'!$AA$1:$AB$25,2)</f>
        <v>4472</v>
      </c>
      <c r="H4644" s="0" t="n">
        <f aca="false">IF(C4644&gt;1,IF(C4644&lt;99,VLOOKUP(F4644,'MSA-Lookup'!$AA$1:$AB$25,2),C4644),C4644)</f>
        <v>4472</v>
      </c>
    </row>
    <row r="4645" customFormat="false" ht="12.75" hidden="false" customHeight="false" outlineLevel="0" collapsed="false">
      <c r="A4645" s="0" t="n">
        <f aca="false">B4645*1000+C4645</f>
        <v>65070</v>
      </c>
      <c r="B4645" s="0" t="n">
        <v>65</v>
      </c>
      <c r="C4645" s="0" t="n">
        <v>70</v>
      </c>
      <c r="D4645" s="0" t="n">
        <v>0</v>
      </c>
      <c r="E4645" s="0" t="n">
        <f aca="false">VLOOKUP(B4645,'MSA-Lookup'!$H$2:$I$86,2)</f>
        <v>4480</v>
      </c>
      <c r="F4645" s="0" t="n">
        <f aca="false">IF(C4645&gt;1,IF(C4645&lt;99,VLOOKUP(C4645,'MSA-Lookup'!$H$1:$I$86,2),C4645),C4645)</f>
        <v>6780</v>
      </c>
      <c r="G4645" s="0" t="n">
        <f aca="false">VLOOKUP(E4645,'MSA-Lookup'!$AA$1:$AB$25,2)</f>
        <v>4472</v>
      </c>
      <c r="H4645" s="0" t="n">
        <f aca="false">IF(C4645&gt;1,IF(C4645&lt;99,VLOOKUP(F4645,'MSA-Lookup'!$AA$1:$AB$25,2),C4645),C4645)</f>
        <v>4472</v>
      </c>
    </row>
    <row r="4646" customFormat="false" ht="12.75" hidden="false" customHeight="false" outlineLevel="0" collapsed="false">
      <c r="A4646" s="0" t="n">
        <f aca="false">B4646*1000+C4646</f>
        <v>65071</v>
      </c>
      <c r="B4646" s="0" t="n">
        <v>65</v>
      </c>
      <c r="C4646" s="0" t="n">
        <v>71</v>
      </c>
      <c r="D4646" s="0" t="n">
        <v>1456</v>
      </c>
      <c r="E4646" s="0" t="n">
        <f aca="false">VLOOKUP(B4646,'MSA-Lookup'!$H$2:$I$86,2)</f>
        <v>4480</v>
      </c>
      <c r="F4646" s="0" t="n">
        <f aca="false">IF(C4646&gt;1,IF(C4646&lt;99,VLOOKUP(C4646,'MSA-Lookup'!$H$1:$I$86,2),C4646),C4646)</f>
        <v>6780</v>
      </c>
      <c r="G4646" s="0" t="n">
        <f aca="false">VLOOKUP(E4646,'MSA-Lookup'!$AA$1:$AB$25,2)</f>
        <v>4472</v>
      </c>
      <c r="H4646" s="0" t="n">
        <f aca="false">IF(C4646&gt;1,IF(C4646&lt;99,VLOOKUP(F4646,'MSA-Lookup'!$AA$1:$AB$25,2),C4646),C4646)</f>
        <v>4472</v>
      </c>
    </row>
    <row r="4647" customFormat="false" ht="12.75" hidden="false" customHeight="false" outlineLevel="0" collapsed="false">
      <c r="A4647" s="0" t="n">
        <f aca="false">B4647*1000+C4647</f>
        <v>65072</v>
      </c>
      <c r="B4647" s="0" t="n">
        <v>65</v>
      </c>
      <c r="C4647" s="0" t="n">
        <v>72</v>
      </c>
      <c r="D4647" s="0" t="n">
        <v>1820</v>
      </c>
      <c r="E4647" s="0" t="n">
        <f aca="false">VLOOKUP(B4647,'MSA-Lookup'!$H$2:$I$86,2)</f>
        <v>4480</v>
      </c>
      <c r="F4647" s="0" t="n">
        <f aca="false">IF(C4647&gt;1,IF(C4647&lt;99,VLOOKUP(C4647,'MSA-Lookup'!$H$1:$I$86,2),C4647),C4647)</f>
        <v>6780</v>
      </c>
      <c r="G4647" s="0" t="n">
        <f aca="false">VLOOKUP(E4647,'MSA-Lookup'!$AA$1:$AB$25,2)</f>
        <v>4472</v>
      </c>
      <c r="H4647" s="0" t="n">
        <f aca="false">IF(C4647&gt;1,IF(C4647&lt;99,VLOOKUP(F4647,'MSA-Lookup'!$AA$1:$AB$25,2),C4647),C4647)</f>
        <v>4472</v>
      </c>
    </row>
    <row r="4648" customFormat="false" ht="12.75" hidden="false" customHeight="false" outlineLevel="0" collapsed="false">
      <c r="A4648" s="0" t="n">
        <f aca="false">B4648*1000+C4648</f>
        <v>65073</v>
      </c>
      <c r="B4648" s="0" t="n">
        <v>65</v>
      </c>
      <c r="C4648" s="0" t="n">
        <v>73</v>
      </c>
      <c r="D4648" s="0" t="n">
        <v>0</v>
      </c>
      <c r="E4648" s="0" t="n">
        <f aca="false">VLOOKUP(B4648,'MSA-Lookup'!$H$2:$I$86,2)</f>
        <v>4480</v>
      </c>
      <c r="F4648" s="0" t="n">
        <f aca="false">IF(C4648&gt;1,IF(C4648&lt;99,VLOOKUP(C4648,'MSA-Lookup'!$H$1:$I$86,2),C4648),C4648)</f>
        <v>8720</v>
      </c>
      <c r="G4648" s="0" t="n">
        <f aca="false">VLOOKUP(E4648,'MSA-Lookup'!$AA$1:$AB$25,2)</f>
        <v>4472</v>
      </c>
      <c r="H4648" s="0" t="n">
        <f aca="false">IF(C4648&gt;1,IF(C4648&lt;99,VLOOKUP(F4648,'MSA-Lookup'!$AA$1:$AB$25,2),C4648),C4648)</f>
        <v>7362</v>
      </c>
    </row>
    <row r="4649" customFormat="false" ht="12.75" hidden="false" customHeight="false" outlineLevel="0" collapsed="false">
      <c r="A4649" s="0" t="n">
        <f aca="false">B4649*1000+C4649</f>
        <v>65075</v>
      </c>
      <c r="B4649" s="0" t="n">
        <v>65</v>
      </c>
      <c r="C4649" s="0" t="n">
        <v>75</v>
      </c>
      <c r="D4649" s="0" t="n">
        <v>0</v>
      </c>
      <c r="E4649" s="0" t="n">
        <f aca="false">VLOOKUP(B4649,'MSA-Lookup'!$H$2:$I$86,2)</f>
        <v>4480</v>
      </c>
      <c r="F4649" s="0" t="n">
        <f aca="false">IF(C4649&gt;1,IF(C4649&lt;99,VLOOKUP(C4649,'MSA-Lookup'!$H$1:$I$86,2),C4649),C4649)</f>
        <v>8780</v>
      </c>
      <c r="G4649" s="0" t="n">
        <f aca="false">VLOOKUP(E4649,'MSA-Lookup'!$AA$1:$AB$25,2)</f>
        <v>4472</v>
      </c>
      <c r="H4649" s="0" t="n">
        <f aca="false">IF(C4649&gt;1,IF(C4649&lt;99,VLOOKUP(F4649,'MSA-Lookup'!$AA$1:$AB$25,2),C4649),C4649)</f>
        <v>8780</v>
      </c>
    </row>
    <row r="4650" customFormat="false" ht="12.75" hidden="false" customHeight="false" outlineLevel="0" collapsed="false">
      <c r="A4650" s="0" t="n">
        <f aca="false">B4650*1000+C4650</f>
        <v>65076</v>
      </c>
      <c r="B4650" s="0" t="n">
        <v>65</v>
      </c>
      <c r="C4650" s="0" t="n">
        <v>76</v>
      </c>
      <c r="D4650" s="0" t="n">
        <v>0</v>
      </c>
      <c r="E4650" s="0" t="n">
        <f aca="false">VLOOKUP(B4650,'MSA-Lookup'!$H$2:$I$86,2)</f>
        <v>4480</v>
      </c>
      <c r="F4650" s="0" t="n">
        <f aca="false">IF(C4650&gt;1,IF(C4650&lt;99,VLOOKUP(C4650,'MSA-Lookup'!$H$1:$I$86,2),C4650),C4650)</f>
        <v>7485</v>
      </c>
      <c r="G4650" s="0" t="n">
        <f aca="false">VLOOKUP(E4650,'MSA-Lookup'!$AA$1:$AB$25,2)</f>
        <v>4472</v>
      </c>
      <c r="H4650" s="0" t="n">
        <f aca="false">IF(C4650&gt;1,IF(C4650&lt;99,VLOOKUP(F4650,'MSA-Lookup'!$AA$1:$AB$25,2),C4650),C4650)</f>
        <v>7362</v>
      </c>
    </row>
    <row r="4651" customFormat="false" ht="12.75" hidden="false" customHeight="false" outlineLevel="0" collapsed="false">
      <c r="A4651" s="0" t="n">
        <f aca="false">B4651*1000+C4651</f>
        <v>65077</v>
      </c>
      <c r="B4651" s="0" t="n">
        <v>65</v>
      </c>
      <c r="C4651" s="0" t="n">
        <v>77</v>
      </c>
      <c r="D4651" s="0" t="n">
        <v>91</v>
      </c>
      <c r="E4651" s="0" t="n">
        <f aca="false">VLOOKUP(B4651,'MSA-Lookup'!$H$2:$I$86,2)</f>
        <v>4480</v>
      </c>
      <c r="F4651" s="0" t="n">
        <f aca="false">IF(C4651&gt;1,IF(C4651&lt;99,VLOOKUP(C4651,'MSA-Lookup'!$H$1:$I$86,2),C4651),C4651)</f>
        <v>9999</v>
      </c>
      <c r="G4651" s="0" t="n">
        <f aca="false">VLOOKUP(E4651,'MSA-Lookup'!$AA$1:$AB$25,2)</f>
        <v>4472</v>
      </c>
      <c r="H4651" s="0" t="n">
        <f aca="false">IF(C4651&gt;1,IF(C4651&lt;99,VLOOKUP(F4651,'MSA-Lookup'!$AA$1:$AB$25,2),C4651),C4651)</f>
        <v>9999</v>
      </c>
    </row>
    <row r="4652" customFormat="false" ht="12.75" hidden="false" customHeight="false" outlineLevel="0" collapsed="false">
      <c r="A4652" s="0" t="n">
        <f aca="false">B4652*1000+C4652</f>
        <v>65078</v>
      </c>
      <c r="B4652" s="0" t="n">
        <v>65</v>
      </c>
      <c r="C4652" s="0" t="n">
        <v>78</v>
      </c>
      <c r="D4652" s="0" t="n">
        <v>0</v>
      </c>
      <c r="E4652" s="0" t="n">
        <f aca="false">VLOOKUP(B4652,'MSA-Lookup'!$H$2:$I$86,2)</f>
        <v>4480</v>
      </c>
      <c r="F4652" s="0" t="n">
        <f aca="false">IF(C4652&gt;1,IF(C4652&lt;99,VLOOKUP(C4652,'MSA-Lookup'!$H$1:$I$86,2),C4652),C4652)</f>
        <v>680</v>
      </c>
      <c r="G4652" s="0" t="n">
        <f aca="false">VLOOKUP(E4652,'MSA-Lookup'!$AA$1:$AB$25,2)</f>
        <v>4472</v>
      </c>
      <c r="H4652" s="0" t="n">
        <f aca="false">IF(C4652&gt;1,IF(C4652&lt;99,VLOOKUP(F4652,'MSA-Lookup'!$AA$1:$AB$25,2),C4652),C4652)</f>
        <v>680</v>
      </c>
    </row>
    <row r="4653" customFormat="false" ht="12.75" hidden="false" customHeight="false" outlineLevel="0" collapsed="false">
      <c r="A4653" s="0" t="n">
        <f aca="false">B4653*1000+C4653</f>
        <v>65079</v>
      </c>
      <c r="B4653" s="0" t="n">
        <v>65</v>
      </c>
      <c r="C4653" s="0" t="n">
        <v>79</v>
      </c>
      <c r="D4653" s="0" t="n">
        <v>793</v>
      </c>
      <c r="E4653" s="0" t="n">
        <f aca="false">VLOOKUP(B4653,'MSA-Lookup'!$H$2:$I$86,2)</f>
        <v>4480</v>
      </c>
      <c r="F4653" s="0" t="n">
        <f aca="false">IF(C4653&gt;1,IF(C4653&lt;99,VLOOKUP(C4653,'MSA-Lookup'!$H$1:$I$86,2),C4653),C4653)</f>
        <v>680</v>
      </c>
      <c r="G4653" s="0" t="n">
        <f aca="false">VLOOKUP(E4653,'MSA-Lookup'!$AA$1:$AB$25,2)</f>
        <v>4472</v>
      </c>
      <c r="H4653" s="0" t="n">
        <f aca="false">IF(C4653&gt;1,IF(C4653&lt;99,VLOOKUP(F4653,'MSA-Lookup'!$AA$1:$AB$25,2),C4653),C4653)</f>
        <v>680</v>
      </c>
    </row>
    <row r="4654" customFormat="false" ht="12.75" hidden="false" customHeight="false" outlineLevel="0" collapsed="false">
      <c r="A4654" s="0" t="n">
        <f aca="false">B4654*1000+C4654</f>
        <v>65080</v>
      </c>
      <c r="B4654" s="0" t="n">
        <v>65</v>
      </c>
      <c r="C4654" s="0" t="n">
        <v>80</v>
      </c>
      <c r="D4654" s="0" t="n">
        <v>247</v>
      </c>
      <c r="E4654" s="0" t="n">
        <f aca="false">VLOOKUP(B4654,'MSA-Lookup'!$H$2:$I$86,2)</f>
        <v>4480</v>
      </c>
      <c r="F4654" s="0" t="n">
        <f aca="false">IF(C4654&gt;1,IF(C4654&lt;99,VLOOKUP(C4654,'MSA-Lookup'!$H$1:$I$86,2),C4654),C4654)</f>
        <v>9999</v>
      </c>
      <c r="G4654" s="0" t="n">
        <f aca="false">VLOOKUP(E4654,'MSA-Lookup'!$AA$1:$AB$25,2)</f>
        <v>4472</v>
      </c>
      <c r="H4654" s="0" t="n">
        <f aca="false">IF(C4654&gt;1,IF(C4654&lt;99,VLOOKUP(F4654,'MSA-Lookup'!$AA$1:$AB$25,2),C4654),C4654)</f>
        <v>9999</v>
      </c>
    </row>
    <row r="4655" customFormat="false" ht="12.75" hidden="false" customHeight="false" outlineLevel="0" collapsed="false">
      <c r="A4655" s="0" t="n">
        <f aca="false">B4655*1000+C4655</f>
        <v>65081</v>
      </c>
      <c r="B4655" s="0" t="n">
        <v>65</v>
      </c>
      <c r="C4655" s="0" t="n">
        <v>81</v>
      </c>
      <c r="D4655" s="0" t="n">
        <v>247</v>
      </c>
      <c r="E4655" s="0" t="n">
        <f aca="false">VLOOKUP(B4655,'MSA-Lookup'!$H$2:$I$86,2)</f>
        <v>4480</v>
      </c>
      <c r="F4655" s="0" t="n">
        <f aca="false">IF(C4655&gt;1,IF(C4655&lt;99,VLOOKUP(C4655,'MSA-Lookup'!$H$1:$I$86,2),C4655),C4655)</f>
        <v>6780</v>
      </c>
      <c r="G4655" s="0" t="n">
        <f aca="false">VLOOKUP(E4655,'MSA-Lookup'!$AA$1:$AB$25,2)</f>
        <v>4472</v>
      </c>
      <c r="H4655" s="0" t="n">
        <f aca="false">IF(C4655&gt;1,IF(C4655&lt;99,VLOOKUP(F4655,'MSA-Lookup'!$AA$1:$AB$25,2),C4655),C4655)</f>
        <v>4472</v>
      </c>
    </row>
    <row r="4656" customFormat="false" ht="12.75" hidden="false" customHeight="false" outlineLevel="0" collapsed="false">
      <c r="A4656" s="0" t="n">
        <f aca="false">B4656*1000+C4656</f>
        <v>65082</v>
      </c>
      <c r="B4656" s="0" t="n">
        <v>65</v>
      </c>
      <c r="C4656" s="0" t="n">
        <v>82</v>
      </c>
      <c r="D4656" s="0" t="n">
        <v>52</v>
      </c>
      <c r="E4656" s="0" t="n">
        <f aca="false">VLOOKUP(B4656,'MSA-Lookup'!$H$2:$I$86,2)</f>
        <v>4480</v>
      </c>
      <c r="F4656" s="0" t="n">
        <f aca="false">IF(C4656&gt;1,IF(C4656&lt;99,VLOOKUP(C4656,'MSA-Lookup'!$H$1:$I$86,2),C4656),C4656)</f>
        <v>6780</v>
      </c>
      <c r="G4656" s="0" t="n">
        <f aca="false">VLOOKUP(E4656,'MSA-Lookup'!$AA$1:$AB$25,2)</f>
        <v>4472</v>
      </c>
      <c r="H4656" s="0" t="n">
        <f aca="false">IF(C4656&gt;1,IF(C4656&lt;99,VLOOKUP(F4656,'MSA-Lookup'!$AA$1:$AB$25,2),C4656),C4656)</f>
        <v>4472</v>
      </c>
    </row>
    <row r="4657" customFormat="false" ht="12.75" hidden="false" customHeight="false" outlineLevel="0" collapsed="false">
      <c r="A4657" s="0" t="n">
        <f aca="false">B4657*1000+C4657</f>
        <v>65083</v>
      </c>
      <c r="B4657" s="0" t="n">
        <v>65</v>
      </c>
      <c r="C4657" s="0" t="n">
        <v>83</v>
      </c>
      <c r="D4657" s="0" t="n">
        <v>429</v>
      </c>
      <c r="E4657" s="0" t="n">
        <f aca="false">VLOOKUP(B4657,'MSA-Lookup'!$H$2:$I$86,2)</f>
        <v>4480</v>
      </c>
      <c r="F4657" s="0" t="n">
        <f aca="false">IF(C4657&gt;1,IF(C4657&lt;99,VLOOKUP(C4657,'MSA-Lookup'!$H$1:$I$86,2),C4657),C4657)</f>
        <v>6000</v>
      </c>
      <c r="G4657" s="0" t="n">
        <f aca="false">VLOOKUP(E4657,'MSA-Lookup'!$AA$1:$AB$25,2)</f>
        <v>4472</v>
      </c>
      <c r="H4657" s="0" t="n">
        <f aca="false">IF(C4657&gt;1,IF(C4657&lt;99,VLOOKUP(F4657,'MSA-Lookup'!$AA$1:$AB$25,2),C4657),C4657)</f>
        <v>4472</v>
      </c>
    </row>
    <row r="4658" customFormat="false" ht="12.75" hidden="false" customHeight="false" outlineLevel="0" collapsed="false">
      <c r="A4658" s="0" t="n">
        <f aca="false">B4658*1000+C4658</f>
        <v>65084</v>
      </c>
      <c r="B4658" s="0" t="n">
        <v>65</v>
      </c>
      <c r="C4658" s="0" t="n">
        <v>84</v>
      </c>
      <c r="D4658" s="0" t="n">
        <v>1625</v>
      </c>
      <c r="E4658" s="0" t="n">
        <f aca="false">VLOOKUP(B4658,'MSA-Lookup'!$H$2:$I$86,2)</f>
        <v>4480</v>
      </c>
      <c r="F4658" s="0" t="n">
        <f aca="false">IF(C4658&gt;1,IF(C4658&lt;99,VLOOKUP(C4658,'MSA-Lookup'!$H$1:$I$86,2),C4658),C4658)</f>
        <v>360</v>
      </c>
      <c r="G4658" s="0" t="n">
        <f aca="false">VLOOKUP(E4658,'MSA-Lookup'!$AA$1:$AB$25,2)</f>
        <v>4472</v>
      </c>
      <c r="H4658" s="0" t="n">
        <f aca="false">IF(C4658&gt;1,IF(C4658&lt;99,VLOOKUP(F4658,'MSA-Lookup'!$AA$1:$AB$25,2),C4658),C4658)</f>
        <v>4472</v>
      </c>
    </row>
    <row r="4659" customFormat="false" ht="12.75" hidden="false" customHeight="false" outlineLevel="0" collapsed="false">
      <c r="A4659" s="0" t="n">
        <f aca="false">B4659*1000+C4659</f>
        <v>65085</v>
      </c>
      <c r="B4659" s="0" t="n">
        <v>65</v>
      </c>
      <c r="C4659" s="0" t="n">
        <v>85</v>
      </c>
      <c r="D4659" s="0" t="n">
        <v>0</v>
      </c>
      <c r="E4659" s="0" t="n">
        <f aca="false">VLOOKUP(B4659,'MSA-Lookup'!$H$2:$I$86,2)</f>
        <v>4480</v>
      </c>
      <c r="F4659" s="0" t="n">
        <f aca="false">IF(C4659&gt;1,IF(C4659&lt;99,VLOOKUP(C4659,'MSA-Lookup'!$H$1:$I$86,2),C4659),C4659)</f>
        <v>8120</v>
      </c>
      <c r="G4659" s="0" t="n">
        <f aca="false">VLOOKUP(E4659,'MSA-Lookup'!$AA$1:$AB$25,2)</f>
        <v>4472</v>
      </c>
      <c r="H4659" s="0" t="n">
        <f aca="false">IF(C4659&gt;1,IF(C4659&lt;99,VLOOKUP(F4659,'MSA-Lookup'!$AA$1:$AB$25,2),C4659),C4659)</f>
        <v>8120</v>
      </c>
    </row>
    <row r="4660" customFormat="false" ht="12.75" hidden="false" customHeight="false" outlineLevel="0" collapsed="false">
      <c r="A4660" s="0" t="n">
        <f aca="false">B4660*1000+C4660</f>
        <v>65858</v>
      </c>
      <c r="B4660" s="0" t="n">
        <v>65</v>
      </c>
      <c r="C4660" s="0" t="n">
        <v>858</v>
      </c>
      <c r="D4660" s="0" t="n">
        <v>0</v>
      </c>
      <c r="E4660" s="0" t="n">
        <f aca="false">VLOOKUP(B4660,'MSA-Lookup'!$H$2:$I$86,2)</f>
        <v>4480</v>
      </c>
      <c r="F4660" s="0" t="n">
        <f aca="false">IF(C4660&gt;1,IF(C4660&lt;99,VLOOKUP(C4660,'MSA-Lookup'!$H$1:$I$86,2),C4660),C4660)</f>
        <v>858</v>
      </c>
      <c r="G4660" s="0" t="n">
        <f aca="false">VLOOKUP(E4660,'MSA-Lookup'!$AA$1:$AB$25,2)</f>
        <v>4472</v>
      </c>
      <c r="H4660" s="0" t="n">
        <f aca="false">IF(C4660&gt;1,IF(C4660&lt;99,VLOOKUP(F4660,'MSA-Lookup'!$AA$1:$AB$25,2),C4660),C4660)</f>
        <v>858</v>
      </c>
    </row>
    <row r="4661" customFormat="false" ht="12.75" hidden="false" customHeight="false" outlineLevel="0" collapsed="false">
      <c r="A4661" s="0" t="n">
        <f aca="false">B4661*1000+C4661</f>
        <v>65983</v>
      </c>
      <c r="B4661" s="0" t="n">
        <v>65</v>
      </c>
      <c r="C4661" s="0" t="n">
        <v>983</v>
      </c>
      <c r="D4661" s="0" t="n">
        <v>0</v>
      </c>
      <c r="E4661" s="0" t="n">
        <f aca="false">VLOOKUP(B4661,'MSA-Lookup'!$H$2:$I$86,2)</f>
        <v>4480</v>
      </c>
      <c r="F4661" s="0" t="n">
        <f aca="false">IF(C4661&gt;1,IF(C4661&lt;99,VLOOKUP(C4661,'MSA-Lookup'!$H$1:$I$86,2),C4661),C4661)</f>
        <v>983</v>
      </c>
      <c r="G4661" s="0" t="n">
        <f aca="false">VLOOKUP(E4661,'MSA-Lookup'!$AA$1:$AB$25,2)</f>
        <v>4472</v>
      </c>
      <c r="H4661" s="0" t="n">
        <f aca="false">IF(C4661&gt;1,IF(C4661&lt;99,VLOOKUP(F4661,'MSA-Lookup'!$AA$1:$AB$25,2),C4661),C4661)</f>
        <v>983</v>
      </c>
    </row>
    <row r="4662" customFormat="false" ht="12.75" hidden="false" customHeight="false" outlineLevel="0" collapsed="false">
      <c r="A4662" s="0" t="n">
        <f aca="false">B4662*1000+C4662</f>
        <v>65999</v>
      </c>
      <c r="B4662" s="0" t="n">
        <v>65</v>
      </c>
      <c r="C4662" s="0" t="n">
        <v>999</v>
      </c>
      <c r="D4662" s="0" t="n">
        <v>1209</v>
      </c>
      <c r="E4662" s="0" t="n">
        <f aca="false">VLOOKUP(B4662,'MSA-Lookup'!$H$2:$I$86,2)</f>
        <v>4480</v>
      </c>
      <c r="F4662" s="0" t="n">
        <f aca="false">IF(C4662&gt;1,IF(C4662&lt;99,VLOOKUP(C4662,'MSA-Lookup'!$H$1:$I$86,2),C4662),C4662)</f>
        <v>999</v>
      </c>
      <c r="G4662" s="0" t="n">
        <f aca="false">VLOOKUP(E4662,'MSA-Lookup'!$AA$1:$AB$25,2)</f>
        <v>4472</v>
      </c>
      <c r="H4662" s="0" t="n">
        <f aca="false">IF(C4662&gt;1,IF(C4662&lt;99,VLOOKUP(F4662,'MSA-Lookup'!$AA$1:$AB$25,2),C4662),C4662)</f>
        <v>999</v>
      </c>
    </row>
    <row r="4663" customFormat="false" ht="12.75" hidden="false" customHeight="false" outlineLevel="0" collapsed="false">
      <c r="A4663" s="0" t="n">
        <f aca="false">B4663*1000+C4663</f>
        <v>66000</v>
      </c>
      <c r="B4663" s="0" t="n">
        <v>66</v>
      </c>
      <c r="C4663" s="0" t="n">
        <v>0</v>
      </c>
      <c r="D4663" s="0" t="n">
        <v>225030</v>
      </c>
      <c r="E4663" s="0" t="n">
        <f aca="false">VLOOKUP(B4663,'MSA-Lookup'!$H$2:$I$86,2)</f>
        <v>4480</v>
      </c>
      <c r="F4663" s="0" t="n">
        <f aca="false">IF(C4663&gt;1,IF(C4663&lt;99,VLOOKUP(C4663,'MSA-Lookup'!$H$1:$I$86,2),C4663),C4663)</f>
        <v>0</v>
      </c>
      <c r="G4663" s="0" t="n">
        <f aca="false">VLOOKUP(E4663,'MSA-Lookup'!$AA$1:$AB$25,2)</f>
        <v>4472</v>
      </c>
      <c r="H4663" s="0" t="n">
        <f aca="false">IF(C4663&gt;1,IF(C4663&lt;99,VLOOKUP(F4663,'MSA-Lookup'!$AA$1:$AB$25,2),C4663),C4663)</f>
        <v>0</v>
      </c>
    </row>
    <row r="4664" customFormat="false" ht="12.75" hidden="false" customHeight="false" outlineLevel="0" collapsed="false">
      <c r="A4664" s="0" t="n">
        <f aca="false">B4664*1000+C4664</f>
        <v>66001</v>
      </c>
      <c r="B4664" s="0" t="n">
        <v>66</v>
      </c>
      <c r="C4664" s="0" t="n">
        <v>1</v>
      </c>
      <c r="D4664" s="0" t="n">
        <v>78</v>
      </c>
      <c r="E4664" s="0" t="n">
        <f aca="false">VLOOKUP(B4664,'MSA-Lookup'!$H$2:$I$86,2)</f>
        <v>4480</v>
      </c>
      <c r="F4664" s="0" t="n">
        <f aca="false">IF(C4664&gt;1,IF(C4664&lt;99,VLOOKUP(C4664,'MSA-Lookup'!$H$1:$I$86,2),C4664),C4664)</f>
        <v>1</v>
      </c>
      <c r="G4664" s="0" t="n">
        <f aca="false">VLOOKUP(E4664,'MSA-Lookup'!$AA$1:$AB$25,2)</f>
        <v>4472</v>
      </c>
      <c r="H4664" s="0" t="n">
        <f aca="false">IF(C4664&gt;1,IF(C4664&lt;99,VLOOKUP(F4664,'MSA-Lookup'!$AA$1:$AB$25,2),C4664),C4664)</f>
        <v>1</v>
      </c>
    </row>
    <row r="4665" customFormat="false" ht="12.75" hidden="false" customHeight="false" outlineLevel="0" collapsed="false">
      <c r="A4665" s="0" t="n">
        <f aca="false">B4665*1000+C4665</f>
        <v>66002</v>
      </c>
      <c r="B4665" s="0" t="n">
        <v>66</v>
      </c>
      <c r="C4665" s="0" t="n">
        <v>2</v>
      </c>
      <c r="D4665" s="0" t="n">
        <v>0</v>
      </c>
      <c r="E4665" s="0" t="n">
        <f aca="false">VLOOKUP(B4665,'MSA-Lookup'!$H$2:$I$86,2)</f>
        <v>4480</v>
      </c>
      <c r="F4665" s="0" t="n">
        <f aca="false">IF(C4665&gt;1,IF(C4665&lt;99,VLOOKUP(C4665,'MSA-Lookup'!$H$1:$I$86,2),C4665),C4665)</f>
        <v>9999</v>
      </c>
      <c r="G4665" s="0" t="n">
        <f aca="false">VLOOKUP(E4665,'MSA-Lookup'!$AA$1:$AB$25,2)</f>
        <v>4472</v>
      </c>
      <c r="H4665" s="0" t="n">
        <f aca="false">IF(C4665&gt;1,IF(C4665&lt;99,VLOOKUP(F4665,'MSA-Lookup'!$AA$1:$AB$25,2),C4665),C4665)</f>
        <v>9999</v>
      </c>
    </row>
    <row r="4666" customFormat="false" ht="12.75" hidden="false" customHeight="false" outlineLevel="0" collapsed="false">
      <c r="A4666" s="0" t="n">
        <f aca="false">B4666*1000+C4666</f>
        <v>66003</v>
      </c>
      <c r="B4666" s="0" t="n">
        <v>66</v>
      </c>
      <c r="C4666" s="0" t="n">
        <v>3</v>
      </c>
      <c r="D4666" s="0" t="n">
        <v>0</v>
      </c>
      <c r="E4666" s="0" t="n">
        <f aca="false">VLOOKUP(B4666,'MSA-Lookup'!$H$2:$I$86,2)</f>
        <v>4480</v>
      </c>
      <c r="F4666" s="0" t="n">
        <f aca="false">IF(C4666&gt;1,IF(C4666&lt;99,VLOOKUP(C4666,'MSA-Lookup'!$H$1:$I$86,2),C4666),C4666)</f>
        <v>6690</v>
      </c>
      <c r="G4666" s="0" t="n">
        <f aca="false">VLOOKUP(E4666,'MSA-Lookup'!$AA$1:$AB$25,2)</f>
        <v>4472</v>
      </c>
      <c r="H4666" s="0" t="n">
        <f aca="false">IF(C4666&gt;1,IF(C4666&lt;99,VLOOKUP(F4666,'MSA-Lookup'!$AA$1:$AB$25,2),C4666),C4666)</f>
        <v>6690</v>
      </c>
    </row>
    <row r="4667" customFormat="false" ht="12.75" hidden="false" customHeight="false" outlineLevel="0" collapsed="false">
      <c r="A4667" s="0" t="n">
        <f aca="false">B4667*1000+C4667</f>
        <v>66004</v>
      </c>
      <c r="B4667" s="0" t="n">
        <v>66</v>
      </c>
      <c r="C4667" s="0" t="n">
        <v>4</v>
      </c>
      <c r="D4667" s="0" t="n">
        <v>0</v>
      </c>
      <c r="E4667" s="0" t="n">
        <f aca="false">VLOOKUP(B4667,'MSA-Lookup'!$H$2:$I$86,2)</f>
        <v>4480</v>
      </c>
      <c r="F4667" s="0" t="n">
        <f aca="false">IF(C4667&gt;1,IF(C4667&lt;99,VLOOKUP(C4667,'MSA-Lookup'!$H$1:$I$86,2),C4667),C4667)</f>
        <v>9999</v>
      </c>
      <c r="G4667" s="0" t="n">
        <f aca="false">VLOOKUP(E4667,'MSA-Lookup'!$AA$1:$AB$25,2)</f>
        <v>4472</v>
      </c>
      <c r="H4667" s="0" t="n">
        <f aca="false">IF(C4667&gt;1,IF(C4667&lt;99,VLOOKUP(F4667,'MSA-Lookup'!$AA$1:$AB$25,2),C4667),C4667)</f>
        <v>9999</v>
      </c>
    </row>
    <row r="4668" customFormat="false" ht="12.75" hidden="false" customHeight="false" outlineLevel="0" collapsed="false">
      <c r="A4668" s="0" t="n">
        <f aca="false">B4668*1000+C4668</f>
        <v>66005</v>
      </c>
      <c r="B4668" s="0" t="n">
        <v>66</v>
      </c>
      <c r="C4668" s="0" t="n">
        <v>5</v>
      </c>
      <c r="D4668" s="0" t="n">
        <v>0</v>
      </c>
      <c r="E4668" s="0" t="n">
        <f aca="false">VLOOKUP(B4668,'MSA-Lookup'!$H$2:$I$86,2)</f>
        <v>4480</v>
      </c>
      <c r="F4668" s="0" t="n">
        <f aca="false">IF(C4668&gt;1,IF(C4668&lt;99,VLOOKUP(C4668,'MSA-Lookup'!$H$1:$I$86,2),C4668),C4668)</f>
        <v>9999</v>
      </c>
      <c r="G4668" s="0" t="n">
        <f aca="false">VLOOKUP(E4668,'MSA-Lookup'!$AA$1:$AB$25,2)</f>
        <v>4472</v>
      </c>
      <c r="H4668" s="0" t="n">
        <f aca="false">IF(C4668&gt;1,IF(C4668&lt;99,VLOOKUP(F4668,'MSA-Lookup'!$AA$1:$AB$25,2),C4668),C4668)</f>
        <v>9999</v>
      </c>
    </row>
    <row r="4669" customFormat="false" ht="12.75" hidden="false" customHeight="false" outlineLevel="0" collapsed="false">
      <c r="A4669" s="0" t="n">
        <f aca="false">B4669*1000+C4669</f>
        <v>66006</v>
      </c>
      <c r="B4669" s="0" t="n">
        <v>66</v>
      </c>
      <c r="C4669" s="0" t="n">
        <v>6</v>
      </c>
      <c r="D4669" s="0" t="n">
        <v>0</v>
      </c>
      <c r="E4669" s="0" t="n">
        <f aca="false">VLOOKUP(B4669,'MSA-Lookup'!$H$2:$I$86,2)</f>
        <v>4480</v>
      </c>
      <c r="F4669" s="0" t="n">
        <f aca="false">IF(C4669&gt;1,IF(C4669&lt;99,VLOOKUP(C4669,'MSA-Lookup'!$H$1:$I$86,2),C4669),C4669)</f>
        <v>1620</v>
      </c>
      <c r="G4669" s="0" t="n">
        <f aca="false">VLOOKUP(E4669,'MSA-Lookup'!$AA$1:$AB$25,2)</f>
        <v>4472</v>
      </c>
      <c r="H4669" s="0" t="n">
        <f aca="false">IF(C4669&gt;1,IF(C4669&lt;99,VLOOKUP(F4669,'MSA-Lookup'!$AA$1:$AB$25,2),C4669),C4669)</f>
        <v>1620</v>
      </c>
    </row>
    <row r="4670" customFormat="false" ht="12.75" hidden="false" customHeight="false" outlineLevel="0" collapsed="false">
      <c r="A4670" s="0" t="n">
        <f aca="false">B4670*1000+C4670</f>
        <v>66007</v>
      </c>
      <c r="B4670" s="0" t="n">
        <v>66</v>
      </c>
      <c r="C4670" s="0" t="n">
        <v>7</v>
      </c>
      <c r="D4670" s="0" t="n">
        <v>0</v>
      </c>
      <c r="E4670" s="0" t="n">
        <f aca="false">VLOOKUP(B4670,'MSA-Lookup'!$H$2:$I$86,2)</f>
        <v>4480</v>
      </c>
      <c r="F4670" s="0" t="n">
        <f aca="false">IF(C4670&gt;1,IF(C4670&lt;99,VLOOKUP(C4670,'MSA-Lookup'!$H$1:$I$86,2),C4670),C4670)</f>
        <v>9999</v>
      </c>
      <c r="G4670" s="0" t="n">
        <f aca="false">VLOOKUP(E4670,'MSA-Lookup'!$AA$1:$AB$25,2)</f>
        <v>4472</v>
      </c>
      <c r="H4670" s="0" t="n">
        <f aca="false">IF(C4670&gt;1,IF(C4670&lt;99,VLOOKUP(F4670,'MSA-Lookup'!$AA$1:$AB$25,2),C4670),C4670)</f>
        <v>9999</v>
      </c>
    </row>
    <row r="4671" customFormat="false" ht="12.75" hidden="false" customHeight="false" outlineLevel="0" collapsed="false">
      <c r="A4671" s="0" t="n">
        <f aca="false">B4671*1000+C4671</f>
        <v>66008</v>
      </c>
      <c r="B4671" s="0" t="n">
        <v>66</v>
      </c>
      <c r="C4671" s="0" t="n">
        <v>8</v>
      </c>
      <c r="D4671" s="0" t="n">
        <v>0</v>
      </c>
      <c r="E4671" s="0" t="n">
        <f aca="false">VLOOKUP(B4671,'MSA-Lookup'!$H$2:$I$86,2)</f>
        <v>4480</v>
      </c>
      <c r="F4671" s="0" t="n">
        <f aca="false">IF(C4671&gt;1,IF(C4671&lt;99,VLOOKUP(C4671,'MSA-Lookup'!$H$1:$I$86,2),C4671),C4671)</f>
        <v>9340</v>
      </c>
      <c r="G4671" s="0" t="n">
        <f aca="false">VLOOKUP(E4671,'MSA-Lookup'!$AA$1:$AB$25,2)</f>
        <v>4472</v>
      </c>
      <c r="H4671" s="0" t="n">
        <f aca="false">IF(C4671&gt;1,IF(C4671&lt;99,VLOOKUP(F4671,'MSA-Lookup'!$AA$1:$AB$25,2),C4671),C4671)</f>
        <v>9340</v>
      </c>
    </row>
    <row r="4672" customFormat="false" ht="12.75" hidden="false" customHeight="false" outlineLevel="0" collapsed="false">
      <c r="A4672" s="0" t="n">
        <f aca="false">B4672*1000+C4672</f>
        <v>66009</v>
      </c>
      <c r="B4672" s="0" t="n">
        <v>66</v>
      </c>
      <c r="C4672" s="0" t="n">
        <v>9</v>
      </c>
      <c r="D4672" s="0" t="n">
        <v>0</v>
      </c>
      <c r="E4672" s="0" t="n">
        <f aca="false">VLOOKUP(B4672,'MSA-Lookup'!$H$2:$I$86,2)</f>
        <v>4480</v>
      </c>
      <c r="F4672" s="0" t="n">
        <f aca="false">IF(C4672&gt;1,IF(C4672&lt;99,VLOOKUP(C4672,'MSA-Lookup'!$H$1:$I$86,2),C4672),C4672)</f>
        <v>8720</v>
      </c>
      <c r="G4672" s="0" t="n">
        <f aca="false">VLOOKUP(E4672,'MSA-Lookup'!$AA$1:$AB$25,2)</f>
        <v>4472</v>
      </c>
      <c r="H4672" s="0" t="n">
        <f aca="false">IF(C4672&gt;1,IF(C4672&lt;99,VLOOKUP(F4672,'MSA-Lookup'!$AA$1:$AB$25,2),C4672),C4672)</f>
        <v>7362</v>
      </c>
    </row>
    <row r="4673" customFormat="false" ht="12.75" hidden="false" customHeight="false" outlineLevel="0" collapsed="false">
      <c r="A4673" s="0" t="n">
        <f aca="false">B4673*1000+C4673</f>
        <v>66010</v>
      </c>
      <c r="B4673" s="0" t="n">
        <v>66</v>
      </c>
      <c r="C4673" s="0" t="n">
        <v>10</v>
      </c>
      <c r="D4673" s="0" t="n">
        <v>0</v>
      </c>
      <c r="E4673" s="0" t="n">
        <f aca="false">VLOOKUP(B4673,'MSA-Lookup'!$H$2:$I$86,2)</f>
        <v>4480</v>
      </c>
      <c r="F4673" s="0" t="n">
        <f aca="false">IF(C4673&gt;1,IF(C4673&lt;99,VLOOKUP(C4673,'MSA-Lookup'!$H$1:$I$86,2),C4673),C4673)</f>
        <v>6920</v>
      </c>
      <c r="G4673" s="0" t="n">
        <f aca="false">VLOOKUP(E4673,'MSA-Lookup'!$AA$1:$AB$25,2)</f>
        <v>4472</v>
      </c>
      <c r="H4673" s="0" t="n">
        <f aca="false">IF(C4673&gt;1,IF(C4673&lt;99,VLOOKUP(F4673,'MSA-Lookup'!$AA$1:$AB$25,2),C4673),C4673)</f>
        <v>6920</v>
      </c>
    </row>
    <row r="4674" customFormat="false" ht="12.75" hidden="false" customHeight="false" outlineLevel="0" collapsed="false">
      <c r="A4674" s="0" t="n">
        <f aca="false">B4674*1000+C4674</f>
        <v>66011</v>
      </c>
      <c r="B4674" s="0" t="n">
        <v>66</v>
      </c>
      <c r="C4674" s="0" t="n">
        <v>11</v>
      </c>
      <c r="D4674" s="0" t="n">
        <v>0</v>
      </c>
      <c r="E4674" s="0" t="n">
        <f aca="false">VLOOKUP(B4674,'MSA-Lookup'!$H$2:$I$86,2)</f>
        <v>4480</v>
      </c>
      <c r="F4674" s="0" t="n">
        <f aca="false">IF(C4674&gt;1,IF(C4674&lt;99,VLOOKUP(C4674,'MSA-Lookup'!$H$1:$I$86,2),C4674),C4674)</f>
        <v>6920</v>
      </c>
      <c r="G4674" s="0" t="n">
        <f aca="false">VLOOKUP(E4674,'MSA-Lookup'!$AA$1:$AB$25,2)</f>
        <v>4472</v>
      </c>
      <c r="H4674" s="0" t="n">
        <f aca="false">IF(C4674&gt;1,IF(C4674&lt;99,VLOOKUP(F4674,'MSA-Lookup'!$AA$1:$AB$25,2),C4674),C4674)</f>
        <v>6920</v>
      </c>
    </row>
    <row r="4675" customFormat="false" ht="12.75" hidden="false" customHeight="false" outlineLevel="0" collapsed="false">
      <c r="A4675" s="0" t="n">
        <f aca="false">B4675*1000+C4675</f>
        <v>66012</v>
      </c>
      <c r="B4675" s="0" t="n">
        <v>66</v>
      </c>
      <c r="C4675" s="0" t="n">
        <v>12</v>
      </c>
      <c r="D4675" s="0" t="n">
        <v>0</v>
      </c>
      <c r="E4675" s="0" t="n">
        <f aca="false">VLOOKUP(B4675,'MSA-Lookup'!$H$2:$I$86,2)</f>
        <v>4480</v>
      </c>
      <c r="F4675" s="0" t="n">
        <f aca="false">IF(C4675&gt;1,IF(C4675&lt;99,VLOOKUP(C4675,'MSA-Lookup'!$H$1:$I$86,2),C4675),C4675)</f>
        <v>6920</v>
      </c>
      <c r="G4675" s="0" t="n">
        <f aca="false">VLOOKUP(E4675,'MSA-Lookup'!$AA$1:$AB$25,2)</f>
        <v>4472</v>
      </c>
      <c r="H4675" s="0" t="n">
        <f aca="false">IF(C4675&gt;1,IF(C4675&lt;99,VLOOKUP(F4675,'MSA-Lookup'!$AA$1:$AB$25,2),C4675),C4675)</f>
        <v>6920</v>
      </c>
    </row>
    <row r="4676" customFormat="false" ht="12.75" hidden="false" customHeight="false" outlineLevel="0" collapsed="false">
      <c r="A4676" s="0" t="n">
        <f aca="false">B4676*1000+C4676</f>
        <v>66013</v>
      </c>
      <c r="B4676" s="0" t="n">
        <v>66</v>
      </c>
      <c r="C4676" s="0" t="n">
        <v>13</v>
      </c>
      <c r="D4676" s="0" t="n">
        <v>0</v>
      </c>
      <c r="E4676" s="0" t="n">
        <f aca="false">VLOOKUP(B4676,'MSA-Lookup'!$H$2:$I$86,2)</f>
        <v>4480</v>
      </c>
      <c r="F4676" s="0" t="n">
        <f aca="false">IF(C4676&gt;1,IF(C4676&lt;99,VLOOKUP(C4676,'MSA-Lookup'!$H$1:$I$86,2),C4676),C4676)</f>
        <v>7500</v>
      </c>
      <c r="G4676" s="0" t="n">
        <f aca="false">VLOOKUP(E4676,'MSA-Lookup'!$AA$1:$AB$25,2)</f>
        <v>4472</v>
      </c>
      <c r="H4676" s="0" t="n">
        <f aca="false">IF(C4676&gt;1,IF(C4676&lt;99,VLOOKUP(F4676,'MSA-Lookup'!$AA$1:$AB$25,2),C4676),C4676)</f>
        <v>7362</v>
      </c>
    </row>
    <row r="4677" customFormat="false" ht="12.75" hidden="false" customHeight="false" outlineLevel="0" collapsed="false">
      <c r="A4677" s="0" t="n">
        <f aca="false">B4677*1000+C4677</f>
        <v>66014</v>
      </c>
      <c r="B4677" s="0" t="n">
        <v>66</v>
      </c>
      <c r="C4677" s="0" t="n">
        <v>14</v>
      </c>
      <c r="D4677" s="0" t="n">
        <v>0</v>
      </c>
      <c r="E4677" s="0" t="n">
        <f aca="false">VLOOKUP(B4677,'MSA-Lookup'!$H$2:$I$86,2)</f>
        <v>4480</v>
      </c>
      <c r="F4677" s="0" t="n">
        <f aca="false">IF(C4677&gt;1,IF(C4677&lt;99,VLOOKUP(C4677,'MSA-Lookup'!$H$1:$I$86,2),C4677),C4677)</f>
        <v>7500</v>
      </c>
      <c r="G4677" s="0" t="n">
        <f aca="false">VLOOKUP(E4677,'MSA-Lookup'!$AA$1:$AB$25,2)</f>
        <v>4472</v>
      </c>
      <c r="H4677" s="0" t="n">
        <f aca="false">IF(C4677&gt;1,IF(C4677&lt;99,VLOOKUP(F4677,'MSA-Lookup'!$AA$1:$AB$25,2),C4677),C4677)</f>
        <v>7362</v>
      </c>
    </row>
    <row r="4678" customFormat="false" ht="12.75" hidden="false" customHeight="false" outlineLevel="0" collapsed="false">
      <c r="A4678" s="0" t="n">
        <f aca="false">B4678*1000+C4678</f>
        <v>66015</v>
      </c>
      <c r="B4678" s="0" t="n">
        <v>66</v>
      </c>
      <c r="C4678" s="0" t="n">
        <v>15</v>
      </c>
      <c r="D4678" s="0" t="n">
        <v>0</v>
      </c>
      <c r="E4678" s="0" t="n">
        <f aca="false">VLOOKUP(B4678,'MSA-Lookup'!$H$2:$I$86,2)</f>
        <v>4480</v>
      </c>
      <c r="F4678" s="0" t="n">
        <f aca="false">IF(C4678&gt;1,IF(C4678&lt;99,VLOOKUP(C4678,'MSA-Lookup'!$H$1:$I$86,2),C4678),C4678)</f>
        <v>7360</v>
      </c>
      <c r="G4678" s="0" t="n">
        <f aca="false">VLOOKUP(E4678,'MSA-Lookup'!$AA$1:$AB$25,2)</f>
        <v>4472</v>
      </c>
      <c r="H4678" s="0" t="n">
        <f aca="false">IF(C4678&gt;1,IF(C4678&lt;99,VLOOKUP(F4678,'MSA-Lookup'!$AA$1:$AB$25,2),C4678),C4678)</f>
        <v>7362</v>
      </c>
    </row>
    <row r="4679" customFormat="false" ht="12.75" hidden="false" customHeight="false" outlineLevel="0" collapsed="false">
      <c r="A4679" s="0" t="n">
        <f aca="false">B4679*1000+C4679</f>
        <v>66016</v>
      </c>
      <c r="B4679" s="0" t="n">
        <v>66</v>
      </c>
      <c r="C4679" s="0" t="n">
        <v>16</v>
      </c>
      <c r="D4679" s="0" t="n">
        <v>0</v>
      </c>
      <c r="E4679" s="0" t="n">
        <f aca="false">VLOOKUP(B4679,'MSA-Lookup'!$H$2:$I$86,2)</f>
        <v>4480</v>
      </c>
      <c r="F4679" s="0" t="n">
        <f aca="false">IF(C4679&gt;1,IF(C4679&lt;99,VLOOKUP(C4679,'MSA-Lookup'!$H$1:$I$86,2),C4679),C4679)</f>
        <v>8720</v>
      </c>
      <c r="G4679" s="0" t="n">
        <f aca="false">VLOOKUP(E4679,'MSA-Lookup'!$AA$1:$AB$25,2)</f>
        <v>4472</v>
      </c>
      <c r="H4679" s="0" t="n">
        <f aca="false">IF(C4679&gt;1,IF(C4679&lt;99,VLOOKUP(F4679,'MSA-Lookup'!$AA$1:$AB$25,2),C4679),C4679)</f>
        <v>7362</v>
      </c>
    </row>
    <row r="4680" customFormat="false" ht="12.75" hidden="false" customHeight="false" outlineLevel="0" collapsed="false">
      <c r="A4680" s="0" t="n">
        <f aca="false">B4680*1000+C4680</f>
        <v>66017</v>
      </c>
      <c r="B4680" s="0" t="n">
        <v>66</v>
      </c>
      <c r="C4680" s="0" t="n">
        <v>17</v>
      </c>
      <c r="D4680" s="0" t="n">
        <v>0</v>
      </c>
      <c r="E4680" s="0" t="n">
        <f aca="false">VLOOKUP(B4680,'MSA-Lookup'!$H$2:$I$86,2)</f>
        <v>4480</v>
      </c>
      <c r="F4680" s="0" t="n">
        <f aca="false">IF(C4680&gt;1,IF(C4680&lt;99,VLOOKUP(C4680,'MSA-Lookup'!$H$1:$I$86,2),C4680),C4680)</f>
        <v>5775</v>
      </c>
      <c r="G4680" s="0" t="n">
        <f aca="false">VLOOKUP(E4680,'MSA-Lookup'!$AA$1:$AB$25,2)</f>
        <v>4472</v>
      </c>
      <c r="H4680" s="0" t="n">
        <f aca="false">IF(C4680&gt;1,IF(C4680&lt;99,VLOOKUP(F4680,'MSA-Lookup'!$AA$1:$AB$25,2),C4680),C4680)</f>
        <v>7362</v>
      </c>
    </row>
    <row r="4681" customFormat="false" ht="12.75" hidden="false" customHeight="false" outlineLevel="0" collapsed="false">
      <c r="A4681" s="0" t="n">
        <f aca="false">B4681*1000+C4681</f>
        <v>66018</v>
      </c>
      <c r="B4681" s="0" t="n">
        <v>66</v>
      </c>
      <c r="C4681" s="0" t="n">
        <v>18</v>
      </c>
      <c r="D4681" s="0" t="n">
        <v>169</v>
      </c>
      <c r="E4681" s="0" t="n">
        <f aca="false">VLOOKUP(B4681,'MSA-Lookup'!$H$2:$I$86,2)</f>
        <v>4480</v>
      </c>
      <c r="F4681" s="0" t="n">
        <f aca="false">IF(C4681&gt;1,IF(C4681&lt;99,VLOOKUP(C4681,'MSA-Lookup'!$H$1:$I$86,2),C4681),C4681)</f>
        <v>5775</v>
      </c>
      <c r="G4681" s="0" t="n">
        <f aca="false">VLOOKUP(E4681,'MSA-Lookup'!$AA$1:$AB$25,2)</f>
        <v>4472</v>
      </c>
      <c r="H4681" s="0" t="n">
        <f aca="false">IF(C4681&gt;1,IF(C4681&lt;99,VLOOKUP(F4681,'MSA-Lookup'!$AA$1:$AB$25,2),C4681),C4681)</f>
        <v>7362</v>
      </c>
    </row>
    <row r="4682" customFormat="false" ht="12.75" hidden="false" customHeight="false" outlineLevel="0" collapsed="false">
      <c r="A4682" s="0" t="n">
        <f aca="false">B4682*1000+C4682</f>
        <v>66019</v>
      </c>
      <c r="B4682" s="0" t="n">
        <v>66</v>
      </c>
      <c r="C4682" s="0" t="n">
        <v>19</v>
      </c>
      <c r="D4682" s="0" t="n">
        <v>208</v>
      </c>
      <c r="E4682" s="0" t="n">
        <f aca="false">VLOOKUP(B4682,'MSA-Lookup'!$H$2:$I$86,2)</f>
        <v>4480</v>
      </c>
      <c r="F4682" s="0" t="n">
        <f aca="false">IF(C4682&gt;1,IF(C4682&lt;99,VLOOKUP(C4682,'MSA-Lookup'!$H$1:$I$86,2),C4682),C4682)</f>
        <v>7360</v>
      </c>
      <c r="G4682" s="0" t="n">
        <f aca="false">VLOOKUP(E4682,'MSA-Lookup'!$AA$1:$AB$25,2)</f>
        <v>4472</v>
      </c>
      <c r="H4682" s="0" t="n">
        <f aca="false">IF(C4682&gt;1,IF(C4682&lt;99,VLOOKUP(F4682,'MSA-Lookup'!$AA$1:$AB$25,2),C4682),C4682)</f>
        <v>7362</v>
      </c>
    </row>
    <row r="4683" customFormat="false" ht="12.75" hidden="false" customHeight="false" outlineLevel="0" collapsed="false">
      <c r="A4683" s="0" t="n">
        <f aca="false">B4683*1000+C4683</f>
        <v>66020</v>
      </c>
      <c r="B4683" s="0" t="n">
        <v>66</v>
      </c>
      <c r="C4683" s="0" t="n">
        <v>20</v>
      </c>
      <c r="D4683" s="0" t="n">
        <v>0</v>
      </c>
      <c r="E4683" s="0" t="n">
        <f aca="false">VLOOKUP(B4683,'MSA-Lookup'!$H$2:$I$86,2)</f>
        <v>4480</v>
      </c>
      <c r="F4683" s="0" t="n">
        <f aca="false">IF(C4683&gt;1,IF(C4683&lt;99,VLOOKUP(C4683,'MSA-Lookup'!$H$1:$I$86,2),C4683),C4683)</f>
        <v>5775</v>
      </c>
      <c r="G4683" s="0" t="n">
        <f aca="false">VLOOKUP(E4683,'MSA-Lookup'!$AA$1:$AB$25,2)</f>
        <v>4472</v>
      </c>
      <c r="H4683" s="0" t="n">
        <f aca="false">IF(C4683&gt;1,IF(C4683&lt;99,VLOOKUP(F4683,'MSA-Lookup'!$AA$1:$AB$25,2),C4683),C4683)</f>
        <v>7362</v>
      </c>
    </row>
    <row r="4684" customFormat="false" ht="12.75" hidden="false" customHeight="false" outlineLevel="0" collapsed="false">
      <c r="A4684" s="0" t="n">
        <f aca="false">B4684*1000+C4684</f>
        <v>66021</v>
      </c>
      <c r="B4684" s="0" t="n">
        <v>66</v>
      </c>
      <c r="C4684" s="0" t="n">
        <v>21</v>
      </c>
      <c r="D4684" s="0" t="n">
        <v>0</v>
      </c>
      <c r="E4684" s="0" t="n">
        <f aca="false">VLOOKUP(B4684,'MSA-Lookup'!$H$2:$I$86,2)</f>
        <v>4480</v>
      </c>
      <c r="F4684" s="0" t="n">
        <f aca="false">IF(C4684&gt;1,IF(C4684&lt;99,VLOOKUP(C4684,'MSA-Lookup'!$H$1:$I$86,2),C4684),C4684)</f>
        <v>5775</v>
      </c>
      <c r="G4684" s="0" t="n">
        <f aca="false">VLOOKUP(E4684,'MSA-Lookup'!$AA$1:$AB$25,2)</f>
        <v>4472</v>
      </c>
      <c r="H4684" s="0" t="n">
        <f aca="false">IF(C4684&gt;1,IF(C4684&lt;99,VLOOKUP(F4684,'MSA-Lookup'!$AA$1:$AB$25,2),C4684),C4684)</f>
        <v>7362</v>
      </c>
    </row>
    <row r="4685" customFormat="false" ht="12.75" hidden="false" customHeight="false" outlineLevel="0" collapsed="false">
      <c r="A4685" s="0" t="n">
        <f aca="false">B4685*1000+C4685</f>
        <v>66022</v>
      </c>
      <c r="B4685" s="0" t="n">
        <v>66</v>
      </c>
      <c r="C4685" s="0" t="n">
        <v>22</v>
      </c>
      <c r="D4685" s="0" t="n">
        <v>182</v>
      </c>
      <c r="E4685" s="0" t="n">
        <f aca="false">VLOOKUP(B4685,'MSA-Lookup'!$H$2:$I$86,2)</f>
        <v>4480</v>
      </c>
      <c r="F4685" s="0" t="n">
        <f aca="false">IF(C4685&gt;1,IF(C4685&lt;99,VLOOKUP(C4685,'MSA-Lookup'!$H$1:$I$86,2),C4685),C4685)</f>
        <v>7360</v>
      </c>
      <c r="G4685" s="0" t="n">
        <f aca="false">VLOOKUP(E4685,'MSA-Lookup'!$AA$1:$AB$25,2)</f>
        <v>4472</v>
      </c>
      <c r="H4685" s="0" t="n">
        <f aca="false">IF(C4685&gt;1,IF(C4685&lt;99,VLOOKUP(F4685,'MSA-Lookup'!$AA$1:$AB$25,2),C4685),C4685)</f>
        <v>7362</v>
      </c>
    </row>
    <row r="4686" customFormat="false" ht="12.75" hidden="false" customHeight="false" outlineLevel="0" collapsed="false">
      <c r="A4686" s="0" t="n">
        <f aca="false">B4686*1000+C4686</f>
        <v>66023</v>
      </c>
      <c r="B4686" s="0" t="n">
        <v>66</v>
      </c>
      <c r="C4686" s="0" t="n">
        <v>23</v>
      </c>
      <c r="D4686" s="0" t="n">
        <v>0</v>
      </c>
      <c r="E4686" s="0" t="n">
        <f aca="false">VLOOKUP(B4686,'MSA-Lookup'!$H$2:$I$86,2)</f>
        <v>4480</v>
      </c>
      <c r="F4686" s="0" t="n">
        <f aca="false">IF(C4686&gt;1,IF(C4686&lt;99,VLOOKUP(C4686,'MSA-Lookup'!$H$1:$I$86,2),C4686),C4686)</f>
        <v>8120</v>
      </c>
      <c r="G4686" s="0" t="n">
        <f aca="false">VLOOKUP(E4686,'MSA-Lookup'!$AA$1:$AB$25,2)</f>
        <v>4472</v>
      </c>
      <c r="H4686" s="0" t="n">
        <f aca="false">IF(C4686&gt;1,IF(C4686&lt;99,VLOOKUP(F4686,'MSA-Lookup'!$AA$1:$AB$25,2),C4686),C4686)</f>
        <v>8120</v>
      </c>
    </row>
    <row r="4687" customFormat="false" ht="12.75" hidden="false" customHeight="false" outlineLevel="0" collapsed="false">
      <c r="A4687" s="0" t="n">
        <f aca="false">B4687*1000+C4687</f>
        <v>66024</v>
      </c>
      <c r="B4687" s="0" t="n">
        <v>66</v>
      </c>
      <c r="C4687" s="0" t="n">
        <v>24</v>
      </c>
      <c r="D4687" s="0" t="n">
        <v>0</v>
      </c>
      <c r="E4687" s="0" t="n">
        <f aca="false">VLOOKUP(B4687,'MSA-Lookup'!$H$2:$I$86,2)</f>
        <v>4480</v>
      </c>
      <c r="F4687" s="0" t="n">
        <f aca="false">IF(C4687&gt;1,IF(C4687&lt;99,VLOOKUP(C4687,'MSA-Lookup'!$H$1:$I$86,2),C4687),C4687)</f>
        <v>5170</v>
      </c>
      <c r="G4687" s="0" t="n">
        <f aca="false">VLOOKUP(E4687,'MSA-Lookup'!$AA$1:$AB$25,2)</f>
        <v>4472</v>
      </c>
      <c r="H4687" s="0" t="n">
        <f aca="false">IF(C4687&gt;1,IF(C4687&lt;99,VLOOKUP(F4687,'MSA-Lookup'!$AA$1:$AB$25,2),C4687),C4687)</f>
        <v>5170</v>
      </c>
    </row>
    <row r="4688" customFormat="false" ht="12.75" hidden="false" customHeight="false" outlineLevel="0" collapsed="false">
      <c r="A4688" s="0" t="n">
        <f aca="false">B4688*1000+C4688</f>
        <v>66025</v>
      </c>
      <c r="B4688" s="0" t="n">
        <v>66</v>
      </c>
      <c r="C4688" s="0" t="n">
        <v>25</v>
      </c>
      <c r="D4688" s="0" t="n">
        <v>0</v>
      </c>
      <c r="E4688" s="0" t="n">
        <f aca="false">VLOOKUP(B4688,'MSA-Lookup'!$H$2:$I$86,2)</f>
        <v>4480</v>
      </c>
      <c r="F4688" s="0" t="n">
        <f aca="false">IF(C4688&gt;1,IF(C4688&lt;99,VLOOKUP(C4688,'MSA-Lookup'!$H$1:$I$86,2),C4688),C4688)</f>
        <v>5170</v>
      </c>
      <c r="G4688" s="0" t="n">
        <f aca="false">VLOOKUP(E4688,'MSA-Lookup'!$AA$1:$AB$25,2)</f>
        <v>4472</v>
      </c>
      <c r="H4688" s="0" t="n">
        <f aca="false">IF(C4688&gt;1,IF(C4688&lt;99,VLOOKUP(F4688,'MSA-Lookup'!$AA$1:$AB$25,2),C4688),C4688)</f>
        <v>5170</v>
      </c>
    </row>
    <row r="4689" customFormat="false" ht="12.75" hidden="false" customHeight="false" outlineLevel="0" collapsed="false">
      <c r="A4689" s="0" t="n">
        <f aca="false">B4689*1000+C4689</f>
        <v>66026</v>
      </c>
      <c r="B4689" s="0" t="n">
        <v>66</v>
      </c>
      <c r="C4689" s="0" t="n">
        <v>26</v>
      </c>
      <c r="D4689" s="0" t="n">
        <v>0</v>
      </c>
      <c r="E4689" s="0" t="n">
        <f aca="false">VLOOKUP(B4689,'MSA-Lookup'!$H$2:$I$86,2)</f>
        <v>4480</v>
      </c>
      <c r="F4689" s="0" t="n">
        <f aca="false">IF(C4689&gt;1,IF(C4689&lt;99,VLOOKUP(C4689,'MSA-Lookup'!$H$1:$I$86,2),C4689),C4689)</f>
        <v>9999</v>
      </c>
      <c r="G4689" s="0" t="n">
        <f aca="false">VLOOKUP(E4689,'MSA-Lookup'!$AA$1:$AB$25,2)</f>
        <v>4472</v>
      </c>
      <c r="H4689" s="0" t="n">
        <f aca="false">IF(C4689&gt;1,IF(C4689&lt;99,VLOOKUP(F4689,'MSA-Lookup'!$AA$1:$AB$25,2),C4689),C4689)</f>
        <v>9999</v>
      </c>
    </row>
    <row r="4690" customFormat="false" ht="12.75" hidden="false" customHeight="false" outlineLevel="0" collapsed="false">
      <c r="A4690" s="0" t="n">
        <f aca="false">B4690*1000+C4690</f>
        <v>66027</v>
      </c>
      <c r="B4690" s="0" t="n">
        <v>66</v>
      </c>
      <c r="C4690" s="0" t="n">
        <v>27</v>
      </c>
      <c r="D4690" s="0" t="n">
        <v>0</v>
      </c>
      <c r="E4690" s="0" t="n">
        <f aca="false">VLOOKUP(B4690,'MSA-Lookup'!$H$2:$I$86,2)</f>
        <v>4480</v>
      </c>
      <c r="F4690" s="0" t="n">
        <f aca="false">IF(C4690&gt;1,IF(C4690&lt;99,VLOOKUP(C4690,'MSA-Lookup'!$H$1:$I$86,2),C4690),C4690)</f>
        <v>9999</v>
      </c>
      <c r="G4690" s="0" t="n">
        <f aca="false">VLOOKUP(E4690,'MSA-Lookup'!$AA$1:$AB$25,2)</f>
        <v>4472</v>
      </c>
      <c r="H4690" s="0" t="n">
        <f aca="false">IF(C4690&gt;1,IF(C4690&lt;99,VLOOKUP(F4690,'MSA-Lookup'!$AA$1:$AB$25,2),C4690),C4690)</f>
        <v>9999</v>
      </c>
    </row>
    <row r="4691" customFormat="false" ht="12.75" hidden="false" customHeight="false" outlineLevel="0" collapsed="false">
      <c r="A4691" s="0" t="n">
        <f aca="false">B4691*1000+C4691</f>
        <v>66028</v>
      </c>
      <c r="B4691" s="0" t="n">
        <v>66</v>
      </c>
      <c r="C4691" s="0" t="n">
        <v>28</v>
      </c>
      <c r="D4691" s="0" t="n">
        <v>0</v>
      </c>
      <c r="E4691" s="0" t="n">
        <f aca="false">VLOOKUP(B4691,'MSA-Lookup'!$H$2:$I$86,2)</f>
        <v>4480</v>
      </c>
      <c r="F4691" s="0" t="n">
        <f aca="false">IF(C4691&gt;1,IF(C4691&lt;99,VLOOKUP(C4691,'MSA-Lookup'!$H$1:$I$86,2),C4691),C4691)</f>
        <v>6920</v>
      </c>
      <c r="G4691" s="0" t="n">
        <f aca="false">VLOOKUP(E4691,'MSA-Lookup'!$AA$1:$AB$25,2)</f>
        <v>4472</v>
      </c>
      <c r="H4691" s="0" t="n">
        <f aca="false">IF(C4691&gt;1,IF(C4691&lt;99,VLOOKUP(F4691,'MSA-Lookup'!$AA$1:$AB$25,2),C4691),C4691)</f>
        <v>6920</v>
      </c>
    </row>
    <row r="4692" customFormat="false" ht="12.75" hidden="false" customHeight="false" outlineLevel="0" collapsed="false">
      <c r="A4692" s="0" t="n">
        <f aca="false">B4692*1000+C4692</f>
        <v>66029</v>
      </c>
      <c r="B4692" s="0" t="n">
        <v>66</v>
      </c>
      <c r="C4692" s="0" t="n">
        <v>29</v>
      </c>
      <c r="D4692" s="0" t="n">
        <v>0</v>
      </c>
      <c r="E4692" s="0" t="n">
        <f aca="false">VLOOKUP(B4692,'MSA-Lookup'!$H$2:$I$86,2)</f>
        <v>4480</v>
      </c>
      <c r="F4692" s="0" t="n">
        <f aca="false">IF(C4692&gt;1,IF(C4692&lt;99,VLOOKUP(C4692,'MSA-Lookup'!$H$1:$I$86,2),C4692),C4692)</f>
        <v>6920</v>
      </c>
      <c r="G4692" s="0" t="n">
        <f aca="false">VLOOKUP(E4692,'MSA-Lookup'!$AA$1:$AB$25,2)</f>
        <v>4472</v>
      </c>
      <c r="H4692" s="0" t="n">
        <f aca="false">IF(C4692&gt;1,IF(C4692&lt;99,VLOOKUP(F4692,'MSA-Lookup'!$AA$1:$AB$25,2),C4692),C4692)</f>
        <v>6920</v>
      </c>
    </row>
    <row r="4693" customFormat="false" ht="12.75" hidden="false" customHeight="false" outlineLevel="0" collapsed="false">
      <c r="A4693" s="0" t="n">
        <f aca="false">B4693*1000+C4693</f>
        <v>66030</v>
      </c>
      <c r="B4693" s="0" t="n">
        <v>66</v>
      </c>
      <c r="C4693" s="0" t="n">
        <v>30</v>
      </c>
      <c r="D4693" s="0" t="n">
        <v>0</v>
      </c>
      <c r="E4693" s="0" t="n">
        <f aca="false">VLOOKUP(B4693,'MSA-Lookup'!$H$2:$I$86,2)</f>
        <v>4480</v>
      </c>
      <c r="F4693" s="0" t="n">
        <f aca="false">IF(C4693&gt;1,IF(C4693&lt;99,VLOOKUP(C4693,'MSA-Lookup'!$H$1:$I$86,2),C4693),C4693)</f>
        <v>4940</v>
      </c>
      <c r="G4693" s="0" t="n">
        <f aca="false">VLOOKUP(E4693,'MSA-Lookup'!$AA$1:$AB$25,2)</f>
        <v>4472</v>
      </c>
      <c r="H4693" s="0" t="n">
        <f aca="false">IF(C4693&gt;1,IF(C4693&lt;99,VLOOKUP(F4693,'MSA-Lookup'!$AA$1:$AB$25,2),C4693),C4693)</f>
        <v>4940</v>
      </c>
    </row>
    <row r="4694" customFormat="false" ht="12.75" hidden="false" customHeight="false" outlineLevel="0" collapsed="false">
      <c r="A4694" s="0" t="n">
        <f aca="false">B4694*1000+C4694</f>
        <v>66031</v>
      </c>
      <c r="B4694" s="0" t="n">
        <v>66</v>
      </c>
      <c r="C4694" s="0" t="n">
        <v>31</v>
      </c>
      <c r="D4694" s="0" t="n">
        <v>0</v>
      </c>
      <c r="E4694" s="0" t="n">
        <f aca="false">VLOOKUP(B4694,'MSA-Lookup'!$H$2:$I$86,2)</f>
        <v>4480</v>
      </c>
      <c r="F4694" s="0" t="n">
        <f aca="false">IF(C4694&gt;1,IF(C4694&lt;99,VLOOKUP(C4694,'MSA-Lookup'!$H$1:$I$86,2),C4694),C4694)</f>
        <v>9999</v>
      </c>
      <c r="G4694" s="0" t="n">
        <f aca="false">VLOOKUP(E4694,'MSA-Lookup'!$AA$1:$AB$25,2)</f>
        <v>4472</v>
      </c>
      <c r="H4694" s="0" t="n">
        <f aca="false">IF(C4694&gt;1,IF(C4694&lt;99,VLOOKUP(F4694,'MSA-Lookup'!$AA$1:$AB$25,2),C4694),C4694)</f>
        <v>9999</v>
      </c>
    </row>
    <row r="4695" customFormat="false" ht="12.75" hidden="false" customHeight="false" outlineLevel="0" collapsed="false">
      <c r="A4695" s="0" t="n">
        <f aca="false">B4695*1000+C4695</f>
        <v>66032</v>
      </c>
      <c r="B4695" s="0" t="n">
        <v>66</v>
      </c>
      <c r="C4695" s="0" t="n">
        <v>32</v>
      </c>
      <c r="D4695" s="0" t="n">
        <v>78</v>
      </c>
      <c r="E4695" s="0" t="n">
        <f aca="false">VLOOKUP(B4695,'MSA-Lookup'!$H$2:$I$86,2)</f>
        <v>4480</v>
      </c>
      <c r="F4695" s="0" t="n">
        <f aca="false">IF(C4695&gt;1,IF(C4695&lt;99,VLOOKUP(C4695,'MSA-Lookup'!$H$1:$I$86,2),C4695),C4695)</f>
        <v>7480</v>
      </c>
      <c r="G4695" s="0" t="n">
        <f aca="false">VLOOKUP(E4695,'MSA-Lookup'!$AA$1:$AB$25,2)</f>
        <v>4472</v>
      </c>
      <c r="H4695" s="0" t="n">
        <f aca="false">IF(C4695&gt;1,IF(C4695&lt;99,VLOOKUP(F4695,'MSA-Lookup'!$AA$1:$AB$25,2),C4695),C4695)</f>
        <v>7480</v>
      </c>
    </row>
    <row r="4696" customFormat="false" ht="12.75" hidden="false" customHeight="false" outlineLevel="0" collapsed="false">
      <c r="A4696" s="0" t="n">
        <f aca="false">B4696*1000+C4696</f>
        <v>66033</v>
      </c>
      <c r="B4696" s="0" t="n">
        <v>66</v>
      </c>
      <c r="C4696" s="0" t="n">
        <v>33</v>
      </c>
      <c r="D4696" s="0" t="n">
        <v>221</v>
      </c>
      <c r="E4696" s="0" t="n">
        <f aca="false">VLOOKUP(B4696,'MSA-Lookup'!$H$2:$I$86,2)</f>
        <v>4480</v>
      </c>
      <c r="F4696" s="0" t="n">
        <f aca="false">IF(C4696&gt;1,IF(C4696&lt;99,VLOOKUP(C4696,'MSA-Lookup'!$H$1:$I$86,2),C4696),C4696)</f>
        <v>7320</v>
      </c>
      <c r="G4696" s="0" t="n">
        <f aca="false">VLOOKUP(E4696,'MSA-Lookup'!$AA$1:$AB$25,2)</f>
        <v>4472</v>
      </c>
      <c r="H4696" s="0" t="n">
        <f aca="false">IF(C4696&gt;1,IF(C4696&lt;99,VLOOKUP(F4696,'MSA-Lookup'!$AA$1:$AB$25,2),C4696),C4696)</f>
        <v>7320</v>
      </c>
    </row>
    <row r="4697" customFormat="false" ht="12.75" hidden="false" customHeight="false" outlineLevel="0" collapsed="false">
      <c r="A4697" s="0" t="n">
        <f aca="false">B4697*1000+C4697</f>
        <v>66034</v>
      </c>
      <c r="B4697" s="0" t="n">
        <v>66</v>
      </c>
      <c r="C4697" s="0" t="n">
        <v>34</v>
      </c>
      <c r="D4697" s="0" t="n">
        <v>0</v>
      </c>
      <c r="E4697" s="0" t="n">
        <f aca="false">VLOOKUP(B4697,'MSA-Lookup'!$H$2:$I$86,2)</f>
        <v>4480</v>
      </c>
      <c r="F4697" s="0" t="n">
        <f aca="false">IF(C4697&gt;1,IF(C4697&lt;99,VLOOKUP(C4697,'MSA-Lookup'!$H$1:$I$86,2),C4697),C4697)</f>
        <v>7320</v>
      </c>
      <c r="G4697" s="0" t="n">
        <f aca="false">VLOOKUP(E4697,'MSA-Lookup'!$AA$1:$AB$25,2)</f>
        <v>4472</v>
      </c>
      <c r="H4697" s="0" t="n">
        <f aca="false">IF(C4697&gt;1,IF(C4697&lt;99,VLOOKUP(F4697,'MSA-Lookup'!$AA$1:$AB$25,2),C4697),C4697)</f>
        <v>7320</v>
      </c>
    </row>
    <row r="4698" customFormat="false" ht="12.75" hidden="false" customHeight="false" outlineLevel="0" collapsed="false">
      <c r="A4698" s="0" t="n">
        <f aca="false">B4698*1000+C4698</f>
        <v>66035</v>
      </c>
      <c r="B4698" s="0" t="n">
        <v>66</v>
      </c>
      <c r="C4698" s="0" t="n">
        <v>35</v>
      </c>
      <c r="D4698" s="0" t="n">
        <v>0</v>
      </c>
      <c r="E4698" s="0" t="n">
        <f aca="false">VLOOKUP(B4698,'MSA-Lookup'!$H$2:$I$86,2)</f>
        <v>4480</v>
      </c>
      <c r="F4698" s="0" t="n">
        <f aca="false">IF(C4698&gt;1,IF(C4698&lt;99,VLOOKUP(C4698,'MSA-Lookup'!$H$1:$I$86,2),C4698),C4698)</f>
        <v>7320</v>
      </c>
      <c r="G4698" s="0" t="n">
        <f aca="false">VLOOKUP(E4698,'MSA-Lookup'!$AA$1:$AB$25,2)</f>
        <v>4472</v>
      </c>
      <c r="H4698" s="0" t="n">
        <f aca="false">IF(C4698&gt;1,IF(C4698&lt;99,VLOOKUP(F4698,'MSA-Lookup'!$AA$1:$AB$25,2),C4698),C4698)</f>
        <v>7320</v>
      </c>
    </row>
    <row r="4699" customFormat="false" ht="12.75" hidden="false" customHeight="false" outlineLevel="0" collapsed="false">
      <c r="A4699" s="0" t="n">
        <f aca="false">B4699*1000+C4699</f>
        <v>66036</v>
      </c>
      <c r="B4699" s="0" t="n">
        <v>66</v>
      </c>
      <c r="C4699" s="0" t="n">
        <v>36</v>
      </c>
      <c r="D4699" s="0" t="n">
        <v>0</v>
      </c>
      <c r="E4699" s="0" t="n">
        <f aca="false">VLOOKUP(B4699,'MSA-Lookup'!$H$2:$I$86,2)</f>
        <v>4480</v>
      </c>
      <c r="F4699" s="0" t="n">
        <f aca="false">IF(C4699&gt;1,IF(C4699&lt;99,VLOOKUP(C4699,'MSA-Lookup'!$H$1:$I$86,2),C4699),C4699)</f>
        <v>7320</v>
      </c>
      <c r="G4699" s="0" t="n">
        <f aca="false">VLOOKUP(E4699,'MSA-Lookup'!$AA$1:$AB$25,2)</f>
        <v>4472</v>
      </c>
      <c r="H4699" s="0" t="n">
        <f aca="false">IF(C4699&gt;1,IF(C4699&lt;99,VLOOKUP(F4699,'MSA-Lookup'!$AA$1:$AB$25,2),C4699),C4699)</f>
        <v>7320</v>
      </c>
    </row>
    <row r="4700" customFormat="false" ht="12.75" hidden="false" customHeight="false" outlineLevel="0" collapsed="false">
      <c r="A4700" s="0" t="n">
        <f aca="false">B4700*1000+C4700</f>
        <v>66037</v>
      </c>
      <c r="B4700" s="0" t="n">
        <v>66</v>
      </c>
      <c r="C4700" s="0" t="n">
        <v>37</v>
      </c>
      <c r="D4700" s="0" t="n">
        <v>91</v>
      </c>
      <c r="E4700" s="0" t="n">
        <f aca="false">VLOOKUP(B4700,'MSA-Lookup'!$H$2:$I$86,2)</f>
        <v>4480</v>
      </c>
      <c r="F4700" s="0" t="n">
        <f aca="false">IF(C4700&gt;1,IF(C4700&lt;99,VLOOKUP(C4700,'MSA-Lookup'!$H$1:$I$86,2),C4700),C4700)</f>
        <v>7320</v>
      </c>
      <c r="G4700" s="0" t="n">
        <f aca="false">VLOOKUP(E4700,'MSA-Lookup'!$AA$1:$AB$25,2)</f>
        <v>4472</v>
      </c>
      <c r="H4700" s="0" t="n">
        <f aca="false">IF(C4700&gt;1,IF(C4700&lt;99,VLOOKUP(F4700,'MSA-Lookup'!$AA$1:$AB$25,2),C4700),C4700)</f>
        <v>7320</v>
      </c>
    </row>
    <row r="4701" customFormat="false" ht="12.75" hidden="false" customHeight="false" outlineLevel="0" collapsed="false">
      <c r="A4701" s="0" t="n">
        <f aca="false">B4701*1000+C4701</f>
        <v>66038</v>
      </c>
      <c r="B4701" s="0" t="n">
        <v>66</v>
      </c>
      <c r="C4701" s="0" t="n">
        <v>38</v>
      </c>
      <c r="D4701" s="0" t="n">
        <v>0</v>
      </c>
      <c r="E4701" s="0" t="n">
        <f aca="false">VLOOKUP(B4701,'MSA-Lookup'!$H$2:$I$86,2)</f>
        <v>4480</v>
      </c>
      <c r="F4701" s="0" t="n">
        <f aca="false">IF(C4701&gt;1,IF(C4701&lt;99,VLOOKUP(C4701,'MSA-Lookup'!$H$1:$I$86,2),C4701),C4701)</f>
        <v>7120</v>
      </c>
      <c r="G4701" s="0" t="n">
        <f aca="false">VLOOKUP(E4701,'MSA-Lookup'!$AA$1:$AB$25,2)</f>
        <v>4472</v>
      </c>
      <c r="H4701" s="0" t="n">
        <f aca="false">IF(C4701&gt;1,IF(C4701&lt;99,VLOOKUP(F4701,'MSA-Lookup'!$AA$1:$AB$25,2),C4701),C4701)</f>
        <v>7120</v>
      </c>
    </row>
    <row r="4702" customFormat="false" ht="12.75" hidden="false" customHeight="false" outlineLevel="0" collapsed="false">
      <c r="A4702" s="0" t="n">
        <f aca="false">B4702*1000+C4702</f>
        <v>66039</v>
      </c>
      <c r="B4702" s="0" t="n">
        <v>66</v>
      </c>
      <c r="C4702" s="0" t="n">
        <v>39</v>
      </c>
      <c r="D4702" s="0" t="n">
        <v>0</v>
      </c>
      <c r="E4702" s="0" t="n">
        <f aca="false">VLOOKUP(B4702,'MSA-Lookup'!$H$2:$I$86,2)</f>
        <v>4480</v>
      </c>
      <c r="F4702" s="0" t="n">
        <f aca="false">IF(C4702&gt;1,IF(C4702&lt;99,VLOOKUP(C4702,'MSA-Lookup'!$H$1:$I$86,2),C4702),C4702)</f>
        <v>7120</v>
      </c>
      <c r="G4702" s="0" t="n">
        <f aca="false">VLOOKUP(E4702,'MSA-Lookup'!$AA$1:$AB$25,2)</f>
        <v>4472</v>
      </c>
      <c r="H4702" s="0" t="n">
        <f aca="false">IF(C4702&gt;1,IF(C4702&lt;99,VLOOKUP(F4702,'MSA-Lookup'!$AA$1:$AB$25,2),C4702),C4702)</f>
        <v>7120</v>
      </c>
    </row>
    <row r="4703" customFormat="false" ht="12.75" hidden="false" customHeight="false" outlineLevel="0" collapsed="false">
      <c r="A4703" s="0" t="n">
        <f aca="false">B4703*1000+C4703</f>
        <v>66040</v>
      </c>
      <c r="B4703" s="0" t="n">
        <v>66</v>
      </c>
      <c r="C4703" s="0" t="n">
        <v>40</v>
      </c>
      <c r="D4703" s="0" t="n">
        <v>130</v>
      </c>
      <c r="E4703" s="0" t="n">
        <f aca="false">VLOOKUP(B4703,'MSA-Lookup'!$H$2:$I$86,2)</f>
        <v>4480</v>
      </c>
      <c r="F4703" s="0" t="n">
        <f aca="false">IF(C4703&gt;1,IF(C4703&lt;99,VLOOKUP(C4703,'MSA-Lookup'!$H$1:$I$86,2),C4703),C4703)</f>
        <v>2840</v>
      </c>
      <c r="G4703" s="0" t="n">
        <f aca="false">VLOOKUP(E4703,'MSA-Lookup'!$AA$1:$AB$25,2)</f>
        <v>4472</v>
      </c>
      <c r="H4703" s="0" t="n">
        <f aca="false">IF(C4703&gt;1,IF(C4703&lt;99,VLOOKUP(F4703,'MSA-Lookup'!$AA$1:$AB$25,2),C4703),C4703)</f>
        <v>2840</v>
      </c>
    </row>
    <row r="4704" customFormat="false" ht="12.75" hidden="false" customHeight="false" outlineLevel="0" collapsed="false">
      <c r="A4704" s="0" t="n">
        <f aca="false">B4704*1000+C4704</f>
        <v>66041</v>
      </c>
      <c r="B4704" s="0" t="n">
        <v>66</v>
      </c>
      <c r="C4704" s="0" t="n">
        <v>41</v>
      </c>
      <c r="D4704" s="0" t="n">
        <v>0</v>
      </c>
      <c r="E4704" s="0" t="n">
        <f aca="false">VLOOKUP(B4704,'MSA-Lookup'!$H$2:$I$86,2)</f>
        <v>4480</v>
      </c>
      <c r="F4704" s="0" t="n">
        <f aca="false">IF(C4704&gt;1,IF(C4704&lt;99,VLOOKUP(C4704,'MSA-Lookup'!$H$1:$I$86,2),C4704),C4704)</f>
        <v>2840</v>
      </c>
      <c r="G4704" s="0" t="n">
        <f aca="false">VLOOKUP(E4704,'MSA-Lookup'!$AA$1:$AB$25,2)</f>
        <v>4472</v>
      </c>
      <c r="H4704" s="0" t="n">
        <f aca="false">IF(C4704&gt;1,IF(C4704&lt;99,VLOOKUP(F4704,'MSA-Lookup'!$AA$1:$AB$25,2),C4704),C4704)</f>
        <v>2840</v>
      </c>
    </row>
    <row r="4705" customFormat="false" ht="12.75" hidden="false" customHeight="false" outlineLevel="0" collapsed="false">
      <c r="A4705" s="0" t="n">
        <f aca="false">B4705*1000+C4705</f>
        <v>66042</v>
      </c>
      <c r="B4705" s="0" t="n">
        <v>66</v>
      </c>
      <c r="C4705" s="0" t="n">
        <v>42</v>
      </c>
      <c r="D4705" s="0" t="n">
        <v>2717</v>
      </c>
      <c r="E4705" s="0" t="n">
        <f aca="false">VLOOKUP(B4705,'MSA-Lookup'!$H$2:$I$86,2)</f>
        <v>4480</v>
      </c>
      <c r="F4705" s="0" t="n">
        <f aca="false">IF(C4705&gt;1,IF(C4705&lt;99,VLOOKUP(C4705,'MSA-Lookup'!$H$1:$I$86,2),C4705),C4705)</f>
        <v>360</v>
      </c>
      <c r="G4705" s="0" t="n">
        <f aca="false">VLOOKUP(E4705,'MSA-Lookup'!$AA$1:$AB$25,2)</f>
        <v>4472</v>
      </c>
      <c r="H4705" s="0" t="n">
        <f aca="false">IF(C4705&gt;1,IF(C4705&lt;99,VLOOKUP(F4705,'MSA-Lookup'!$AA$1:$AB$25,2),C4705),C4705)</f>
        <v>4472</v>
      </c>
    </row>
    <row r="4706" customFormat="false" ht="12.75" hidden="false" customHeight="false" outlineLevel="0" collapsed="false">
      <c r="A4706" s="0" t="n">
        <f aca="false">B4706*1000+C4706</f>
        <v>66043</v>
      </c>
      <c r="B4706" s="0" t="n">
        <v>66</v>
      </c>
      <c r="C4706" s="0" t="n">
        <v>43</v>
      </c>
      <c r="D4706" s="0" t="n">
        <v>468</v>
      </c>
      <c r="E4706" s="0" t="n">
        <f aca="false">VLOOKUP(B4706,'MSA-Lookup'!$H$2:$I$86,2)</f>
        <v>4480</v>
      </c>
      <c r="F4706" s="0" t="n">
        <f aca="false">IF(C4706&gt;1,IF(C4706&lt;99,VLOOKUP(C4706,'MSA-Lookup'!$H$1:$I$86,2),C4706),C4706)</f>
        <v>360</v>
      </c>
      <c r="G4706" s="0" t="n">
        <f aca="false">VLOOKUP(E4706,'MSA-Lookup'!$AA$1:$AB$25,2)</f>
        <v>4472</v>
      </c>
      <c r="H4706" s="0" t="n">
        <f aca="false">IF(C4706&gt;1,IF(C4706&lt;99,VLOOKUP(F4706,'MSA-Lookup'!$AA$1:$AB$25,2),C4706),C4706)</f>
        <v>4472</v>
      </c>
    </row>
    <row r="4707" customFormat="false" ht="12.75" hidden="false" customHeight="false" outlineLevel="0" collapsed="false">
      <c r="A4707" s="0" t="n">
        <f aca="false">B4707*1000+C4707</f>
        <v>66044</v>
      </c>
      <c r="B4707" s="0" t="n">
        <v>66</v>
      </c>
      <c r="C4707" s="0" t="n">
        <v>44</v>
      </c>
      <c r="D4707" s="0" t="n">
        <v>546</v>
      </c>
      <c r="E4707" s="0" t="n">
        <f aca="false">VLOOKUP(B4707,'MSA-Lookup'!$H$2:$I$86,2)</f>
        <v>4480</v>
      </c>
      <c r="F4707" s="0" t="n">
        <f aca="false">IF(C4707&gt;1,IF(C4707&lt;99,VLOOKUP(C4707,'MSA-Lookup'!$H$1:$I$86,2),C4707),C4707)</f>
        <v>360</v>
      </c>
      <c r="G4707" s="0" t="n">
        <f aca="false">VLOOKUP(E4707,'MSA-Lookup'!$AA$1:$AB$25,2)</f>
        <v>4472</v>
      </c>
      <c r="H4707" s="0" t="n">
        <f aca="false">IF(C4707&gt;1,IF(C4707&lt;99,VLOOKUP(F4707,'MSA-Lookup'!$AA$1:$AB$25,2),C4707),C4707)</f>
        <v>4472</v>
      </c>
    </row>
    <row r="4708" customFormat="false" ht="12.75" hidden="false" customHeight="false" outlineLevel="0" collapsed="false">
      <c r="A4708" s="0" t="n">
        <f aca="false">B4708*1000+C4708</f>
        <v>66045</v>
      </c>
      <c r="B4708" s="0" t="n">
        <v>66</v>
      </c>
      <c r="C4708" s="0" t="n">
        <v>45</v>
      </c>
      <c r="D4708" s="0" t="n">
        <v>0</v>
      </c>
      <c r="E4708" s="0" t="n">
        <f aca="false">VLOOKUP(B4708,'MSA-Lookup'!$H$2:$I$86,2)</f>
        <v>4480</v>
      </c>
      <c r="F4708" s="0" t="n">
        <f aca="false">IF(C4708&gt;1,IF(C4708&lt;99,VLOOKUP(C4708,'MSA-Lookup'!$H$1:$I$86,2),C4708),C4708)</f>
        <v>360</v>
      </c>
      <c r="G4708" s="0" t="n">
        <f aca="false">VLOOKUP(E4708,'MSA-Lookup'!$AA$1:$AB$25,2)</f>
        <v>4472</v>
      </c>
      <c r="H4708" s="0" t="n">
        <f aca="false">IF(C4708&gt;1,IF(C4708&lt;99,VLOOKUP(F4708,'MSA-Lookup'!$AA$1:$AB$25,2),C4708),C4708)</f>
        <v>4472</v>
      </c>
    </row>
    <row r="4709" customFormat="false" ht="12.75" hidden="false" customHeight="false" outlineLevel="0" collapsed="false">
      <c r="A4709" s="0" t="n">
        <f aca="false">B4709*1000+C4709</f>
        <v>66046</v>
      </c>
      <c r="B4709" s="0" t="n">
        <v>66</v>
      </c>
      <c r="C4709" s="0" t="n">
        <v>46</v>
      </c>
      <c r="D4709" s="0" t="n">
        <v>1235</v>
      </c>
      <c r="E4709" s="0" t="n">
        <f aca="false">VLOOKUP(B4709,'MSA-Lookup'!$H$2:$I$86,2)</f>
        <v>4480</v>
      </c>
      <c r="F4709" s="0" t="n">
        <f aca="false">IF(C4709&gt;1,IF(C4709&lt;99,VLOOKUP(C4709,'MSA-Lookup'!$H$1:$I$86,2),C4709),C4709)</f>
        <v>360</v>
      </c>
      <c r="G4709" s="0" t="n">
        <f aca="false">VLOOKUP(E4709,'MSA-Lookup'!$AA$1:$AB$25,2)</f>
        <v>4472</v>
      </c>
      <c r="H4709" s="0" t="n">
        <f aca="false">IF(C4709&gt;1,IF(C4709&lt;99,VLOOKUP(F4709,'MSA-Lookup'!$AA$1:$AB$25,2),C4709),C4709)</f>
        <v>4472</v>
      </c>
    </row>
    <row r="4710" customFormat="false" ht="12.75" hidden="false" customHeight="false" outlineLevel="0" collapsed="false">
      <c r="A4710" s="0" t="n">
        <f aca="false">B4710*1000+C4710</f>
        <v>66047</v>
      </c>
      <c r="B4710" s="0" t="n">
        <v>66</v>
      </c>
      <c r="C4710" s="0" t="n">
        <v>47</v>
      </c>
      <c r="D4710" s="0" t="n">
        <v>2613</v>
      </c>
      <c r="E4710" s="0" t="n">
        <f aca="false">VLOOKUP(B4710,'MSA-Lookup'!$H$2:$I$86,2)</f>
        <v>4480</v>
      </c>
      <c r="F4710" s="0" t="n">
        <f aca="false">IF(C4710&gt;1,IF(C4710&lt;99,VLOOKUP(C4710,'MSA-Lookup'!$H$1:$I$86,2),C4710),C4710)</f>
        <v>360</v>
      </c>
      <c r="G4710" s="0" t="n">
        <f aca="false">VLOOKUP(E4710,'MSA-Lookup'!$AA$1:$AB$25,2)</f>
        <v>4472</v>
      </c>
      <c r="H4710" s="0" t="n">
        <f aca="false">IF(C4710&gt;1,IF(C4710&lt;99,VLOOKUP(F4710,'MSA-Lookup'!$AA$1:$AB$25,2),C4710),C4710)</f>
        <v>4472</v>
      </c>
    </row>
    <row r="4711" customFormat="false" ht="12.75" hidden="false" customHeight="false" outlineLevel="0" collapsed="false">
      <c r="A4711" s="0" t="n">
        <f aca="false">B4711*1000+C4711</f>
        <v>66048</v>
      </c>
      <c r="B4711" s="0" t="n">
        <v>66</v>
      </c>
      <c r="C4711" s="0" t="n">
        <v>48</v>
      </c>
      <c r="D4711" s="0" t="n">
        <v>18304</v>
      </c>
      <c r="E4711" s="0" t="n">
        <f aca="false">VLOOKUP(B4711,'MSA-Lookup'!$H$2:$I$86,2)</f>
        <v>4480</v>
      </c>
      <c r="F4711" s="0" t="n">
        <f aca="false">IF(C4711&gt;1,IF(C4711&lt;99,VLOOKUP(C4711,'MSA-Lookup'!$H$1:$I$86,2),C4711),C4711)</f>
        <v>360</v>
      </c>
      <c r="G4711" s="0" t="n">
        <f aca="false">VLOOKUP(E4711,'MSA-Lookup'!$AA$1:$AB$25,2)</f>
        <v>4472</v>
      </c>
      <c r="H4711" s="0" t="n">
        <f aca="false">IF(C4711&gt;1,IF(C4711&lt;99,VLOOKUP(F4711,'MSA-Lookup'!$AA$1:$AB$25,2),C4711),C4711)</f>
        <v>4472</v>
      </c>
    </row>
    <row r="4712" customFormat="false" ht="12.75" hidden="false" customHeight="false" outlineLevel="0" collapsed="false">
      <c r="A4712" s="0" t="n">
        <f aca="false">B4712*1000+C4712</f>
        <v>66049</v>
      </c>
      <c r="B4712" s="0" t="n">
        <v>66</v>
      </c>
      <c r="C4712" s="0" t="n">
        <v>49</v>
      </c>
      <c r="D4712" s="0" t="n">
        <v>0</v>
      </c>
      <c r="E4712" s="0" t="n">
        <f aca="false">VLOOKUP(B4712,'MSA-Lookup'!$H$2:$I$86,2)</f>
        <v>4480</v>
      </c>
      <c r="F4712" s="0" t="n">
        <f aca="false">IF(C4712&gt;1,IF(C4712&lt;99,VLOOKUP(C4712,'MSA-Lookup'!$H$1:$I$86,2),C4712),C4712)</f>
        <v>7400</v>
      </c>
      <c r="G4712" s="0" t="n">
        <f aca="false">VLOOKUP(E4712,'MSA-Lookup'!$AA$1:$AB$25,2)</f>
        <v>4472</v>
      </c>
      <c r="H4712" s="0" t="n">
        <f aca="false">IF(C4712&gt;1,IF(C4712&lt;99,VLOOKUP(F4712,'MSA-Lookup'!$AA$1:$AB$25,2),C4712),C4712)</f>
        <v>7362</v>
      </c>
    </row>
    <row r="4713" customFormat="false" ht="12.75" hidden="false" customHeight="false" outlineLevel="0" collapsed="false">
      <c r="A4713" s="0" t="n">
        <f aca="false">B4713*1000+C4713</f>
        <v>66050</v>
      </c>
      <c r="B4713" s="0" t="n">
        <v>66</v>
      </c>
      <c r="C4713" s="0" t="n">
        <v>50</v>
      </c>
      <c r="D4713" s="0" t="n">
        <v>0</v>
      </c>
      <c r="E4713" s="0" t="n">
        <f aca="false">VLOOKUP(B4713,'MSA-Lookup'!$H$2:$I$86,2)</f>
        <v>4480</v>
      </c>
      <c r="F4713" s="0" t="n">
        <f aca="false">IF(C4713&gt;1,IF(C4713&lt;99,VLOOKUP(C4713,'MSA-Lookup'!$H$1:$I$86,2),C4713),C4713)</f>
        <v>7400</v>
      </c>
      <c r="G4713" s="0" t="n">
        <f aca="false">VLOOKUP(E4713,'MSA-Lookup'!$AA$1:$AB$25,2)</f>
        <v>4472</v>
      </c>
      <c r="H4713" s="0" t="n">
        <f aca="false">IF(C4713&gt;1,IF(C4713&lt;99,VLOOKUP(F4713,'MSA-Lookup'!$AA$1:$AB$25,2),C4713),C4713)</f>
        <v>7362</v>
      </c>
    </row>
    <row r="4714" customFormat="false" ht="12.75" hidden="false" customHeight="false" outlineLevel="0" collapsed="false">
      <c r="A4714" s="0" t="n">
        <f aca="false">B4714*1000+C4714</f>
        <v>66051</v>
      </c>
      <c r="B4714" s="0" t="n">
        <v>66</v>
      </c>
      <c r="C4714" s="0" t="n">
        <v>51</v>
      </c>
      <c r="D4714" s="0" t="n">
        <v>0</v>
      </c>
      <c r="E4714" s="0" t="n">
        <f aca="false">VLOOKUP(B4714,'MSA-Lookup'!$H$2:$I$86,2)</f>
        <v>4480</v>
      </c>
      <c r="F4714" s="0" t="n">
        <f aca="false">IF(C4714&gt;1,IF(C4714&lt;99,VLOOKUP(C4714,'MSA-Lookup'!$H$1:$I$86,2),C4714),C4714)</f>
        <v>7400</v>
      </c>
      <c r="G4714" s="0" t="n">
        <f aca="false">VLOOKUP(E4714,'MSA-Lookup'!$AA$1:$AB$25,2)</f>
        <v>4472</v>
      </c>
      <c r="H4714" s="0" t="n">
        <f aca="false">IF(C4714&gt;1,IF(C4714&lt;99,VLOOKUP(F4714,'MSA-Lookup'!$AA$1:$AB$25,2),C4714),C4714)</f>
        <v>7362</v>
      </c>
    </row>
    <row r="4715" customFormat="false" ht="12.75" hidden="false" customHeight="false" outlineLevel="0" collapsed="false">
      <c r="A4715" s="0" t="n">
        <f aca="false">B4715*1000+C4715</f>
        <v>66052</v>
      </c>
      <c r="B4715" s="0" t="n">
        <v>66</v>
      </c>
      <c r="C4715" s="0" t="n">
        <v>52</v>
      </c>
      <c r="D4715" s="0" t="n">
        <v>1183</v>
      </c>
      <c r="E4715" s="0" t="n">
        <f aca="false">VLOOKUP(B4715,'MSA-Lookup'!$H$2:$I$86,2)</f>
        <v>4480</v>
      </c>
      <c r="F4715" s="0" t="n">
        <f aca="false">IF(C4715&gt;1,IF(C4715&lt;99,VLOOKUP(C4715,'MSA-Lookup'!$H$1:$I$86,2),C4715),C4715)</f>
        <v>4480</v>
      </c>
      <c r="G4715" s="0" t="n">
        <f aca="false">VLOOKUP(E4715,'MSA-Lookup'!$AA$1:$AB$25,2)</f>
        <v>4472</v>
      </c>
      <c r="H4715" s="0" t="n">
        <f aca="false">IF(C4715&gt;1,IF(C4715&lt;99,VLOOKUP(F4715,'MSA-Lookup'!$AA$1:$AB$25,2),C4715),C4715)</f>
        <v>4472</v>
      </c>
    </row>
    <row r="4716" customFormat="false" ht="12.75" hidden="false" customHeight="false" outlineLevel="0" collapsed="false">
      <c r="A4716" s="0" t="n">
        <f aca="false">B4716*1000+C4716</f>
        <v>66053</v>
      </c>
      <c r="B4716" s="0" t="n">
        <v>66</v>
      </c>
      <c r="C4716" s="0" t="n">
        <v>53</v>
      </c>
      <c r="D4716" s="0" t="n">
        <v>663</v>
      </c>
      <c r="E4716" s="0" t="n">
        <f aca="false">VLOOKUP(B4716,'MSA-Lookup'!$H$2:$I$86,2)</f>
        <v>4480</v>
      </c>
      <c r="F4716" s="0" t="n">
        <f aca="false">IF(C4716&gt;1,IF(C4716&lt;99,VLOOKUP(C4716,'MSA-Lookup'!$H$1:$I$86,2),C4716),C4716)</f>
        <v>4480</v>
      </c>
      <c r="G4716" s="0" t="n">
        <f aca="false">VLOOKUP(E4716,'MSA-Lookup'!$AA$1:$AB$25,2)</f>
        <v>4472</v>
      </c>
      <c r="H4716" s="0" t="n">
        <f aca="false">IF(C4716&gt;1,IF(C4716&lt;99,VLOOKUP(F4716,'MSA-Lookup'!$AA$1:$AB$25,2),C4716),C4716)</f>
        <v>4472</v>
      </c>
    </row>
    <row r="4717" customFormat="false" ht="12.75" hidden="false" customHeight="false" outlineLevel="0" collapsed="false">
      <c r="A4717" s="0" t="n">
        <f aca="false">B4717*1000+C4717</f>
        <v>66054</v>
      </c>
      <c r="B4717" s="0" t="n">
        <v>66</v>
      </c>
      <c r="C4717" s="0" t="n">
        <v>54</v>
      </c>
      <c r="D4717" s="0" t="n">
        <v>325</v>
      </c>
      <c r="E4717" s="0" t="n">
        <f aca="false">VLOOKUP(B4717,'MSA-Lookup'!$H$2:$I$86,2)</f>
        <v>4480</v>
      </c>
      <c r="F4717" s="0" t="n">
        <f aca="false">IF(C4717&gt;1,IF(C4717&lt;99,VLOOKUP(C4717,'MSA-Lookup'!$H$1:$I$86,2),C4717),C4717)</f>
        <v>4480</v>
      </c>
      <c r="G4717" s="0" t="n">
        <f aca="false">VLOOKUP(E4717,'MSA-Lookup'!$AA$1:$AB$25,2)</f>
        <v>4472</v>
      </c>
      <c r="H4717" s="0" t="n">
        <f aca="false">IF(C4717&gt;1,IF(C4717&lt;99,VLOOKUP(F4717,'MSA-Lookup'!$AA$1:$AB$25,2),C4717),C4717)</f>
        <v>4472</v>
      </c>
    </row>
    <row r="4718" customFormat="false" ht="12.75" hidden="false" customHeight="false" outlineLevel="0" collapsed="false">
      <c r="A4718" s="0" t="n">
        <f aca="false">B4718*1000+C4718</f>
        <v>66055</v>
      </c>
      <c r="B4718" s="0" t="n">
        <v>66</v>
      </c>
      <c r="C4718" s="0" t="n">
        <v>55</v>
      </c>
      <c r="D4718" s="0" t="n">
        <v>247</v>
      </c>
      <c r="E4718" s="0" t="n">
        <f aca="false">VLOOKUP(B4718,'MSA-Lookup'!$H$2:$I$86,2)</f>
        <v>4480</v>
      </c>
      <c r="F4718" s="0" t="n">
        <f aca="false">IF(C4718&gt;1,IF(C4718&lt;99,VLOOKUP(C4718,'MSA-Lookup'!$H$1:$I$86,2),C4718),C4718)</f>
        <v>4480</v>
      </c>
      <c r="G4718" s="0" t="n">
        <f aca="false">VLOOKUP(E4718,'MSA-Lookup'!$AA$1:$AB$25,2)</f>
        <v>4472</v>
      </c>
      <c r="H4718" s="0" t="n">
        <f aca="false">IF(C4718&gt;1,IF(C4718&lt;99,VLOOKUP(F4718,'MSA-Lookup'!$AA$1:$AB$25,2),C4718),C4718)</f>
        <v>4472</v>
      </c>
    </row>
    <row r="4719" customFormat="false" ht="12.75" hidden="false" customHeight="false" outlineLevel="0" collapsed="false">
      <c r="A4719" s="0" t="n">
        <f aca="false">B4719*1000+C4719</f>
        <v>66056</v>
      </c>
      <c r="B4719" s="0" t="n">
        <v>66</v>
      </c>
      <c r="C4719" s="0" t="n">
        <v>56</v>
      </c>
      <c r="D4719" s="0" t="n">
        <v>1118</v>
      </c>
      <c r="E4719" s="0" t="n">
        <f aca="false">VLOOKUP(B4719,'MSA-Lookup'!$H$2:$I$86,2)</f>
        <v>4480</v>
      </c>
      <c r="F4719" s="0" t="n">
        <f aca="false">IF(C4719&gt;1,IF(C4719&lt;99,VLOOKUP(C4719,'MSA-Lookup'!$H$1:$I$86,2),C4719),C4719)</f>
        <v>4480</v>
      </c>
      <c r="G4719" s="0" t="n">
        <f aca="false">VLOOKUP(E4719,'MSA-Lookup'!$AA$1:$AB$25,2)</f>
        <v>4472</v>
      </c>
      <c r="H4719" s="0" t="n">
        <f aca="false">IF(C4719&gt;1,IF(C4719&lt;99,VLOOKUP(F4719,'MSA-Lookup'!$AA$1:$AB$25,2),C4719),C4719)</f>
        <v>4472</v>
      </c>
    </row>
    <row r="4720" customFormat="false" ht="12.75" hidden="false" customHeight="false" outlineLevel="0" collapsed="false">
      <c r="A4720" s="0" t="n">
        <f aca="false">B4720*1000+C4720</f>
        <v>66057</v>
      </c>
      <c r="B4720" s="0" t="n">
        <v>66</v>
      </c>
      <c r="C4720" s="0" t="n">
        <v>57</v>
      </c>
      <c r="D4720" s="0" t="n">
        <v>1781</v>
      </c>
      <c r="E4720" s="0" t="n">
        <f aca="false">VLOOKUP(B4720,'MSA-Lookup'!$H$2:$I$86,2)</f>
        <v>4480</v>
      </c>
      <c r="F4720" s="0" t="n">
        <f aca="false">IF(C4720&gt;1,IF(C4720&lt;99,VLOOKUP(C4720,'MSA-Lookup'!$H$1:$I$86,2),C4720),C4720)</f>
        <v>4480</v>
      </c>
      <c r="G4720" s="0" t="n">
        <f aca="false">VLOOKUP(E4720,'MSA-Lookup'!$AA$1:$AB$25,2)</f>
        <v>4472</v>
      </c>
      <c r="H4720" s="0" t="n">
        <f aca="false">IF(C4720&gt;1,IF(C4720&lt;99,VLOOKUP(F4720,'MSA-Lookup'!$AA$1:$AB$25,2),C4720),C4720)</f>
        <v>4472</v>
      </c>
    </row>
    <row r="4721" customFormat="false" ht="12.75" hidden="false" customHeight="false" outlineLevel="0" collapsed="false">
      <c r="A4721" s="0" t="n">
        <f aca="false">B4721*1000+C4721</f>
        <v>66058</v>
      </c>
      <c r="B4721" s="0" t="n">
        <v>66</v>
      </c>
      <c r="C4721" s="0" t="n">
        <v>58</v>
      </c>
      <c r="D4721" s="0" t="n">
        <v>143</v>
      </c>
      <c r="E4721" s="0" t="n">
        <f aca="false">VLOOKUP(B4721,'MSA-Lookup'!$H$2:$I$86,2)</f>
        <v>4480</v>
      </c>
      <c r="F4721" s="0" t="n">
        <f aca="false">IF(C4721&gt;1,IF(C4721&lt;99,VLOOKUP(C4721,'MSA-Lookup'!$H$1:$I$86,2),C4721),C4721)</f>
        <v>4480</v>
      </c>
      <c r="G4721" s="0" t="n">
        <f aca="false">VLOOKUP(E4721,'MSA-Lookup'!$AA$1:$AB$25,2)</f>
        <v>4472</v>
      </c>
      <c r="H4721" s="0" t="n">
        <f aca="false">IF(C4721&gt;1,IF(C4721&lt;99,VLOOKUP(F4721,'MSA-Lookup'!$AA$1:$AB$25,2),C4721),C4721)</f>
        <v>4472</v>
      </c>
    </row>
    <row r="4722" customFormat="false" ht="12.75" hidden="false" customHeight="false" outlineLevel="0" collapsed="false">
      <c r="A4722" s="0" t="n">
        <f aca="false">B4722*1000+C4722</f>
        <v>66059</v>
      </c>
      <c r="B4722" s="0" t="n">
        <v>66</v>
      </c>
      <c r="C4722" s="0" t="n">
        <v>59</v>
      </c>
      <c r="D4722" s="0" t="n">
        <v>234</v>
      </c>
      <c r="E4722" s="0" t="n">
        <f aca="false">VLOOKUP(B4722,'MSA-Lookup'!$H$2:$I$86,2)</f>
        <v>4480</v>
      </c>
      <c r="F4722" s="0" t="n">
        <f aca="false">IF(C4722&gt;1,IF(C4722&lt;99,VLOOKUP(C4722,'MSA-Lookup'!$H$1:$I$86,2),C4722),C4722)</f>
        <v>4480</v>
      </c>
      <c r="G4722" s="0" t="n">
        <f aca="false">VLOOKUP(E4722,'MSA-Lookup'!$AA$1:$AB$25,2)</f>
        <v>4472</v>
      </c>
      <c r="H4722" s="0" t="n">
        <f aca="false">IF(C4722&gt;1,IF(C4722&lt;99,VLOOKUP(F4722,'MSA-Lookup'!$AA$1:$AB$25,2),C4722),C4722)</f>
        <v>4472</v>
      </c>
    </row>
    <row r="4723" customFormat="false" ht="12.75" hidden="false" customHeight="false" outlineLevel="0" collapsed="false">
      <c r="A4723" s="0" t="n">
        <f aca="false">B4723*1000+C4723</f>
        <v>66060</v>
      </c>
      <c r="B4723" s="0" t="n">
        <v>66</v>
      </c>
      <c r="C4723" s="0" t="n">
        <v>60</v>
      </c>
      <c r="D4723" s="0" t="n">
        <v>8814</v>
      </c>
      <c r="E4723" s="0" t="n">
        <f aca="false">VLOOKUP(B4723,'MSA-Lookup'!$H$2:$I$86,2)</f>
        <v>4480</v>
      </c>
      <c r="F4723" s="0" t="n">
        <f aca="false">IF(C4723&gt;1,IF(C4723&lt;99,VLOOKUP(C4723,'MSA-Lookup'!$H$1:$I$86,2),C4723),C4723)</f>
        <v>4480</v>
      </c>
      <c r="G4723" s="0" t="n">
        <f aca="false">VLOOKUP(E4723,'MSA-Lookup'!$AA$1:$AB$25,2)</f>
        <v>4472</v>
      </c>
      <c r="H4723" s="0" t="n">
        <f aca="false">IF(C4723&gt;1,IF(C4723&lt;99,VLOOKUP(F4723,'MSA-Lookup'!$AA$1:$AB$25,2),C4723),C4723)</f>
        <v>4472</v>
      </c>
    </row>
    <row r="4724" customFormat="false" ht="12.75" hidden="false" customHeight="false" outlineLevel="0" collapsed="false">
      <c r="A4724" s="0" t="n">
        <f aca="false">B4724*1000+C4724</f>
        <v>66061</v>
      </c>
      <c r="B4724" s="0" t="n">
        <v>66</v>
      </c>
      <c r="C4724" s="0" t="n">
        <v>61</v>
      </c>
      <c r="D4724" s="0" t="n">
        <v>429</v>
      </c>
      <c r="E4724" s="0" t="n">
        <f aca="false">VLOOKUP(B4724,'MSA-Lookup'!$H$2:$I$86,2)</f>
        <v>4480</v>
      </c>
      <c r="F4724" s="0" t="n">
        <f aca="false">IF(C4724&gt;1,IF(C4724&lt;99,VLOOKUP(C4724,'MSA-Lookup'!$H$1:$I$86,2),C4724),C4724)</f>
        <v>4480</v>
      </c>
      <c r="G4724" s="0" t="n">
        <f aca="false">VLOOKUP(E4724,'MSA-Lookup'!$AA$1:$AB$25,2)</f>
        <v>4472</v>
      </c>
      <c r="H4724" s="0" t="n">
        <f aca="false">IF(C4724&gt;1,IF(C4724&lt;99,VLOOKUP(F4724,'MSA-Lookup'!$AA$1:$AB$25,2),C4724),C4724)</f>
        <v>4472</v>
      </c>
    </row>
    <row r="4725" customFormat="false" ht="12.75" hidden="false" customHeight="false" outlineLevel="0" collapsed="false">
      <c r="A4725" s="0" t="n">
        <f aca="false">B4725*1000+C4725</f>
        <v>66062</v>
      </c>
      <c r="B4725" s="0" t="n">
        <v>66</v>
      </c>
      <c r="C4725" s="0" t="n">
        <v>62</v>
      </c>
      <c r="D4725" s="0" t="n">
        <v>442</v>
      </c>
      <c r="E4725" s="0" t="n">
        <f aca="false">VLOOKUP(B4725,'MSA-Lookup'!$H$2:$I$86,2)</f>
        <v>4480</v>
      </c>
      <c r="F4725" s="0" t="n">
        <f aca="false">IF(C4725&gt;1,IF(C4725&lt;99,VLOOKUP(C4725,'MSA-Lookup'!$H$1:$I$86,2),C4725),C4725)</f>
        <v>4480</v>
      </c>
      <c r="G4725" s="0" t="n">
        <f aca="false">VLOOKUP(E4725,'MSA-Lookup'!$AA$1:$AB$25,2)</f>
        <v>4472</v>
      </c>
      <c r="H4725" s="0" t="n">
        <f aca="false">IF(C4725&gt;1,IF(C4725&lt;99,VLOOKUP(F4725,'MSA-Lookup'!$AA$1:$AB$25,2),C4725),C4725)</f>
        <v>4472</v>
      </c>
    </row>
    <row r="4726" customFormat="false" ht="12.75" hidden="false" customHeight="false" outlineLevel="0" collapsed="false">
      <c r="A4726" s="0" t="n">
        <f aca="false">B4726*1000+C4726</f>
        <v>66063</v>
      </c>
      <c r="B4726" s="0" t="n">
        <v>66</v>
      </c>
      <c r="C4726" s="0" t="n">
        <v>63</v>
      </c>
      <c r="D4726" s="0" t="n">
        <v>910</v>
      </c>
      <c r="E4726" s="0" t="n">
        <f aca="false">VLOOKUP(B4726,'MSA-Lookup'!$H$2:$I$86,2)</f>
        <v>4480</v>
      </c>
      <c r="F4726" s="0" t="n">
        <f aca="false">IF(C4726&gt;1,IF(C4726&lt;99,VLOOKUP(C4726,'MSA-Lookup'!$H$1:$I$86,2),C4726),C4726)</f>
        <v>4480</v>
      </c>
      <c r="G4726" s="0" t="n">
        <f aca="false">VLOOKUP(E4726,'MSA-Lookup'!$AA$1:$AB$25,2)</f>
        <v>4472</v>
      </c>
      <c r="H4726" s="0" t="n">
        <f aca="false">IF(C4726&gt;1,IF(C4726&lt;99,VLOOKUP(F4726,'MSA-Lookup'!$AA$1:$AB$25,2),C4726),C4726)</f>
        <v>4472</v>
      </c>
    </row>
    <row r="4727" customFormat="false" ht="12.75" hidden="false" customHeight="false" outlineLevel="0" collapsed="false">
      <c r="A4727" s="0" t="n">
        <f aca="false">B4727*1000+C4727</f>
        <v>66064</v>
      </c>
      <c r="B4727" s="0" t="n">
        <v>66</v>
      </c>
      <c r="C4727" s="0" t="n">
        <v>64</v>
      </c>
      <c r="D4727" s="0" t="n">
        <v>53183</v>
      </c>
      <c r="E4727" s="0" t="n">
        <f aca="false">VLOOKUP(B4727,'MSA-Lookup'!$H$2:$I$86,2)</f>
        <v>4480</v>
      </c>
      <c r="F4727" s="0" t="n">
        <f aca="false">IF(C4727&gt;1,IF(C4727&lt;99,VLOOKUP(C4727,'MSA-Lookup'!$H$1:$I$86,2),C4727),C4727)</f>
        <v>4480</v>
      </c>
      <c r="G4727" s="0" t="n">
        <f aca="false">VLOOKUP(E4727,'MSA-Lookup'!$AA$1:$AB$25,2)</f>
        <v>4472</v>
      </c>
      <c r="H4727" s="0" t="n">
        <f aca="false">IF(C4727&gt;1,IF(C4727&lt;99,VLOOKUP(F4727,'MSA-Lookup'!$AA$1:$AB$25,2),C4727),C4727)</f>
        <v>4472</v>
      </c>
    </row>
    <row r="4728" customFormat="false" ht="12.75" hidden="false" customHeight="false" outlineLevel="0" collapsed="false">
      <c r="A4728" s="0" t="n">
        <f aca="false">B4728*1000+C4728</f>
        <v>66065</v>
      </c>
      <c r="B4728" s="0" t="n">
        <v>66</v>
      </c>
      <c r="C4728" s="0" t="n">
        <v>65</v>
      </c>
      <c r="D4728" s="0" t="n">
        <v>23673</v>
      </c>
      <c r="E4728" s="0" t="n">
        <f aca="false">VLOOKUP(B4728,'MSA-Lookup'!$H$2:$I$86,2)</f>
        <v>4480</v>
      </c>
      <c r="F4728" s="0" t="n">
        <f aca="false">IF(C4728&gt;1,IF(C4728&lt;99,VLOOKUP(C4728,'MSA-Lookup'!$H$1:$I$86,2),C4728),C4728)</f>
        <v>4480</v>
      </c>
      <c r="G4728" s="0" t="n">
        <f aca="false">VLOOKUP(E4728,'MSA-Lookup'!$AA$1:$AB$25,2)</f>
        <v>4472</v>
      </c>
      <c r="H4728" s="0" t="n">
        <f aca="false">IF(C4728&gt;1,IF(C4728&lt;99,VLOOKUP(F4728,'MSA-Lookup'!$AA$1:$AB$25,2),C4728),C4728)</f>
        <v>4472</v>
      </c>
    </row>
    <row r="4729" customFormat="false" ht="12.75" hidden="false" customHeight="false" outlineLevel="0" collapsed="false">
      <c r="A4729" s="0" t="n">
        <f aca="false">B4729*1000+C4729</f>
        <v>66066</v>
      </c>
      <c r="B4729" s="0" t="n">
        <v>66</v>
      </c>
      <c r="C4729" s="0" t="n">
        <v>66</v>
      </c>
      <c r="D4729" s="0" t="n">
        <v>86619</v>
      </c>
      <c r="E4729" s="0" t="n">
        <f aca="false">VLOOKUP(B4729,'MSA-Lookup'!$H$2:$I$86,2)</f>
        <v>4480</v>
      </c>
      <c r="F4729" s="0" t="n">
        <f aca="false">IF(C4729&gt;1,IF(C4729&lt;99,VLOOKUP(C4729,'MSA-Lookup'!$H$1:$I$86,2),C4729),C4729)</f>
        <v>4480</v>
      </c>
      <c r="G4729" s="0" t="n">
        <f aca="false">VLOOKUP(E4729,'MSA-Lookup'!$AA$1:$AB$25,2)</f>
        <v>4472</v>
      </c>
      <c r="H4729" s="0" t="n">
        <f aca="false">IF(C4729&gt;1,IF(C4729&lt;99,VLOOKUP(F4729,'MSA-Lookup'!$AA$1:$AB$25,2),C4729),C4729)</f>
        <v>4472</v>
      </c>
    </row>
    <row r="4730" customFormat="false" ht="12.75" hidden="false" customHeight="false" outlineLevel="0" collapsed="false">
      <c r="A4730" s="0" t="n">
        <f aca="false">B4730*1000+C4730</f>
        <v>66067</v>
      </c>
      <c r="B4730" s="0" t="n">
        <v>66</v>
      </c>
      <c r="C4730" s="0" t="n">
        <v>67</v>
      </c>
      <c r="D4730" s="0" t="n">
        <v>273</v>
      </c>
      <c r="E4730" s="0" t="n">
        <f aca="false">VLOOKUP(B4730,'MSA-Lookup'!$H$2:$I$86,2)</f>
        <v>4480</v>
      </c>
      <c r="F4730" s="0" t="n">
        <f aca="false">IF(C4730&gt;1,IF(C4730&lt;99,VLOOKUP(C4730,'MSA-Lookup'!$H$1:$I$86,2),C4730),C4730)</f>
        <v>6000</v>
      </c>
      <c r="G4730" s="0" t="n">
        <f aca="false">VLOOKUP(E4730,'MSA-Lookup'!$AA$1:$AB$25,2)</f>
        <v>4472</v>
      </c>
      <c r="H4730" s="0" t="n">
        <f aca="false">IF(C4730&gt;1,IF(C4730&lt;99,VLOOKUP(F4730,'MSA-Lookup'!$AA$1:$AB$25,2),C4730),C4730)</f>
        <v>4472</v>
      </c>
    </row>
    <row r="4731" customFormat="false" ht="12.75" hidden="false" customHeight="false" outlineLevel="0" collapsed="false">
      <c r="A4731" s="0" t="n">
        <f aca="false">B4731*1000+C4731</f>
        <v>66068</v>
      </c>
      <c r="B4731" s="0" t="n">
        <v>66</v>
      </c>
      <c r="C4731" s="0" t="n">
        <v>68</v>
      </c>
      <c r="D4731" s="0" t="n">
        <v>0</v>
      </c>
      <c r="E4731" s="0" t="n">
        <f aca="false">VLOOKUP(B4731,'MSA-Lookup'!$H$2:$I$86,2)</f>
        <v>4480</v>
      </c>
      <c r="F4731" s="0" t="n">
        <f aca="false">IF(C4731&gt;1,IF(C4731&lt;99,VLOOKUP(C4731,'MSA-Lookup'!$H$1:$I$86,2),C4731),C4731)</f>
        <v>6780</v>
      </c>
      <c r="G4731" s="0" t="n">
        <f aca="false">VLOOKUP(E4731,'MSA-Lookup'!$AA$1:$AB$25,2)</f>
        <v>4472</v>
      </c>
      <c r="H4731" s="0" t="n">
        <f aca="false">IF(C4731&gt;1,IF(C4731&lt;99,VLOOKUP(F4731,'MSA-Lookup'!$AA$1:$AB$25,2),C4731),C4731)</f>
        <v>4472</v>
      </c>
    </row>
    <row r="4732" customFormat="false" ht="12.75" hidden="false" customHeight="false" outlineLevel="0" collapsed="false">
      <c r="A4732" s="0" t="n">
        <f aca="false">B4732*1000+C4732</f>
        <v>66069</v>
      </c>
      <c r="B4732" s="0" t="n">
        <v>66</v>
      </c>
      <c r="C4732" s="0" t="n">
        <v>69</v>
      </c>
      <c r="D4732" s="0" t="n">
        <v>234</v>
      </c>
      <c r="E4732" s="0" t="n">
        <f aca="false">VLOOKUP(B4732,'MSA-Lookup'!$H$2:$I$86,2)</f>
        <v>4480</v>
      </c>
      <c r="F4732" s="0" t="n">
        <f aca="false">IF(C4732&gt;1,IF(C4732&lt;99,VLOOKUP(C4732,'MSA-Lookup'!$H$1:$I$86,2),C4732),C4732)</f>
        <v>6780</v>
      </c>
      <c r="G4732" s="0" t="n">
        <f aca="false">VLOOKUP(E4732,'MSA-Lookup'!$AA$1:$AB$25,2)</f>
        <v>4472</v>
      </c>
      <c r="H4732" s="0" t="n">
        <f aca="false">IF(C4732&gt;1,IF(C4732&lt;99,VLOOKUP(F4732,'MSA-Lookup'!$AA$1:$AB$25,2),C4732),C4732)</f>
        <v>4472</v>
      </c>
    </row>
    <row r="4733" customFormat="false" ht="12.75" hidden="false" customHeight="false" outlineLevel="0" collapsed="false">
      <c r="A4733" s="0" t="n">
        <f aca="false">B4733*1000+C4733</f>
        <v>66070</v>
      </c>
      <c r="B4733" s="0" t="n">
        <v>66</v>
      </c>
      <c r="C4733" s="0" t="n">
        <v>70</v>
      </c>
      <c r="D4733" s="0" t="n">
        <v>0</v>
      </c>
      <c r="E4733" s="0" t="n">
        <f aca="false">VLOOKUP(B4733,'MSA-Lookup'!$H$2:$I$86,2)</f>
        <v>4480</v>
      </c>
      <c r="F4733" s="0" t="n">
        <f aca="false">IF(C4733&gt;1,IF(C4733&lt;99,VLOOKUP(C4733,'MSA-Lookup'!$H$1:$I$86,2),C4733),C4733)</f>
        <v>6780</v>
      </c>
      <c r="G4733" s="0" t="n">
        <f aca="false">VLOOKUP(E4733,'MSA-Lookup'!$AA$1:$AB$25,2)</f>
        <v>4472</v>
      </c>
      <c r="H4733" s="0" t="n">
        <f aca="false">IF(C4733&gt;1,IF(C4733&lt;99,VLOOKUP(F4733,'MSA-Lookup'!$AA$1:$AB$25,2),C4733),C4733)</f>
        <v>4472</v>
      </c>
    </row>
    <row r="4734" customFormat="false" ht="12.75" hidden="false" customHeight="false" outlineLevel="0" collapsed="false">
      <c r="A4734" s="0" t="n">
        <f aca="false">B4734*1000+C4734</f>
        <v>66071</v>
      </c>
      <c r="B4734" s="0" t="n">
        <v>66</v>
      </c>
      <c r="C4734" s="0" t="n">
        <v>71</v>
      </c>
      <c r="D4734" s="0" t="n">
        <v>117</v>
      </c>
      <c r="E4734" s="0" t="n">
        <f aca="false">VLOOKUP(B4734,'MSA-Lookup'!$H$2:$I$86,2)</f>
        <v>4480</v>
      </c>
      <c r="F4734" s="0" t="n">
        <f aca="false">IF(C4734&gt;1,IF(C4734&lt;99,VLOOKUP(C4734,'MSA-Lookup'!$H$1:$I$86,2),C4734),C4734)</f>
        <v>6780</v>
      </c>
      <c r="G4734" s="0" t="n">
        <f aca="false">VLOOKUP(E4734,'MSA-Lookup'!$AA$1:$AB$25,2)</f>
        <v>4472</v>
      </c>
      <c r="H4734" s="0" t="n">
        <f aca="false">IF(C4734&gt;1,IF(C4734&lt;99,VLOOKUP(F4734,'MSA-Lookup'!$AA$1:$AB$25,2),C4734),C4734)</f>
        <v>4472</v>
      </c>
    </row>
    <row r="4735" customFormat="false" ht="12.75" hidden="false" customHeight="false" outlineLevel="0" collapsed="false">
      <c r="A4735" s="0" t="n">
        <f aca="false">B4735*1000+C4735</f>
        <v>66072</v>
      </c>
      <c r="B4735" s="0" t="n">
        <v>66</v>
      </c>
      <c r="C4735" s="0" t="n">
        <v>72</v>
      </c>
      <c r="D4735" s="0" t="n">
        <v>143</v>
      </c>
      <c r="E4735" s="0" t="n">
        <f aca="false">VLOOKUP(B4735,'MSA-Lookup'!$H$2:$I$86,2)</f>
        <v>4480</v>
      </c>
      <c r="F4735" s="0" t="n">
        <f aca="false">IF(C4735&gt;1,IF(C4735&lt;99,VLOOKUP(C4735,'MSA-Lookup'!$H$1:$I$86,2),C4735),C4735)</f>
        <v>6780</v>
      </c>
      <c r="G4735" s="0" t="n">
        <f aca="false">VLOOKUP(E4735,'MSA-Lookup'!$AA$1:$AB$25,2)</f>
        <v>4472</v>
      </c>
      <c r="H4735" s="0" t="n">
        <f aca="false">IF(C4735&gt;1,IF(C4735&lt;99,VLOOKUP(F4735,'MSA-Lookup'!$AA$1:$AB$25,2),C4735),C4735)</f>
        <v>4472</v>
      </c>
    </row>
    <row r="4736" customFormat="false" ht="12.75" hidden="false" customHeight="false" outlineLevel="0" collapsed="false">
      <c r="A4736" s="0" t="n">
        <f aca="false">B4736*1000+C4736</f>
        <v>66073</v>
      </c>
      <c r="B4736" s="0" t="n">
        <v>66</v>
      </c>
      <c r="C4736" s="0" t="n">
        <v>73</v>
      </c>
      <c r="D4736" s="0" t="n">
        <v>0</v>
      </c>
      <c r="E4736" s="0" t="n">
        <f aca="false">VLOOKUP(B4736,'MSA-Lookup'!$H$2:$I$86,2)</f>
        <v>4480</v>
      </c>
      <c r="F4736" s="0" t="n">
        <f aca="false">IF(C4736&gt;1,IF(C4736&lt;99,VLOOKUP(C4736,'MSA-Lookup'!$H$1:$I$86,2),C4736),C4736)</f>
        <v>8720</v>
      </c>
      <c r="G4736" s="0" t="n">
        <f aca="false">VLOOKUP(E4736,'MSA-Lookup'!$AA$1:$AB$25,2)</f>
        <v>4472</v>
      </c>
      <c r="H4736" s="0" t="n">
        <f aca="false">IF(C4736&gt;1,IF(C4736&lt;99,VLOOKUP(F4736,'MSA-Lookup'!$AA$1:$AB$25,2),C4736),C4736)</f>
        <v>7362</v>
      </c>
    </row>
    <row r="4737" customFormat="false" ht="12.75" hidden="false" customHeight="false" outlineLevel="0" collapsed="false">
      <c r="A4737" s="0" t="n">
        <f aca="false">B4737*1000+C4737</f>
        <v>66075</v>
      </c>
      <c r="B4737" s="0" t="n">
        <v>66</v>
      </c>
      <c r="C4737" s="0" t="n">
        <v>75</v>
      </c>
      <c r="D4737" s="0" t="n">
        <v>0</v>
      </c>
      <c r="E4737" s="0" t="n">
        <f aca="false">VLOOKUP(B4737,'MSA-Lookup'!$H$2:$I$86,2)</f>
        <v>4480</v>
      </c>
      <c r="F4737" s="0" t="n">
        <f aca="false">IF(C4737&gt;1,IF(C4737&lt;99,VLOOKUP(C4737,'MSA-Lookup'!$H$1:$I$86,2),C4737),C4737)</f>
        <v>8780</v>
      </c>
      <c r="G4737" s="0" t="n">
        <f aca="false">VLOOKUP(E4737,'MSA-Lookup'!$AA$1:$AB$25,2)</f>
        <v>4472</v>
      </c>
      <c r="H4737" s="0" t="n">
        <f aca="false">IF(C4737&gt;1,IF(C4737&lt;99,VLOOKUP(F4737,'MSA-Lookup'!$AA$1:$AB$25,2),C4737),C4737)</f>
        <v>8780</v>
      </c>
    </row>
    <row r="4738" customFormat="false" ht="12.75" hidden="false" customHeight="false" outlineLevel="0" collapsed="false">
      <c r="A4738" s="0" t="n">
        <f aca="false">B4738*1000+C4738</f>
        <v>66076</v>
      </c>
      <c r="B4738" s="0" t="n">
        <v>66</v>
      </c>
      <c r="C4738" s="0" t="n">
        <v>76</v>
      </c>
      <c r="D4738" s="0" t="n">
        <v>0</v>
      </c>
      <c r="E4738" s="0" t="n">
        <f aca="false">VLOOKUP(B4738,'MSA-Lookup'!$H$2:$I$86,2)</f>
        <v>4480</v>
      </c>
      <c r="F4738" s="0" t="n">
        <f aca="false">IF(C4738&gt;1,IF(C4738&lt;99,VLOOKUP(C4738,'MSA-Lookup'!$H$1:$I$86,2),C4738),C4738)</f>
        <v>7485</v>
      </c>
      <c r="G4738" s="0" t="n">
        <f aca="false">VLOOKUP(E4738,'MSA-Lookup'!$AA$1:$AB$25,2)</f>
        <v>4472</v>
      </c>
      <c r="H4738" s="0" t="n">
        <f aca="false">IF(C4738&gt;1,IF(C4738&lt;99,VLOOKUP(F4738,'MSA-Lookup'!$AA$1:$AB$25,2),C4738),C4738)</f>
        <v>7362</v>
      </c>
    </row>
    <row r="4739" customFormat="false" ht="12.75" hidden="false" customHeight="false" outlineLevel="0" collapsed="false">
      <c r="A4739" s="0" t="n">
        <f aca="false">B4739*1000+C4739</f>
        <v>66077</v>
      </c>
      <c r="B4739" s="0" t="n">
        <v>66</v>
      </c>
      <c r="C4739" s="0" t="n">
        <v>77</v>
      </c>
      <c r="D4739" s="0" t="n">
        <v>0</v>
      </c>
      <c r="E4739" s="0" t="n">
        <f aca="false">VLOOKUP(B4739,'MSA-Lookup'!$H$2:$I$86,2)</f>
        <v>4480</v>
      </c>
      <c r="F4739" s="0" t="n">
        <f aca="false">IF(C4739&gt;1,IF(C4739&lt;99,VLOOKUP(C4739,'MSA-Lookup'!$H$1:$I$86,2),C4739),C4739)</f>
        <v>9999</v>
      </c>
      <c r="G4739" s="0" t="n">
        <f aca="false">VLOOKUP(E4739,'MSA-Lookup'!$AA$1:$AB$25,2)</f>
        <v>4472</v>
      </c>
      <c r="H4739" s="0" t="n">
        <f aca="false">IF(C4739&gt;1,IF(C4739&lt;99,VLOOKUP(F4739,'MSA-Lookup'!$AA$1:$AB$25,2),C4739),C4739)</f>
        <v>9999</v>
      </c>
    </row>
    <row r="4740" customFormat="false" ht="12.75" hidden="false" customHeight="false" outlineLevel="0" collapsed="false">
      <c r="A4740" s="0" t="n">
        <f aca="false">B4740*1000+C4740</f>
        <v>66078</v>
      </c>
      <c r="B4740" s="0" t="n">
        <v>66</v>
      </c>
      <c r="C4740" s="0" t="n">
        <v>78</v>
      </c>
      <c r="D4740" s="0" t="n">
        <v>0</v>
      </c>
      <c r="E4740" s="0" t="n">
        <f aca="false">VLOOKUP(B4740,'MSA-Lookup'!$H$2:$I$86,2)</f>
        <v>4480</v>
      </c>
      <c r="F4740" s="0" t="n">
        <f aca="false">IF(C4740&gt;1,IF(C4740&lt;99,VLOOKUP(C4740,'MSA-Lookup'!$H$1:$I$86,2),C4740),C4740)</f>
        <v>680</v>
      </c>
      <c r="G4740" s="0" t="n">
        <f aca="false">VLOOKUP(E4740,'MSA-Lookup'!$AA$1:$AB$25,2)</f>
        <v>4472</v>
      </c>
      <c r="H4740" s="0" t="n">
        <f aca="false">IF(C4740&gt;1,IF(C4740&lt;99,VLOOKUP(F4740,'MSA-Lookup'!$AA$1:$AB$25,2),C4740),C4740)</f>
        <v>680</v>
      </c>
    </row>
    <row r="4741" customFormat="false" ht="12.75" hidden="false" customHeight="false" outlineLevel="0" collapsed="false">
      <c r="A4741" s="0" t="n">
        <f aca="false">B4741*1000+C4741</f>
        <v>66079</v>
      </c>
      <c r="B4741" s="0" t="n">
        <v>66</v>
      </c>
      <c r="C4741" s="0" t="n">
        <v>79</v>
      </c>
      <c r="D4741" s="0" t="n">
        <v>0</v>
      </c>
      <c r="E4741" s="0" t="n">
        <f aca="false">VLOOKUP(B4741,'MSA-Lookup'!$H$2:$I$86,2)</f>
        <v>4480</v>
      </c>
      <c r="F4741" s="0" t="n">
        <f aca="false">IF(C4741&gt;1,IF(C4741&lt;99,VLOOKUP(C4741,'MSA-Lookup'!$H$1:$I$86,2),C4741),C4741)</f>
        <v>680</v>
      </c>
      <c r="G4741" s="0" t="n">
        <f aca="false">VLOOKUP(E4741,'MSA-Lookup'!$AA$1:$AB$25,2)</f>
        <v>4472</v>
      </c>
      <c r="H4741" s="0" t="n">
        <f aca="false">IF(C4741&gt;1,IF(C4741&lt;99,VLOOKUP(F4741,'MSA-Lookup'!$AA$1:$AB$25,2),C4741),C4741)</f>
        <v>680</v>
      </c>
    </row>
    <row r="4742" customFormat="false" ht="12.75" hidden="false" customHeight="false" outlineLevel="0" collapsed="false">
      <c r="A4742" s="0" t="n">
        <f aca="false">B4742*1000+C4742</f>
        <v>66080</v>
      </c>
      <c r="B4742" s="0" t="n">
        <v>66</v>
      </c>
      <c r="C4742" s="0" t="n">
        <v>80</v>
      </c>
      <c r="D4742" s="0" t="n">
        <v>0</v>
      </c>
      <c r="E4742" s="0" t="n">
        <f aca="false">VLOOKUP(B4742,'MSA-Lookup'!$H$2:$I$86,2)</f>
        <v>4480</v>
      </c>
      <c r="F4742" s="0" t="n">
        <f aca="false">IF(C4742&gt;1,IF(C4742&lt;99,VLOOKUP(C4742,'MSA-Lookup'!$H$1:$I$86,2),C4742),C4742)</f>
        <v>9999</v>
      </c>
      <c r="G4742" s="0" t="n">
        <f aca="false">VLOOKUP(E4742,'MSA-Lookup'!$AA$1:$AB$25,2)</f>
        <v>4472</v>
      </c>
      <c r="H4742" s="0" t="n">
        <f aca="false">IF(C4742&gt;1,IF(C4742&lt;99,VLOOKUP(F4742,'MSA-Lookup'!$AA$1:$AB$25,2),C4742),C4742)</f>
        <v>9999</v>
      </c>
    </row>
    <row r="4743" customFormat="false" ht="12.75" hidden="false" customHeight="false" outlineLevel="0" collapsed="false">
      <c r="A4743" s="0" t="n">
        <f aca="false">B4743*1000+C4743</f>
        <v>66081</v>
      </c>
      <c r="B4743" s="0" t="n">
        <v>66</v>
      </c>
      <c r="C4743" s="0" t="n">
        <v>81</v>
      </c>
      <c r="D4743" s="0" t="n">
        <v>0</v>
      </c>
      <c r="E4743" s="0" t="n">
        <f aca="false">VLOOKUP(B4743,'MSA-Lookup'!$H$2:$I$86,2)</f>
        <v>4480</v>
      </c>
      <c r="F4743" s="0" t="n">
        <f aca="false">IF(C4743&gt;1,IF(C4743&lt;99,VLOOKUP(C4743,'MSA-Lookup'!$H$1:$I$86,2),C4743),C4743)</f>
        <v>6780</v>
      </c>
      <c r="G4743" s="0" t="n">
        <f aca="false">VLOOKUP(E4743,'MSA-Lookup'!$AA$1:$AB$25,2)</f>
        <v>4472</v>
      </c>
      <c r="H4743" s="0" t="n">
        <f aca="false">IF(C4743&gt;1,IF(C4743&lt;99,VLOOKUP(F4743,'MSA-Lookup'!$AA$1:$AB$25,2),C4743),C4743)</f>
        <v>4472</v>
      </c>
    </row>
    <row r="4744" customFormat="false" ht="12.75" hidden="false" customHeight="false" outlineLevel="0" collapsed="false">
      <c r="A4744" s="0" t="n">
        <f aca="false">B4744*1000+C4744</f>
        <v>66082</v>
      </c>
      <c r="B4744" s="0" t="n">
        <v>66</v>
      </c>
      <c r="C4744" s="0" t="n">
        <v>82</v>
      </c>
      <c r="D4744" s="0" t="n">
        <v>0</v>
      </c>
      <c r="E4744" s="0" t="n">
        <f aca="false">VLOOKUP(B4744,'MSA-Lookup'!$H$2:$I$86,2)</f>
        <v>4480</v>
      </c>
      <c r="F4744" s="0" t="n">
        <f aca="false">IF(C4744&gt;1,IF(C4744&lt;99,VLOOKUP(C4744,'MSA-Lookup'!$H$1:$I$86,2),C4744),C4744)</f>
        <v>6780</v>
      </c>
      <c r="G4744" s="0" t="n">
        <f aca="false">VLOOKUP(E4744,'MSA-Lookup'!$AA$1:$AB$25,2)</f>
        <v>4472</v>
      </c>
      <c r="H4744" s="0" t="n">
        <f aca="false">IF(C4744&gt;1,IF(C4744&lt;99,VLOOKUP(F4744,'MSA-Lookup'!$AA$1:$AB$25,2),C4744),C4744)</f>
        <v>4472</v>
      </c>
    </row>
    <row r="4745" customFormat="false" ht="12.75" hidden="false" customHeight="false" outlineLevel="0" collapsed="false">
      <c r="A4745" s="0" t="n">
        <f aca="false">B4745*1000+C4745</f>
        <v>66083</v>
      </c>
      <c r="B4745" s="0" t="n">
        <v>66</v>
      </c>
      <c r="C4745" s="0" t="n">
        <v>83</v>
      </c>
      <c r="D4745" s="0" t="n">
        <v>273</v>
      </c>
      <c r="E4745" s="0" t="n">
        <f aca="false">VLOOKUP(B4745,'MSA-Lookup'!$H$2:$I$86,2)</f>
        <v>4480</v>
      </c>
      <c r="F4745" s="0" t="n">
        <f aca="false">IF(C4745&gt;1,IF(C4745&lt;99,VLOOKUP(C4745,'MSA-Lookup'!$H$1:$I$86,2),C4745),C4745)</f>
        <v>6000</v>
      </c>
      <c r="G4745" s="0" t="n">
        <f aca="false">VLOOKUP(E4745,'MSA-Lookup'!$AA$1:$AB$25,2)</f>
        <v>4472</v>
      </c>
      <c r="H4745" s="0" t="n">
        <f aca="false">IF(C4745&gt;1,IF(C4745&lt;99,VLOOKUP(F4745,'MSA-Lookup'!$AA$1:$AB$25,2),C4745),C4745)</f>
        <v>4472</v>
      </c>
    </row>
    <row r="4746" customFormat="false" ht="12.75" hidden="false" customHeight="false" outlineLevel="0" collapsed="false">
      <c r="A4746" s="0" t="n">
        <f aca="false">B4746*1000+C4746</f>
        <v>66084</v>
      </c>
      <c r="B4746" s="0" t="n">
        <v>66</v>
      </c>
      <c r="C4746" s="0" t="n">
        <v>84</v>
      </c>
      <c r="D4746" s="0" t="n">
        <v>2275</v>
      </c>
      <c r="E4746" s="0" t="n">
        <f aca="false">VLOOKUP(B4746,'MSA-Lookup'!$H$2:$I$86,2)</f>
        <v>4480</v>
      </c>
      <c r="F4746" s="0" t="n">
        <f aca="false">IF(C4746&gt;1,IF(C4746&lt;99,VLOOKUP(C4746,'MSA-Lookup'!$H$1:$I$86,2),C4746),C4746)</f>
        <v>360</v>
      </c>
      <c r="G4746" s="0" t="n">
        <f aca="false">VLOOKUP(E4746,'MSA-Lookup'!$AA$1:$AB$25,2)</f>
        <v>4472</v>
      </c>
      <c r="H4746" s="0" t="n">
        <f aca="false">IF(C4746&gt;1,IF(C4746&lt;99,VLOOKUP(F4746,'MSA-Lookup'!$AA$1:$AB$25,2),C4746),C4746)</f>
        <v>4472</v>
      </c>
    </row>
    <row r="4747" customFormat="false" ht="12.75" hidden="false" customHeight="false" outlineLevel="0" collapsed="false">
      <c r="A4747" s="0" t="n">
        <f aca="false">B4747*1000+C4747</f>
        <v>66085</v>
      </c>
      <c r="B4747" s="0" t="n">
        <v>66</v>
      </c>
      <c r="C4747" s="0" t="n">
        <v>85</v>
      </c>
      <c r="D4747" s="0" t="n">
        <v>0</v>
      </c>
      <c r="E4747" s="0" t="n">
        <f aca="false">VLOOKUP(B4747,'MSA-Lookup'!$H$2:$I$86,2)</f>
        <v>4480</v>
      </c>
      <c r="F4747" s="0" t="n">
        <f aca="false">IF(C4747&gt;1,IF(C4747&lt;99,VLOOKUP(C4747,'MSA-Lookup'!$H$1:$I$86,2),C4747),C4747)</f>
        <v>8120</v>
      </c>
      <c r="G4747" s="0" t="n">
        <f aca="false">VLOOKUP(E4747,'MSA-Lookup'!$AA$1:$AB$25,2)</f>
        <v>4472</v>
      </c>
      <c r="H4747" s="0" t="n">
        <f aca="false">IF(C4747&gt;1,IF(C4747&lt;99,VLOOKUP(F4747,'MSA-Lookup'!$AA$1:$AB$25,2),C4747),C4747)</f>
        <v>8120</v>
      </c>
    </row>
    <row r="4748" customFormat="false" ht="12.75" hidden="false" customHeight="false" outlineLevel="0" collapsed="false">
      <c r="A4748" s="0" t="n">
        <f aca="false">B4748*1000+C4748</f>
        <v>66858</v>
      </c>
      <c r="B4748" s="0" t="n">
        <v>66</v>
      </c>
      <c r="C4748" s="0" t="n">
        <v>858</v>
      </c>
      <c r="D4748" s="0" t="n">
        <v>0</v>
      </c>
      <c r="E4748" s="0" t="n">
        <f aca="false">VLOOKUP(B4748,'MSA-Lookup'!$H$2:$I$86,2)</f>
        <v>4480</v>
      </c>
      <c r="F4748" s="0" t="n">
        <f aca="false">IF(C4748&gt;1,IF(C4748&lt;99,VLOOKUP(C4748,'MSA-Lookup'!$H$1:$I$86,2),C4748),C4748)</f>
        <v>858</v>
      </c>
      <c r="G4748" s="0" t="n">
        <f aca="false">VLOOKUP(E4748,'MSA-Lookup'!$AA$1:$AB$25,2)</f>
        <v>4472</v>
      </c>
      <c r="H4748" s="0" t="n">
        <f aca="false">IF(C4748&gt;1,IF(C4748&lt;99,VLOOKUP(F4748,'MSA-Lookup'!$AA$1:$AB$25,2),C4748),C4748)</f>
        <v>858</v>
      </c>
    </row>
    <row r="4749" customFormat="false" ht="12.75" hidden="false" customHeight="false" outlineLevel="0" collapsed="false">
      <c r="A4749" s="0" t="n">
        <f aca="false">B4749*1000+C4749</f>
        <v>66983</v>
      </c>
      <c r="B4749" s="0" t="n">
        <v>66</v>
      </c>
      <c r="C4749" s="0" t="n">
        <v>983</v>
      </c>
      <c r="D4749" s="0" t="n">
        <v>0</v>
      </c>
      <c r="E4749" s="0" t="n">
        <f aca="false">VLOOKUP(B4749,'MSA-Lookup'!$H$2:$I$86,2)</f>
        <v>4480</v>
      </c>
      <c r="F4749" s="0" t="n">
        <f aca="false">IF(C4749&gt;1,IF(C4749&lt;99,VLOOKUP(C4749,'MSA-Lookup'!$H$1:$I$86,2),C4749),C4749)</f>
        <v>983</v>
      </c>
      <c r="G4749" s="0" t="n">
        <f aca="false">VLOOKUP(E4749,'MSA-Lookup'!$AA$1:$AB$25,2)</f>
        <v>4472</v>
      </c>
      <c r="H4749" s="0" t="n">
        <f aca="false">IF(C4749&gt;1,IF(C4749&lt;99,VLOOKUP(F4749,'MSA-Lookup'!$AA$1:$AB$25,2),C4749),C4749)</f>
        <v>983</v>
      </c>
    </row>
    <row r="4750" customFormat="false" ht="12.75" hidden="false" customHeight="false" outlineLevel="0" collapsed="false">
      <c r="A4750" s="0" t="n">
        <f aca="false">B4750*1000+C4750</f>
        <v>66999</v>
      </c>
      <c r="B4750" s="0" t="n">
        <v>66</v>
      </c>
      <c r="C4750" s="0" t="n">
        <v>999</v>
      </c>
      <c r="D4750" s="0" t="n">
        <v>156</v>
      </c>
      <c r="E4750" s="0" t="n">
        <f aca="false">VLOOKUP(B4750,'MSA-Lookup'!$H$2:$I$86,2)</f>
        <v>4480</v>
      </c>
      <c r="F4750" s="0" t="n">
        <f aca="false">IF(C4750&gt;1,IF(C4750&lt;99,VLOOKUP(C4750,'MSA-Lookup'!$H$1:$I$86,2),C4750),C4750)</f>
        <v>999</v>
      </c>
      <c r="G4750" s="0" t="n">
        <f aca="false">VLOOKUP(E4750,'MSA-Lookup'!$AA$1:$AB$25,2)</f>
        <v>4472</v>
      </c>
      <c r="H4750" s="0" t="n">
        <f aca="false">IF(C4750&gt;1,IF(C4750&lt;99,VLOOKUP(F4750,'MSA-Lookup'!$AA$1:$AB$25,2),C4750),C4750)</f>
        <v>999</v>
      </c>
    </row>
    <row r="4751" customFormat="false" ht="12.75" hidden="false" customHeight="false" outlineLevel="0" collapsed="false">
      <c r="A4751" s="0" t="n">
        <f aca="false">B4751*1000+C4751</f>
        <v>67000</v>
      </c>
      <c r="B4751" s="0" t="n">
        <v>67</v>
      </c>
      <c r="C4751" s="0" t="n">
        <v>0</v>
      </c>
      <c r="D4751" s="0" t="n">
        <v>254098</v>
      </c>
      <c r="E4751" s="0" t="n">
        <f aca="false">VLOOKUP(B4751,'MSA-Lookup'!$H$2:$I$86,2)</f>
        <v>6000</v>
      </c>
      <c r="F4751" s="0" t="n">
        <f aca="false">IF(C4751&gt;1,IF(C4751&lt;99,VLOOKUP(C4751,'MSA-Lookup'!$H$1:$I$86,2),C4751),C4751)</f>
        <v>0</v>
      </c>
      <c r="G4751" s="0" t="n">
        <f aca="false">VLOOKUP(E4751,'MSA-Lookup'!$AA$1:$AB$25,2)</f>
        <v>4472</v>
      </c>
      <c r="H4751" s="0" t="n">
        <f aca="false">IF(C4751&gt;1,IF(C4751&lt;99,VLOOKUP(F4751,'MSA-Lookup'!$AA$1:$AB$25,2),C4751),C4751)</f>
        <v>0</v>
      </c>
    </row>
    <row r="4752" customFormat="false" ht="12.75" hidden="false" customHeight="false" outlineLevel="0" collapsed="false">
      <c r="A4752" s="0" t="n">
        <f aca="false">B4752*1000+C4752</f>
        <v>67001</v>
      </c>
      <c r="B4752" s="0" t="n">
        <v>67</v>
      </c>
      <c r="C4752" s="0" t="n">
        <v>1</v>
      </c>
      <c r="D4752" s="0" t="n">
        <v>65</v>
      </c>
      <c r="E4752" s="0" t="n">
        <f aca="false">VLOOKUP(B4752,'MSA-Lookup'!$H$2:$I$86,2)</f>
        <v>6000</v>
      </c>
      <c r="F4752" s="0" t="n">
        <f aca="false">IF(C4752&gt;1,IF(C4752&lt;99,VLOOKUP(C4752,'MSA-Lookup'!$H$1:$I$86,2),C4752),C4752)</f>
        <v>1</v>
      </c>
      <c r="G4752" s="0" t="n">
        <f aca="false">VLOOKUP(E4752,'MSA-Lookup'!$AA$1:$AB$25,2)</f>
        <v>4472</v>
      </c>
      <c r="H4752" s="0" t="n">
        <f aca="false">IF(C4752&gt;1,IF(C4752&lt;99,VLOOKUP(F4752,'MSA-Lookup'!$AA$1:$AB$25,2),C4752),C4752)</f>
        <v>1</v>
      </c>
    </row>
    <row r="4753" customFormat="false" ht="12.75" hidden="false" customHeight="false" outlineLevel="0" collapsed="false">
      <c r="A4753" s="0" t="n">
        <f aca="false">B4753*1000+C4753</f>
        <v>67002</v>
      </c>
      <c r="B4753" s="0" t="n">
        <v>67</v>
      </c>
      <c r="C4753" s="0" t="n">
        <v>2</v>
      </c>
      <c r="D4753" s="0" t="n">
        <v>0</v>
      </c>
      <c r="E4753" s="0" t="n">
        <f aca="false">VLOOKUP(B4753,'MSA-Lookup'!$H$2:$I$86,2)</f>
        <v>6000</v>
      </c>
      <c r="F4753" s="0" t="n">
        <f aca="false">IF(C4753&gt;1,IF(C4753&lt;99,VLOOKUP(C4753,'MSA-Lookup'!$H$1:$I$86,2),C4753),C4753)</f>
        <v>9999</v>
      </c>
      <c r="G4753" s="0" t="n">
        <f aca="false">VLOOKUP(E4753,'MSA-Lookup'!$AA$1:$AB$25,2)</f>
        <v>4472</v>
      </c>
      <c r="H4753" s="0" t="n">
        <f aca="false">IF(C4753&gt;1,IF(C4753&lt;99,VLOOKUP(F4753,'MSA-Lookup'!$AA$1:$AB$25,2),C4753),C4753)</f>
        <v>9999</v>
      </c>
    </row>
    <row r="4754" customFormat="false" ht="12.75" hidden="false" customHeight="false" outlineLevel="0" collapsed="false">
      <c r="A4754" s="0" t="n">
        <f aca="false">B4754*1000+C4754</f>
        <v>67003</v>
      </c>
      <c r="B4754" s="0" t="n">
        <v>67</v>
      </c>
      <c r="C4754" s="0" t="n">
        <v>3</v>
      </c>
      <c r="D4754" s="0" t="n">
        <v>52</v>
      </c>
      <c r="E4754" s="0" t="n">
        <f aca="false">VLOOKUP(B4754,'MSA-Lookup'!$H$2:$I$86,2)</f>
        <v>6000</v>
      </c>
      <c r="F4754" s="0" t="n">
        <f aca="false">IF(C4754&gt;1,IF(C4754&lt;99,VLOOKUP(C4754,'MSA-Lookup'!$H$1:$I$86,2),C4754),C4754)</f>
        <v>6690</v>
      </c>
      <c r="G4754" s="0" t="n">
        <f aca="false">VLOOKUP(E4754,'MSA-Lookup'!$AA$1:$AB$25,2)</f>
        <v>4472</v>
      </c>
      <c r="H4754" s="0" t="n">
        <f aca="false">IF(C4754&gt;1,IF(C4754&lt;99,VLOOKUP(F4754,'MSA-Lookup'!$AA$1:$AB$25,2),C4754),C4754)</f>
        <v>6690</v>
      </c>
    </row>
    <row r="4755" customFormat="false" ht="12.75" hidden="false" customHeight="false" outlineLevel="0" collapsed="false">
      <c r="A4755" s="0" t="n">
        <f aca="false">B4755*1000+C4755</f>
        <v>67004</v>
      </c>
      <c r="B4755" s="0" t="n">
        <v>67</v>
      </c>
      <c r="C4755" s="0" t="n">
        <v>4</v>
      </c>
      <c r="D4755" s="0" t="n">
        <v>117</v>
      </c>
      <c r="E4755" s="0" t="n">
        <f aca="false">VLOOKUP(B4755,'MSA-Lookup'!$H$2:$I$86,2)</f>
        <v>6000</v>
      </c>
      <c r="F4755" s="0" t="n">
        <f aca="false">IF(C4755&gt;1,IF(C4755&lt;99,VLOOKUP(C4755,'MSA-Lookup'!$H$1:$I$86,2),C4755),C4755)</f>
        <v>9999</v>
      </c>
      <c r="G4755" s="0" t="n">
        <f aca="false">VLOOKUP(E4755,'MSA-Lookup'!$AA$1:$AB$25,2)</f>
        <v>4472</v>
      </c>
      <c r="H4755" s="0" t="n">
        <f aca="false">IF(C4755&gt;1,IF(C4755&lt;99,VLOOKUP(F4755,'MSA-Lookup'!$AA$1:$AB$25,2),C4755),C4755)</f>
        <v>9999</v>
      </c>
    </row>
    <row r="4756" customFormat="false" ht="12.75" hidden="false" customHeight="false" outlineLevel="0" collapsed="false">
      <c r="A4756" s="0" t="n">
        <f aca="false">B4756*1000+C4756</f>
        <v>67005</v>
      </c>
      <c r="B4756" s="0" t="n">
        <v>67</v>
      </c>
      <c r="C4756" s="0" t="n">
        <v>5</v>
      </c>
      <c r="D4756" s="0" t="n">
        <v>0</v>
      </c>
      <c r="E4756" s="0" t="n">
        <f aca="false">VLOOKUP(B4756,'MSA-Lookup'!$H$2:$I$86,2)</f>
        <v>6000</v>
      </c>
      <c r="F4756" s="0" t="n">
        <f aca="false">IF(C4756&gt;1,IF(C4756&lt;99,VLOOKUP(C4756,'MSA-Lookup'!$H$1:$I$86,2),C4756),C4756)</f>
        <v>9999</v>
      </c>
      <c r="G4756" s="0" t="n">
        <f aca="false">VLOOKUP(E4756,'MSA-Lookup'!$AA$1:$AB$25,2)</f>
        <v>4472</v>
      </c>
      <c r="H4756" s="0" t="n">
        <f aca="false">IF(C4756&gt;1,IF(C4756&lt;99,VLOOKUP(F4756,'MSA-Lookup'!$AA$1:$AB$25,2),C4756),C4756)</f>
        <v>9999</v>
      </c>
    </row>
    <row r="4757" customFormat="false" ht="12.75" hidden="false" customHeight="false" outlineLevel="0" collapsed="false">
      <c r="A4757" s="0" t="n">
        <f aca="false">B4757*1000+C4757</f>
        <v>67006</v>
      </c>
      <c r="B4757" s="0" t="n">
        <v>67</v>
      </c>
      <c r="C4757" s="0" t="n">
        <v>6</v>
      </c>
      <c r="D4757" s="0" t="n">
        <v>104</v>
      </c>
      <c r="E4757" s="0" t="n">
        <f aca="false">VLOOKUP(B4757,'MSA-Lookup'!$H$2:$I$86,2)</f>
        <v>6000</v>
      </c>
      <c r="F4757" s="0" t="n">
        <f aca="false">IF(C4757&gt;1,IF(C4757&lt;99,VLOOKUP(C4757,'MSA-Lookup'!$H$1:$I$86,2),C4757),C4757)</f>
        <v>1620</v>
      </c>
      <c r="G4757" s="0" t="n">
        <f aca="false">VLOOKUP(E4757,'MSA-Lookup'!$AA$1:$AB$25,2)</f>
        <v>4472</v>
      </c>
      <c r="H4757" s="0" t="n">
        <f aca="false">IF(C4757&gt;1,IF(C4757&lt;99,VLOOKUP(F4757,'MSA-Lookup'!$AA$1:$AB$25,2),C4757),C4757)</f>
        <v>1620</v>
      </c>
    </row>
    <row r="4758" customFormat="false" ht="12.75" hidden="false" customHeight="false" outlineLevel="0" collapsed="false">
      <c r="A4758" s="0" t="n">
        <f aca="false">B4758*1000+C4758</f>
        <v>67007</v>
      </c>
      <c r="B4758" s="0" t="n">
        <v>67</v>
      </c>
      <c r="C4758" s="0" t="n">
        <v>7</v>
      </c>
      <c r="D4758" s="0" t="n">
        <v>0</v>
      </c>
      <c r="E4758" s="0" t="n">
        <f aca="false">VLOOKUP(B4758,'MSA-Lookup'!$H$2:$I$86,2)</f>
        <v>6000</v>
      </c>
      <c r="F4758" s="0" t="n">
        <f aca="false">IF(C4758&gt;1,IF(C4758&lt;99,VLOOKUP(C4758,'MSA-Lookup'!$H$1:$I$86,2),C4758),C4758)</f>
        <v>9999</v>
      </c>
      <c r="G4758" s="0" t="n">
        <f aca="false">VLOOKUP(E4758,'MSA-Lookup'!$AA$1:$AB$25,2)</f>
        <v>4472</v>
      </c>
      <c r="H4758" s="0" t="n">
        <f aca="false">IF(C4758&gt;1,IF(C4758&lt;99,VLOOKUP(F4758,'MSA-Lookup'!$AA$1:$AB$25,2),C4758),C4758)</f>
        <v>9999</v>
      </c>
    </row>
    <row r="4759" customFormat="false" ht="12.75" hidden="false" customHeight="false" outlineLevel="0" collapsed="false">
      <c r="A4759" s="0" t="n">
        <f aca="false">B4759*1000+C4759</f>
        <v>67008</v>
      </c>
      <c r="B4759" s="0" t="n">
        <v>67</v>
      </c>
      <c r="C4759" s="0" t="n">
        <v>8</v>
      </c>
      <c r="D4759" s="0" t="n">
        <v>0</v>
      </c>
      <c r="E4759" s="0" t="n">
        <f aca="false">VLOOKUP(B4759,'MSA-Lookup'!$H$2:$I$86,2)</f>
        <v>6000</v>
      </c>
      <c r="F4759" s="0" t="n">
        <f aca="false">IF(C4759&gt;1,IF(C4759&lt;99,VLOOKUP(C4759,'MSA-Lookup'!$H$1:$I$86,2),C4759),C4759)</f>
        <v>9340</v>
      </c>
      <c r="G4759" s="0" t="n">
        <f aca="false">VLOOKUP(E4759,'MSA-Lookup'!$AA$1:$AB$25,2)</f>
        <v>4472</v>
      </c>
      <c r="H4759" s="0" t="n">
        <f aca="false">IF(C4759&gt;1,IF(C4759&lt;99,VLOOKUP(F4759,'MSA-Lookup'!$AA$1:$AB$25,2),C4759),C4759)</f>
        <v>9340</v>
      </c>
    </row>
    <row r="4760" customFormat="false" ht="12.75" hidden="false" customHeight="false" outlineLevel="0" collapsed="false">
      <c r="A4760" s="0" t="n">
        <f aca="false">B4760*1000+C4760</f>
        <v>67009</v>
      </c>
      <c r="B4760" s="0" t="n">
        <v>67</v>
      </c>
      <c r="C4760" s="0" t="n">
        <v>9</v>
      </c>
      <c r="D4760" s="0" t="n">
        <v>0</v>
      </c>
      <c r="E4760" s="0" t="n">
        <f aca="false">VLOOKUP(B4760,'MSA-Lookup'!$H$2:$I$86,2)</f>
        <v>6000</v>
      </c>
      <c r="F4760" s="0" t="n">
        <f aca="false">IF(C4760&gt;1,IF(C4760&lt;99,VLOOKUP(C4760,'MSA-Lookup'!$H$1:$I$86,2),C4760),C4760)</f>
        <v>8720</v>
      </c>
      <c r="G4760" s="0" t="n">
        <f aca="false">VLOOKUP(E4760,'MSA-Lookup'!$AA$1:$AB$25,2)</f>
        <v>4472</v>
      </c>
      <c r="H4760" s="0" t="n">
        <f aca="false">IF(C4760&gt;1,IF(C4760&lt;99,VLOOKUP(F4760,'MSA-Lookup'!$AA$1:$AB$25,2),C4760),C4760)</f>
        <v>7362</v>
      </c>
    </row>
    <row r="4761" customFormat="false" ht="12.75" hidden="false" customHeight="false" outlineLevel="0" collapsed="false">
      <c r="A4761" s="0" t="n">
        <f aca="false">B4761*1000+C4761</f>
        <v>67010</v>
      </c>
      <c r="B4761" s="0" t="n">
        <v>67</v>
      </c>
      <c r="C4761" s="0" t="n">
        <v>10</v>
      </c>
      <c r="D4761" s="0" t="n">
        <v>0</v>
      </c>
      <c r="E4761" s="0" t="n">
        <f aca="false">VLOOKUP(B4761,'MSA-Lookup'!$H$2:$I$86,2)</f>
        <v>6000</v>
      </c>
      <c r="F4761" s="0" t="n">
        <f aca="false">IF(C4761&gt;1,IF(C4761&lt;99,VLOOKUP(C4761,'MSA-Lookup'!$H$1:$I$86,2),C4761),C4761)</f>
        <v>6920</v>
      </c>
      <c r="G4761" s="0" t="n">
        <f aca="false">VLOOKUP(E4761,'MSA-Lookup'!$AA$1:$AB$25,2)</f>
        <v>4472</v>
      </c>
      <c r="H4761" s="0" t="n">
        <f aca="false">IF(C4761&gt;1,IF(C4761&lt;99,VLOOKUP(F4761,'MSA-Lookup'!$AA$1:$AB$25,2),C4761),C4761)</f>
        <v>6920</v>
      </c>
    </row>
    <row r="4762" customFormat="false" ht="12.75" hidden="false" customHeight="false" outlineLevel="0" collapsed="false">
      <c r="A4762" s="0" t="n">
        <f aca="false">B4762*1000+C4762</f>
        <v>67011</v>
      </c>
      <c r="B4762" s="0" t="n">
        <v>67</v>
      </c>
      <c r="C4762" s="0" t="n">
        <v>11</v>
      </c>
      <c r="D4762" s="0" t="n">
        <v>0</v>
      </c>
      <c r="E4762" s="0" t="n">
        <f aca="false">VLOOKUP(B4762,'MSA-Lookup'!$H$2:$I$86,2)</f>
        <v>6000</v>
      </c>
      <c r="F4762" s="0" t="n">
        <f aca="false">IF(C4762&gt;1,IF(C4762&lt;99,VLOOKUP(C4762,'MSA-Lookup'!$H$1:$I$86,2),C4762),C4762)</f>
        <v>6920</v>
      </c>
      <c r="G4762" s="0" t="n">
        <f aca="false">VLOOKUP(E4762,'MSA-Lookup'!$AA$1:$AB$25,2)</f>
        <v>4472</v>
      </c>
      <c r="H4762" s="0" t="n">
        <f aca="false">IF(C4762&gt;1,IF(C4762&lt;99,VLOOKUP(F4762,'MSA-Lookup'!$AA$1:$AB$25,2),C4762),C4762)</f>
        <v>6920</v>
      </c>
    </row>
    <row r="4763" customFormat="false" ht="12.75" hidden="false" customHeight="false" outlineLevel="0" collapsed="false">
      <c r="A4763" s="0" t="n">
        <f aca="false">B4763*1000+C4763</f>
        <v>67012</v>
      </c>
      <c r="B4763" s="0" t="n">
        <v>67</v>
      </c>
      <c r="C4763" s="0" t="n">
        <v>12</v>
      </c>
      <c r="D4763" s="0" t="n">
        <v>0</v>
      </c>
      <c r="E4763" s="0" t="n">
        <f aca="false">VLOOKUP(B4763,'MSA-Lookup'!$H$2:$I$86,2)</f>
        <v>6000</v>
      </c>
      <c r="F4763" s="0" t="n">
        <f aca="false">IF(C4763&gt;1,IF(C4763&lt;99,VLOOKUP(C4763,'MSA-Lookup'!$H$1:$I$86,2),C4763),C4763)</f>
        <v>6920</v>
      </c>
      <c r="G4763" s="0" t="n">
        <f aca="false">VLOOKUP(E4763,'MSA-Lookup'!$AA$1:$AB$25,2)</f>
        <v>4472</v>
      </c>
      <c r="H4763" s="0" t="n">
        <f aca="false">IF(C4763&gt;1,IF(C4763&lt;99,VLOOKUP(F4763,'MSA-Lookup'!$AA$1:$AB$25,2),C4763),C4763)</f>
        <v>6920</v>
      </c>
    </row>
    <row r="4764" customFormat="false" ht="12.75" hidden="false" customHeight="false" outlineLevel="0" collapsed="false">
      <c r="A4764" s="0" t="n">
        <f aca="false">B4764*1000+C4764</f>
        <v>67013</v>
      </c>
      <c r="B4764" s="0" t="n">
        <v>67</v>
      </c>
      <c r="C4764" s="0" t="n">
        <v>13</v>
      </c>
      <c r="D4764" s="0" t="n">
        <v>0</v>
      </c>
      <c r="E4764" s="0" t="n">
        <f aca="false">VLOOKUP(B4764,'MSA-Lookup'!$H$2:$I$86,2)</f>
        <v>6000</v>
      </c>
      <c r="F4764" s="0" t="n">
        <f aca="false">IF(C4764&gt;1,IF(C4764&lt;99,VLOOKUP(C4764,'MSA-Lookup'!$H$1:$I$86,2),C4764),C4764)</f>
        <v>7500</v>
      </c>
      <c r="G4764" s="0" t="n">
        <f aca="false">VLOOKUP(E4764,'MSA-Lookup'!$AA$1:$AB$25,2)</f>
        <v>4472</v>
      </c>
      <c r="H4764" s="0" t="n">
        <f aca="false">IF(C4764&gt;1,IF(C4764&lt;99,VLOOKUP(F4764,'MSA-Lookup'!$AA$1:$AB$25,2),C4764),C4764)</f>
        <v>7362</v>
      </c>
    </row>
    <row r="4765" customFormat="false" ht="12.75" hidden="false" customHeight="false" outlineLevel="0" collapsed="false">
      <c r="A4765" s="0" t="n">
        <f aca="false">B4765*1000+C4765</f>
        <v>67014</v>
      </c>
      <c r="B4765" s="0" t="n">
        <v>67</v>
      </c>
      <c r="C4765" s="0" t="n">
        <v>14</v>
      </c>
      <c r="D4765" s="0" t="n">
        <v>0</v>
      </c>
      <c r="E4765" s="0" t="n">
        <f aca="false">VLOOKUP(B4765,'MSA-Lookup'!$H$2:$I$86,2)</f>
        <v>6000</v>
      </c>
      <c r="F4765" s="0" t="n">
        <f aca="false">IF(C4765&gt;1,IF(C4765&lt;99,VLOOKUP(C4765,'MSA-Lookup'!$H$1:$I$86,2),C4765),C4765)</f>
        <v>7500</v>
      </c>
      <c r="G4765" s="0" t="n">
        <f aca="false">VLOOKUP(E4765,'MSA-Lookup'!$AA$1:$AB$25,2)</f>
        <v>4472</v>
      </c>
      <c r="H4765" s="0" t="n">
        <f aca="false">IF(C4765&gt;1,IF(C4765&lt;99,VLOOKUP(F4765,'MSA-Lookup'!$AA$1:$AB$25,2),C4765),C4765)</f>
        <v>7362</v>
      </c>
    </row>
    <row r="4766" customFormat="false" ht="12.75" hidden="false" customHeight="false" outlineLevel="0" collapsed="false">
      <c r="A4766" s="0" t="n">
        <f aca="false">B4766*1000+C4766</f>
        <v>67015</v>
      </c>
      <c r="B4766" s="0" t="n">
        <v>67</v>
      </c>
      <c r="C4766" s="0" t="n">
        <v>15</v>
      </c>
      <c r="D4766" s="0" t="n">
        <v>91</v>
      </c>
      <c r="E4766" s="0" t="n">
        <f aca="false">VLOOKUP(B4766,'MSA-Lookup'!$H$2:$I$86,2)</f>
        <v>6000</v>
      </c>
      <c r="F4766" s="0" t="n">
        <f aca="false">IF(C4766&gt;1,IF(C4766&lt;99,VLOOKUP(C4766,'MSA-Lookup'!$H$1:$I$86,2),C4766),C4766)</f>
        <v>7360</v>
      </c>
      <c r="G4766" s="0" t="n">
        <f aca="false">VLOOKUP(E4766,'MSA-Lookup'!$AA$1:$AB$25,2)</f>
        <v>4472</v>
      </c>
      <c r="H4766" s="0" t="n">
        <f aca="false">IF(C4766&gt;1,IF(C4766&lt;99,VLOOKUP(F4766,'MSA-Lookup'!$AA$1:$AB$25,2),C4766),C4766)</f>
        <v>7362</v>
      </c>
    </row>
    <row r="4767" customFormat="false" ht="12.75" hidden="false" customHeight="false" outlineLevel="0" collapsed="false">
      <c r="A4767" s="0" t="n">
        <f aca="false">B4767*1000+C4767</f>
        <v>67016</v>
      </c>
      <c r="B4767" s="0" t="n">
        <v>67</v>
      </c>
      <c r="C4767" s="0" t="n">
        <v>16</v>
      </c>
      <c r="D4767" s="0" t="n">
        <v>0</v>
      </c>
      <c r="E4767" s="0" t="n">
        <f aca="false">VLOOKUP(B4767,'MSA-Lookup'!$H$2:$I$86,2)</f>
        <v>6000</v>
      </c>
      <c r="F4767" s="0" t="n">
        <f aca="false">IF(C4767&gt;1,IF(C4767&lt;99,VLOOKUP(C4767,'MSA-Lookup'!$H$1:$I$86,2),C4767),C4767)</f>
        <v>8720</v>
      </c>
      <c r="G4767" s="0" t="n">
        <f aca="false">VLOOKUP(E4767,'MSA-Lookup'!$AA$1:$AB$25,2)</f>
        <v>4472</v>
      </c>
      <c r="H4767" s="0" t="n">
        <f aca="false">IF(C4767&gt;1,IF(C4767&lt;99,VLOOKUP(F4767,'MSA-Lookup'!$AA$1:$AB$25,2),C4767),C4767)</f>
        <v>7362</v>
      </c>
    </row>
    <row r="4768" customFormat="false" ht="12.75" hidden="false" customHeight="false" outlineLevel="0" collapsed="false">
      <c r="A4768" s="0" t="n">
        <f aca="false">B4768*1000+C4768</f>
        <v>67017</v>
      </c>
      <c r="B4768" s="0" t="n">
        <v>67</v>
      </c>
      <c r="C4768" s="0" t="n">
        <v>17</v>
      </c>
      <c r="D4768" s="0" t="n">
        <v>0</v>
      </c>
      <c r="E4768" s="0" t="n">
        <f aca="false">VLOOKUP(B4768,'MSA-Lookup'!$H$2:$I$86,2)</f>
        <v>6000</v>
      </c>
      <c r="F4768" s="0" t="n">
        <f aca="false">IF(C4768&gt;1,IF(C4768&lt;99,VLOOKUP(C4768,'MSA-Lookup'!$H$1:$I$86,2),C4768),C4768)</f>
        <v>5775</v>
      </c>
      <c r="G4768" s="0" t="n">
        <f aca="false">VLOOKUP(E4768,'MSA-Lookup'!$AA$1:$AB$25,2)</f>
        <v>4472</v>
      </c>
      <c r="H4768" s="0" t="n">
        <f aca="false">IF(C4768&gt;1,IF(C4768&lt;99,VLOOKUP(F4768,'MSA-Lookup'!$AA$1:$AB$25,2),C4768),C4768)</f>
        <v>7362</v>
      </c>
    </row>
    <row r="4769" customFormat="false" ht="12.75" hidden="false" customHeight="false" outlineLevel="0" collapsed="false">
      <c r="A4769" s="0" t="n">
        <f aca="false">B4769*1000+C4769</f>
        <v>67018</v>
      </c>
      <c r="B4769" s="0" t="n">
        <v>67</v>
      </c>
      <c r="C4769" s="0" t="n">
        <v>18</v>
      </c>
      <c r="D4769" s="0" t="n">
        <v>221</v>
      </c>
      <c r="E4769" s="0" t="n">
        <f aca="false">VLOOKUP(B4769,'MSA-Lookup'!$H$2:$I$86,2)</f>
        <v>6000</v>
      </c>
      <c r="F4769" s="0" t="n">
        <f aca="false">IF(C4769&gt;1,IF(C4769&lt;99,VLOOKUP(C4769,'MSA-Lookup'!$H$1:$I$86,2),C4769),C4769)</f>
        <v>5775</v>
      </c>
      <c r="G4769" s="0" t="n">
        <f aca="false">VLOOKUP(E4769,'MSA-Lookup'!$AA$1:$AB$25,2)</f>
        <v>4472</v>
      </c>
      <c r="H4769" s="0" t="n">
        <f aca="false">IF(C4769&gt;1,IF(C4769&lt;99,VLOOKUP(F4769,'MSA-Lookup'!$AA$1:$AB$25,2),C4769),C4769)</f>
        <v>7362</v>
      </c>
    </row>
    <row r="4770" customFormat="false" ht="12.75" hidden="false" customHeight="false" outlineLevel="0" collapsed="false">
      <c r="A4770" s="0" t="n">
        <f aca="false">B4770*1000+C4770</f>
        <v>67019</v>
      </c>
      <c r="B4770" s="0" t="n">
        <v>67</v>
      </c>
      <c r="C4770" s="0" t="n">
        <v>19</v>
      </c>
      <c r="D4770" s="0" t="n">
        <v>117</v>
      </c>
      <c r="E4770" s="0" t="n">
        <f aca="false">VLOOKUP(B4770,'MSA-Lookup'!$H$2:$I$86,2)</f>
        <v>6000</v>
      </c>
      <c r="F4770" s="0" t="n">
        <f aca="false">IF(C4770&gt;1,IF(C4770&lt;99,VLOOKUP(C4770,'MSA-Lookup'!$H$1:$I$86,2),C4770),C4770)</f>
        <v>7360</v>
      </c>
      <c r="G4770" s="0" t="n">
        <f aca="false">VLOOKUP(E4770,'MSA-Lookup'!$AA$1:$AB$25,2)</f>
        <v>4472</v>
      </c>
      <c r="H4770" s="0" t="n">
        <f aca="false">IF(C4770&gt;1,IF(C4770&lt;99,VLOOKUP(F4770,'MSA-Lookup'!$AA$1:$AB$25,2),C4770),C4770)</f>
        <v>7362</v>
      </c>
    </row>
    <row r="4771" customFormat="false" ht="12.75" hidden="false" customHeight="false" outlineLevel="0" collapsed="false">
      <c r="A4771" s="0" t="n">
        <f aca="false">B4771*1000+C4771</f>
        <v>67020</v>
      </c>
      <c r="B4771" s="0" t="n">
        <v>67</v>
      </c>
      <c r="C4771" s="0" t="n">
        <v>20</v>
      </c>
      <c r="D4771" s="0" t="n">
        <v>0</v>
      </c>
      <c r="E4771" s="0" t="n">
        <f aca="false">VLOOKUP(B4771,'MSA-Lookup'!$H$2:$I$86,2)</f>
        <v>6000</v>
      </c>
      <c r="F4771" s="0" t="n">
        <f aca="false">IF(C4771&gt;1,IF(C4771&lt;99,VLOOKUP(C4771,'MSA-Lookup'!$H$1:$I$86,2),C4771),C4771)</f>
        <v>5775</v>
      </c>
      <c r="G4771" s="0" t="n">
        <f aca="false">VLOOKUP(E4771,'MSA-Lookup'!$AA$1:$AB$25,2)</f>
        <v>4472</v>
      </c>
      <c r="H4771" s="0" t="n">
        <f aca="false">IF(C4771&gt;1,IF(C4771&lt;99,VLOOKUP(F4771,'MSA-Lookup'!$AA$1:$AB$25,2),C4771),C4771)</f>
        <v>7362</v>
      </c>
    </row>
    <row r="4772" customFormat="false" ht="12.75" hidden="false" customHeight="false" outlineLevel="0" collapsed="false">
      <c r="A4772" s="0" t="n">
        <f aca="false">B4772*1000+C4772</f>
        <v>67021</v>
      </c>
      <c r="B4772" s="0" t="n">
        <v>67</v>
      </c>
      <c r="C4772" s="0" t="n">
        <v>21</v>
      </c>
      <c r="D4772" s="0" t="n">
        <v>117</v>
      </c>
      <c r="E4772" s="0" t="n">
        <f aca="false">VLOOKUP(B4772,'MSA-Lookup'!$H$2:$I$86,2)</f>
        <v>6000</v>
      </c>
      <c r="F4772" s="0" t="n">
        <f aca="false">IF(C4772&gt;1,IF(C4772&lt;99,VLOOKUP(C4772,'MSA-Lookup'!$H$1:$I$86,2),C4772),C4772)</f>
        <v>5775</v>
      </c>
      <c r="G4772" s="0" t="n">
        <f aca="false">VLOOKUP(E4772,'MSA-Lookup'!$AA$1:$AB$25,2)</f>
        <v>4472</v>
      </c>
      <c r="H4772" s="0" t="n">
        <f aca="false">IF(C4772&gt;1,IF(C4772&lt;99,VLOOKUP(F4772,'MSA-Lookup'!$AA$1:$AB$25,2),C4772),C4772)</f>
        <v>7362</v>
      </c>
    </row>
    <row r="4773" customFormat="false" ht="12.75" hidden="false" customHeight="false" outlineLevel="0" collapsed="false">
      <c r="A4773" s="0" t="n">
        <f aca="false">B4773*1000+C4773</f>
        <v>67022</v>
      </c>
      <c r="B4773" s="0" t="n">
        <v>67</v>
      </c>
      <c r="C4773" s="0" t="n">
        <v>22</v>
      </c>
      <c r="D4773" s="0" t="n">
        <v>1716</v>
      </c>
      <c r="E4773" s="0" t="n">
        <f aca="false">VLOOKUP(B4773,'MSA-Lookup'!$H$2:$I$86,2)</f>
        <v>6000</v>
      </c>
      <c r="F4773" s="0" t="n">
        <f aca="false">IF(C4773&gt;1,IF(C4773&lt;99,VLOOKUP(C4773,'MSA-Lookup'!$H$1:$I$86,2),C4773),C4773)</f>
        <v>7360</v>
      </c>
      <c r="G4773" s="0" t="n">
        <f aca="false">VLOOKUP(E4773,'MSA-Lookup'!$AA$1:$AB$25,2)</f>
        <v>4472</v>
      </c>
      <c r="H4773" s="0" t="n">
        <f aca="false">IF(C4773&gt;1,IF(C4773&lt;99,VLOOKUP(F4773,'MSA-Lookup'!$AA$1:$AB$25,2),C4773),C4773)</f>
        <v>7362</v>
      </c>
    </row>
    <row r="4774" customFormat="false" ht="12.75" hidden="false" customHeight="false" outlineLevel="0" collapsed="false">
      <c r="A4774" s="0" t="n">
        <f aca="false">B4774*1000+C4774</f>
        <v>67023</v>
      </c>
      <c r="B4774" s="0" t="n">
        <v>67</v>
      </c>
      <c r="C4774" s="0" t="n">
        <v>23</v>
      </c>
      <c r="D4774" s="0" t="n">
        <v>91</v>
      </c>
      <c r="E4774" s="0" t="n">
        <f aca="false">VLOOKUP(B4774,'MSA-Lookup'!$H$2:$I$86,2)</f>
        <v>6000</v>
      </c>
      <c r="F4774" s="0" t="n">
        <f aca="false">IF(C4774&gt;1,IF(C4774&lt;99,VLOOKUP(C4774,'MSA-Lookup'!$H$1:$I$86,2),C4774),C4774)</f>
        <v>8120</v>
      </c>
      <c r="G4774" s="0" t="n">
        <f aca="false">VLOOKUP(E4774,'MSA-Lookup'!$AA$1:$AB$25,2)</f>
        <v>4472</v>
      </c>
      <c r="H4774" s="0" t="n">
        <f aca="false">IF(C4774&gt;1,IF(C4774&lt;99,VLOOKUP(F4774,'MSA-Lookup'!$AA$1:$AB$25,2),C4774),C4774)</f>
        <v>8120</v>
      </c>
    </row>
    <row r="4775" customFormat="false" ht="12.75" hidden="false" customHeight="false" outlineLevel="0" collapsed="false">
      <c r="A4775" s="0" t="n">
        <f aca="false">B4775*1000+C4775</f>
        <v>67024</v>
      </c>
      <c r="B4775" s="0" t="n">
        <v>67</v>
      </c>
      <c r="C4775" s="0" t="n">
        <v>24</v>
      </c>
      <c r="D4775" s="0" t="n">
        <v>0</v>
      </c>
      <c r="E4775" s="0" t="n">
        <f aca="false">VLOOKUP(B4775,'MSA-Lookup'!$H$2:$I$86,2)</f>
        <v>6000</v>
      </c>
      <c r="F4775" s="0" t="n">
        <f aca="false">IF(C4775&gt;1,IF(C4775&lt;99,VLOOKUP(C4775,'MSA-Lookup'!$H$1:$I$86,2),C4775),C4775)</f>
        <v>5170</v>
      </c>
      <c r="G4775" s="0" t="n">
        <f aca="false">VLOOKUP(E4775,'MSA-Lookup'!$AA$1:$AB$25,2)</f>
        <v>4472</v>
      </c>
      <c r="H4775" s="0" t="n">
        <f aca="false">IF(C4775&gt;1,IF(C4775&lt;99,VLOOKUP(F4775,'MSA-Lookup'!$AA$1:$AB$25,2),C4775),C4775)</f>
        <v>5170</v>
      </c>
    </row>
    <row r="4776" customFormat="false" ht="12.75" hidden="false" customHeight="false" outlineLevel="0" collapsed="false">
      <c r="A4776" s="0" t="n">
        <f aca="false">B4776*1000+C4776</f>
        <v>67025</v>
      </c>
      <c r="B4776" s="0" t="n">
        <v>67</v>
      </c>
      <c r="C4776" s="0" t="n">
        <v>25</v>
      </c>
      <c r="D4776" s="0" t="n">
        <v>0</v>
      </c>
      <c r="E4776" s="0" t="n">
        <f aca="false">VLOOKUP(B4776,'MSA-Lookup'!$H$2:$I$86,2)</f>
        <v>6000</v>
      </c>
      <c r="F4776" s="0" t="n">
        <f aca="false">IF(C4776&gt;1,IF(C4776&lt;99,VLOOKUP(C4776,'MSA-Lookup'!$H$1:$I$86,2),C4776),C4776)</f>
        <v>5170</v>
      </c>
      <c r="G4776" s="0" t="n">
        <f aca="false">VLOOKUP(E4776,'MSA-Lookup'!$AA$1:$AB$25,2)</f>
        <v>4472</v>
      </c>
      <c r="H4776" s="0" t="n">
        <f aca="false">IF(C4776&gt;1,IF(C4776&lt;99,VLOOKUP(F4776,'MSA-Lookup'!$AA$1:$AB$25,2),C4776),C4776)</f>
        <v>5170</v>
      </c>
    </row>
    <row r="4777" customFormat="false" ht="12.75" hidden="false" customHeight="false" outlineLevel="0" collapsed="false">
      <c r="A4777" s="0" t="n">
        <f aca="false">B4777*1000+C4777</f>
        <v>67026</v>
      </c>
      <c r="B4777" s="0" t="n">
        <v>67</v>
      </c>
      <c r="C4777" s="0" t="n">
        <v>26</v>
      </c>
      <c r="D4777" s="0" t="n">
        <v>0</v>
      </c>
      <c r="E4777" s="0" t="n">
        <f aca="false">VLOOKUP(B4777,'MSA-Lookup'!$H$2:$I$86,2)</f>
        <v>6000</v>
      </c>
      <c r="F4777" s="0" t="n">
        <f aca="false">IF(C4777&gt;1,IF(C4777&lt;99,VLOOKUP(C4777,'MSA-Lookup'!$H$1:$I$86,2),C4777),C4777)</f>
        <v>9999</v>
      </c>
      <c r="G4777" s="0" t="n">
        <f aca="false">VLOOKUP(E4777,'MSA-Lookup'!$AA$1:$AB$25,2)</f>
        <v>4472</v>
      </c>
      <c r="H4777" s="0" t="n">
        <f aca="false">IF(C4777&gt;1,IF(C4777&lt;99,VLOOKUP(F4777,'MSA-Lookup'!$AA$1:$AB$25,2),C4777),C4777)</f>
        <v>9999</v>
      </c>
    </row>
    <row r="4778" customFormat="false" ht="12.75" hidden="false" customHeight="false" outlineLevel="0" collapsed="false">
      <c r="A4778" s="0" t="n">
        <f aca="false">B4778*1000+C4778</f>
        <v>67027</v>
      </c>
      <c r="B4778" s="0" t="n">
        <v>67</v>
      </c>
      <c r="C4778" s="0" t="n">
        <v>27</v>
      </c>
      <c r="D4778" s="0" t="n">
        <v>0</v>
      </c>
      <c r="E4778" s="0" t="n">
        <f aca="false">VLOOKUP(B4778,'MSA-Lookup'!$H$2:$I$86,2)</f>
        <v>6000</v>
      </c>
      <c r="F4778" s="0" t="n">
        <f aca="false">IF(C4778&gt;1,IF(C4778&lt;99,VLOOKUP(C4778,'MSA-Lookup'!$H$1:$I$86,2),C4778),C4778)</f>
        <v>9999</v>
      </c>
      <c r="G4778" s="0" t="n">
        <f aca="false">VLOOKUP(E4778,'MSA-Lookup'!$AA$1:$AB$25,2)</f>
        <v>4472</v>
      </c>
      <c r="H4778" s="0" t="n">
        <f aca="false">IF(C4778&gt;1,IF(C4778&lt;99,VLOOKUP(F4778,'MSA-Lookup'!$AA$1:$AB$25,2),C4778),C4778)</f>
        <v>9999</v>
      </c>
    </row>
    <row r="4779" customFormat="false" ht="12.75" hidden="false" customHeight="false" outlineLevel="0" collapsed="false">
      <c r="A4779" s="0" t="n">
        <f aca="false">B4779*1000+C4779</f>
        <v>67028</v>
      </c>
      <c r="B4779" s="0" t="n">
        <v>67</v>
      </c>
      <c r="C4779" s="0" t="n">
        <v>28</v>
      </c>
      <c r="D4779" s="0" t="n">
        <v>0</v>
      </c>
      <c r="E4779" s="0" t="n">
        <f aca="false">VLOOKUP(B4779,'MSA-Lookup'!$H$2:$I$86,2)</f>
        <v>6000</v>
      </c>
      <c r="F4779" s="0" t="n">
        <f aca="false">IF(C4779&gt;1,IF(C4779&lt;99,VLOOKUP(C4779,'MSA-Lookup'!$H$1:$I$86,2),C4779),C4779)</f>
        <v>6920</v>
      </c>
      <c r="G4779" s="0" t="n">
        <f aca="false">VLOOKUP(E4779,'MSA-Lookup'!$AA$1:$AB$25,2)</f>
        <v>4472</v>
      </c>
      <c r="H4779" s="0" t="n">
        <f aca="false">IF(C4779&gt;1,IF(C4779&lt;99,VLOOKUP(F4779,'MSA-Lookup'!$AA$1:$AB$25,2),C4779),C4779)</f>
        <v>6920</v>
      </c>
    </row>
    <row r="4780" customFormat="false" ht="12.75" hidden="false" customHeight="false" outlineLevel="0" collapsed="false">
      <c r="A4780" s="0" t="n">
        <f aca="false">B4780*1000+C4780</f>
        <v>67029</v>
      </c>
      <c r="B4780" s="0" t="n">
        <v>67</v>
      </c>
      <c r="C4780" s="0" t="n">
        <v>29</v>
      </c>
      <c r="D4780" s="0" t="n">
        <v>104</v>
      </c>
      <c r="E4780" s="0" t="n">
        <f aca="false">VLOOKUP(B4780,'MSA-Lookup'!$H$2:$I$86,2)</f>
        <v>6000</v>
      </c>
      <c r="F4780" s="0" t="n">
        <f aca="false">IF(C4780&gt;1,IF(C4780&lt;99,VLOOKUP(C4780,'MSA-Lookup'!$H$1:$I$86,2),C4780),C4780)</f>
        <v>6920</v>
      </c>
      <c r="G4780" s="0" t="n">
        <f aca="false">VLOOKUP(E4780,'MSA-Lookup'!$AA$1:$AB$25,2)</f>
        <v>4472</v>
      </c>
      <c r="H4780" s="0" t="n">
        <f aca="false">IF(C4780&gt;1,IF(C4780&lt;99,VLOOKUP(F4780,'MSA-Lookup'!$AA$1:$AB$25,2),C4780),C4780)</f>
        <v>6920</v>
      </c>
    </row>
    <row r="4781" customFormat="false" ht="12.75" hidden="false" customHeight="false" outlineLevel="0" collapsed="false">
      <c r="A4781" s="0" t="n">
        <f aca="false">B4781*1000+C4781</f>
        <v>67030</v>
      </c>
      <c r="B4781" s="0" t="n">
        <v>67</v>
      </c>
      <c r="C4781" s="0" t="n">
        <v>30</v>
      </c>
      <c r="D4781" s="0" t="n">
        <v>0</v>
      </c>
      <c r="E4781" s="0" t="n">
        <f aca="false">VLOOKUP(B4781,'MSA-Lookup'!$H$2:$I$86,2)</f>
        <v>6000</v>
      </c>
      <c r="F4781" s="0" t="n">
        <f aca="false">IF(C4781&gt;1,IF(C4781&lt;99,VLOOKUP(C4781,'MSA-Lookup'!$H$1:$I$86,2),C4781),C4781)</f>
        <v>4940</v>
      </c>
      <c r="G4781" s="0" t="n">
        <f aca="false">VLOOKUP(E4781,'MSA-Lookup'!$AA$1:$AB$25,2)</f>
        <v>4472</v>
      </c>
      <c r="H4781" s="0" t="n">
        <f aca="false">IF(C4781&gt;1,IF(C4781&lt;99,VLOOKUP(F4781,'MSA-Lookup'!$AA$1:$AB$25,2),C4781),C4781)</f>
        <v>4940</v>
      </c>
    </row>
    <row r="4782" customFormat="false" ht="12.75" hidden="false" customHeight="false" outlineLevel="0" collapsed="false">
      <c r="A4782" s="0" t="n">
        <f aca="false">B4782*1000+C4782</f>
        <v>67031</v>
      </c>
      <c r="B4782" s="0" t="n">
        <v>67</v>
      </c>
      <c r="C4782" s="0" t="n">
        <v>31</v>
      </c>
      <c r="D4782" s="0" t="n">
        <v>0</v>
      </c>
      <c r="E4782" s="0" t="n">
        <f aca="false">VLOOKUP(B4782,'MSA-Lookup'!$H$2:$I$86,2)</f>
        <v>6000</v>
      </c>
      <c r="F4782" s="0" t="n">
        <f aca="false">IF(C4782&gt;1,IF(C4782&lt;99,VLOOKUP(C4782,'MSA-Lookup'!$H$1:$I$86,2),C4782),C4782)</f>
        <v>9999</v>
      </c>
      <c r="G4782" s="0" t="n">
        <f aca="false">VLOOKUP(E4782,'MSA-Lookup'!$AA$1:$AB$25,2)</f>
        <v>4472</v>
      </c>
      <c r="H4782" s="0" t="n">
        <f aca="false">IF(C4782&gt;1,IF(C4782&lt;99,VLOOKUP(F4782,'MSA-Lookup'!$AA$1:$AB$25,2),C4782),C4782)</f>
        <v>9999</v>
      </c>
    </row>
    <row r="4783" customFormat="false" ht="12.75" hidden="false" customHeight="false" outlineLevel="0" collapsed="false">
      <c r="A4783" s="0" t="n">
        <f aca="false">B4783*1000+C4783</f>
        <v>67032</v>
      </c>
      <c r="B4783" s="0" t="n">
        <v>67</v>
      </c>
      <c r="C4783" s="0" t="n">
        <v>32</v>
      </c>
      <c r="D4783" s="0" t="n">
        <v>3861</v>
      </c>
      <c r="E4783" s="0" t="n">
        <f aca="false">VLOOKUP(B4783,'MSA-Lookup'!$H$2:$I$86,2)</f>
        <v>6000</v>
      </c>
      <c r="F4783" s="0" t="n">
        <f aca="false">IF(C4783&gt;1,IF(C4783&lt;99,VLOOKUP(C4783,'MSA-Lookup'!$H$1:$I$86,2),C4783),C4783)</f>
        <v>7480</v>
      </c>
      <c r="G4783" s="0" t="n">
        <f aca="false">VLOOKUP(E4783,'MSA-Lookup'!$AA$1:$AB$25,2)</f>
        <v>4472</v>
      </c>
      <c r="H4783" s="0" t="n">
        <f aca="false">IF(C4783&gt;1,IF(C4783&lt;99,VLOOKUP(F4783,'MSA-Lookup'!$AA$1:$AB$25,2),C4783),C4783)</f>
        <v>7480</v>
      </c>
    </row>
    <row r="4784" customFormat="false" ht="12.75" hidden="false" customHeight="false" outlineLevel="0" collapsed="false">
      <c r="A4784" s="0" t="n">
        <f aca="false">B4784*1000+C4784</f>
        <v>67033</v>
      </c>
      <c r="B4784" s="0" t="n">
        <v>67</v>
      </c>
      <c r="C4784" s="0" t="n">
        <v>33</v>
      </c>
      <c r="D4784" s="0" t="n">
        <v>338</v>
      </c>
      <c r="E4784" s="0" t="n">
        <f aca="false">VLOOKUP(B4784,'MSA-Lookup'!$H$2:$I$86,2)</f>
        <v>6000</v>
      </c>
      <c r="F4784" s="0" t="n">
        <f aca="false">IF(C4784&gt;1,IF(C4784&lt;99,VLOOKUP(C4784,'MSA-Lookup'!$H$1:$I$86,2),C4784),C4784)</f>
        <v>7320</v>
      </c>
      <c r="G4784" s="0" t="n">
        <f aca="false">VLOOKUP(E4784,'MSA-Lookup'!$AA$1:$AB$25,2)</f>
        <v>4472</v>
      </c>
      <c r="H4784" s="0" t="n">
        <f aca="false">IF(C4784&gt;1,IF(C4784&lt;99,VLOOKUP(F4784,'MSA-Lookup'!$AA$1:$AB$25,2),C4784),C4784)</f>
        <v>7320</v>
      </c>
    </row>
    <row r="4785" customFormat="false" ht="12.75" hidden="false" customHeight="false" outlineLevel="0" collapsed="false">
      <c r="A4785" s="0" t="n">
        <f aca="false">B4785*1000+C4785</f>
        <v>67034</v>
      </c>
      <c r="B4785" s="0" t="n">
        <v>67</v>
      </c>
      <c r="C4785" s="0" t="n">
        <v>34</v>
      </c>
      <c r="D4785" s="0" t="n">
        <v>0</v>
      </c>
      <c r="E4785" s="0" t="n">
        <f aca="false">VLOOKUP(B4785,'MSA-Lookup'!$H$2:$I$86,2)</f>
        <v>6000</v>
      </c>
      <c r="F4785" s="0" t="n">
        <f aca="false">IF(C4785&gt;1,IF(C4785&lt;99,VLOOKUP(C4785,'MSA-Lookup'!$H$1:$I$86,2),C4785),C4785)</f>
        <v>7320</v>
      </c>
      <c r="G4785" s="0" t="n">
        <f aca="false">VLOOKUP(E4785,'MSA-Lookup'!$AA$1:$AB$25,2)</f>
        <v>4472</v>
      </c>
      <c r="H4785" s="0" t="n">
        <f aca="false">IF(C4785&gt;1,IF(C4785&lt;99,VLOOKUP(F4785,'MSA-Lookup'!$AA$1:$AB$25,2),C4785),C4785)</f>
        <v>7320</v>
      </c>
    </row>
    <row r="4786" customFormat="false" ht="12.75" hidden="false" customHeight="false" outlineLevel="0" collapsed="false">
      <c r="A4786" s="0" t="n">
        <f aca="false">B4786*1000+C4786</f>
        <v>67035</v>
      </c>
      <c r="B4786" s="0" t="n">
        <v>67</v>
      </c>
      <c r="C4786" s="0" t="n">
        <v>35</v>
      </c>
      <c r="D4786" s="0" t="n">
        <v>0</v>
      </c>
      <c r="E4786" s="0" t="n">
        <f aca="false">VLOOKUP(B4786,'MSA-Lookup'!$H$2:$I$86,2)</f>
        <v>6000</v>
      </c>
      <c r="F4786" s="0" t="n">
        <f aca="false">IF(C4786&gt;1,IF(C4786&lt;99,VLOOKUP(C4786,'MSA-Lookup'!$H$1:$I$86,2),C4786),C4786)</f>
        <v>7320</v>
      </c>
      <c r="G4786" s="0" t="n">
        <f aca="false">VLOOKUP(E4786,'MSA-Lookup'!$AA$1:$AB$25,2)</f>
        <v>4472</v>
      </c>
      <c r="H4786" s="0" t="n">
        <f aca="false">IF(C4786&gt;1,IF(C4786&lt;99,VLOOKUP(F4786,'MSA-Lookup'!$AA$1:$AB$25,2),C4786),C4786)</f>
        <v>7320</v>
      </c>
    </row>
    <row r="4787" customFormat="false" ht="12.75" hidden="false" customHeight="false" outlineLevel="0" collapsed="false">
      <c r="A4787" s="0" t="n">
        <f aca="false">B4787*1000+C4787</f>
        <v>67036</v>
      </c>
      <c r="B4787" s="0" t="n">
        <v>67</v>
      </c>
      <c r="C4787" s="0" t="n">
        <v>36</v>
      </c>
      <c r="D4787" s="0" t="n">
        <v>0</v>
      </c>
      <c r="E4787" s="0" t="n">
        <f aca="false">VLOOKUP(B4787,'MSA-Lookup'!$H$2:$I$86,2)</f>
        <v>6000</v>
      </c>
      <c r="F4787" s="0" t="n">
        <f aca="false">IF(C4787&gt;1,IF(C4787&lt;99,VLOOKUP(C4787,'MSA-Lookup'!$H$1:$I$86,2),C4787),C4787)</f>
        <v>7320</v>
      </c>
      <c r="G4787" s="0" t="n">
        <f aca="false">VLOOKUP(E4787,'MSA-Lookup'!$AA$1:$AB$25,2)</f>
        <v>4472</v>
      </c>
      <c r="H4787" s="0" t="n">
        <f aca="false">IF(C4787&gt;1,IF(C4787&lt;99,VLOOKUP(F4787,'MSA-Lookup'!$AA$1:$AB$25,2),C4787),C4787)</f>
        <v>7320</v>
      </c>
    </row>
    <row r="4788" customFormat="false" ht="12.75" hidden="false" customHeight="false" outlineLevel="0" collapsed="false">
      <c r="A4788" s="0" t="n">
        <f aca="false">B4788*1000+C4788</f>
        <v>67037</v>
      </c>
      <c r="B4788" s="0" t="n">
        <v>67</v>
      </c>
      <c r="C4788" s="0" t="n">
        <v>37</v>
      </c>
      <c r="D4788" s="0" t="n">
        <v>104</v>
      </c>
      <c r="E4788" s="0" t="n">
        <f aca="false">VLOOKUP(B4788,'MSA-Lookup'!$H$2:$I$86,2)</f>
        <v>6000</v>
      </c>
      <c r="F4788" s="0" t="n">
        <f aca="false">IF(C4788&gt;1,IF(C4788&lt;99,VLOOKUP(C4788,'MSA-Lookup'!$H$1:$I$86,2),C4788),C4788)</f>
        <v>7320</v>
      </c>
      <c r="G4788" s="0" t="n">
        <f aca="false">VLOOKUP(E4788,'MSA-Lookup'!$AA$1:$AB$25,2)</f>
        <v>4472</v>
      </c>
      <c r="H4788" s="0" t="n">
        <f aca="false">IF(C4788&gt;1,IF(C4788&lt;99,VLOOKUP(F4788,'MSA-Lookup'!$AA$1:$AB$25,2),C4788),C4788)</f>
        <v>7320</v>
      </c>
    </row>
    <row r="4789" customFormat="false" ht="12.75" hidden="false" customHeight="false" outlineLevel="0" collapsed="false">
      <c r="A4789" s="0" t="n">
        <f aca="false">B4789*1000+C4789</f>
        <v>67038</v>
      </c>
      <c r="B4789" s="0" t="n">
        <v>67</v>
      </c>
      <c r="C4789" s="0" t="n">
        <v>38</v>
      </c>
      <c r="D4789" s="0" t="n">
        <v>0</v>
      </c>
      <c r="E4789" s="0" t="n">
        <f aca="false">VLOOKUP(B4789,'MSA-Lookup'!$H$2:$I$86,2)</f>
        <v>6000</v>
      </c>
      <c r="F4789" s="0" t="n">
        <f aca="false">IF(C4789&gt;1,IF(C4789&lt;99,VLOOKUP(C4789,'MSA-Lookup'!$H$1:$I$86,2),C4789),C4789)</f>
        <v>7120</v>
      </c>
      <c r="G4789" s="0" t="n">
        <f aca="false">VLOOKUP(E4789,'MSA-Lookup'!$AA$1:$AB$25,2)</f>
        <v>4472</v>
      </c>
      <c r="H4789" s="0" t="n">
        <f aca="false">IF(C4789&gt;1,IF(C4789&lt;99,VLOOKUP(F4789,'MSA-Lookup'!$AA$1:$AB$25,2),C4789),C4789)</f>
        <v>7120</v>
      </c>
    </row>
    <row r="4790" customFormat="false" ht="12.75" hidden="false" customHeight="false" outlineLevel="0" collapsed="false">
      <c r="A4790" s="0" t="n">
        <f aca="false">B4790*1000+C4790</f>
        <v>67039</v>
      </c>
      <c r="B4790" s="0" t="n">
        <v>67</v>
      </c>
      <c r="C4790" s="0" t="n">
        <v>39</v>
      </c>
      <c r="D4790" s="0" t="n">
        <v>169</v>
      </c>
      <c r="E4790" s="0" t="n">
        <f aca="false">VLOOKUP(B4790,'MSA-Lookup'!$H$2:$I$86,2)</f>
        <v>6000</v>
      </c>
      <c r="F4790" s="0" t="n">
        <f aca="false">IF(C4790&gt;1,IF(C4790&lt;99,VLOOKUP(C4790,'MSA-Lookup'!$H$1:$I$86,2),C4790),C4790)</f>
        <v>7120</v>
      </c>
      <c r="G4790" s="0" t="n">
        <f aca="false">VLOOKUP(E4790,'MSA-Lookup'!$AA$1:$AB$25,2)</f>
        <v>4472</v>
      </c>
      <c r="H4790" s="0" t="n">
        <f aca="false">IF(C4790&gt;1,IF(C4790&lt;99,VLOOKUP(F4790,'MSA-Lookup'!$AA$1:$AB$25,2),C4790),C4790)</f>
        <v>7120</v>
      </c>
    </row>
    <row r="4791" customFormat="false" ht="12.75" hidden="false" customHeight="false" outlineLevel="0" collapsed="false">
      <c r="A4791" s="0" t="n">
        <f aca="false">B4791*1000+C4791</f>
        <v>67040</v>
      </c>
      <c r="B4791" s="0" t="n">
        <v>67</v>
      </c>
      <c r="C4791" s="0" t="n">
        <v>40</v>
      </c>
      <c r="D4791" s="0" t="n">
        <v>0</v>
      </c>
      <c r="E4791" s="0" t="n">
        <f aca="false">VLOOKUP(B4791,'MSA-Lookup'!$H$2:$I$86,2)</f>
        <v>6000</v>
      </c>
      <c r="F4791" s="0" t="n">
        <f aca="false">IF(C4791&gt;1,IF(C4791&lt;99,VLOOKUP(C4791,'MSA-Lookup'!$H$1:$I$86,2),C4791),C4791)</f>
        <v>2840</v>
      </c>
      <c r="G4791" s="0" t="n">
        <f aca="false">VLOOKUP(E4791,'MSA-Lookup'!$AA$1:$AB$25,2)</f>
        <v>4472</v>
      </c>
      <c r="H4791" s="0" t="n">
        <f aca="false">IF(C4791&gt;1,IF(C4791&lt;99,VLOOKUP(F4791,'MSA-Lookup'!$AA$1:$AB$25,2),C4791),C4791)</f>
        <v>2840</v>
      </c>
    </row>
    <row r="4792" customFormat="false" ht="12.75" hidden="false" customHeight="false" outlineLevel="0" collapsed="false">
      <c r="A4792" s="0" t="n">
        <f aca="false">B4792*1000+C4792</f>
        <v>67041</v>
      </c>
      <c r="B4792" s="0" t="n">
        <v>67</v>
      </c>
      <c r="C4792" s="0" t="n">
        <v>41</v>
      </c>
      <c r="D4792" s="0" t="n">
        <v>0</v>
      </c>
      <c r="E4792" s="0" t="n">
        <f aca="false">VLOOKUP(B4792,'MSA-Lookup'!$H$2:$I$86,2)</f>
        <v>6000</v>
      </c>
      <c r="F4792" s="0" t="n">
        <f aca="false">IF(C4792&gt;1,IF(C4792&lt;99,VLOOKUP(C4792,'MSA-Lookup'!$H$1:$I$86,2),C4792),C4792)</f>
        <v>2840</v>
      </c>
      <c r="G4792" s="0" t="n">
        <f aca="false">VLOOKUP(E4792,'MSA-Lookup'!$AA$1:$AB$25,2)</f>
        <v>4472</v>
      </c>
      <c r="H4792" s="0" t="n">
        <f aca="false">IF(C4792&gt;1,IF(C4792&lt;99,VLOOKUP(F4792,'MSA-Lookup'!$AA$1:$AB$25,2),C4792),C4792)</f>
        <v>2840</v>
      </c>
    </row>
    <row r="4793" customFormat="false" ht="12.75" hidden="false" customHeight="false" outlineLevel="0" collapsed="false">
      <c r="A4793" s="0" t="n">
        <f aca="false">B4793*1000+C4793</f>
        <v>67042</v>
      </c>
      <c r="B4793" s="0" t="n">
        <v>67</v>
      </c>
      <c r="C4793" s="0" t="n">
        <v>42</v>
      </c>
      <c r="D4793" s="0" t="n">
        <v>78</v>
      </c>
      <c r="E4793" s="0" t="n">
        <f aca="false">VLOOKUP(B4793,'MSA-Lookup'!$H$2:$I$86,2)</f>
        <v>6000</v>
      </c>
      <c r="F4793" s="0" t="n">
        <f aca="false">IF(C4793&gt;1,IF(C4793&lt;99,VLOOKUP(C4793,'MSA-Lookup'!$H$1:$I$86,2),C4793),C4793)</f>
        <v>360</v>
      </c>
      <c r="G4793" s="0" t="n">
        <f aca="false">VLOOKUP(E4793,'MSA-Lookup'!$AA$1:$AB$25,2)</f>
        <v>4472</v>
      </c>
      <c r="H4793" s="0" t="n">
        <f aca="false">IF(C4793&gt;1,IF(C4793&lt;99,VLOOKUP(F4793,'MSA-Lookup'!$AA$1:$AB$25,2),C4793),C4793)</f>
        <v>4472</v>
      </c>
    </row>
    <row r="4794" customFormat="false" ht="12.75" hidden="false" customHeight="false" outlineLevel="0" collapsed="false">
      <c r="A4794" s="0" t="n">
        <f aca="false">B4794*1000+C4794</f>
        <v>67043</v>
      </c>
      <c r="B4794" s="0" t="n">
        <v>67</v>
      </c>
      <c r="C4794" s="0" t="n">
        <v>43</v>
      </c>
      <c r="D4794" s="0" t="n">
        <v>0</v>
      </c>
      <c r="E4794" s="0" t="n">
        <f aca="false">VLOOKUP(B4794,'MSA-Lookup'!$H$2:$I$86,2)</f>
        <v>6000</v>
      </c>
      <c r="F4794" s="0" t="n">
        <f aca="false">IF(C4794&gt;1,IF(C4794&lt;99,VLOOKUP(C4794,'MSA-Lookup'!$H$1:$I$86,2),C4794),C4794)</f>
        <v>360</v>
      </c>
      <c r="G4794" s="0" t="n">
        <f aca="false">VLOOKUP(E4794,'MSA-Lookup'!$AA$1:$AB$25,2)</f>
        <v>4472</v>
      </c>
      <c r="H4794" s="0" t="n">
        <f aca="false">IF(C4794&gt;1,IF(C4794&lt;99,VLOOKUP(F4794,'MSA-Lookup'!$AA$1:$AB$25,2),C4794),C4794)</f>
        <v>4472</v>
      </c>
    </row>
    <row r="4795" customFormat="false" ht="12.75" hidden="false" customHeight="false" outlineLevel="0" collapsed="false">
      <c r="A4795" s="0" t="n">
        <f aca="false">B4795*1000+C4795</f>
        <v>67044</v>
      </c>
      <c r="B4795" s="0" t="n">
        <v>67</v>
      </c>
      <c r="C4795" s="0" t="n">
        <v>44</v>
      </c>
      <c r="D4795" s="0" t="n">
        <v>0</v>
      </c>
      <c r="E4795" s="0" t="n">
        <f aca="false">VLOOKUP(B4795,'MSA-Lookup'!$H$2:$I$86,2)</f>
        <v>6000</v>
      </c>
      <c r="F4795" s="0" t="n">
        <f aca="false">IF(C4795&gt;1,IF(C4795&lt;99,VLOOKUP(C4795,'MSA-Lookup'!$H$1:$I$86,2),C4795),C4795)</f>
        <v>360</v>
      </c>
      <c r="G4795" s="0" t="n">
        <f aca="false">VLOOKUP(E4795,'MSA-Lookup'!$AA$1:$AB$25,2)</f>
        <v>4472</v>
      </c>
      <c r="H4795" s="0" t="n">
        <f aca="false">IF(C4795&gt;1,IF(C4795&lt;99,VLOOKUP(F4795,'MSA-Lookup'!$AA$1:$AB$25,2),C4795),C4795)</f>
        <v>4472</v>
      </c>
    </row>
    <row r="4796" customFormat="false" ht="12.75" hidden="false" customHeight="false" outlineLevel="0" collapsed="false">
      <c r="A4796" s="0" t="n">
        <f aca="false">B4796*1000+C4796</f>
        <v>67045</v>
      </c>
      <c r="B4796" s="0" t="n">
        <v>67</v>
      </c>
      <c r="C4796" s="0" t="n">
        <v>45</v>
      </c>
      <c r="D4796" s="0" t="n">
        <v>0</v>
      </c>
      <c r="E4796" s="0" t="n">
        <f aca="false">VLOOKUP(B4796,'MSA-Lookup'!$H$2:$I$86,2)</f>
        <v>6000</v>
      </c>
      <c r="F4796" s="0" t="n">
        <f aca="false">IF(C4796&gt;1,IF(C4796&lt;99,VLOOKUP(C4796,'MSA-Lookup'!$H$1:$I$86,2),C4796),C4796)</f>
        <v>360</v>
      </c>
      <c r="G4796" s="0" t="n">
        <f aca="false">VLOOKUP(E4796,'MSA-Lookup'!$AA$1:$AB$25,2)</f>
        <v>4472</v>
      </c>
      <c r="H4796" s="0" t="n">
        <f aca="false">IF(C4796&gt;1,IF(C4796&lt;99,VLOOKUP(F4796,'MSA-Lookup'!$AA$1:$AB$25,2),C4796),C4796)</f>
        <v>4472</v>
      </c>
    </row>
    <row r="4797" customFormat="false" ht="12.75" hidden="false" customHeight="false" outlineLevel="0" collapsed="false">
      <c r="A4797" s="0" t="n">
        <f aca="false">B4797*1000+C4797</f>
        <v>67046</v>
      </c>
      <c r="B4797" s="0" t="n">
        <v>67</v>
      </c>
      <c r="C4797" s="0" t="n">
        <v>46</v>
      </c>
      <c r="D4797" s="0" t="n">
        <v>104</v>
      </c>
      <c r="E4797" s="0" t="n">
        <f aca="false">VLOOKUP(B4797,'MSA-Lookup'!$H$2:$I$86,2)</f>
        <v>6000</v>
      </c>
      <c r="F4797" s="0" t="n">
        <f aca="false">IF(C4797&gt;1,IF(C4797&lt;99,VLOOKUP(C4797,'MSA-Lookup'!$H$1:$I$86,2),C4797),C4797)</f>
        <v>360</v>
      </c>
      <c r="G4797" s="0" t="n">
        <f aca="false">VLOOKUP(E4797,'MSA-Lookup'!$AA$1:$AB$25,2)</f>
        <v>4472</v>
      </c>
      <c r="H4797" s="0" t="n">
        <f aca="false">IF(C4797&gt;1,IF(C4797&lt;99,VLOOKUP(F4797,'MSA-Lookup'!$AA$1:$AB$25,2),C4797),C4797)</f>
        <v>4472</v>
      </c>
    </row>
    <row r="4798" customFormat="false" ht="12.75" hidden="false" customHeight="false" outlineLevel="0" collapsed="false">
      <c r="A4798" s="0" t="n">
        <f aca="false">B4798*1000+C4798</f>
        <v>67047</v>
      </c>
      <c r="B4798" s="0" t="n">
        <v>67</v>
      </c>
      <c r="C4798" s="0" t="n">
        <v>47</v>
      </c>
      <c r="D4798" s="0" t="n">
        <v>0</v>
      </c>
      <c r="E4798" s="0" t="n">
        <f aca="false">VLOOKUP(B4798,'MSA-Lookup'!$H$2:$I$86,2)</f>
        <v>6000</v>
      </c>
      <c r="F4798" s="0" t="n">
        <f aca="false">IF(C4798&gt;1,IF(C4798&lt;99,VLOOKUP(C4798,'MSA-Lookup'!$H$1:$I$86,2),C4798),C4798)</f>
        <v>360</v>
      </c>
      <c r="G4798" s="0" t="n">
        <f aca="false">VLOOKUP(E4798,'MSA-Lookup'!$AA$1:$AB$25,2)</f>
        <v>4472</v>
      </c>
      <c r="H4798" s="0" t="n">
        <f aca="false">IF(C4798&gt;1,IF(C4798&lt;99,VLOOKUP(F4798,'MSA-Lookup'!$AA$1:$AB$25,2),C4798),C4798)</f>
        <v>4472</v>
      </c>
    </row>
    <row r="4799" customFormat="false" ht="12.75" hidden="false" customHeight="false" outlineLevel="0" collapsed="false">
      <c r="A4799" s="0" t="n">
        <f aca="false">B4799*1000+C4799</f>
        <v>67048</v>
      </c>
      <c r="B4799" s="0" t="n">
        <v>67</v>
      </c>
      <c r="C4799" s="0" t="n">
        <v>48</v>
      </c>
      <c r="D4799" s="0" t="n">
        <v>0</v>
      </c>
      <c r="E4799" s="0" t="n">
        <f aca="false">VLOOKUP(B4799,'MSA-Lookup'!$H$2:$I$86,2)</f>
        <v>6000</v>
      </c>
      <c r="F4799" s="0" t="n">
        <f aca="false">IF(C4799&gt;1,IF(C4799&lt;99,VLOOKUP(C4799,'MSA-Lookup'!$H$1:$I$86,2),C4799),C4799)</f>
        <v>360</v>
      </c>
      <c r="G4799" s="0" t="n">
        <f aca="false">VLOOKUP(E4799,'MSA-Lookup'!$AA$1:$AB$25,2)</f>
        <v>4472</v>
      </c>
      <c r="H4799" s="0" t="n">
        <f aca="false">IF(C4799&gt;1,IF(C4799&lt;99,VLOOKUP(F4799,'MSA-Lookup'!$AA$1:$AB$25,2),C4799),C4799)</f>
        <v>4472</v>
      </c>
    </row>
    <row r="4800" customFormat="false" ht="12.75" hidden="false" customHeight="false" outlineLevel="0" collapsed="false">
      <c r="A4800" s="0" t="n">
        <f aca="false">B4800*1000+C4800</f>
        <v>67049</v>
      </c>
      <c r="B4800" s="0" t="n">
        <v>67</v>
      </c>
      <c r="C4800" s="0" t="n">
        <v>49</v>
      </c>
      <c r="D4800" s="0" t="n">
        <v>0</v>
      </c>
      <c r="E4800" s="0" t="n">
        <f aca="false">VLOOKUP(B4800,'MSA-Lookup'!$H$2:$I$86,2)</f>
        <v>6000</v>
      </c>
      <c r="F4800" s="0" t="n">
        <f aca="false">IF(C4800&gt;1,IF(C4800&lt;99,VLOOKUP(C4800,'MSA-Lookup'!$H$1:$I$86,2),C4800),C4800)</f>
        <v>7400</v>
      </c>
      <c r="G4800" s="0" t="n">
        <f aca="false">VLOOKUP(E4800,'MSA-Lookup'!$AA$1:$AB$25,2)</f>
        <v>4472</v>
      </c>
      <c r="H4800" s="0" t="n">
        <f aca="false">IF(C4800&gt;1,IF(C4800&lt;99,VLOOKUP(F4800,'MSA-Lookup'!$AA$1:$AB$25,2),C4800),C4800)</f>
        <v>7362</v>
      </c>
    </row>
    <row r="4801" customFormat="false" ht="12.75" hidden="false" customHeight="false" outlineLevel="0" collapsed="false">
      <c r="A4801" s="0" t="n">
        <f aca="false">B4801*1000+C4801</f>
        <v>67050</v>
      </c>
      <c r="B4801" s="0" t="n">
        <v>67</v>
      </c>
      <c r="C4801" s="0" t="n">
        <v>50</v>
      </c>
      <c r="D4801" s="0" t="n">
        <v>65</v>
      </c>
      <c r="E4801" s="0" t="n">
        <f aca="false">VLOOKUP(B4801,'MSA-Lookup'!$H$2:$I$86,2)</f>
        <v>6000</v>
      </c>
      <c r="F4801" s="0" t="n">
        <f aca="false">IF(C4801&gt;1,IF(C4801&lt;99,VLOOKUP(C4801,'MSA-Lookup'!$H$1:$I$86,2),C4801),C4801)</f>
        <v>7400</v>
      </c>
      <c r="G4801" s="0" t="n">
        <f aca="false">VLOOKUP(E4801,'MSA-Lookup'!$AA$1:$AB$25,2)</f>
        <v>4472</v>
      </c>
      <c r="H4801" s="0" t="n">
        <f aca="false">IF(C4801&gt;1,IF(C4801&lt;99,VLOOKUP(F4801,'MSA-Lookup'!$AA$1:$AB$25,2),C4801),C4801)</f>
        <v>7362</v>
      </c>
    </row>
    <row r="4802" customFormat="false" ht="12.75" hidden="false" customHeight="false" outlineLevel="0" collapsed="false">
      <c r="A4802" s="0" t="n">
        <f aca="false">B4802*1000+C4802</f>
        <v>67051</v>
      </c>
      <c r="B4802" s="0" t="n">
        <v>67</v>
      </c>
      <c r="C4802" s="0" t="n">
        <v>51</v>
      </c>
      <c r="D4802" s="0" t="n">
        <v>0</v>
      </c>
      <c r="E4802" s="0" t="n">
        <f aca="false">VLOOKUP(B4802,'MSA-Lookup'!$H$2:$I$86,2)</f>
        <v>6000</v>
      </c>
      <c r="F4802" s="0" t="n">
        <f aca="false">IF(C4802&gt;1,IF(C4802&lt;99,VLOOKUP(C4802,'MSA-Lookup'!$H$1:$I$86,2),C4802),C4802)</f>
        <v>7400</v>
      </c>
      <c r="G4802" s="0" t="n">
        <f aca="false">VLOOKUP(E4802,'MSA-Lookup'!$AA$1:$AB$25,2)</f>
        <v>4472</v>
      </c>
      <c r="H4802" s="0" t="n">
        <f aca="false">IF(C4802&gt;1,IF(C4802&lt;99,VLOOKUP(F4802,'MSA-Lookup'!$AA$1:$AB$25,2),C4802),C4802)</f>
        <v>7362</v>
      </c>
    </row>
    <row r="4803" customFormat="false" ht="12.75" hidden="false" customHeight="false" outlineLevel="0" collapsed="false">
      <c r="A4803" s="0" t="n">
        <f aca="false">B4803*1000+C4803</f>
        <v>67052</v>
      </c>
      <c r="B4803" s="0" t="n">
        <v>67</v>
      </c>
      <c r="C4803" s="0" t="n">
        <v>52</v>
      </c>
      <c r="D4803" s="0" t="n">
        <v>2899</v>
      </c>
      <c r="E4803" s="0" t="n">
        <f aca="false">VLOOKUP(B4803,'MSA-Lookup'!$H$2:$I$86,2)</f>
        <v>6000</v>
      </c>
      <c r="F4803" s="0" t="n">
        <f aca="false">IF(C4803&gt;1,IF(C4803&lt;99,VLOOKUP(C4803,'MSA-Lookup'!$H$1:$I$86,2),C4803),C4803)</f>
        <v>4480</v>
      </c>
      <c r="G4803" s="0" t="n">
        <f aca="false">VLOOKUP(E4803,'MSA-Lookup'!$AA$1:$AB$25,2)</f>
        <v>4472</v>
      </c>
      <c r="H4803" s="0" t="n">
        <f aca="false">IF(C4803&gt;1,IF(C4803&lt;99,VLOOKUP(F4803,'MSA-Lookup'!$AA$1:$AB$25,2),C4803),C4803)</f>
        <v>4472</v>
      </c>
    </row>
    <row r="4804" customFormat="false" ht="12.75" hidden="false" customHeight="false" outlineLevel="0" collapsed="false">
      <c r="A4804" s="0" t="n">
        <f aca="false">B4804*1000+C4804</f>
        <v>67053</v>
      </c>
      <c r="B4804" s="0" t="n">
        <v>67</v>
      </c>
      <c r="C4804" s="0" t="n">
        <v>53</v>
      </c>
      <c r="D4804" s="0" t="n">
        <v>1014</v>
      </c>
      <c r="E4804" s="0" t="n">
        <f aca="false">VLOOKUP(B4804,'MSA-Lookup'!$H$2:$I$86,2)</f>
        <v>6000</v>
      </c>
      <c r="F4804" s="0" t="n">
        <f aca="false">IF(C4804&gt;1,IF(C4804&lt;99,VLOOKUP(C4804,'MSA-Lookup'!$H$1:$I$86,2),C4804),C4804)</f>
        <v>4480</v>
      </c>
      <c r="G4804" s="0" t="n">
        <f aca="false">VLOOKUP(E4804,'MSA-Lookup'!$AA$1:$AB$25,2)</f>
        <v>4472</v>
      </c>
      <c r="H4804" s="0" t="n">
        <f aca="false">IF(C4804&gt;1,IF(C4804&lt;99,VLOOKUP(F4804,'MSA-Lookup'!$AA$1:$AB$25,2),C4804),C4804)</f>
        <v>4472</v>
      </c>
    </row>
    <row r="4805" customFormat="false" ht="12.75" hidden="false" customHeight="false" outlineLevel="0" collapsed="false">
      <c r="A4805" s="0" t="n">
        <f aca="false">B4805*1000+C4805</f>
        <v>67054</v>
      </c>
      <c r="B4805" s="0" t="n">
        <v>67</v>
      </c>
      <c r="C4805" s="0" t="n">
        <v>54</v>
      </c>
      <c r="D4805" s="0" t="n">
        <v>91</v>
      </c>
      <c r="E4805" s="0" t="n">
        <f aca="false">VLOOKUP(B4805,'MSA-Lookup'!$H$2:$I$86,2)</f>
        <v>6000</v>
      </c>
      <c r="F4805" s="0" t="n">
        <f aca="false">IF(C4805&gt;1,IF(C4805&lt;99,VLOOKUP(C4805,'MSA-Lookup'!$H$1:$I$86,2),C4805),C4805)</f>
        <v>4480</v>
      </c>
      <c r="G4805" s="0" t="n">
        <f aca="false">VLOOKUP(E4805,'MSA-Lookup'!$AA$1:$AB$25,2)</f>
        <v>4472</v>
      </c>
      <c r="H4805" s="0" t="n">
        <f aca="false">IF(C4805&gt;1,IF(C4805&lt;99,VLOOKUP(F4805,'MSA-Lookup'!$AA$1:$AB$25,2),C4805),C4805)</f>
        <v>4472</v>
      </c>
    </row>
    <row r="4806" customFormat="false" ht="12.75" hidden="false" customHeight="false" outlineLevel="0" collapsed="false">
      <c r="A4806" s="0" t="n">
        <f aca="false">B4806*1000+C4806</f>
        <v>67055</v>
      </c>
      <c r="B4806" s="0" t="n">
        <v>67</v>
      </c>
      <c r="C4806" s="0" t="n">
        <v>55</v>
      </c>
      <c r="D4806" s="0" t="n">
        <v>91</v>
      </c>
      <c r="E4806" s="0" t="n">
        <f aca="false">VLOOKUP(B4806,'MSA-Lookup'!$H$2:$I$86,2)</f>
        <v>6000</v>
      </c>
      <c r="F4806" s="0" t="n">
        <f aca="false">IF(C4806&gt;1,IF(C4806&lt;99,VLOOKUP(C4806,'MSA-Lookup'!$H$1:$I$86,2),C4806),C4806)</f>
        <v>4480</v>
      </c>
      <c r="G4806" s="0" t="n">
        <f aca="false">VLOOKUP(E4806,'MSA-Lookup'!$AA$1:$AB$25,2)</f>
        <v>4472</v>
      </c>
      <c r="H4806" s="0" t="n">
        <f aca="false">IF(C4806&gt;1,IF(C4806&lt;99,VLOOKUP(F4806,'MSA-Lookup'!$AA$1:$AB$25,2),C4806),C4806)</f>
        <v>4472</v>
      </c>
    </row>
    <row r="4807" customFormat="false" ht="12.75" hidden="false" customHeight="false" outlineLevel="0" collapsed="false">
      <c r="A4807" s="0" t="n">
        <f aca="false">B4807*1000+C4807</f>
        <v>67056</v>
      </c>
      <c r="B4807" s="0" t="n">
        <v>67</v>
      </c>
      <c r="C4807" s="0" t="n">
        <v>56</v>
      </c>
      <c r="D4807" s="0" t="n">
        <v>0</v>
      </c>
      <c r="E4807" s="0" t="n">
        <f aca="false">VLOOKUP(B4807,'MSA-Lookup'!$H$2:$I$86,2)</f>
        <v>6000</v>
      </c>
      <c r="F4807" s="0" t="n">
        <f aca="false">IF(C4807&gt;1,IF(C4807&lt;99,VLOOKUP(C4807,'MSA-Lookup'!$H$1:$I$86,2),C4807),C4807)</f>
        <v>4480</v>
      </c>
      <c r="G4807" s="0" t="n">
        <f aca="false">VLOOKUP(E4807,'MSA-Lookup'!$AA$1:$AB$25,2)</f>
        <v>4472</v>
      </c>
      <c r="H4807" s="0" t="n">
        <f aca="false">IF(C4807&gt;1,IF(C4807&lt;99,VLOOKUP(F4807,'MSA-Lookup'!$AA$1:$AB$25,2),C4807),C4807)</f>
        <v>4472</v>
      </c>
    </row>
    <row r="4808" customFormat="false" ht="12.75" hidden="false" customHeight="false" outlineLevel="0" collapsed="false">
      <c r="A4808" s="0" t="n">
        <f aca="false">B4808*1000+C4808</f>
        <v>67057</v>
      </c>
      <c r="B4808" s="0" t="n">
        <v>67</v>
      </c>
      <c r="C4808" s="0" t="n">
        <v>57</v>
      </c>
      <c r="D4808" s="0" t="n">
        <v>78</v>
      </c>
      <c r="E4808" s="0" t="n">
        <f aca="false">VLOOKUP(B4808,'MSA-Lookup'!$H$2:$I$86,2)</f>
        <v>6000</v>
      </c>
      <c r="F4808" s="0" t="n">
        <f aca="false">IF(C4808&gt;1,IF(C4808&lt;99,VLOOKUP(C4808,'MSA-Lookup'!$H$1:$I$86,2),C4808),C4808)</f>
        <v>4480</v>
      </c>
      <c r="G4808" s="0" t="n">
        <f aca="false">VLOOKUP(E4808,'MSA-Lookup'!$AA$1:$AB$25,2)</f>
        <v>4472</v>
      </c>
      <c r="H4808" s="0" t="n">
        <f aca="false">IF(C4808&gt;1,IF(C4808&lt;99,VLOOKUP(F4808,'MSA-Lookup'!$AA$1:$AB$25,2),C4808),C4808)</f>
        <v>4472</v>
      </c>
    </row>
    <row r="4809" customFormat="false" ht="12.75" hidden="false" customHeight="false" outlineLevel="0" collapsed="false">
      <c r="A4809" s="0" t="n">
        <f aca="false">B4809*1000+C4809</f>
        <v>67058</v>
      </c>
      <c r="B4809" s="0" t="n">
        <v>67</v>
      </c>
      <c r="C4809" s="0" t="n">
        <v>58</v>
      </c>
      <c r="D4809" s="0" t="n">
        <v>0</v>
      </c>
      <c r="E4809" s="0" t="n">
        <f aca="false">VLOOKUP(B4809,'MSA-Lookup'!$H$2:$I$86,2)</f>
        <v>6000</v>
      </c>
      <c r="F4809" s="0" t="n">
        <f aca="false">IF(C4809&gt;1,IF(C4809&lt;99,VLOOKUP(C4809,'MSA-Lookup'!$H$1:$I$86,2),C4809),C4809)</f>
        <v>4480</v>
      </c>
      <c r="G4809" s="0" t="n">
        <f aca="false">VLOOKUP(E4809,'MSA-Lookup'!$AA$1:$AB$25,2)</f>
        <v>4472</v>
      </c>
      <c r="H4809" s="0" t="n">
        <f aca="false">IF(C4809&gt;1,IF(C4809&lt;99,VLOOKUP(F4809,'MSA-Lookup'!$AA$1:$AB$25,2),C4809),C4809)</f>
        <v>4472</v>
      </c>
    </row>
    <row r="4810" customFormat="false" ht="12.75" hidden="false" customHeight="false" outlineLevel="0" collapsed="false">
      <c r="A4810" s="0" t="n">
        <f aca="false">B4810*1000+C4810</f>
        <v>67059</v>
      </c>
      <c r="B4810" s="0" t="n">
        <v>67</v>
      </c>
      <c r="C4810" s="0" t="n">
        <v>59</v>
      </c>
      <c r="D4810" s="0" t="n">
        <v>208</v>
      </c>
      <c r="E4810" s="0" t="n">
        <f aca="false">VLOOKUP(B4810,'MSA-Lookup'!$H$2:$I$86,2)</f>
        <v>6000</v>
      </c>
      <c r="F4810" s="0" t="n">
        <f aca="false">IF(C4810&gt;1,IF(C4810&lt;99,VLOOKUP(C4810,'MSA-Lookup'!$H$1:$I$86,2),C4810),C4810)</f>
        <v>4480</v>
      </c>
      <c r="G4810" s="0" t="n">
        <f aca="false">VLOOKUP(E4810,'MSA-Lookup'!$AA$1:$AB$25,2)</f>
        <v>4472</v>
      </c>
      <c r="H4810" s="0" t="n">
        <f aca="false">IF(C4810&gt;1,IF(C4810&lt;99,VLOOKUP(F4810,'MSA-Lookup'!$AA$1:$AB$25,2),C4810),C4810)</f>
        <v>4472</v>
      </c>
    </row>
    <row r="4811" customFormat="false" ht="12.75" hidden="false" customHeight="false" outlineLevel="0" collapsed="false">
      <c r="A4811" s="0" t="n">
        <f aca="false">B4811*1000+C4811</f>
        <v>67060</v>
      </c>
      <c r="B4811" s="0" t="n">
        <v>67</v>
      </c>
      <c r="C4811" s="0" t="n">
        <v>60</v>
      </c>
      <c r="D4811" s="0" t="n">
        <v>0</v>
      </c>
      <c r="E4811" s="0" t="n">
        <f aca="false">VLOOKUP(B4811,'MSA-Lookup'!$H$2:$I$86,2)</f>
        <v>6000</v>
      </c>
      <c r="F4811" s="0" t="n">
        <f aca="false">IF(C4811&gt;1,IF(C4811&lt;99,VLOOKUP(C4811,'MSA-Lookup'!$H$1:$I$86,2),C4811),C4811)</f>
        <v>4480</v>
      </c>
      <c r="G4811" s="0" t="n">
        <f aca="false">VLOOKUP(E4811,'MSA-Lookup'!$AA$1:$AB$25,2)</f>
        <v>4472</v>
      </c>
      <c r="H4811" s="0" t="n">
        <f aca="false">IF(C4811&gt;1,IF(C4811&lt;99,VLOOKUP(F4811,'MSA-Lookup'!$AA$1:$AB$25,2),C4811),C4811)</f>
        <v>4472</v>
      </c>
    </row>
    <row r="4812" customFormat="false" ht="12.75" hidden="false" customHeight="false" outlineLevel="0" collapsed="false">
      <c r="A4812" s="0" t="n">
        <f aca="false">B4812*1000+C4812</f>
        <v>67061</v>
      </c>
      <c r="B4812" s="0" t="n">
        <v>67</v>
      </c>
      <c r="C4812" s="0" t="n">
        <v>61</v>
      </c>
      <c r="D4812" s="0" t="n">
        <v>130</v>
      </c>
      <c r="E4812" s="0" t="n">
        <f aca="false">VLOOKUP(B4812,'MSA-Lookup'!$H$2:$I$86,2)</f>
        <v>6000</v>
      </c>
      <c r="F4812" s="0" t="n">
        <f aca="false">IF(C4812&gt;1,IF(C4812&lt;99,VLOOKUP(C4812,'MSA-Lookup'!$H$1:$I$86,2),C4812),C4812)</f>
        <v>4480</v>
      </c>
      <c r="G4812" s="0" t="n">
        <f aca="false">VLOOKUP(E4812,'MSA-Lookup'!$AA$1:$AB$25,2)</f>
        <v>4472</v>
      </c>
      <c r="H4812" s="0" t="n">
        <f aca="false">IF(C4812&gt;1,IF(C4812&lt;99,VLOOKUP(F4812,'MSA-Lookup'!$AA$1:$AB$25,2),C4812),C4812)</f>
        <v>4472</v>
      </c>
    </row>
    <row r="4813" customFormat="false" ht="12.75" hidden="false" customHeight="false" outlineLevel="0" collapsed="false">
      <c r="A4813" s="0" t="n">
        <f aca="false">B4813*1000+C4813</f>
        <v>67062</v>
      </c>
      <c r="B4813" s="0" t="n">
        <v>67</v>
      </c>
      <c r="C4813" s="0" t="n">
        <v>62</v>
      </c>
      <c r="D4813" s="0" t="n">
        <v>1560</v>
      </c>
      <c r="E4813" s="0" t="n">
        <f aca="false">VLOOKUP(B4813,'MSA-Lookup'!$H$2:$I$86,2)</f>
        <v>6000</v>
      </c>
      <c r="F4813" s="0" t="n">
        <f aca="false">IF(C4813&gt;1,IF(C4813&lt;99,VLOOKUP(C4813,'MSA-Lookup'!$H$1:$I$86,2),C4813),C4813)</f>
        <v>4480</v>
      </c>
      <c r="G4813" s="0" t="n">
        <f aca="false">VLOOKUP(E4813,'MSA-Lookup'!$AA$1:$AB$25,2)</f>
        <v>4472</v>
      </c>
      <c r="H4813" s="0" t="n">
        <f aca="false">IF(C4813&gt;1,IF(C4813&lt;99,VLOOKUP(F4813,'MSA-Lookup'!$AA$1:$AB$25,2),C4813),C4813)</f>
        <v>4472</v>
      </c>
    </row>
    <row r="4814" customFormat="false" ht="12.75" hidden="false" customHeight="false" outlineLevel="0" collapsed="false">
      <c r="A4814" s="0" t="n">
        <f aca="false">B4814*1000+C4814</f>
        <v>67063</v>
      </c>
      <c r="B4814" s="0" t="n">
        <v>67</v>
      </c>
      <c r="C4814" s="0" t="n">
        <v>63</v>
      </c>
      <c r="D4814" s="0" t="n">
        <v>351</v>
      </c>
      <c r="E4814" s="0" t="n">
        <f aca="false">VLOOKUP(B4814,'MSA-Lookup'!$H$2:$I$86,2)</f>
        <v>6000</v>
      </c>
      <c r="F4814" s="0" t="n">
        <f aca="false">IF(C4814&gt;1,IF(C4814&lt;99,VLOOKUP(C4814,'MSA-Lookup'!$H$1:$I$86,2),C4814),C4814)</f>
        <v>4480</v>
      </c>
      <c r="G4814" s="0" t="n">
        <f aca="false">VLOOKUP(E4814,'MSA-Lookup'!$AA$1:$AB$25,2)</f>
        <v>4472</v>
      </c>
      <c r="H4814" s="0" t="n">
        <f aca="false">IF(C4814&gt;1,IF(C4814&lt;99,VLOOKUP(F4814,'MSA-Lookup'!$AA$1:$AB$25,2),C4814),C4814)</f>
        <v>4472</v>
      </c>
    </row>
    <row r="4815" customFormat="false" ht="12.75" hidden="false" customHeight="false" outlineLevel="0" collapsed="false">
      <c r="A4815" s="0" t="n">
        <f aca="false">B4815*1000+C4815</f>
        <v>67064</v>
      </c>
      <c r="B4815" s="0" t="n">
        <v>67</v>
      </c>
      <c r="C4815" s="0" t="n">
        <v>64</v>
      </c>
      <c r="D4815" s="0" t="n">
        <v>20527</v>
      </c>
      <c r="E4815" s="0" t="n">
        <f aca="false">VLOOKUP(B4815,'MSA-Lookup'!$H$2:$I$86,2)</f>
        <v>6000</v>
      </c>
      <c r="F4815" s="0" t="n">
        <f aca="false">IF(C4815&gt;1,IF(C4815&lt;99,VLOOKUP(C4815,'MSA-Lookup'!$H$1:$I$86,2),C4815),C4815)</f>
        <v>4480</v>
      </c>
      <c r="G4815" s="0" t="n">
        <f aca="false">VLOOKUP(E4815,'MSA-Lookup'!$AA$1:$AB$25,2)</f>
        <v>4472</v>
      </c>
      <c r="H4815" s="0" t="n">
        <f aca="false">IF(C4815&gt;1,IF(C4815&lt;99,VLOOKUP(F4815,'MSA-Lookup'!$AA$1:$AB$25,2),C4815),C4815)</f>
        <v>4472</v>
      </c>
    </row>
    <row r="4816" customFormat="false" ht="12.75" hidden="false" customHeight="false" outlineLevel="0" collapsed="false">
      <c r="A4816" s="0" t="n">
        <f aca="false">B4816*1000+C4816</f>
        <v>67065</v>
      </c>
      <c r="B4816" s="0" t="n">
        <v>67</v>
      </c>
      <c r="C4816" s="0" t="n">
        <v>65</v>
      </c>
      <c r="D4816" s="0" t="n">
        <v>45084</v>
      </c>
      <c r="E4816" s="0" t="n">
        <f aca="false">VLOOKUP(B4816,'MSA-Lookup'!$H$2:$I$86,2)</f>
        <v>6000</v>
      </c>
      <c r="F4816" s="0" t="n">
        <f aca="false">IF(C4816&gt;1,IF(C4816&lt;99,VLOOKUP(C4816,'MSA-Lookup'!$H$1:$I$86,2),C4816),C4816)</f>
        <v>4480</v>
      </c>
      <c r="G4816" s="0" t="n">
        <f aca="false">VLOOKUP(E4816,'MSA-Lookup'!$AA$1:$AB$25,2)</f>
        <v>4472</v>
      </c>
      <c r="H4816" s="0" t="n">
        <f aca="false">IF(C4816&gt;1,IF(C4816&lt;99,VLOOKUP(F4816,'MSA-Lookup'!$AA$1:$AB$25,2),C4816),C4816)</f>
        <v>4472</v>
      </c>
    </row>
    <row r="4817" customFormat="false" ht="12.75" hidden="false" customHeight="false" outlineLevel="0" collapsed="false">
      <c r="A4817" s="0" t="n">
        <f aca="false">B4817*1000+C4817</f>
        <v>67066</v>
      </c>
      <c r="B4817" s="0" t="n">
        <v>67</v>
      </c>
      <c r="C4817" s="0" t="n">
        <v>66</v>
      </c>
      <c r="D4817" s="0" t="n">
        <v>325</v>
      </c>
      <c r="E4817" s="0" t="n">
        <f aca="false">VLOOKUP(B4817,'MSA-Lookup'!$H$2:$I$86,2)</f>
        <v>6000</v>
      </c>
      <c r="F4817" s="0" t="n">
        <f aca="false">IF(C4817&gt;1,IF(C4817&lt;99,VLOOKUP(C4817,'MSA-Lookup'!$H$1:$I$86,2),C4817),C4817)</f>
        <v>4480</v>
      </c>
      <c r="G4817" s="0" t="n">
        <f aca="false">VLOOKUP(E4817,'MSA-Lookup'!$AA$1:$AB$25,2)</f>
        <v>4472</v>
      </c>
      <c r="H4817" s="0" t="n">
        <f aca="false">IF(C4817&gt;1,IF(C4817&lt;99,VLOOKUP(F4817,'MSA-Lookup'!$AA$1:$AB$25,2),C4817),C4817)</f>
        <v>4472</v>
      </c>
    </row>
    <row r="4818" customFormat="false" ht="12.75" hidden="false" customHeight="false" outlineLevel="0" collapsed="false">
      <c r="A4818" s="0" t="n">
        <f aca="false">B4818*1000+C4818</f>
        <v>67067</v>
      </c>
      <c r="B4818" s="0" t="n">
        <v>67</v>
      </c>
      <c r="C4818" s="0" t="n">
        <v>67</v>
      </c>
      <c r="D4818" s="0" t="n">
        <v>171535</v>
      </c>
      <c r="E4818" s="0" t="n">
        <f aca="false">VLOOKUP(B4818,'MSA-Lookup'!$H$2:$I$86,2)</f>
        <v>6000</v>
      </c>
      <c r="F4818" s="0" t="n">
        <f aca="false">IF(C4818&gt;1,IF(C4818&lt;99,VLOOKUP(C4818,'MSA-Lookup'!$H$1:$I$86,2),C4818),C4818)</f>
        <v>6000</v>
      </c>
      <c r="G4818" s="0" t="n">
        <f aca="false">VLOOKUP(E4818,'MSA-Lookup'!$AA$1:$AB$25,2)</f>
        <v>4472</v>
      </c>
      <c r="H4818" s="0" t="n">
        <f aca="false">IF(C4818&gt;1,IF(C4818&lt;99,VLOOKUP(F4818,'MSA-Lookup'!$AA$1:$AB$25,2),C4818),C4818)</f>
        <v>4472</v>
      </c>
    </row>
    <row r="4819" customFormat="false" ht="12.75" hidden="false" customHeight="false" outlineLevel="0" collapsed="false">
      <c r="A4819" s="0" t="n">
        <f aca="false">B4819*1000+C4819</f>
        <v>67068</v>
      </c>
      <c r="B4819" s="0" t="n">
        <v>67</v>
      </c>
      <c r="C4819" s="0" t="n">
        <v>68</v>
      </c>
      <c r="D4819" s="0" t="n">
        <v>0</v>
      </c>
      <c r="E4819" s="0" t="n">
        <f aca="false">VLOOKUP(B4819,'MSA-Lookup'!$H$2:$I$86,2)</f>
        <v>6000</v>
      </c>
      <c r="F4819" s="0" t="n">
        <f aca="false">IF(C4819&gt;1,IF(C4819&lt;99,VLOOKUP(C4819,'MSA-Lookup'!$H$1:$I$86,2),C4819),C4819)</f>
        <v>6780</v>
      </c>
      <c r="G4819" s="0" t="n">
        <f aca="false">VLOOKUP(E4819,'MSA-Lookup'!$AA$1:$AB$25,2)</f>
        <v>4472</v>
      </c>
      <c r="H4819" s="0" t="n">
        <f aca="false">IF(C4819&gt;1,IF(C4819&lt;99,VLOOKUP(F4819,'MSA-Lookup'!$AA$1:$AB$25,2),C4819),C4819)</f>
        <v>4472</v>
      </c>
    </row>
    <row r="4820" customFormat="false" ht="12.75" hidden="false" customHeight="false" outlineLevel="0" collapsed="false">
      <c r="A4820" s="0" t="n">
        <f aca="false">B4820*1000+C4820</f>
        <v>67069</v>
      </c>
      <c r="B4820" s="0" t="n">
        <v>67</v>
      </c>
      <c r="C4820" s="0" t="n">
        <v>69</v>
      </c>
      <c r="D4820" s="0" t="n">
        <v>52</v>
      </c>
      <c r="E4820" s="0" t="n">
        <f aca="false">VLOOKUP(B4820,'MSA-Lookup'!$H$2:$I$86,2)</f>
        <v>6000</v>
      </c>
      <c r="F4820" s="0" t="n">
        <f aca="false">IF(C4820&gt;1,IF(C4820&lt;99,VLOOKUP(C4820,'MSA-Lookup'!$H$1:$I$86,2),C4820),C4820)</f>
        <v>6780</v>
      </c>
      <c r="G4820" s="0" t="n">
        <f aca="false">VLOOKUP(E4820,'MSA-Lookup'!$AA$1:$AB$25,2)</f>
        <v>4472</v>
      </c>
      <c r="H4820" s="0" t="n">
        <f aca="false">IF(C4820&gt;1,IF(C4820&lt;99,VLOOKUP(F4820,'MSA-Lookup'!$AA$1:$AB$25,2),C4820),C4820)</f>
        <v>4472</v>
      </c>
    </row>
    <row r="4821" customFormat="false" ht="12.75" hidden="false" customHeight="false" outlineLevel="0" collapsed="false">
      <c r="A4821" s="0" t="n">
        <f aca="false">B4821*1000+C4821</f>
        <v>67070</v>
      </c>
      <c r="B4821" s="0" t="n">
        <v>67</v>
      </c>
      <c r="C4821" s="0" t="n">
        <v>70</v>
      </c>
      <c r="D4821" s="0" t="n">
        <v>0</v>
      </c>
      <c r="E4821" s="0" t="n">
        <f aca="false">VLOOKUP(B4821,'MSA-Lookup'!$H$2:$I$86,2)</f>
        <v>6000</v>
      </c>
      <c r="F4821" s="0" t="n">
        <f aca="false">IF(C4821&gt;1,IF(C4821&lt;99,VLOOKUP(C4821,'MSA-Lookup'!$H$1:$I$86,2),C4821),C4821)</f>
        <v>6780</v>
      </c>
      <c r="G4821" s="0" t="n">
        <f aca="false">VLOOKUP(E4821,'MSA-Lookup'!$AA$1:$AB$25,2)</f>
        <v>4472</v>
      </c>
      <c r="H4821" s="0" t="n">
        <f aca="false">IF(C4821&gt;1,IF(C4821&lt;99,VLOOKUP(F4821,'MSA-Lookup'!$AA$1:$AB$25,2),C4821),C4821)</f>
        <v>4472</v>
      </c>
    </row>
    <row r="4822" customFormat="false" ht="12.75" hidden="false" customHeight="false" outlineLevel="0" collapsed="false">
      <c r="A4822" s="0" t="n">
        <f aca="false">B4822*1000+C4822</f>
        <v>67071</v>
      </c>
      <c r="B4822" s="0" t="n">
        <v>67</v>
      </c>
      <c r="C4822" s="0" t="n">
        <v>71</v>
      </c>
      <c r="D4822" s="0" t="n">
        <v>221</v>
      </c>
      <c r="E4822" s="0" t="n">
        <f aca="false">VLOOKUP(B4822,'MSA-Lookup'!$H$2:$I$86,2)</f>
        <v>6000</v>
      </c>
      <c r="F4822" s="0" t="n">
        <f aca="false">IF(C4822&gt;1,IF(C4822&lt;99,VLOOKUP(C4822,'MSA-Lookup'!$H$1:$I$86,2),C4822),C4822)</f>
        <v>6780</v>
      </c>
      <c r="G4822" s="0" t="n">
        <f aca="false">VLOOKUP(E4822,'MSA-Lookup'!$AA$1:$AB$25,2)</f>
        <v>4472</v>
      </c>
      <c r="H4822" s="0" t="n">
        <f aca="false">IF(C4822&gt;1,IF(C4822&lt;99,VLOOKUP(F4822,'MSA-Lookup'!$AA$1:$AB$25,2),C4822),C4822)</f>
        <v>4472</v>
      </c>
    </row>
    <row r="4823" customFormat="false" ht="12.75" hidden="false" customHeight="false" outlineLevel="0" collapsed="false">
      <c r="A4823" s="0" t="n">
        <f aca="false">B4823*1000+C4823</f>
        <v>67072</v>
      </c>
      <c r="B4823" s="0" t="n">
        <v>67</v>
      </c>
      <c r="C4823" s="0" t="n">
        <v>72</v>
      </c>
      <c r="D4823" s="0" t="n">
        <v>195</v>
      </c>
      <c r="E4823" s="0" t="n">
        <f aca="false">VLOOKUP(B4823,'MSA-Lookup'!$H$2:$I$86,2)</f>
        <v>6000</v>
      </c>
      <c r="F4823" s="0" t="n">
        <f aca="false">IF(C4823&gt;1,IF(C4823&lt;99,VLOOKUP(C4823,'MSA-Lookup'!$H$1:$I$86,2),C4823),C4823)</f>
        <v>6780</v>
      </c>
      <c r="G4823" s="0" t="n">
        <f aca="false">VLOOKUP(E4823,'MSA-Lookup'!$AA$1:$AB$25,2)</f>
        <v>4472</v>
      </c>
      <c r="H4823" s="0" t="n">
        <f aca="false">IF(C4823&gt;1,IF(C4823&lt;99,VLOOKUP(F4823,'MSA-Lookup'!$AA$1:$AB$25,2),C4823),C4823)</f>
        <v>4472</v>
      </c>
    </row>
    <row r="4824" customFormat="false" ht="12.75" hidden="false" customHeight="false" outlineLevel="0" collapsed="false">
      <c r="A4824" s="0" t="n">
        <f aca="false">B4824*1000+C4824</f>
        <v>67073</v>
      </c>
      <c r="B4824" s="0" t="n">
        <v>67</v>
      </c>
      <c r="C4824" s="0" t="n">
        <v>73</v>
      </c>
      <c r="D4824" s="0" t="n">
        <v>0</v>
      </c>
      <c r="E4824" s="0" t="n">
        <f aca="false">VLOOKUP(B4824,'MSA-Lookup'!$H$2:$I$86,2)</f>
        <v>6000</v>
      </c>
      <c r="F4824" s="0" t="n">
        <f aca="false">IF(C4824&gt;1,IF(C4824&lt;99,VLOOKUP(C4824,'MSA-Lookup'!$H$1:$I$86,2),C4824),C4824)</f>
        <v>8720</v>
      </c>
      <c r="G4824" s="0" t="n">
        <f aca="false">VLOOKUP(E4824,'MSA-Lookup'!$AA$1:$AB$25,2)</f>
        <v>4472</v>
      </c>
      <c r="H4824" s="0" t="n">
        <f aca="false">IF(C4824&gt;1,IF(C4824&lt;99,VLOOKUP(F4824,'MSA-Lookup'!$AA$1:$AB$25,2),C4824),C4824)</f>
        <v>7362</v>
      </c>
    </row>
    <row r="4825" customFormat="false" ht="12.75" hidden="false" customHeight="false" outlineLevel="0" collapsed="false">
      <c r="A4825" s="0" t="n">
        <f aca="false">B4825*1000+C4825</f>
        <v>67075</v>
      </c>
      <c r="B4825" s="0" t="n">
        <v>67</v>
      </c>
      <c r="C4825" s="0" t="n">
        <v>75</v>
      </c>
      <c r="D4825" s="0" t="n">
        <v>0</v>
      </c>
      <c r="E4825" s="0" t="n">
        <f aca="false">VLOOKUP(B4825,'MSA-Lookup'!$H$2:$I$86,2)</f>
        <v>6000</v>
      </c>
      <c r="F4825" s="0" t="n">
        <f aca="false">IF(C4825&gt;1,IF(C4825&lt;99,VLOOKUP(C4825,'MSA-Lookup'!$H$1:$I$86,2),C4825),C4825)</f>
        <v>8780</v>
      </c>
      <c r="G4825" s="0" t="n">
        <f aca="false">VLOOKUP(E4825,'MSA-Lookup'!$AA$1:$AB$25,2)</f>
        <v>4472</v>
      </c>
      <c r="H4825" s="0" t="n">
        <f aca="false">IF(C4825&gt;1,IF(C4825&lt;99,VLOOKUP(F4825,'MSA-Lookup'!$AA$1:$AB$25,2),C4825),C4825)</f>
        <v>8780</v>
      </c>
    </row>
    <row r="4826" customFormat="false" ht="12.75" hidden="false" customHeight="false" outlineLevel="0" collapsed="false">
      <c r="A4826" s="0" t="n">
        <f aca="false">B4826*1000+C4826</f>
        <v>67076</v>
      </c>
      <c r="B4826" s="0" t="n">
        <v>67</v>
      </c>
      <c r="C4826" s="0" t="n">
        <v>76</v>
      </c>
      <c r="D4826" s="0" t="n">
        <v>0</v>
      </c>
      <c r="E4826" s="0" t="n">
        <f aca="false">VLOOKUP(B4826,'MSA-Lookup'!$H$2:$I$86,2)</f>
        <v>6000</v>
      </c>
      <c r="F4826" s="0" t="n">
        <f aca="false">IF(C4826&gt;1,IF(C4826&lt;99,VLOOKUP(C4826,'MSA-Lookup'!$H$1:$I$86,2),C4826),C4826)</f>
        <v>7485</v>
      </c>
      <c r="G4826" s="0" t="n">
        <f aca="false">VLOOKUP(E4826,'MSA-Lookup'!$AA$1:$AB$25,2)</f>
        <v>4472</v>
      </c>
      <c r="H4826" s="0" t="n">
        <f aca="false">IF(C4826&gt;1,IF(C4826&lt;99,VLOOKUP(F4826,'MSA-Lookup'!$AA$1:$AB$25,2),C4826),C4826)</f>
        <v>7362</v>
      </c>
    </row>
    <row r="4827" customFormat="false" ht="12.75" hidden="false" customHeight="false" outlineLevel="0" collapsed="false">
      <c r="A4827" s="0" t="n">
        <f aca="false">B4827*1000+C4827</f>
        <v>67077</v>
      </c>
      <c r="B4827" s="0" t="n">
        <v>67</v>
      </c>
      <c r="C4827" s="0" t="n">
        <v>77</v>
      </c>
      <c r="D4827" s="0" t="n">
        <v>0</v>
      </c>
      <c r="E4827" s="0" t="n">
        <f aca="false">VLOOKUP(B4827,'MSA-Lookup'!$H$2:$I$86,2)</f>
        <v>6000</v>
      </c>
      <c r="F4827" s="0" t="n">
        <f aca="false">IF(C4827&gt;1,IF(C4827&lt;99,VLOOKUP(C4827,'MSA-Lookup'!$H$1:$I$86,2),C4827),C4827)</f>
        <v>9999</v>
      </c>
      <c r="G4827" s="0" t="n">
        <f aca="false">VLOOKUP(E4827,'MSA-Lookup'!$AA$1:$AB$25,2)</f>
        <v>4472</v>
      </c>
      <c r="H4827" s="0" t="n">
        <f aca="false">IF(C4827&gt;1,IF(C4827&lt;99,VLOOKUP(F4827,'MSA-Lookup'!$AA$1:$AB$25,2),C4827),C4827)</f>
        <v>9999</v>
      </c>
    </row>
    <row r="4828" customFormat="false" ht="12.75" hidden="false" customHeight="false" outlineLevel="0" collapsed="false">
      <c r="A4828" s="0" t="n">
        <f aca="false">B4828*1000+C4828</f>
        <v>67078</v>
      </c>
      <c r="B4828" s="0" t="n">
        <v>67</v>
      </c>
      <c r="C4828" s="0" t="n">
        <v>78</v>
      </c>
      <c r="D4828" s="0" t="n">
        <v>286</v>
      </c>
      <c r="E4828" s="0" t="n">
        <f aca="false">VLOOKUP(B4828,'MSA-Lookup'!$H$2:$I$86,2)</f>
        <v>6000</v>
      </c>
      <c r="F4828" s="0" t="n">
        <f aca="false">IF(C4828&gt;1,IF(C4828&lt;99,VLOOKUP(C4828,'MSA-Lookup'!$H$1:$I$86,2),C4828),C4828)</f>
        <v>680</v>
      </c>
      <c r="G4828" s="0" t="n">
        <f aca="false">VLOOKUP(E4828,'MSA-Lookup'!$AA$1:$AB$25,2)</f>
        <v>4472</v>
      </c>
      <c r="H4828" s="0" t="n">
        <f aca="false">IF(C4828&gt;1,IF(C4828&lt;99,VLOOKUP(F4828,'MSA-Lookup'!$AA$1:$AB$25,2),C4828),C4828)</f>
        <v>680</v>
      </c>
    </row>
    <row r="4829" customFormat="false" ht="12.75" hidden="false" customHeight="false" outlineLevel="0" collapsed="false">
      <c r="A4829" s="0" t="n">
        <f aca="false">B4829*1000+C4829</f>
        <v>67079</v>
      </c>
      <c r="B4829" s="0" t="n">
        <v>67</v>
      </c>
      <c r="C4829" s="0" t="n">
        <v>79</v>
      </c>
      <c r="D4829" s="0" t="n">
        <v>195</v>
      </c>
      <c r="E4829" s="0" t="n">
        <f aca="false">VLOOKUP(B4829,'MSA-Lookup'!$H$2:$I$86,2)</f>
        <v>6000</v>
      </c>
      <c r="F4829" s="0" t="n">
        <f aca="false">IF(C4829&gt;1,IF(C4829&lt;99,VLOOKUP(C4829,'MSA-Lookup'!$H$1:$I$86,2),C4829),C4829)</f>
        <v>680</v>
      </c>
      <c r="G4829" s="0" t="n">
        <f aca="false">VLOOKUP(E4829,'MSA-Lookup'!$AA$1:$AB$25,2)</f>
        <v>4472</v>
      </c>
      <c r="H4829" s="0" t="n">
        <f aca="false">IF(C4829&gt;1,IF(C4829&lt;99,VLOOKUP(F4829,'MSA-Lookup'!$AA$1:$AB$25,2),C4829),C4829)</f>
        <v>680</v>
      </c>
    </row>
    <row r="4830" customFormat="false" ht="12.75" hidden="false" customHeight="false" outlineLevel="0" collapsed="false">
      <c r="A4830" s="0" t="n">
        <f aca="false">B4830*1000+C4830</f>
        <v>67080</v>
      </c>
      <c r="B4830" s="0" t="n">
        <v>67</v>
      </c>
      <c r="C4830" s="0" t="n">
        <v>80</v>
      </c>
      <c r="D4830" s="0" t="n">
        <v>338</v>
      </c>
      <c r="E4830" s="0" t="n">
        <f aca="false">VLOOKUP(B4830,'MSA-Lookup'!$H$2:$I$86,2)</f>
        <v>6000</v>
      </c>
      <c r="F4830" s="0" t="n">
        <f aca="false">IF(C4830&gt;1,IF(C4830&lt;99,VLOOKUP(C4830,'MSA-Lookup'!$H$1:$I$86,2),C4830),C4830)</f>
        <v>9999</v>
      </c>
      <c r="G4830" s="0" t="n">
        <f aca="false">VLOOKUP(E4830,'MSA-Lookup'!$AA$1:$AB$25,2)</f>
        <v>4472</v>
      </c>
      <c r="H4830" s="0" t="n">
        <f aca="false">IF(C4830&gt;1,IF(C4830&lt;99,VLOOKUP(F4830,'MSA-Lookup'!$AA$1:$AB$25,2),C4830),C4830)</f>
        <v>9999</v>
      </c>
    </row>
    <row r="4831" customFormat="false" ht="12.75" hidden="false" customHeight="false" outlineLevel="0" collapsed="false">
      <c r="A4831" s="0" t="n">
        <f aca="false">B4831*1000+C4831</f>
        <v>67081</v>
      </c>
      <c r="B4831" s="0" t="n">
        <v>67</v>
      </c>
      <c r="C4831" s="0" t="n">
        <v>81</v>
      </c>
      <c r="D4831" s="0" t="n">
        <v>91</v>
      </c>
      <c r="E4831" s="0" t="n">
        <f aca="false">VLOOKUP(B4831,'MSA-Lookup'!$H$2:$I$86,2)</f>
        <v>6000</v>
      </c>
      <c r="F4831" s="0" t="n">
        <f aca="false">IF(C4831&gt;1,IF(C4831&lt;99,VLOOKUP(C4831,'MSA-Lookup'!$H$1:$I$86,2),C4831),C4831)</f>
        <v>6780</v>
      </c>
      <c r="G4831" s="0" t="n">
        <f aca="false">VLOOKUP(E4831,'MSA-Lookup'!$AA$1:$AB$25,2)</f>
        <v>4472</v>
      </c>
      <c r="H4831" s="0" t="n">
        <f aca="false">IF(C4831&gt;1,IF(C4831&lt;99,VLOOKUP(F4831,'MSA-Lookup'!$AA$1:$AB$25,2),C4831),C4831)</f>
        <v>4472</v>
      </c>
    </row>
    <row r="4832" customFormat="false" ht="12.75" hidden="false" customHeight="false" outlineLevel="0" collapsed="false">
      <c r="A4832" s="0" t="n">
        <f aca="false">B4832*1000+C4832</f>
        <v>67082</v>
      </c>
      <c r="B4832" s="0" t="n">
        <v>67</v>
      </c>
      <c r="C4832" s="0" t="n">
        <v>82</v>
      </c>
      <c r="D4832" s="0" t="n">
        <v>0</v>
      </c>
      <c r="E4832" s="0" t="n">
        <f aca="false">VLOOKUP(B4832,'MSA-Lookup'!$H$2:$I$86,2)</f>
        <v>6000</v>
      </c>
      <c r="F4832" s="0" t="n">
        <f aca="false">IF(C4832&gt;1,IF(C4832&lt;99,VLOOKUP(C4832,'MSA-Lookup'!$H$1:$I$86,2),C4832),C4832)</f>
        <v>6780</v>
      </c>
      <c r="G4832" s="0" t="n">
        <f aca="false">VLOOKUP(E4832,'MSA-Lookup'!$AA$1:$AB$25,2)</f>
        <v>4472</v>
      </c>
      <c r="H4832" s="0" t="n">
        <f aca="false">IF(C4832&gt;1,IF(C4832&lt;99,VLOOKUP(F4832,'MSA-Lookup'!$AA$1:$AB$25,2),C4832),C4832)</f>
        <v>4472</v>
      </c>
    </row>
    <row r="4833" customFormat="false" ht="12.75" hidden="false" customHeight="false" outlineLevel="0" collapsed="false">
      <c r="A4833" s="0" t="n">
        <f aca="false">B4833*1000+C4833</f>
        <v>67083</v>
      </c>
      <c r="B4833" s="0" t="n">
        <v>67</v>
      </c>
      <c r="C4833" s="0" t="n">
        <v>83</v>
      </c>
      <c r="D4833" s="0" t="n">
        <v>17602</v>
      </c>
      <c r="E4833" s="0" t="n">
        <f aca="false">VLOOKUP(B4833,'MSA-Lookup'!$H$2:$I$86,2)</f>
        <v>6000</v>
      </c>
      <c r="F4833" s="0" t="n">
        <f aca="false">IF(C4833&gt;1,IF(C4833&lt;99,VLOOKUP(C4833,'MSA-Lookup'!$H$1:$I$86,2),C4833),C4833)</f>
        <v>6000</v>
      </c>
      <c r="G4833" s="0" t="n">
        <f aca="false">VLOOKUP(E4833,'MSA-Lookup'!$AA$1:$AB$25,2)</f>
        <v>4472</v>
      </c>
      <c r="H4833" s="0" t="n">
        <f aca="false">IF(C4833&gt;1,IF(C4833&lt;99,VLOOKUP(F4833,'MSA-Lookup'!$AA$1:$AB$25,2),C4833),C4833)</f>
        <v>4472</v>
      </c>
    </row>
    <row r="4834" customFormat="false" ht="12.75" hidden="false" customHeight="false" outlineLevel="0" collapsed="false">
      <c r="A4834" s="0" t="n">
        <f aca="false">B4834*1000+C4834</f>
        <v>67084</v>
      </c>
      <c r="B4834" s="0" t="n">
        <v>67</v>
      </c>
      <c r="C4834" s="0" t="n">
        <v>84</v>
      </c>
      <c r="D4834" s="0" t="n">
        <v>0</v>
      </c>
      <c r="E4834" s="0" t="n">
        <f aca="false">VLOOKUP(B4834,'MSA-Lookup'!$H$2:$I$86,2)</f>
        <v>6000</v>
      </c>
      <c r="F4834" s="0" t="n">
        <f aca="false">IF(C4834&gt;1,IF(C4834&lt;99,VLOOKUP(C4834,'MSA-Lookup'!$H$1:$I$86,2),C4834),C4834)</f>
        <v>360</v>
      </c>
      <c r="G4834" s="0" t="n">
        <f aca="false">VLOOKUP(E4834,'MSA-Lookup'!$AA$1:$AB$25,2)</f>
        <v>4472</v>
      </c>
      <c r="H4834" s="0" t="n">
        <f aca="false">IF(C4834&gt;1,IF(C4834&lt;99,VLOOKUP(F4834,'MSA-Lookup'!$AA$1:$AB$25,2),C4834),C4834)</f>
        <v>4472</v>
      </c>
    </row>
    <row r="4835" customFormat="false" ht="12.75" hidden="false" customHeight="false" outlineLevel="0" collapsed="false">
      <c r="A4835" s="0" t="n">
        <f aca="false">B4835*1000+C4835</f>
        <v>67085</v>
      </c>
      <c r="B4835" s="0" t="n">
        <v>67</v>
      </c>
      <c r="C4835" s="0" t="n">
        <v>85</v>
      </c>
      <c r="D4835" s="0" t="n">
        <v>0</v>
      </c>
      <c r="E4835" s="0" t="n">
        <f aca="false">VLOOKUP(B4835,'MSA-Lookup'!$H$2:$I$86,2)</f>
        <v>6000</v>
      </c>
      <c r="F4835" s="0" t="n">
        <f aca="false">IF(C4835&gt;1,IF(C4835&lt;99,VLOOKUP(C4835,'MSA-Lookup'!$H$1:$I$86,2),C4835),C4835)</f>
        <v>8120</v>
      </c>
      <c r="G4835" s="0" t="n">
        <f aca="false">VLOOKUP(E4835,'MSA-Lookup'!$AA$1:$AB$25,2)</f>
        <v>4472</v>
      </c>
      <c r="H4835" s="0" t="n">
        <f aca="false">IF(C4835&gt;1,IF(C4835&lt;99,VLOOKUP(F4835,'MSA-Lookup'!$AA$1:$AB$25,2),C4835),C4835)</f>
        <v>8120</v>
      </c>
    </row>
    <row r="4836" customFormat="false" ht="12.75" hidden="false" customHeight="false" outlineLevel="0" collapsed="false">
      <c r="A4836" s="0" t="n">
        <f aca="false">B4836*1000+C4836</f>
        <v>67858</v>
      </c>
      <c r="B4836" s="0" t="n">
        <v>67</v>
      </c>
      <c r="C4836" s="0" t="n">
        <v>858</v>
      </c>
      <c r="D4836" s="0" t="n">
        <v>0</v>
      </c>
      <c r="E4836" s="0" t="n">
        <f aca="false">VLOOKUP(B4836,'MSA-Lookup'!$H$2:$I$86,2)</f>
        <v>6000</v>
      </c>
      <c r="F4836" s="0" t="n">
        <f aca="false">IF(C4836&gt;1,IF(C4836&lt;99,VLOOKUP(C4836,'MSA-Lookup'!$H$1:$I$86,2),C4836),C4836)</f>
        <v>858</v>
      </c>
      <c r="G4836" s="0" t="n">
        <f aca="false">VLOOKUP(E4836,'MSA-Lookup'!$AA$1:$AB$25,2)</f>
        <v>4472</v>
      </c>
      <c r="H4836" s="0" t="n">
        <f aca="false">IF(C4836&gt;1,IF(C4836&lt;99,VLOOKUP(F4836,'MSA-Lookup'!$AA$1:$AB$25,2),C4836),C4836)</f>
        <v>858</v>
      </c>
    </row>
    <row r="4837" customFormat="false" ht="12.75" hidden="false" customHeight="false" outlineLevel="0" collapsed="false">
      <c r="A4837" s="0" t="n">
        <f aca="false">B4837*1000+C4837</f>
        <v>67983</v>
      </c>
      <c r="B4837" s="0" t="n">
        <v>67</v>
      </c>
      <c r="C4837" s="0" t="n">
        <v>983</v>
      </c>
      <c r="D4837" s="0" t="n">
        <v>0</v>
      </c>
      <c r="E4837" s="0" t="n">
        <f aca="false">VLOOKUP(B4837,'MSA-Lookup'!$H$2:$I$86,2)</f>
        <v>6000</v>
      </c>
      <c r="F4837" s="0" t="n">
        <f aca="false">IF(C4837&gt;1,IF(C4837&lt;99,VLOOKUP(C4837,'MSA-Lookup'!$H$1:$I$86,2),C4837),C4837)</f>
        <v>983</v>
      </c>
      <c r="G4837" s="0" t="n">
        <f aca="false">VLOOKUP(E4837,'MSA-Lookup'!$AA$1:$AB$25,2)</f>
        <v>4472</v>
      </c>
      <c r="H4837" s="0" t="n">
        <f aca="false">IF(C4837&gt;1,IF(C4837&lt;99,VLOOKUP(F4837,'MSA-Lookup'!$AA$1:$AB$25,2),C4837),C4837)</f>
        <v>983</v>
      </c>
    </row>
    <row r="4838" customFormat="false" ht="12.75" hidden="false" customHeight="false" outlineLevel="0" collapsed="false">
      <c r="A4838" s="0" t="n">
        <f aca="false">B4838*1000+C4838</f>
        <v>67999</v>
      </c>
      <c r="B4838" s="0" t="n">
        <v>67</v>
      </c>
      <c r="C4838" s="0" t="n">
        <v>999</v>
      </c>
      <c r="D4838" s="0" t="n">
        <v>0</v>
      </c>
      <c r="E4838" s="0" t="n">
        <f aca="false">VLOOKUP(B4838,'MSA-Lookup'!$H$2:$I$86,2)</f>
        <v>6000</v>
      </c>
      <c r="F4838" s="0" t="n">
        <f aca="false">IF(C4838&gt;1,IF(C4838&lt;99,VLOOKUP(C4838,'MSA-Lookup'!$H$1:$I$86,2),C4838),C4838)</f>
        <v>999</v>
      </c>
      <c r="G4838" s="0" t="n">
        <f aca="false">VLOOKUP(E4838,'MSA-Lookup'!$AA$1:$AB$25,2)</f>
        <v>4472</v>
      </c>
      <c r="H4838" s="0" t="n">
        <f aca="false">IF(C4838&gt;1,IF(C4838&lt;99,VLOOKUP(F4838,'MSA-Lookup'!$AA$1:$AB$25,2),C4838),C4838)</f>
        <v>999</v>
      </c>
    </row>
    <row r="4839" customFormat="false" ht="12.75" hidden="false" customHeight="false" outlineLevel="0" collapsed="false">
      <c r="A4839" s="0" t="n">
        <f aca="false">B4839*1000+C4839</f>
        <v>68000</v>
      </c>
      <c r="B4839" s="0" t="n">
        <v>68</v>
      </c>
      <c r="C4839" s="0" t="n">
        <v>0</v>
      </c>
      <c r="D4839" s="0" t="n">
        <v>67470</v>
      </c>
      <c r="E4839" s="0" t="n">
        <f aca="false">VLOOKUP(B4839,'MSA-Lookup'!$H$2:$I$86,2)</f>
        <v>6780</v>
      </c>
      <c r="F4839" s="0" t="n">
        <f aca="false">IF(C4839&gt;1,IF(C4839&lt;99,VLOOKUP(C4839,'MSA-Lookup'!$H$1:$I$86,2),C4839),C4839)</f>
        <v>0</v>
      </c>
      <c r="G4839" s="0" t="n">
        <f aca="false">VLOOKUP(E4839,'MSA-Lookup'!$AA$1:$AB$25,2)</f>
        <v>4472</v>
      </c>
      <c r="H4839" s="0" t="n">
        <f aca="false">IF(C4839&gt;1,IF(C4839&lt;99,VLOOKUP(F4839,'MSA-Lookup'!$AA$1:$AB$25,2),C4839),C4839)</f>
        <v>0</v>
      </c>
    </row>
    <row r="4840" customFormat="false" ht="12.75" hidden="false" customHeight="false" outlineLevel="0" collapsed="false">
      <c r="A4840" s="0" t="n">
        <f aca="false">B4840*1000+C4840</f>
        <v>68001</v>
      </c>
      <c r="B4840" s="0" t="n">
        <v>68</v>
      </c>
      <c r="C4840" s="0" t="n">
        <v>1</v>
      </c>
      <c r="D4840" s="0" t="n">
        <v>0</v>
      </c>
      <c r="E4840" s="0" t="n">
        <f aca="false">VLOOKUP(B4840,'MSA-Lookup'!$H$2:$I$86,2)</f>
        <v>6780</v>
      </c>
      <c r="F4840" s="0" t="n">
        <f aca="false">IF(C4840&gt;1,IF(C4840&lt;99,VLOOKUP(C4840,'MSA-Lookup'!$H$1:$I$86,2),C4840),C4840)</f>
        <v>1</v>
      </c>
      <c r="G4840" s="0" t="n">
        <f aca="false">VLOOKUP(E4840,'MSA-Lookup'!$AA$1:$AB$25,2)</f>
        <v>4472</v>
      </c>
      <c r="H4840" s="0" t="n">
        <f aca="false">IF(C4840&gt;1,IF(C4840&lt;99,VLOOKUP(F4840,'MSA-Lookup'!$AA$1:$AB$25,2),C4840),C4840)</f>
        <v>1</v>
      </c>
    </row>
    <row r="4841" customFormat="false" ht="12.75" hidden="false" customHeight="false" outlineLevel="0" collapsed="false">
      <c r="A4841" s="0" t="n">
        <f aca="false">B4841*1000+C4841</f>
        <v>68002</v>
      </c>
      <c r="B4841" s="0" t="n">
        <v>68</v>
      </c>
      <c r="C4841" s="0" t="n">
        <v>2</v>
      </c>
      <c r="D4841" s="0" t="n">
        <v>0</v>
      </c>
      <c r="E4841" s="0" t="n">
        <f aca="false">VLOOKUP(B4841,'MSA-Lookup'!$H$2:$I$86,2)</f>
        <v>6780</v>
      </c>
      <c r="F4841" s="0" t="n">
        <f aca="false">IF(C4841&gt;1,IF(C4841&lt;99,VLOOKUP(C4841,'MSA-Lookup'!$H$1:$I$86,2),C4841),C4841)</f>
        <v>9999</v>
      </c>
      <c r="G4841" s="0" t="n">
        <f aca="false">VLOOKUP(E4841,'MSA-Lookup'!$AA$1:$AB$25,2)</f>
        <v>4472</v>
      </c>
      <c r="H4841" s="0" t="n">
        <f aca="false">IF(C4841&gt;1,IF(C4841&lt;99,VLOOKUP(F4841,'MSA-Lookup'!$AA$1:$AB$25,2),C4841),C4841)</f>
        <v>9999</v>
      </c>
    </row>
    <row r="4842" customFormat="false" ht="12.75" hidden="false" customHeight="false" outlineLevel="0" collapsed="false">
      <c r="A4842" s="0" t="n">
        <f aca="false">B4842*1000+C4842</f>
        <v>68003</v>
      </c>
      <c r="B4842" s="0" t="n">
        <v>68</v>
      </c>
      <c r="C4842" s="0" t="n">
        <v>3</v>
      </c>
      <c r="D4842" s="0" t="n">
        <v>0</v>
      </c>
      <c r="E4842" s="0" t="n">
        <f aca="false">VLOOKUP(B4842,'MSA-Lookup'!$H$2:$I$86,2)</f>
        <v>6780</v>
      </c>
      <c r="F4842" s="0" t="n">
        <f aca="false">IF(C4842&gt;1,IF(C4842&lt;99,VLOOKUP(C4842,'MSA-Lookup'!$H$1:$I$86,2),C4842),C4842)</f>
        <v>6690</v>
      </c>
      <c r="G4842" s="0" t="n">
        <f aca="false">VLOOKUP(E4842,'MSA-Lookup'!$AA$1:$AB$25,2)</f>
        <v>4472</v>
      </c>
      <c r="H4842" s="0" t="n">
        <f aca="false">IF(C4842&gt;1,IF(C4842&lt;99,VLOOKUP(F4842,'MSA-Lookup'!$AA$1:$AB$25,2),C4842),C4842)</f>
        <v>6690</v>
      </c>
    </row>
    <row r="4843" customFormat="false" ht="12.75" hidden="false" customHeight="false" outlineLevel="0" collapsed="false">
      <c r="A4843" s="0" t="n">
        <f aca="false">B4843*1000+C4843</f>
        <v>68004</v>
      </c>
      <c r="B4843" s="0" t="n">
        <v>68</v>
      </c>
      <c r="C4843" s="0" t="n">
        <v>4</v>
      </c>
      <c r="D4843" s="0" t="n">
        <v>0</v>
      </c>
      <c r="E4843" s="0" t="n">
        <f aca="false">VLOOKUP(B4843,'MSA-Lookup'!$H$2:$I$86,2)</f>
        <v>6780</v>
      </c>
      <c r="F4843" s="0" t="n">
        <f aca="false">IF(C4843&gt;1,IF(C4843&lt;99,VLOOKUP(C4843,'MSA-Lookup'!$H$1:$I$86,2),C4843),C4843)</f>
        <v>9999</v>
      </c>
      <c r="G4843" s="0" t="n">
        <f aca="false">VLOOKUP(E4843,'MSA-Lookup'!$AA$1:$AB$25,2)</f>
        <v>4472</v>
      </c>
      <c r="H4843" s="0" t="n">
        <f aca="false">IF(C4843&gt;1,IF(C4843&lt;99,VLOOKUP(F4843,'MSA-Lookup'!$AA$1:$AB$25,2),C4843),C4843)</f>
        <v>9999</v>
      </c>
    </row>
    <row r="4844" customFormat="false" ht="12.75" hidden="false" customHeight="false" outlineLevel="0" collapsed="false">
      <c r="A4844" s="0" t="n">
        <f aca="false">B4844*1000+C4844</f>
        <v>68005</v>
      </c>
      <c r="B4844" s="0" t="n">
        <v>68</v>
      </c>
      <c r="C4844" s="0" t="n">
        <v>5</v>
      </c>
      <c r="D4844" s="0" t="n">
        <v>0</v>
      </c>
      <c r="E4844" s="0" t="n">
        <f aca="false">VLOOKUP(B4844,'MSA-Lookup'!$H$2:$I$86,2)</f>
        <v>6780</v>
      </c>
      <c r="F4844" s="0" t="n">
        <f aca="false">IF(C4844&gt;1,IF(C4844&lt;99,VLOOKUP(C4844,'MSA-Lookup'!$H$1:$I$86,2),C4844),C4844)</f>
        <v>9999</v>
      </c>
      <c r="G4844" s="0" t="n">
        <f aca="false">VLOOKUP(E4844,'MSA-Lookup'!$AA$1:$AB$25,2)</f>
        <v>4472</v>
      </c>
      <c r="H4844" s="0" t="n">
        <f aca="false">IF(C4844&gt;1,IF(C4844&lt;99,VLOOKUP(F4844,'MSA-Lookup'!$AA$1:$AB$25,2),C4844),C4844)</f>
        <v>9999</v>
      </c>
    </row>
    <row r="4845" customFormat="false" ht="12.75" hidden="false" customHeight="false" outlineLevel="0" collapsed="false">
      <c r="A4845" s="0" t="n">
        <f aca="false">B4845*1000+C4845</f>
        <v>68006</v>
      </c>
      <c r="B4845" s="0" t="n">
        <v>68</v>
      </c>
      <c r="C4845" s="0" t="n">
        <v>6</v>
      </c>
      <c r="D4845" s="0" t="n">
        <v>0</v>
      </c>
      <c r="E4845" s="0" t="n">
        <f aca="false">VLOOKUP(B4845,'MSA-Lookup'!$H$2:$I$86,2)</f>
        <v>6780</v>
      </c>
      <c r="F4845" s="0" t="n">
        <f aca="false">IF(C4845&gt;1,IF(C4845&lt;99,VLOOKUP(C4845,'MSA-Lookup'!$H$1:$I$86,2),C4845),C4845)</f>
        <v>1620</v>
      </c>
      <c r="G4845" s="0" t="n">
        <f aca="false">VLOOKUP(E4845,'MSA-Lookup'!$AA$1:$AB$25,2)</f>
        <v>4472</v>
      </c>
      <c r="H4845" s="0" t="n">
        <f aca="false">IF(C4845&gt;1,IF(C4845&lt;99,VLOOKUP(F4845,'MSA-Lookup'!$AA$1:$AB$25,2),C4845),C4845)</f>
        <v>1620</v>
      </c>
    </row>
    <row r="4846" customFormat="false" ht="12.75" hidden="false" customHeight="false" outlineLevel="0" collapsed="false">
      <c r="A4846" s="0" t="n">
        <f aca="false">B4846*1000+C4846</f>
        <v>68007</v>
      </c>
      <c r="B4846" s="0" t="n">
        <v>68</v>
      </c>
      <c r="C4846" s="0" t="n">
        <v>7</v>
      </c>
      <c r="D4846" s="0" t="n">
        <v>0</v>
      </c>
      <c r="E4846" s="0" t="n">
        <f aca="false">VLOOKUP(B4846,'MSA-Lookup'!$H$2:$I$86,2)</f>
        <v>6780</v>
      </c>
      <c r="F4846" s="0" t="n">
        <f aca="false">IF(C4846&gt;1,IF(C4846&lt;99,VLOOKUP(C4846,'MSA-Lookup'!$H$1:$I$86,2),C4846),C4846)</f>
        <v>9999</v>
      </c>
      <c r="G4846" s="0" t="n">
        <f aca="false">VLOOKUP(E4846,'MSA-Lookup'!$AA$1:$AB$25,2)</f>
        <v>4472</v>
      </c>
      <c r="H4846" s="0" t="n">
        <f aca="false">IF(C4846&gt;1,IF(C4846&lt;99,VLOOKUP(F4846,'MSA-Lookup'!$AA$1:$AB$25,2),C4846),C4846)</f>
        <v>9999</v>
      </c>
    </row>
    <row r="4847" customFormat="false" ht="12.75" hidden="false" customHeight="false" outlineLevel="0" collapsed="false">
      <c r="A4847" s="0" t="n">
        <f aca="false">B4847*1000+C4847</f>
        <v>68008</v>
      </c>
      <c r="B4847" s="0" t="n">
        <v>68</v>
      </c>
      <c r="C4847" s="0" t="n">
        <v>8</v>
      </c>
      <c r="D4847" s="0" t="n">
        <v>0</v>
      </c>
      <c r="E4847" s="0" t="n">
        <f aca="false">VLOOKUP(B4847,'MSA-Lookup'!$H$2:$I$86,2)</f>
        <v>6780</v>
      </c>
      <c r="F4847" s="0" t="n">
        <f aca="false">IF(C4847&gt;1,IF(C4847&lt;99,VLOOKUP(C4847,'MSA-Lookup'!$H$1:$I$86,2),C4847),C4847)</f>
        <v>9340</v>
      </c>
      <c r="G4847" s="0" t="n">
        <f aca="false">VLOOKUP(E4847,'MSA-Lookup'!$AA$1:$AB$25,2)</f>
        <v>4472</v>
      </c>
      <c r="H4847" s="0" t="n">
        <f aca="false">IF(C4847&gt;1,IF(C4847&lt;99,VLOOKUP(F4847,'MSA-Lookup'!$AA$1:$AB$25,2),C4847),C4847)</f>
        <v>9340</v>
      </c>
    </row>
    <row r="4848" customFormat="false" ht="12.75" hidden="false" customHeight="false" outlineLevel="0" collapsed="false">
      <c r="A4848" s="0" t="n">
        <f aca="false">B4848*1000+C4848</f>
        <v>68009</v>
      </c>
      <c r="B4848" s="0" t="n">
        <v>68</v>
      </c>
      <c r="C4848" s="0" t="n">
        <v>9</v>
      </c>
      <c r="D4848" s="0" t="n">
        <v>0</v>
      </c>
      <c r="E4848" s="0" t="n">
        <f aca="false">VLOOKUP(B4848,'MSA-Lookup'!$H$2:$I$86,2)</f>
        <v>6780</v>
      </c>
      <c r="F4848" s="0" t="n">
        <f aca="false">IF(C4848&gt;1,IF(C4848&lt;99,VLOOKUP(C4848,'MSA-Lookup'!$H$1:$I$86,2),C4848),C4848)</f>
        <v>8720</v>
      </c>
      <c r="G4848" s="0" t="n">
        <f aca="false">VLOOKUP(E4848,'MSA-Lookup'!$AA$1:$AB$25,2)</f>
        <v>4472</v>
      </c>
      <c r="H4848" s="0" t="n">
        <f aca="false">IF(C4848&gt;1,IF(C4848&lt;99,VLOOKUP(F4848,'MSA-Lookup'!$AA$1:$AB$25,2),C4848),C4848)</f>
        <v>7362</v>
      </c>
    </row>
    <row r="4849" customFormat="false" ht="12.75" hidden="false" customHeight="false" outlineLevel="0" collapsed="false">
      <c r="A4849" s="0" t="n">
        <f aca="false">B4849*1000+C4849</f>
        <v>68010</v>
      </c>
      <c r="B4849" s="0" t="n">
        <v>68</v>
      </c>
      <c r="C4849" s="0" t="n">
        <v>10</v>
      </c>
      <c r="D4849" s="0" t="n">
        <v>0</v>
      </c>
      <c r="E4849" s="0" t="n">
        <f aca="false">VLOOKUP(B4849,'MSA-Lookup'!$H$2:$I$86,2)</f>
        <v>6780</v>
      </c>
      <c r="F4849" s="0" t="n">
        <f aca="false">IF(C4849&gt;1,IF(C4849&lt;99,VLOOKUP(C4849,'MSA-Lookup'!$H$1:$I$86,2),C4849),C4849)</f>
        <v>6920</v>
      </c>
      <c r="G4849" s="0" t="n">
        <f aca="false">VLOOKUP(E4849,'MSA-Lookup'!$AA$1:$AB$25,2)</f>
        <v>4472</v>
      </c>
      <c r="H4849" s="0" t="n">
        <f aca="false">IF(C4849&gt;1,IF(C4849&lt;99,VLOOKUP(F4849,'MSA-Lookup'!$AA$1:$AB$25,2),C4849),C4849)</f>
        <v>6920</v>
      </c>
    </row>
    <row r="4850" customFormat="false" ht="12.75" hidden="false" customHeight="false" outlineLevel="0" collapsed="false">
      <c r="A4850" s="0" t="n">
        <f aca="false">B4850*1000+C4850</f>
        <v>68011</v>
      </c>
      <c r="B4850" s="0" t="n">
        <v>68</v>
      </c>
      <c r="C4850" s="0" t="n">
        <v>11</v>
      </c>
      <c r="D4850" s="0" t="n">
        <v>91</v>
      </c>
      <c r="E4850" s="0" t="n">
        <f aca="false">VLOOKUP(B4850,'MSA-Lookup'!$H$2:$I$86,2)</f>
        <v>6780</v>
      </c>
      <c r="F4850" s="0" t="n">
        <f aca="false">IF(C4850&gt;1,IF(C4850&lt;99,VLOOKUP(C4850,'MSA-Lookup'!$H$1:$I$86,2),C4850),C4850)</f>
        <v>6920</v>
      </c>
      <c r="G4850" s="0" t="n">
        <f aca="false">VLOOKUP(E4850,'MSA-Lookup'!$AA$1:$AB$25,2)</f>
        <v>4472</v>
      </c>
      <c r="H4850" s="0" t="n">
        <f aca="false">IF(C4850&gt;1,IF(C4850&lt;99,VLOOKUP(F4850,'MSA-Lookup'!$AA$1:$AB$25,2),C4850),C4850)</f>
        <v>6920</v>
      </c>
    </row>
    <row r="4851" customFormat="false" ht="12.75" hidden="false" customHeight="false" outlineLevel="0" collapsed="false">
      <c r="A4851" s="0" t="n">
        <f aca="false">B4851*1000+C4851</f>
        <v>68012</v>
      </c>
      <c r="B4851" s="0" t="n">
        <v>68</v>
      </c>
      <c r="C4851" s="0" t="n">
        <v>12</v>
      </c>
      <c r="D4851" s="0" t="n">
        <v>0</v>
      </c>
      <c r="E4851" s="0" t="n">
        <f aca="false">VLOOKUP(B4851,'MSA-Lookup'!$H$2:$I$86,2)</f>
        <v>6780</v>
      </c>
      <c r="F4851" s="0" t="n">
        <f aca="false">IF(C4851&gt;1,IF(C4851&lt;99,VLOOKUP(C4851,'MSA-Lookup'!$H$1:$I$86,2),C4851),C4851)</f>
        <v>6920</v>
      </c>
      <c r="G4851" s="0" t="n">
        <f aca="false">VLOOKUP(E4851,'MSA-Lookup'!$AA$1:$AB$25,2)</f>
        <v>4472</v>
      </c>
      <c r="H4851" s="0" t="n">
        <f aca="false">IF(C4851&gt;1,IF(C4851&lt;99,VLOOKUP(F4851,'MSA-Lookup'!$AA$1:$AB$25,2),C4851),C4851)</f>
        <v>6920</v>
      </c>
    </row>
    <row r="4852" customFormat="false" ht="12.75" hidden="false" customHeight="false" outlineLevel="0" collapsed="false">
      <c r="A4852" s="0" t="n">
        <f aca="false">B4852*1000+C4852</f>
        <v>68013</v>
      </c>
      <c r="B4852" s="0" t="n">
        <v>68</v>
      </c>
      <c r="C4852" s="0" t="n">
        <v>13</v>
      </c>
      <c r="D4852" s="0" t="n">
        <v>0</v>
      </c>
      <c r="E4852" s="0" t="n">
        <f aca="false">VLOOKUP(B4852,'MSA-Lookup'!$H$2:$I$86,2)</f>
        <v>6780</v>
      </c>
      <c r="F4852" s="0" t="n">
        <f aca="false">IF(C4852&gt;1,IF(C4852&lt;99,VLOOKUP(C4852,'MSA-Lookup'!$H$1:$I$86,2),C4852),C4852)</f>
        <v>7500</v>
      </c>
      <c r="G4852" s="0" t="n">
        <f aca="false">VLOOKUP(E4852,'MSA-Lookup'!$AA$1:$AB$25,2)</f>
        <v>4472</v>
      </c>
      <c r="H4852" s="0" t="n">
        <f aca="false">IF(C4852&gt;1,IF(C4852&lt;99,VLOOKUP(F4852,'MSA-Lookup'!$AA$1:$AB$25,2),C4852),C4852)</f>
        <v>7362</v>
      </c>
    </row>
    <row r="4853" customFormat="false" ht="12.75" hidden="false" customHeight="false" outlineLevel="0" collapsed="false">
      <c r="A4853" s="0" t="n">
        <f aca="false">B4853*1000+C4853</f>
        <v>68014</v>
      </c>
      <c r="B4853" s="0" t="n">
        <v>68</v>
      </c>
      <c r="C4853" s="0" t="n">
        <v>14</v>
      </c>
      <c r="D4853" s="0" t="n">
        <v>0</v>
      </c>
      <c r="E4853" s="0" t="n">
        <f aca="false">VLOOKUP(B4853,'MSA-Lookup'!$H$2:$I$86,2)</f>
        <v>6780</v>
      </c>
      <c r="F4853" s="0" t="n">
        <f aca="false">IF(C4853&gt;1,IF(C4853&lt;99,VLOOKUP(C4853,'MSA-Lookup'!$H$1:$I$86,2),C4853),C4853)</f>
        <v>7500</v>
      </c>
      <c r="G4853" s="0" t="n">
        <f aca="false">VLOOKUP(E4853,'MSA-Lookup'!$AA$1:$AB$25,2)</f>
        <v>4472</v>
      </c>
      <c r="H4853" s="0" t="n">
        <f aca="false">IF(C4853&gt;1,IF(C4853&lt;99,VLOOKUP(F4853,'MSA-Lookup'!$AA$1:$AB$25,2),C4853),C4853)</f>
        <v>7362</v>
      </c>
    </row>
    <row r="4854" customFormat="false" ht="12.75" hidden="false" customHeight="false" outlineLevel="0" collapsed="false">
      <c r="A4854" s="0" t="n">
        <f aca="false">B4854*1000+C4854</f>
        <v>68015</v>
      </c>
      <c r="B4854" s="0" t="n">
        <v>68</v>
      </c>
      <c r="C4854" s="0" t="n">
        <v>15</v>
      </c>
      <c r="D4854" s="0" t="n">
        <v>0</v>
      </c>
      <c r="E4854" s="0" t="n">
        <f aca="false">VLOOKUP(B4854,'MSA-Lookup'!$H$2:$I$86,2)</f>
        <v>6780</v>
      </c>
      <c r="F4854" s="0" t="n">
        <f aca="false">IF(C4854&gt;1,IF(C4854&lt;99,VLOOKUP(C4854,'MSA-Lookup'!$H$1:$I$86,2),C4854),C4854)</f>
        <v>7360</v>
      </c>
      <c r="G4854" s="0" t="n">
        <f aca="false">VLOOKUP(E4854,'MSA-Lookup'!$AA$1:$AB$25,2)</f>
        <v>4472</v>
      </c>
      <c r="H4854" s="0" t="n">
        <f aca="false">IF(C4854&gt;1,IF(C4854&lt;99,VLOOKUP(F4854,'MSA-Lookup'!$AA$1:$AB$25,2),C4854),C4854)</f>
        <v>7362</v>
      </c>
    </row>
    <row r="4855" customFormat="false" ht="12.75" hidden="false" customHeight="false" outlineLevel="0" collapsed="false">
      <c r="A4855" s="0" t="n">
        <f aca="false">B4855*1000+C4855</f>
        <v>68016</v>
      </c>
      <c r="B4855" s="0" t="n">
        <v>68</v>
      </c>
      <c r="C4855" s="0" t="n">
        <v>16</v>
      </c>
      <c r="D4855" s="0" t="n">
        <v>0</v>
      </c>
      <c r="E4855" s="0" t="n">
        <f aca="false">VLOOKUP(B4855,'MSA-Lookup'!$H$2:$I$86,2)</f>
        <v>6780</v>
      </c>
      <c r="F4855" s="0" t="n">
        <f aca="false">IF(C4855&gt;1,IF(C4855&lt;99,VLOOKUP(C4855,'MSA-Lookup'!$H$1:$I$86,2),C4855),C4855)</f>
        <v>8720</v>
      </c>
      <c r="G4855" s="0" t="n">
        <f aca="false">VLOOKUP(E4855,'MSA-Lookup'!$AA$1:$AB$25,2)</f>
        <v>4472</v>
      </c>
      <c r="H4855" s="0" t="n">
        <f aca="false">IF(C4855&gt;1,IF(C4855&lt;99,VLOOKUP(F4855,'MSA-Lookup'!$AA$1:$AB$25,2),C4855),C4855)</f>
        <v>7362</v>
      </c>
    </row>
    <row r="4856" customFormat="false" ht="12.75" hidden="false" customHeight="false" outlineLevel="0" collapsed="false">
      <c r="A4856" s="0" t="n">
        <f aca="false">B4856*1000+C4856</f>
        <v>68017</v>
      </c>
      <c r="B4856" s="0" t="n">
        <v>68</v>
      </c>
      <c r="C4856" s="0" t="n">
        <v>17</v>
      </c>
      <c r="D4856" s="0" t="n">
        <v>0</v>
      </c>
      <c r="E4856" s="0" t="n">
        <f aca="false">VLOOKUP(B4856,'MSA-Lookup'!$H$2:$I$86,2)</f>
        <v>6780</v>
      </c>
      <c r="F4856" s="0" t="n">
        <f aca="false">IF(C4856&gt;1,IF(C4856&lt;99,VLOOKUP(C4856,'MSA-Lookup'!$H$1:$I$86,2),C4856),C4856)</f>
        <v>5775</v>
      </c>
      <c r="G4856" s="0" t="n">
        <f aca="false">VLOOKUP(E4856,'MSA-Lookup'!$AA$1:$AB$25,2)</f>
        <v>4472</v>
      </c>
      <c r="H4856" s="0" t="n">
        <f aca="false">IF(C4856&gt;1,IF(C4856&lt;99,VLOOKUP(F4856,'MSA-Lookup'!$AA$1:$AB$25,2),C4856),C4856)</f>
        <v>7362</v>
      </c>
    </row>
    <row r="4857" customFormat="false" ht="12.75" hidden="false" customHeight="false" outlineLevel="0" collapsed="false">
      <c r="A4857" s="0" t="n">
        <f aca="false">B4857*1000+C4857</f>
        <v>68018</v>
      </c>
      <c r="B4857" s="0" t="n">
        <v>68</v>
      </c>
      <c r="C4857" s="0" t="n">
        <v>18</v>
      </c>
      <c r="D4857" s="0" t="n">
        <v>0</v>
      </c>
      <c r="E4857" s="0" t="n">
        <f aca="false">VLOOKUP(B4857,'MSA-Lookup'!$H$2:$I$86,2)</f>
        <v>6780</v>
      </c>
      <c r="F4857" s="0" t="n">
        <f aca="false">IF(C4857&gt;1,IF(C4857&lt;99,VLOOKUP(C4857,'MSA-Lookup'!$H$1:$I$86,2),C4857),C4857)</f>
        <v>5775</v>
      </c>
      <c r="G4857" s="0" t="n">
        <f aca="false">VLOOKUP(E4857,'MSA-Lookup'!$AA$1:$AB$25,2)</f>
        <v>4472</v>
      </c>
      <c r="H4857" s="0" t="n">
        <f aca="false">IF(C4857&gt;1,IF(C4857&lt;99,VLOOKUP(F4857,'MSA-Lookup'!$AA$1:$AB$25,2),C4857),C4857)</f>
        <v>7362</v>
      </c>
    </row>
    <row r="4858" customFormat="false" ht="12.75" hidden="false" customHeight="false" outlineLevel="0" collapsed="false">
      <c r="A4858" s="0" t="n">
        <f aca="false">B4858*1000+C4858</f>
        <v>68019</v>
      </c>
      <c r="B4858" s="0" t="n">
        <v>68</v>
      </c>
      <c r="C4858" s="0" t="n">
        <v>19</v>
      </c>
      <c r="D4858" s="0" t="n">
        <v>0</v>
      </c>
      <c r="E4858" s="0" t="n">
        <f aca="false">VLOOKUP(B4858,'MSA-Lookup'!$H$2:$I$86,2)</f>
        <v>6780</v>
      </c>
      <c r="F4858" s="0" t="n">
        <f aca="false">IF(C4858&gt;1,IF(C4858&lt;99,VLOOKUP(C4858,'MSA-Lookup'!$H$1:$I$86,2),C4858),C4858)</f>
        <v>7360</v>
      </c>
      <c r="G4858" s="0" t="n">
        <f aca="false">VLOOKUP(E4858,'MSA-Lookup'!$AA$1:$AB$25,2)</f>
        <v>4472</v>
      </c>
      <c r="H4858" s="0" t="n">
        <f aca="false">IF(C4858&gt;1,IF(C4858&lt;99,VLOOKUP(F4858,'MSA-Lookup'!$AA$1:$AB$25,2),C4858),C4858)</f>
        <v>7362</v>
      </c>
    </row>
    <row r="4859" customFormat="false" ht="12.75" hidden="false" customHeight="false" outlineLevel="0" collapsed="false">
      <c r="A4859" s="0" t="n">
        <f aca="false">B4859*1000+C4859</f>
        <v>68020</v>
      </c>
      <c r="B4859" s="0" t="n">
        <v>68</v>
      </c>
      <c r="C4859" s="0" t="n">
        <v>20</v>
      </c>
      <c r="D4859" s="0" t="n">
        <v>0</v>
      </c>
      <c r="E4859" s="0" t="n">
        <f aca="false">VLOOKUP(B4859,'MSA-Lookup'!$H$2:$I$86,2)</f>
        <v>6780</v>
      </c>
      <c r="F4859" s="0" t="n">
        <f aca="false">IF(C4859&gt;1,IF(C4859&lt;99,VLOOKUP(C4859,'MSA-Lookup'!$H$1:$I$86,2),C4859),C4859)</f>
        <v>5775</v>
      </c>
      <c r="G4859" s="0" t="n">
        <f aca="false">VLOOKUP(E4859,'MSA-Lookup'!$AA$1:$AB$25,2)</f>
        <v>4472</v>
      </c>
      <c r="H4859" s="0" t="n">
        <f aca="false">IF(C4859&gt;1,IF(C4859&lt;99,VLOOKUP(F4859,'MSA-Lookup'!$AA$1:$AB$25,2),C4859),C4859)</f>
        <v>7362</v>
      </c>
    </row>
    <row r="4860" customFormat="false" ht="12.75" hidden="false" customHeight="false" outlineLevel="0" collapsed="false">
      <c r="A4860" s="0" t="n">
        <f aca="false">B4860*1000+C4860</f>
        <v>68021</v>
      </c>
      <c r="B4860" s="0" t="n">
        <v>68</v>
      </c>
      <c r="C4860" s="0" t="n">
        <v>21</v>
      </c>
      <c r="D4860" s="0" t="n">
        <v>0</v>
      </c>
      <c r="E4860" s="0" t="n">
        <f aca="false">VLOOKUP(B4860,'MSA-Lookup'!$H$2:$I$86,2)</f>
        <v>6780</v>
      </c>
      <c r="F4860" s="0" t="n">
        <f aca="false">IF(C4860&gt;1,IF(C4860&lt;99,VLOOKUP(C4860,'MSA-Lookup'!$H$1:$I$86,2),C4860),C4860)</f>
        <v>5775</v>
      </c>
      <c r="G4860" s="0" t="n">
        <f aca="false">VLOOKUP(E4860,'MSA-Lookup'!$AA$1:$AB$25,2)</f>
        <v>4472</v>
      </c>
      <c r="H4860" s="0" t="n">
        <f aca="false">IF(C4860&gt;1,IF(C4860&lt;99,VLOOKUP(F4860,'MSA-Lookup'!$AA$1:$AB$25,2),C4860),C4860)</f>
        <v>7362</v>
      </c>
    </row>
    <row r="4861" customFormat="false" ht="12.75" hidden="false" customHeight="false" outlineLevel="0" collapsed="false">
      <c r="A4861" s="0" t="n">
        <f aca="false">B4861*1000+C4861</f>
        <v>68022</v>
      </c>
      <c r="B4861" s="0" t="n">
        <v>68</v>
      </c>
      <c r="C4861" s="0" t="n">
        <v>22</v>
      </c>
      <c r="D4861" s="0" t="n">
        <v>0</v>
      </c>
      <c r="E4861" s="0" t="n">
        <f aca="false">VLOOKUP(B4861,'MSA-Lookup'!$H$2:$I$86,2)</f>
        <v>6780</v>
      </c>
      <c r="F4861" s="0" t="n">
        <f aca="false">IF(C4861&gt;1,IF(C4861&lt;99,VLOOKUP(C4861,'MSA-Lookup'!$H$1:$I$86,2),C4861),C4861)</f>
        <v>7360</v>
      </c>
      <c r="G4861" s="0" t="n">
        <f aca="false">VLOOKUP(E4861,'MSA-Lookup'!$AA$1:$AB$25,2)</f>
        <v>4472</v>
      </c>
      <c r="H4861" s="0" t="n">
        <f aca="false">IF(C4861&gt;1,IF(C4861&lt;99,VLOOKUP(F4861,'MSA-Lookup'!$AA$1:$AB$25,2),C4861),C4861)</f>
        <v>7362</v>
      </c>
    </row>
    <row r="4862" customFormat="false" ht="12.75" hidden="false" customHeight="false" outlineLevel="0" collapsed="false">
      <c r="A4862" s="0" t="n">
        <f aca="false">B4862*1000+C4862</f>
        <v>68023</v>
      </c>
      <c r="B4862" s="0" t="n">
        <v>68</v>
      </c>
      <c r="C4862" s="0" t="n">
        <v>23</v>
      </c>
      <c r="D4862" s="0" t="n">
        <v>0</v>
      </c>
      <c r="E4862" s="0" t="n">
        <f aca="false">VLOOKUP(B4862,'MSA-Lookup'!$H$2:$I$86,2)</f>
        <v>6780</v>
      </c>
      <c r="F4862" s="0" t="n">
        <f aca="false">IF(C4862&gt;1,IF(C4862&lt;99,VLOOKUP(C4862,'MSA-Lookup'!$H$1:$I$86,2),C4862),C4862)</f>
        <v>8120</v>
      </c>
      <c r="G4862" s="0" t="n">
        <f aca="false">VLOOKUP(E4862,'MSA-Lookup'!$AA$1:$AB$25,2)</f>
        <v>4472</v>
      </c>
      <c r="H4862" s="0" t="n">
        <f aca="false">IF(C4862&gt;1,IF(C4862&lt;99,VLOOKUP(F4862,'MSA-Lookup'!$AA$1:$AB$25,2),C4862),C4862)</f>
        <v>8120</v>
      </c>
    </row>
    <row r="4863" customFormat="false" ht="12.75" hidden="false" customHeight="false" outlineLevel="0" collapsed="false">
      <c r="A4863" s="0" t="n">
        <f aca="false">B4863*1000+C4863</f>
        <v>68024</v>
      </c>
      <c r="B4863" s="0" t="n">
        <v>68</v>
      </c>
      <c r="C4863" s="0" t="n">
        <v>24</v>
      </c>
      <c r="D4863" s="0" t="n">
        <v>0</v>
      </c>
      <c r="E4863" s="0" t="n">
        <f aca="false">VLOOKUP(B4863,'MSA-Lookup'!$H$2:$I$86,2)</f>
        <v>6780</v>
      </c>
      <c r="F4863" s="0" t="n">
        <f aca="false">IF(C4863&gt;1,IF(C4863&lt;99,VLOOKUP(C4863,'MSA-Lookup'!$H$1:$I$86,2),C4863),C4863)</f>
        <v>5170</v>
      </c>
      <c r="G4863" s="0" t="n">
        <f aca="false">VLOOKUP(E4863,'MSA-Lookup'!$AA$1:$AB$25,2)</f>
        <v>4472</v>
      </c>
      <c r="H4863" s="0" t="n">
        <f aca="false">IF(C4863&gt;1,IF(C4863&lt;99,VLOOKUP(F4863,'MSA-Lookup'!$AA$1:$AB$25,2),C4863),C4863)</f>
        <v>5170</v>
      </c>
    </row>
    <row r="4864" customFormat="false" ht="12.75" hidden="false" customHeight="false" outlineLevel="0" collapsed="false">
      <c r="A4864" s="0" t="n">
        <f aca="false">B4864*1000+C4864</f>
        <v>68025</v>
      </c>
      <c r="B4864" s="0" t="n">
        <v>68</v>
      </c>
      <c r="C4864" s="0" t="n">
        <v>25</v>
      </c>
      <c r="D4864" s="0" t="n">
        <v>0</v>
      </c>
      <c r="E4864" s="0" t="n">
        <f aca="false">VLOOKUP(B4864,'MSA-Lookup'!$H$2:$I$86,2)</f>
        <v>6780</v>
      </c>
      <c r="F4864" s="0" t="n">
        <f aca="false">IF(C4864&gt;1,IF(C4864&lt;99,VLOOKUP(C4864,'MSA-Lookup'!$H$1:$I$86,2),C4864),C4864)</f>
        <v>5170</v>
      </c>
      <c r="G4864" s="0" t="n">
        <f aca="false">VLOOKUP(E4864,'MSA-Lookup'!$AA$1:$AB$25,2)</f>
        <v>4472</v>
      </c>
      <c r="H4864" s="0" t="n">
        <f aca="false">IF(C4864&gt;1,IF(C4864&lt;99,VLOOKUP(F4864,'MSA-Lookup'!$AA$1:$AB$25,2),C4864),C4864)</f>
        <v>5170</v>
      </c>
    </row>
    <row r="4865" customFormat="false" ht="12.75" hidden="false" customHeight="false" outlineLevel="0" collapsed="false">
      <c r="A4865" s="0" t="n">
        <f aca="false">B4865*1000+C4865</f>
        <v>68026</v>
      </c>
      <c r="B4865" s="0" t="n">
        <v>68</v>
      </c>
      <c r="C4865" s="0" t="n">
        <v>26</v>
      </c>
      <c r="D4865" s="0" t="n">
        <v>0</v>
      </c>
      <c r="E4865" s="0" t="n">
        <f aca="false">VLOOKUP(B4865,'MSA-Lookup'!$H$2:$I$86,2)</f>
        <v>6780</v>
      </c>
      <c r="F4865" s="0" t="n">
        <f aca="false">IF(C4865&gt;1,IF(C4865&lt;99,VLOOKUP(C4865,'MSA-Lookup'!$H$1:$I$86,2),C4865),C4865)</f>
        <v>9999</v>
      </c>
      <c r="G4865" s="0" t="n">
        <f aca="false">VLOOKUP(E4865,'MSA-Lookup'!$AA$1:$AB$25,2)</f>
        <v>4472</v>
      </c>
      <c r="H4865" s="0" t="n">
        <f aca="false">IF(C4865&gt;1,IF(C4865&lt;99,VLOOKUP(F4865,'MSA-Lookup'!$AA$1:$AB$25,2),C4865),C4865)</f>
        <v>9999</v>
      </c>
    </row>
    <row r="4866" customFormat="false" ht="12.75" hidden="false" customHeight="false" outlineLevel="0" collapsed="false">
      <c r="A4866" s="0" t="n">
        <f aca="false">B4866*1000+C4866</f>
        <v>68027</v>
      </c>
      <c r="B4866" s="0" t="n">
        <v>68</v>
      </c>
      <c r="C4866" s="0" t="n">
        <v>27</v>
      </c>
      <c r="D4866" s="0" t="n">
        <v>0</v>
      </c>
      <c r="E4866" s="0" t="n">
        <f aca="false">VLOOKUP(B4866,'MSA-Lookup'!$H$2:$I$86,2)</f>
        <v>6780</v>
      </c>
      <c r="F4866" s="0" t="n">
        <f aca="false">IF(C4866&gt;1,IF(C4866&lt;99,VLOOKUP(C4866,'MSA-Lookup'!$H$1:$I$86,2),C4866),C4866)</f>
        <v>9999</v>
      </c>
      <c r="G4866" s="0" t="n">
        <f aca="false">VLOOKUP(E4866,'MSA-Lookup'!$AA$1:$AB$25,2)</f>
        <v>4472</v>
      </c>
      <c r="H4866" s="0" t="n">
        <f aca="false">IF(C4866&gt;1,IF(C4866&lt;99,VLOOKUP(F4866,'MSA-Lookup'!$AA$1:$AB$25,2),C4866),C4866)</f>
        <v>9999</v>
      </c>
    </row>
    <row r="4867" customFormat="false" ht="12.75" hidden="false" customHeight="false" outlineLevel="0" collapsed="false">
      <c r="A4867" s="0" t="n">
        <f aca="false">B4867*1000+C4867</f>
        <v>68028</v>
      </c>
      <c r="B4867" s="0" t="n">
        <v>68</v>
      </c>
      <c r="C4867" s="0" t="n">
        <v>28</v>
      </c>
      <c r="D4867" s="0" t="n">
        <v>0</v>
      </c>
      <c r="E4867" s="0" t="n">
        <f aca="false">VLOOKUP(B4867,'MSA-Lookup'!$H$2:$I$86,2)</f>
        <v>6780</v>
      </c>
      <c r="F4867" s="0" t="n">
        <f aca="false">IF(C4867&gt;1,IF(C4867&lt;99,VLOOKUP(C4867,'MSA-Lookup'!$H$1:$I$86,2),C4867),C4867)</f>
        <v>6920</v>
      </c>
      <c r="G4867" s="0" t="n">
        <f aca="false">VLOOKUP(E4867,'MSA-Lookup'!$AA$1:$AB$25,2)</f>
        <v>4472</v>
      </c>
      <c r="H4867" s="0" t="n">
        <f aca="false">IF(C4867&gt;1,IF(C4867&lt;99,VLOOKUP(F4867,'MSA-Lookup'!$AA$1:$AB$25,2),C4867),C4867)</f>
        <v>6920</v>
      </c>
    </row>
    <row r="4868" customFormat="false" ht="12.75" hidden="false" customHeight="false" outlineLevel="0" collapsed="false">
      <c r="A4868" s="0" t="n">
        <f aca="false">B4868*1000+C4868</f>
        <v>68029</v>
      </c>
      <c r="B4868" s="0" t="n">
        <v>68</v>
      </c>
      <c r="C4868" s="0" t="n">
        <v>29</v>
      </c>
      <c r="D4868" s="0" t="n">
        <v>0</v>
      </c>
      <c r="E4868" s="0" t="n">
        <f aca="false">VLOOKUP(B4868,'MSA-Lookup'!$H$2:$I$86,2)</f>
        <v>6780</v>
      </c>
      <c r="F4868" s="0" t="n">
        <f aca="false">IF(C4868&gt;1,IF(C4868&lt;99,VLOOKUP(C4868,'MSA-Lookup'!$H$1:$I$86,2),C4868),C4868)</f>
        <v>6920</v>
      </c>
      <c r="G4868" s="0" t="n">
        <f aca="false">VLOOKUP(E4868,'MSA-Lookup'!$AA$1:$AB$25,2)</f>
        <v>4472</v>
      </c>
      <c r="H4868" s="0" t="n">
        <f aca="false">IF(C4868&gt;1,IF(C4868&lt;99,VLOOKUP(F4868,'MSA-Lookup'!$AA$1:$AB$25,2),C4868),C4868)</f>
        <v>6920</v>
      </c>
    </row>
    <row r="4869" customFormat="false" ht="12.75" hidden="false" customHeight="false" outlineLevel="0" collapsed="false">
      <c r="A4869" s="0" t="n">
        <f aca="false">B4869*1000+C4869</f>
        <v>68030</v>
      </c>
      <c r="B4869" s="0" t="n">
        <v>68</v>
      </c>
      <c r="C4869" s="0" t="n">
        <v>30</v>
      </c>
      <c r="D4869" s="0" t="n">
        <v>0</v>
      </c>
      <c r="E4869" s="0" t="n">
        <f aca="false">VLOOKUP(B4869,'MSA-Lookup'!$H$2:$I$86,2)</f>
        <v>6780</v>
      </c>
      <c r="F4869" s="0" t="n">
        <f aca="false">IF(C4869&gt;1,IF(C4869&lt;99,VLOOKUP(C4869,'MSA-Lookup'!$H$1:$I$86,2),C4869),C4869)</f>
        <v>4940</v>
      </c>
      <c r="G4869" s="0" t="n">
        <f aca="false">VLOOKUP(E4869,'MSA-Lookup'!$AA$1:$AB$25,2)</f>
        <v>4472</v>
      </c>
      <c r="H4869" s="0" t="n">
        <f aca="false">IF(C4869&gt;1,IF(C4869&lt;99,VLOOKUP(F4869,'MSA-Lookup'!$AA$1:$AB$25,2),C4869),C4869)</f>
        <v>4940</v>
      </c>
    </row>
    <row r="4870" customFormat="false" ht="12.75" hidden="false" customHeight="false" outlineLevel="0" collapsed="false">
      <c r="A4870" s="0" t="n">
        <f aca="false">B4870*1000+C4870</f>
        <v>68031</v>
      </c>
      <c r="B4870" s="0" t="n">
        <v>68</v>
      </c>
      <c r="C4870" s="0" t="n">
        <v>31</v>
      </c>
      <c r="D4870" s="0" t="n">
        <v>0</v>
      </c>
      <c r="E4870" s="0" t="n">
        <f aca="false">VLOOKUP(B4870,'MSA-Lookup'!$H$2:$I$86,2)</f>
        <v>6780</v>
      </c>
      <c r="F4870" s="0" t="n">
        <f aca="false">IF(C4870&gt;1,IF(C4870&lt;99,VLOOKUP(C4870,'MSA-Lookup'!$H$1:$I$86,2),C4870),C4870)</f>
        <v>9999</v>
      </c>
      <c r="G4870" s="0" t="n">
        <f aca="false">VLOOKUP(E4870,'MSA-Lookup'!$AA$1:$AB$25,2)</f>
        <v>4472</v>
      </c>
      <c r="H4870" s="0" t="n">
        <f aca="false">IF(C4870&gt;1,IF(C4870&lt;99,VLOOKUP(F4870,'MSA-Lookup'!$AA$1:$AB$25,2),C4870),C4870)</f>
        <v>9999</v>
      </c>
    </row>
    <row r="4871" customFormat="false" ht="12.75" hidden="false" customHeight="false" outlineLevel="0" collapsed="false">
      <c r="A4871" s="0" t="n">
        <f aca="false">B4871*1000+C4871</f>
        <v>68032</v>
      </c>
      <c r="B4871" s="0" t="n">
        <v>68</v>
      </c>
      <c r="C4871" s="0" t="n">
        <v>32</v>
      </c>
      <c r="D4871" s="0" t="n">
        <v>0</v>
      </c>
      <c r="E4871" s="0" t="n">
        <f aca="false">VLOOKUP(B4871,'MSA-Lookup'!$H$2:$I$86,2)</f>
        <v>6780</v>
      </c>
      <c r="F4871" s="0" t="n">
        <f aca="false">IF(C4871&gt;1,IF(C4871&lt;99,VLOOKUP(C4871,'MSA-Lookup'!$H$1:$I$86,2),C4871),C4871)</f>
        <v>7480</v>
      </c>
      <c r="G4871" s="0" t="n">
        <f aca="false">VLOOKUP(E4871,'MSA-Lookup'!$AA$1:$AB$25,2)</f>
        <v>4472</v>
      </c>
      <c r="H4871" s="0" t="n">
        <f aca="false">IF(C4871&gt;1,IF(C4871&lt;99,VLOOKUP(F4871,'MSA-Lookup'!$AA$1:$AB$25,2),C4871),C4871)</f>
        <v>7480</v>
      </c>
    </row>
    <row r="4872" customFormat="false" ht="12.75" hidden="false" customHeight="false" outlineLevel="0" collapsed="false">
      <c r="A4872" s="0" t="n">
        <f aca="false">B4872*1000+C4872</f>
        <v>68033</v>
      </c>
      <c r="B4872" s="0" t="n">
        <v>68</v>
      </c>
      <c r="C4872" s="0" t="n">
        <v>33</v>
      </c>
      <c r="D4872" s="0" t="n">
        <v>0</v>
      </c>
      <c r="E4872" s="0" t="n">
        <f aca="false">VLOOKUP(B4872,'MSA-Lookup'!$H$2:$I$86,2)</f>
        <v>6780</v>
      </c>
      <c r="F4872" s="0" t="n">
        <f aca="false">IF(C4872&gt;1,IF(C4872&lt;99,VLOOKUP(C4872,'MSA-Lookup'!$H$1:$I$86,2),C4872),C4872)</f>
        <v>7320</v>
      </c>
      <c r="G4872" s="0" t="n">
        <f aca="false">VLOOKUP(E4872,'MSA-Lookup'!$AA$1:$AB$25,2)</f>
        <v>4472</v>
      </c>
      <c r="H4872" s="0" t="n">
        <f aca="false">IF(C4872&gt;1,IF(C4872&lt;99,VLOOKUP(F4872,'MSA-Lookup'!$AA$1:$AB$25,2),C4872),C4872)</f>
        <v>7320</v>
      </c>
    </row>
    <row r="4873" customFormat="false" ht="12.75" hidden="false" customHeight="false" outlineLevel="0" collapsed="false">
      <c r="A4873" s="0" t="n">
        <f aca="false">B4873*1000+C4873</f>
        <v>68034</v>
      </c>
      <c r="B4873" s="0" t="n">
        <v>68</v>
      </c>
      <c r="C4873" s="0" t="n">
        <v>34</v>
      </c>
      <c r="D4873" s="0" t="n">
        <v>0</v>
      </c>
      <c r="E4873" s="0" t="n">
        <f aca="false">VLOOKUP(B4873,'MSA-Lookup'!$H$2:$I$86,2)</f>
        <v>6780</v>
      </c>
      <c r="F4873" s="0" t="n">
        <f aca="false">IF(C4873&gt;1,IF(C4873&lt;99,VLOOKUP(C4873,'MSA-Lookup'!$H$1:$I$86,2),C4873),C4873)</f>
        <v>7320</v>
      </c>
      <c r="G4873" s="0" t="n">
        <f aca="false">VLOOKUP(E4873,'MSA-Lookup'!$AA$1:$AB$25,2)</f>
        <v>4472</v>
      </c>
      <c r="H4873" s="0" t="n">
        <f aca="false">IF(C4873&gt;1,IF(C4873&lt;99,VLOOKUP(F4873,'MSA-Lookup'!$AA$1:$AB$25,2),C4873),C4873)</f>
        <v>7320</v>
      </c>
    </row>
    <row r="4874" customFormat="false" ht="12.75" hidden="false" customHeight="false" outlineLevel="0" collapsed="false">
      <c r="A4874" s="0" t="n">
        <f aca="false">B4874*1000+C4874</f>
        <v>68035</v>
      </c>
      <c r="B4874" s="0" t="n">
        <v>68</v>
      </c>
      <c r="C4874" s="0" t="n">
        <v>35</v>
      </c>
      <c r="D4874" s="0" t="n">
        <v>0</v>
      </c>
      <c r="E4874" s="0" t="n">
        <f aca="false">VLOOKUP(B4874,'MSA-Lookup'!$H$2:$I$86,2)</f>
        <v>6780</v>
      </c>
      <c r="F4874" s="0" t="n">
        <f aca="false">IF(C4874&gt;1,IF(C4874&lt;99,VLOOKUP(C4874,'MSA-Lookup'!$H$1:$I$86,2),C4874),C4874)</f>
        <v>7320</v>
      </c>
      <c r="G4874" s="0" t="n">
        <f aca="false">VLOOKUP(E4874,'MSA-Lookup'!$AA$1:$AB$25,2)</f>
        <v>4472</v>
      </c>
      <c r="H4874" s="0" t="n">
        <f aca="false">IF(C4874&gt;1,IF(C4874&lt;99,VLOOKUP(F4874,'MSA-Lookup'!$AA$1:$AB$25,2),C4874),C4874)</f>
        <v>7320</v>
      </c>
    </row>
    <row r="4875" customFormat="false" ht="12.75" hidden="false" customHeight="false" outlineLevel="0" collapsed="false">
      <c r="A4875" s="0" t="n">
        <f aca="false">B4875*1000+C4875</f>
        <v>68036</v>
      </c>
      <c r="B4875" s="0" t="n">
        <v>68</v>
      </c>
      <c r="C4875" s="0" t="n">
        <v>36</v>
      </c>
      <c r="D4875" s="0" t="n">
        <v>0</v>
      </c>
      <c r="E4875" s="0" t="n">
        <f aca="false">VLOOKUP(B4875,'MSA-Lookup'!$H$2:$I$86,2)</f>
        <v>6780</v>
      </c>
      <c r="F4875" s="0" t="n">
        <f aca="false">IF(C4875&gt;1,IF(C4875&lt;99,VLOOKUP(C4875,'MSA-Lookup'!$H$1:$I$86,2),C4875),C4875)</f>
        <v>7320</v>
      </c>
      <c r="G4875" s="0" t="n">
        <f aca="false">VLOOKUP(E4875,'MSA-Lookup'!$AA$1:$AB$25,2)</f>
        <v>4472</v>
      </c>
      <c r="H4875" s="0" t="n">
        <f aca="false">IF(C4875&gt;1,IF(C4875&lt;99,VLOOKUP(F4875,'MSA-Lookup'!$AA$1:$AB$25,2),C4875),C4875)</f>
        <v>7320</v>
      </c>
    </row>
    <row r="4876" customFormat="false" ht="12.75" hidden="false" customHeight="false" outlineLevel="0" collapsed="false">
      <c r="A4876" s="0" t="n">
        <f aca="false">B4876*1000+C4876</f>
        <v>68037</v>
      </c>
      <c r="B4876" s="0" t="n">
        <v>68</v>
      </c>
      <c r="C4876" s="0" t="n">
        <v>37</v>
      </c>
      <c r="D4876" s="0" t="n">
        <v>0</v>
      </c>
      <c r="E4876" s="0" t="n">
        <f aca="false">VLOOKUP(B4876,'MSA-Lookup'!$H$2:$I$86,2)</f>
        <v>6780</v>
      </c>
      <c r="F4876" s="0" t="n">
        <f aca="false">IF(C4876&gt;1,IF(C4876&lt;99,VLOOKUP(C4876,'MSA-Lookup'!$H$1:$I$86,2),C4876),C4876)</f>
        <v>7320</v>
      </c>
      <c r="G4876" s="0" t="n">
        <f aca="false">VLOOKUP(E4876,'MSA-Lookup'!$AA$1:$AB$25,2)</f>
        <v>4472</v>
      </c>
      <c r="H4876" s="0" t="n">
        <f aca="false">IF(C4876&gt;1,IF(C4876&lt;99,VLOOKUP(F4876,'MSA-Lookup'!$AA$1:$AB$25,2),C4876),C4876)</f>
        <v>7320</v>
      </c>
    </row>
    <row r="4877" customFormat="false" ht="12.75" hidden="false" customHeight="false" outlineLevel="0" collapsed="false">
      <c r="A4877" s="0" t="n">
        <f aca="false">B4877*1000+C4877</f>
        <v>68038</v>
      </c>
      <c r="B4877" s="0" t="n">
        <v>68</v>
      </c>
      <c r="C4877" s="0" t="n">
        <v>38</v>
      </c>
      <c r="D4877" s="0" t="n">
        <v>0</v>
      </c>
      <c r="E4877" s="0" t="n">
        <f aca="false">VLOOKUP(B4877,'MSA-Lookup'!$H$2:$I$86,2)</f>
        <v>6780</v>
      </c>
      <c r="F4877" s="0" t="n">
        <f aca="false">IF(C4877&gt;1,IF(C4877&lt;99,VLOOKUP(C4877,'MSA-Lookup'!$H$1:$I$86,2),C4877),C4877)</f>
        <v>7120</v>
      </c>
      <c r="G4877" s="0" t="n">
        <f aca="false">VLOOKUP(E4877,'MSA-Lookup'!$AA$1:$AB$25,2)</f>
        <v>4472</v>
      </c>
      <c r="H4877" s="0" t="n">
        <f aca="false">IF(C4877&gt;1,IF(C4877&lt;99,VLOOKUP(F4877,'MSA-Lookup'!$AA$1:$AB$25,2),C4877),C4877)</f>
        <v>7120</v>
      </c>
    </row>
    <row r="4878" customFormat="false" ht="12.75" hidden="false" customHeight="false" outlineLevel="0" collapsed="false">
      <c r="A4878" s="0" t="n">
        <f aca="false">B4878*1000+C4878</f>
        <v>68039</v>
      </c>
      <c r="B4878" s="0" t="n">
        <v>68</v>
      </c>
      <c r="C4878" s="0" t="n">
        <v>39</v>
      </c>
      <c r="D4878" s="0" t="n">
        <v>0</v>
      </c>
      <c r="E4878" s="0" t="n">
        <f aca="false">VLOOKUP(B4878,'MSA-Lookup'!$H$2:$I$86,2)</f>
        <v>6780</v>
      </c>
      <c r="F4878" s="0" t="n">
        <f aca="false">IF(C4878&gt;1,IF(C4878&lt;99,VLOOKUP(C4878,'MSA-Lookup'!$H$1:$I$86,2),C4878),C4878)</f>
        <v>7120</v>
      </c>
      <c r="G4878" s="0" t="n">
        <f aca="false">VLOOKUP(E4878,'MSA-Lookup'!$AA$1:$AB$25,2)</f>
        <v>4472</v>
      </c>
      <c r="H4878" s="0" t="n">
        <f aca="false">IF(C4878&gt;1,IF(C4878&lt;99,VLOOKUP(F4878,'MSA-Lookup'!$AA$1:$AB$25,2),C4878),C4878)</f>
        <v>7120</v>
      </c>
    </row>
    <row r="4879" customFormat="false" ht="12.75" hidden="false" customHeight="false" outlineLevel="0" collapsed="false">
      <c r="A4879" s="0" t="n">
        <f aca="false">B4879*1000+C4879</f>
        <v>68040</v>
      </c>
      <c r="B4879" s="0" t="n">
        <v>68</v>
      </c>
      <c r="C4879" s="0" t="n">
        <v>40</v>
      </c>
      <c r="D4879" s="0" t="n">
        <v>0</v>
      </c>
      <c r="E4879" s="0" t="n">
        <f aca="false">VLOOKUP(B4879,'MSA-Lookup'!$H$2:$I$86,2)</f>
        <v>6780</v>
      </c>
      <c r="F4879" s="0" t="n">
        <f aca="false">IF(C4879&gt;1,IF(C4879&lt;99,VLOOKUP(C4879,'MSA-Lookup'!$H$1:$I$86,2),C4879),C4879)</f>
        <v>2840</v>
      </c>
      <c r="G4879" s="0" t="n">
        <f aca="false">VLOOKUP(E4879,'MSA-Lookup'!$AA$1:$AB$25,2)</f>
        <v>4472</v>
      </c>
      <c r="H4879" s="0" t="n">
        <f aca="false">IF(C4879&gt;1,IF(C4879&lt;99,VLOOKUP(F4879,'MSA-Lookup'!$AA$1:$AB$25,2),C4879),C4879)</f>
        <v>2840</v>
      </c>
    </row>
    <row r="4880" customFormat="false" ht="12.75" hidden="false" customHeight="false" outlineLevel="0" collapsed="false">
      <c r="A4880" s="0" t="n">
        <f aca="false">B4880*1000+C4880</f>
        <v>68041</v>
      </c>
      <c r="B4880" s="0" t="n">
        <v>68</v>
      </c>
      <c r="C4880" s="0" t="n">
        <v>41</v>
      </c>
      <c r="D4880" s="0" t="n">
        <v>0</v>
      </c>
      <c r="E4880" s="0" t="n">
        <f aca="false">VLOOKUP(B4880,'MSA-Lookup'!$H$2:$I$86,2)</f>
        <v>6780</v>
      </c>
      <c r="F4880" s="0" t="n">
        <f aca="false">IF(C4880&gt;1,IF(C4880&lt;99,VLOOKUP(C4880,'MSA-Lookup'!$H$1:$I$86,2),C4880),C4880)</f>
        <v>2840</v>
      </c>
      <c r="G4880" s="0" t="n">
        <f aca="false">VLOOKUP(E4880,'MSA-Lookup'!$AA$1:$AB$25,2)</f>
        <v>4472</v>
      </c>
      <c r="H4880" s="0" t="n">
        <f aca="false">IF(C4880&gt;1,IF(C4880&lt;99,VLOOKUP(F4880,'MSA-Lookup'!$AA$1:$AB$25,2),C4880),C4880)</f>
        <v>2840</v>
      </c>
    </row>
    <row r="4881" customFormat="false" ht="12.75" hidden="false" customHeight="false" outlineLevel="0" collapsed="false">
      <c r="A4881" s="0" t="n">
        <f aca="false">B4881*1000+C4881</f>
        <v>68042</v>
      </c>
      <c r="B4881" s="0" t="n">
        <v>68</v>
      </c>
      <c r="C4881" s="0" t="n">
        <v>42</v>
      </c>
      <c r="D4881" s="0" t="n">
        <v>611</v>
      </c>
      <c r="E4881" s="0" t="n">
        <f aca="false">VLOOKUP(B4881,'MSA-Lookup'!$H$2:$I$86,2)</f>
        <v>6780</v>
      </c>
      <c r="F4881" s="0" t="n">
        <f aca="false">IF(C4881&gt;1,IF(C4881&lt;99,VLOOKUP(C4881,'MSA-Lookup'!$H$1:$I$86,2),C4881),C4881)</f>
        <v>360</v>
      </c>
      <c r="G4881" s="0" t="n">
        <f aca="false">VLOOKUP(E4881,'MSA-Lookup'!$AA$1:$AB$25,2)</f>
        <v>4472</v>
      </c>
      <c r="H4881" s="0" t="n">
        <f aca="false">IF(C4881&gt;1,IF(C4881&lt;99,VLOOKUP(F4881,'MSA-Lookup'!$AA$1:$AB$25,2),C4881),C4881)</f>
        <v>4472</v>
      </c>
    </row>
    <row r="4882" customFormat="false" ht="12.75" hidden="false" customHeight="false" outlineLevel="0" collapsed="false">
      <c r="A4882" s="0" t="n">
        <f aca="false">B4882*1000+C4882</f>
        <v>68043</v>
      </c>
      <c r="B4882" s="0" t="n">
        <v>68</v>
      </c>
      <c r="C4882" s="0" t="n">
        <v>43</v>
      </c>
      <c r="D4882" s="0" t="n">
        <v>0</v>
      </c>
      <c r="E4882" s="0" t="n">
        <f aca="false">VLOOKUP(B4882,'MSA-Lookup'!$H$2:$I$86,2)</f>
        <v>6780</v>
      </c>
      <c r="F4882" s="0" t="n">
        <f aca="false">IF(C4882&gt;1,IF(C4882&lt;99,VLOOKUP(C4882,'MSA-Lookup'!$H$1:$I$86,2),C4882),C4882)</f>
        <v>360</v>
      </c>
      <c r="G4882" s="0" t="n">
        <f aca="false">VLOOKUP(E4882,'MSA-Lookup'!$AA$1:$AB$25,2)</f>
        <v>4472</v>
      </c>
      <c r="H4882" s="0" t="n">
        <f aca="false">IF(C4882&gt;1,IF(C4882&lt;99,VLOOKUP(F4882,'MSA-Lookup'!$AA$1:$AB$25,2),C4882),C4882)</f>
        <v>4472</v>
      </c>
    </row>
    <row r="4883" customFormat="false" ht="12.75" hidden="false" customHeight="false" outlineLevel="0" collapsed="false">
      <c r="A4883" s="0" t="n">
        <f aca="false">B4883*1000+C4883</f>
        <v>68044</v>
      </c>
      <c r="B4883" s="0" t="n">
        <v>68</v>
      </c>
      <c r="C4883" s="0" t="n">
        <v>44</v>
      </c>
      <c r="D4883" s="0" t="n">
        <v>0</v>
      </c>
      <c r="E4883" s="0" t="n">
        <f aca="false">VLOOKUP(B4883,'MSA-Lookup'!$H$2:$I$86,2)</f>
        <v>6780</v>
      </c>
      <c r="F4883" s="0" t="n">
        <f aca="false">IF(C4883&gt;1,IF(C4883&lt;99,VLOOKUP(C4883,'MSA-Lookup'!$H$1:$I$86,2),C4883),C4883)</f>
        <v>360</v>
      </c>
      <c r="G4883" s="0" t="n">
        <f aca="false">VLOOKUP(E4883,'MSA-Lookup'!$AA$1:$AB$25,2)</f>
        <v>4472</v>
      </c>
      <c r="H4883" s="0" t="n">
        <f aca="false">IF(C4883&gt;1,IF(C4883&lt;99,VLOOKUP(F4883,'MSA-Lookup'!$AA$1:$AB$25,2),C4883),C4883)</f>
        <v>4472</v>
      </c>
    </row>
    <row r="4884" customFormat="false" ht="12.75" hidden="false" customHeight="false" outlineLevel="0" collapsed="false">
      <c r="A4884" s="0" t="n">
        <f aca="false">B4884*1000+C4884</f>
        <v>68045</v>
      </c>
      <c r="B4884" s="0" t="n">
        <v>68</v>
      </c>
      <c r="C4884" s="0" t="n">
        <v>45</v>
      </c>
      <c r="D4884" s="0" t="n">
        <v>0</v>
      </c>
      <c r="E4884" s="0" t="n">
        <f aca="false">VLOOKUP(B4884,'MSA-Lookup'!$H$2:$I$86,2)</f>
        <v>6780</v>
      </c>
      <c r="F4884" s="0" t="n">
        <f aca="false">IF(C4884&gt;1,IF(C4884&lt;99,VLOOKUP(C4884,'MSA-Lookup'!$H$1:$I$86,2),C4884),C4884)</f>
        <v>360</v>
      </c>
      <c r="G4884" s="0" t="n">
        <f aca="false">VLOOKUP(E4884,'MSA-Lookup'!$AA$1:$AB$25,2)</f>
        <v>4472</v>
      </c>
      <c r="H4884" s="0" t="n">
        <f aca="false">IF(C4884&gt;1,IF(C4884&lt;99,VLOOKUP(F4884,'MSA-Lookup'!$AA$1:$AB$25,2),C4884),C4884)</f>
        <v>4472</v>
      </c>
    </row>
    <row r="4885" customFormat="false" ht="12.75" hidden="false" customHeight="false" outlineLevel="0" collapsed="false">
      <c r="A4885" s="0" t="n">
        <f aca="false">B4885*1000+C4885</f>
        <v>68046</v>
      </c>
      <c r="B4885" s="0" t="n">
        <v>68</v>
      </c>
      <c r="C4885" s="0" t="n">
        <v>46</v>
      </c>
      <c r="D4885" s="0" t="n">
        <v>130</v>
      </c>
      <c r="E4885" s="0" t="n">
        <f aca="false">VLOOKUP(B4885,'MSA-Lookup'!$H$2:$I$86,2)</f>
        <v>6780</v>
      </c>
      <c r="F4885" s="0" t="n">
        <f aca="false">IF(C4885&gt;1,IF(C4885&lt;99,VLOOKUP(C4885,'MSA-Lookup'!$H$1:$I$86,2),C4885),C4885)</f>
        <v>360</v>
      </c>
      <c r="G4885" s="0" t="n">
        <f aca="false">VLOOKUP(E4885,'MSA-Lookup'!$AA$1:$AB$25,2)</f>
        <v>4472</v>
      </c>
      <c r="H4885" s="0" t="n">
        <f aca="false">IF(C4885&gt;1,IF(C4885&lt;99,VLOOKUP(F4885,'MSA-Lookup'!$AA$1:$AB$25,2),C4885),C4885)</f>
        <v>4472</v>
      </c>
    </row>
    <row r="4886" customFormat="false" ht="12.75" hidden="false" customHeight="false" outlineLevel="0" collapsed="false">
      <c r="A4886" s="0" t="n">
        <f aca="false">B4886*1000+C4886</f>
        <v>68047</v>
      </c>
      <c r="B4886" s="0" t="n">
        <v>68</v>
      </c>
      <c r="C4886" s="0" t="n">
        <v>47</v>
      </c>
      <c r="D4886" s="0" t="n">
        <v>0</v>
      </c>
      <c r="E4886" s="0" t="n">
        <f aca="false">VLOOKUP(B4886,'MSA-Lookup'!$H$2:$I$86,2)</f>
        <v>6780</v>
      </c>
      <c r="F4886" s="0" t="n">
        <f aca="false">IF(C4886&gt;1,IF(C4886&lt;99,VLOOKUP(C4886,'MSA-Lookup'!$H$1:$I$86,2),C4886),C4886)</f>
        <v>360</v>
      </c>
      <c r="G4886" s="0" t="n">
        <f aca="false">VLOOKUP(E4886,'MSA-Lookup'!$AA$1:$AB$25,2)</f>
        <v>4472</v>
      </c>
      <c r="H4886" s="0" t="n">
        <f aca="false">IF(C4886&gt;1,IF(C4886&lt;99,VLOOKUP(F4886,'MSA-Lookup'!$AA$1:$AB$25,2),C4886),C4886)</f>
        <v>4472</v>
      </c>
    </row>
    <row r="4887" customFormat="false" ht="12.75" hidden="false" customHeight="false" outlineLevel="0" collapsed="false">
      <c r="A4887" s="0" t="n">
        <f aca="false">B4887*1000+C4887</f>
        <v>68048</v>
      </c>
      <c r="B4887" s="0" t="n">
        <v>68</v>
      </c>
      <c r="C4887" s="0" t="n">
        <v>48</v>
      </c>
      <c r="D4887" s="0" t="n">
        <v>3718</v>
      </c>
      <c r="E4887" s="0" t="n">
        <f aca="false">VLOOKUP(B4887,'MSA-Lookup'!$H$2:$I$86,2)</f>
        <v>6780</v>
      </c>
      <c r="F4887" s="0" t="n">
        <f aca="false">IF(C4887&gt;1,IF(C4887&lt;99,VLOOKUP(C4887,'MSA-Lookup'!$H$1:$I$86,2),C4887),C4887)</f>
        <v>360</v>
      </c>
      <c r="G4887" s="0" t="n">
        <f aca="false">VLOOKUP(E4887,'MSA-Lookup'!$AA$1:$AB$25,2)</f>
        <v>4472</v>
      </c>
      <c r="H4887" s="0" t="n">
        <f aca="false">IF(C4887&gt;1,IF(C4887&lt;99,VLOOKUP(F4887,'MSA-Lookup'!$AA$1:$AB$25,2),C4887),C4887)</f>
        <v>4472</v>
      </c>
    </row>
    <row r="4888" customFormat="false" ht="12.75" hidden="false" customHeight="false" outlineLevel="0" collapsed="false">
      <c r="A4888" s="0" t="n">
        <f aca="false">B4888*1000+C4888</f>
        <v>68049</v>
      </c>
      <c r="B4888" s="0" t="n">
        <v>68</v>
      </c>
      <c r="C4888" s="0" t="n">
        <v>49</v>
      </c>
      <c r="D4888" s="0" t="n">
        <v>0</v>
      </c>
      <c r="E4888" s="0" t="n">
        <f aca="false">VLOOKUP(B4888,'MSA-Lookup'!$H$2:$I$86,2)</f>
        <v>6780</v>
      </c>
      <c r="F4888" s="0" t="n">
        <f aca="false">IF(C4888&gt;1,IF(C4888&lt;99,VLOOKUP(C4888,'MSA-Lookup'!$H$1:$I$86,2),C4888),C4888)</f>
        <v>7400</v>
      </c>
      <c r="G4888" s="0" t="n">
        <f aca="false">VLOOKUP(E4888,'MSA-Lookup'!$AA$1:$AB$25,2)</f>
        <v>4472</v>
      </c>
      <c r="H4888" s="0" t="n">
        <f aca="false">IF(C4888&gt;1,IF(C4888&lt;99,VLOOKUP(F4888,'MSA-Lookup'!$AA$1:$AB$25,2),C4888),C4888)</f>
        <v>7362</v>
      </c>
    </row>
    <row r="4889" customFormat="false" ht="12.75" hidden="false" customHeight="false" outlineLevel="0" collapsed="false">
      <c r="A4889" s="0" t="n">
        <f aca="false">B4889*1000+C4889</f>
        <v>68050</v>
      </c>
      <c r="B4889" s="0" t="n">
        <v>68</v>
      </c>
      <c r="C4889" s="0" t="n">
        <v>50</v>
      </c>
      <c r="D4889" s="0" t="n">
        <v>0</v>
      </c>
      <c r="E4889" s="0" t="n">
        <f aca="false">VLOOKUP(B4889,'MSA-Lookup'!$H$2:$I$86,2)</f>
        <v>6780</v>
      </c>
      <c r="F4889" s="0" t="n">
        <f aca="false">IF(C4889&gt;1,IF(C4889&lt;99,VLOOKUP(C4889,'MSA-Lookup'!$H$1:$I$86,2),C4889),C4889)</f>
        <v>7400</v>
      </c>
      <c r="G4889" s="0" t="n">
        <f aca="false">VLOOKUP(E4889,'MSA-Lookup'!$AA$1:$AB$25,2)</f>
        <v>4472</v>
      </c>
      <c r="H4889" s="0" t="n">
        <f aca="false">IF(C4889&gt;1,IF(C4889&lt;99,VLOOKUP(F4889,'MSA-Lookup'!$AA$1:$AB$25,2),C4889),C4889)</f>
        <v>7362</v>
      </c>
    </row>
    <row r="4890" customFormat="false" ht="12.75" hidden="false" customHeight="false" outlineLevel="0" collapsed="false">
      <c r="A4890" s="0" t="n">
        <f aca="false">B4890*1000+C4890</f>
        <v>68051</v>
      </c>
      <c r="B4890" s="0" t="n">
        <v>68</v>
      </c>
      <c r="C4890" s="0" t="n">
        <v>51</v>
      </c>
      <c r="D4890" s="0" t="n">
        <v>0</v>
      </c>
      <c r="E4890" s="0" t="n">
        <f aca="false">VLOOKUP(B4890,'MSA-Lookup'!$H$2:$I$86,2)</f>
        <v>6780</v>
      </c>
      <c r="F4890" s="0" t="n">
        <f aca="false">IF(C4890&gt;1,IF(C4890&lt;99,VLOOKUP(C4890,'MSA-Lookup'!$H$1:$I$86,2),C4890),C4890)</f>
        <v>7400</v>
      </c>
      <c r="G4890" s="0" t="n">
        <f aca="false">VLOOKUP(E4890,'MSA-Lookup'!$AA$1:$AB$25,2)</f>
        <v>4472</v>
      </c>
      <c r="H4890" s="0" t="n">
        <f aca="false">IF(C4890&gt;1,IF(C4890&lt;99,VLOOKUP(F4890,'MSA-Lookup'!$AA$1:$AB$25,2),C4890),C4890)</f>
        <v>7362</v>
      </c>
    </row>
    <row r="4891" customFormat="false" ht="12.75" hidden="false" customHeight="false" outlineLevel="0" collapsed="false">
      <c r="A4891" s="0" t="n">
        <f aca="false">B4891*1000+C4891</f>
        <v>68052</v>
      </c>
      <c r="B4891" s="0" t="n">
        <v>68</v>
      </c>
      <c r="C4891" s="0" t="n">
        <v>52</v>
      </c>
      <c r="D4891" s="0" t="n">
        <v>0</v>
      </c>
      <c r="E4891" s="0" t="n">
        <f aca="false">VLOOKUP(B4891,'MSA-Lookup'!$H$2:$I$86,2)</f>
        <v>6780</v>
      </c>
      <c r="F4891" s="0" t="n">
        <f aca="false">IF(C4891&gt;1,IF(C4891&lt;99,VLOOKUP(C4891,'MSA-Lookup'!$H$1:$I$86,2),C4891),C4891)</f>
        <v>4480</v>
      </c>
      <c r="G4891" s="0" t="n">
        <f aca="false">VLOOKUP(E4891,'MSA-Lookup'!$AA$1:$AB$25,2)</f>
        <v>4472</v>
      </c>
      <c r="H4891" s="0" t="n">
        <f aca="false">IF(C4891&gt;1,IF(C4891&lt;99,VLOOKUP(F4891,'MSA-Lookup'!$AA$1:$AB$25,2),C4891),C4891)</f>
        <v>4472</v>
      </c>
    </row>
    <row r="4892" customFormat="false" ht="12.75" hidden="false" customHeight="false" outlineLevel="0" collapsed="false">
      <c r="A4892" s="0" t="n">
        <f aca="false">B4892*1000+C4892</f>
        <v>68053</v>
      </c>
      <c r="B4892" s="0" t="n">
        <v>68</v>
      </c>
      <c r="C4892" s="0" t="n">
        <v>53</v>
      </c>
      <c r="D4892" s="0" t="n">
        <v>117</v>
      </c>
      <c r="E4892" s="0" t="n">
        <f aca="false">VLOOKUP(B4892,'MSA-Lookup'!$H$2:$I$86,2)</f>
        <v>6780</v>
      </c>
      <c r="F4892" s="0" t="n">
        <f aca="false">IF(C4892&gt;1,IF(C4892&lt;99,VLOOKUP(C4892,'MSA-Lookup'!$H$1:$I$86,2),C4892),C4892)</f>
        <v>4480</v>
      </c>
      <c r="G4892" s="0" t="n">
        <f aca="false">VLOOKUP(E4892,'MSA-Lookup'!$AA$1:$AB$25,2)</f>
        <v>4472</v>
      </c>
      <c r="H4892" s="0" t="n">
        <f aca="false">IF(C4892&gt;1,IF(C4892&lt;99,VLOOKUP(F4892,'MSA-Lookup'!$AA$1:$AB$25,2),C4892),C4892)</f>
        <v>4472</v>
      </c>
    </row>
    <row r="4893" customFormat="false" ht="12.75" hidden="false" customHeight="false" outlineLevel="0" collapsed="false">
      <c r="A4893" s="0" t="n">
        <f aca="false">B4893*1000+C4893</f>
        <v>68054</v>
      </c>
      <c r="B4893" s="0" t="n">
        <v>68</v>
      </c>
      <c r="C4893" s="0" t="n">
        <v>54</v>
      </c>
      <c r="D4893" s="0" t="n">
        <v>0</v>
      </c>
      <c r="E4893" s="0" t="n">
        <f aca="false">VLOOKUP(B4893,'MSA-Lookup'!$H$2:$I$86,2)</f>
        <v>6780</v>
      </c>
      <c r="F4893" s="0" t="n">
        <f aca="false">IF(C4893&gt;1,IF(C4893&lt;99,VLOOKUP(C4893,'MSA-Lookup'!$H$1:$I$86,2),C4893),C4893)</f>
        <v>4480</v>
      </c>
      <c r="G4893" s="0" t="n">
        <f aca="false">VLOOKUP(E4893,'MSA-Lookup'!$AA$1:$AB$25,2)</f>
        <v>4472</v>
      </c>
      <c r="H4893" s="0" t="n">
        <f aca="false">IF(C4893&gt;1,IF(C4893&lt;99,VLOOKUP(F4893,'MSA-Lookup'!$AA$1:$AB$25,2),C4893),C4893)</f>
        <v>4472</v>
      </c>
    </row>
    <row r="4894" customFormat="false" ht="12.75" hidden="false" customHeight="false" outlineLevel="0" collapsed="false">
      <c r="A4894" s="0" t="n">
        <f aca="false">B4894*1000+C4894</f>
        <v>68055</v>
      </c>
      <c r="B4894" s="0" t="n">
        <v>68</v>
      </c>
      <c r="C4894" s="0" t="n">
        <v>55</v>
      </c>
      <c r="D4894" s="0" t="n">
        <v>0</v>
      </c>
      <c r="E4894" s="0" t="n">
        <f aca="false">VLOOKUP(B4894,'MSA-Lookup'!$H$2:$I$86,2)</f>
        <v>6780</v>
      </c>
      <c r="F4894" s="0" t="n">
        <f aca="false">IF(C4894&gt;1,IF(C4894&lt;99,VLOOKUP(C4894,'MSA-Lookup'!$H$1:$I$86,2),C4894),C4894)</f>
        <v>4480</v>
      </c>
      <c r="G4894" s="0" t="n">
        <f aca="false">VLOOKUP(E4894,'MSA-Lookup'!$AA$1:$AB$25,2)</f>
        <v>4472</v>
      </c>
      <c r="H4894" s="0" t="n">
        <f aca="false">IF(C4894&gt;1,IF(C4894&lt;99,VLOOKUP(F4894,'MSA-Lookup'!$AA$1:$AB$25,2),C4894),C4894)</f>
        <v>4472</v>
      </c>
    </row>
    <row r="4895" customFormat="false" ht="12.75" hidden="false" customHeight="false" outlineLevel="0" collapsed="false">
      <c r="A4895" s="0" t="n">
        <f aca="false">B4895*1000+C4895</f>
        <v>68056</v>
      </c>
      <c r="B4895" s="0" t="n">
        <v>68</v>
      </c>
      <c r="C4895" s="0" t="n">
        <v>56</v>
      </c>
      <c r="D4895" s="0" t="n">
        <v>0</v>
      </c>
      <c r="E4895" s="0" t="n">
        <f aca="false">VLOOKUP(B4895,'MSA-Lookup'!$H$2:$I$86,2)</f>
        <v>6780</v>
      </c>
      <c r="F4895" s="0" t="n">
        <f aca="false">IF(C4895&gt;1,IF(C4895&lt;99,VLOOKUP(C4895,'MSA-Lookup'!$H$1:$I$86,2),C4895),C4895)</f>
        <v>4480</v>
      </c>
      <c r="G4895" s="0" t="n">
        <f aca="false">VLOOKUP(E4895,'MSA-Lookup'!$AA$1:$AB$25,2)</f>
        <v>4472</v>
      </c>
      <c r="H4895" s="0" t="n">
        <f aca="false">IF(C4895&gt;1,IF(C4895&lt;99,VLOOKUP(F4895,'MSA-Lookup'!$AA$1:$AB$25,2),C4895),C4895)</f>
        <v>4472</v>
      </c>
    </row>
    <row r="4896" customFormat="false" ht="12.75" hidden="false" customHeight="false" outlineLevel="0" collapsed="false">
      <c r="A4896" s="0" t="n">
        <f aca="false">B4896*1000+C4896</f>
        <v>68057</v>
      </c>
      <c r="B4896" s="0" t="n">
        <v>68</v>
      </c>
      <c r="C4896" s="0" t="n">
        <v>57</v>
      </c>
      <c r="D4896" s="0" t="n">
        <v>0</v>
      </c>
      <c r="E4896" s="0" t="n">
        <f aca="false">VLOOKUP(B4896,'MSA-Lookup'!$H$2:$I$86,2)</f>
        <v>6780</v>
      </c>
      <c r="F4896" s="0" t="n">
        <f aca="false">IF(C4896&gt;1,IF(C4896&lt;99,VLOOKUP(C4896,'MSA-Lookup'!$H$1:$I$86,2),C4896),C4896)</f>
        <v>4480</v>
      </c>
      <c r="G4896" s="0" t="n">
        <f aca="false">VLOOKUP(E4896,'MSA-Lookup'!$AA$1:$AB$25,2)</f>
        <v>4472</v>
      </c>
      <c r="H4896" s="0" t="n">
        <f aca="false">IF(C4896&gt;1,IF(C4896&lt;99,VLOOKUP(F4896,'MSA-Lookup'!$AA$1:$AB$25,2),C4896),C4896)</f>
        <v>4472</v>
      </c>
    </row>
    <row r="4897" customFormat="false" ht="12.75" hidden="false" customHeight="false" outlineLevel="0" collapsed="false">
      <c r="A4897" s="0" t="n">
        <f aca="false">B4897*1000+C4897</f>
        <v>68058</v>
      </c>
      <c r="B4897" s="0" t="n">
        <v>68</v>
      </c>
      <c r="C4897" s="0" t="n">
        <v>58</v>
      </c>
      <c r="D4897" s="0" t="n">
        <v>0</v>
      </c>
      <c r="E4897" s="0" t="n">
        <f aca="false">VLOOKUP(B4897,'MSA-Lookup'!$H$2:$I$86,2)</f>
        <v>6780</v>
      </c>
      <c r="F4897" s="0" t="n">
        <f aca="false">IF(C4897&gt;1,IF(C4897&lt;99,VLOOKUP(C4897,'MSA-Lookup'!$H$1:$I$86,2),C4897),C4897)</f>
        <v>4480</v>
      </c>
      <c r="G4897" s="0" t="n">
        <f aca="false">VLOOKUP(E4897,'MSA-Lookup'!$AA$1:$AB$25,2)</f>
        <v>4472</v>
      </c>
      <c r="H4897" s="0" t="n">
        <f aca="false">IF(C4897&gt;1,IF(C4897&lt;99,VLOOKUP(F4897,'MSA-Lookup'!$AA$1:$AB$25,2),C4897),C4897)</f>
        <v>4472</v>
      </c>
    </row>
    <row r="4898" customFormat="false" ht="12.75" hidden="false" customHeight="false" outlineLevel="0" collapsed="false">
      <c r="A4898" s="0" t="n">
        <f aca="false">B4898*1000+C4898</f>
        <v>68059</v>
      </c>
      <c r="B4898" s="0" t="n">
        <v>68</v>
      </c>
      <c r="C4898" s="0" t="n">
        <v>59</v>
      </c>
      <c r="D4898" s="0" t="n">
        <v>455</v>
      </c>
      <c r="E4898" s="0" t="n">
        <f aca="false">VLOOKUP(B4898,'MSA-Lookup'!$H$2:$I$86,2)</f>
        <v>6780</v>
      </c>
      <c r="F4898" s="0" t="n">
        <f aca="false">IF(C4898&gt;1,IF(C4898&lt;99,VLOOKUP(C4898,'MSA-Lookup'!$H$1:$I$86,2),C4898),C4898)</f>
        <v>4480</v>
      </c>
      <c r="G4898" s="0" t="n">
        <f aca="false">VLOOKUP(E4898,'MSA-Lookup'!$AA$1:$AB$25,2)</f>
        <v>4472</v>
      </c>
      <c r="H4898" s="0" t="n">
        <f aca="false">IF(C4898&gt;1,IF(C4898&lt;99,VLOOKUP(F4898,'MSA-Lookup'!$AA$1:$AB$25,2),C4898),C4898)</f>
        <v>4472</v>
      </c>
    </row>
    <row r="4899" customFormat="false" ht="12.75" hidden="false" customHeight="false" outlineLevel="0" collapsed="false">
      <c r="A4899" s="0" t="n">
        <f aca="false">B4899*1000+C4899</f>
        <v>68060</v>
      </c>
      <c r="B4899" s="0" t="n">
        <v>68</v>
      </c>
      <c r="C4899" s="0" t="n">
        <v>60</v>
      </c>
      <c r="D4899" s="0" t="n">
        <v>247</v>
      </c>
      <c r="E4899" s="0" t="n">
        <f aca="false">VLOOKUP(B4899,'MSA-Lookup'!$H$2:$I$86,2)</f>
        <v>6780</v>
      </c>
      <c r="F4899" s="0" t="n">
        <f aca="false">IF(C4899&gt;1,IF(C4899&lt;99,VLOOKUP(C4899,'MSA-Lookup'!$H$1:$I$86,2),C4899),C4899)</f>
        <v>4480</v>
      </c>
      <c r="G4899" s="0" t="n">
        <f aca="false">VLOOKUP(E4899,'MSA-Lookup'!$AA$1:$AB$25,2)</f>
        <v>4472</v>
      </c>
      <c r="H4899" s="0" t="n">
        <f aca="false">IF(C4899&gt;1,IF(C4899&lt;99,VLOOKUP(F4899,'MSA-Lookup'!$AA$1:$AB$25,2),C4899),C4899)</f>
        <v>4472</v>
      </c>
    </row>
    <row r="4900" customFormat="false" ht="12.75" hidden="false" customHeight="false" outlineLevel="0" collapsed="false">
      <c r="A4900" s="0" t="n">
        <f aca="false">B4900*1000+C4900</f>
        <v>68061</v>
      </c>
      <c r="B4900" s="0" t="n">
        <v>68</v>
      </c>
      <c r="C4900" s="0" t="n">
        <v>61</v>
      </c>
      <c r="D4900" s="0" t="n">
        <v>0</v>
      </c>
      <c r="E4900" s="0" t="n">
        <f aca="false">VLOOKUP(B4900,'MSA-Lookup'!$H$2:$I$86,2)</f>
        <v>6780</v>
      </c>
      <c r="F4900" s="0" t="n">
        <f aca="false">IF(C4900&gt;1,IF(C4900&lt;99,VLOOKUP(C4900,'MSA-Lookup'!$H$1:$I$86,2),C4900),C4900)</f>
        <v>4480</v>
      </c>
      <c r="G4900" s="0" t="n">
        <f aca="false">VLOOKUP(E4900,'MSA-Lookup'!$AA$1:$AB$25,2)</f>
        <v>4472</v>
      </c>
      <c r="H4900" s="0" t="n">
        <f aca="false">IF(C4900&gt;1,IF(C4900&lt;99,VLOOKUP(F4900,'MSA-Lookup'!$AA$1:$AB$25,2),C4900),C4900)</f>
        <v>4472</v>
      </c>
    </row>
    <row r="4901" customFormat="false" ht="12.75" hidden="false" customHeight="false" outlineLevel="0" collapsed="false">
      <c r="A4901" s="0" t="n">
        <f aca="false">B4901*1000+C4901</f>
        <v>68062</v>
      </c>
      <c r="B4901" s="0" t="n">
        <v>68</v>
      </c>
      <c r="C4901" s="0" t="n">
        <v>62</v>
      </c>
      <c r="D4901" s="0" t="n">
        <v>247</v>
      </c>
      <c r="E4901" s="0" t="n">
        <f aca="false">VLOOKUP(B4901,'MSA-Lookup'!$H$2:$I$86,2)</f>
        <v>6780</v>
      </c>
      <c r="F4901" s="0" t="n">
        <f aca="false">IF(C4901&gt;1,IF(C4901&lt;99,VLOOKUP(C4901,'MSA-Lookup'!$H$1:$I$86,2),C4901),C4901)</f>
        <v>4480</v>
      </c>
      <c r="G4901" s="0" t="n">
        <f aca="false">VLOOKUP(E4901,'MSA-Lookup'!$AA$1:$AB$25,2)</f>
        <v>4472</v>
      </c>
      <c r="H4901" s="0" t="n">
        <f aca="false">IF(C4901&gt;1,IF(C4901&lt;99,VLOOKUP(F4901,'MSA-Lookup'!$AA$1:$AB$25,2),C4901),C4901)</f>
        <v>4472</v>
      </c>
    </row>
    <row r="4902" customFormat="false" ht="12.75" hidden="false" customHeight="false" outlineLevel="0" collapsed="false">
      <c r="A4902" s="0" t="n">
        <f aca="false">B4902*1000+C4902</f>
        <v>68063</v>
      </c>
      <c r="B4902" s="0" t="n">
        <v>68</v>
      </c>
      <c r="C4902" s="0" t="n">
        <v>63</v>
      </c>
      <c r="D4902" s="0" t="n">
        <v>0</v>
      </c>
      <c r="E4902" s="0" t="n">
        <f aca="false">VLOOKUP(B4902,'MSA-Lookup'!$H$2:$I$86,2)</f>
        <v>6780</v>
      </c>
      <c r="F4902" s="0" t="n">
        <f aca="false">IF(C4902&gt;1,IF(C4902&lt;99,VLOOKUP(C4902,'MSA-Lookup'!$H$1:$I$86,2),C4902),C4902)</f>
        <v>4480</v>
      </c>
      <c r="G4902" s="0" t="n">
        <f aca="false">VLOOKUP(E4902,'MSA-Lookup'!$AA$1:$AB$25,2)</f>
        <v>4472</v>
      </c>
      <c r="H4902" s="0" t="n">
        <f aca="false">IF(C4902&gt;1,IF(C4902&lt;99,VLOOKUP(F4902,'MSA-Lookup'!$AA$1:$AB$25,2),C4902),C4902)</f>
        <v>4472</v>
      </c>
    </row>
    <row r="4903" customFormat="false" ht="12.75" hidden="false" customHeight="false" outlineLevel="0" collapsed="false">
      <c r="A4903" s="0" t="n">
        <f aca="false">B4903*1000+C4903</f>
        <v>68064</v>
      </c>
      <c r="B4903" s="0" t="n">
        <v>68</v>
      </c>
      <c r="C4903" s="0" t="n">
        <v>64</v>
      </c>
      <c r="D4903" s="0" t="n">
        <v>3120</v>
      </c>
      <c r="E4903" s="0" t="n">
        <f aca="false">VLOOKUP(B4903,'MSA-Lookup'!$H$2:$I$86,2)</f>
        <v>6780</v>
      </c>
      <c r="F4903" s="0" t="n">
        <f aca="false">IF(C4903&gt;1,IF(C4903&lt;99,VLOOKUP(C4903,'MSA-Lookup'!$H$1:$I$86,2),C4903),C4903)</f>
        <v>4480</v>
      </c>
      <c r="G4903" s="0" t="n">
        <f aca="false">VLOOKUP(E4903,'MSA-Lookup'!$AA$1:$AB$25,2)</f>
        <v>4472</v>
      </c>
      <c r="H4903" s="0" t="n">
        <f aca="false">IF(C4903&gt;1,IF(C4903&lt;99,VLOOKUP(F4903,'MSA-Lookup'!$AA$1:$AB$25,2),C4903),C4903)</f>
        <v>4472</v>
      </c>
    </row>
    <row r="4904" customFormat="false" ht="12.75" hidden="false" customHeight="false" outlineLevel="0" collapsed="false">
      <c r="A4904" s="0" t="n">
        <f aca="false">B4904*1000+C4904</f>
        <v>68065</v>
      </c>
      <c r="B4904" s="0" t="n">
        <v>68</v>
      </c>
      <c r="C4904" s="0" t="n">
        <v>65</v>
      </c>
      <c r="D4904" s="0" t="n">
        <v>1885</v>
      </c>
      <c r="E4904" s="0" t="n">
        <f aca="false">VLOOKUP(B4904,'MSA-Lookup'!$H$2:$I$86,2)</f>
        <v>6780</v>
      </c>
      <c r="F4904" s="0" t="n">
        <f aca="false">IF(C4904&gt;1,IF(C4904&lt;99,VLOOKUP(C4904,'MSA-Lookup'!$H$1:$I$86,2),C4904),C4904)</f>
        <v>4480</v>
      </c>
      <c r="G4904" s="0" t="n">
        <f aca="false">VLOOKUP(E4904,'MSA-Lookup'!$AA$1:$AB$25,2)</f>
        <v>4472</v>
      </c>
      <c r="H4904" s="0" t="n">
        <f aca="false">IF(C4904&gt;1,IF(C4904&lt;99,VLOOKUP(F4904,'MSA-Lookup'!$AA$1:$AB$25,2),C4904),C4904)</f>
        <v>4472</v>
      </c>
    </row>
    <row r="4905" customFormat="false" ht="12.75" hidden="false" customHeight="false" outlineLevel="0" collapsed="false">
      <c r="A4905" s="0" t="n">
        <f aca="false">B4905*1000+C4905</f>
        <v>68066</v>
      </c>
      <c r="B4905" s="0" t="n">
        <v>68</v>
      </c>
      <c r="C4905" s="0" t="n">
        <v>66</v>
      </c>
      <c r="D4905" s="0" t="n">
        <v>1495</v>
      </c>
      <c r="E4905" s="0" t="n">
        <f aca="false">VLOOKUP(B4905,'MSA-Lookup'!$H$2:$I$86,2)</f>
        <v>6780</v>
      </c>
      <c r="F4905" s="0" t="n">
        <f aca="false">IF(C4905&gt;1,IF(C4905&lt;99,VLOOKUP(C4905,'MSA-Lookup'!$H$1:$I$86,2),C4905),C4905)</f>
        <v>4480</v>
      </c>
      <c r="G4905" s="0" t="n">
        <f aca="false">VLOOKUP(E4905,'MSA-Lookup'!$AA$1:$AB$25,2)</f>
        <v>4472</v>
      </c>
      <c r="H4905" s="0" t="n">
        <f aca="false">IF(C4905&gt;1,IF(C4905&lt;99,VLOOKUP(F4905,'MSA-Lookup'!$AA$1:$AB$25,2),C4905),C4905)</f>
        <v>4472</v>
      </c>
    </row>
    <row r="4906" customFormat="false" ht="12.75" hidden="false" customHeight="false" outlineLevel="0" collapsed="false">
      <c r="A4906" s="0" t="n">
        <f aca="false">B4906*1000+C4906</f>
        <v>68067</v>
      </c>
      <c r="B4906" s="0" t="n">
        <v>68</v>
      </c>
      <c r="C4906" s="0" t="n">
        <v>67</v>
      </c>
      <c r="D4906" s="0" t="n">
        <v>0</v>
      </c>
      <c r="E4906" s="0" t="n">
        <f aca="false">VLOOKUP(B4906,'MSA-Lookup'!$H$2:$I$86,2)</f>
        <v>6780</v>
      </c>
      <c r="F4906" s="0" t="n">
        <f aca="false">IF(C4906&gt;1,IF(C4906&lt;99,VLOOKUP(C4906,'MSA-Lookup'!$H$1:$I$86,2),C4906),C4906)</f>
        <v>6000</v>
      </c>
      <c r="G4906" s="0" t="n">
        <f aca="false">VLOOKUP(E4906,'MSA-Lookup'!$AA$1:$AB$25,2)</f>
        <v>4472</v>
      </c>
      <c r="H4906" s="0" t="n">
        <f aca="false">IF(C4906&gt;1,IF(C4906&lt;99,VLOOKUP(F4906,'MSA-Lookup'!$AA$1:$AB$25,2),C4906),C4906)</f>
        <v>4472</v>
      </c>
    </row>
    <row r="4907" customFormat="false" ht="12.75" hidden="false" customHeight="false" outlineLevel="0" collapsed="false">
      <c r="A4907" s="0" t="n">
        <f aca="false">B4907*1000+C4907</f>
        <v>68068</v>
      </c>
      <c r="B4907" s="0" t="n">
        <v>68</v>
      </c>
      <c r="C4907" s="0" t="n">
        <v>68</v>
      </c>
      <c r="D4907" s="0" t="n">
        <v>12935</v>
      </c>
      <c r="E4907" s="0" t="n">
        <f aca="false">VLOOKUP(B4907,'MSA-Lookup'!$H$2:$I$86,2)</f>
        <v>6780</v>
      </c>
      <c r="F4907" s="0" t="n">
        <f aca="false">IF(C4907&gt;1,IF(C4907&lt;99,VLOOKUP(C4907,'MSA-Lookup'!$H$1:$I$86,2),C4907),C4907)</f>
        <v>6780</v>
      </c>
      <c r="G4907" s="0" t="n">
        <f aca="false">VLOOKUP(E4907,'MSA-Lookup'!$AA$1:$AB$25,2)</f>
        <v>4472</v>
      </c>
      <c r="H4907" s="0" t="n">
        <f aca="false">IF(C4907&gt;1,IF(C4907&lt;99,VLOOKUP(F4907,'MSA-Lookup'!$AA$1:$AB$25,2),C4907),C4907)</f>
        <v>4472</v>
      </c>
    </row>
    <row r="4908" customFormat="false" ht="12.75" hidden="false" customHeight="false" outlineLevel="0" collapsed="false">
      <c r="A4908" s="0" t="n">
        <f aca="false">B4908*1000+C4908</f>
        <v>68069</v>
      </c>
      <c r="B4908" s="0" t="n">
        <v>68</v>
      </c>
      <c r="C4908" s="0" t="n">
        <v>69</v>
      </c>
      <c r="D4908" s="0" t="n">
        <v>8320</v>
      </c>
      <c r="E4908" s="0" t="n">
        <f aca="false">VLOOKUP(B4908,'MSA-Lookup'!$H$2:$I$86,2)</f>
        <v>6780</v>
      </c>
      <c r="F4908" s="0" t="n">
        <f aca="false">IF(C4908&gt;1,IF(C4908&lt;99,VLOOKUP(C4908,'MSA-Lookup'!$H$1:$I$86,2),C4908),C4908)</f>
        <v>6780</v>
      </c>
      <c r="G4908" s="0" t="n">
        <f aca="false">VLOOKUP(E4908,'MSA-Lookup'!$AA$1:$AB$25,2)</f>
        <v>4472</v>
      </c>
      <c r="H4908" s="0" t="n">
        <f aca="false">IF(C4908&gt;1,IF(C4908&lt;99,VLOOKUP(F4908,'MSA-Lookup'!$AA$1:$AB$25,2),C4908),C4908)</f>
        <v>4472</v>
      </c>
    </row>
    <row r="4909" customFormat="false" ht="12.75" hidden="false" customHeight="false" outlineLevel="0" collapsed="false">
      <c r="A4909" s="0" t="n">
        <f aca="false">B4909*1000+C4909</f>
        <v>68070</v>
      </c>
      <c r="B4909" s="0" t="n">
        <v>68</v>
      </c>
      <c r="C4909" s="0" t="n">
        <v>70</v>
      </c>
      <c r="D4909" s="0" t="n">
        <v>338</v>
      </c>
      <c r="E4909" s="0" t="n">
        <f aca="false">VLOOKUP(B4909,'MSA-Lookup'!$H$2:$I$86,2)</f>
        <v>6780</v>
      </c>
      <c r="F4909" s="0" t="n">
        <f aca="false">IF(C4909&gt;1,IF(C4909&lt;99,VLOOKUP(C4909,'MSA-Lookup'!$H$1:$I$86,2),C4909),C4909)</f>
        <v>6780</v>
      </c>
      <c r="G4909" s="0" t="n">
        <f aca="false">VLOOKUP(E4909,'MSA-Lookup'!$AA$1:$AB$25,2)</f>
        <v>4472</v>
      </c>
      <c r="H4909" s="0" t="n">
        <f aca="false">IF(C4909&gt;1,IF(C4909&lt;99,VLOOKUP(F4909,'MSA-Lookup'!$AA$1:$AB$25,2),C4909),C4909)</f>
        <v>4472</v>
      </c>
    </row>
    <row r="4910" customFormat="false" ht="12.75" hidden="false" customHeight="false" outlineLevel="0" collapsed="false">
      <c r="A4910" s="0" t="n">
        <f aca="false">B4910*1000+C4910</f>
        <v>68071</v>
      </c>
      <c r="B4910" s="0" t="n">
        <v>68</v>
      </c>
      <c r="C4910" s="0" t="n">
        <v>71</v>
      </c>
      <c r="D4910" s="0" t="n">
        <v>1222</v>
      </c>
      <c r="E4910" s="0" t="n">
        <f aca="false">VLOOKUP(B4910,'MSA-Lookup'!$H$2:$I$86,2)</f>
        <v>6780</v>
      </c>
      <c r="F4910" s="0" t="n">
        <f aca="false">IF(C4910&gt;1,IF(C4910&lt;99,VLOOKUP(C4910,'MSA-Lookup'!$H$1:$I$86,2),C4910),C4910)</f>
        <v>6780</v>
      </c>
      <c r="G4910" s="0" t="n">
        <f aca="false">VLOOKUP(E4910,'MSA-Lookup'!$AA$1:$AB$25,2)</f>
        <v>4472</v>
      </c>
      <c r="H4910" s="0" t="n">
        <f aca="false">IF(C4910&gt;1,IF(C4910&lt;99,VLOOKUP(F4910,'MSA-Lookup'!$AA$1:$AB$25,2),C4910),C4910)</f>
        <v>4472</v>
      </c>
    </row>
    <row r="4911" customFormat="false" ht="12.75" hidden="false" customHeight="false" outlineLevel="0" collapsed="false">
      <c r="A4911" s="0" t="n">
        <f aca="false">B4911*1000+C4911</f>
        <v>68072</v>
      </c>
      <c r="B4911" s="0" t="n">
        <v>68</v>
      </c>
      <c r="C4911" s="0" t="n">
        <v>72</v>
      </c>
      <c r="D4911" s="0" t="n">
        <v>3796</v>
      </c>
      <c r="E4911" s="0" t="n">
        <f aca="false">VLOOKUP(B4911,'MSA-Lookup'!$H$2:$I$86,2)</f>
        <v>6780</v>
      </c>
      <c r="F4911" s="0" t="n">
        <f aca="false">IF(C4911&gt;1,IF(C4911&lt;99,VLOOKUP(C4911,'MSA-Lookup'!$H$1:$I$86,2),C4911),C4911)</f>
        <v>6780</v>
      </c>
      <c r="G4911" s="0" t="n">
        <f aca="false">VLOOKUP(E4911,'MSA-Lookup'!$AA$1:$AB$25,2)</f>
        <v>4472</v>
      </c>
      <c r="H4911" s="0" t="n">
        <f aca="false">IF(C4911&gt;1,IF(C4911&lt;99,VLOOKUP(F4911,'MSA-Lookup'!$AA$1:$AB$25,2),C4911),C4911)</f>
        <v>4472</v>
      </c>
    </row>
    <row r="4912" customFormat="false" ht="12.75" hidden="false" customHeight="false" outlineLevel="0" collapsed="false">
      <c r="A4912" s="0" t="n">
        <f aca="false">B4912*1000+C4912</f>
        <v>68073</v>
      </c>
      <c r="B4912" s="0" t="n">
        <v>68</v>
      </c>
      <c r="C4912" s="0" t="n">
        <v>73</v>
      </c>
      <c r="D4912" s="0" t="n">
        <v>0</v>
      </c>
      <c r="E4912" s="0" t="n">
        <f aca="false">VLOOKUP(B4912,'MSA-Lookup'!$H$2:$I$86,2)</f>
        <v>6780</v>
      </c>
      <c r="F4912" s="0" t="n">
        <f aca="false">IF(C4912&gt;1,IF(C4912&lt;99,VLOOKUP(C4912,'MSA-Lookup'!$H$1:$I$86,2),C4912),C4912)</f>
        <v>8720</v>
      </c>
      <c r="G4912" s="0" t="n">
        <f aca="false">VLOOKUP(E4912,'MSA-Lookup'!$AA$1:$AB$25,2)</f>
        <v>4472</v>
      </c>
      <c r="H4912" s="0" t="n">
        <f aca="false">IF(C4912&gt;1,IF(C4912&lt;99,VLOOKUP(F4912,'MSA-Lookup'!$AA$1:$AB$25,2),C4912),C4912)</f>
        <v>7362</v>
      </c>
    </row>
    <row r="4913" customFormat="false" ht="12.75" hidden="false" customHeight="false" outlineLevel="0" collapsed="false">
      <c r="A4913" s="0" t="n">
        <f aca="false">B4913*1000+C4913</f>
        <v>68075</v>
      </c>
      <c r="B4913" s="0" t="n">
        <v>68</v>
      </c>
      <c r="C4913" s="0" t="n">
        <v>75</v>
      </c>
      <c r="D4913" s="0" t="n">
        <v>0</v>
      </c>
      <c r="E4913" s="0" t="n">
        <f aca="false">VLOOKUP(B4913,'MSA-Lookup'!$H$2:$I$86,2)</f>
        <v>6780</v>
      </c>
      <c r="F4913" s="0" t="n">
        <f aca="false">IF(C4913&gt;1,IF(C4913&lt;99,VLOOKUP(C4913,'MSA-Lookup'!$H$1:$I$86,2),C4913),C4913)</f>
        <v>8780</v>
      </c>
      <c r="G4913" s="0" t="n">
        <f aca="false">VLOOKUP(E4913,'MSA-Lookup'!$AA$1:$AB$25,2)</f>
        <v>4472</v>
      </c>
      <c r="H4913" s="0" t="n">
        <f aca="false">IF(C4913&gt;1,IF(C4913&lt;99,VLOOKUP(F4913,'MSA-Lookup'!$AA$1:$AB$25,2),C4913),C4913)</f>
        <v>8780</v>
      </c>
    </row>
    <row r="4914" customFormat="false" ht="12.75" hidden="false" customHeight="false" outlineLevel="0" collapsed="false">
      <c r="A4914" s="0" t="n">
        <f aca="false">B4914*1000+C4914</f>
        <v>68076</v>
      </c>
      <c r="B4914" s="0" t="n">
        <v>68</v>
      </c>
      <c r="C4914" s="0" t="n">
        <v>76</v>
      </c>
      <c r="D4914" s="0" t="n">
        <v>0</v>
      </c>
      <c r="E4914" s="0" t="n">
        <f aca="false">VLOOKUP(B4914,'MSA-Lookup'!$H$2:$I$86,2)</f>
        <v>6780</v>
      </c>
      <c r="F4914" s="0" t="n">
        <f aca="false">IF(C4914&gt;1,IF(C4914&lt;99,VLOOKUP(C4914,'MSA-Lookup'!$H$1:$I$86,2),C4914),C4914)</f>
        <v>7485</v>
      </c>
      <c r="G4914" s="0" t="n">
        <f aca="false">VLOOKUP(E4914,'MSA-Lookup'!$AA$1:$AB$25,2)</f>
        <v>4472</v>
      </c>
      <c r="H4914" s="0" t="n">
        <f aca="false">IF(C4914&gt;1,IF(C4914&lt;99,VLOOKUP(F4914,'MSA-Lookup'!$AA$1:$AB$25,2),C4914),C4914)</f>
        <v>7362</v>
      </c>
    </row>
    <row r="4915" customFormat="false" ht="12.75" hidden="false" customHeight="false" outlineLevel="0" collapsed="false">
      <c r="A4915" s="0" t="n">
        <f aca="false">B4915*1000+C4915</f>
        <v>68077</v>
      </c>
      <c r="B4915" s="0" t="n">
        <v>68</v>
      </c>
      <c r="C4915" s="0" t="n">
        <v>77</v>
      </c>
      <c r="D4915" s="0" t="n">
        <v>0</v>
      </c>
      <c r="E4915" s="0" t="n">
        <f aca="false">VLOOKUP(B4915,'MSA-Lookup'!$H$2:$I$86,2)</f>
        <v>6780</v>
      </c>
      <c r="F4915" s="0" t="n">
        <f aca="false">IF(C4915&gt;1,IF(C4915&lt;99,VLOOKUP(C4915,'MSA-Lookup'!$H$1:$I$86,2),C4915),C4915)</f>
        <v>9999</v>
      </c>
      <c r="G4915" s="0" t="n">
        <f aca="false">VLOOKUP(E4915,'MSA-Lookup'!$AA$1:$AB$25,2)</f>
        <v>4472</v>
      </c>
      <c r="H4915" s="0" t="n">
        <f aca="false">IF(C4915&gt;1,IF(C4915&lt;99,VLOOKUP(F4915,'MSA-Lookup'!$AA$1:$AB$25,2),C4915),C4915)</f>
        <v>9999</v>
      </c>
    </row>
    <row r="4916" customFormat="false" ht="12.75" hidden="false" customHeight="false" outlineLevel="0" collapsed="false">
      <c r="A4916" s="0" t="n">
        <f aca="false">B4916*1000+C4916</f>
        <v>68078</v>
      </c>
      <c r="B4916" s="0" t="n">
        <v>68</v>
      </c>
      <c r="C4916" s="0" t="n">
        <v>78</v>
      </c>
      <c r="D4916" s="0" t="n">
        <v>0</v>
      </c>
      <c r="E4916" s="0" t="n">
        <f aca="false">VLOOKUP(B4916,'MSA-Lookup'!$H$2:$I$86,2)</f>
        <v>6780</v>
      </c>
      <c r="F4916" s="0" t="n">
        <f aca="false">IF(C4916&gt;1,IF(C4916&lt;99,VLOOKUP(C4916,'MSA-Lookup'!$H$1:$I$86,2),C4916),C4916)</f>
        <v>680</v>
      </c>
      <c r="G4916" s="0" t="n">
        <f aca="false">VLOOKUP(E4916,'MSA-Lookup'!$AA$1:$AB$25,2)</f>
        <v>4472</v>
      </c>
      <c r="H4916" s="0" t="n">
        <f aca="false">IF(C4916&gt;1,IF(C4916&lt;99,VLOOKUP(F4916,'MSA-Lookup'!$AA$1:$AB$25,2),C4916),C4916)</f>
        <v>680</v>
      </c>
    </row>
    <row r="4917" customFormat="false" ht="12.75" hidden="false" customHeight="false" outlineLevel="0" collapsed="false">
      <c r="A4917" s="0" t="n">
        <f aca="false">B4917*1000+C4917</f>
        <v>68079</v>
      </c>
      <c r="B4917" s="0" t="n">
        <v>68</v>
      </c>
      <c r="C4917" s="0" t="n">
        <v>79</v>
      </c>
      <c r="D4917" s="0" t="n">
        <v>0</v>
      </c>
      <c r="E4917" s="0" t="n">
        <f aca="false">VLOOKUP(B4917,'MSA-Lookup'!$H$2:$I$86,2)</f>
        <v>6780</v>
      </c>
      <c r="F4917" s="0" t="n">
        <f aca="false">IF(C4917&gt;1,IF(C4917&lt;99,VLOOKUP(C4917,'MSA-Lookup'!$H$1:$I$86,2),C4917),C4917)</f>
        <v>680</v>
      </c>
      <c r="G4917" s="0" t="n">
        <f aca="false">VLOOKUP(E4917,'MSA-Lookup'!$AA$1:$AB$25,2)</f>
        <v>4472</v>
      </c>
      <c r="H4917" s="0" t="n">
        <f aca="false">IF(C4917&gt;1,IF(C4917&lt;99,VLOOKUP(F4917,'MSA-Lookup'!$AA$1:$AB$25,2),C4917),C4917)</f>
        <v>680</v>
      </c>
    </row>
    <row r="4918" customFormat="false" ht="12.75" hidden="false" customHeight="false" outlineLevel="0" collapsed="false">
      <c r="A4918" s="0" t="n">
        <f aca="false">B4918*1000+C4918</f>
        <v>68080</v>
      </c>
      <c r="B4918" s="0" t="n">
        <v>68</v>
      </c>
      <c r="C4918" s="0" t="n">
        <v>80</v>
      </c>
      <c r="D4918" s="0" t="n">
        <v>0</v>
      </c>
      <c r="E4918" s="0" t="n">
        <f aca="false">VLOOKUP(B4918,'MSA-Lookup'!$H$2:$I$86,2)</f>
        <v>6780</v>
      </c>
      <c r="F4918" s="0" t="n">
        <f aca="false">IF(C4918&gt;1,IF(C4918&lt;99,VLOOKUP(C4918,'MSA-Lookup'!$H$1:$I$86,2),C4918),C4918)</f>
        <v>9999</v>
      </c>
      <c r="G4918" s="0" t="n">
        <f aca="false">VLOOKUP(E4918,'MSA-Lookup'!$AA$1:$AB$25,2)</f>
        <v>4472</v>
      </c>
      <c r="H4918" s="0" t="n">
        <f aca="false">IF(C4918&gt;1,IF(C4918&lt;99,VLOOKUP(F4918,'MSA-Lookup'!$AA$1:$AB$25,2),C4918),C4918)</f>
        <v>9999</v>
      </c>
    </row>
    <row r="4919" customFormat="false" ht="12.75" hidden="false" customHeight="false" outlineLevel="0" collapsed="false">
      <c r="A4919" s="0" t="n">
        <f aca="false">B4919*1000+C4919</f>
        <v>68081</v>
      </c>
      <c r="B4919" s="0" t="n">
        <v>68</v>
      </c>
      <c r="C4919" s="0" t="n">
        <v>81</v>
      </c>
      <c r="D4919" s="0" t="n">
        <v>8450</v>
      </c>
      <c r="E4919" s="0" t="n">
        <f aca="false">VLOOKUP(B4919,'MSA-Lookup'!$H$2:$I$86,2)</f>
        <v>6780</v>
      </c>
      <c r="F4919" s="0" t="n">
        <f aca="false">IF(C4919&gt;1,IF(C4919&lt;99,VLOOKUP(C4919,'MSA-Lookup'!$H$1:$I$86,2),C4919),C4919)</f>
        <v>6780</v>
      </c>
      <c r="G4919" s="0" t="n">
        <f aca="false">VLOOKUP(E4919,'MSA-Lookup'!$AA$1:$AB$25,2)</f>
        <v>4472</v>
      </c>
      <c r="H4919" s="0" t="n">
        <f aca="false">IF(C4919&gt;1,IF(C4919&lt;99,VLOOKUP(F4919,'MSA-Lookup'!$AA$1:$AB$25,2),C4919),C4919)</f>
        <v>4472</v>
      </c>
    </row>
    <row r="4920" customFormat="false" ht="12.75" hidden="false" customHeight="false" outlineLevel="0" collapsed="false">
      <c r="A4920" s="0" t="n">
        <f aca="false">B4920*1000+C4920</f>
        <v>68082</v>
      </c>
      <c r="B4920" s="0" t="n">
        <v>68</v>
      </c>
      <c r="C4920" s="0" t="n">
        <v>82</v>
      </c>
      <c r="D4920" s="0" t="n">
        <v>2301</v>
      </c>
      <c r="E4920" s="0" t="n">
        <f aca="false">VLOOKUP(B4920,'MSA-Lookup'!$H$2:$I$86,2)</f>
        <v>6780</v>
      </c>
      <c r="F4920" s="0" t="n">
        <f aca="false">IF(C4920&gt;1,IF(C4920&lt;99,VLOOKUP(C4920,'MSA-Lookup'!$H$1:$I$86,2),C4920),C4920)</f>
        <v>6780</v>
      </c>
      <c r="G4920" s="0" t="n">
        <f aca="false">VLOOKUP(E4920,'MSA-Lookup'!$AA$1:$AB$25,2)</f>
        <v>4472</v>
      </c>
      <c r="H4920" s="0" t="n">
        <f aca="false">IF(C4920&gt;1,IF(C4920&lt;99,VLOOKUP(F4920,'MSA-Lookup'!$AA$1:$AB$25,2),C4920),C4920)</f>
        <v>4472</v>
      </c>
    </row>
    <row r="4921" customFormat="false" ht="12.75" hidden="false" customHeight="false" outlineLevel="0" collapsed="false">
      <c r="A4921" s="0" t="n">
        <f aca="false">B4921*1000+C4921</f>
        <v>68083</v>
      </c>
      <c r="B4921" s="0" t="n">
        <v>68</v>
      </c>
      <c r="C4921" s="0" t="n">
        <v>83</v>
      </c>
      <c r="D4921" s="0" t="n">
        <v>0</v>
      </c>
      <c r="E4921" s="0" t="n">
        <f aca="false">VLOOKUP(B4921,'MSA-Lookup'!$H$2:$I$86,2)</f>
        <v>6780</v>
      </c>
      <c r="F4921" s="0" t="n">
        <f aca="false">IF(C4921&gt;1,IF(C4921&lt;99,VLOOKUP(C4921,'MSA-Lookup'!$H$1:$I$86,2),C4921),C4921)</f>
        <v>6000</v>
      </c>
      <c r="G4921" s="0" t="n">
        <f aca="false">VLOOKUP(E4921,'MSA-Lookup'!$AA$1:$AB$25,2)</f>
        <v>4472</v>
      </c>
      <c r="H4921" s="0" t="n">
        <f aca="false">IF(C4921&gt;1,IF(C4921&lt;99,VLOOKUP(F4921,'MSA-Lookup'!$AA$1:$AB$25,2),C4921),C4921)</f>
        <v>4472</v>
      </c>
    </row>
    <row r="4922" customFormat="false" ht="12.75" hidden="false" customHeight="false" outlineLevel="0" collapsed="false">
      <c r="A4922" s="0" t="n">
        <f aca="false">B4922*1000+C4922</f>
        <v>68084</v>
      </c>
      <c r="B4922" s="0" t="n">
        <v>68</v>
      </c>
      <c r="C4922" s="0" t="n">
        <v>84</v>
      </c>
      <c r="D4922" s="0" t="n">
        <v>962</v>
      </c>
      <c r="E4922" s="0" t="n">
        <f aca="false">VLOOKUP(B4922,'MSA-Lookup'!$H$2:$I$86,2)</f>
        <v>6780</v>
      </c>
      <c r="F4922" s="0" t="n">
        <f aca="false">IF(C4922&gt;1,IF(C4922&lt;99,VLOOKUP(C4922,'MSA-Lookup'!$H$1:$I$86,2),C4922),C4922)</f>
        <v>360</v>
      </c>
      <c r="G4922" s="0" t="n">
        <f aca="false">VLOOKUP(E4922,'MSA-Lookup'!$AA$1:$AB$25,2)</f>
        <v>4472</v>
      </c>
      <c r="H4922" s="0" t="n">
        <f aca="false">IF(C4922&gt;1,IF(C4922&lt;99,VLOOKUP(F4922,'MSA-Lookup'!$AA$1:$AB$25,2),C4922),C4922)</f>
        <v>4472</v>
      </c>
    </row>
    <row r="4923" customFormat="false" ht="12.75" hidden="false" customHeight="false" outlineLevel="0" collapsed="false">
      <c r="A4923" s="0" t="n">
        <f aca="false">B4923*1000+C4923</f>
        <v>68085</v>
      </c>
      <c r="B4923" s="0" t="n">
        <v>68</v>
      </c>
      <c r="C4923" s="0" t="n">
        <v>85</v>
      </c>
      <c r="D4923" s="0" t="n">
        <v>0</v>
      </c>
      <c r="E4923" s="0" t="n">
        <f aca="false">VLOOKUP(B4923,'MSA-Lookup'!$H$2:$I$86,2)</f>
        <v>6780</v>
      </c>
      <c r="F4923" s="0" t="n">
        <f aca="false">IF(C4923&gt;1,IF(C4923&lt;99,VLOOKUP(C4923,'MSA-Lookup'!$H$1:$I$86,2),C4923),C4923)</f>
        <v>8120</v>
      </c>
      <c r="G4923" s="0" t="n">
        <f aca="false">VLOOKUP(E4923,'MSA-Lookup'!$AA$1:$AB$25,2)</f>
        <v>4472</v>
      </c>
      <c r="H4923" s="0" t="n">
        <f aca="false">IF(C4923&gt;1,IF(C4923&lt;99,VLOOKUP(F4923,'MSA-Lookup'!$AA$1:$AB$25,2),C4923),C4923)</f>
        <v>8120</v>
      </c>
    </row>
    <row r="4924" customFormat="false" ht="12.75" hidden="false" customHeight="false" outlineLevel="0" collapsed="false">
      <c r="A4924" s="0" t="n">
        <f aca="false">B4924*1000+C4924</f>
        <v>68858</v>
      </c>
      <c r="B4924" s="0" t="n">
        <v>68</v>
      </c>
      <c r="C4924" s="0" t="n">
        <v>858</v>
      </c>
      <c r="D4924" s="0" t="n">
        <v>0</v>
      </c>
      <c r="E4924" s="0" t="n">
        <f aca="false">VLOOKUP(B4924,'MSA-Lookup'!$H$2:$I$86,2)</f>
        <v>6780</v>
      </c>
      <c r="F4924" s="0" t="n">
        <f aca="false">IF(C4924&gt;1,IF(C4924&lt;99,VLOOKUP(C4924,'MSA-Lookup'!$H$1:$I$86,2),C4924),C4924)</f>
        <v>858</v>
      </c>
      <c r="G4924" s="0" t="n">
        <f aca="false">VLOOKUP(E4924,'MSA-Lookup'!$AA$1:$AB$25,2)</f>
        <v>4472</v>
      </c>
      <c r="H4924" s="0" t="n">
        <f aca="false">IF(C4924&gt;1,IF(C4924&lt;99,VLOOKUP(F4924,'MSA-Lookup'!$AA$1:$AB$25,2),C4924),C4924)</f>
        <v>858</v>
      </c>
    </row>
    <row r="4925" customFormat="false" ht="12.75" hidden="false" customHeight="false" outlineLevel="0" collapsed="false">
      <c r="A4925" s="0" t="n">
        <f aca="false">B4925*1000+C4925</f>
        <v>68983</v>
      </c>
      <c r="B4925" s="0" t="n">
        <v>68</v>
      </c>
      <c r="C4925" s="0" t="n">
        <v>983</v>
      </c>
      <c r="D4925" s="0" t="n">
        <v>0</v>
      </c>
      <c r="E4925" s="0" t="n">
        <f aca="false">VLOOKUP(B4925,'MSA-Lookup'!$H$2:$I$86,2)</f>
        <v>6780</v>
      </c>
      <c r="F4925" s="0" t="n">
        <f aca="false">IF(C4925&gt;1,IF(C4925&lt;99,VLOOKUP(C4925,'MSA-Lookup'!$H$1:$I$86,2),C4925),C4925)</f>
        <v>983</v>
      </c>
      <c r="G4925" s="0" t="n">
        <f aca="false">VLOOKUP(E4925,'MSA-Lookup'!$AA$1:$AB$25,2)</f>
        <v>4472</v>
      </c>
      <c r="H4925" s="0" t="n">
        <f aca="false">IF(C4925&gt;1,IF(C4925&lt;99,VLOOKUP(F4925,'MSA-Lookup'!$AA$1:$AB$25,2),C4925),C4925)</f>
        <v>983</v>
      </c>
    </row>
    <row r="4926" customFormat="false" ht="12.75" hidden="false" customHeight="false" outlineLevel="0" collapsed="false">
      <c r="A4926" s="0" t="n">
        <f aca="false">B4926*1000+C4926</f>
        <v>68999</v>
      </c>
      <c r="B4926" s="0" t="n">
        <v>68</v>
      </c>
      <c r="C4926" s="0" t="n">
        <v>999</v>
      </c>
      <c r="D4926" s="0" t="n">
        <v>117</v>
      </c>
      <c r="E4926" s="0" t="n">
        <f aca="false">VLOOKUP(B4926,'MSA-Lookup'!$H$2:$I$86,2)</f>
        <v>6780</v>
      </c>
      <c r="F4926" s="0" t="n">
        <f aca="false">IF(C4926&gt;1,IF(C4926&lt;99,VLOOKUP(C4926,'MSA-Lookup'!$H$1:$I$86,2),C4926),C4926)</f>
        <v>999</v>
      </c>
      <c r="G4926" s="0" t="n">
        <f aca="false">VLOOKUP(E4926,'MSA-Lookup'!$AA$1:$AB$25,2)</f>
        <v>4472</v>
      </c>
      <c r="H4926" s="0" t="n">
        <f aca="false">IF(C4926&gt;1,IF(C4926&lt;99,VLOOKUP(F4926,'MSA-Lookup'!$AA$1:$AB$25,2),C4926),C4926)</f>
        <v>999</v>
      </c>
    </row>
    <row r="4927" customFormat="false" ht="12.75" hidden="false" customHeight="false" outlineLevel="0" collapsed="false">
      <c r="A4927" s="0" t="n">
        <f aca="false">B4927*1000+C4927</f>
        <v>69000</v>
      </c>
      <c r="B4927" s="0" t="n">
        <v>69</v>
      </c>
      <c r="C4927" s="0" t="n">
        <v>0</v>
      </c>
      <c r="D4927" s="0" t="n">
        <v>497731</v>
      </c>
      <c r="E4927" s="0" t="n">
        <f aca="false">VLOOKUP(B4927,'MSA-Lookup'!$H$2:$I$86,2)</f>
        <v>6780</v>
      </c>
      <c r="F4927" s="0" t="n">
        <f aca="false">IF(C4927&gt;1,IF(C4927&lt;99,VLOOKUP(C4927,'MSA-Lookup'!$H$1:$I$86,2),C4927),C4927)</f>
        <v>0</v>
      </c>
      <c r="G4927" s="0" t="n">
        <f aca="false">VLOOKUP(E4927,'MSA-Lookup'!$AA$1:$AB$25,2)</f>
        <v>4472</v>
      </c>
      <c r="H4927" s="0" t="n">
        <f aca="false">IF(C4927&gt;1,IF(C4927&lt;99,VLOOKUP(F4927,'MSA-Lookup'!$AA$1:$AB$25,2),C4927),C4927)</f>
        <v>0</v>
      </c>
    </row>
    <row r="4928" customFormat="false" ht="12.75" hidden="false" customHeight="false" outlineLevel="0" collapsed="false">
      <c r="A4928" s="0" t="n">
        <f aca="false">B4928*1000+C4928</f>
        <v>69001</v>
      </c>
      <c r="B4928" s="0" t="n">
        <v>69</v>
      </c>
      <c r="C4928" s="0" t="n">
        <v>1</v>
      </c>
      <c r="D4928" s="0" t="n">
        <v>247</v>
      </c>
      <c r="E4928" s="0" t="n">
        <f aca="false">VLOOKUP(B4928,'MSA-Lookup'!$H$2:$I$86,2)</f>
        <v>6780</v>
      </c>
      <c r="F4928" s="0" t="n">
        <f aca="false">IF(C4928&gt;1,IF(C4928&lt;99,VLOOKUP(C4928,'MSA-Lookup'!$H$1:$I$86,2),C4928),C4928)</f>
        <v>1</v>
      </c>
      <c r="G4928" s="0" t="n">
        <f aca="false">VLOOKUP(E4928,'MSA-Lookup'!$AA$1:$AB$25,2)</f>
        <v>4472</v>
      </c>
      <c r="H4928" s="0" t="n">
        <f aca="false">IF(C4928&gt;1,IF(C4928&lt;99,VLOOKUP(F4928,'MSA-Lookup'!$AA$1:$AB$25,2),C4928),C4928)</f>
        <v>1</v>
      </c>
    </row>
    <row r="4929" customFormat="false" ht="12.75" hidden="false" customHeight="false" outlineLevel="0" collapsed="false">
      <c r="A4929" s="0" t="n">
        <f aca="false">B4929*1000+C4929</f>
        <v>69002</v>
      </c>
      <c r="B4929" s="0" t="n">
        <v>69</v>
      </c>
      <c r="C4929" s="0" t="n">
        <v>2</v>
      </c>
      <c r="D4929" s="0" t="n">
        <v>247</v>
      </c>
      <c r="E4929" s="0" t="n">
        <f aca="false">VLOOKUP(B4929,'MSA-Lookup'!$H$2:$I$86,2)</f>
        <v>6780</v>
      </c>
      <c r="F4929" s="0" t="n">
        <f aca="false">IF(C4929&gt;1,IF(C4929&lt;99,VLOOKUP(C4929,'MSA-Lookup'!$H$1:$I$86,2),C4929),C4929)</f>
        <v>9999</v>
      </c>
      <c r="G4929" s="0" t="n">
        <f aca="false">VLOOKUP(E4929,'MSA-Lookup'!$AA$1:$AB$25,2)</f>
        <v>4472</v>
      </c>
      <c r="H4929" s="0" t="n">
        <f aca="false">IF(C4929&gt;1,IF(C4929&lt;99,VLOOKUP(F4929,'MSA-Lookup'!$AA$1:$AB$25,2),C4929),C4929)</f>
        <v>9999</v>
      </c>
    </row>
    <row r="4930" customFormat="false" ht="12.75" hidden="false" customHeight="false" outlineLevel="0" collapsed="false">
      <c r="A4930" s="0" t="n">
        <f aca="false">B4930*1000+C4930</f>
        <v>69003</v>
      </c>
      <c r="B4930" s="0" t="n">
        <v>69</v>
      </c>
      <c r="C4930" s="0" t="n">
        <v>3</v>
      </c>
      <c r="D4930" s="0" t="n">
        <v>260</v>
      </c>
      <c r="E4930" s="0" t="n">
        <f aca="false">VLOOKUP(B4930,'MSA-Lookup'!$H$2:$I$86,2)</f>
        <v>6780</v>
      </c>
      <c r="F4930" s="0" t="n">
        <f aca="false">IF(C4930&gt;1,IF(C4930&lt;99,VLOOKUP(C4930,'MSA-Lookup'!$H$1:$I$86,2),C4930),C4930)</f>
        <v>6690</v>
      </c>
      <c r="G4930" s="0" t="n">
        <f aca="false">VLOOKUP(E4930,'MSA-Lookup'!$AA$1:$AB$25,2)</f>
        <v>4472</v>
      </c>
      <c r="H4930" s="0" t="n">
        <f aca="false">IF(C4930&gt;1,IF(C4930&lt;99,VLOOKUP(F4930,'MSA-Lookup'!$AA$1:$AB$25,2),C4930),C4930)</f>
        <v>6690</v>
      </c>
    </row>
    <row r="4931" customFormat="false" ht="12.75" hidden="false" customHeight="false" outlineLevel="0" collapsed="false">
      <c r="A4931" s="0" t="n">
        <f aca="false">B4931*1000+C4931</f>
        <v>69004</v>
      </c>
      <c r="B4931" s="0" t="n">
        <v>69</v>
      </c>
      <c r="C4931" s="0" t="n">
        <v>4</v>
      </c>
      <c r="D4931" s="0" t="n">
        <v>39</v>
      </c>
      <c r="E4931" s="0" t="n">
        <f aca="false">VLOOKUP(B4931,'MSA-Lookup'!$H$2:$I$86,2)</f>
        <v>6780</v>
      </c>
      <c r="F4931" s="0" t="n">
        <f aca="false">IF(C4931&gt;1,IF(C4931&lt;99,VLOOKUP(C4931,'MSA-Lookup'!$H$1:$I$86,2),C4931),C4931)</f>
        <v>9999</v>
      </c>
      <c r="G4931" s="0" t="n">
        <f aca="false">VLOOKUP(E4931,'MSA-Lookup'!$AA$1:$AB$25,2)</f>
        <v>4472</v>
      </c>
      <c r="H4931" s="0" t="n">
        <f aca="false">IF(C4931&gt;1,IF(C4931&lt;99,VLOOKUP(F4931,'MSA-Lookup'!$AA$1:$AB$25,2),C4931),C4931)</f>
        <v>9999</v>
      </c>
    </row>
    <row r="4932" customFormat="false" ht="12.75" hidden="false" customHeight="false" outlineLevel="0" collapsed="false">
      <c r="A4932" s="0" t="n">
        <f aca="false">B4932*1000+C4932</f>
        <v>69005</v>
      </c>
      <c r="B4932" s="0" t="n">
        <v>69</v>
      </c>
      <c r="C4932" s="0" t="n">
        <v>5</v>
      </c>
      <c r="D4932" s="0" t="n">
        <v>0</v>
      </c>
      <c r="E4932" s="0" t="n">
        <f aca="false">VLOOKUP(B4932,'MSA-Lookup'!$H$2:$I$86,2)</f>
        <v>6780</v>
      </c>
      <c r="F4932" s="0" t="n">
        <f aca="false">IF(C4932&gt;1,IF(C4932&lt;99,VLOOKUP(C4932,'MSA-Lookup'!$H$1:$I$86,2),C4932),C4932)</f>
        <v>9999</v>
      </c>
      <c r="G4932" s="0" t="n">
        <f aca="false">VLOOKUP(E4932,'MSA-Lookup'!$AA$1:$AB$25,2)</f>
        <v>4472</v>
      </c>
      <c r="H4932" s="0" t="n">
        <f aca="false">IF(C4932&gt;1,IF(C4932&lt;99,VLOOKUP(F4932,'MSA-Lookup'!$AA$1:$AB$25,2),C4932),C4932)</f>
        <v>9999</v>
      </c>
    </row>
    <row r="4933" customFormat="false" ht="12.75" hidden="false" customHeight="false" outlineLevel="0" collapsed="false">
      <c r="A4933" s="0" t="n">
        <f aca="false">B4933*1000+C4933</f>
        <v>69006</v>
      </c>
      <c r="B4933" s="0" t="n">
        <v>69</v>
      </c>
      <c r="C4933" s="0" t="n">
        <v>6</v>
      </c>
      <c r="D4933" s="0" t="n">
        <v>0</v>
      </c>
      <c r="E4933" s="0" t="n">
        <f aca="false">VLOOKUP(B4933,'MSA-Lookup'!$H$2:$I$86,2)</f>
        <v>6780</v>
      </c>
      <c r="F4933" s="0" t="n">
        <f aca="false">IF(C4933&gt;1,IF(C4933&lt;99,VLOOKUP(C4933,'MSA-Lookup'!$H$1:$I$86,2),C4933),C4933)</f>
        <v>1620</v>
      </c>
      <c r="G4933" s="0" t="n">
        <f aca="false">VLOOKUP(E4933,'MSA-Lookup'!$AA$1:$AB$25,2)</f>
        <v>4472</v>
      </c>
      <c r="H4933" s="0" t="n">
        <f aca="false">IF(C4933&gt;1,IF(C4933&lt;99,VLOOKUP(F4933,'MSA-Lookup'!$AA$1:$AB$25,2),C4933),C4933)</f>
        <v>1620</v>
      </c>
    </row>
    <row r="4934" customFormat="false" ht="12.75" hidden="false" customHeight="false" outlineLevel="0" collapsed="false">
      <c r="A4934" s="0" t="n">
        <f aca="false">B4934*1000+C4934</f>
        <v>69007</v>
      </c>
      <c r="B4934" s="0" t="n">
        <v>69</v>
      </c>
      <c r="C4934" s="0" t="n">
        <v>7</v>
      </c>
      <c r="D4934" s="0" t="n">
        <v>104</v>
      </c>
      <c r="E4934" s="0" t="n">
        <f aca="false">VLOOKUP(B4934,'MSA-Lookup'!$H$2:$I$86,2)</f>
        <v>6780</v>
      </c>
      <c r="F4934" s="0" t="n">
        <f aca="false">IF(C4934&gt;1,IF(C4934&lt;99,VLOOKUP(C4934,'MSA-Lookup'!$H$1:$I$86,2),C4934),C4934)</f>
        <v>9999</v>
      </c>
      <c r="G4934" s="0" t="n">
        <f aca="false">VLOOKUP(E4934,'MSA-Lookup'!$AA$1:$AB$25,2)</f>
        <v>4472</v>
      </c>
      <c r="H4934" s="0" t="n">
        <f aca="false">IF(C4934&gt;1,IF(C4934&lt;99,VLOOKUP(F4934,'MSA-Lookup'!$AA$1:$AB$25,2),C4934),C4934)</f>
        <v>9999</v>
      </c>
    </row>
    <row r="4935" customFormat="false" ht="12.75" hidden="false" customHeight="false" outlineLevel="0" collapsed="false">
      <c r="A4935" s="0" t="n">
        <f aca="false">B4935*1000+C4935</f>
        <v>69008</v>
      </c>
      <c r="B4935" s="0" t="n">
        <v>69</v>
      </c>
      <c r="C4935" s="0" t="n">
        <v>8</v>
      </c>
      <c r="D4935" s="0" t="n">
        <v>0</v>
      </c>
      <c r="E4935" s="0" t="n">
        <f aca="false">VLOOKUP(B4935,'MSA-Lookup'!$H$2:$I$86,2)</f>
        <v>6780</v>
      </c>
      <c r="F4935" s="0" t="n">
        <f aca="false">IF(C4935&gt;1,IF(C4935&lt;99,VLOOKUP(C4935,'MSA-Lookup'!$H$1:$I$86,2),C4935),C4935)</f>
        <v>9340</v>
      </c>
      <c r="G4935" s="0" t="n">
        <f aca="false">VLOOKUP(E4935,'MSA-Lookup'!$AA$1:$AB$25,2)</f>
        <v>4472</v>
      </c>
      <c r="H4935" s="0" t="n">
        <f aca="false">IF(C4935&gt;1,IF(C4935&lt;99,VLOOKUP(F4935,'MSA-Lookup'!$AA$1:$AB$25,2),C4935),C4935)</f>
        <v>9340</v>
      </c>
    </row>
    <row r="4936" customFormat="false" ht="12.75" hidden="false" customHeight="false" outlineLevel="0" collapsed="false">
      <c r="A4936" s="0" t="n">
        <f aca="false">B4936*1000+C4936</f>
        <v>69009</v>
      </c>
      <c r="B4936" s="0" t="n">
        <v>69</v>
      </c>
      <c r="C4936" s="0" t="n">
        <v>9</v>
      </c>
      <c r="D4936" s="0" t="n">
        <v>104</v>
      </c>
      <c r="E4936" s="0" t="n">
        <f aca="false">VLOOKUP(B4936,'MSA-Lookup'!$H$2:$I$86,2)</f>
        <v>6780</v>
      </c>
      <c r="F4936" s="0" t="n">
        <f aca="false">IF(C4936&gt;1,IF(C4936&lt;99,VLOOKUP(C4936,'MSA-Lookup'!$H$1:$I$86,2),C4936),C4936)</f>
        <v>8720</v>
      </c>
      <c r="G4936" s="0" t="n">
        <f aca="false">VLOOKUP(E4936,'MSA-Lookup'!$AA$1:$AB$25,2)</f>
        <v>4472</v>
      </c>
      <c r="H4936" s="0" t="n">
        <f aca="false">IF(C4936&gt;1,IF(C4936&lt;99,VLOOKUP(F4936,'MSA-Lookup'!$AA$1:$AB$25,2),C4936),C4936)</f>
        <v>7362</v>
      </c>
    </row>
    <row r="4937" customFormat="false" ht="12.75" hidden="false" customHeight="false" outlineLevel="0" collapsed="false">
      <c r="A4937" s="0" t="n">
        <f aca="false">B4937*1000+C4937</f>
        <v>69010</v>
      </c>
      <c r="B4937" s="0" t="n">
        <v>69</v>
      </c>
      <c r="C4937" s="0" t="n">
        <v>10</v>
      </c>
      <c r="D4937" s="0" t="n">
        <v>130</v>
      </c>
      <c r="E4937" s="0" t="n">
        <f aca="false">VLOOKUP(B4937,'MSA-Lookup'!$H$2:$I$86,2)</f>
        <v>6780</v>
      </c>
      <c r="F4937" s="0" t="n">
        <f aca="false">IF(C4937&gt;1,IF(C4937&lt;99,VLOOKUP(C4937,'MSA-Lookup'!$H$1:$I$86,2),C4937),C4937)</f>
        <v>6920</v>
      </c>
      <c r="G4937" s="0" t="n">
        <f aca="false">VLOOKUP(E4937,'MSA-Lookup'!$AA$1:$AB$25,2)</f>
        <v>4472</v>
      </c>
      <c r="H4937" s="0" t="n">
        <f aca="false">IF(C4937&gt;1,IF(C4937&lt;99,VLOOKUP(F4937,'MSA-Lookup'!$AA$1:$AB$25,2),C4937),C4937)</f>
        <v>6920</v>
      </c>
    </row>
    <row r="4938" customFormat="false" ht="12.75" hidden="false" customHeight="false" outlineLevel="0" collapsed="false">
      <c r="A4938" s="0" t="n">
        <f aca="false">B4938*1000+C4938</f>
        <v>69011</v>
      </c>
      <c r="B4938" s="0" t="n">
        <v>69</v>
      </c>
      <c r="C4938" s="0" t="n">
        <v>11</v>
      </c>
      <c r="D4938" s="0" t="n">
        <v>0</v>
      </c>
      <c r="E4938" s="0" t="n">
        <f aca="false">VLOOKUP(B4938,'MSA-Lookup'!$H$2:$I$86,2)</f>
        <v>6780</v>
      </c>
      <c r="F4938" s="0" t="n">
        <f aca="false">IF(C4938&gt;1,IF(C4938&lt;99,VLOOKUP(C4938,'MSA-Lookup'!$H$1:$I$86,2),C4938),C4938)</f>
        <v>6920</v>
      </c>
      <c r="G4938" s="0" t="n">
        <f aca="false">VLOOKUP(E4938,'MSA-Lookup'!$AA$1:$AB$25,2)</f>
        <v>4472</v>
      </c>
      <c r="H4938" s="0" t="n">
        <f aca="false">IF(C4938&gt;1,IF(C4938&lt;99,VLOOKUP(F4938,'MSA-Lookup'!$AA$1:$AB$25,2),C4938),C4938)</f>
        <v>6920</v>
      </c>
    </row>
    <row r="4939" customFormat="false" ht="12.75" hidden="false" customHeight="false" outlineLevel="0" collapsed="false">
      <c r="A4939" s="0" t="n">
        <f aca="false">B4939*1000+C4939</f>
        <v>69012</v>
      </c>
      <c r="B4939" s="0" t="n">
        <v>69</v>
      </c>
      <c r="C4939" s="0" t="n">
        <v>12</v>
      </c>
      <c r="D4939" s="0" t="n">
        <v>0</v>
      </c>
      <c r="E4939" s="0" t="n">
        <f aca="false">VLOOKUP(B4939,'MSA-Lookup'!$H$2:$I$86,2)</f>
        <v>6780</v>
      </c>
      <c r="F4939" s="0" t="n">
        <f aca="false">IF(C4939&gt;1,IF(C4939&lt;99,VLOOKUP(C4939,'MSA-Lookup'!$H$1:$I$86,2),C4939),C4939)</f>
        <v>6920</v>
      </c>
      <c r="G4939" s="0" t="n">
        <f aca="false">VLOOKUP(E4939,'MSA-Lookup'!$AA$1:$AB$25,2)</f>
        <v>4472</v>
      </c>
      <c r="H4939" s="0" t="n">
        <f aca="false">IF(C4939&gt;1,IF(C4939&lt;99,VLOOKUP(F4939,'MSA-Lookup'!$AA$1:$AB$25,2),C4939),C4939)</f>
        <v>6920</v>
      </c>
    </row>
    <row r="4940" customFormat="false" ht="12.75" hidden="false" customHeight="false" outlineLevel="0" collapsed="false">
      <c r="A4940" s="0" t="n">
        <f aca="false">B4940*1000+C4940</f>
        <v>69013</v>
      </c>
      <c r="B4940" s="0" t="n">
        <v>69</v>
      </c>
      <c r="C4940" s="0" t="n">
        <v>13</v>
      </c>
      <c r="D4940" s="0" t="n">
        <v>0</v>
      </c>
      <c r="E4940" s="0" t="n">
        <f aca="false">VLOOKUP(B4940,'MSA-Lookup'!$H$2:$I$86,2)</f>
        <v>6780</v>
      </c>
      <c r="F4940" s="0" t="n">
        <f aca="false">IF(C4940&gt;1,IF(C4940&lt;99,VLOOKUP(C4940,'MSA-Lookup'!$H$1:$I$86,2),C4940),C4940)</f>
        <v>7500</v>
      </c>
      <c r="G4940" s="0" t="n">
        <f aca="false">VLOOKUP(E4940,'MSA-Lookup'!$AA$1:$AB$25,2)</f>
        <v>4472</v>
      </c>
      <c r="H4940" s="0" t="n">
        <f aca="false">IF(C4940&gt;1,IF(C4940&lt;99,VLOOKUP(F4940,'MSA-Lookup'!$AA$1:$AB$25,2),C4940),C4940)</f>
        <v>7362</v>
      </c>
    </row>
    <row r="4941" customFormat="false" ht="12.75" hidden="false" customHeight="false" outlineLevel="0" collapsed="false">
      <c r="A4941" s="0" t="n">
        <f aca="false">B4941*1000+C4941</f>
        <v>69014</v>
      </c>
      <c r="B4941" s="0" t="n">
        <v>69</v>
      </c>
      <c r="C4941" s="0" t="n">
        <v>14</v>
      </c>
      <c r="D4941" s="0" t="n">
        <v>0</v>
      </c>
      <c r="E4941" s="0" t="n">
        <f aca="false">VLOOKUP(B4941,'MSA-Lookup'!$H$2:$I$86,2)</f>
        <v>6780</v>
      </c>
      <c r="F4941" s="0" t="n">
        <f aca="false">IF(C4941&gt;1,IF(C4941&lt;99,VLOOKUP(C4941,'MSA-Lookup'!$H$1:$I$86,2),C4941),C4941)</f>
        <v>7500</v>
      </c>
      <c r="G4941" s="0" t="n">
        <f aca="false">VLOOKUP(E4941,'MSA-Lookup'!$AA$1:$AB$25,2)</f>
        <v>4472</v>
      </c>
      <c r="H4941" s="0" t="n">
        <f aca="false">IF(C4941&gt;1,IF(C4941&lt;99,VLOOKUP(F4941,'MSA-Lookup'!$AA$1:$AB$25,2),C4941),C4941)</f>
        <v>7362</v>
      </c>
    </row>
    <row r="4942" customFormat="false" ht="12.75" hidden="false" customHeight="false" outlineLevel="0" collapsed="false">
      <c r="A4942" s="0" t="n">
        <f aca="false">B4942*1000+C4942</f>
        <v>69015</v>
      </c>
      <c r="B4942" s="0" t="n">
        <v>69</v>
      </c>
      <c r="C4942" s="0" t="n">
        <v>15</v>
      </c>
      <c r="D4942" s="0" t="n">
        <v>0</v>
      </c>
      <c r="E4942" s="0" t="n">
        <f aca="false">VLOOKUP(B4942,'MSA-Lookup'!$H$2:$I$86,2)</f>
        <v>6780</v>
      </c>
      <c r="F4942" s="0" t="n">
        <f aca="false">IF(C4942&gt;1,IF(C4942&lt;99,VLOOKUP(C4942,'MSA-Lookup'!$H$1:$I$86,2),C4942),C4942)</f>
        <v>7360</v>
      </c>
      <c r="G4942" s="0" t="n">
        <f aca="false">VLOOKUP(E4942,'MSA-Lookup'!$AA$1:$AB$25,2)</f>
        <v>4472</v>
      </c>
      <c r="H4942" s="0" t="n">
        <f aca="false">IF(C4942&gt;1,IF(C4942&lt;99,VLOOKUP(F4942,'MSA-Lookup'!$AA$1:$AB$25,2),C4942),C4942)</f>
        <v>7362</v>
      </c>
    </row>
    <row r="4943" customFormat="false" ht="12.75" hidden="false" customHeight="false" outlineLevel="0" collapsed="false">
      <c r="A4943" s="0" t="n">
        <f aca="false">B4943*1000+C4943</f>
        <v>69016</v>
      </c>
      <c r="B4943" s="0" t="n">
        <v>69</v>
      </c>
      <c r="C4943" s="0" t="n">
        <v>16</v>
      </c>
      <c r="D4943" s="0" t="n">
        <v>0</v>
      </c>
      <c r="E4943" s="0" t="n">
        <f aca="false">VLOOKUP(B4943,'MSA-Lookup'!$H$2:$I$86,2)</f>
        <v>6780</v>
      </c>
      <c r="F4943" s="0" t="n">
        <f aca="false">IF(C4943&gt;1,IF(C4943&lt;99,VLOOKUP(C4943,'MSA-Lookup'!$H$1:$I$86,2),C4943),C4943)</f>
        <v>8720</v>
      </c>
      <c r="G4943" s="0" t="n">
        <f aca="false">VLOOKUP(E4943,'MSA-Lookup'!$AA$1:$AB$25,2)</f>
        <v>4472</v>
      </c>
      <c r="H4943" s="0" t="n">
        <f aca="false">IF(C4943&gt;1,IF(C4943&lt;99,VLOOKUP(F4943,'MSA-Lookup'!$AA$1:$AB$25,2),C4943),C4943)</f>
        <v>7362</v>
      </c>
    </row>
    <row r="4944" customFormat="false" ht="12.75" hidden="false" customHeight="false" outlineLevel="0" collapsed="false">
      <c r="A4944" s="0" t="n">
        <f aca="false">B4944*1000+C4944</f>
        <v>69017</v>
      </c>
      <c r="B4944" s="0" t="n">
        <v>69</v>
      </c>
      <c r="C4944" s="0" t="n">
        <v>17</v>
      </c>
      <c r="D4944" s="0" t="n">
        <v>0</v>
      </c>
      <c r="E4944" s="0" t="n">
        <f aca="false">VLOOKUP(B4944,'MSA-Lookup'!$H$2:$I$86,2)</f>
        <v>6780</v>
      </c>
      <c r="F4944" s="0" t="n">
        <f aca="false">IF(C4944&gt;1,IF(C4944&lt;99,VLOOKUP(C4944,'MSA-Lookup'!$H$1:$I$86,2),C4944),C4944)</f>
        <v>5775</v>
      </c>
      <c r="G4944" s="0" t="n">
        <f aca="false">VLOOKUP(E4944,'MSA-Lookup'!$AA$1:$AB$25,2)</f>
        <v>4472</v>
      </c>
      <c r="H4944" s="0" t="n">
        <f aca="false">IF(C4944&gt;1,IF(C4944&lt;99,VLOOKUP(F4944,'MSA-Lookup'!$AA$1:$AB$25,2),C4944),C4944)</f>
        <v>7362</v>
      </c>
    </row>
    <row r="4945" customFormat="false" ht="12.75" hidden="false" customHeight="false" outlineLevel="0" collapsed="false">
      <c r="A4945" s="0" t="n">
        <f aca="false">B4945*1000+C4945</f>
        <v>69018</v>
      </c>
      <c r="B4945" s="0" t="n">
        <v>69</v>
      </c>
      <c r="C4945" s="0" t="n">
        <v>18</v>
      </c>
      <c r="D4945" s="0" t="n">
        <v>0</v>
      </c>
      <c r="E4945" s="0" t="n">
        <f aca="false">VLOOKUP(B4945,'MSA-Lookup'!$H$2:$I$86,2)</f>
        <v>6780</v>
      </c>
      <c r="F4945" s="0" t="n">
        <f aca="false">IF(C4945&gt;1,IF(C4945&lt;99,VLOOKUP(C4945,'MSA-Lookup'!$H$1:$I$86,2),C4945),C4945)</f>
        <v>5775</v>
      </c>
      <c r="G4945" s="0" t="n">
        <f aca="false">VLOOKUP(E4945,'MSA-Lookup'!$AA$1:$AB$25,2)</f>
        <v>4472</v>
      </c>
      <c r="H4945" s="0" t="n">
        <f aca="false">IF(C4945&gt;1,IF(C4945&lt;99,VLOOKUP(F4945,'MSA-Lookup'!$AA$1:$AB$25,2),C4945),C4945)</f>
        <v>7362</v>
      </c>
    </row>
    <row r="4946" customFormat="false" ht="12.75" hidden="false" customHeight="false" outlineLevel="0" collapsed="false">
      <c r="A4946" s="0" t="n">
        <f aca="false">B4946*1000+C4946</f>
        <v>69019</v>
      </c>
      <c r="B4946" s="0" t="n">
        <v>69</v>
      </c>
      <c r="C4946" s="0" t="n">
        <v>19</v>
      </c>
      <c r="D4946" s="0" t="n">
        <v>0</v>
      </c>
      <c r="E4946" s="0" t="n">
        <f aca="false">VLOOKUP(B4946,'MSA-Lookup'!$H$2:$I$86,2)</f>
        <v>6780</v>
      </c>
      <c r="F4946" s="0" t="n">
        <f aca="false">IF(C4946&gt;1,IF(C4946&lt;99,VLOOKUP(C4946,'MSA-Lookup'!$H$1:$I$86,2),C4946),C4946)</f>
        <v>7360</v>
      </c>
      <c r="G4946" s="0" t="n">
        <f aca="false">VLOOKUP(E4946,'MSA-Lookup'!$AA$1:$AB$25,2)</f>
        <v>4472</v>
      </c>
      <c r="H4946" s="0" t="n">
        <f aca="false">IF(C4946&gt;1,IF(C4946&lt;99,VLOOKUP(F4946,'MSA-Lookup'!$AA$1:$AB$25,2),C4946),C4946)</f>
        <v>7362</v>
      </c>
    </row>
    <row r="4947" customFormat="false" ht="12.75" hidden="false" customHeight="false" outlineLevel="0" collapsed="false">
      <c r="A4947" s="0" t="n">
        <f aca="false">B4947*1000+C4947</f>
        <v>69020</v>
      </c>
      <c r="B4947" s="0" t="n">
        <v>69</v>
      </c>
      <c r="C4947" s="0" t="n">
        <v>20</v>
      </c>
      <c r="D4947" s="0" t="n">
        <v>0</v>
      </c>
      <c r="E4947" s="0" t="n">
        <f aca="false">VLOOKUP(B4947,'MSA-Lookup'!$H$2:$I$86,2)</f>
        <v>6780</v>
      </c>
      <c r="F4947" s="0" t="n">
        <f aca="false">IF(C4947&gt;1,IF(C4947&lt;99,VLOOKUP(C4947,'MSA-Lookup'!$H$1:$I$86,2),C4947),C4947)</f>
        <v>5775</v>
      </c>
      <c r="G4947" s="0" t="n">
        <f aca="false">VLOOKUP(E4947,'MSA-Lookup'!$AA$1:$AB$25,2)</f>
        <v>4472</v>
      </c>
      <c r="H4947" s="0" t="n">
        <f aca="false">IF(C4947&gt;1,IF(C4947&lt;99,VLOOKUP(F4947,'MSA-Lookup'!$AA$1:$AB$25,2),C4947),C4947)</f>
        <v>7362</v>
      </c>
    </row>
    <row r="4948" customFormat="false" ht="12.75" hidden="false" customHeight="false" outlineLevel="0" collapsed="false">
      <c r="A4948" s="0" t="n">
        <f aca="false">B4948*1000+C4948</f>
        <v>69021</v>
      </c>
      <c r="B4948" s="0" t="n">
        <v>69</v>
      </c>
      <c r="C4948" s="0" t="n">
        <v>21</v>
      </c>
      <c r="D4948" s="0" t="n">
        <v>143</v>
      </c>
      <c r="E4948" s="0" t="n">
        <f aca="false">VLOOKUP(B4948,'MSA-Lookup'!$H$2:$I$86,2)</f>
        <v>6780</v>
      </c>
      <c r="F4948" s="0" t="n">
        <f aca="false">IF(C4948&gt;1,IF(C4948&lt;99,VLOOKUP(C4948,'MSA-Lookup'!$H$1:$I$86,2),C4948),C4948)</f>
        <v>5775</v>
      </c>
      <c r="G4948" s="0" t="n">
        <f aca="false">VLOOKUP(E4948,'MSA-Lookup'!$AA$1:$AB$25,2)</f>
        <v>4472</v>
      </c>
      <c r="H4948" s="0" t="n">
        <f aca="false">IF(C4948&gt;1,IF(C4948&lt;99,VLOOKUP(F4948,'MSA-Lookup'!$AA$1:$AB$25,2),C4948),C4948)</f>
        <v>7362</v>
      </c>
    </row>
    <row r="4949" customFormat="false" ht="12.75" hidden="false" customHeight="false" outlineLevel="0" collapsed="false">
      <c r="A4949" s="0" t="n">
        <f aca="false">B4949*1000+C4949</f>
        <v>69022</v>
      </c>
      <c r="B4949" s="0" t="n">
        <v>69</v>
      </c>
      <c r="C4949" s="0" t="n">
        <v>22</v>
      </c>
      <c r="D4949" s="0" t="n">
        <v>104</v>
      </c>
      <c r="E4949" s="0" t="n">
        <f aca="false">VLOOKUP(B4949,'MSA-Lookup'!$H$2:$I$86,2)</f>
        <v>6780</v>
      </c>
      <c r="F4949" s="0" t="n">
        <f aca="false">IF(C4949&gt;1,IF(C4949&lt;99,VLOOKUP(C4949,'MSA-Lookup'!$H$1:$I$86,2),C4949),C4949)</f>
        <v>7360</v>
      </c>
      <c r="G4949" s="0" t="n">
        <f aca="false">VLOOKUP(E4949,'MSA-Lookup'!$AA$1:$AB$25,2)</f>
        <v>4472</v>
      </c>
      <c r="H4949" s="0" t="n">
        <f aca="false">IF(C4949&gt;1,IF(C4949&lt;99,VLOOKUP(F4949,'MSA-Lookup'!$AA$1:$AB$25,2),C4949),C4949)</f>
        <v>7362</v>
      </c>
    </row>
    <row r="4950" customFormat="false" ht="12.75" hidden="false" customHeight="false" outlineLevel="0" collapsed="false">
      <c r="A4950" s="0" t="n">
        <f aca="false">B4950*1000+C4950</f>
        <v>69023</v>
      </c>
      <c r="B4950" s="0" t="n">
        <v>69</v>
      </c>
      <c r="C4950" s="0" t="n">
        <v>23</v>
      </c>
      <c r="D4950" s="0" t="n">
        <v>0</v>
      </c>
      <c r="E4950" s="0" t="n">
        <f aca="false">VLOOKUP(B4950,'MSA-Lookup'!$H$2:$I$86,2)</f>
        <v>6780</v>
      </c>
      <c r="F4950" s="0" t="n">
        <f aca="false">IF(C4950&gt;1,IF(C4950&lt;99,VLOOKUP(C4950,'MSA-Lookup'!$H$1:$I$86,2),C4950),C4950)</f>
        <v>8120</v>
      </c>
      <c r="G4950" s="0" t="n">
        <f aca="false">VLOOKUP(E4950,'MSA-Lookup'!$AA$1:$AB$25,2)</f>
        <v>4472</v>
      </c>
      <c r="H4950" s="0" t="n">
        <f aca="false">IF(C4950&gt;1,IF(C4950&lt;99,VLOOKUP(F4950,'MSA-Lookup'!$AA$1:$AB$25,2),C4950),C4950)</f>
        <v>8120</v>
      </c>
    </row>
    <row r="4951" customFormat="false" ht="12.75" hidden="false" customHeight="false" outlineLevel="0" collapsed="false">
      <c r="A4951" s="0" t="n">
        <f aca="false">B4951*1000+C4951</f>
        <v>69024</v>
      </c>
      <c r="B4951" s="0" t="n">
        <v>69</v>
      </c>
      <c r="C4951" s="0" t="n">
        <v>24</v>
      </c>
      <c r="D4951" s="0" t="n">
        <v>0</v>
      </c>
      <c r="E4951" s="0" t="n">
        <f aca="false">VLOOKUP(B4951,'MSA-Lookup'!$H$2:$I$86,2)</f>
        <v>6780</v>
      </c>
      <c r="F4951" s="0" t="n">
        <f aca="false">IF(C4951&gt;1,IF(C4951&lt;99,VLOOKUP(C4951,'MSA-Lookup'!$H$1:$I$86,2),C4951),C4951)</f>
        <v>5170</v>
      </c>
      <c r="G4951" s="0" t="n">
        <f aca="false">VLOOKUP(E4951,'MSA-Lookup'!$AA$1:$AB$25,2)</f>
        <v>4472</v>
      </c>
      <c r="H4951" s="0" t="n">
        <f aca="false">IF(C4951&gt;1,IF(C4951&lt;99,VLOOKUP(F4951,'MSA-Lookup'!$AA$1:$AB$25,2),C4951),C4951)</f>
        <v>5170</v>
      </c>
    </row>
    <row r="4952" customFormat="false" ht="12.75" hidden="false" customHeight="false" outlineLevel="0" collapsed="false">
      <c r="A4952" s="0" t="n">
        <f aca="false">B4952*1000+C4952</f>
        <v>69025</v>
      </c>
      <c r="B4952" s="0" t="n">
        <v>69</v>
      </c>
      <c r="C4952" s="0" t="n">
        <v>25</v>
      </c>
      <c r="D4952" s="0" t="n">
        <v>0</v>
      </c>
      <c r="E4952" s="0" t="n">
        <f aca="false">VLOOKUP(B4952,'MSA-Lookup'!$H$2:$I$86,2)</f>
        <v>6780</v>
      </c>
      <c r="F4952" s="0" t="n">
        <f aca="false">IF(C4952&gt;1,IF(C4952&lt;99,VLOOKUP(C4952,'MSA-Lookup'!$H$1:$I$86,2),C4952),C4952)</f>
        <v>5170</v>
      </c>
      <c r="G4952" s="0" t="n">
        <f aca="false">VLOOKUP(E4952,'MSA-Lookup'!$AA$1:$AB$25,2)</f>
        <v>4472</v>
      </c>
      <c r="H4952" s="0" t="n">
        <f aca="false">IF(C4952&gt;1,IF(C4952&lt;99,VLOOKUP(F4952,'MSA-Lookup'!$AA$1:$AB$25,2),C4952),C4952)</f>
        <v>5170</v>
      </c>
    </row>
    <row r="4953" customFormat="false" ht="12.75" hidden="false" customHeight="false" outlineLevel="0" collapsed="false">
      <c r="A4953" s="0" t="n">
        <f aca="false">B4953*1000+C4953</f>
        <v>69026</v>
      </c>
      <c r="B4953" s="0" t="n">
        <v>69</v>
      </c>
      <c r="C4953" s="0" t="n">
        <v>26</v>
      </c>
      <c r="D4953" s="0" t="n">
        <v>0</v>
      </c>
      <c r="E4953" s="0" t="n">
        <f aca="false">VLOOKUP(B4953,'MSA-Lookup'!$H$2:$I$86,2)</f>
        <v>6780</v>
      </c>
      <c r="F4953" s="0" t="n">
        <f aca="false">IF(C4953&gt;1,IF(C4953&lt;99,VLOOKUP(C4953,'MSA-Lookup'!$H$1:$I$86,2),C4953),C4953)</f>
        <v>9999</v>
      </c>
      <c r="G4953" s="0" t="n">
        <f aca="false">VLOOKUP(E4953,'MSA-Lookup'!$AA$1:$AB$25,2)</f>
        <v>4472</v>
      </c>
      <c r="H4953" s="0" t="n">
        <f aca="false">IF(C4953&gt;1,IF(C4953&lt;99,VLOOKUP(F4953,'MSA-Lookup'!$AA$1:$AB$25,2),C4953),C4953)</f>
        <v>9999</v>
      </c>
    </row>
    <row r="4954" customFormat="false" ht="12.75" hidden="false" customHeight="false" outlineLevel="0" collapsed="false">
      <c r="A4954" s="0" t="n">
        <f aca="false">B4954*1000+C4954</f>
        <v>69027</v>
      </c>
      <c r="B4954" s="0" t="n">
        <v>69</v>
      </c>
      <c r="C4954" s="0" t="n">
        <v>27</v>
      </c>
      <c r="D4954" s="0" t="n">
        <v>0</v>
      </c>
      <c r="E4954" s="0" t="n">
        <f aca="false">VLOOKUP(B4954,'MSA-Lookup'!$H$2:$I$86,2)</f>
        <v>6780</v>
      </c>
      <c r="F4954" s="0" t="n">
        <f aca="false">IF(C4954&gt;1,IF(C4954&lt;99,VLOOKUP(C4954,'MSA-Lookup'!$H$1:$I$86,2),C4954),C4954)</f>
        <v>9999</v>
      </c>
      <c r="G4954" s="0" t="n">
        <f aca="false">VLOOKUP(E4954,'MSA-Lookup'!$AA$1:$AB$25,2)</f>
        <v>4472</v>
      </c>
      <c r="H4954" s="0" t="n">
        <f aca="false">IF(C4954&gt;1,IF(C4954&lt;99,VLOOKUP(F4954,'MSA-Lookup'!$AA$1:$AB$25,2),C4954),C4954)</f>
        <v>9999</v>
      </c>
    </row>
    <row r="4955" customFormat="false" ht="12.75" hidden="false" customHeight="false" outlineLevel="0" collapsed="false">
      <c r="A4955" s="0" t="n">
        <f aca="false">B4955*1000+C4955</f>
        <v>69028</v>
      </c>
      <c r="B4955" s="0" t="n">
        <v>69</v>
      </c>
      <c r="C4955" s="0" t="n">
        <v>28</v>
      </c>
      <c r="D4955" s="0" t="n">
        <v>0</v>
      </c>
      <c r="E4955" s="0" t="n">
        <f aca="false">VLOOKUP(B4955,'MSA-Lookup'!$H$2:$I$86,2)</f>
        <v>6780</v>
      </c>
      <c r="F4955" s="0" t="n">
        <f aca="false">IF(C4955&gt;1,IF(C4955&lt;99,VLOOKUP(C4955,'MSA-Lookup'!$H$1:$I$86,2),C4955),C4955)</f>
        <v>6920</v>
      </c>
      <c r="G4955" s="0" t="n">
        <f aca="false">VLOOKUP(E4955,'MSA-Lookup'!$AA$1:$AB$25,2)</f>
        <v>4472</v>
      </c>
      <c r="H4955" s="0" t="n">
        <f aca="false">IF(C4955&gt;1,IF(C4955&lt;99,VLOOKUP(F4955,'MSA-Lookup'!$AA$1:$AB$25,2),C4955),C4955)</f>
        <v>6920</v>
      </c>
    </row>
    <row r="4956" customFormat="false" ht="12.75" hidden="false" customHeight="false" outlineLevel="0" collapsed="false">
      <c r="A4956" s="0" t="n">
        <f aca="false">B4956*1000+C4956</f>
        <v>69029</v>
      </c>
      <c r="B4956" s="0" t="n">
        <v>69</v>
      </c>
      <c r="C4956" s="0" t="n">
        <v>29</v>
      </c>
      <c r="D4956" s="0" t="n">
        <v>104</v>
      </c>
      <c r="E4956" s="0" t="n">
        <f aca="false">VLOOKUP(B4956,'MSA-Lookup'!$H$2:$I$86,2)</f>
        <v>6780</v>
      </c>
      <c r="F4956" s="0" t="n">
        <f aca="false">IF(C4956&gt;1,IF(C4956&lt;99,VLOOKUP(C4956,'MSA-Lookup'!$H$1:$I$86,2),C4956),C4956)</f>
        <v>6920</v>
      </c>
      <c r="G4956" s="0" t="n">
        <f aca="false">VLOOKUP(E4956,'MSA-Lookup'!$AA$1:$AB$25,2)</f>
        <v>4472</v>
      </c>
      <c r="H4956" s="0" t="n">
        <f aca="false">IF(C4956&gt;1,IF(C4956&lt;99,VLOOKUP(F4956,'MSA-Lookup'!$AA$1:$AB$25,2),C4956),C4956)</f>
        <v>6920</v>
      </c>
    </row>
    <row r="4957" customFormat="false" ht="12.75" hidden="false" customHeight="false" outlineLevel="0" collapsed="false">
      <c r="A4957" s="0" t="n">
        <f aca="false">B4957*1000+C4957</f>
        <v>69030</v>
      </c>
      <c r="B4957" s="0" t="n">
        <v>69</v>
      </c>
      <c r="C4957" s="0" t="n">
        <v>30</v>
      </c>
      <c r="D4957" s="0" t="n">
        <v>0</v>
      </c>
      <c r="E4957" s="0" t="n">
        <f aca="false">VLOOKUP(B4957,'MSA-Lookup'!$H$2:$I$86,2)</f>
        <v>6780</v>
      </c>
      <c r="F4957" s="0" t="n">
        <f aca="false">IF(C4957&gt;1,IF(C4957&lt;99,VLOOKUP(C4957,'MSA-Lookup'!$H$1:$I$86,2),C4957),C4957)</f>
        <v>4940</v>
      </c>
      <c r="G4957" s="0" t="n">
        <f aca="false">VLOOKUP(E4957,'MSA-Lookup'!$AA$1:$AB$25,2)</f>
        <v>4472</v>
      </c>
      <c r="H4957" s="0" t="n">
        <f aca="false">IF(C4957&gt;1,IF(C4957&lt;99,VLOOKUP(F4957,'MSA-Lookup'!$AA$1:$AB$25,2),C4957),C4957)</f>
        <v>4940</v>
      </c>
    </row>
    <row r="4958" customFormat="false" ht="12.75" hidden="false" customHeight="false" outlineLevel="0" collapsed="false">
      <c r="A4958" s="0" t="n">
        <f aca="false">B4958*1000+C4958</f>
        <v>69031</v>
      </c>
      <c r="B4958" s="0" t="n">
        <v>69</v>
      </c>
      <c r="C4958" s="0" t="n">
        <v>31</v>
      </c>
      <c r="D4958" s="0" t="n">
        <v>104</v>
      </c>
      <c r="E4958" s="0" t="n">
        <f aca="false">VLOOKUP(B4958,'MSA-Lookup'!$H$2:$I$86,2)</f>
        <v>6780</v>
      </c>
      <c r="F4958" s="0" t="n">
        <f aca="false">IF(C4958&gt;1,IF(C4958&lt;99,VLOOKUP(C4958,'MSA-Lookup'!$H$1:$I$86,2),C4958),C4958)</f>
        <v>9999</v>
      </c>
      <c r="G4958" s="0" t="n">
        <f aca="false">VLOOKUP(E4958,'MSA-Lookup'!$AA$1:$AB$25,2)</f>
        <v>4472</v>
      </c>
      <c r="H4958" s="0" t="n">
        <f aca="false">IF(C4958&gt;1,IF(C4958&lt;99,VLOOKUP(F4958,'MSA-Lookup'!$AA$1:$AB$25,2),C4958),C4958)</f>
        <v>9999</v>
      </c>
    </row>
    <row r="4959" customFormat="false" ht="12.75" hidden="false" customHeight="false" outlineLevel="0" collapsed="false">
      <c r="A4959" s="0" t="n">
        <f aca="false">B4959*1000+C4959</f>
        <v>69032</v>
      </c>
      <c r="B4959" s="0" t="n">
        <v>69</v>
      </c>
      <c r="C4959" s="0" t="n">
        <v>32</v>
      </c>
      <c r="D4959" s="0" t="n">
        <v>104</v>
      </c>
      <c r="E4959" s="0" t="n">
        <f aca="false">VLOOKUP(B4959,'MSA-Lookup'!$H$2:$I$86,2)</f>
        <v>6780</v>
      </c>
      <c r="F4959" s="0" t="n">
        <f aca="false">IF(C4959&gt;1,IF(C4959&lt;99,VLOOKUP(C4959,'MSA-Lookup'!$H$1:$I$86,2),C4959),C4959)</f>
        <v>7480</v>
      </c>
      <c r="G4959" s="0" t="n">
        <f aca="false">VLOOKUP(E4959,'MSA-Lookup'!$AA$1:$AB$25,2)</f>
        <v>4472</v>
      </c>
      <c r="H4959" s="0" t="n">
        <f aca="false">IF(C4959&gt;1,IF(C4959&lt;99,VLOOKUP(F4959,'MSA-Lookup'!$AA$1:$AB$25,2),C4959),C4959)</f>
        <v>7480</v>
      </c>
    </row>
    <row r="4960" customFormat="false" ht="12.75" hidden="false" customHeight="false" outlineLevel="0" collapsed="false">
      <c r="A4960" s="0" t="n">
        <f aca="false">B4960*1000+C4960</f>
        <v>69033</v>
      </c>
      <c r="B4960" s="0" t="n">
        <v>69</v>
      </c>
      <c r="C4960" s="0" t="n">
        <v>33</v>
      </c>
      <c r="D4960" s="0" t="n">
        <v>2678</v>
      </c>
      <c r="E4960" s="0" t="n">
        <f aca="false">VLOOKUP(B4960,'MSA-Lookup'!$H$2:$I$86,2)</f>
        <v>6780</v>
      </c>
      <c r="F4960" s="0" t="n">
        <f aca="false">IF(C4960&gt;1,IF(C4960&lt;99,VLOOKUP(C4960,'MSA-Lookup'!$H$1:$I$86,2),C4960),C4960)</f>
        <v>7320</v>
      </c>
      <c r="G4960" s="0" t="n">
        <f aca="false">VLOOKUP(E4960,'MSA-Lookup'!$AA$1:$AB$25,2)</f>
        <v>4472</v>
      </c>
      <c r="H4960" s="0" t="n">
        <f aca="false">IF(C4960&gt;1,IF(C4960&lt;99,VLOOKUP(F4960,'MSA-Lookup'!$AA$1:$AB$25,2),C4960),C4960)</f>
        <v>7320</v>
      </c>
    </row>
    <row r="4961" customFormat="false" ht="12.75" hidden="false" customHeight="false" outlineLevel="0" collapsed="false">
      <c r="A4961" s="0" t="n">
        <f aca="false">B4961*1000+C4961</f>
        <v>69034</v>
      </c>
      <c r="B4961" s="0" t="n">
        <v>69</v>
      </c>
      <c r="C4961" s="0" t="n">
        <v>34</v>
      </c>
      <c r="D4961" s="0" t="n">
        <v>403</v>
      </c>
      <c r="E4961" s="0" t="n">
        <f aca="false">VLOOKUP(B4961,'MSA-Lookup'!$H$2:$I$86,2)</f>
        <v>6780</v>
      </c>
      <c r="F4961" s="0" t="n">
        <f aca="false">IF(C4961&gt;1,IF(C4961&lt;99,VLOOKUP(C4961,'MSA-Lookup'!$H$1:$I$86,2),C4961),C4961)</f>
        <v>7320</v>
      </c>
      <c r="G4961" s="0" t="n">
        <f aca="false">VLOOKUP(E4961,'MSA-Lookup'!$AA$1:$AB$25,2)</f>
        <v>4472</v>
      </c>
      <c r="H4961" s="0" t="n">
        <f aca="false">IF(C4961&gt;1,IF(C4961&lt;99,VLOOKUP(F4961,'MSA-Lookup'!$AA$1:$AB$25,2),C4961),C4961)</f>
        <v>7320</v>
      </c>
    </row>
    <row r="4962" customFormat="false" ht="12.75" hidden="false" customHeight="false" outlineLevel="0" collapsed="false">
      <c r="A4962" s="0" t="n">
        <f aca="false">B4962*1000+C4962</f>
        <v>69035</v>
      </c>
      <c r="B4962" s="0" t="n">
        <v>69</v>
      </c>
      <c r="C4962" s="0" t="n">
        <v>35</v>
      </c>
      <c r="D4962" s="0" t="n">
        <v>611</v>
      </c>
      <c r="E4962" s="0" t="n">
        <f aca="false">VLOOKUP(B4962,'MSA-Lookup'!$H$2:$I$86,2)</f>
        <v>6780</v>
      </c>
      <c r="F4962" s="0" t="n">
        <f aca="false">IF(C4962&gt;1,IF(C4962&lt;99,VLOOKUP(C4962,'MSA-Lookup'!$H$1:$I$86,2),C4962),C4962)</f>
        <v>7320</v>
      </c>
      <c r="G4962" s="0" t="n">
        <f aca="false">VLOOKUP(E4962,'MSA-Lookup'!$AA$1:$AB$25,2)</f>
        <v>4472</v>
      </c>
      <c r="H4962" s="0" t="n">
        <f aca="false">IF(C4962&gt;1,IF(C4962&lt;99,VLOOKUP(F4962,'MSA-Lookup'!$AA$1:$AB$25,2),C4962),C4962)</f>
        <v>7320</v>
      </c>
    </row>
    <row r="4963" customFormat="false" ht="12.75" hidden="false" customHeight="false" outlineLevel="0" collapsed="false">
      <c r="A4963" s="0" t="n">
        <f aca="false">B4963*1000+C4963</f>
        <v>69036</v>
      </c>
      <c r="B4963" s="0" t="n">
        <v>69</v>
      </c>
      <c r="C4963" s="0" t="n">
        <v>36</v>
      </c>
      <c r="D4963" s="0" t="n">
        <v>0</v>
      </c>
      <c r="E4963" s="0" t="n">
        <f aca="false">VLOOKUP(B4963,'MSA-Lookup'!$H$2:$I$86,2)</f>
        <v>6780</v>
      </c>
      <c r="F4963" s="0" t="n">
        <f aca="false">IF(C4963&gt;1,IF(C4963&lt;99,VLOOKUP(C4963,'MSA-Lookup'!$H$1:$I$86,2),C4963),C4963)</f>
        <v>7320</v>
      </c>
      <c r="G4963" s="0" t="n">
        <f aca="false">VLOOKUP(E4963,'MSA-Lookup'!$AA$1:$AB$25,2)</f>
        <v>4472</v>
      </c>
      <c r="H4963" s="0" t="n">
        <f aca="false">IF(C4963&gt;1,IF(C4963&lt;99,VLOOKUP(F4963,'MSA-Lookup'!$AA$1:$AB$25,2),C4963),C4963)</f>
        <v>7320</v>
      </c>
    </row>
    <row r="4964" customFormat="false" ht="12.75" hidden="false" customHeight="false" outlineLevel="0" collapsed="false">
      <c r="A4964" s="0" t="n">
        <f aca="false">B4964*1000+C4964</f>
        <v>69037</v>
      </c>
      <c r="B4964" s="0" t="n">
        <v>69</v>
      </c>
      <c r="C4964" s="0" t="n">
        <v>37</v>
      </c>
      <c r="D4964" s="0" t="n">
        <v>3315</v>
      </c>
      <c r="E4964" s="0" t="n">
        <f aca="false">VLOOKUP(B4964,'MSA-Lookup'!$H$2:$I$86,2)</f>
        <v>6780</v>
      </c>
      <c r="F4964" s="0" t="n">
        <f aca="false">IF(C4964&gt;1,IF(C4964&lt;99,VLOOKUP(C4964,'MSA-Lookup'!$H$1:$I$86,2),C4964),C4964)</f>
        <v>7320</v>
      </c>
      <c r="G4964" s="0" t="n">
        <f aca="false">VLOOKUP(E4964,'MSA-Lookup'!$AA$1:$AB$25,2)</f>
        <v>4472</v>
      </c>
      <c r="H4964" s="0" t="n">
        <f aca="false">IF(C4964&gt;1,IF(C4964&lt;99,VLOOKUP(F4964,'MSA-Lookup'!$AA$1:$AB$25,2),C4964),C4964)</f>
        <v>7320</v>
      </c>
    </row>
    <row r="4965" customFormat="false" ht="12.75" hidden="false" customHeight="false" outlineLevel="0" collapsed="false">
      <c r="A4965" s="0" t="n">
        <f aca="false">B4965*1000+C4965</f>
        <v>69038</v>
      </c>
      <c r="B4965" s="0" t="n">
        <v>69</v>
      </c>
      <c r="C4965" s="0" t="n">
        <v>38</v>
      </c>
      <c r="D4965" s="0" t="n">
        <v>0</v>
      </c>
      <c r="E4965" s="0" t="n">
        <f aca="false">VLOOKUP(B4965,'MSA-Lookup'!$H$2:$I$86,2)</f>
        <v>6780</v>
      </c>
      <c r="F4965" s="0" t="n">
        <f aca="false">IF(C4965&gt;1,IF(C4965&lt;99,VLOOKUP(C4965,'MSA-Lookup'!$H$1:$I$86,2),C4965),C4965)</f>
        <v>7120</v>
      </c>
      <c r="G4965" s="0" t="n">
        <f aca="false">VLOOKUP(E4965,'MSA-Lookup'!$AA$1:$AB$25,2)</f>
        <v>4472</v>
      </c>
      <c r="H4965" s="0" t="n">
        <f aca="false">IF(C4965&gt;1,IF(C4965&lt;99,VLOOKUP(F4965,'MSA-Lookup'!$AA$1:$AB$25,2),C4965),C4965)</f>
        <v>7120</v>
      </c>
    </row>
    <row r="4966" customFormat="false" ht="12.75" hidden="false" customHeight="false" outlineLevel="0" collapsed="false">
      <c r="A4966" s="0" t="n">
        <f aca="false">B4966*1000+C4966</f>
        <v>69039</v>
      </c>
      <c r="B4966" s="0" t="n">
        <v>69</v>
      </c>
      <c r="C4966" s="0" t="n">
        <v>39</v>
      </c>
      <c r="D4966" s="0" t="n">
        <v>156</v>
      </c>
      <c r="E4966" s="0" t="n">
        <f aca="false">VLOOKUP(B4966,'MSA-Lookup'!$H$2:$I$86,2)</f>
        <v>6780</v>
      </c>
      <c r="F4966" s="0" t="n">
        <f aca="false">IF(C4966&gt;1,IF(C4966&lt;99,VLOOKUP(C4966,'MSA-Lookup'!$H$1:$I$86,2),C4966),C4966)</f>
        <v>7120</v>
      </c>
      <c r="G4966" s="0" t="n">
        <f aca="false">VLOOKUP(E4966,'MSA-Lookup'!$AA$1:$AB$25,2)</f>
        <v>4472</v>
      </c>
      <c r="H4966" s="0" t="n">
        <f aca="false">IF(C4966&gt;1,IF(C4966&lt;99,VLOOKUP(F4966,'MSA-Lookup'!$AA$1:$AB$25,2),C4966),C4966)</f>
        <v>7120</v>
      </c>
    </row>
    <row r="4967" customFormat="false" ht="12.75" hidden="false" customHeight="false" outlineLevel="0" collapsed="false">
      <c r="A4967" s="0" t="n">
        <f aca="false">B4967*1000+C4967</f>
        <v>69040</v>
      </c>
      <c r="B4967" s="0" t="n">
        <v>69</v>
      </c>
      <c r="C4967" s="0" t="n">
        <v>40</v>
      </c>
      <c r="D4967" s="0" t="n">
        <v>0</v>
      </c>
      <c r="E4967" s="0" t="n">
        <f aca="false">VLOOKUP(B4967,'MSA-Lookup'!$H$2:$I$86,2)</f>
        <v>6780</v>
      </c>
      <c r="F4967" s="0" t="n">
        <f aca="false">IF(C4967&gt;1,IF(C4967&lt;99,VLOOKUP(C4967,'MSA-Lookup'!$H$1:$I$86,2),C4967),C4967)</f>
        <v>2840</v>
      </c>
      <c r="G4967" s="0" t="n">
        <f aca="false">VLOOKUP(E4967,'MSA-Lookup'!$AA$1:$AB$25,2)</f>
        <v>4472</v>
      </c>
      <c r="H4967" s="0" t="n">
        <f aca="false">IF(C4967&gt;1,IF(C4967&lt;99,VLOOKUP(F4967,'MSA-Lookup'!$AA$1:$AB$25,2),C4967),C4967)</f>
        <v>2840</v>
      </c>
    </row>
    <row r="4968" customFormat="false" ht="12.75" hidden="false" customHeight="false" outlineLevel="0" collapsed="false">
      <c r="A4968" s="0" t="n">
        <f aca="false">B4968*1000+C4968</f>
        <v>69041</v>
      </c>
      <c r="B4968" s="0" t="n">
        <v>69</v>
      </c>
      <c r="C4968" s="0" t="n">
        <v>41</v>
      </c>
      <c r="D4968" s="0" t="n">
        <v>91</v>
      </c>
      <c r="E4968" s="0" t="n">
        <f aca="false">VLOOKUP(B4968,'MSA-Lookup'!$H$2:$I$86,2)</f>
        <v>6780</v>
      </c>
      <c r="F4968" s="0" t="n">
        <f aca="false">IF(C4968&gt;1,IF(C4968&lt;99,VLOOKUP(C4968,'MSA-Lookup'!$H$1:$I$86,2),C4968),C4968)</f>
        <v>2840</v>
      </c>
      <c r="G4968" s="0" t="n">
        <f aca="false">VLOOKUP(E4968,'MSA-Lookup'!$AA$1:$AB$25,2)</f>
        <v>4472</v>
      </c>
      <c r="H4968" s="0" t="n">
        <f aca="false">IF(C4968&gt;1,IF(C4968&lt;99,VLOOKUP(F4968,'MSA-Lookup'!$AA$1:$AB$25,2),C4968),C4968)</f>
        <v>2840</v>
      </c>
    </row>
    <row r="4969" customFormat="false" ht="12.75" hidden="false" customHeight="false" outlineLevel="0" collapsed="false">
      <c r="A4969" s="0" t="n">
        <f aca="false">B4969*1000+C4969</f>
        <v>69042</v>
      </c>
      <c r="B4969" s="0" t="n">
        <v>69</v>
      </c>
      <c r="C4969" s="0" t="n">
        <v>42</v>
      </c>
      <c r="D4969" s="0" t="n">
        <v>3809</v>
      </c>
      <c r="E4969" s="0" t="n">
        <f aca="false">VLOOKUP(B4969,'MSA-Lookup'!$H$2:$I$86,2)</f>
        <v>6780</v>
      </c>
      <c r="F4969" s="0" t="n">
        <f aca="false">IF(C4969&gt;1,IF(C4969&lt;99,VLOOKUP(C4969,'MSA-Lookup'!$H$1:$I$86,2),C4969),C4969)</f>
        <v>360</v>
      </c>
      <c r="G4969" s="0" t="n">
        <f aca="false">VLOOKUP(E4969,'MSA-Lookup'!$AA$1:$AB$25,2)</f>
        <v>4472</v>
      </c>
      <c r="H4969" s="0" t="n">
        <f aca="false">IF(C4969&gt;1,IF(C4969&lt;99,VLOOKUP(F4969,'MSA-Lookup'!$AA$1:$AB$25,2),C4969),C4969)</f>
        <v>4472</v>
      </c>
    </row>
    <row r="4970" customFormat="false" ht="12.75" hidden="false" customHeight="false" outlineLevel="0" collapsed="false">
      <c r="A4970" s="0" t="n">
        <f aca="false">B4970*1000+C4970</f>
        <v>69043</v>
      </c>
      <c r="B4970" s="0" t="n">
        <v>69</v>
      </c>
      <c r="C4970" s="0" t="n">
        <v>43</v>
      </c>
      <c r="D4970" s="0" t="n">
        <v>260</v>
      </c>
      <c r="E4970" s="0" t="n">
        <f aca="false">VLOOKUP(B4970,'MSA-Lookup'!$H$2:$I$86,2)</f>
        <v>6780</v>
      </c>
      <c r="F4970" s="0" t="n">
        <f aca="false">IF(C4970&gt;1,IF(C4970&lt;99,VLOOKUP(C4970,'MSA-Lookup'!$H$1:$I$86,2),C4970),C4970)</f>
        <v>360</v>
      </c>
      <c r="G4970" s="0" t="n">
        <f aca="false">VLOOKUP(E4970,'MSA-Lookup'!$AA$1:$AB$25,2)</f>
        <v>4472</v>
      </c>
      <c r="H4970" s="0" t="n">
        <f aca="false">IF(C4970&gt;1,IF(C4970&lt;99,VLOOKUP(F4970,'MSA-Lookup'!$AA$1:$AB$25,2),C4970),C4970)</f>
        <v>4472</v>
      </c>
    </row>
    <row r="4971" customFormat="false" ht="12.75" hidden="false" customHeight="false" outlineLevel="0" collapsed="false">
      <c r="A4971" s="0" t="n">
        <f aca="false">B4971*1000+C4971</f>
        <v>69044</v>
      </c>
      <c r="B4971" s="0" t="n">
        <v>69</v>
      </c>
      <c r="C4971" s="0" t="n">
        <v>44</v>
      </c>
      <c r="D4971" s="0" t="n">
        <v>559</v>
      </c>
      <c r="E4971" s="0" t="n">
        <f aca="false">VLOOKUP(B4971,'MSA-Lookup'!$H$2:$I$86,2)</f>
        <v>6780</v>
      </c>
      <c r="F4971" s="0" t="n">
        <f aca="false">IF(C4971&gt;1,IF(C4971&lt;99,VLOOKUP(C4971,'MSA-Lookup'!$H$1:$I$86,2),C4971),C4971)</f>
        <v>360</v>
      </c>
      <c r="G4971" s="0" t="n">
        <f aca="false">VLOOKUP(E4971,'MSA-Lookup'!$AA$1:$AB$25,2)</f>
        <v>4472</v>
      </c>
      <c r="H4971" s="0" t="n">
        <f aca="false">IF(C4971&gt;1,IF(C4971&lt;99,VLOOKUP(F4971,'MSA-Lookup'!$AA$1:$AB$25,2),C4971),C4971)</f>
        <v>4472</v>
      </c>
    </row>
    <row r="4972" customFormat="false" ht="12.75" hidden="false" customHeight="false" outlineLevel="0" collapsed="false">
      <c r="A4972" s="0" t="n">
        <f aca="false">B4972*1000+C4972</f>
        <v>69045</v>
      </c>
      <c r="B4972" s="0" t="n">
        <v>69</v>
      </c>
      <c r="C4972" s="0" t="n">
        <v>45</v>
      </c>
      <c r="D4972" s="0" t="n">
        <v>897</v>
      </c>
      <c r="E4972" s="0" t="n">
        <f aca="false">VLOOKUP(B4972,'MSA-Lookup'!$H$2:$I$86,2)</f>
        <v>6780</v>
      </c>
      <c r="F4972" s="0" t="n">
        <f aca="false">IF(C4972&gt;1,IF(C4972&lt;99,VLOOKUP(C4972,'MSA-Lookup'!$H$1:$I$86,2),C4972),C4972)</f>
        <v>360</v>
      </c>
      <c r="G4972" s="0" t="n">
        <f aca="false">VLOOKUP(E4972,'MSA-Lookup'!$AA$1:$AB$25,2)</f>
        <v>4472</v>
      </c>
      <c r="H4972" s="0" t="n">
        <f aca="false">IF(C4972&gt;1,IF(C4972&lt;99,VLOOKUP(F4972,'MSA-Lookup'!$AA$1:$AB$25,2),C4972),C4972)</f>
        <v>4472</v>
      </c>
    </row>
    <row r="4973" customFormat="false" ht="12.75" hidden="false" customHeight="false" outlineLevel="0" collapsed="false">
      <c r="A4973" s="0" t="n">
        <f aca="false">B4973*1000+C4973</f>
        <v>69046</v>
      </c>
      <c r="B4973" s="0" t="n">
        <v>69</v>
      </c>
      <c r="C4973" s="0" t="n">
        <v>46</v>
      </c>
      <c r="D4973" s="0" t="n">
        <v>1131</v>
      </c>
      <c r="E4973" s="0" t="n">
        <f aca="false">VLOOKUP(B4973,'MSA-Lookup'!$H$2:$I$86,2)</f>
        <v>6780</v>
      </c>
      <c r="F4973" s="0" t="n">
        <f aca="false">IF(C4973&gt;1,IF(C4973&lt;99,VLOOKUP(C4973,'MSA-Lookup'!$H$1:$I$86,2),C4973),C4973)</f>
        <v>360</v>
      </c>
      <c r="G4973" s="0" t="n">
        <f aca="false">VLOOKUP(E4973,'MSA-Lookup'!$AA$1:$AB$25,2)</f>
        <v>4472</v>
      </c>
      <c r="H4973" s="0" t="n">
        <f aca="false">IF(C4973&gt;1,IF(C4973&lt;99,VLOOKUP(F4973,'MSA-Lookup'!$AA$1:$AB$25,2),C4973),C4973)</f>
        <v>4472</v>
      </c>
    </row>
    <row r="4974" customFormat="false" ht="12.75" hidden="false" customHeight="false" outlineLevel="0" collapsed="false">
      <c r="A4974" s="0" t="n">
        <f aca="false">B4974*1000+C4974</f>
        <v>69047</v>
      </c>
      <c r="B4974" s="0" t="n">
        <v>69</v>
      </c>
      <c r="C4974" s="0" t="n">
        <v>47</v>
      </c>
      <c r="D4974" s="0" t="n">
        <v>806</v>
      </c>
      <c r="E4974" s="0" t="n">
        <f aca="false">VLOOKUP(B4974,'MSA-Lookup'!$H$2:$I$86,2)</f>
        <v>6780</v>
      </c>
      <c r="F4974" s="0" t="n">
        <f aca="false">IF(C4974&gt;1,IF(C4974&lt;99,VLOOKUP(C4974,'MSA-Lookup'!$H$1:$I$86,2),C4974),C4974)</f>
        <v>360</v>
      </c>
      <c r="G4974" s="0" t="n">
        <f aca="false">VLOOKUP(E4974,'MSA-Lookup'!$AA$1:$AB$25,2)</f>
        <v>4472</v>
      </c>
      <c r="H4974" s="0" t="n">
        <f aca="false">IF(C4974&gt;1,IF(C4974&lt;99,VLOOKUP(F4974,'MSA-Lookup'!$AA$1:$AB$25,2),C4974),C4974)</f>
        <v>4472</v>
      </c>
    </row>
    <row r="4975" customFormat="false" ht="12.75" hidden="false" customHeight="false" outlineLevel="0" collapsed="false">
      <c r="A4975" s="0" t="n">
        <f aca="false">B4975*1000+C4975</f>
        <v>69048</v>
      </c>
      <c r="B4975" s="0" t="n">
        <v>69</v>
      </c>
      <c r="C4975" s="0" t="n">
        <v>48</v>
      </c>
      <c r="D4975" s="0" t="n">
        <v>16822</v>
      </c>
      <c r="E4975" s="0" t="n">
        <f aca="false">VLOOKUP(B4975,'MSA-Lookup'!$H$2:$I$86,2)</f>
        <v>6780</v>
      </c>
      <c r="F4975" s="0" t="n">
        <f aca="false">IF(C4975&gt;1,IF(C4975&lt;99,VLOOKUP(C4975,'MSA-Lookup'!$H$1:$I$86,2),C4975),C4975)</f>
        <v>360</v>
      </c>
      <c r="G4975" s="0" t="n">
        <f aca="false">VLOOKUP(E4975,'MSA-Lookup'!$AA$1:$AB$25,2)</f>
        <v>4472</v>
      </c>
      <c r="H4975" s="0" t="n">
        <f aca="false">IF(C4975&gt;1,IF(C4975&lt;99,VLOOKUP(F4975,'MSA-Lookup'!$AA$1:$AB$25,2),C4975),C4975)</f>
        <v>4472</v>
      </c>
    </row>
    <row r="4976" customFormat="false" ht="12.75" hidden="false" customHeight="false" outlineLevel="0" collapsed="false">
      <c r="A4976" s="0" t="n">
        <f aca="false">B4976*1000+C4976</f>
        <v>69049</v>
      </c>
      <c r="B4976" s="0" t="n">
        <v>69</v>
      </c>
      <c r="C4976" s="0" t="n">
        <v>49</v>
      </c>
      <c r="D4976" s="0" t="n">
        <v>0</v>
      </c>
      <c r="E4976" s="0" t="n">
        <f aca="false">VLOOKUP(B4976,'MSA-Lookup'!$H$2:$I$86,2)</f>
        <v>6780</v>
      </c>
      <c r="F4976" s="0" t="n">
        <f aca="false">IF(C4976&gt;1,IF(C4976&lt;99,VLOOKUP(C4976,'MSA-Lookup'!$H$1:$I$86,2),C4976),C4976)</f>
        <v>7400</v>
      </c>
      <c r="G4976" s="0" t="n">
        <f aca="false">VLOOKUP(E4976,'MSA-Lookup'!$AA$1:$AB$25,2)</f>
        <v>4472</v>
      </c>
      <c r="H4976" s="0" t="n">
        <f aca="false">IF(C4976&gt;1,IF(C4976&lt;99,VLOOKUP(F4976,'MSA-Lookup'!$AA$1:$AB$25,2),C4976),C4976)</f>
        <v>7362</v>
      </c>
    </row>
    <row r="4977" customFormat="false" ht="12.75" hidden="false" customHeight="false" outlineLevel="0" collapsed="false">
      <c r="A4977" s="0" t="n">
        <f aca="false">B4977*1000+C4977</f>
        <v>69050</v>
      </c>
      <c r="B4977" s="0" t="n">
        <v>69</v>
      </c>
      <c r="C4977" s="0" t="n">
        <v>50</v>
      </c>
      <c r="D4977" s="0" t="n">
        <v>0</v>
      </c>
      <c r="E4977" s="0" t="n">
        <f aca="false">VLOOKUP(B4977,'MSA-Lookup'!$H$2:$I$86,2)</f>
        <v>6780</v>
      </c>
      <c r="F4977" s="0" t="n">
        <f aca="false">IF(C4977&gt;1,IF(C4977&lt;99,VLOOKUP(C4977,'MSA-Lookup'!$H$1:$I$86,2),C4977),C4977)</f>
        <v>7400</v>
      </c>
      <c r="G4977" s="0" t="n">
        <f aca="false">VLOOKUP(E4977,'MSA-Lookup'!$AA$1:$AB$25,2)</f>
        <v>4472</v>
      </c>
      <c r="H4977" s="0" t="n">
        <f aca="false">IF(C4977&gt;1,IF(C4977&lt;99,VLOOKUP(F4977,'MSA-Lookup'!$AA$1:$AB$25,2),C4977),C4977)</f>
        <v>7362</v>
      </c>
    </row>
    <row r="4978" customFormat="false" ht="12.75" hidden="false" customHeight="false" outlineLevel="0" collapsed="false">
      <c r="A4978" s="0" t="n">
        <f aca="false">B4978*1000+C4978</f>
        <v>69051</v>
      </c>
      <c r="B4978" s="0" t="n">
        <v>69</v>
      </c>
      <c r="C4978" s="0" t="n">
        <v>51</v>
      </c>
      <c r="D4978" s="0" t="n">
        <v>0</v>
      </c>
      <c r="E4978" s="0" t="n">
        <f aca="false">VLOOKUP(B4978,'MSA-Lookup'!$H$2:$I$86,2)</f>
        <v>6780</v>
      </c>
      <c r="F4978" s="0" t="n">
        <f aca="false">IF(C4978&gt;1,IF(C4978&lt;99,VLOOKUP(C4978,'MSA-Lookup'!$H$1:$I$86,2),C4978),C4978)</f>
        <v>7400</v>
      </c>
      <c r="G4978" s="0" t="n">
        <f aca="false">VLOOKUP(E4978,'MSA-Lookup'!$AA$1:$AB$25,2)</f>
        <v>4472</v>
      </c>
      <c r="H4978" s="0" t="n">
        <f aca="false">IF(C4978&gt;1,IF(C4978&lt;99,VLOOKUP(F4978,'MSA-Lookup'!$AA$1:$AB$25,2),C4978),C4978)</f>
        <v>7362</v>
      </c>
    </row>
    <row r="4979" customFormat="false" ht="12.75" hidden="false" customHeight="false" outlineLevel="0" collapsed="false">
      <c r="A4979" s="0" t="n">
        <f aca="false">B4979*1000+C4979</f>
        <v>69052</v>
      </c>
      <c r="B4979" s="0" t="n">
        <v>69</v>
      </c>
      <c r="C4979" s="0" t="n">
        <v>52</v>
      </c>
      <c r="D4979" s="0" t="n">
        <v>247</v>
      </c>
      <c r="E4979" s="0" t="n">
        <f aca="false">VLOOKUP(B4979,'MSA-Lookup'!$H$2:$I$86,2)</f>
        <v>6780</v>
      </c>
      <c r="F4979" s="0" t="n">
        <f aca="false">IF(C4979&gt;1,IF(C4979&lt;99,VLOOKUP(C4979,'MSA-Lookup'!$H$1:$I$86,2),C4979),C4979)</f>
        <v>4480</v>
      </c>
      <c r="G4979" s="0" t="n">
        <f aca="false">VLOOKUP(E4979,'MSA-Lookup'!$AA$1:$AB$25,2)</f>
        <v>4472</v>
      </c>
      <c r="H4979" s="0" t="n">
        <f aca="false">IF(C4979&gt;1,IF(C4979&lt;99,VLOOKUP(F4979,'MSA-Lookup'!$AA$1:$AB$25,2),C4979),C4979)</f>
        <v>4472</v>
      </c>
    </row>
    <row r="4980" customFormat="false" ht="12.75" hidden="false" customHeight="false" outlineLevel="0" collapsed="false">
      <c r="A4980" s="0" t="n">
        <f aca="false">B4980*1000+C4980</f>
        <v>69053</v>
      </c>
      <c r="B4980" s="0" t="n">
        <v>69</v>
      </c>
      <c r="C4980" s="0" t="n">
        <v>53</v>
      </c>
      <c r="D4980" s="0" t="n">
        <v>520</v>
      </c>
      <c r="E4980" s="0" t="n">
        <f aca="false">VLOOKUP(B4980,'MSA-Lookup'!$H$2:$I$86,2)</f>
        <v>6780</v>
      </c>
      <c r="F4980" s="0" t="n">
        <f aca="false">IF(C4980&gt;1,IF(C4980&lt;99,VLOOKUP(C4980,'MSA-Lookup'!$H$1:$I$86,2),C4980),C4980)</f>
        <v>4480</v>
      </c>
      <c r="G4980" s="0" t="n">
        <f aca="false">VLOOKUP(E4980,'MSA-Lookup'!$AA$1:$AB$25,2)</f>
        <v>4472</v>
      </c>
      <c r="H4980" s="0" t="n">
        <f aca="false">IF(C4980&gt;1,IF(C4980&lt;99,VLOOKUP(F4980,'MSA-Lookup'!$AA$1:$AB$25,2),C4980),C4980)</f>
        <v>4472</v>
      </c>
    </row>
    <row r="4981" customFormat="false" ht="12.75" hidden="false" customHeight="false" outlineLevel="0" collapsed="false">
      <c r="A4981" s="0" t="n">
        <f aca="false">B4981*1000+C4981</f>
        <v>69054</v>
      </c>
      <c r="B4981" s="0" t="n">
        <v>69</v>
      </c>
      <c r="C4981" s="0" t="n">
        <v>54</v>
      </c>
      <c r="D4981" s="0" t="n">
        <v>0</v>
      </c>
      <c r="E4981" s="0" t="n">
        <f aca="false">VLOOKUP(B4981,'MSA-Lookup'!$H$2:$I$86,2)</f>
        <v>6780</v>
      </c>
      <c r="F4981" s="0" t="n">
        <f aca="false">IF(C4981&gt;1,IF(C4981&lt;99,VLOOKUP(C4981,'MSA-Lookup'!$H$1:$I$86,2),C4981),C4981)</f>
        <v>4480</v>
      </c>
      <c r="G4981" s="0" t="n">
        <f aca="false">VLOOKUP(E4981,'MSA-Lookup'!$AA$1:$AB$25,2)</f>
        <v>4472</v>
      </c>
      <c r="H4981" s="0" t="n">
        <f aca="false">IF(C4981&gt;1,IF(C4981&lt;99,VLOOKUP(F4981,'MSA-Lookup'!$AA$1:$AB$25,2),C4981),C4981)</f>
        <v>4472</v>
      </c>
    </row>
    <row r="4982" customFormat="false" ht="12.75" hidden="false" customHeight="false" outlineLevel="0" collapsed="false">
      <c r="A4982" s="0" t="n">
        <f aca="false">B4982*1000+C4982</f>
        <v>69055</v>
      </c>
      <c r="B4982" s="0" t="n">
        <v>69</v>
      </c>
      <c r="C4982" s="0" t="n">
        <v>55</v>
      </c>
      <c r="D4982" s="0" t="n">
        <v>182</v>
      </c>
      <c r="E4982" s="0" t="n">
        <f aca="false">VLOOKUP(B4982,'MSA-Lookup'!$H$2:$I$86,2)</f>
        <v>6780</v>
      </c>
      <c r="F4982" s="0" t="n">
        <f aca="false">IF(C4982&gt;1,IF(C4982&lt;99,VLOOKUP(C4982,'MSA-Lookup'!$H$1:$I$86,2),C4982),C4982)</f>
        <v>4480</v>
      </c>
      <c r="G4982" s="0" t="n">
        <f aca="false">VLOOKUP(E4982,'MSA-Lookup'!$AA$1:$AB$25,2)</f>
        <v>4472</v>
      </c>
      <c r="H4982" s="0" t="n">
        <f aca="false">IF(C4982&gt;1,IF(C4982&lt;99,VLOOKUP(F4982,'MSA-Lookup'!$AA$1:$AB$25,2),C4982),C4982)</f>
        <v>4472</v>
      </c>
    </row>
    <row r="4983" customFormat="false" ht="12.75" hidden="false" customHeight="false" outlineLevel="0" collapsed="false">
      <c r="A4983" s="0" t="n">
        <f aca="false">B4983*1000+C4983</f>
        <v>69056</v>
      </c>
      <c r="B4983" s="0" t="n">
        <v>69</v>
      </c>
      <c r="C4983" s="0" t="n">
        <v>56</v>
      </c>
      <c r="D4983" s="0" t="n">
        <v>65</v>
      </c>
      <c r="E4983" s="0" t="n">
        <f aca="false">VLOOKUP(B4983,'MSA-Lookup'!$H$2:$I$86,2)</f>
        <v>6780</v>
      </c>
      <c r="F4983" s="0" t="n">
        <f aca="false">IF(C4983&gt;1,IF(C4983&lt;99,VLOOKUP(C4983,'MSA-Lookup'!$H$1:$I$86,2),C4983),C4983)</f>
        <v>4480</v>
      </c>
      <c r="G4983" s="0" t="n">
        <f aca="false">VLOOKUP(E4983,'MSA-Lookup'!$AA$1:$AB$25,2)</f>
        <v>4472</v>
      </c>
      <c r="H4983" s="0" t="n">
        <f aca="false">IF(C4983&gt;1,IF(C4983&lt;99,VLOOKUP(F4983,'MSA-Lookup'!$AA$1:$AB$25,2),C4983),C4983)</f>
        <v>4472</v>
      </c>
    </row>
    <row r="4984" customFormat="false" ht="12.75" hidden="false" customHeight="false" outlineLevel="0" collapsed="false">
      <c r="A4984" s="0" t="n">
        <f aca="false">B4984*1000+C4984</f>
        <v>69057</v>
      </c>
      <c r="B4984" s="0" t="n">
        <v>69</v>
      </c>
      <c r="C4984" s="0" t="n">
        <v>57</v>
      </c>
      <c r="D4984" s="0" t="n">
        <v>481</v>
      </c>
      <c r="E4984" s="0" t="n">
        <f aca="false">VLOOKUP(B4984,'MSA-Lookup'!$H$2:$I$86,2)</f>
        <v>6780</v>
      </c>
      <c r="F4984" s="0" t="n">
        <f aca="false">IF(C4984&gt;1,IF(C4984&lt;99,VLOOKUP(C4984,'MSA-Lookup'!$H$1:$I$86,2),C4984),C4984)</f>
        <v>4480</v>
      </c>
      <c r="G4984" s="0" t="n">
        <f aca="false">VLOOKUP(E4984,'MSA-Lookup'!$AA$1:$AB$25,2)</f>
        <v>4472</v>
      </c>
      <c r="H4984" s="0" t="n">
        <f aca="false">IF(C4984&gt;1,IF(C4984&lt;99,VLOOKUP(F4984,'MSA-Lookup'!$AA$1:$AB$25,2),C4984),C4984)</f>
        <v>4472</v>
      </c>
    </row>
    <row r="4985" customFormat="false" ht="12.75" hidden="false" customHeight="false" outlineLevel="0" collapsed="false">
      <c r="A4985" s="0" t="n">
        <f aca="false">B4985*1000+C4985</f>
        <v>69058</v>
      </c>
      <c r="B4985" s="0" t="n">
        <v>69</v>
      </c>
      <c r="C4985" s="0" t="n">
        <v>58</v>
      </c>
      <c r="D4985" s="0" t="n">
        <v>247</v>
      </c>
      <c r="E4985" s="0" t="n">
        <f aca="false">VLOOKUP(B4985,'MSA-Lookup'!$H$2:$I$86,2)</f>
        <v>6780</v>
      </c>
      <c r="F4985" s="0" t="n">
        <f aca="false">IF(C4985&gt;1,IF(C4985&lt;99,VLOOKUP(C4985,'MSA-Lookup'!$H$1:$I$86,2),C4985),C4985)</f>
        <v>4480</v>
      </c>
      <c r="G4985" s="0" t="n">
        <f aca="false">VLOOKUP(E4985,'MSA-Lookup'!$AA$1:$AB$25,2)</f>
        <v>4472</v>
      </c>
      <c r="H4985" s="0" t="n">
        <f aca="false">IF(C4985&gt;1,IF(C4985&lt;99,VLOOKUP(F4985,'MSA-Lookup'!$AA$1:$AB$25,2),C4985),C4985)</f>
        <v>4472</v>
      </c>
    </row>
    <row r="4986" customFormat="false" ht="12.75" hidden="false" customHeight="false" outlineLevel="0" collapsed="false">
      <c r="A4986" s="0" t="n">
        <f aca="false">B4986*1000+C4986</f>
        <v>69059</v>
      </c>
      <c r="B4986" s="0" t="n">
        <v>69</v>
      </c>
      <c r="C4986" s="0" t="n">
        <v>59</v>
      </c>
      <c r="D4986" s="0" t="n">
        <v>1469</v>
      </c>
      <c r="E4986" s="0" t="n">
        <f aca="false">VLOOKUP(B4986,'MSA-Lookup'!$H$2:$I$86,2)</f>
        <v>6780</v>
      </c>
      <c r="F4986" s="0" t="n">
        <f aca="false">IF(C4986&gt;1,IF(C4986&lt;99,VLOOKUP(C4986,'MSA-Lookup'!$H$1:$I$86,2),C4986),C4986)</f>
        <v>4480</v>
      </c>
      <c r="G4986" s="0" t="n">
        <f aca="false">VLOOKUP(E4986,'MSA-Lookup'!$AA$1:$AB$25,2)</f>
        <v>4472</v>
      </c>
      <c r="H4986" s="0" t="n">
        <f aca="false">IF(C4986&gt;1,IF(C4986&lt;99,VLOOKUP(F4986,'MSA-Lookup'!$AA$1:$AB$25,2),C4986),C4986)</f>
        <v>4472</v>
      </c>
    </row>
    <row r="4987" customFormat="false" ht="12.75" hidden="false" customHeight="false" outlineLevel="0" collapsed="false">
      <c r="A4987" s="0" t="n">
        <f aca="false">B4987*1000+C4987</f>
        <v>69060</v>
      </c>
      <c r="B4987" s="0" t="n">
        <v>69</v>
      </c>
      <c r="C4987" s="0" t="n">
        <v>60</v>
      </c>
      <c r="D4987" s="0" t="n">
        <v>728</v>
      </c>
      <c r="E4987" s="0" t="n">
        <f aca="false">VLOOKUP(B4987,'MSA-Lookup'!$H$2:$I$86,2)</f>
        <v>6780</v>
      </c>
      <c r="F4987" s="0" t="n">
        <f aca="false">IF(C4987&gt;1,IF(C4987&lt;99,VLOOKUP(C4987,'MSA-Lookup'!$H$1:$I$86,2),C4987),C4987)</f>
        <v>4480</v>
      </c>
      <c r="G4987" s="0" t="n">
        <f aca="false">VLOOKUP(E4987,'MSA-Lookup'!$AA$1:$AB$25,2)</f>
        <v>4472</v>
      </c>
      <c r="H4987" s="0" t="n">
        <f aca="false">IF(C4987&gt;1,IF(C4987&lt;99,VLOOKUP(F4987,'MSA-Lookup'!$AA$1:$AB$25,2),C4987),C4987)</f>
        <v>4472</v>
      </c>
    </row>
    <row r="4988" customFormat="false" ht="12.75" hidden="false" customHeight="false" outlineLevel="0" collapsed="false">
      <c r="A4988" s="0" t="n">
        <f aca="false">B4988*1000+C4988</f>
        <v>69061</v>
      </c>
      <c r="B4988" s="0" t="n">
        <v>69</v>
      </c>
      <c r="C4988" s="0" t="n">
        <v>61</v>
      </c>
      <c r="D4988" s="0" t="n">
        <v>143</v>
      </c>
      <c r="E4988" s="0" t="n">
        <f aca="false">VLOOKUP(B4988,'MSA-Lookup'!$H$2:$I$86,2)</f>
        <v>6780</v>
      </c>
      <c r="F4988" s="0" t="n">
        <f aca="false">IF(C4988&gt;1,IF(C4988&lt;99,VLOOKUP(C4988,'MSA-Lookup'!$H$1:$I$86,2),C4988),C4988)</f>
        <v>4480</v>
      </c>
      <c r="G4988" s="0" t="n">
        <f aca="false">VLOOKUP(E4988,'MSA-Lookup'!$AA$1:$AB$25,2)</f>
        <v>4472</v>
      </c>
      <c r="H4988" s="0" t="n">
        <f aca="false">IF(C4988&gt;1,IF(C4988&lt;99,VLOOKUP(F4988,'MSA-Lookup'!$AA$1:$AB$25,2),C4988),C4988)</f>
        <v>4472</v>
      </c>
    </row>
    <row r="4989" customFormat="false" ht="12.75" hidden="false" customHeight="false" outlineLevel="0" collapsed="false">
      <c r="A4989" s="0" t="n">
        <f aca="false">B4989*1000+C4989</f>
        <v>69062</v>
      </c>
      <c r="B4989" s="0" t="n">
        <v>69</v>
      </c>
      <c r="C4989" s="0" t="n">
        <v>62</v>
      </c>
      <c r="D4989" s="0" t="n">
        <v>455</v>
      </c>
      <c r="E4989" s="0" t="n">
        <f aca="false">VLOOKUP(B4989,'MSA-Lookup'!$H$2:$I$86,2)</f>
        <v>6780</v>
      </c>
      <c r="F4989" s="0" t="n">
        <f aca="false">IF(C4989&gt;1,IF(C4989&lt;99,VLOOKUP(C4989,'MSA-Lookup'!$H$1:$I$86,2),C4989),C4989)</f>
        <v>4480</v>
      </c>
      <c r="G4989" s="0" t="n">
        <f aca="false">VLOOKUP(E4989,'MSA-Lookup'!$AA$1:$AB$25,2)</f>
        <v>4472</v>
      </c>
      <c r="H4989" s="0" t="n">
        <f aca="false">IF(C4989&gt;1,IF(C4989&lt;99,VLOOKUP(F4989,'MSA-Lookup'!$AA$1:$AB$25,2),C4989),C4989)</f>
        <v>4472</v>
      </c>
    </row>
    <row r="4990" customFormat="false" ht="12.75" hidden="false" customHeight="false" outlineLevel="0" collapsed="false">
      <c r="A4990" s="0" t="n">
        <f aca="false">B4990*1000+C4990</f>
        <v>69063</v>
      </c>
      <c r="B4990" s="0" t="n">
        <v>69</v>
      </c>
      <c r="C4990" s="0" t="n">
        <v>63</v>
      </c>
      <c r="D4990" s="0" t="n">
        <v>637</v>
      </c>
      <c r="E4990" s="0" t="n">
        <f aca="false">VLOOKUP(B4990,'MSA-Lookup'!$H$2:$I$86,2)</f>
        <v>6780</v>
      </c>
      <c r="F4990" s="0" t="n">
        <f aca="false">IF(C4990&gt;1,IF(C4990&lt;99,VLOOKUP(C4990,'MSA-Lookup'!$H$1:$I$86,2),C4990),C4990)</f>
        <v>4480</v>
      </c>
      <c r="G4990" s="0" t="n">
        <f aca="false">VLOOKUP(E4990,'MSA-Lookup'!$AA$1:$AB$25,2)</f>
        <v>4472</v>
      </c>
      <c r="H4990" s="0" t="n">
        <f aca="false">IF(C4990&gt;1,IF(C4990&lt;99,VLOOKUP(F4990,'MSA-Lookup'!$AA$1:$AB$25,2),C4990),C4990)</f>
        <v>4472</v>
      </c>
    </row>
    <row r="4991" customFormat="false" ht="12.75" hidden="false" customHeight="false" outlineLevel="0" collapsed="false">
      <c r="A4991" s="0" t="n">
        <f aca="false">B4991*1000+C4991</f>
        <v>69064</v>
      </c>
      <c r="B4991" s="0" t="n">
        <v>69</v>
      </c>
      <c r="C4991" s="0" t="n">
        <v>64</v>
      </c>
      <c r="D4991" s="0" t="n">
        <v>11141</v>
      </c>
      <c r="E4991" s="0" t="n">
        <f aca="false">VLOOKUP(B4991,'MSA-Lookup'!$H$2:$I$86,2)</f>
        <v>6780</v>
      </c>
      <c r="F4991" s="0" t="n">
        <f aca="false">IF(C4991&gt;1,IF(C4991&lt;99,VLOOKUP(C4991,'MSA-Lookup'!$H$1:$I$86,2),C4991),C4991)</f>
        <v>4480</v>
      </c>
      <c r="G4991" s="0" t="n">
        <f aca="false">VLOOKUP(E4991,'MSA-Lookup'!$AA$1:$AB$25,2)</f>
        <v>4472</v>
      </c>
      <c r="H4991" s="0" t="n">
        <f aca="false">IF(C4991&gt;1,IF(C4991&lt;99,VLOOKUP(F4991,'MSA-Lookup'!$AA$1:$AB$25,2),C4991),C4991)</f>
        <v>4472</v>
      </c>
    </row>
    <row r="4992" customFormat="false" ht="12.75" hidden="false" customHeight="false" outlineLevel="0" collapsed="false">
      <c r="A4992" s="0" t="n">
        <f aca="false">B4992*1000+C4992</f>
        <v>69065</v>
      </c>
      <c r="B4992" s="0" t="n">
        <v>69</v>
      </c>
      <c r="C4992" s="0" t="n">
        <v>65</v>
      </c>
      <c r="D4992" s="0" t="n">
        <v>4927</v>
      </c>
      <c r="E4992" s="0" t="n">
        <f aca="false">VLOOKUP(B4992,'MSA-Lookup'!$H$2:$I$86,2)</f>
        <v>6780</v>
      </c>
      <c r="F4992" s="0" t="n">
        <f aca="false">IF(C4992&gt;1,IF(C4992&lt;99,VLOOKUP(C4992,'MSA-Lookup'!$H$1:$I$86,2),C4992),C4992)</f>
        <v>4480</v>
      </c>
      <c r="G4992" s="0" t="n">
        <f aca="false">VLOOKUP(E4992,'MSA-Lookup'!$AA$1:$AB$25,2)</f>
        <v>4472</v>
      </c>
      <c r="H4992" s="0" t="n">
        <f aca="false">IF(C4992&gt;1,IF(C4992&lt;99,VLOOKUP(F4992,'MSA-Lookup'!$AA$1:$AB$25,2),C4992),C4992)</f>
        <v>4472</v>
      </c>
    </row>
    <row r="4993" customFormat="false" ht="12.75" hidden="false" customHeight="false" outlineLevel="0" collapsed="false">
      <c r="A4993" s="0" t="n">
        <f aca="false">B4993*1000+C4993</f>
        <v>69066</v>
      </c>
      <c r="B4993" s="0" t="n">
        <v>69</v>
      </c>
      <c r="C4993" s="0" t="n">
        <v>66</v>
      </c>
      <c r="D4993" s="0" t="n">
        <v>2496</v>
      </c>
      <c r="E4993" s="0" t="n">
        <f aca="false">VLOOKUP(B4993,'MSA-Lookup'!$H$2:$I$86,2)</f>
        <v>6780</v>
      </c>
      <c r="F4993" s="0" t="n">
        <f aca="false">IF(C4993&gt;1,IF(C4993&lt;99,VLOOKUP(C4993,'MSA-Lookup'!$H$1:$I$86,2),C4993),C4993)</f>
        <v>4480</v>
      </c>
      <c r="G4993" s="0" t="n">
        <f aca="false">VLOOKUP(E4993,'MSA-Lookup'!$AA$1:$AB$25,2)</f>
        <v>4472</v>
      </c>
      <c r="H4993" s="0" t="n">
        <f aca="false">IF(C4993&gt;1,IF(C4993&lt;99,VLOOKUP(F4993,'MSA-Lookup'!$AA$1:$AB$25,2),C4993),C4993)</f>
        <v>4472</v>
      </c>
    </row>
    <row r="4994" customFormat="false" ht="12.75" hidden="false" customHeight="false" outlineLevel="0" collapsed="false">
      <c r="A4994" s="0" t="n">
        <f aca="false">B4994*1000+C4994</f>
        <v>69067</v>
      </c>
      <c r="B4994" s="0" t="n">
        <v>69</v>
      </c>
      <c r="C4994" s="0" t="n">
        <v>67</v>
      </c>
      <c r="D4994" s="0" t="n">
        <v>117</v>
      </c>
      <c r="E4994" s="0" t="n">
        <f aca="false">VLOOKUP(B4994,'MSA-Lookup'!$H$2:$I$86,2)</f>
        <v>6780</v>
      </c>
      <c r="F4994" s="0" t="n">
        <f aca="false">IF(C4994&gt;1,IF(C4994&lt;99,VLOOKUP(C4994,'MSA-Lookup'!$H$1:$I$86,2),C4994),C4994)</f>
        <v>6000</v>
      </c>
      <c r="G4994" s="0" t="n">
        <f aca="false">VLOOKUP(E4994,'MSA-Lookup'!$AA$1:$AB$25,2)</f>
        <v>4472</v>
      </c>
      <c r="H4994" s="0" t="n">
        <f aca="false">IF(C4994&gt;1,IF(C4994&lt;99,VLOOKUP(F4994,'MSA-Lookup'!$AA$1:$AB$25,2),C4994),C4994)</f>
        <v>4472</v>
      </c>
    </row>
    <row r="4995" customFormat="false" ht="12.75" hidden="false" customHeight="false" outlineLevel="0" collapsed="false">
      <c r="A4995" s="0" t="n">
        <f aca="false">B4995*1000+C4995</f>
        <v>69068</v>
      </c>
      <c r="B4995" s="0" t="n">
        <v>69</v>
      </c>
      <c r="C4995" s="0" t="n">
        <v>68</v>
      </c>
      <c r="D4995" s="0" t="n">
        <v>3302</v>
      </c>
      <c r="E4995" s="0" t="n">
        <f aca="false">VLOOKUP(B4995,'MSA-Lookup'!$H$2:$I$86,2)</f>
        <v>6780</v>
      </c>
      <c r="F4995" s="0" t="n">
        <f aca="false">IF(C4995&gt;1,IF(C4995&lt;99,VLOOKUP(C4995,'MSA-Lookup'!$H$1:$I$86,2),C4995),C4995)</f>
        <v>6780</v>
      </c>
      <c r="G4995" s="0" t="n">
        <f aca="false">VLOOKUP(E4995,'MSA-Lookup'!$AA$1:$AB$25,2)</f>
        <v>4472</v>
      </c>
      <c r="H4995" s="0" t="n">
        <f aca="false">IF(C4995&gt;1,IF(C4995&lt;99,VLOOKUP(F4995,'MSA-Lookup'!$AA$1:$AB$25,2),C4995),C4995)</f>
        <v>4472</v>
      </c>
    </row>
    <row r="4996" customFormat="false" ht="12.75" hidden="false" customHeight="false" outlineLevel="0" collapsed="false">
      <c r="A4996" s="0" t="n">
        <f aca="false">B4996*1000+C4996</f>
        <v>69069</v>
      </c>
      <c r="B4996" s="0" t="n">
        <v>69</v>
      </c>
      <c r="C4996" s="0" t="n">
        <v>69</v>
      </c>
      <c r="D4996" s="0" t="n">
        <v>216515</v>
      </c>
      <c r="E4996" s="0" t="n">
        <f aca="false">VLOOKUP(B4996,'MSA-Lookup'!$H$2:$I$86,2)</f>
        <v>6780</v>
      </c>
      <c r="F4996" s="0" t="n">
        <f aca="false">IF(C4996&gt;1,IF(C4996&lt;99,VLOOKUP(C4996,'MSA-Lookup'!$H$1:$I$86,2),C4996),C4996)</f>
        <v>6780</v>
      </c>
      <c r="G4996" s="0" t="n">
        <f aca="false">VLOOKUP(E4996,'MSA-Lookup'!$AA$1:$AB$25,2)</f>
        <v>4472</v>
      </c>
      <c r="H4996" s="0" t="n">
        <f aca="false">IF(C4996&gt;1,IF(C4996&lt;99,VLOOKUP(F4996,'MSA-Lookup'!$AA$1:$AB$25,2),C4996),C4996)</f>
        <v>4472</v>
      </c>
    </row>
    <row r="4997" customFormat="false" ht="12.75" hidden="false" customHeight="false" outlineLevel="0" collapsed="false">
      <c r="A4997" s="0" t="n">
        <f aca="false">B4997*1000+C4997</f>
        <v>69070</v>
      </c>
      <c r="B4997" s="0" t="n">
        <v>69</v>
      </c>
      <c r="C4997" s="0" t="n">
        <v>70</v>
      </c>
      <c r="D4997" s="0" t="n">
        <v>1287</v>
      </c>
      <c r="E4997" s="0" t="n">
        <f aca="false">VLOOKUP(B4997,'MSA-Lookup'!$H$2:$I$86,2)</f>
        <v>6780</v>
      </c>
      <c r="F4997" s="0" t="n">
        <f aca="false">IF(C4997&gt;1,IF(C4997&lt;99,VLOOKUP(C4997,'MSA-Lookup'!$H$1:$I$86,2),C4997),C4997)</f>
        <v>6780</v>
      </c>
      <c r="G4997" s="0" t="n">
        <f aca="false">VLOOKUP(E4997,'MSA-Lookup'!$AA$1:$AB$25,2)</f>
        <v>4472</v>
      </c>
      <c r="H4997" s="0" t="n">
        <f aca="false">IF(C4997&gt;1,IF(C4997&lt;99,VLOOKUP(F4997,'MSA-Lookup'!$AA$1:$AB$25,2),C4997),C4997)</f>
        <v>4472</v>
      </c>
    </row>
    <row r="4998" customFormat="false" ht="12.75" hidden="false" customHeight="false" outlineLevel="0" collapsed="false">
      <c r="A4998" s="0" t="n">
        <f aca="false">B4998*1000+C4998</f>
        <v>69071</v>
      </c>
      <c r="B4998" s="0" t="n">
        <v>69</v>
      </c>
      <c r="C4998" s="0" t="n">
        <v>71</v>
      </c>
      <c r="D4998" s="0" t="n">
        <v>3172</v>
      </c>
      <c r="E4998" s="0" t="n">
        <f aca="false">VLOOKUP(B4998,'MSA-Lookup'!$H$2:$I$86,2)</f>
        <v>6780</v>
      </c>
      <c r="F4998" s="0" t="n">
        <f aca="false">IF(C4998&gt;1,IF(C4998&lt;99,VLOOKUP(C4998,'MSA-Lookup'!$H$1:$I$86,2),C4998),C4998)</f>
        <v>6780</v>
      </c>
      <c r="G4998" s="0" t="n">
        <f aca="false">VLOOKUP(E4998,'MSA-Lookup'!$AA$1:$AB$25,2)</f>
        <v>4472</v>
      </c>
      <c r="H4998" s="0" t="n">
        <f aca="false">IF(C4998&gt;1,IF(C4998&lt;99,VLOOKUP(F4998,'MSA-Lookup'!$AA$1:$AB$25,2),C4998),C4998)</f>
        <v>4472</v>
      </c>
    </row>
    <row r="4999" customFormat="false" ht="12.75" hidden="false" customHeight="false" outlineLevel="0" collapsed="false">
      <c r="A4999" s="0" t="n">
        <f aca="false">B4999*1000+C4999</f>
        <v>69072</v>
      </c>
      <c r="B4999" s="0" t="n">
        <v>69</v>
      </c>
      <c r="C4999" s="0" t="n">
        <v>72</v>
      </c>
      <c r="D4999" s="0" t="n">
        <v>12818</v>
      </c>
      <c r="E4999" s="0" t="n">
        <f aca="false">VLOOKUP(B4999,'MSA-Lookup'!$H$2:$I$86,2)</f>
        <v>6780</v>
      </c>
      <c r="F4999" s="0" t="n">
        <f aca="false">IF(C4999&gt;1,IF(C4999&lt;99,VLOOKUP(C4999,'MSA-Lookup'!$H$1:$I$86,2),C4999),C4999)</f>
        <v>6780</v>
      </c>
      <c r="G4999" s="0" t="n">
        <f aca="false">VLOOKUP(E4999,'MSA-Lookup'!$AA$1:$AB$25,2)</f>
        <v>4472</v>
      </c>
      <c r="H4999" s="0" t="n">
        <f aca="false">IF(C4999&gt;1,IF(C4999&lt;99,VLOOKUP(F4999,'MSA-Lookup'!$AA$1:$AB$25,2),C4999),C4999)</f>
        <v>4472</v>
      </c>
    </row>
    <row r="5000" customFormat="false" ht="12.75" hidden="false" customHeight="false" outlineLevel="0" collapsed="false">
      <c r="A5000" s="0" t="n">
        <f aca="false">B5000*1000+C5000</f>
        <v>69073</v>
      </c>
      <c r="B5000" s="0" t="n">
        <v>69</v>
      </c>
      <c r="C5000" s="0" t="n">
        <v>73</v>
      </c>
      <c r="D5000" s="0" t="n">
        <v>0</v>
      </c>
      <c r="E5000" s="0" t="n">
        <f aca="false">VLOOKUP(B5000,'MSA-Lookup'!$H$2:$I$86,2)</f>
        <v>6780</v>
      </c>
      <c r="F5000" s="0" t="n">
        <f aca="false">IF(C5000&gt;1,IF(C5000&lt;99,VLOOKUP(C5000,'MSA-Lookup'!$H$1:$I$86,2),C5000),C5000)</f>
        <v>8720</v>
      </c>
      <c r="G5000" s="0" t="n">
        <f aca="false">VLOOKUP(E5000,'MSA-Lookup'!$AA$1:$AB$25,2)</f>
        <v>4472</v>
      </c>
      <c r="H5000" s="0" t="n">
        <f aca="false">IF(C5000&gt;1,IF(C5000&lt;99,VLOOKUP(F5000,'MSA-Lookup'!$AA$1:$AB$25,2),C5000),C5000)</f>
        <v>7362</v>
      </c>
    </row>
    <row r="5001" customFormat="false" ht="12.75" hidden="false" customHeight="false" outlineLevel="0" collapsed="false">
      <c r="A5001" s="0" t="n">
        <f aca="false">B5001*1000+C5001</f>
        <v>69075</v>
      </c>
      <c r="B5001" s="0" t="n">
        <v>69</v>
      </c>
      <c r="C5001" s="0" t="n">
        <v>75</v>
      </c>
      <c r="D5001" s="0" t="n">
        <v>0</v>
      </c>
      <c r="E5001" s="0" t="n">
        <f aca="false">VLOOKUP(B5001,'MSA-Lookup'!$H$2:$I$86,2)</f>
        <v>6780</v>
      </c>
      <c r="F5001" s="0" t="n">
        <f aca="false">IF(C5001&gt;1,IF(C5001&lt;99,VLOOKUP(C5001,'MSA-Lookup'!$H$1:$I$86,2),C5001),C5001)</f>
        <v>8780</v>
      </c>
      <c r="G5001" s="0" t="n">
        <f aca="false">VLOOKUP(E5001,'MSA-Lookup'!$AA$1:$AB$25,2)</f>
        <v>4472</v>
      </c>
      <c r="H5001" s="0" t="n">
        <f aca="false">IF(C5001&gt;1,IF(C5001&lt;99,VLOOKUP(F5001,'MSA-Lookup'!$AA$1:$AB$25,2),C5001),C5001)</f>
        <v>8780</v>
      </c>
    </row>
    <row r="5002" customFormat="false" ht="12.75" hidden="false" customHeight="false" outlineLevel="0" collapsed="false">
      <c r="A5002" s="0" t="n">
        <f aca="false">B5002*1000+C5002</f>
        <v>69076</v>
      </c>
      <c r="B5002" s="0" t="n">
        <v>69</v>
      </c>
      <c r="C5002" s="0" t="n">
        <v>76</v>
      </c>
      <c r="D5002" s="0" t="n">
        <v>104</v>
      </c>
      <c r="E5002" s="0" t="n">
        <f aca="false">VLOOKUP(B5002,'MSA-Lookup'!$H$2:$I$86,2)</f>
        <v>6780</v>
      </c>
      <c r="F5002" s="0" t="n">
        <f aca="false">IF(C5002&gt;1,IF(C5002&lt;99,VLOOKUP(C5002,'MSA-Lookup'!$H$1:$I$86,2),C5002),C5002)</f>
        <v>7485</v>
      </c>
      <c r="G5002" s="0" t="n">
        <f aca="false">VLOOKUP(E5002,'MSA-Lookup'!$AA$1:$AB$25,2)</f>
        <v>4472</v>
      </c>
      <c r="H5002" s="0" t="n">
        <f aca="false">IF(C5002&gt;1,IF(C5002&lt;99,VLOOKUP(F5002,'MSA-Lookup'!$AA$1:$AB$25,2),C5002),C5002)</f>
        <v>7362</v>
      </c>
    </row>
    <row r="5003" customFormat="false" ht="12.75" hidden="false" customHeight="false" outlineLevel="0" collapsed="false">
      <c r="A5003" s="0" t="n">
        <f aca="false">B5003*1000+C5003</f>
        <v>69077</v>
      </c>
      <c r="B5003" s="0" t="n">
        <v>69</v>
      </c>
      <c r="C5003" s="0" t="n">
        <v>77</v>
      </c>
      <c r="D5003" s="0" t="n">
        <v>143</v>
      </c>
      <c r="E5003" s="0" t="n">
        <f aca="false">VLOOKUP(B5003,'MSA-Lookup'!$H$2:$I$86,2)</f>
        <v>6780</v>
      </c>
      <c r="F5003" s="0" t="n">
        <f aca="false">IF(C5003&gt;1,IF(C5003&lt;99,VLOOKUP(C5003,'MSA-Lookup'!$H$1:$I$86,2),C5003),C5003)</f>
        <v>9999</v>
      </c>
      <c r="G5003" s="0" t="n">
        <f aca="false">VLOOKUP(E5003,'MSA-Lookup'!$AA$1:$AB$25,2)</f>
        <v>4472</v>
      </c>
      <c r="H5003" s="0" t="n">
        <f aca="false">IF(C5003&gt;1,IF(C5003&lt;99,VLOOKUP(F5003,'MSA-Lookup'!$AA$1:$AB$25,2),C5003),C5003)</f>
        <v>9999</v>
      </c>
    </row>
    <row r="5004" customFormat="false" ht="12.75" hidden="false" customHeight="false" outlineLevel="0" collapsed="false">
      <c r="A5004" s="0" t="n">
        <f aca="false">B5004*1000+C5004</f>
        <v>69078</v>
      </c>
      <c r="B5004" s="0" t="n">
        <v>69</v>
      </c>
      <c r="C5004" s="0" t="n">
        <v>78</v>
      </c>
      <c r="D5004" s="0" t="n">
        <v>0</v>
      </c>
      <c r="E5004" s="0" t="n">
        <f aca="false">VLOOKUP(B5004,'MSA-Lookup'!$H$2:$I$86,2)</f>
        <v>6780</v>
      </c>
      <c r="F5004" s="0" t="n">
        <f aca="false">IF(C5004&gt;1,IF(C5004&lt;99,VLOOKUP(C5004,'MSA-Lookup'!$H$1:$I$86,2),C5004),C5004)</f>
        <v>680</v>
      </c>
      <c r="G5004" s="0" t="n">
        <f aca="false">VLOOKUP(E5004,'MSA-Lookup'!$AA$1:$AB$25,2)</f>
        <v>4472</v>
      </c>
      <c r="H5004" s="0" t="n">
        <f aca="false">IF(C5004&gt;1,IF(C5004&lt;99,VLOOKUP(F5004,'MSA-Lookup'!$AA$1:$AB$25,2),C5004),C5004)</f>
        <v>680</v>
      </c>
    </row>
    <row r="5005" customFormat="false" ht="12.75" hidden="false" customHeight="false" outlineLevel="0" collapsed="false">
      <c r="A5005" s="0" t="n">
        <f aca="false">B5005*1000+C5005</f>
        <v>69079</v>
      </c>
      <c r="B5005" s="0" t="n">
        <v>69</v>
      </c>
      <c r="C5005" s="0" t="n">
        <v>79</v>
      </c>
      <c r="D5005" s="0" t="n">
        <v>0</v>
      </c>
      <c r="E5005" s="0" t="n">
        <f aca="false">VLOOKUP(B5005,'MSA-Lookup'!$H$2:$I$86,2)</f>
        <v>6780</v>
      </c>
      <c r="F5005" s="0" t="n">
        <f aca="false">IF(C5005&gt;1,IF(C5005&lt;99,VLOOKUP(C5005,'MSA-Lookup'!$H$1:$I$86,2),C5005),C5005)</f>
        <v>680</v>
      </c>
      <c r="G5005" s="0" t="n">
        <f aca="false">VLOOKUP(E5005,'MSA-Lookup'!$AA$1:$AB$25,2)</f>
        <v>4472</v>
      </c>
      <c r="H5005" s="0" t="n">
        <f aca="false">IF(C5005&gt;1,IF(C5005&lt;99,VLOOKUP(F5005,'MSA-Lookup'!$AA$1:$AB$25,2),C5005),C5005)</f>
        <v>680</v>
      </c>
    </row>
    <row r="5006" customFormat="false" ht="12.75" hidden="false" customHeight="false" outlineLevel="0" collapsed="false">
      <c r="A5006" s="0" t="n">
        <f aca="false">B5006*1000+C5006</f>
        <v>69080</v>
      </c>
      <c r="B5006" s="0" t="n">
        <v>69</v>
      </c>
      <c r="C5006" s="0" t="n">
        <v>80</v>
      </c>
      <c r="D5006" s="0" t="n">
        <v>104</v>
      </c>
      <c r="E5006" s="0" t="n">
        <f aca="false">VLOOKUP(B5006,'MSA-Lookup'!$H$2:$I$86,2)</f>
        <v>6780</v>
      </c>
      <c r="F5006" s="0" t="n">
        <f aca="false">IF(C5006&gt;1,IF(C5006&lt;99,VLOOKUP(C5006,'MSA-Lookup'!$H$1:$I$86,2),C5006),C5006)</f>
        <v>9999</v>
      </c>
      <c r="G5006" s="0" t="n">
        <f aca="false">VLOOKUP(E5006,'MSA-Lookup'!$AA$1:$AB$25,2)</f>
        <v>4472</v>
      </c>
      <c r="H5006" s="0" t="n">
        <f aca="false">IF(C5006&gt;1,IF(C5006&lt;99,VLOOKUP(F5006,'MSA-Lookup'!$AA$1:$AB$25,2),C5006),C5006)</f>
        <v>9999</v>
      </c>
    </row>
    <row r="5007" customFormat="false" ht="12.75" hidden="false" customHeight="false" outlineLevel="0" collapsed="false">
      <c r="A5007" s="0" t="n">
        <f aca="false">B5007*1000+C5007</f>
        <v>69081</v>
      </c>
      <c r="B5007" s="0" t="n">
        <v>69</v>
      </c>
      <c r="C5007" s="0" t="n">
        <v>81</v>
      </c>
      <c r="D5007" s="0" t="n">
        <v>23660</v>
      </c>
      <c r="E5007" s="0" t="n">
        <f aca="false">VLOOKUP(B5007,'MSA-Lookup'!$H$2:$I$86,2)</f>
        <v>6780</v>
      </c>
      <c r="F5007" s="0" t="n">
        <f aca="false">IF(C5007&gt;1,IF(C5007&lt;99,VLOOKUP(C5007,'MSA-Lookup'!$H$1:$I$86,2),C5007),C5007)</f>
        <v>6780</v>
      </c>
      <c r="G5007" s="0" t="n">
        <f aca="false">VLOOKUP(E5007,'MSA-Lookup'!$AA$1:$AB$25,2)</f>
        <v>4472</v>
      </c>
      <c r="H5007" s="0" t="n">
        <f aca="false">IF(C5007&gt;1,IF(C5007&lt;99,VLOOKUP(F5007,'MSA-Lookup'!$AA$1:$AB$25,2),C5007),C5007)</f>
        <v>4472</v>
      </c>
    </row>
    <row r="5008" customFormat="false" ht="12.75" hidden="false" customHeight="false" outlineLevel="0" collapsed="false">
      <c r="A5008" s="0" t="n">
        <f aca="false">B5008*1000+C5008</f>
        <v>69082</v>
      </c>
      <c r="B5008" s="0" t="n">
        <v>69</v>
      </c>
      <c r="C5008" s="0" t="n">
        <v>82</v>
      </c>
      <c r="D5008" s="0" t="n">
        <v>4095</v>
      </c>
      <c r="E5008" s="0" t="n">
        <f aca="false">VLOOKUP(B5008,'MSA-Lookup'!$H$2:$I$86,2)</f>
        <v>6780</v>
      </c>
      <c r="F5008" s="0" t="n">
        <f aca="false">IF(C5008&gt;1,IF(C5008&lt;99,VLOOKUP(C5008,'MSA-Lookup'!$H$1:$I$86,2),C5008),C5008)</f>
        <v>6780</v>
      </c>
      <c r="G5008" s="0" t="n">
        <f aca="false">VLOOKUP(E5008,'MSA-Lookup'!$AA$1:$AB$25,2)</f>
        <v>4472</v>
      </c>
      <c r="H5008" s="0" t="n">
        <f aca="false">IF(C5008&gt;1,IF(C5008&lt;99,VLOOKUP(F5008,'MSA-Lookup'!$AA$1:$AB$25,2),C5008),C5008)</f>
        <v>4472</v>
      </c>
    </row>
    <row r="5009" customFormat="false" ht="12.75" hidden="false" customHeight="false" outlineLevel="0" collapsed="false">
      <c r="A5009" s="0" t="n">
        <f aca="false">B5009*1000+C5009</f>
        <v>69083</v>
      </c>
      <c r="B5009" s="0" t="n">
        <v>69</v>
      </c>
      <c r="C5009" s="0" t="n">
        <v>83</v>
      </c>
      <c r="D5009" s="0" t="n">
        <v>0</v>
      </c>
      <c r="E5009" s="0" t="n">
        <f aca="false">VLOOKUP(B5009,'MSA-Lookup'!$H$2:$I$86,2)</f>
        <v>6780</v>
      </c>
      <c r="F5009" s="0" t="n">
        <f aca="false">IF(C5009&gt;1,IF(C5009&lt;99,VLOOKUP(C5009,'MSA-Lookup'!$H$1:$I$86,2),C5009),C5009)</f>
        <v>6000</v>
      </c>
      <c r="G5009" s="0" t="n">
        <f aca="false">VLOOKUP(E5009,'MSA-Lookup'!$AA$1:$AB$25,2)</f>
        <v>4472</v>
      </c>
      <c r="H5009" s="0" t="n">
        <f aca="false">IF(C5009&gt;1,IF(C5009&lt;99,VLOOKUP(F5009,'MSA-Lookup'!$AA$1:$AB$25,2),C5009),C5009)</f>
        <v>4472</v>
      </c>
    </row>
    <row r="5010" customFormat="false" ht="12.75" hidden="false" customHeight="false" outlineLevel="0" collapsed="false">
      <c r="A5010" s="0" t="n">
        <f aca="false">B5010*1000+C5010</f>
        <v>69084</v>
      </c>
      <c r="B5010" s="0" t="n">
        <v>69</v>
      </c>
      <c r="C5010" s="0" t="n">
        <v>84</v>
      </c>
      <c r="D5010" s="0" t="n">
        <v>8879</v>
      </c>
      <c r="E5010" s="0" t="n">
        <f aca="false">VLOOKUP(B5010,'MSA-Lookup'!$H$2:$I$86,2)</f>
        <v>6780</v>
      </c>
      <c r="F5010" s="0" t="n">
        <f aca="false">IF(C5010&gt;1,IF(C5010&lt;99,VLOOKUP(C5010,'MSA-Lookup'!$H$1:$I$86,2),C5010),C5010)</f>
        <v>360</v>
      </c>
      <c r="G5010" s="0" t="n">
        <f aca="false">VLOOKUP(E5010,'MSA-Lookup'!$AA$1:$AB$25,2)</f>
        <v>4472</v>
      </c>
      <c r="H5010" s="0" t="n">
        <f aca="false">IF(C5010&gt;1,IF(C5010&lt;99,VLOOKUP(F5010,'MSA-Lookup'!$AA$1:$AB$25,2),C5010),C5010)</f>
        <v>4472</v>
      </c>
    </row>
    <row r="5011" customFormat="false" ht="12.75" hidden="false" customHeight="false" outlineLevel="0" collapsed="false">
      <c r="A5011" s="0" t="n">
        <f aca="false">B5011*1000+C5011</f>
        <v>69085</v>
      </c>
      <c r="B5011" s="0" t="n">
        <v>69</v>
      </c>
      <c r="C5011" s="0" t="n">
        <v>85</v>
      </c>
      <c r="D5011" s="0" t="n">
        <v>0</v>
      </c>
      <c r="E5011" s="0" t="n">
        <f aca="false">VLOOKUP(B5011,'MSA-Lookup'!$H$2:$I$86,2)</f>
        <v>6780</v>
      </c>
      <c r="F5011" s="0" t="n">
        <f aca="false">IF(C5011&gt;1,IF(C5011&lt;99,VLOOKUP(C5011,'MSA-Lookup'!$H$1:$I$86,2),C5011),C5011)</f>
        <v>8120</v>
      </c>
      <c r="G5011" s="0" t="n">
        <f aca="false">VLOOKUP(E5011,'MSA-Lookup'!$AA$1:$AB$25,2)</f>
        <v>4472</v>
      </c>
      <c r="H5011" s="0" t="n">
        <f aca="false">IF(C5011&gt;1,IF(C5011&lt;99,VLOOKUP(F5011,'MSA-Lookup'!$AA$1:$AB$25,2),C5011),C5011)</f>
        <v>8120</v>
      </c>
    </row>
    <row r="5012" customFormat="false" ht="12.75" hidden="false" customHeight="false" outlineLevel="0" collapsed="false">
      <c r="A5012" s="0" t="n">
        <f aca="false">B5012*1000+C5012</f>
        <v>69858</v>
      </c>
      <c r="B5012" s="0" t="n">
        <v>69</v>
      </c>
      <c r="C5012" s="0" t="n">
        <v>858</v>
      </c>
      <c r="D5012" s="0" t="n">
        <v>0</v>
      </c>
      <c r="E5012" s="0" t="n">
        <f aca="false">VLOOKUP(B5012,'MSA-Lookup'!$H$2:$I$86,2)</f>
        <v>6780</v>
      </c>
      <c r="F5012" s="0" t="n">
        <f aca="false">IF(C5012&gt;1,IF(C5012&lt;99,VLOOKUP(C5012,'MSA-Lookup'!$H$1:$I$86,2),C5012),C5012)</f>
        <v>858</v>
      </c>
      <c r="G5012" s="0" t="n">
        <f aca="false">VLOOKUP(E5012,'MSA-Lookup'!$AA$1:$AB$25,2)</f>
        <v>4472</v>
      </c>
      <c r="H5012" s="0" t="n">
        <f aca="false">IF(C5012&gt;1,IF(C5012&lt;99,VLOOKUP(F5012,'MSA-Lookup'!$AA$1:$AB$25,2),C5012),C5012)</f>
        <v>858</v>
      </c>
    </row>
    <row r="5013" customFormat="false" ht="12.75" hidden="false" customHeight="false" outlineLevel="0" collapsed="false">
      <c r="A5013" s="0" t="n">
        <f aca="false">B5013*1000+C5013</f>
        <v>69983</v>
      </c>
      <c r="B5013" s="0" t="n">
        <v>69</v>
      </c>
      <c r="C5013" s="0" t="n">
        <v>983</v>
      </c>
      <c r="D5013" s="0" t="n">
        <v>0</v>
      </c>
      <c r="E5013" s="0" t="n">
        <f aca="false">VLOOKUP(B5013,'MSA-Lookup'!$H$2:$I$86,2)</f>
        <v>6780</v>
      </c>
      <c r="F5013" s="0" t="n">
        <f aca="false">IF(C5013&gt;1,IF(C5013&lt;99,VLOOKUP(C5013,'MSA-Lookup'!$H$1:$I$86,2),C5013),C5013)</f>
        <v>983</v>
      </c>
      <c r="G5013" s="0" t="n">
        <f aca="false">VLOOKUP(E5013,'MSA-Lookup'!$AA$1:$AB$25,2)</f>
        <v>4472</v>
      </c>
      <c r="H5013" s="0" t="n">
        <f aca="false">IF(C5013&gt;1,IF(C5013&lt;99,VLOOKUP(F5013,'MSA-Lookup'!$AA$1:$AB$25,2),C5013),C5013)</f>
        <v>983</v>
      </c>
    </row>
    <row r="5014" customFormat="false" ht="12.75" hidden="false" customHeight="false" outlineLevel="0" collapsed="false">
      <c r="A5014" s="0" t="n">
        <f aca="false">B5014*1000+C5014</f>
        <v>69999</v>
      </c>
      <c r="B5014" s="0" t="n">
        <v>69</v>
      </c>
      <c r="C5014" s="0" t="n">
        <v>999</v>
      </c>
      <c r="D5014" s="0" t="n">
        <v>0</v>
      </c>
      <c r="E5014" s="0" t="n">
        <f aca="false">VLOOKUP(B5014,'MSA-Lookup'!$H$2:$I$86,2)</f>
        <v>6780</v>
      </c>
      <c r="F5014" s="0" t="n">
        <f aca="false">IF(C5014&gt;1,IF(C5014&lt;99,VLOOKUP(C5014,'MSA-Lookup'!$H$1:$I$86,2),C5014),C5014)</f>
        <v>999</v>
      </c>
      <c r="G5014" s="0" t="n">
        <f aca="false">VLOOKUP(E5014,'MSA-Lookup'!$AA$1:$AB$25,2)</f>
        <v>4472</v>
      </c>
      <c r="H5014" s="0" t="n">
        <f aca="false">IF(C5014&gt;1,IF(C5014&lt;99,VLOOKUP(F5014,'MSA-Lookup'!$AA$1:$AB$25,2),C5014),C5014)</f>
        <v>999</v>
      </c>
    </row>
    <row r="5015" customFormat="false" ht="12.75" hidden="false" customHeight="false" outlineLevel="0" collapsed="false">
      <c r="A5015" s="0" t="n">
        <f aca="false">B5015*1000+C5015</f>
        <v>70000</v>
      </c>
      <c r="B5015" s="0" t="n">
        <v>70</v>
      </c>
      <c r="C5015" s="0" t="n">
        <v>0</v>
      </c>
      <c r="D5015" s="0" t="n">
        <v>52624</v>
      </c>
      <c r="E5015" s="0" t="n">
        <f aca="false">VLOOKUP(B5015,'MSA-Lookup'!$H$2:$I$86,2)</f>
        <v>6780</v>
      </c>
      <c r="F5015" s="0" t="n">
        <f aca="false">IF(C5015&gt;1,IF(C5015&lt;99,VLOOKUP(C5015,'MSA-Lookup'!$H$1:$I$86,2),C5015),C5015)</f>
        <v>0</v>
      </c>
      <c r="G5015" s="0" t="n">
        <f aca="false">VLOOKUP(E5015,'MSA-Lookup'!$AA$1:$AB$25,2)</f>
        <v>4472</v>
      </c>
      <c r="H5015" s="0" t="n">
        <f aca="false">IF(C5015&gt;1,IF(C5015&lt;99,VLOOKUP(F5015,'MSA-Lookup'!$AA$1:$AB$25,2),C5015),C5015)</f>
        <v>0</v>
      </c>
    </row>
    <row r="5016" customFormat="false" ht="12.75" hidden="false" customHeight="false" outlineLevel="0" collapsed="false">
      <c r="A5016" s="0" t="n">
        <f aca="false">B5016*1000+C5016</f>
        <v>70001</v>
      </c>
      <c r="B5016" s="0" t="n">
        <v>70</v>
      </c>
      <c r="C5016" s="0" t="n">
        <v>1</v>
      </c>
      <c r="D5016" s="0" t="n">
        <v>0</v>
      </c>
      <c r="E5016" s="0" t="n">
        <f aca="false">VLOOKUP(B5016,'MSA-Lookup'!$H$2:$I$86,2)</f>
        <v>6780</v>
      </c>
      <c r="F5016" s="0" t="n">
        <f aca="false">IF(C5016&gt;1,IF(C5016&lt;99,VLOOKUP(C5016,'MSA-Lookup'!$H$1:$I$86,2),C5016),C5016)</f>
        <v>1</v>
      </c>
      <c r="G5016" s="0" t="n">
        <f aca="false">VLOOKUP(E5016,'MSA-Lookup'!$AA$1:$AB$25,2)</f>
        <v>4472</v>
      </c>
      <c r="H5016" s="0" t="n">
        <f aca="false">IF(C5016&gt;1,IF(C5016&lt;99,VLOOKUP(F5016,'MSA-Lookup'!$AA$1:$AB$25,2),C5016),C5016)</f>
        <v>1</v>
      </c>
    </row>
    <row r="5017" customFormat="false" ht="12.75" hidden="false" customHeight="false" outlineLevel="0" collapsed="false">
      <c r="A5017" s="0" t="n">
        <f aca="false">B5017*1000+C5017</f>
        <v>70002</v>
      </c>
      <c r="B5017" s="0" t="n">
        <v>70</v>
      </c>
      <c r="C5017" s="0" t="n">
        <v>2</v>
      </c>
      <c r="D5017" s="0" t="n">
        <v>104</v>
      </c>
      <c r="E5017" s="0" t="n">
        <f aca="false">VLOOKUP(B5017,'MSA-Lookup'!$H$2:$I$86,2)</f>
        <v>6780</v>
      </c>
      <c r="F5017" s="0" t="n">
        <f aca="false">IF(C5017&gt;1,IF(C5017&lt;99,VLOOKUP(C5017,'MSA-Lookup'!$H$1:$I$86,2),C5017),C5017)</f>
        <v>9999</v>
      </c>
      <c r="G5017" s="0" t="n">
        <f aca="false">VLOOKUP(E5017,'MSA-Lookup'!$AA$1:$AB$25,2)</f>
        <v>4472</v>
      </c>
      <c r="H5017" s="0" t="n">
        <f aca="false">IF(C5017&gt;1,IF(C5017&lt;99,VLOOKUP(F5017,'MSA-Lookup'!$AA$1:$AB$25,2),C5017),C5017)</f>
        <v>9999</v>
      </c>
    </row>
    <row r="5018" customFormat="false" ht="12.75" hidden="false" customHeight="false" outlineLevel="0" collapsed="false">
      <c r="A5018" s="0" t="n">
        <f aca="false">B5018*1000+C5018</f>
        <v>70003</v>
      </c>
      <c r="B5018" s="0" t="n">
        <v>70</v>
      </c>
      <c r="C5018" s="0" t="n">
        <v>3</v>
      </c>
      <c r="D5018" s="0" t="n">
        <v>117</v>
      </c>
      <c r="E5018" s="0" t="n">
        <f aca="false">VLOOKUP(B5018,'MSA-Lookup'!$H$2:$I$86,2)</f>
        <v>6780</v>
      </c>
      <c r="F5018" s="0" t="n">
        <f aca="false">IF(C5018&gt;1,IF(C5018&lt;99,VLOOKUP(C5018,'MSA-Lookup'!$H$1:$I$86,2),C5018),C5018)</f>
        <v>6690</v>
      </c>
      <c r="G5018" s="0" t="n">
        <f aca="false">VLOOKUP(E5018,'MSA-Lookup'!$AA$1:$AB$25,2)</f>
        <v>4472</v>
      </c>
      <c r="H5018" s="0" t="n">
        <f aca="false">IF(C5018&gt;1,IF(C5018&lt;99,VLOOKUP(F5018,'MSA-Lookup'!$AA$1:$AB$25,2),C5018),C5018)</f>
        <v>6690</v>
      </c>
    </row>
    <row r="5019" customFormat="false" ht="12.75" hidden="false" customHeight="false" outlineLevel="0" collapsed="false">
      <c r="A5019" s="0" t="n">
        <f aca="false">B5019*1000+C5019</f>
        <v>70004</v>
      </c>
      <c r="B5019" s="0" t="n">
        <v>70</v>
      </c>
      <c r="C5019" s="0" t="n">
        <v>4</v>
      </c>
      <c r="D5019" s="0" t="n">
        <v>0</v>
      </c>
      <c r="E5019" s="0" t="n">
        <f aca="false">VLOOKUP(B5019,'MSA-Lookup'!$H$2:$I$86,2)</f>
        <v>6780</v>
      </c>
      <c r="F5019" s="0" t="n">
        <f aca="false">IF(C5019&gt;1,IF(C5019&lt;99,VLOOKUP(C5019,'MSA-Lookup'!$H$1:$I$86,2),C5019),C5019)</f>
        <v>9999</v>
      </c>
      <c r="G5019" s="0" t="n">
        <f aca="false">VLOOKUP(E5019,'MSA-Lookup'!$AA$1:$AB$25,2)</f>
        <v>4472</v>
      </c>
      <c r="H5019" s="0" t="n">
        <f aca="false">IF(C5019&gt;1,IF(C5019&lt;99,VLOOKUP(F5019,'MSA-Lookup'!$AA$1:$AB$25,2),C5019),C5019)</f>
        <v>9999</v>
      </c>
    </row>
    <row r="5020" customFormat="false" ht="12.75" hidden="false" customHeight="false" outlineLevel="0" collapsed="false">
      <c r="A5020" s="0" t="n">
        <f aca="false">B5020*1000+C5020</f>
        <v>70005</v>
      </c>
      <c r="B5020" s="0" t="n">
        <v>70</v>
      </c>
      <c r="C5020" s="0" t="n">
        <v>5</v>
      </c>
      <c r="D5020" s="0" t="n">
        <v>0</v>
      </c>
      <c r="E5020" s="0" t="n">
        <f aca="false">VLOOKUP(B5020,'MSA-Lookup'!$H$2:$I$86,2)</f>
        <v>6780</v>
      </c>
      <c r="F5020" s="0" t="n">
        <f aca="false">IF(C5020&gt;1,IF(C5020&lt;99,VLOOKUP(C5020,'MSA-Lookup'!$H$1:$I$86,2),C5020),C5020)</f>
        <v>9999</v>
      </c>
      <c r="G5020" s="0" t="n">
        <f aca="false">VLOOKUP(E5020,'MSA-Lookup'!$AA$1:$AB$25,2)</f>
        <v>4472</v>
      </c>
      <c r="H5020" s="0" t="n">
        <f aca="false">IF(C5020&gt;1,IF(C5020&lt;99,VLOOKUP(F5020,'MSA-Lookup'!$AA$1:$AB$25,2),C5020),C5020)</f>
        <v>9999</v>
      </c>
    </row>
    <row r="5021" customFormat="false" ht="12.75" hidden="false" customHeight="false" outlineLevel="0" collapsed="false">
      <c r="A5021" s="0" t="n">
        <f aca="false">B5021*1000+C5021</f>
        <v>70006</v>
      </c>
      <c r="B5021" s="0" t="n">
        <v>70</v>
      </c>
      <c r="C5021" s="0" t="n">
        <v>6</v>
      </c>
      <c r="D5021" s="0" t="n">
        <v>0</v>
      </c>
      <c r="E5021" s="0" t="n">
        <f aca="false">VLOOKUP(B5021,'MSA-Lookup'!$H$2:$I$86,2)</f>
        <v>6780</v>
      </c>
      <c r="F5021" s="0" t="n">
        <f aca="false">IF(C5021&gt;1,IF(C5021&lt;99,VLOOKUP(C5021,'MSA-Lookup'!$H$1:$I$86,2),C5021),C5021)</f>
        <v>1620</v>
      </c>
      <c r="G5021" s="0" t="n">
        <f aca="false">VLOOKUP(E5021,'MSA-Lookup'!$AA$1:$AB$25,2)</f>
        <v>4472</v>
      </c>
      <c r="H5021" s="0" t="n">
        <f aca="false">IF(C5021&gt;1,IF(C5021&lt;99,VLOOKUP(F5021,'MSA-Lookup'!$AA$1:$AB$25,2),C5021),C5021)</f>
        <v>1620</v>
      </c>
    </row>
    <row r="5022" customFormat="false" ht="12.75" hidden="false" customHeight="false" outlineLevel="0" collapsed="false">
      <c r="A5022" s="0" t="n">
        <f aca="false">B5022*1000+C5022</f>
        <v>70007</v>
      </c>
      <c r="B5022" s="0" t="n">
        <v>70</v>
      </c>
      <c r="C5022" s="0" t="n">
        <v>7</v>
      </c>
      <c r="D5022" s="0" t="n">
        <v>0</v>
      </c>
      <c r="E5022" s="0" t="n">
        <f aca="false">VLOOKUP(B5022,'MSA-Lookup'!$H$2:$I$86,2)</f>
        <v>6780</v>
      </c>
      <c r="F5022" s="0" t="n">
        <f aca="false">IF(C5022&gt;1,IF(C5022&lt;99,VLOOKUP(C5022,'MSA-Lookup'!$H$1:$I$86,2),C5022),C5022)</f>
        <v>9999</v>
      </c>
      <c r="G5022" s="0" t="n">
        <f aca="false">VLOOKUP(E5022,'MSA-Lookup'!$AA$1:$AB$25,2)</f>
        <v>4472</v>
      </c>
      <c r="H5022" s="0" t="n">
        <f aca="false">IF(C5022&gt;1,IF(C5022&lt;99,VLOOKUP(F5022,'MSA-Lookup'!$AA$1:$AB$25,2),C5022),C5022)</f>
        <v>9999</v>
      </c>
    </row>
    <row r="5023" customFormat="false" ht="12.75" hidden="false" customHeight="false" outlineLevel="0" collapsed="false">
      <c r="A5023" s="0" t="n">
        <f aca="false">B5023*1000+C5023</f>
        <v>70008</v>
      </c>
      <c r="B5023" s="0" t="n">
        <v>70</v>
      </c>
      <c r="C5023" s="0" t="n">
        <v>8</v>
      </c>
      <c r="D5023" s="0" t="n">
        <v>0</v>
      </c>
      <c r="E5023" s="0" t="n">
        <f aca="false">VLOOKUP(B5023,'MSA-Lookup'!$H$2:$I$86,2)</f>
        <v>6780</v>
      </c>
      <c r="F5023" s="0" t="n">
        <f aca="false">IF(C5023&gt;1,IF(C5023&lt;99,VLOOKUP(C5023,'MSA-Lookup'!$H$1:$I$86,2),C5023),C5023)</f>
        <v>9340</v>
      </c>
      <c r="G5023" s="0" t="n">
        <f aca="false">VLOOKUP(E5023,'MSA-Lookup'!$AA$1:$AB$25,2)</f>
        <v>4472</v>
      </c>
      <c r="H5023" s="0" t="n">
        <f aca="false">IF(C5023&gt;1,IF(C5023&lt;99,VLOOKUP(F5023,'MSA-Lookup'!$AA$1:$AB$25,2),C5023),C5023)</f>
        <v>9340</v>
      </c>
    </row>
    <row r="5024" customFormat="false" ht="12.75" hidden="false" customHeight="false" outlineLevel="0" collapsed="false">
      <c r="A5024" s="0" t="n">
        <f aca="false">B5024*1000+C5024</f>
        <v>70009</v>
      </c>
      <c r="B5024" s="0" t="n">
        <v>70</v>
      </c>
      <c r="C5024" s="0" t="n">
        <v>9</v>
      </c>
      <c r="D5024" s="0" t="n">
        <v>0</v>
      </c>
      <c r="E5024" s="0" t="n">
        <f aca="false">VLOOKUP(B5024,'MSA-Lookup'!$H$2:$I$86,2)</f>
        <v>6780</v>
      </c>
      <c r="F5024" s="0" t="n">
        <f aca="false">IF(C5024&gt;1,IF(C5024&lt;99,VLOOKUP(C5024,'MSA-Lookup'!$H$1:$I$86,2),C5024),C5024)</f>
        <v>8720</v>
      </c>
      <c r="G5024" s="0" t="n">
        <f aca="false">VLOOKUP(E5024,'MSA-Lookup'!$AA$1:$AB$25,2)</f>
        <v>4472</v>
      </c>
      <c r="H5024" s="0" t="n">
        <f aca="false">IF(C5024&gt;1,IF(C5024&lt;99,VLOOKUP(F5024,'MSA-Lookup'!$AA$1:$AB$25,2),C5024),C5024)</f>
        <v>7362</v>
      </c>
    </row>
    <row r="5025" customFormat="false" ht="12.75" hidden="false" customHeight="false" outlineLevel="0" collapsed="false">
      <c r="A5025" s="0" t="n">
        <f aca="false">B5025*1000+C5025</f>
        <v>70010</v>
      </c>
      <c r="B5025" s="0" t="n">
        <v>70</v>
      </c>
      <c r="C5025" s="0" t="n">
        <v>10</v>
      </c>
      <c r="D5025" s="0" t="n">
        <v>0</v>
      </c>
      <c r="E5025" s="0" t="n">
        <f aca="false">VLOOKUP(B5025,'MSA-Lookup'!$H$2:$I$86,2)</f>
        <v>6780</v>
      </c>
      <c r="F5025" s="0" t="n">
        <f aca="false">IF(C5025&gt;1,IF(C5025&lt;99,VLOOKUP(C5025,'MSA-Lookup'!$H$1:$I$86,2),C5025),C5025)</f>
        <v>6920</v>
      </c>
      <c r="G5025" s="0" t="n">
        <f aca="false">VLOOKUP(E5025,'MSA-Lookup'!$AA$1:$AB$25,2)</f>
        <v>4472</v>
      </c>
      <c r="H5025" s="0" t="n">
        <f aca="false">IF(C5025&gt;1,IF(C5025&lt;99,VLOOKUP(F5025,'MSA-Lookup'!$AA$1:$AB$25,2),C5025),C5025)</f>
        <v>6920</v>
      </c>
    </row>
    <row r="5026" customFormat="false" ht="12.75" hidden="false" customHeight="false" outlineLevel="0" collapsed="false">
      <c r="A5026" s="0" t="n">
        <f aca="false">B5026*1000+C5026</f>
        <v>70011</v>
      </c>
      <c r="B5026" s="0" t="n">
        <v>70</v>
      </c>
      <c r="C5026" s="0" t="n">
        <v>11</v>
      </c>
      <c r="D5026" s="0" t="n">
        <v>0</v>
      </c>
      <c r="E5026" s="0" t="n">
        <f aca="false">VLOOKUP(B5026,'MSA-Lookup'!$H$2:$I$86,2)</f>
        <v>6780</v>
      </c>
      <c r="F5026" s="0" t="n">
        <f aca="false">IF(C5026&gt;1,IF(C5026&lt;99,VLOOKUP(C5026,'MSA-Lookup'!$H$1:$I$86,2),C5026),C5026)</f>
        <v>6920</v>
      </c>
      <c r="G5026" s="0" t="n">
        <f aca="false">VLOOKUP(E5026,'MSA-Lookup'!$AA$1:$AB$25,2)</f>
        <v>4472</v>
      </c>
      <c r="H5026" s="0" t="n">
        <f aca="false">IF(C5026&gt;1,IF(C5026&lt;99,VLOOKUP(F5026,'MSA-Lookup'!$AA$1:$AB$25,2),C5026),C5026)</f>
        <v>6920</v>
      </c>
    </row>
    <row r="5027" customFormat="false" ht="12.75" hidden="false" customHeight="false" outlineLevel="0" collapsed="false">
      <c r="A5027" s="0" t="n">
        <f aca="false">B5027*1000+C5027</f>
        <v>70012</v>
      </c>
      <c r="B5027" s="0" t="n">
        <v>70</v>
      </c>
      <c r="C5027" s="0" t="n">
        <v>12</v>
      </c>
      <c r="D5027" s="0" t="n">
        <v>0</v>
      </c>
      <c r="E5027" s="0" t="n">
        <f aca="false">VLOOKUP(B5027,'MSA-Lookup'!$H$2:$I$86,2)</f>
        <v>6780</v>
      </c>
      <c r="F5027" s="0" t="n">
        <f aca="false">IF(C5027&gt;1,IF(C5027&lt;99,VLOOKUP(C5027,'MSA-Lookup'!$H$1:$I$86,2),C5027),C5027)</f>
        <v>6920</v>
      </c>
      <c r="G5027" s="0" t="n">
        <f aca="false">VLOOKUP(E5027,'MSA-Lookup'!$AA$1:$AB$25,2)</f>
        <v>4472</v>
      </c>
      <c r="H5027" s="0" t="n">
        <f aca="false">IF(C5027&gt;1,IF(C5027&lt;99,VLOOKUP(F5027,'MSA-Lookup'!$AA$1:$AB$25,2),C5027),C5027)</f>
        <v>6920</v>
      </c>
    </row>
    <row r="5028" customFormat="false" ht="12.75" hidden="false" customHeight="false" outlineLevel="0" collapsed="false">
      <c r="A5028" s="0" t="n">
        <f aca="false">B5028*1000+C5028</f>
        <v>70013</v>
      </c>
      <c r="B5028" s="0" t="n">
        <v>70</v>
      </c>
      <c r="C5028" s="0" t="n">
        <v>13</v>
      </c>
      <c r="D5028" s="0" t="n">
        <v>0</v>
      </c>
      <c r="E5028" s="0" t="n">
        <f aca="false">VLOOKUP(B5028,'MSA-Lookup'!$H$2:$I$86,2)</f>
        <v>6780</v>
      </c>
      <c r="F5028" s="0" t="n">
        <f aca="false">IF(C5028&gt;1,IF(C5028&lt;99,VLOOKUP(C5028,'MSA-Lookup'!$H$1:$I$86,2),C5028),C5028)</f>
        <v>7500</v>
      </c>
      <c r="G5028" s="0" t="n">
        <f aca="false">VLOOKUP(E5028,'MSA-Lookup'!$AA$1:$AB$25,2)</f>
        <v>4472</v>
      </c>
      <c r="H5028" s="0" t="n">
        <f aca="false">IF(C5028&gt;1,IF(C5028&lt;99,VLOOKUP(F5028,'MSA-Lookup'!$AA$1:$AB$25,2),C5028),C5028)</f>
        <v>7362</v>
      </c>
    </row>
    <row r="5029" customFormat="false" ht="12.75" hidden="false" customHeight="false" outlineLevel="0" collapsed="false">
      <c r="A5029" s="0" t="n">
        <f aca="false">B5029*1000+C5029</f>
        <v>70014</v>
      </c>
      <c r="B5029" s="0" t="n">
        <v>70</v>
      </c>
      <c r="C5029" s="0" t="n">
        <v>14</v>
      </c>
      <c r="D5029" s="0" t="n">
        <v>0</v>
      </c>
      <c r="E5029" s="0" t="n">
        <f aca="false">VLOOKUP(B5029,'MSA-Lookup'!$H$2:$I$86,2)</f>
        <v>6780</v>
      </c>
      <c r="F5029" s="0" t="n">
        <f aca="false">IF(C5029&gt;1,IF(C5029&lt;99,VLOOKUP(C5029,'MSA-Lookup'!$H$1:$I$86,2),C5029),C5029)</f>
        <v>7500</v>
      </c>
      <c r="G5029" s="0" t="n">
        <f aca="false">VLOOKUP(E5029,'MSA-Lookup'!$AA$1:$AB$25,2)</f>
        <v>4472</v>
      </c>
      <c r="H5029" s="0" t="n">
        <f aca="false">IF(C5029&gt;1,IF(C5029&lt;99,VLOOKUP(F5029,'MSA-Lookup'!$AA$1:$AB$25,2),C5029),C5029)</f>
        <v>7362</v>
      </c>
    </row>
    <row r="5030" customFormat="false" ht="12.75" hidden="false" customHeight="false" outlineLevel="0" collapsed="false">
      <c r="A5030" s="0" t="n">
        <f aca="false">B5030*1000+C5030</f>
        <v>70015</v>
      </c>
      <c r="B5030" s="0" t="n">
        <v>70</v>
      </c>
      <c r="C5030" s="0" t="n">
        <v>15</v>
      </c>
      <c r="D5030" s="0" t="n">
        <v>0</v>
      </c>
      <c r="E5030" s="0" t="n">
        <f aca="false">VLOOKUP(B5030,'MSA-Lookup'!$H$2:$I$86,2)</f>
        <v>6780</v>
      </c>
      <c r="F5030" s="0" t="n">
        <f aca="false">IF(C5030&gt;1,IF(C5030&lt;99,VLOOKUP(C5030,'MSA-Lookup'!$H$1:$I$86,2),C5030),C5030)</f>
        <v>7360</v>
      </c>
      <c r="G5030" s="0" t="n">
        <f aca="false">VLOOKUP(E5030,'MSA-Lookup'!$AA$1:$AB$25,2)</f>
        <v>4472</v>
      </c>
      <c r="H5030" s="0" t="n">
        <f aca="false">IF(C5030&gt;1,IF(C5030&lt;99,VLOOKUP(F5030,'MSA-Lookup'!$AA$1:$AB$25,2),C5030),C5030)</f>
        <v>7362</v>
      </c>
    </row>
    <row r="5031" customFormat="false" ht="12.75" hidden="false" customHeight="false" outlineLevel="0" collapsed="false">
      <c r="A5031" s="0" t="n">
        <f aca="false">B5031*1000+C5031</f>
        <v>70016</v>
      </c>
      <c r="B5031" s="0" t="n">
        <v>70</v>
      </c>
      <c r="C5031" s="0" t="n">
        <v>16</v>
      </c>
      <c r="D5031" s="0" t="n">
        <v>0</v>
      </c>
      <c r="E5031" s="0" t="n">
        <f aca="false">VLOOKUP(B5031,'MSA-Lookup'!$H$2:$I$86,2)</f>
        <v>6780</v>
      </c>
      <c r="F5031" s="0" t="n">
        <f aca="false">IF(C5031&gt;1,IF(C5031&lt;99,VLOOKUP(C5031,'MSA-Lookup'!$H$1:$I$86,2),C5031),C5031)</f>
        <v>8720</v>
      </c>
      <c r="G5031" s="0" t="n">
        <f aca="false">VLOOKUP(E5031,'MSA-Lookup'!$AA$1:$AB$25,2)</f>
        <v>4472</v>
      </c>
      <c r="H5031" s="0" t="n">
        <f aca="false">IF(C5031&gt;1,IF(C5031&lt;99,VLOOKUP(F5031,'MSA-Lookup'!$AA$1:$AB$25,2),C5031),C5031)</f>
        <v>7362</v>
      </c>
    </row>
    <row r="5032" customFormat="false" ht="12.75" hidden="false" customHeight="false" outlineLevel="0" collapsed="false">
      <c r="A5032" s="0" t="n">
        <f aca="false">B5032*1000+C5032</f>
        <v>70017</v>
      </c>
      <c r="B5032" s="0" t="n">
        <v>70</v>
      </c>
      <c r="C5032" s="0" t="n">
        <v>17</v>
      </c>
      <c r="D5032" s="0" t="n">
        <v>0</v>
      </c>
      <c r="E5032" s="0" t="n">
        <f aca="false">VLOOKUP(B5032,'MSA-Lookup'!$H$2:$I$86,2)</f>
        <v>6780</v>
      </c>
      <c r="F5032" s="0" t="n">
        <f aca="false">IF(C5032&gt;1,IF(C5032&lt;99,VLOOKUP(C5032,'MSA-Lookup'!$H$1:$I$86,2),C5032),C5032)</f>
        <v>5775</v>
      </c>
      <c r="G5032" s="0" t="n">
        <f aca="false">VLOOKUP(E5032,'MSA-Lookup'!$AA$1:$AB$25,2)</f>
        <v>4472</v>
      </c>
      <c r="H5032" s="0" t="n">
        <f aca="false">IF(C5032&gt;1,IF(C5032&lt;99,VLOOKUP(F5032,'MSA-Lookup'!$AA$1:$AB$25,2),C5032),C5032)</f>
        <v>7362</v>
      </c>
    </row>
    <row r="5033" customFormat="false" ht="12.75" hidden="false" customHeight="false" outlineLevel="0" collapsed="false">
      <c r="A5033" s="0" t="n">
        <f aca="false">B5033*1000+C5033</f>
        <v>70018</v>
      </c>
      <c r="B5033" s="0" t="n">
        <v>70</v>
      </c>
      <c r="C5033" s="0" t="n">
        <v>18</v>
      </c>
      <c r="D5033" s="0" t="n">
        <v>0</v>
      </c>
      <c r="E5033" s="0" t="n">
        <f aca="false">VLOOKUP(B5033,'MSA-Lookup'!$H$2:$I$86,2)</f>
        <v>6780</v>
      </c>
      <c r="F5033" s="0" t="n">
        <f aca="false">IF(C5033&gt;1,IF(C5033&lt;99,VLOOKUP(C5033,'MSA-Lookup'!$H$1:$I$86,2),C5033),C5033)</f>
        <v>5775</v>
      </c>
      <c r="G5033" s="0" t="n">
        <f aca="false">VLOOKUP(E5033,'MSA-Lookup'!$AA$1:$AB$25,2)</f>
        <v>4472</v>
      </c>
      <c r="H5033" s="0" t="n">
        <f aca="false">IF(C5033&gt;1,IF(C5033&lt;99,VLOOKUP(F5033,'MSA-Lookup'!$AA$1:$AB$25,2),C5033),C5033)</f>
        <v>7362</v>
      </c>
    </row>
    <row r="5034" customFormat="false" ht="12.75" hidden="false" customHeight="false" outlineLevel="0" collapsed="false">
      <c r="A5034" s="0" t="n">
        <f aca="false">B5034*1000+C5034</f>
        <v>70019</v>
      </c>
      <c r="B5034" s="0" t="n">
        <v>70</v>
      </c>
      <c r="C5034" s="0" t="n">
        <v>19</v>
      </c>
      <c r="D5034" s="0" t="n">
        <v>0</v>
      </c>
      <c r="E5034" s="0" t="n">
        <f aca="false">VLOOKUP(B5034,'MSA-Lookup'!$H$2:$I$86,2)</f>
        <v>6780</v>
      </c>
      <c r="F5034" s="0" t="n">
        <f aca="false">IF(C5034&gt;1,IF(C5034&lt;99,VLOOKUP(C5034,'MSA-Lookup'!$H$1:$I$86,2),C5034),C5034)</f>
        <v>7360</v>
      </c>
      <c r="G5034" s="0" t="n">
        <f aca="false">VLOOKUP(E5034,'MSA-Lookup'!$AA$1:$AB$25,2)</f>
        <v>4472</v>
      </c>
      <c r="H5034" s="0" t="n">
        <f aca="false">IF(C5034&gt;1,IF(C5034&lt;99,VLOOKUP(F5034,'MSA-Lookup'!$AA$1:$AB$25,2),C5034),C5034)</f>
        <v>7362</v>
      </c>
    </row>
    <row r="5035" customFormat="false" ht="12.75" hidden="false" customHeight="false" outlineLevel="0" collapsed="false">
      <c r="A5035" s="0" t="n">
        <f aca="false">B5035*1000+C5035</f>
        <v>70020</v>
      </c>
      <c r="B5035" s="0" t="n">
        <v>70</v>
      </c>
      <c r="C5035" s="0" t="n">
        <v>20</v>
      </c>
      <c r="D5035" s="0" t="n">
        <v>0</v>
      </c>
      <c r="E5035" s="0" t="n">
        <f aca="false">VLOOKUP(B5035,'MSA-Lookup'!$H$2:$I$86,2)</f>
        <v>6780</v>
      </c>
      <c r="F5035" s="0" t="n">
        <f aca="false">IF(C5035&gt;1,IF(C5035&lt;99,VLOOKUP(C5035,'MSA-Lookup'!$H$1:$I$86,2),C5035),C5035)</f>
        <v>5775</v>
      </c>
      <c r="G5035" s="0" t="n">
        <f aca="false">VLOOKUP(E5035,'MSA-Lookup'!$AA$1:$AB$25,2)</f>
        <v>4472</v>
      </c>
      <c r="H5035" s="0" t="n">
        <f aca="false">IF(C5035&gt;1,IF(C5035&lt;99,VLOOKUP(F5035,'MSA-Lookup'!$AA$1:$AB$25,2),C5035),C5035)</f>
        <v>7362</v>
      </c>
    </row>
    <row r="5036" customFormat="false" ht="12.75" hidden="false" customHeight="false" outlineLevel="0" collapsed="false">
      <c r="A5036" s="0" t="n">
        <f aca="false">B5036*1000+C5036</f>
        <v>70021</v>
      </c>
      <c r="B5036" s="0" t="n">
        <v>70</v>
      </c>
      <c r="C5036" s="0" t="n">
        <v>21</v>
      </c>
      <c r="D5036" s="0" t="n">
        <v>0</v>
      </c>
      <c r="E5036" s="0" t="n">
        <f aca="false">VLOOKUP(B5036,'MSA-Lookup'!$H$2:$I$86,2)</f>
        <v>6780</v>
      </c>
      <c r="F5036" s="0" t="n">
        <f aca="false">IF(C5036&gt;1,IF(C5036&lt;99,VLOOKUP(C5036,'MSA-Lookup'!$H$1:$I$86,2),C5036),C5036)</f>
        <v>5775</v>
      </c>
      <c r="G5036" s="0" t="n">
        <f aca="false">VLOOKUP(E5036,'MSA-Lookup'!$AA$1:$AB$25,2)</f>
        <v>4472</v>
      </c>
      <c r="H5036" s="0" t="n">
        <f aca="false">IF(C5036&gt;1,IF(C5036&lt;99,VLOOKUP(F5036,'MSA-Lookup'!$AA$1:$AB$25,2),C5036),C5036)</f>
        <v>7362</v>
      </c>
    </row>
    <row r="5037" customFormat="false" ht="12.75" hidden="false" customHeight="false" outlineLevel="0" collapsed="false">
      <c r="A5037" s="0" t="n">
        <f aca="false">B5037*1000+C5037</f>
        <v>70022</v>
      </c>
      <c r="B5037" s="0" t="n">
        <v>70</v>
      </c>
      <c r="C5037" s="0" t="n">
        <v>22</v>
      </c>
      <c r="D5037" s="0" t="n">
        <v>0</v>
      </c>
      <c r="E5037" s="0" t="n">
        <f aca="false">VLOOKUP(B5037,'MSA-Lookup'!$H$2:$I$86,2)</f>
        <v>6780</v>
      </c>
      <c r="F5037" s="0" t="n">
        <f aca="false">IF(C5037&gt;1,IF(C5037&lt;99,VLOOKUP(C5037,'MSA-Lookup'!$H$1:$I$86,2),C5037),C5037)</f>
        <v>7360</v>
      </c>
      <c r="G5037" s="0" t="n">
        <f aca="false">VLOOKUP(E5037,'MSA-Lookup'!$AA$1:$AB$25,2)</f>
        <v>4472</v>
      </c>
      <c r="H5037" s="0" t="n">
        <f aca="false">IF(C5037&gt;1,IF(C5037&lt;99,VLOOKUP(F5037,'MSA-Lookup'!$AA$1:$AB$25,2),C5037),C5037)</f>
        <v>7362</v>
      </c>
    </row>
    <row r="5038" customFormat="false" ht="12.75" hidden="false" customHeight="false" outlineLevel="0" collapsed="false">
      <c r="A5038" s="0" t="n">
        <f aca="false">B5038*1000+C5038</f>
        <v>70023</v>
      </c>
      <c r="B5038" s="0" t="n">
        <v>70</v>
      </c>
      <c r="C5038" s="0" t="n">
        <v>23</v>
      </c>
      <c r="D5038" s="0" t="n">
        <v>0</v>
      </c>
      <c r="E5038" s="0" t="n">
        <f aca="false">VLOOKUP(B5038,'MSA-Lookup'!$H$2:$I$86,2)</f>
        <v>6780</v>
      </c>
      <c r="F5038" s="0" t="n">
        <f aca="false">IF(C5038&gt;1,IF(C5038&lt;99,VLOOKUP(C5038,'MSA-Lookup'!$H$1:$I$86,2),C5038),C5038)</f>
        <v>8120</v>
      </c>
      <c r="G5038" s="0" t="n">
        <f aca="false">VLOOKUP(E5038,'MSA-Lookup'!$AA$1:$AB$25,2)</f>
        <v>4472</v>
      </c>
      <c r="H5038" s="0" t="n">
        <f aca="false">IF(C5038&gt;1,IF(C5038&lt;99,VLOOKUP(F5038,'MSA-Lookup'!$AA$1:$AB$25,2),C5038),C5038)</f>
        <v>8120</v>
      </c>
    </row>
    <row r="5039" customFormat="false" ht="12.75" hidden="false" customHeight="false" outlineLevel="0" collapsed="false">
      <c r="A5039" s="0" t="n">
        <f aca="false">B5039*1000+C5039</f>
        <v>70024</v>
      </c>
      <c r="B5039" s="0" t="n">
        <v>70</v>
      </c>
      <c r="C5039" s="0" t="n">
        <v>24</v>
      </c>
      <c r="D5039" s="0" t="n">
        <v>0</v>
      </c>
      <c r="E5039" s="0" t="n">
        <f aca="false">VLOOKUP(B5039,'MSA-Lookup'!$H$2:$I$86,2)</f>
        <v>6780</v>
      </c>
      <c r="F5039" s="0" t="n">
        <f aca="false">IF(C5039&gt;1,IF(C5039&lt;99,VLOOKUP(C5039,'MSA-Lookup'!$H$1:$I$86,2),C5039),C5039)</f>
        <v>5170</v>
      </c>
      <c r="G5039" s="0" t="n">
        <f aca="false">VLOOKUP(E5039,'MSA-Lookup'!$AA$1:$AB$25,2)</f>
        <v>4472</v>
      </c>
      <c r="H5039" s="0" t="n">
        <f aca="false">IF(C5039&gt;1,IF(C5039&lt;99,VLOOKUP(F5039,'MSA-Lookup'!$AA$1:$AB$25,2),C5039),C5039)</f>
        <v>5170</v>
      </c>
    </row>
    <row r="5040" customFormat="false" ht="12.75" hidden="false" customHeight="false" outlineLevel="0" collapsed="false">
      <c r="A5040" s="0" t="n">
        <f aca="false">B5040*1000+C5040</f>
        <v>70025</v>
      </c>
      <c r="B5040" s="0" t="n">
        <v>70</v>
      </c>
      <c r="C5040" s="0" t="n">
        <v>25</v>
      </c>
      <c r="D5040" s="0" t="n">
        <v>0</v>
      </c>
      <c r="E5040" s="0" t="n">
        <f aca="false">VLOOKUP(B5040,'MSA-Lookup'!$H$2:$I$86,2)</f>
        <v>6780</v>
      </c>
      <c r="F5040" s="0" t="n">
        <f aca="false">IF(C5040&gt;1,IF(C5040&lt;99,VLOOKUP(C5040,'MSA-Lookup'!$H$1:$I$86,2),C5040),C5040)</f>
        <v>5170</v>
      </c>
      <c r="G5040" s="0" t="n">
        <f aca="false">VLOOKUP(E5040,'MSA-Lookup'!$AA$1:$AB$25,2)</f>
        <v>4472</v>
      </c>
      <c r="H5040" s="0" t="n">
        <f aca="false">IF(C5040&gt;1,IF(C5040&lt;99,VLOOKUP(F5040,'MSA-Lookup'!$AA$1:$AB$25,2),C5040),C5040)</f>
        <v>5170</v>
      </c>
    </row>
    <row r="5041" customFormat="false" ht="12.75" hidden="false" customHeight="false" outlineLevel="0" collapsed="false">
      <c r="A5041" s="0" t="n">
        <f aca="false">B5041*1000+C5041</f>
        <v>70026</v>
      </c>
      <c r="B5041" s="0" t="n">
        <v>70</v>
      </c>
      <c r="C5041" s="0" t="n">
        <v>26</v>
      </c>
      <c r="D5041" s="0" t="n">
        <v>0</v>
      </c>
      <c r="E5041" s="0" t="n">
        <f aca="false">VLOOKUP(B5041,'MSA-Lookup'!$H$2:$I$86,2)</f>
        <v>6780</v>
      </c>
      <c r="F5041" s="0" t="n">
        <f aca="false">IF(C5041&gt;1,IF(C5041&lt;99,VLOOKUP(C5041,'MSA-Lookup'!$H$1:$I$86,2),C5041),C5041)</f>
        <v>9999</v>
      </c>
      <c r="G5041" s="0" t="n">
        <f aca="false">VLOOKUP(E5041,'MSA-Lookup'!$AA$1:$AB$25,2)</f>
        <v>4472</v>
      </c>
      <c r="H5041" s="0" t="n">
        <f aca="false">IF(C5041&gt;1,IF(C5041&lt;99,VLOOKUP(F5041,'MSA-Lookup'!$AA$1:$AB$25,2),C5041),C5041)</f>
        <v>9999</v>
      </c>
    </row>
    <row r="5042" customFormat="false" ht="12.75" hidden="false" customHeight="false" outlineLevel="0" collapsed="false">
      <c r="A5042" s="0" t="n">
        <f aca="false">B5042*1000+C5042</f>
        <v>70027</v>
      </c>
      <c r="B5042" s="0" t="n">
        <v>70</v>
      </c>
      <c r="C5042" s="0" t="n">
        <v>27</v>
      </c>
      <c r="D5042" s="0" t="n">
        <v>0</v>
      </c>
      <c r="E5042" s="0" t="n">
        <f aca="false">VLOOKUP(B5042,'MSA-Lookup'!$H$2:$I$86,2)</f>
        <v>6780</v>
      </c>
      <c r="F5042" s="0" t="n">
        <f aca="false">IF(C5042&gt;1,IF(C5042&lt;99,VLOOKUP(C5042,'MSA-Lookup'!$H$1:$I$86,2),C5042),C5042)</f>
        <v>9999</v>
      </c>
      <c r="G5042" s="0" t="n">
        <f aca="false">VLOOKUP(E5042,'MSA-Lookup'!$AA$1:$AB$25,2)</f>
        <v>4472</v>
      </c>
      <c r="H5042" s="0" t="n">
        <f aca="false">IF(C5042&gt;1,IF(C5042&lt;99,VLOOKUP(F5042,'MSA-Lookup'!$AA$1:$AB$25,2),C5042),C5042)</f>
        <v>9999</v>
      </c>
    </row>
    <row r="5043" customFormat="false" ht="12.75" hidden="false" customHeight="false" outlineLevel="0" collapsed="false">
      <c r="A5043" s="0" t="n">
        <f aca="false">B5043*1000+C5043</f>
        <v>70028</v>
      </c>
      <c r="B5043" s="0" t="n">
        <v>70</v>
      </c>
      <c r="C5043" s="0" t="n">
        <v>28</v>
      </c>
      <c r="D5043" s="0" t="n">
        <v>0</v>
      </c>
      <c r="E5043" s="0" t="n">
        <f aca="false">VLOOKUP(B5043,'MSA-Lookup'!$H$2:$I$86,2)</f>
        <v>6780</v>
      </c>
      <c r="F5043" s="0" t="n">
        <f aca="false">IF(C5043&gt;1,IF(C5043&lt;99,VLOOKUP(C5043,'MSA-Lookup'!$H$1:$I$86,2),C5043),C5043)</f>
        <v>6920</v>
      </c>
      <c r="G5043" s="0" t="n">
        <f aca="false">VLOOKUP(E5043,'MSA-Lookup'!$AA$1:$AB$25,2)</f>
        <v>4472</v>
      </c>
      <c r="H5043" s="0" t="n">
        <f aca="false">IF(C5043&gt;1,IF(C5043&lt;99,VLOOKUP(F5043,'MSA-Lookup'!$AA$1:$AB$25,2),C5043),C5043)</f>
        <v>6920</v>
      </c>
    </row>
    <row r="5044" customFormat="false" ht="12.75" hidden="false" customHeight="false" outlineLevel="0" collapsed="false">
      <c r="A5044" s="0" t="n">
        <f aca="false">B5044*1000+C5044</f>
        <v>70029</v>
      </c>
      <c r="B5044" s="0" t="n">
        <v>70</v>
      </c>
      <c r="C5044" s="0" t="n">
        <v>29</v>
      </c>
      <c r="D5044" s="0" t="n">
        <v>0</v>
      </c>
      <c r="E5044" s="0" t="n">
        <f aca="false">VLOOKUP(B5044,'MSA-Lookup'!$H$2:$I$86,2)</f>
        <v>6780</v>
      </c>
      <c r="F5044" s="0" t="n">
        <f aca="false">IF(C5044&gt;1,IF(C5044&lt;99,VLOOKUP(C5044,'MSA-Lookup'!$H$1:$I$86,2),C5044),C5044)</f>
        <v>6920</v>
      </c>
      <c r="G5044" s="0" t="n">
        <f aca="false">VLOOKUP(E5044,'MSA-Lookup'!$AA$1:$AB$25,2)</f>
        <v>4472</v>
      </c>
      <c r="H5044" s="0" t="n">
        <f aca="false">IF(C5044&gt;1,IF(C5044&lt;99,VLOOKUP(F5044,'MSA-Lookup'!$AA$1:$AB$25,2),C5044),C5044)</f>
        <v>6920</v>
      </c>
    </row>
    <row r="5045" customFormat="false" ht="12.75" hidden="false" customHeight="false" outlineLevel="0" collapsed="false">
      <c r="A5045" s="0" t="n">
        <f aca="false">B5045*1000+C5045</f>
        <v>70030</v>
      </c>
      <c r="B5045" s="0" t="n">
        <v>70</v>
      </c>
      <c r="C5045" s="0" t="n">
        <v>30</v>
      </c>
      <c r="D5045" s="0" t="n">
        <v>0</v>
      </c>
      <c r="E5045" s="0" t="n">
        <f aca="false">VLOOKUP(B5045,'MSA-Lookup'!$H$2:$I$86,2)</f>
        <v>6780</v>
      </c>
      <c r="F5045" s="0" t="n">
        <f aca="false">IF(C5045&gt;1,IF(C5045&lt;99,VLOOKUP(C5045,'MSA-Lookup'!$H$1:$I$86,2),C5045),C5045)</f>
        <v>4940</v>
      </c>
      <c r="G5045" s="0" t="n">
        <f aca="false">VLOOKUP(E5045,'MSA-Lookup'!$AA$1:$AB$25,2)</f>
        <v>4472</v>
      </c>
      <c r="H5045" s="0" t="n">
        <f aca="false">IF(C5045&gt;1,IF(C5045&lt;99,VLOOKUP(F5045,'MSA-Lookup'!$AA$1:$AB$25,2),C5045),C5045)</f>
        <v>4940</v>
      </c>
    </row>
    <row r="5046" customFormat="false" ht="12.75" hidden="false" customHeight="false" outlineLevel="0" collapsed="false">
      <c r="A5046" s="0" t="n">
        <f aca="false">B5046*1000+C5046</f>
        <v>70031</v>
      </c>
      <c r="B5046" s="0" t="n">
        <v>70</v>
      </c>
      <c r="C5046" s="0" t="n">
        <v>31</v>
      </c>
      <c r="D5046" s="0" t="n">
        <v>0</v>
      </c>
      <c r="E5046" s="0" t="n">
        <f aca="false">VLOOKUP(B5046,'MSA-Lookup'!$H$2:$I$86,2)</f>
        <v>6780</v>
      </c>
      <c r="F5046" s="0" t="n">
        <f aca="false">IF(C5046&gt;1,IF(C5046&lt;99,VLOOKUP(C5046,'MSA-Lookup'!$H$1:$I$86,2),C5046),C5046)</f>
        <v>9999</v>
      </c>
      <c r="G5046" s="0" t="n">
        <f aca="false">VLOOKUP(E5046,'MSA-Lookup'!$AA$1:$AB$25,2)</f>
        <v>4472</v>
      </c>
      <c r="H5046" s="0" t="n">
        <f aca="false">IF(C5046&gt;1,IF(C5046&lt;99,VLOOKUP(F5046,'MSA-Lookup'!$AA$1:$AB$25,2),C5046),C5046)</f>
        <v>9999</v>
      </c>
    </row>
    <row r="5047" customFormat="false" ht="12.75" hidden="false" customHeight="false" outlineLevel="0" collapsed="false">
      <c r="A5047" s="0" t="n">
        <f aca="false">B5047*1000+C5047</f>
        <v>70032</v>
      </c>
      <c r="B5047" s="0" t="n">
        <v>70</v>
      </c>
      <c r="C5047" s="0" t="n">
        <v>32</v>
      </c>
      <c r="D5047" s="0" t="n">
        <v>0</v>
      </c>
      <c r="E5047" s="0" t="n">
        <f aca="false">VLOOKUP(B5047,'MSA-Lookup'!$H$2:$I$86,2)</f>
        <v>6780</v>
      </c>
      <c r="F5047" s="0" t="n">
        <f aca="false">IF(C5047&gt;1,IF(C5047&lt;99,VLOOKUP(C5047,'MSA-Lookup'!$H$1:$I$86,2),C5047),C5047)</f>
        <v>7480</v>
      </c>
      <c r="G5047" s="0" t="n">
        <f aca="false">VLOOKUP(E5047,'MSA-Lookup'!$AA$1:$AB$25,2)</f>
        <v>4472</v>
      </c>
      <c r="H5047" s="0" t="n">
        <f aca="false">IF(C5047&gt;1,IF(C5047&lt;99,VLOOKUP(F5047,'MSA-Lookup'!$AA$1:$AB$25,2),C5047),C5047)</f>
        <v>7480</v>
      </c>
    </row>
    <row r="5048" customFormat="false" ht="12.75" hidden="false" customHeight="false" outlineLevel="0" collapsed="false">
      <c r="A5048" s="0" t="n">
        <f aca="false">B5048*1000+C5048</f>
        <v>70033</v>
      </c>
      <c r="B5048" s="0" t="n">
        <v>70</v>
      </c>
      <c r="C5048" s="0" t="n">
        <v>33</v>
      </c>
      <c r="D5048" s="0" t="n">
        <v>52</v>
      </c>
      <c r="E5048" s="0" t="n">
        <f aca="false">VLOOKUP(B5048,'MSA-Lookup'!$H$2:$I$86,2)</f>
        <v>6780</v>
      </c>
      <c r="F5048" s="0" t="n">
        <f aca="false">IF(C5048&gt;1,IF(C5048&lt;99,VLOOKUP(C5048,'MSA-Lookup'!$H$1:$I$86,2),C5048),C5048)</f>
        <v>7320</v>
      </c>
      <c r="G5048" s="0" t="n">
        <f aca="false">VLOOKUP(E5048,'MSA-Lookup'!$AA$1:$AB$25,2)</f>
        <v>4472</v>
      </c>
      <c r="H5048" s="0" t="n">
        <f aca="false">IF(C5048&gt;1,IF(C5048&lt;99,VLOOKUP(F5048,'MSA-Lookup'!$AA$1:$AB$25,2),C5048),C5048)</f>
        <v>7320</v>
      </c>
    </row>
    <row r="5049" customFormat="false" ht="12.75" hidden="false" customHeight="false" outlineLevel="0" collapsed="false">
      <c r="A5049" s="0" t="n">
        <f aca="false">B5049*1000+C5049</f>
        <v>70034</v>
      </c>
      <c r="B5049" s="0" t="n">
        <v>70</v>
      </c>
      <c r="C5049" s="0" t="n">
        <v>34</v>
      </c>
      <c r="D5049" s="0" t="n">
        <v>0</v>
      </c>
      <c r="E5049" s="0" t="n">
        <f aca="false">VLOOKUP(B5049,'MSA-Lookup'!$H$2:$I$86,2)</f>
        <v>6780</v>
      </c>
      <c r="F5049" s="0" t="n">
        <f aca="false">IF(C5049&gt;1,IF(C5049&lt;99,VLOOKUP(C5049,'MSA-Lookup'!$H$1:$I$86,2),C5049),C5049)</f>
        <v>7320</v>
      </c>
      <c r="G5049" s="0" t="n">
        <f aca="false">VLOOKUP(E5049,'MSA-Lookup'!$AA$1:$AB$25,2)</f>
        <v>4472</v>
      </c>
      <c r="H5049" s="0" t="n">
        <f aca="false">IF(C5049&gt;1,IF(C5049&lt;99,VLOOKUP(F5049,'MSA-Lookup'!$AA$1:$AB$25,2),C5049),C5049)</f>
        <v>7320</v>
      </c>
    </row>
    <row r="5050" customFormat="false" ht="12.75" hidden="false" customHeight="false" outlineLevel="0" collapsed="false">
      <c r="A5050" s="0" t="n">
        <f aca="false">B5050*1000+C5050</f>
        <v>70035</v>
      </c>
      <c r="B5050" s="0" t="n">
        <v>70</v>
      </c>
      <c r="C5050" s="0" t="n">
        <v>35</v>
      </c>
      <c r="D5050" s="0" t="n">
        <v>0</v>
      </c>
      <c r="E5050" s="0" t="n">
        <f aca="false">VLOOKUP(B5050,'MSA-Lookup'!$H$2:$I$86,2)</f>
        <v>6780</v>
      </c>
      <c r="F5050" s="0" t="n">
        <f aca="false">IF(C5050&gt;1,IF(C5050&lt;99,VLOOKUP(C5050,'MSA-Lookup'!$H$1:$I$86,2),C5050),C5050)</f>
        <v>7320</v>
      </c>
      <c r="G5050" s="0" t="n">
        <f aca="false">VLOOKUP(E5050,'MSA-Lookup'!$AA$1:$AB$25,2)</f>
        <v>4472</v>
      </c>
      <c r="H5050" s="0" t="n">
        <f aca="false">IF(C5050&gt;1,IF(C5050&lt;99,VLOOKUP(F5050,'MSA-Lookup'!$AA$1:$AB$25,2),C5050),C5050)</f>
        <v>7320</v>
      </c>
    </row>
    <row r="5051" customFormat="false" ht="12.75" hidden="false" customHeight="false" outlineLevel="0" collapsed="false">
      <c r="A5051" s="0" t="n">
        <f aca="false">B5051*1000+C5051</f>
        <v>70036</v>
      </c>
      <c r="B5051" s="0" t="n">
        <v>70</v>
      </c>
      <c r="C5051" s="0" t="n">
        <v>36</v>
      </c>
      <c r="D5051" s="0" t="n">
        <v>0</v>
      </c>
      <c r="E5051" s="0" t="n">
        <f aca="false">VLOOKUP(B5051,'MSA-Lookup'!$H$2:$I$86,2)</f>
        <v>6780</v>
      </c>
      <c r="F5051" s="0" t="n">
        <f aca="false">IF(C5051&gt;1,IF(C5051&lt;99,VLOOKUP(C5051,'MSA-Lookup'!$H$1:$I$86,2),C5051),C5051)</f>
        <v>7320</v>
      </c>
      <c r="G5051" s="0" t="n">
        <f aca="false">VLOOKUP(E5051,'MSA-Lookup'!$AA$1:$AB$25,2)</f>
        <v>4472</v>
      </c>
      <c r="H5051" s="0" t="n">
        <f aca="false">IF(C5051&gt;1,IF(C5051&lt;99,VLOOKUP(F5051,'MSA-Lookup'!$AA$1:$AB$25,2),C5051),C5051)</f>
        <v>7320</v>
      </c>
    </row>
    <row r="5052" customFormat="false" ht="12.75" hidden="false" customHeight="false" outlineLevel="0" collapsed="false">
      <c r="A5052" s="0" t="n">
        <f aca="false">B5052*1000+C5052</f>
        <v>70037</v>
      </c>
      <c r="B5052" s="0" t="n">
        <v>70</v>
      </c>
      <c r="C5052" s="0" t="n">
        <v>37</v>
      </c>
      <c r="D5052" s="0" t="n">
        <v>0</v>
      </c>
      <c r="E5052" s="0" t="n">
        <f aca="false">VLOOKUP(B5052,'MSA-Lookup'!$H$2:$I$86,2)</f>
        <v>6780</v>
      </c>
      <c r="F5052" s="0" t="n">
        <f aca="false">IF(C5052&gt;1,IF(C5052&lt;99,VLOOKUP(C5052,'MSA-Lookup'!$H$1:$I$86,2),C5052),C5052)</f>
        <v>7320</v>
      </c>
      <c r="G5052" s="0" t="n">
        <f aca="false">VLOOKUP(E5052,'MSA-Lookup'!$AA$1:$AB$25,2)</f>
        <v>4472</v>
      </c>
      <c r="H5052" s="0" t="n">
        <f aca="false">IF(C5052&gt;1,IF(C5052&lt;99,VLOOKUP(F5052,'MSA-Lookup'!$AA$1:$AB$25,2),C5052),C5052)</f>
        <v>7320</v>
      </c>
    </row>
    <row r="5053" customFormat="false" ht="12.75" hidden="false" customHeight="false" outlineLevel="0" collapsed="false">
      <c r="A5053" s="0" t="n">
        <f aca="false">B5053*1000+C5053</f>
        <v>70038</v>
      </c>
      <c r="B5053" s="0" t="n">
        <v>70</v>
      </c>
      <c r="C5053" s="0" t="n">
        <v>38</v>
      </c>
      <c r="D5053" s="0" t="n">
        <v>0</v>
      </c>
      <c r="E5053" s="0" t="n">
        <f aca="false">VLOOKUP(B5053,'MSA-Lookup'!$H$2:$I$86,2)</f>
        <v>6780</v>
      </c>
      <c r="F5053" s="0" t="n">
        <f aca="false">IF(C5053&gt;1,IF(C5053&lt;99,VLOOKUP(C5053,'MSA-Lookup'!$H$1:$I$86,2),C5053),C5053)</f>
        <v>7120</v>
      </c>
      <c r="G5053" s="0" t="n">
        <f aca="false">VLOOKUP(E5053,'MSA-Lookup'!$AA$1:$AB$25,2)</f>
        <v>4472</v>
      </c>
      <c r="H5053" s="0" t="n">
        <f aca="false">IF(C5053&gt;1,IF(C5053&lt;99,VLOOKUP(F5053,'MSA-Lookup'!$AA$1:$AB$25,2),C5053),C5053)</f>
        <v>7120</v>
      </c>
    </row>
    <row r="5054" customFormat="false" ht="12.75" hidden="false" customHeight="false" outlineLevel="0" collapsed="false">
      <c r="A5054" s="0" t="n">
        <f aca="false">B5054*1000+C5054</f>
        <v>70039</v>
      </c>
      <c r="B5054" s="0" t="n">
        <v>70</v>
      </c>
      <c r="C5054" s="0" t="n">
        <v>39</v>
      </c>
      <c r="D5054" s="0" t="n">
        <v>0</v>
      </c>
      <c r="E5054" s="0" t="n">
        <f aca="false">VLOOKUP(B5054,'MSA-Lookup'!$H$2:$I$86,2)</f>
        <v>6780</v>
      </c>
      <c r="F5054" s="0" t="n">
        <f aca="false">IF(C5054&gt;1,IF(C5054&lt;99,VLOOKUP(C5054,'MSA-Lookup'!$H$1:$I$86,2),C5054),C5054)</f>
        <v>7120</v>
      </c>
      <c r="G5054" s="0" t="n">
        <f aca="false">VLOOKUP(E5054,'MSA-Lookup'!$AA$1:$AB$25,2)</f>
        <v>4472</v>
      </c>
      <c r="H5054" s="0" t="n">
        <f aca="false">IF(C5054&gt;1,IF(C5054&lt;99,VLOOKUP(F5054,'MSA-Lookup'!$AA$1:$AB$25,2),C5054),C5054)</f>
        <v>7120</v>
      </c>
    </row>
    <row r="5055" customFormat="false" ht="12.75" hidden="false" customHeight="false" outlineLevel="0" collapsed="false">
      <c r="A5055" s="0" t="n">
        <f aca="false">B5055*1000+C5055</f>
        <v>70040</v>
      </c>
      <c r="B5055" s="0" t="n">
        <v>70</v>
      </c>
      <c r="C5055" s="0" t="n">
        <v>40</v>
      </c>
      <c r="D5055" s="0" t="n">
        <v>0</v>
      </c>
      <c r="E5055" s="0" t="n">
        <f aca="false">VLOOKUP(B5055,'MSA-Lookup'!$H$2:$I$86,2)</f>
        <v>6780</v>
      </c>
      <c r="F5055" s="0" t="n">
        <f aca="false">IF(C5055&gt;1,IF(C5055&lt;99,VLOOKUP(C5055,'MSA-Lookup'!$H$1:$I$86,2),C5055),C5055)</f>
        <v>2840</v>
      </c>
      <c r="G5055" s="0" t="n">
        <f aca="false">VLOOKUP(E5055,'MSA-Lookup'!$AA$1:$AB$25,2)</f>
        <v>4472</v>
      </c>
      <c r="H5055" s="0" t="n">
        <f aca="false">IF(C5055&gt;1,IF(C5055&lt;99,VLOOKUP(F5055,'MSA-Lookup'!$AA$1:$AB$25,2),C5055),C5055)</f>
        <v>2840</v>
      </c>
    </row>
    <row r="5056" customFormat="false" ht="12.75" hidden="false" customHeight="false" outlineLevel="0" collapsed="false">
      <c r="A5056" s="0" t="n">
        <f aca="false">B5056*1000+C5056</f>
        <v>70041</v>
      </c>
      <c r="B5056" s="0" t="n">
        <v>70</v>
      </c>
      <c r="C5056" s="0" t="n">
        <v>41</v>
      </c>
      <c r="D5056" s="0" t="n">
        <v>0</v>
      </c>
      <c r="E5056" s="0" t="n">
        <f aca="false">VLOOKUP(B5056,'MSA-Lookup'!$H$2:$I$86,2)</f>
        <v>6780</v>
      </c>
      <c r="F5056" s="0" t="n">
        <f aca="false">IF(C5056&gt;1,IF(C5056&lt;99,VLOOKUP(C5056,'MSA-Lookup'!$H$1:$I$86,2),C5056),C5056)</f>
        <v>2840</v>
      </c>
      <c r="G5056" s="0" t="n">
        <f aca="false">VLOOKUP(E5056,'MSA-Lookup'!$AA$1:$AB$25,2)</f>
        <v>4472</v>
      </c>
      <c r="H5056" s="0" t="n">
        <f aca="false">IF(C5056&gt;1,IF(C5056&lt;99,VLOOKUP(F5056,'MSA-Lookup'!$AA$1:$AB$25,2),C5056),C5056)</f>
        <v>2840</v>
      </c>
    </row>
    <row r="5057" customFormat="false" ht="12.75" hidden="false" customHeight="false" outlineLevel="0" collapsed="false">
      <c r="A5057" s="0" t="n">
        <f aca="false">B5057*1000+C5057</f>
        <v>70042</v>
      </c>
      <c r="B5057" s="0" t="n">
        <v>70</v>
      </c>
      <c r="C5057" s="0" t="n">
        <v>42</v>
      </c>
      <c r="D5057" s="0" t="n">
        <v>78</v>
      </c>
      <c r="E5057" s="0" t="n">
        <f aca="false">VLOOKUP(B5057,'MSA-Lookup'!$H$2:$I$86,2)</f>
        <v>6780</v>
      </c>
      <c r="F5057" s="0" t="n">
        <f aca="false">IF(C5057&gt;1,IF(C5057&lt;99,VLOOKUP(C5057,'MSA-Lookup'!$H$1:$I$86,2),C5057),C5057)</f>
        <v>360</v>
      </c>
      <c r="G5057" s="0" t="n">
        <f aca="false">VLOOKUP(E5057,'MSA-Lookup'!$AA$1:$AB$25,2)</f>
        <v>4472</v>
      </c>
      <c r="H5057" s="0" t="n">
        <f aca="false">IF(C5057&gt;1,IF(C5057&lt;99,VLOOKUP(F5057,'MSA-Lookup'!$AA$1:$AB$25,2),C5057),C5057)</f>
        <v>4472</v>
      </c>
    </row>
    <row r="5058" customFormat="false" ht="12.75" hidden="false" customHeight="false" outlineLevel="0" collapsed="false">
      <c r="A5058" s="0" t="n">
        <f aca="false">B5058*1000+C5058</f>
        <v>70043</v>
      </c>
      <c r="B5058" s="0" t="n">
        <v>70</v>
      </c>
      <c r="C5058" s="0" t="n">
        <v>43</v>
      </c>
      <c r="D5058" s="0" t="n">
        <v>0</v>
      </c>
      <c r="E5058" s="0" t="n">
        <f aca="false">VLOOKUP(B5058,'MSA-Lookup'!$H$2:$I$86,2)</f>
        <v>6780</v>
      </c>
      <c r="F5058" s="0" t="n">
        <f aca="false">IF(C5058&gt;1,IF(C5058&lt;99,VLOOKUP(C5058,'MSA-Lookup'!$H$1:$I$86,2),C5058),C5058)</f>
        <v>360</v>
      </c>
      <c r="G5058" s="0" t="n">
        <f aca="false">VLOOKUP(E5058,'MSA-Lookup'!$AA$1:$AB$25,2)</f>
        <v>4472</v>
      </c>
      <c r="H5058" s="0" t="n">
        <f aca="false">IF(C5058&gt;1,IF(C5058&lt;99,VLOOKUP(F5058,'MSA-Lookup'!$AA$1:$AB$25,2),C5058),C5058)</f>
        <v>4472</v>
      </c>
    </row>
    <row r="5059" customFormat="false" ht="12.75" hidden="false" customHeight="false" outlineLevel="0" collapsed="false">
      <c r="A5059" s="0" t="n">
        <f aca="false">B5059*1000+C5059</f>
        <v>70044</v>
      </c>
      <c r="B5059" s="0" t="n">
        <v>70</v>
      </c>
      <c r="C5059" s="0" t="n">
        <v>44</v>
      </c>
      <c r="D5059" s="0" t="n">
        <v>0</v>
      </c>
      <c r="E5059" s="0" t="n">
        <f aca="false">VLOOKUP(B5059,'MSA-Lookup'!$H$2:$I$86,2)</f>
        <v>6780</v>
      </c>
      <c r="F5059" s="0" t="n">
        <f aca="false">IF(C5059&gt;1,IF(C5059&lt;99,VLOOKUP(C5059,'MSA-Lookup'!$H$1:$I$86,2),C5059),C5059)</f>
        <v>360</v>
      </c>
      <c r="G5059" s="0" t="n">
        <f aca="false">VLOOKUP(E5059,'MSA-Lookup'!$AA$1:$AB$25,2)</f>
        <v>4472</v>
      </c>
      <c r="H5059" s="0" t="n">
        <f aca="false">IF(C5059&gt;1,IF(C5059&lt;99,VLOOKUP(F5059,'MSA-Lookup'!$AA$1:$AB$25,2),C5059),C5059)</f>
        <v>4472</v>
      </c>
    </row>
    <row r="5060" customFormat="false" ht="12.75" hidden="false" customHeight="false" outlineLevel="0" collapsed="false">
      <c r="A5060" s="0" t="n">
        <f aca="false">B5060*1000+C5060</f>
        <v>70045</v>
      </c>
      <c r="B5060" s="0" t="n">
        <v>70</v>
      </c>
      <c r="C5060" s="0" t="n">
        <v>45</v>
      </c>
      <c r="D5060" s="0" t="n">
        <v>0</v>
      </c>
      <c r="E5060" s="0" t="n">
        <f aca="false">VLOOKUP(B5060,'MSA-Lookup'!$H$2:$I$86,2)</f>
        <v>6780</v>
      </c>
      <c r="F5060" s="0" t="n">
        <f aca="false">IF(C5060&gt;1,IF(C5060&lt;99,VLOOKUP(C5060,'MSA-Lookup'!$H$1:$I$86,2),C5060),C5060)</f>
        <v>360</v>
      </c>
      <c r="G5060" s="0" t="n">
        <f aca="false">VLOOKUP(E5060,'MSA-Lookup'!$AA$1:$AB$25,2)</f>
        <v>4472</v>
      </c>
      <c r="H5060" s="0" t="n">
        <f aca="false">IF(C5060&gt;1,IF(C5060&lt;99,VLOOKUP(F5060,'MSA-Lookup'!$AA$1:$AB$25,2),C5060),C5060)</f>
        <v>4472</v>
      </c>
    </row>
    <row r="5061" customFormat="false" ht="12.75" hidden="false" customHeight="false" outlineLevel="0" collapsed="false">
      <c r="A5061" s="0" t="n">
        <f aca="false">B5061*1000+C5061</f>
        <v>70046</v>
      </c>
      <c r="B5061" s="0" t="n">
        <v>70</v>
      </c>
      <c r="C5061" s="0" t="n">
        <v>46</v>
      </c>
      <c r="D5061" s="0" t="n">
        <v>0</v>
      </c>
      <c r="E5061" s="0" t="n">
        <f aca="false">VLOOKUP(B5061,'MSA-Lookup'!$H$2:$I$86,2)</f>
        <v>6780</v>
      </c>
      <c r="F5061" s="0" t="n">
        <f aca="false">IF(C5061&gt;1,IF(C5061&lt;99,VLOOKUP(C5061,'MSA-Lookup'!$H$1:$I$86,2),C5061),C5061)</f>
        <v>360</v>
      </c>
      <c r="G5061" s="0" t="n">
        <f aca="false">VLOOKUP(E5061,'MSA-Lookup'!$AA$1:$AB$25,2)</f>
        <v>4472</v>
      </c>
      <c r="H5061" s="0" t="n">
        <f aca="false">IF(C5061&gt;1,IF(C5061&lt;99,VLOOKUP(F5061,'MSA-Lookup'!$AA$1:$AB$25,2),C5061),C5061)</f>
        <v>4472</v>
      </c>
    </row>
    <row r="5062" customFormat="false" ht="12.75" hidden="false" customHeight="false" outlineLevel="0" collapsed="false">
      <c r="A5062" s="0" t="n">
        <f aca="false">B5062*1000+C5062</f>
        <v>70047</v>
      </c>
      <c r="B5062" s="0" t="n">
        <v>70</v>
      </c>
      <c r="C5062" s="0" t="n">
        <v>47</v>
      </c>
      <c r="D5062" s="0" t="n">
        <v>0</v>
      </c>
      <c r="E5062" s="0" t="n">
        <f aca="false">VLOOKUP(B5062,'MSA-Lookup'!$H$2:$I$86,2)</f>
        <v>6780</v>
      </c>
      <c r="F5062" s="0" t="n">
        <f aca="false">IF(C5062&gt;1,IF(C5062&lt;99,VLOOKUP(C5062,'MSA-Lookup'!$H$1:$I$86,2),C5062),C5062)</f>
        <v>360</v>
      </c>
      <c r="G5062" s="0" t="n">
        <f aca="false">VLOOKUP(E5062,'MSA-Lookup'!$AA$1:$AB$25,2)</f>
        <v>4472</v>
      </c>
      <c r="H5062" s="0" t="n">
        <f aca="false">IF(C5062&gt;1,IF(C5062&lt;99,VLOOKUP(F5062,'MSA-Lookup'!$AA$1:$AB$25,2),C5062),C5062)</f>
        <v>4472</v>
      </c>
    </row>
    <row r="5063" customFormat="false" ht="12.75" hidden="false" customHeight="false" outlineLevel="0" collapsed="false">
      <c r="A5063" s="0" t="n">
        <f aca="false">B5063*1000+C5063</f>
        <v>70048</v>
      </c>
      <c r="B5063" s="0" t="n">
        <v>70</v>
      </c>
      <c r="C5063" s="0" t="n">
        <v>48</v>
      </c>
      <c r="D5063" s="0" t="n">
        <v>1625</v>
      </c>
      <c r="E5063" s="0" t="n">
        <f aca="false">VLOOKUP(B5063,'MSA-Lookup'!$H$2:$I$86,2)</f>
        <v>6780</v>
      </c>
      <c r="F5063" s="0" t="n">
        <f aca="false">IF(C5063&gt;1,IF(C5063&lt;99,VLOOKUP(C5063,'MSA-Lookup'!$H$1:$I$86,2),C5063),C5063)</f>
        <v>360</v>
      </c>
      <c r="G5063" s="0" t="n">
        <f aca="false">VLOOKUP(E5063,'MSA-Lookup'!$AA$1:$AB$25,2)</f>
        <v>4472</v>
      </c>
      <c r="H5063" s="0" t="n">
        <f aca="false">IF(C5063&gt;1,IF(C5063&lt;99,VLOOKUP(F5063,'MSA-Lookup'!$AA$1:$AB$25,2),C5063),C5063)</f>
        <v>4472</v>
      </c>
    </row>
    <row r="5064" customFormat="false" ht="12.75" hidden="false" customHeight="false" outlineLevel="0" collapsed="false">
      <c r="A5064" s="0" t="n">
        <f aca="false">B5064*1000+C5064</f>
        <v>70049</v>
      </c>
      <c r="B5064" s="0" t="n">
        <v>70</v>
      </c>
      <c r="C5064" s="0" t="n">
        <v>49</v>
      </c>
      <c r="D5064" s="0" t="n">
        <v>0</v>
      </c>
      <c r="E5064" s="0" t="n">
        <f aca="false">VLOOKUP(B5064,'MSA-Lookup'!$H$2:$I$86,2)</f>
        <v>6780</v>
      </c>
      <c r="F5064" s="0" t="n">
        <f aca="false">IF(C5064&gt;1,IF(C5064&lt;99,VLOOKUP(C5064,'MSA-Lookup'!$H$1:$I$86,2),C5064),C5064)</f>
        <v>7400</v>
      </c>
      <c r="G5064" s="0" t="n">
        <f aca="false">VLOOKUP(E5064,'MSA-Lookup'!$AA$1:$AB$25,2)</f>
        <v>4472</v>
      </c>
      <c r="H5064" s="0" t="n">
        <f aca="false">IF(C5064&gt;1,IF(C5064&lt;99,VLOOKUP(F5064,'MSA-Lookup'!$AA$1:$AB$25,2),C5064),C5064)</f>
        <v>7362</v>
      </c>
    </row>
    <row r="5065" customFormat="false" ht="12.75" hidden="false" customHeight="false" outlineLevel="0" collapsed="false">
      <c r="A5065" s="0" t="n">
        <f aca="false">B5065*1000+C5065</f>
        <v>70050</v>
      </c>
      <c r="B5065" s="0" t="n">
        <v>70</v>
      </c>
      <c r="C5065" s="0" t="n">
        <v>50</v>
      </c>
      <c r="D5065" s="0" t="n">
        <v>0</v>
      </c>
      <c r="E5065" s="0" t="n">
        <f aca="false">VLOOKUP(B5065,'MSA-Lookup'!$H$2:$I$86,2)</f>
        <v>6780</v>
      </c>
      <c r="F5065" s="0" t="n">
        <f aca="false">IF(C5065&gt;1,IF(C5065&lt;99,VLOOKUP(C5065,'MSA-Lookup'!$H$1:$I$86,2),C5065),C5065)</f>
        <v>7400</v>
      </c>
      <c r="G5065" s="0" t="n">
        <f aca="false">VLOOKUP(E5065,'MSA-Lookup'!$AA$1:$AB$25,2)</f>
        <v>4472</v>
      </c>
      <c r="H5065" s="0" t="n">
        <f aca="false">IF(C5065&gt;1,IF(C5065&lt;99,VLOOKUP(F5065,'MSA-Lookup'!$AA$1:$AB$25,2),C5065),C5065)</f>
        <v>7362</v>
      </c>
    </row>
    <row r="5066" customFormat="false" ht="12.75" hidden="false" customHeight="false" outlineLevel="0" collapsed="false">
      <c r="A5066" s="0" t="n">
        <f aca="false">B5066*1000+C5066</f>
        <v>70051</v>
      </c>
      <c r="B5066" s="0" t="n">
        <v>70</v>
      </c>
      <c r="C5066" s="0" t="n">
        <v>51</v>
      </c>
      <c r="D5066" s="0" t="n">
        <v>0</v>
      </c>
      <c r="E5066" s="0" t="n">
        <f aca="false">VLOOKUP(B5066,'MSA-Lookup'!$H$2:$I$86,2)</f>
        <v>6780</v>
      </c>
      <c r="F5066" s="0" t="n">
        <f aca="false">IF(C5066&gt;1,IF(C5066&lt;99,VLOOKUP(C5066,'MSA-Lookup'!$H$1:$I$86,2),C5066),C5066)</f>
        <v>7400</v>
      </c>
      <c r="G5066" s="0" t="n">
        <f aca="false">VLOOKUP(E5066,'MSA-Lookup'!$AA$1:$AB$25,2)</f>
        <v>4472</v>
      </c>
      <c r="H5066" s="0" t="n">
        <f aca="false">IF(C5066&gt;1,IF(C5066&lt;99,VLOOKUP(F5066,'MSA-Lookup'!$AA$1:$AB$25,2),C5066),C5066)</f>
        <v>7362</v>
      </c>
    </row>
    <row r="5067" customFormat="false" ht="12.75" hidden="false" customHeight="false" outlineLevel="0" collapsed="false">
      <c r="A5067" s="0" t="n">
        <f aca="false">B5067*1000+C5067</f>
        <v>70052</v>
      </c>
      <c r="B5067" s="0" t="n">
        <v>70</v>
      </c>
      <c r="C5067" s="0" t="n">
        <v>52</v>
      </c>
      <c r="D5067" s="0" t="n">
        <v>91</v>
      </c>
      <c r="E5067" s="0" t="n">
        <f aca="false">VLOOKUP(B5067,'MSA-Lookup'!$H$2:$I$86,2)</f>
        <v>6780</v>
      </c>
      <c r="F5067" s="0" t="n">
        <f aca="false">IF(C5067&gt;1,IF(C5067&lt;99,VLOOKUP(C5067,'MSA-Lookup'!$H$1:$I$86,2),C5067),C5067)</f>
        <v>4480</v>
      </c>
      <c r="G5067" s="0" t="n">
        <f aca="false">VLOOKUP(E5067,'MSA-Lookup'!$AA$1:$AB$25,2)</f>
        <v>4472</v>
      </c>
      <c r="H5067" s="0" t="n">
        <f aca="false">IF(C5067&gt;1,IF(C5067&lt;99,VLOOKUP(F5067,'MSA-Lookup'!$AA$1:$AB$25,2),C5067),C5067)</f>
        <v>4472</v>
      </c>
    </row>
    <row r="5068" customFormat="false" ht="12.75" hidden="false" customHeight="false" outlineLevel="0" collapsed="false">
      <c r="A5068" s="0" t="n">
        <f aca="false">B5068*1000+C5068</f>
        <v>70053</v>
      </c>
      <c r="B5068" s="0" t="n">
        <v>70</v>
      </c>
      <c r="C5068" s="0" t="n">
        <v>53</v>
      </c>
      <c r="D5068" s="0" t="n">
        <v>286</v>
      </c>
      <c r="E5068" s="0" t="n">
        <f aca="false">VLOOKUP(B5068,'MSA-Lookup'!$H$2:$I$86,2)</f>
        <v>6780</v>
      </c>
      <c r="F5068" s="0" t="n">
        <f aca="false">IF(C5068&gt;1,IF(C5068&lt;99,VLOOKUP(C5068,'MSA-Lookup'!$H$1:$I$86,2),C5068),C5068)</f>
        <v>4480</v>
      </c>
      <c r="G5068" s="0" t="n">
        <f aca="false">VLOOKUP(E5068,'MSA-Lookup'!$AA$1:$AB$25,2)</f>
        <v>4472</v>
      </c>
      <c r="H5068" s="0" t="n">
        <f aca="false">IF(C5068&gt;1,IF(C5068&lt;99,VLOOKUP(F5068,'MSA-Lookup'!$AA$1:$AB$25,2),C5068),C5068)</f>
        <v>4472</v>
      </c>
    </row>
    <row r="5069" customFormat="false" ht="12.75" hidden="false" customHeight="false" outlineLevel="0" collapsed="false">
      <c r="A5069" s="0" t="n">
        <f aca="false">B5069*1000+C5069</f>
        <v>70054</v>
      </c>
      <c r="B5069" s="0" t="n">
        <v>70</v>
      </c>
      <c r="C5069" s="0" t="n">
        <v>54</v>
      </c>
      <c r="D5069" s="0" t="n">
        <v>507</v>
      </c>
      <c r="E5069" s="0" t="n">
        <f aca="false">VLOOKUP(B5069,'MSA-Lookup'!$H$2:$I$86,2)</f>
        <v>6780</v>
      </c>
      <c r="F5069" s="0" t="n">
        <f aca="false">IF(C5069&gt;1,IF(C5069&lt;99,VLOOKUP(C5069,'MSA-Lookup'!$H$1:$I$86,2),C5069),C5069)</f>
        <v>4480</v>
      </c>
      <c r="G5069" s="0" t="n">
        <f aca="false">VLOOKUP(E5069,'MSA-Lookup'!$AA$1:$AB$25,2)</f>
        <v>4472</v>
      </c>
      <c r="H5069" s="0" t="n">
        <f aca="false">IF(C5069&gt;1,IF(C5069&lt;99,VLOOKUP(F5069,'MSA-Lookup'!$AA$1:$AB$25,2),C5069),C5069)</f>
        <v>4472</v>
      </c>
    </row>
    <row r="5070" customFormat="false" ht="12.75" hidden="false" customHeight="false" outlineLevel="0" collapsed="false">
      <c r="A5070" s="0" t="n">
        <f aca="false">B5070*1000+C5070</f>
        <v>70055</v>
      </c>
      <c r="B5070" s="0" t="n">
        <v>70</v>
      </c>
      <c r="C5070" s="0" t="n">
        <v>55</v>
      </c>
      <c r="D5070" s="0" t="n">
        <v>234</v>
      </c>
      <c r="E5070" s="0" t="n">
        <f aca="false">VLOOKUP(B5070,'MSA-Lookup'!$H$2:$I$86,2)</f>
        <v>6780</v>
      </c>
      <c r="F5070" s="0" t="n">
        <f aca="false">IF(C5070&gt;1,IF(C5070&lt;99,VLOOKUP(C5070,'MSA-Lookup'!$H$1:$I$86,2),C5070),C5070)</f>
        <v>4480</v>
      </c>
      <c r="G5070" s="0" t="n">
        <f aca="false">VLOOKUP(E5070,'MSA-Lookup'!$AA$1:$AB$25,2)</f>
        <v>4472</v>
      </c>
      <c r="H5070" s="0" t="n">
        <f aca="false">IF(C5070&gt;1,IF(C5070&lt;99,VLOOKUP(F5070,'MSA-Lookup'!$AA$1:$AB$25,2),C5070),C5070)</f>
        <v>4472</v>
      </c>
    </row>
    <row r="5071" customFormat="false" ht="12.75" hidden="false" customHeight="false" outlineLevel="0" collapsed="false">
      <c r="A5071" s="0" t="n">
        <f aca="false">B5071*1000+C5071</f>
        <v>70056</v>
      </c>
      <c r="B5071" s="0" t="n">
        <v>70</v>
      </c>
      <c r="C5071" s="0" t="n">
        <v>56</v>
      </c>
      <c r="D5071" s="0" t="n">
        <v>0</v>
      </c>
      <c r="E5071" s="0" t="n">
        <f aca="false">VLOOKUP(B5071,'MSA-Lookup'!$H$2:$I$86,2)</f>
        <v>6780</v>
      </c>
      <c r="F5071" s="0" t="n">
        <f aca="false">IF(C5071&gt;1,IF(C5071&lt;99,VLOOKUP(C5071,'MSA-Lookup'!$H$1:$I$86,2),C5071),C5071)</f>
        <v>4480</v>
      </c>
      <c r="G5071" s="0" t="n">
        <f aca="false">VLOOKUP(E5071,'MSA-Lookup'!$AA$1:$AB$25,2)</f>
        <v>4472</v>
      </c>
      <c r="H5071" s="0" t="n">
        <f aca="false">IF(C5071&gt;1,IF(C5071&lt;99,VLOOKUP(F5071,'MSA-Lookup'!$AA$1:$AB$25,2),C5071),C5071)</f>
        <v>4472</v>
      </c>
    </row>
    <row r="5072" customFormat="false" ht="12.75" hidden="false" customHeight="false" outlineLevel="0" collapsed="false">
      <c r="A5072" s="0" t="n">
        <f aca="false">B5072*1000+C5072</f>
        <v>70057</v>
      </c>
      <c r="B5072" s="0" t="n">
        <v>70</v>
      </c>
      <c r="C5072" s="0" t="n">
        <v>57</v>
      </c>
      <c r="D5072" s="0" t="n">
        <v>0</v>
      </c>
      <c r="E5072" s="0" t="n">
        <f aca="false">VLOOKUP(B5072,'MSA-Lookup'!$H$2:$I$86,2)</f>
        <v>6780</v>
      </c>
      <c r="F5072" s="0" t="n">
        <f aca="false">IF(C5072&gt;1,IF(C5072&lt;99,VLOOKUP(C5072,'MSA-Lookup'!$H$1:$I$86,2),C5072),C5072)</f>
        <v>4480</v>
      </c>
      <c r="G5072" s="0" t="n">
        <f aca="false">VLOOKUP(E5072,'MSA-Lookup'!$AA$1:$AB$25,2)</f>
        <v>4472</v>
      </c>
      <c r="H5072" s="0" t="n">
        <f aca="false">IF(C5072&gt;1,IF(C5072&lt;99,VLOOKUP(F5072,'MSA-Lookup'!$AA$1:$AB$25,2),C5072),C5072)</f>
        <v>4472</v>
      </c>
    </row>
    <row r="5073" customFormat="false" ht="12.75" hidden="false" customHeight="false" outlineLevel="0" collapsed="false">
      <c r="A5073" s="0" t="n">
        <f aca="false">B5073*1000+C5073</f>
        <v>70058</v>
      </c>
      <c r="B5073" s="0" t="n">
        <v>70</v>
      </c>
      <c r="C5073" s="0" t="n">
        <v>58</v>
      </c>
      <c r="D5073" s="0" t="n">
        <v>780</v>
      </c>
      <c r="E5073" s="0" t="n">
        <f aca="false">VLOOKUP(B5073,'MSA-Lookup'!$H$2:$I$86,2)</f>
        <v>6780</v>
      </c>
      <c r="F5073" s="0" t="n">
        <f aca="false">IF(C5073&gt;1,IF(C5073&lt;99,VLOOKUP(C5073,'MSA-Lookup'!$H$1:$I$86,2),C5073),C5073)</f>
        <v>4480</v>
      </c>
      <c r="G5073" s="0" t="n">
        <f aca="false">VLOOKUP(E5073,'MSA-Lookup'!$AA$1:$AB$25,2)</f>
        <v>4472</v>
      </c>
      <c r="H5073" s="0" t="n">
        <f aca="false">IF(C5073&gt;1,IF(C5073&lt;99,VLOOKUP(F5073,'MSA-Lookup'!$AA$1:$AB$25,2),C5073),C5073)</f>
        <v>4472</v>
      </c>
    </row>
    <row r="5074" customFormat="false" ht="12.75" hidden="false" customHeight="false" outlineLevel="0" collapsed="false">
      <c r="A5074" s="0" t="n">
        <f aca="false">B5074*1000+C5074</f>
        <v>70059</v>
      </c>
      <c r="B5074" s="0" t="n">
        <v>70</v>
      </c>
      <c r="C5074" s="0" t="n">
        <v>59</v>
      </c>
      <c r="D5074" s="0" t="n">
        <v>3120</v>
      </c>
      <c r="E5074" s="0" t="n">
        <f aca="false">VLOOKUP(B5074,'MSA-Lookup'!$H$2:$I$86,2)</f>
        <v>6780</v>
      </c>
      <c r="F5074" s="0" t="n">
        <f aca="false">IF(C5074&gt;1,IF(C5074&lt;99,VLOOKUP(C5074,'MSA-Lookup'!$H$1:$I$86,2),C5074),C5074)</f>
        <v>4480</v>
      </c>
      <c r="G5074" s="0" t="n">
        <f aca="false">VLOOKUP(E5074,'MSA-Lookup'!$AA$1:$AB$25,2)</f>
        <v>4472</v>
      </c>
      <c r="H5074" s="0" t="n">
        <f aca="false">IF(C5074&gt;1,IF(C5074&lt;99,VLOOKUP(F5074,'MSA-Lookup'!$AA$1:$AB$25,2),C5074),C5074)</f>
        <v>4472</v>
      </c>
    </row>
    <row r="5075" customFormat="false" ht="12.75" hidden="false" customHeight="false" outlineLevel="0" collapsed="false">
      <c r="A5075" s="0" t="n">
        <f aca="false">B5075*1000+C5075</f>
        <v>70060</v>
      </c>
      <c r="B5075" s="0" t="n">
        <v>70</v>
      </c>
      <c r="C5075" s="0" t="n">
        <v>60</v>
      </c>
      <c r="D5075" s="0" t="n">
        <v>0</v>
      </c>
      <c r="E5075" s="0" t="n">
        <f aca="false">VLOOKUP(B5075,'MSA-Lookup'!$H$2:$I$86,2)</f>
        <v>6780</v>
      </c>
      <c r="F5075" s="0" t="n">
        <f aca="false">IF(C5075&gt;1,IF(C5075&lt;99,VLOOKUP(C5075,'MSA-Lookup'!$H$1:$I$86,2),C5075),C5075)</f>
        <v>4480</v>
      </c>
      <c r="G5075" s="0" t="n">
        <f aca="false">VLOOKUP(E5075,'MSA-Lookup'!$AA$1:$AB$25,2)</f>
        <v>4472</v>
      </c>
      <c r="H5075" s="0" t="n">
        <f aca="false">IF(C5075&gt;1,IF(C5075&lt;99,VLOOKUP(F5075,'MSA-Lookup'!$AA$1:$AB$25,2),C5075),C5075)</f>
        <v>4472</v>
      </c>
    </row>
    <row r="5076" customFormat="false" ht="12.75" hidden="false" customHeight="false" outlineLevel="0" collapsed="false">
      <c r="A5076" s="0" t="n">
        <f aca="false">B5076*1000+C5076</f>
        <v>70061</v>
      </c>
      <c r="B5076" s="0" t="n">
        <v>70</v>
      </c>
      <c r="C5076" s="0" t="n">
        <v>61</v>
      </c>
      <c r="D5076" s="0" t="n">
        <v>286</v>
      </c>
      <c r="E5076" s="0" t="n">
        <f aca="false">VLOOKUP(B5076,'MSA-Lookup'!$H$2:$I$86,2)</f>
        <v>6780</v>
      </c>
      <c r="F5076" s="0" t="n">
        <f aca="false">IF(C5076&gt;1,IF(C5076&lt;99,VLOOKUP(C5076,'MSA-Lookup'!$H$1:$I$86,2),C5076),C5076)</f>
        <v>4480</v>
      </c>
      <c r="G5076" s="0" t="n">
        <f aca="false">VLOOKUP(E5076,'MSA-Lookup'!$AA$1:$AB$25,2)</f>
        <v>4472</v>
      </c>
      <c r="H5076" s="0" t="n">
        <f aca="false">IF(C5076&gt;1,IF(C5076&lt;99,VLOOKUP(F5076,'MSA-Lookup'!$AA$1:$AB$25,2),C5076),C5076)</f>
        <v>4472</v>
      </c>
    </row>
    <row r="5077" customFormat="false" ht="12.75" hidden="false" customHeight="false" outlineLevel="0" collapsed="false">
      <c r="A5077" s="0" t="n">
        <f aca="false">B5077*1000+C5077</f>
        <v>70062</v>
      </c>
      <c r="B5077" s="0" t="n">
        <v>70</v>
      </c>
      <c r="C5077" s="0" t="n">
        <v>62</v>
      </c>
      <c r="D5077" s="0" t="n">
        <v>260</v>
      </c>
      <c r="E5077" s="0" t="n">
        <f aca="false">VLOOKUP(B5077,'MSA-Lookup'!$H$2:$I$86,2)</f>
        <v>6780</v>
      </c>
      <c r="F5077" s="0" t="n">
        <f aca="false">IF(C5077&gt;1,IF(C5077&lt;99,VLOOKUP(C5077,'MSA-Lookup'!$H$1:$I$86,2),C5077),C5077)</f>
        <v>4480</v>
      </c>
      <c r="G5077" s="0" t="n">
        <f aca="false">VLOOKUP(E5077,'MSA-Lookup'!$AA$1:$AB$25,2)</f>
        <v>4472</v>
      </c>
      <c r="H5077" s="0" t="n">
        <f aca="false">IF(C5077&gt;1,IF(C5077&lt;99,VLOOKUP(F5077,'MSA-Lookup'!$AA$1:$AB$25,2),C5077),C5077)</f>
        <v>4472</v>
      </c>
    </row>
    <row r="5078" customFormat="false" ht="12.75" hidden="false" customHeight="false" outlineLevel="0" collapsed="false">
      <c r="A5078" s="0" t="n">
        <f aca="false">B5078*1000+C5078</f>
        <v>70063</v>
      </c>
      <c r="B5078" s="0" t="n">
        <v>70</v>
      </c>
      <c r="C5078" s="0" t="n">
        <v>63</v>
      </c>
      <c r="D5078" s="0" t="n">
        <v>936</v>
      </c>
      <c r="E5078" s="0" t="n">
        <f aca="false">VLOOKUP(B5078,'MSA-Lookup'!$H$2:$I$86,2)</f>
        <v>6780</v>
      </c>
      <c r="F5078" s="0" t="n">
        <f aca="false">IF(C5078&gt;1,IF(C5078&lt;99,VLOOKUP(C5078,'MSA-Lookup'!$H$1:$I$86,2),C5078),C5078)</f>
        <v>4480</v>
      </c>
      <c r="G5078" s="0" t="n">
        <f aca="false">VLOOKUP(E5078,'MSA-Lookup'!$AA$1:$AB$25,2)</f>
        <v>4472</v>
      </c>
      <c r="H5078" s="0" t="n">
        <f aca="false">IF(C5078&gt;1,IF(C5078&lt;99,VLOOKUP(F5078,'MSA-Lookup'!$AA$1:$AB$25,2),C5078),C5078)</f>
        <v>4472</v>
      </c>
    </row>
    <row r="5079" customFormat="false" ht="12.75" hidden="false" customHeight="false" outlineLevel="0" collapsed="false">
      <c r="A5079" s="0" t="n">
        <f aca="false">B5079*1000+C5079</f>
        <v>70064</v>
      </c>
      <c r="B5079" s="0" t="n">
        <v>70</v>
      </c>
      <c r="C5079" s="0" t="n">
        <v>64</v>
      </c>
      <c r="D5079" s="0" t="n">
        <v>7852</v>
      </c>
      <c r="E5079" s="0" t="n">
        <f aca="false">VLOOKUP(B5079,'MSA-Lookup'!$H$2:$I$86,2)</f>
        <v>6780</v>
      </c>
      <c r="F5079" s="0" t="n">
        <f aca="false">IF(C5079&gt;1,IF(C5079&lt;99,VLOOKUP(C5079,'MSA-Lookup'!$H$1:$I$86,2),C5079),C5079)</f>
        <v>4480</v>
      </c>
      <c r="G5079" s="0" t="n">
        <f aca="false">VLOOKUP(E5079,'MSA-Lookup'!$AA$1:$AB$25,2)</f>
        <v>4472</v>
      </c>
      <c r="H5079" s="0" t="n">
        <f aca="false">IF(C5079&gt;1,IF(C5079&lt;99,VLOOKUP(F5079,'MSA-Lookup'!$AA$1:$AB$25,2),C5079),C5079)</f>
        <v>4472</v>
      </c>
    </row>
    <row r="5080" customFormat="false" ht="12.75" hidden="false" customHeight="false" outlineLevel="0" collapsed="false">
      <c r="A5080" s="0" t="n">
        <f aca="false">B5080*1000+C5080</f>
        <v>70065</v>
      </c>
      <c r="B5080" s="0" t="n">
        <v>70</v>
      </c>
      <c r="C5080" s="0" t="n">
        <v>65</v>
      </c>
      <c r="D5080" s="0" t="n">
        <v>2574</v>
      </c>
      <c r="E5080" s="0" t="n">
        <f aca="false">VLOOKUP(B5080,'MSA-Lookup'!$H$2:$I$86,2)</f>
        <v>6780</v>
      </c>
      <c r="F5080" s="0" t="n">
        <f aca="false">IF(C5080&gt;1,IF(C5080&lt;99,VLOOKUP(C5080,'MSA-Lookup'!$H$1:$I$86,2),C5080),C5080)</f>
        <v>4480</v>
      </c>
      <c r="G5080" s="0" t="n">
        <f aca="false">VLOOKUP(E5080,'MSA-Lookup'!$AA$1:$AB$25,2)</f>
        <v>4472</v>
      </c>
      <c r="H5080" s="0" t="n">
        <f aca="false">IF(C5080&gt;1,IF(C5080&lt;99,VLOOKUP(F5080,'MSA-Lookup'!$AA$1:$AB$25,2),C5080),C5080)</f>
        <v>4472</v>
      </c>
    </row>
    <row r="5081" customFormat="false" ht="12.75" hidden="false" customHeight="false" outlineLevel="0" collapsed="false">
      <c r="A5081" s="0" t="n">
        <f aca="false">B5081*1000+C5081</f>
        <v>70066</v>
      </c>
      <c r="B5081" s="0" t="n">
        <v>70</v>
      </c>
      <c r="C5081" s="0" t="n">
        <v>66</v>
      </c>
      <c r="D5081" s="0" t="n">
        <v>104</v>
      </c>
      <c r="E5081" s="0" t="n">
        <f aca="false">VLOOKUP(B5081,'MSA-Lookup'!$H$2:$I$86,2)</f>
        <v>6780</v>
      </c>
      <c r="F5081" s="0" t="n">
        <f aca="false">IF(C5081&gt;1,IF(C5081&lt;99,VLOOKUP(C5081,'MSA-Lookup'!$H$1:$I$86,2),C5081),C5081)</f>
        <v>4480</v>
      </c>
      <c r="G5081" s="0" t="n">
        <f aca="false">VLOOKUP(E5081,'MSA-Lookup'!$AA$1:$AB$25,2)</f>
        <v>4472</v>
      </c>
      <c r="H5081" s="0" t="n">
        <f aca="false">IF(C5081&gt;1,IF(C5081&lt;99,VLOOKUP(F5081,'MSA-Lookup'!$AA$1:$AB$25,2),C5081),C5081)</f>
        <v>4472</v>
      </c>
    </row>
    <row r="5082" customFormat="false" ht="12.75" hidden="false" customHeight="false" outlineLevel="0" collapsed="false">
      <c r="A5082" s="0" t="n">
        <f aca="false">B5082*1000+C5082</f>
        <v>70067</v>
      </c>
      <c r="B5082" s="0" t="n">
        <v>70</v>
      </c>
      <c r="C5082" s="0" t="n">
        <v>67</v>
      </c>
      <c r="D5082" s="0" t="n">
        <v>0</v>
      </c>
      <c r="E5082" s="0" t="n">
        <f aca="false">VLOOKUP(B5082,'MSA-Lookup'!$H$2:$I$86,2)</f>
        <v>6780</v>
      </c>
      <c r="F5082" s="0" t="n">
        <f aca="false">IF(C5082&gt;1,IF(C5082&lt;99,VLOOKUP(C5082,'MSA-Lookup'!$H$1:$I$86,2),C5082),C5082)</f>
        <v>6000</v>
      </c>
      <c r="G5082" s="0" t="n">
        <f aca="false">VLOOKUP(E5082,'MSA-Lookup'!$AA$1:$AB$25,2)</f>
        <v>4472</v>
      </c>
      <c r="H5082" s="0" t="n">
        <f aca="false">IF(C5082&gt;1,IF(C5082&lt;99,VLOOKUP(F5082,'MSA-Lookup'!$AA$1:$AB$25,2),C5082),C5082)</f>
        <v>4472</v>
      </c>
    </row>
    <row r="5083" customFormat="false" ht="12.75" hidden="false" customHeight="false" outlineLevel="0" collapsed="false">
      <c r="A5083" s="0" t="n">
        <f aca="false">B5083*1000+C5083</f>
        <v>70068</v>
      </c>
      <c r="B5083" s="0" t="n">
        <v>70</v>
      </c>
      <c r="C5083" s="0" t="n">
        <v>68</v>
      </c>
      <c r="D5083" s="0" t="n">
        <v>0</v>
      </c>
      <c r="E5083" s="0" t="n">
        <f aca="false">VLOOKUP(B5083,'MSA-Lookup'!$H$2:$I$86,2)</f>
        <v>6780</v>
      </c>
      <c r="F5083" s="0" t="n">
        <f aca="false">IF(C5083&gt;1,IF(C5083&lt;99,VLOOKUP(C5083,'MSA-Lookup'!$H$1:$I$86,2),C5083),C5083)</f>
        <v>6780</v>
      </c>
      <c r="G5083" s="0" t="n">
        <f aca="false">VLOOKUP(E5083,'MSA-Lookup'!$AA$1:$AB$25,2)</f>
        <v>4472</v>
      </c>
      <c r="H5083" s="0" t="n">
        <f aca="false">IF(C5083&gt;1,IF(C5083&lt;99,VLOOKUP(F5083,'MSA-Lookup'!$AA$1:$AB$25,2),C5083),C5083)</f>
        <v>4472</v>
      </c>
    </row>
    <row r="5084" customFormat="false" ht="12.75" hidden="false" customHeight="false" outlineLevel="0" collapsed="false">
      <c r="A5084" s="0" t="n">
        <f aca="false">B5084*1000+C5084</f>
        <v>70069</v>
      </c>
      <c r="B5084" s="0" t="n">
        <v>70</v>
      </c>
      <c r="C5084" s="0" t="n">
        <v>69</v>
      </c>
      <c r="D5084" s="0" t="n">
        <v>1456</v>
      </c>
      <c r="E5084" s="0" t="n">
        <f aca="false">VLOOKUP(B5084,'MSA-Lookup'!$H$2:$I$86,2)</f>
        <v>6780</v>
      </c>
      <c r="F5084" s="0" t="n">
        <f aca="false">IF(C5084&gt;1,IF(C5084&lt;99,VLOOKUP(C5084,'MSA-Lookup'!$H$1:$I$86,2),C5084),C5084)</f>
        <v>6780</v>
      </c>
      <c r="G5084" s="0" t="n">
        <f aca="false">VLOOKUP(E5084,'MSA-Lookup'!$AA$1:$AB$25,2)</f>
        <v>4472</v>
      </c>
      <c r="H5084" s="0" t="n">
        <f aca="false">IF(C5084&gt;1,IF(C5084&lt;99,VLOOKUP(F5084,'MSA-Lookup'!$AA$1:$AB$25,2),C5084),C5084)</f>
        <v>4472</v>
      </c>
    </row>
    <row r="5085" customFormat="false" ht="12.75" hidden="false" customHeight="false" outlineLevel="0" collapsed="false">
      <c r="A5085" s="0" t="n">
        <f aca="false">B5085*1000+C5085</f>
        <v>70070</v>
      </c>
      <c r="B5085" s="0" t="n">
        <v>70</v>
      </c>
      <c r="C5085" s="0" t="n">
        <v>70</v>
      </c>
      <c r="D5085" s="0" t="n">
        <v>10049</v>
      </c>
      <c r="E5085" s="0" t="n">
        <f aca="false">VLOOKUP(B5085,'MSA-Lookup'!$H$2:$I$86,2)</f>
        <v>6780</v>
      </c>
      <c r="F5085" s="0" t="n">
        <f aca="false">IF(C5085&gt;1,IF(C5085&lt;99,VLOOKUP(C5085,'MSA-Lookup'!$H$1:$I$86,2),C5085),C5085)</f>
        <v>6780</v>
      </c>
      <c r="G5085" s="0" t="n">
        <f aca="false">VLOOKUP(E5085,'MSA-Lookup'!$AA$1:$AB$25,2)</f>
        <v>4472</v>
      </c>
      <c r="H5085" s="0" t="n">
        <f aca="false">IF(C5085&gt;1,IF(C5085&lt;99,VLOOKUP(F5085,'MSA-Lookup'!$AA$1:$AB$25,2),C5085),C5085)</f>
        <v>4472</v>
      </c>
    </row>
    <row r="5086" customFormat="false" ht="12.75" hidden="false" customHeight="false" outlineLevel="0" collapsed="false">
      <c r="A5086" s="0" t="n">
        <f aca="false">B5086*1000+C5086</f>
        <v>70071</v>
      </c>
      <c r="B5086" s="0" t="n">
        <v>70</v>
      </c>
      <c r="C5086" s="0" t="n">
        <v>71</v>
      </c>
      <c r="D5086" s="0" t="n">
        <v>4628</v>
      </c>
      <c r="E5086" s="0" t="n">
        <f aca="false">VLOOKUP(B5086,'MSA-Lookup'!$H$2:$I$86,2)</f>
        <v>6780</v>
      </c>
      <c r="F5086" s="0" t="n">
        <f aca="false">IF(C5086&gt;1,IF(C5086&lt;99,VLOOKUP(C5086,'MSA-Lookup'!$H$1:$I$86,2),C5086),C5086)</f>
        <v>6780</v>
      </c>
      <c r="G5086" s="0" t="n">
        <f aca="false">VLOOKUP(E5086,'MSA-Lookup'!$AA$1:$AB$25,2)</f>
        <v>4472</v>
      </c>
      <c r="H5086" s="0" t="n">
        <f aca="false">IF(C5086&gt;1,IF(C5086&lt;99,VLOOKUP(F5086,'MSA-Lookup'!$AA$1:$AB$25,2),C5086),C5086)</f>
        <v>4472</v>
      </c>
    </row>
    <row r="5087" customFormat="false" ht="12.75" hidden="false" customHeight="false" outlineLevel="0" collapsed="false">
      <c r="A5087" s="0" t="n">
        <f aca="false">B5087*1000+C5087</f>
        <v>70072</v>
      </c>
      <c r="B5087" s="0" t="n">
        <v>70</v>
      </c>
      <c r="C5087" s="0" t="n">
        <v>72</v>
      </c>
      <c r="D5087" s="0" t="n">
        <v>10933</v>
      </c>
      <c r="E5087" s="0" t="n">
        <f aca="false">VLOOKUP(B5087,'MSA-Lookup'!$H$2:$I$86,2)</f>
        <v>6780</v>
      </c>
      <c r="F5087" s="0" t="n">
        <f aca="false">IF(C5087&gt;1,IF(C5087&lt;99,VLOOKUP(C5087,'MSA-Lookup'!$H$1:$I$86,2),C5087),C5087)</f>
        <v>6780</v>
      </c>
      <c r="G5087" s="0" t="n">
        <f aca="false">VLOOKUP(E5087,'MSA-Lookup'!$AA$1:$AB$25,2)</f>
        <v>4472</v>
      </c>
      <c r="H5087" s="0" t="n">
        <f aca="false">IF(C5087&gt;1,IF(C5087&lt;99,VLOOKUP(F5087,'MSA-Lookup'!$AA$1:$AB$25,2),C5087),C5087)</f>
        <v>4472</v>
      </c>
    </row>
    <row r="5088" customFormat="false" ht="12.75" hidden="false" customHeight="false" outlineLevel="0" collapsed="false">
      <c r="A5088" s="0" t="n">
        <f aca="false">B5088*1000+C5088</f>
        <v>70073</v>
      </c>
      <c r="B5088" s="0" t="n">
        <v>70</v>
      </c>
      <c r="C5088" s="0" t="n">
        <v>73</v>
      </c>
      <c r="D5088" s="0" t="n">
        <v>0</v>
      </c>
      <c r="E5088" s="0" t="n">
        <f aca="false">VLOOKUP(B5088,'MSA-Lookup'!$H$2:$I$86,2)</f>
        <v>6780</v>
      </c>
      <c r="F5088" s="0" t="n">
        <f aca="false">IF(C5088&gt;1,IF(C5088&lt;99,VLOOKUP(C5088,'MSA-Lookup'!$H$1:$I$86,2),C5088),C5088)</f>
        <v>8720</v>
      </c>
      <c r="G5088" s="0" t="n">
        <f aca="false">VLOOKUP(E5088,'MSA-Lookup'!$AA$1:$AB$25,2)</f>
        <v>4472</v>
      </c>
      <c r="H5088" s="0" t="n">
        <f aca="false">IF(C5088&gt;1,IF(C5088&lt;99,VLOOKUP(F5088,'MSA-Lookup'!$AA$1:$AB$25,2),C5088),C5088)</f>
        <v>7362</v>
      </c>
    </row>
    <row r="5089" customFormat="false" ht="12.75" hidden="false" customHeight="false" outlineLevel="0" collapsed="false">
      <c r="A5089" s="0" t="n">
        <f aca="false">B5089*1000+C5089</f>
        <v>70075</v>
      </c>
      <c r="B5089" s="0" t="n">
        <v>70</v>
      </c>
      <c r="C5089" s="0" t="n">
        <v>75</v>
      </c>
      <c r="D5089" s="0" t="n">
        <v>0</v>
      </c>
      <c r="E5089" s="0" t="n">
        <f aca="false">VLOOKUP(B5089,'MSA-Lookup'!$H$2:$I$86,2)</f>
        <v>6780</v>
      </c>
      <c r="F5089" s="0" t="n">
        <f aca="false">IF(C5089&gt;1,IF(C5089&lt;99,VLOOKUP(C5089,'MSA-Lookup'!$H$1:$I$86,2),C5089),C5089)</f>
        <v>8780</v>
      </c>
      <c r="G5089" s="0" t="n">
        <f aca="false">VLOOKUP(E5089,'MSA-Lookup'!$AA$1:$AB$25,2)</f>
        <v>4472</v>
      </c>
      <c r="H5089" s="0" t="n">
        <f aca="false">IF(C5089&gt;1,IF(C5089&lt;99,VLOOKUP(F5089,'MSA-Lookup'!$AA$1:$AB$25,2),C5089),C5089)</f>
        <v>8780</v>
      </c>
    </row>
    <row r="5090" customFormat="false" ht="12.75" hidden="false" customHeight="false" outlineLevel="0" collapsed="false">
      <c r="A5090" s="0" t="n">
        <f aca="false">B5090*1000+C5090</f>
        <v>70076</v>
      </c>
      <c r="B5090" s="0" t="n">
        <v>70</v>
      </c>
      <c r="C5090" s="0" t="n">
        <v>76</v>
      </c>
      <c r="D5090" s="0" t="n">
        <v>0</v>
      </c>
      <c r="E5090" s="0" t="n">
        <f aca="false">VLOOKUP(B5090,'MSA-Lookup'!$H$2:$I$86,2)</f>
        <v>6780</v>
      </c>
      <c r="F5090" s="0" t="n">
        <f aca="false">IF(C5090&gt;1,IF(C5090&lt;99,VLOOKUP(C5090,'MSA-Lookup'!$H$1:$I$86,2),C5090),C5090)</f>
        <v>7485</v>
      </c>
      <c r="G5090" s="0" t="n">
        <f aca="false">VLOOKUP(E5090,'MSA-Lookup'!$AA$1:$AB$25,2)</f>
        <v>4472</v>
      </c>
      <c r="H5090" s="0" t="n">
        <f aca="false">IF(C5090&gt;1,IF(C5090&lt;99,VLOOKUP(F5090,'MSA-Lookup'!$AA$1:$AB$25,2),C5090),C5090)</f>
        <v>7362</v>
      </c>
    </row>
    <row r="5091" customFormat="false" ht="12.75" hidden="false" customHeight="false" outlineLevel="0" collapsed="false">
      <c r="A5091" s="0" t="n">
        <f aca="false">B5091*1000+C5091</f>
        <v>70077</v>
      </c>
      <c r="B5091" s="0" t="n">
        <v>70</v>
      </c>
      <c r="C5091" s="0" t="n">
        <v>77</v>
      </c>
      <c r="D5091" s="0" t="n">
        <v>0</v>
      </c>
      <c r="E5091" s="0" t="n">
        <f aca="false">VLOOKUP(B5091,'MSA-Lookup'!$H$2:$I$86,2)</f>
        <v>6780</v>
      </c>
      <c r="F5091" s="0" t="n">
        <f aca="false">IF(C5091&gt;1,IF(C5091&lt;99,VLOOKUP(C5091,'MSA-Lookup'!$H$1:$I$86,2),C5091),C5091)</f>
        <v>9999</v>
      </c>
      <c r="G5091" s="0" t="n">
        <f aca="false">VLOOKUP(E5091,'MSA-Lookup'!$AA$1:$AB$25,2)</f>
        <v>4472</v>
      </c>
      <c r="H5091" s="0" t="n">
        <f aca="false">IF(C5091&gt;1,IF(C5091&lt;99,VLOOKUP(F5091,'MSA-Lookup'!$AA$1:$AB$25,2),C5091),C5091)</f>
        <v>9999</v>
      </c>
    </row>
    <row r="5092" customFormat="false" ht="12.75" hidden="false" customHeight="false" outlineLevel="0" collapsed="false">
      <c r="A5092" s="0" t="n">
        <f aca="false">B5092*1000+C5092</f>
        <v>70078</v>
      </c>
      <c r="B5092" s="0" t="n">
        <v>70</v>
      </c>
      <c r="C5092" s="0" t="n">
        <v>78</v>
      </c>
      <c r="D5092" s="0" t="n">
        <v>0</v>
      </c>
      <c r="E5092" s="0" t="n">
        <f aca="false">VLOOKUP(B5092,'MSA-Lookup'!$H$2:$I$86,2)</f>
        <v>6780</v>
      </c>
      <c r="F5092" s="0" t="n">
        <f aca="false">IF(C5092&gt;1,IF(C5092&lt;99,VLOOKUP(C5092,'MSA-Lookup'!$H$1:$I$86,2),C5092),C5092)</f>
        <v>680</v>
      </c>
      <c r="G5092" s="0" t="n">
        <f aca="false">VLOOKUP(E5092,'MSA-Lookup'!$AA$1:$AB$25,2)</f>
        <v>4472</v>
      </c>
      <c r="H5092" s="0" t="n">
        <f aca="false">IF(C5092&gt;1,IF(C5092&lt;99,VLOOKUP(F5092,'MSA-Lookup'!$AA$1:$AB$25,2),C5092),C5092)</f>
        <v>680</v>
      </c>
    </row>
    <row r="5093" customFormat="false" ht="12.75" hidden="false" customHeight="false" outlineLevel="0" collapsed="false">
      <c r="A5093" s="0" t="n">
        <f aca="false">B5093*1000+C5093</f>
        <v>70079</v>
      </c>
      <c r="B5093" s="0" t="n">
        <v>70</v>
      </c>
      <c r="C5093" s="0" t="n">
        <v>79</v>
      </c>
      <c r="D5093" s="0" t="n">
        <v>0</v>
      </c>
      <c r="E5093" s="0" t="n">
        <f aca="false">VLOOKUP(B5093,'MSA-Lookup'!$H$2:$I$86,2)</f>
        <v>6780</v>
      </c>
      <c r="F5093" s="0" t="n">
        <f aca="false">IF(C5093&gt;1,IF(C5093&lt;99,VLOOKUP(C5093,'MSA-Lookup'!$H$1:$I$86,2),C5093),C5093)</f>
        <v>680</v>
      </c>
      <c r="G5093" s="0" t="n">
        <f aca="false">VLOOKUP(E5093,'MSA-Lookup'!$AA$1:$AB$25,2)</f>
        <v>4472</v>
      </c>
      <c r="H5093" s="0" t="n">
        <f aca="false">IF(C5093&gt;1,IF(C5093&lt;99,VLOOKUP(F5093,'MSA-Lookup'!$AA$1:$AB$25,2),C5093),C5093)</f>
        <v>680</v>
      </c>
    </row>
    <row r="5094" customFormat="false" ht="12.75" hidden="false" customHeight="false" outlineLevel="0" collapsed="false">
      <c r="A5094" s="0" t="n">
        <f aca="false">B5094*1000+C5094</f>
        <v>70080</v>
      </c>
      <c r="B5094" s="0" t="n">
        <v>70</v>
      </c>
      <c r="C5094" s="0" t="n">
        <v>80</v>
      </c>
      <c r="D5094" s="0" t="n">
        <v>0</v>
      </c>
      <c r="E5094" s="0" t="n">
        <f aca="false">VLOOKUP(B5094,'MSA-Lookup'!$H$2:$I$86,2)</f>
        <v>6780</v>
      </c>
      <c r="F5094" s="0" t="n">
        <f aca="false">IF(C5094&gt;1,IF(C5094&lt;99,VLOOKUP(C5094,'MSA-Lookup'!$H$1:$I$86,2),C5094),C5094)</f>
        <v>9999</v>
      </c>
      <c r="G5094" s="0" t="n">
        <f aca="false">VLOOKUP(E5094,'MSA-Lookup'!$AA$1:$AB$25,2)</f>
        <v>4472</v>
      </c>
      <c r="H5094" s="0" t="n">
        <f aca="false">IF(C5094&gt;1,IF(C5094&lt;99,VLOOKUP(F5094,'MSA-Lookup'!$AA$1:$AB$25,2),C5094),C5094)</f>
        <v>9999</v>
      </c>
    </row>
    <row r="5095" customFormat="false" ht="12.75" hidden="false" customHeight="false" outlineLevel="0" collapsed="false">
      <c r="A5095" s="0" t="n">
        <f aca="false">B5095*1000+C5095</f>
        <v>70081</v>
      </c>
      <c r="B5095" s="0" t="n">
        <v>70</v>
      </c>
      <c r="C5095" s="0" t="n">
        <v>81</v>
      </c>
      <c r="D5095" s="0" t="n">
        <v>663</v>
      </c>
      <c r="E5095" s="0" t="n">
        <f aca="false">VLOOKUP(B5095,'MSA-Lookup'!$H$2:$I$86,2)</f>
        <v>6780</v>
      </c>
      <c r="F5095" s="0" t="n">
        <f aca="false">IF(C5095&gt;1,IF(C5095&lt;99,VLOOKUP(C5095,'MSA-Lookup'!$H$1:$I$86,2),C5095),C5095)</f>
        <v>6780</v>
      </c>
      <c r="G5095" s="0" t="n">
        <f aca="false">VLOOKUP(E5095,'MSA-Lookup'!$AA$1:$AB$25,2)</f>
        <v>4472</v>
      </c>
      <c r="H5095" s="0" t="n">
        <f aca="false">IF(C5095&gt;1,IF(C5095&lt;99,VLOOKUP(F5095,'MSA-Lookup'!$AA$1:$AB$25,2),C5095),C5095)</f>
        <v>4472</v>
      </c>
    </row>
    <row r="5096" customFormat="false" ht="12.75" hidden="false" customHeight="false" outlineLevel="0" collapsed="false">
      <c r="A5096" s="0" t="n">
        <f aca="false">B5096*1000+C5096</f>
        <v>70082</v>
      </c>
      <c r="B5096" s="0" t="n">
        <v>70</v>
      </c>
      <c r="C5096" s="0" t="n">
        <v>82</v>
      </c>
      <c r="D5096" s="0" t="n">
        <v>845</v>
      </c>
      <c r="E5096" s="0" t="n">
        <f aca="false">VLOOKUP(B5096,'MSA-Lookup'!$H$2:$I$86,2)</f>
        <v>6780</v>
      </c>
      <c r="F5096" s="0" t="n">
        <f aca="false">IF(C5096&gt;1,IF(C5096&lt;99,VLOOKUP(C5096,'MSA-Lookup'!$H$1:$I$86,2),C5096),C5096)</f>
        <v>6780</v>
      </c>
      <c r="G5096" s="0" t="n">
        <f aca="false">VLOOKUP(E5096,'MSA-Lookup'!$AA$1:$AB$25,2)</f>
        <v>4472</v>
      </c>
      <c r="H5096" s="0" t="n">
        <f aca="false">IF(C5096&gt;1,IF(C5096&lt;99,VLOOKUP(F5096,'MSA-Lookup'!$AA$1:$AB$25,2),C5096),C5096)</f>
        <v>4472</v>
      </c>
    </row>
    <row r="5097" customFormat="false" ht="12.75" hidden="false" customHeight="false" outlineLevel="0" collapsed="false">
      <c r="A5097" s="0" t="n">
        <f aca="false">B5097*1000+C5097</f>
        <v>70083</v>
      </c>
      <c r="B5097" s="0" t="n">
        <v>70</v>
      </c>
      <c r="C5097" s="0" t="n">
        <v>83</v>
      </c>
      <c r="D5097" s="0" t="n">
        <v>0</v>
      </c>
      <c r="E5097" s="0" t="n">
        <f aca="false">VLOOKUP(B5097,'MSA-Lookup'!$H$2:$I$86,2)</f>
        <v>6780</v>
      </c>
      <c r="F5097" s="0" t="n">
        <f aca="false">IF(C5097&gt;1,IF(C5097&lt;99,VLOOKUP(C5097,'MSA-Lookup'!$H$1:$I$86,2),C5097),C5097)</f>
        <v>6000</v>
      </c>
      <c r="G5097" s="0" t="n">
        <f aca="false">VLOOKUP(E5097,'MSA-Lookup'!$AA$1:$AB$25,2)</f>
        <v>4472</v>
      </c>
      <c r="H5097" s="0" t="n">
        <f aca="false">IF(C5097&gt;1,IF(C5097&lt;99,VLOOKUP(F5097,'MSA-Lookup'!$AA$1:$AB$25,2),C5097),C5097)</f>
        <v>4472</v>
      </c>
    </row>
    <row r="5098" customFormat="false" ht="12.75" hidden="false" customHeight="false" outlineLevel="0" collapsed="false">
      <c r="A5098" s="0" t="n">
        <f aca="false">B5098*1000+C5098</f>
        <v>70084</v>
      </c>
      <c r="B5098" s="0" t="n">
        <v>70</v>
      </c>
      <c r="C5098" s="0" t="n">
        <v>84</v>
      </c>
      <c r="D5098" s="0" t="n">
        <v>78</v>
      </c>
      <c r="E5098" s="0" t="n">
        <f aca="false">VLOOKUP(B5098,'MSA-Lookup'!$H$2:$I$86,2)</f>
        <v>6780</v>
      </c>
      <c r="F5098" s="0" t="n">
        <f aca="false">IF(C5098&gt;1,IF(C5098&lt;99,VLOOKUP(C5098,'MSA-Lookup'!$H$1:$I$86,2),C5098),C5098)</f>
        <v>360</v>
      </c>
      <c r="G5098" s="0" t="n">
        <f aca="false">VLOOKUP(E5098,'MSA-Lookup'!$AA$1:$AB$25,2)</f>
        <v>4472</v>
      </c>
      <c r="H5098" s="0" t="n">
        <f aca="false">IF(C5098&gt;1,IF(C5098&lt;99,VLOOKUP(F5098,'MSA-Lookup'!$AA$1:$AB$25,2),C5098),C5098)</f>
        <v>4472</v>
      </c>
    </row>
    <row r="5099" customFormat="false" ht="12.75" hidden="false" customHeight="false" outlineLevel="0" collapsed="false">
      <c r="A5099" s="0" t="n">
        <f aca="false">B5099*1000+C5099</f>
        <v>70085</v>
      </c>
      <c r="B5099" s="0" t="n">
        <v>70</v>
      </c>
      <c r="C5099" s="0" t="n">
        <v>85</v>
      </c>
      <c r="D5099" s="0" t="n">
        <v>0</v>
      </c>
      <c r="E5099" s="0" t="n">
        <f aca="false">VLOOKUP(B5099,'MSA-Lookup'!$H$2:$I$86,2)</f>
        <v>6780</v>
      </c>
      <c r="F5099" s="0" t="n">
        <f aca="false">IF(C5099&gt;1,IF(C5099&lt;99,VLOOKUP(C5099,'MSA-Lookup'!$H$1:$I$86,2),C5099),C5099)</f>
        <v>8120</v>
      </c>
      <c r="G5099" s="0" t="n">
        <f aca="false">VLOOKUP(E5099,'MSA-Lookup'!$AA$1:$AB$25,2)</f>
        <v>4472</v>
      </c>
      <c r="H5099" s="0" t="n">
        <f aca="false">IF(C5099&gt;1,IF(C5099&lt;99,VLOOKUP(F5099,'MSA-Lookup'!$AA$1:$AB$25,2),C5099),C5099)</f>
        <v>8120</v>
      </c>
    </row>
    <row r="5100" customFormat="false" ht="12.75" hidden="false" customHeight="false" outlineLevel="0" collapsed="false">
      <c r="A5100" s="0" t="n">
        <f aca="false">B5100*1000+C5100</f>
        <v>70858</v>
      </c>
      <c r="B5100" s="0" t="n">
        <v>70</v>
      </c>
      <c r="C5100" s="0" t="n">
        <v>858</v>
      </c>
      <c r="D5100" s="0" t="n">
        <v>0</v>
      </c>
      <c r="E5100" s="0" t="n">
        <f aca="false">VLOOKUP(B5100,'MSA-Lookup'!$H$2:$I$86,2)</f>
        <v>6780</v>
      </c>
      <c r="F5100" s="0" t="n">
        <f aca="false">IF(C5100&gt;1,IF(C5100&lt;99,VLOOKUP(C5100,'MSA-Lookup'!$H$1:$I$86,2),C5100),C5100)</f>
        <v>858</v>
      </c>
      <c r="G5100" s="0" t="n">
        <f aca="false">VLOOKUP(E5100,'MSA-Lookup'!$AA$1:$AB$25,2)</f>
        <v>4472</v>
      </c>
      <c r="H5100" s="0" t="n">
        <f aca="false">IF(C5100&gt;1,IF(C5100&lt;99,VLOOKUP(F5100,'MSA-Lookup'!$AA$1:$AB$25,2),C5100),C5100)</f>
        <v>858</v>
      </c>
    </row>
    <row r="5101" customFormat="false" ht="12.75" hidden="false" customHeight="false" outlineLevel="0" collapsed="false">
      <c r="A5101" s="0" t="n">
        <f aca="false">B5101*1000+C5101</f>
        <v>70983</v>
      </c>
      <c r="B5101" s="0" t="n">
        <v>70</v>
      </c>
      <c r="C5101" s="0" t="n">
        <v>983</v>
      </c>
      <c r="D5101" s="0" t="n">
        <v>0</v>
      </c>
      <c r="E5101" s="0" t="n">
        <f aca="false">VLOOKUP(B5101,'MSA-Lookup'!$H$2:$I$86,2)</f>
        <v>6780</v>
      </c>
      <c r="F5101" s="0" t="n">
        <f aca="false">IF(C5101&gt;1,IF(C5101&lt;99,VLOOKUP(C5101,'MSA-Lookup'!$H$1:$I$86,2),C5101),C5101)</f>
        <v>983</v>
      </c>
      <c r="G5101" s="0" t="n">
        <f aca="false">VLOOKUP(E5101,'MSA-Lookup'!$AA$1:$AB$25,2)</f>
        <v>4472</v>
      </c>
      <c r="H5101" s="0" t="n">
        <f aca="false">IF(C5101&gt;1,IF(C5101&lt;99,VLOOKUP(F5101,'MSA-Lookup'!$AA$1:$AB$25,2),C5101),C5101)</f>
        <v>983</v>
      </c>
    </row>
    <row r="5102" customFormat="false" ht="12.75" hidden="false" customHeight="false" outlineLevel="0" collapsed="false">
      <c r="A5102" s="0" t="n">
        <f aca="false">B5102*1000+C5102</f>
        <v>70999</v>
      </c>
      <c r="B5102" s="0" t="n">
        <v>70</v>
      </c>
      <c r="C5102" s="0" t="n">
        <v>999</v>
      </c>
      <c r="D5102" s="0" t="n">
        <v>0</v>
      </c>
      <c r="E5102" s="0" t="n">
        <f aca="false">VLOOKUP(B5102,'MSA-Lookup'!$H$2:$I$86,2)</f>
        <v>6780</v>
      </c>
      <c r="F5102" s="0" t="n">
        <f aca="false">IF(C5102&gt;1,IF(C5102&lt;99,VLOOKUP(C5102,'MSA-Lookup'!$H$1:$I$86,2),C5102),C5102)</f>
        <v>999</v>
      </c>
      <c r="G5102" s="0" t="n">
        <f aca="false">VLOOKUP(E5102,'MSA-Lookup'!$AA$1:$AB$25,2)</f>
        <v>4472</v>
      </c>
      <c r="H5102" s="0" t="n">
        <f aca="false">IF(C5102&gt;1,IF(C5102&lt;99,VLOOKUP(F5102,'MSA-Lookup'!$AA$1:$AB$25,2),C5102),C5102)</f>
        <v>999</v>
      </c>
    </row>
    <row r="5103" customFormat="false" ht="12.75" hidden="false" customHeight="false" outlineLevel="0" collapsed="false">
      <c r="A5103" s="0" t="n">
        <f aca="false">B5103*1000+C5103</f>
        <v>71000</v>
      </c>
      <c r="B5103" s="0" t="n">
        <v>71</v>
      </c>
      <c r="C5103" s="0" t="n">
        <v>0</v>
      </c>
      <c r="D5103" s="0" t="n">
        <v>77246</v>
      </c>
      <c r="E5103" s="0" t="n">
        <f aca="false">VLOOKUP(B5103,'MSA-Lookup'!$H$2:$I$86,2)</f>
        <v>6780</v>
      </c>
      <c r="F5103" s="0" t="n">
        <f aca="false">IF(C5103&gt;1,IF(C5103&lt;99,VLOOKUP(C5103,'MSA-Lookup'!$H$1:$I$86,2),C5103),C5103)</f>
        <v>0</v>
      </c>
      <c r="G5103" s="0" t="n">
        <f aca="false">VLOOKUP(E5103,'MSA-Lookup'!$AA$1:$AB$25,2)</f>
        <v>4472</v>
      </c>
      <c r="H5103" s="0" t="n">
        <f aca="false">IF(C5103&gt;1,IF(C5103&lt;99,VLOOKUP(F5103,'MSA-Lookup'!$AA$1:$AB$25,2),C5103),C5103)</f>
        <v>0</v>
      </c>
    </row>
    <row r="5104" customFormat="false" ht="12.75" hidden="false" customHeight="false" outlineLevel="0" collapsed="false">
      <c r="A5104" s="0" t="n">
        <f aca="false">B5104*1000+C5104</f>
        <v>71001</v>
      </c>
      <c r="B5104" s="0" t="n">
        <v>71</v>
      </c>
      <c r="C5104" s="0" t="n">
        <v>1</v>
      </c>
      <c r="D5104" s="0" t="n">
        <v>0</v>
      </c>
      <c r="E5104" s="0" t="n">
        <f aca="false">VLOOKUP(B5104,'MSA-Lookup'!$H$2:$I$86,2)</f>
        <v>6780</v>
      </c>
      <c r="F5104" s="0" t="n">
        <f aca="false">IF(C5104&gt;1,IF(C5104&lt;99,VLOOKUP(C5104,'MSA-Lookup'!$H$1:$I$86,2),C5104),C5104)</f>
        <v>1</v>
      </c>
      <c r="G5104" s="0" t="n">
        <f aca="false">VLOOKUP(E5104,'MSA-Lookup'!$AA$1:$AB$25,2)</f>
        <v>4472</v>
      </c>
      <c r="H5104" s="0" t="n">
        <f aca="false">IF(C5104&gt;1,IF(C5104&lt;99,VLOOKUP(F5104,'MSA-Lookup'!$AA$1:$AB$25,2),C5104),C5104)</f>
        <v>1</v>
      </c>
    </row>
    <row r="5105" customFormat="false" ht="12.75" hidden="false" customHeight="false" outlineLevel="0" collapsed="false">
      <c r="A5105" s="0" t="n">
        <f aca="false">B5105*1000+C5105</f>
        <v>71002</v>
      </c>
      <c r="B5105" s="0" t="n">
        <v>71</v>
      </c>
      <c r="C5105" s="0" t="n">
        <v>2</v>
      </c>
      <c r="D5105" s="0" t="n">
        <v>0</v>
      </c>
      <c r="E5105" s="0" t="n">
        <f aca="false">VLOOKUP(B5105,'MSA-Lookup'!$H$2:$I$86,2)</f>
        <v>6780</v>
      </c>
      <c r="F5105" s="0" t="n">
        <f aca="false">IF(C5105&gt;1,IF(C5105&lt;99,VLOOKUP(C5105,'MSA-Lookup'!$H$1:$I$86,2),C5105),C5105)</f>
        <v>9999</v>
      </c>
      <c r="G5105" s="0" t="n">
        <f aca="false">VLOOKUP(E5105,'MSA-Lookup'!$AA$1:$AB$25,2)</f>
        <v>4472</v>
      </c>
      <c r="H5105" s="0" t="n">
        <f aca="false">IF(C5105&gt;1,IF(C5105&lt;99,VLOOKUP(F5105,'MSA-Lookup'!$AA$1:$AB$25,2),C5105),C5105)</f>
        <v>9999</v>
      </c>
    </row>
    <row r="5106" customFormat="false" ht="12.75" hidden="false" customHeight="false" outlineLevel="0" collapsed="false">
      <c r="A5106" s="0" t="n">
        <f aca="false">B5106*1000+C5106</f>
        <v>71003</v>
      </c>
      <c r="B5106" s="0" t="n">
        <v>71</v>
      </c>
      <c r="C5106" s="0" t="n">
        <v>3</v>
      </c>
      <c r="D5106" s="0" t="n">
        <v>0</v>
      </c>
      <c r="E5106" s="0" t="n">
        <f aca="false">VLOOKUP(B5106,'MSA-Lookup'!$H$2:$I$86,2)</f>
        <v>6780</v>
      </c>
      <c r="F5106" s="0" t="n">
        <f aca="false">IF(C5106&gt;1,IF(C5106&lt;99,VLOOKUP(C5106,'MSA-Lookup'!$H$1:$I$86,2),C5106),C5106)</f>
        <v>6690</v>
      </c>
      <c r="G5106" s="0" t="n">
        <f aca="false">VLOOKUP(E5106,'MSA-Lookup'!$AA$1:$AB$25,2)</f>
        <v>4472</v>
      </c>
      <c r="H5106" s="0" t="n">
        <f aca="false">IF(C5106&gt;1,IF(C5106&lt;99,VLOOKUP(F5106,'MSA-Lookup'!$AA$1:$AB$25,2),C5106),C5106)</f>
        <v>6690</v>
      </c>
    </row>
    <row r="5107" customFormat="false" ht="12.75" hidden="false" customHeight="false" outlineLevel="0" collapsed="false">
      <c r="A5107" s="0" t="n">
        <f aca="false">B5107*1000+C5107</f>
        <v>71004</v>
      </c>
      <c r="B5107" s="0" t="n">
        <v>71</v>
      </c>
      <c r="C5107" s="0" t="n">
        <v>4</v>
      </c>
      <c r="D5107" s="0" t="n">
        <v>0</v>
      </c>
      <c r="E5107" s="0" t="n">
        <f aca="false">VLOOKUP(B5107,'MSA-Lookup'!$H$2:$I$86,2)</f>
        <v>6780</v>
      </c>
      <c r="F5107" s="0" t="n">
        <f aca="false">IF(C5107&gt;1,IF(C5107&lt;99,VLOOKUP(C5107,'MSA-Lookup'!$H$1:$I$86,2),C5107),C5107)</f>
        <v>9999</v>
      </c>
      <c r="G5107" s="0" t="n">
        <f aca="false">VLOOKUP(E5107,'MSA-Lookup'!$AA$1:$AB$25,2)</f>
        <v>4472</v>
      </c>
      <c r="H5107" s="0" t="n">
        <f aca="false">IF(C5107&gt;1,IF(C5107&lt;99,VLOOKUP(F5107,'MSA-Lookup'!$AA$1:$AB$25,2),C5107),C5107)</f>
        <v>9999</v>
      </c>
    </row>
    <row r="5108" customFormat="false" ht="12.75" hidden="false" customHeight="false" outlineLevel="0" collapsed="false">
      <c r="A5108" s="0" t="n">
        <f aca="false">B5108*1000+C5108</f>
        <v>71005</v>
      </c>
      <c r="B5108" s="0" t="n">
        <v>71</v>
      </c>
      <c r="C5108" s="0" t="n">
        <v>5</v>
      </c>
      <c r="D5108" s="0" t="n">
        <v>0</v>
      </c>
      <c r="E5108" s="0" t="n">
        <f aca="false">VLOOKUP(B5108,'MSA-Lookup'!$H$2:$I$86,2)</f>
        <v>6780</v>
      </c>
      <c r="F5108" s="0" t="n">
        <f aca="false">IF(C5108&gt;1,IF(C5108&lt;99,VLOOKUP(C5108,'MSA-Lookup'!$H$1:$I$86,2),C5108),C5108)</f>
        <v>9999</v>
      </c>
      <c r="G5108" s="0" t="n">
        <f aca="false">VLOOKUP(E5108,'MSA-Lookup'!$AA$1:$AB$25,2)</f>
        <v>4472</v>
      </c>
      <c r="H5108" s="0" t="n">
        <f aca="false">IF(C5108&gt;1,IF(C5108&lt;99,VLOOKUP(F5108,'MSA-Lookup'!$AA$1:$AB$25,2),C5108),C5108)</f>
        <v>9999</v>
      </c>
    </row>
    <row r="5109" customFormat="false" ht="12.75" hidden="false" customHeight="false" outlineLevel="0" collapsed="false">
      <c r="A5109" s="0" t="n">
        <f aca="false">B5109*1000+C5109</f>
        <v>71006</v>
      </c>
      <c r="B5109" s="0" t="n">
        <v>71</v>
      </c>
      <c r="C5109" s="0" t="n">
        <v>6</v>
      </c>
      <c r="D5109" s="0" t="n">
        <v>0</v>
      </c>
      <c r="E5109" s="0" t="n">
        <f aca="false">VLOOKUP(B5109,'MSA-Lookup'!$H$2:$I$86,2)</f>
        <v>6780</v>
      </c>
      <c r="F5109" s="0" t="n">
        <f aca="false">IF(C5109&gt;1,IF(C5109&lt;99,VLOOKUP(C5109,'MSA-Lookup'!$H$1:$I$86,2),C5109),C5109)</f>
        <v>1620</v>
      </c>
      <c r="G5109" s="0" t="n">
        <f aca="false">VLOOKUP(E5109,'MSA-Lookup'!$AA$1:$AB$25,2)</f>
        <v>4472</v>
      </c>
      <c r="H5109" s="0" t="n">
        <f aca="false">IF(C5109&gt;1,IF(C5109&lt;99,VLOOKUP(F5109,'MSA-Lookup'!$AA$1:$AB$25,2),C5109),C5109)</f>
        <v>1620</v>
      </c>
    </row>
    <row r="5110" customFormat="false" ht="12.75" hidden="false" customHeight="false" outlineLevel="0" collapsed="false">
      <c r="A5110" s="0" t="n">
        <f aca="false">B5110*1000+C5110</f>
        <v>71007</v>
      </c>
      <c r="B5110" s="0" t="n">
        <v>71</v>
      </c>
      <c r="C5110" s="0" t="n">
        <v>7</v>
      </c>
      <c r="D5110" s="0" t="n">
        <v>0</v>
      </c>
      <c r="E5110" s="0" t="n">
        <f aca="false">VLOOKUP(B5110,'MSA-Lookup'!$H$2:$I$86,2)</f>
        <v>6780</v>
      </c>
      <c r="F5110" s="0" t="n">
        <f aca="false">IF(C5110&gt;1,IF(C5110&lt;99,VLOOKUP(C5110,'MSA-Lookup'!$H$1:$I$86,2),C5110),C5110)</f>
        <v>9999</v>
      </c>
      <c r="G5110" s="0" t="n">
        <f aca="false">VLOOKUP(E5110,'MSA-Lookup'!$AA$1:$AB$25,2)</f>
        <v>4472</v>
      </c>
      <c r="H5110" s="0" t="n">
        <f aca="false">IF(C5110&gt;1,IF(C5110&lt;99,VLOOKUP(F5110,'MSA-Lookup'!$AA$1:$AB$25,2),C5110),C5110)</f>
        <v>9999</v>
      </c>
    </row>
    <row r="5111" customFormat="false" ht="12.75" hidden="false" customHeight="false" outlineLevel="0" collapsed="false">
      <c r="A5111" s="0" t="n">
        <f aca="false">B5111*1000+C5111</f>
        <v>71008</v>
      </c>
      <c r="B5111" s="0" t="n">
        <v>71</v>
      </c>
      <c r="C5111" s="0" t="n">
        <v>8</v>
      </c>
      <c r="D5111" s="0" t="n">
        <v>0</v>
      </c>
      <c r="E5111" s="0" t="n">
        <f aca="false">VLOOKUP(B5111,'MSA-Lookup'!$H$2:$I$86,2)</f>
        <v>6780</v>
      </c>
      <c r="F5111" s="0" t="n">
        <f aca="false">IF(C5111&gt;1,IF(C5111&lt;99,VLOOKUP(C5111,'MSA-Lookup'!$H$1:$I$86,2),C5111),C5111)</f>
        <v>9340</v>
      </c>
      <c r="G5111" s="0" t="n">
        <f aca="false">VLOOKUP(E5111,'MSA-Lookup'!$AA$1:$AB$25,2)</f>
        <v>4472</v>
      </c>
      <c r="H5111" s="0" t="n">
        <f aca="false">IF(C5111&gt;1,IF(C5111&lt;99,VLOOKUP(F5111,'MSA-Lookup'!$AA$1:$AB$25,2),C5111),C5111)</f>
        <v>9340</v>
      </c>
    </row>
    <row r="5112" customFormat="false" ht="12.75" hidden="false" customHeight="false" outlineLevel="0" collapsed="false">
      <c r="A5112" s="0" t="n">
        <f aca="false">B5112*1000+C5112</f>
        <v>71009</v>
      </c>
      <c r="B5112" s="0" t="n">
        <v>71</v>
      </c>
      <c r="C5112" s="0" t="n">
        <v>9</v>
      </c>
      <c r="D5112" s="0" t="n">
        <v>0</v>
      </c>
      <c r="E5112" s="0" t="n">
        <f aca="false">VLOOKUP(B5112,'MSA-Lookup'!$H$2:$I$86,2)</f>
        <v>6780</v>
      </c>
      <c r="F5112" s="0" t="n">
        <f aca="false">IF(C5112&gt;1,IF(C5112&lt;99,VLOOKUP(C5112,'MSA-Lookup'!$H$1:$I$86,2),C5112),C5112)</f>
        <v>8720</v>
      </c>
      <c r="G5112" s="0" t="n">
        <f aca="false">VLOOKUP(E5112,'MSA-Lookup'!$AA$1:$AB$25,2)</f>
        <v>4472</v>
      </c>
      <c r="H5112" s="0" t="n">
        <f aca="false">IF(C5112&gt;1,IF(C5112&lt;99,VLOOKUP(F5112,'MSA-Lookup'!$AA$1:$AB$25,2),C5112),C5112)</f>
        <v>7362</v>
      </c>
    </row>
    <row r="5113" customFormat="false" ht="12.75" hidden="false" customHeight="false" outlineLevel="0" collapsed="false">
      <c r="A5113" s="0" t="n">
        <f aca="false">B5113*1000+C5113</f>
        <v>71010</v>
      </c>
      <c r="B5113" s="0" t="n">
        <v>71</v>
      </c>
      <c r="C5113" s="0" t="n">
        <v>10</v>
      </c>
      <c r="D5113" s="0" t="n">
        <v>0</v>
      </c>
      <c r="E5113" s="0" t="n">
        <f aca="false">VLOOKUP(B5113,'MSA-Lookup'!$H$2:$I$86,2)</f>
        <v>6780</v>
      </c>
      <c r="F5113" s="0" t="n">
        <f aca="false">IF(C5113&gt;1,IF(C5113&lt;99,VLOOKUP(C5113,'MSA-Lookup'!$H$1:$I$86,2),C5113),C5113)</f>
        <v>6920</v>
      </c>
      <c r="G5113" s="0" t="n">
        <f aca="false">VLOOKUP(E5113,'MSA-Lookup'!$AA$1:$AB$25,2)</f>
        <v>4472</v>
      </c>
      <c r="H5113" s="0" t="n">
        <f aca="false">IF(C5113&gt;1,IF(C5113&lt;99,VLOOKUP(F5113,'MSA-Lookup'!$AA$1:$AB$25,2),C5113),C5113)</f>
        <v>6920</v>
      </c>
    </row>
    <row r="5114" customFormat="false" ht="12.75" hidden="false" customHeight="false" outlineLevel="0" collapsed="false">
      <c r="A5114" s="0" t="n">
        <f aca="false">B5114*1000+C5114</f>
        <v>71011</v>
      </c>
      <c r="B5114" s="0" t="n">
        <v>71</v>
      </c>
      <c r="C5114" s="0" t="n">
        <v>11</v>
      </c>
      <c r="D5114" s="0" t="n">
        <v>0</v>
      </c>
      <c r="E5114" s="0" t="n">
        <f aca="false">VLOOKUP(B5114,'MSA-Lookup'!$H$2:$I$86,2)</f>
        <v>6780</v>
      </c>
      <c r="F5114" s="0" t="n">
        <f aca="false">IF(C5114&gt;1,IF(C5114&lt;99,VLOOKUP(C5114,'MSA-Lookup'!$H$1:$I$86,2),C5114),C5114)</f>
        <v>6920</v>
      </c>
      <c r="G5114" s="0" t="n">
        <f aca="false">VLOOKUP(E5114,'MSA-Lookup'!$AA$1:$AB$25,2)</f>
        <v>4472</v>
      </c>
      <c r="H5114" s="0" t="n">
        <f aca="false">IF(C5114&gt;1,IF(C5114&lt;99,VLOOKUP(F5114,'MSA-Lookup'!$AA$1:$AB$25,2),C5114),C5114)</f>
        <v>6920</v>
      </c>
    </row>
    <row r="5115" customFormat="false" ht="12.75" hidden="false" customHeight="false" outlineLevel="0" collapsed="false">
      <c r="A5115" s="0" t="n">
        <f aca="false">B5115*1000+C5115</f>
        <v>71012</v>
      </c>
      <c r="B5115" s="0" t="n">
        <v>71</v>
      </c>
      <c r="C5115" s="0" t="n">
        <v>12</v>
      </c>
      <c r="D5115" s="0" t="n">
        <v>0</v>
      </c>
      <c r="E5115" s="0" t="n">
        <f aca="false">VLOOKUP(B5115,'MSA-Lookup'!$H$2:$I$86,2)</f>
        <v>6780</v>
      </c>
      <c r="F5115" s="0" t="n">
        <f aca="false">IF(C5115&gt;1,IF(C5115&lt;99,VLOOKUP(C5115,'MSA-Lookup'!$H$1:$I$86,2),C5115),C5115)</f>
        <v>6920</v>
      </c>
      <c r="G5115" s="0" t="n">
        <f aca="false">VLOOKUP(E5115,'MSA-Lookup'!$AA$1:$AB$25,2)</f>
        <v>4472</v>
      </c>
      <c r="H5115" s="0" t="n">
        <f aca="false">IF(C5115&gt;1,IF(C5115&lt;99,VLOOKUP(F5115,'MSA-Lookup'!$AA$1:$AB$25,2),C5115),C5115)</f>
        <v>6920</v>
      </c>
    </row>
    <row r="5116" customFormat="false" ht="12.75" hidden="false" customHeight="false" outlineLevel="0" collapsed="false">
      <c r="A5116" s="0" t="n">
        <f aca="false">B5116*1000+C5116</f>
        <v>71013</v>
      </c>
      <c r="B5116" s="0" t="n">
        <v>71</v>
      </c>
      <c r="C5116" s="0" t="n">
        <v>13</v>
      </c>
      <c r="D5116" s="0" t="n">
        <v>0</v>
      </c>
      <c r="E5116" s="0" t="n">
        <f aca="false">VLOOKUP(B5116,'MSA-Lookup'!$H$2:$I$86,2)</f>
        <v>6780</v>
      </c>
      <c r="F5116" s="0" t="n">
        <f aca="false">IF(C5116&gt;1,IF(C5116&lt;99,VLOOKUP(C5116,'MSA-Lookup'!$H$1:$I$86,2),C5116),C5116)</f>
        <v>7500</v>
      </c>
      <c r="G5116" s="0" t="n">
        <f aca="false">VLOOKUP(E5116,'MSA-Lookup'!$AA$1:$AB$25,2)</f>
        <v>4472</v>
      </c>
      <c r="H5116" s="0" t="n">
        <f aca="false">IF(C5116&gt;1,IF(C5116&lt;99,VLOOKUP(F5116,'MSA-Lookup'!$AA$1:$AB$25,2),C5116),C5116)</f>
        <v>7362</v>
      </c>
    </row>
    <row r="5117" customFormat="false" ht="12.75" hidden="false" customHeight="false" outlineLevel="0" collapsed="false">
      <c r="A5117" s="0" t="n">
        <f aca="false">B5117*1000+C5117</f>
        <v>71014</v>
      </c>
      <c r="B5117" s="0" t="n">
        <v>71</v>
      </c>
      <c r="C5117" s="0" t="n">
        <v>14</v>
      </c>
      <c r="D5117" s="0" t="n">
        <v>0</v>
      </c>
      <c r="E5117" s="0" t="n">
        <f aca="false">VLOOKUP(B5117,'MSA-Lookup'!$H$2:$I$86,2)</f>
        <v>6780</v>
      </c>
      <c r="F5117" s="0" t="n">
        <f aca="false">IF(C5117&gt;1,IF(C5117&lt;99,VLOOKUP(C5117,'MSA-Lookup'!$H$1:$I$86,2),C5117),C5117)</f>
        <v>7500</v>
      </c>
      <c r="G5117" s="0" t="n">
        <f aca="false">VLOOKUP(E5117,'MSA-Lookup'!$AA$1:$AB$25,2)</f>
        <v>4472</v>
      </c>
      <c r="H5117" s="0" t="n">
        <f aca="false">IF(C5117&gt;1,IF(C5117&lt;99,VLOOKUP(F5117,'MSA-Lookup'!$AA$1:$AB$25,2),C5117),C5117)</f>
        <v>7362</v>
      </c>
    </row>
    <row r="5118" customFormat="false" ht="12.75" hidden="false" customHeight="false" outlineLevel="0" collapsed="false">
      <c r="A5118" s="0" t="n">
        <f aca="false">B5118*1000+C5118</f>
        <v>71015</v>
      </c>
      <c r="B5118" s="0" t="n">
        <v>71</v>
      </c>
      <c r="C5118" s="0" t="n">
        <v>15</v>
      </c>
      <c r="D5118" s="0" t="n">
        <v>156</v>
      </c>
      <c r="E5118" s="0" t="n">
        <f aca="false">VLOOKUP(B5118,'MSA-Lookup'!$H$2:$I$86,2)</f>
        <v>6780</v>
      </c>
      <c r="F5118" s="0" t="n">
        <f aca="false">IF(C5118&gt;1,IF(C5118&lt;99,VLOOKUP(C5118,'MSA-Lookup'!$H$1:$I$86,2),C5118),C5118)</f>
        <v>7360</v>
      </c>
      <c r="G5118" s="0" t="n">
        <f aca="false">VLOOKUP(E5118,'MSA-Lookup'!$AA$1:$AB$25,2)</f>
        <v>4472</v>
      </c>
      <c r="H5118" s="0" t="n">
        <f aca="false">IF(C5118&gt;1,IF(C5118&lt;99,VLOOKUP(F5118,'MSA-Lookup'!$AA$1:$AB$25,2),C5118),C5118)</f>
        <v>7362</v>
      </c>
    </row>
    <row r="5119" customFormat="false" ht="12.75" hidden="false" customHeight="false" outlineLevel="0" collapsed="false">
      <c r="A5119" s="0" t="n">
        <f aca="false">B5119*1000+C5119</f>
        <v>71016</v>
      </c>
      <c r="B5119" s="0" t="n">
        <v>71</v>
      </c>
      <c r="C5119" s="0" t="n">
        <v>16</v>
      </c>
      <c r="D5119" s="0" t="n">
        <v>0</v>
      </c>
      <c r="E5119" s="0" t="n">
        <f aca="false">VLOOKUP(B5119,'MSA-Lookup'!$H$2:$I$86,2)</f>
        <v>6780</v>
      </c>
      <c r="F5119" s="0" t="n">
        <f aca="false">IF(C5119&gt;1,IF(C5119&lt;99,VLOOKUP(C5119,'MSA-Lookup'!$H$1:$I$86,2),C5119),C5119)</f>
        <v>8720</v>
      </c>
      <c r="G5119" s="0" t="n">
        <f aca="false">VLOOKUP(E5119,'MSA-Lookup'!$AA$1:$AB$25,2)</f>
        <v>4472</v>
      </c>
      <c r="H5119" s="0" t="n">
        <f aca="false">IF(C5119&gt;1,IF(C5119&lt;99,VLOOKUP(F5119,'MSA-Lookup'!$AA$1:$AB$25,2),C5119),C5119)</f>
        <v>7362</v>
      </c>
    </row>
    <row r="5120" customFormat="false" ht="12.75" hidden="false" customHeight="false" outlineLevel="0" collapsed="false">
      <c r="A5120" s="0" t="n">
        <f aca="false">B5120*1000+C5120</f>
        <v>71017</v>
      </c>
      <c r="B5120" s="0" t="n">
        <v>71</v>
      </c>
      <c r="C5120" s="0" t="n">
        <v>17</v>
      </c>
      <c r="D5120" s="0" t="n">
        <v>0</v>
      </c>
      <c r="E5120" s="0" t="n">
        <f aca="false">VLOOKUP(B5120,'MSA-Lookup'!$H$2:$I$86,2)</f>
        <v>6780</v>
      </c>
      <c r="F5120" s="0" t="n">
        <f aca="false">IF(C5120&gt;1,IF(C5120&lt;99,VLOOKUP(C5120,'MSA-Lookup'!$H$1:$I$86,2),C5120),C5120)</f>
        <v>5775</v>
      </c>
      <c r="G5120" s="0" t="n">
        <f aca="false">VLOOKUP(E5120,'MSA-Lookup'!$AA$1:$AB$25,2)</f>
        <v>4472</v>
      </c>
      <c r="H5120" s="0" t="n">
        <f aca="false">IF(C5120&gt;1,IF(C5120&lt;99,VLOOKUP(F5120,'MSA-Lookup'!$AA$1:$AB$25,2),C5120),C5120)</f>
        <v>7362</v>
      </c>
    </row>
    <row r="5121" customFormat="false" ht="12.75" hidden="false" customHeight="false" outlineLevel="0" collapsed="false">
      <c r="A5121" s="0" t="n">
        <f aca="false">B5121*1000+C5121</f>
        <v>71018</v>
      </c>
      <c r="B5121" s="0" t="n">
        <v>71</v>
      </c>
      <c r="C5121" s="0" t="n">
        <v>18</v>
      </c>
      <c r="D5121" s="0" t="n">
        <v>0</v>
      </c>
      <c r="E5121" s="0" t="n">
        <f aca="false">VLOOKUP(B5121,'MSA-Lookup'!$H$2:$I$86,2)</f>
        <v>6780</v>
      </c>
      <c r="F5121" s="0" t="n">
        <f aca="false">IF(C5121&gt;1,IF(C5121&lt;99,VLOOKUP(C5121,'MSA-Lookup'!$H$1:$I$86,2),C5121),C5121)</f>
        <v>5775</v>
      </c>
      <c r="G5121" s="0" t="n">
        <f aca="false">VLOOKUP(E5121,'MSA-Lookup'!$AA$1:$AB$25,2)</f>
        <v>4472</v>
      </c>
      <c r="H5121" s="0" t="n">
        <f aca="false">IF(C5121&gt;1,IF(C5121&lt;99,VLOOKUP(F5121,'MSA-Lookup'!$AA$1:$AB$25,2),C5121),C5121)</f>
        <v>7362</v>
      </c>
    </row>
    <row r="5122" customFormat="false" ht="12.75" hidden="false" customHeight="false" outlineLevel="0" collapsed="false">
      <c r="A5122" s="0" t="n">
        <f aca="false">B5122*1000+C5122</f>
        <v>71019</v>
      </c>
      <c r="B5122" s="0" t="n">
        <v>71</v>
      </c>
      <c r="C5122" s="0" t="n">
        <v>19</v>
      </c>
      <c r="D5122" s="0" t="n">
        <v>247</v>
      </c>
      <c r="E5122" s="0" t="n">
        <f aca="false">VLOOKUP(B5122,'MSA-Lookup'!$H$2:$I$86,2)</f>
        <v>6780</v>
      </c>
      <c r="F5122" s="0" t="n">
        <f aca="false">IF(C5122&gt;1,IF(C5122&lt;99,VLOOKUP(C5122,'MSA-Lookup'!$H$1:$I$86,2),C5122),C5122)</f>
        <v>7360</v>
      </c>
      <c r="G5122" s="0" t="n">
        <f aca="false">VLOOKUP(E5122,'MSA-Lookup'!$AA$1:$AB$25,2)</f>
        <v>4472</v>
      </c>
      <c r="H5122" s="0" t="n">
        <f aca="false">IF(C5122&gt;1,IF(C5122&lt;99,VLOOKUP(F5122,'MSA-Lookup'!$AA$1:$AB$25,2),C5122),C5122)</f>
        <v>7362</v>
      </c>
    </row>
    <row r="5123" customFormat="false" ht="12.75" hidden="false" customHeight="false" outlineLevel="0" collapsed="false">
      <c r="A5123" s="0" t="n">
        <f aca="false">B5123*1000+C5123</f>
        <v>71020</v>
      </c>
      <c r="B5123" s="0" t="n">
        <v>71</v>
      </c>
      <c r="C5123" s="0" t="n">
        <v>20</v>
      </c>
      <c r="D5123" s="0" t="n">
        <v>0</v>
      </c>
      <c r="E5123" s="0" t="n">
        <f aca="false">VLOOKUP(B5123,'MSA-Lookup'!$H$2:$I$86,2)</f>
        <v>6780</v>
      </c>
      <c r="F5123" s="0" t="n">
        <f aca="false">IF(C5123&gt;1,IF(C5123&lt;99,VLOOKUP(C5123,'MSA-Lookup'!$H$1:$I$86,2),C5123),C5123)</f>
        <v>5775</v>
      </c>
      <c r="G5123" s="0" t="n">
        <f aca="false">VLOOKUP(E5123,'MSA-Lookup'!$AA$1:$AB$25,2)</f>
        <v>4472</v>
      </c>
      <c r="H5123" s="0" t="n">
        <f aca="false">IF(C5123&gt;1,IF(C5123&lt;99,VLOOKUP(F5123,'MSA-Lookup'!$AA$1:$AB$25,2),C5123),C5123)</f>
        <v>7362</v>
      </c>
    </row>
    <row r="5124" customFormat="false" ht="12.75" hidden="false" customHeight="false" outlineLevel="0" collapsed="false">
      <c r="A5124" s="0" t="n">
        <f aca="false">B5124*1000+C5124</f>
        <v>71021</v>
      </c>
      <c r="B5124" s="0" t="n">
        <v>71</v>
      </c>
      <c r="C5124" s="0" t="n">
        <v>21</v>
      </c>
      <c r="D5124" s="0" t="n">
        <v>0</v>
      </c>
      <c r="E5124" s="0" t="n">
        <f aca="false">VLOOKUP(B5124,'MSA-Lookup'!$H$2:$I$86,2)</f>
        <v>6780</v>
      </c>
      <c r="F5124" s="0" t="n">
        <f aca="false">IF(C5124&gt;1,IF(C5124&lt;99,VLOOKUP(C5124,'MSA-Lookup'!$H$1:$I$86,2),C5124),C5124)</f>
        <v>5775</v>
      </c>
      <c r="G5124" s="0" t="n">
        <f aca="false">VLOOKUP(E5124,'MSA-Lookup'!$AA$1:$AB$25,2)</f>
        <v>4472</v>
      </c>
      <c r="H5124" s="0" t="n">
        <f aca="false">IF(C5124&gt;1,IF(C5124&lt;99,VLOOKUP(F5124,'MSA-Lookup'!$AA$1:$AB$25,2),C5124),C5124)</f>
        <v>7362</v>
      </c>
    </row>
    <row r="5125" customFormat="false" ht="12.75" hidden="false" customHeight="false" outlineLevel="0" collapsed="false">
      <c r="A5125" s="0" t="n">
        <f aca="false">B5125*1000+C5125</f>
        <v>71022</v>
      </c>
      <c r="B5125" s="0" t="n">
        <v>71</v>
      </c>
      <c r="C5125" s="0" t="n">
        <v>22</v>
      </c>
      <c r="D5125" s="0" t="n">
        <v>0</v>
      </c>
      <c r="E5125" s="0" t="n">
        <f aca="false">VLOOKUP(B5125,'MSA-Lookup'!$H$2:$I$86,2)</f>
        <v>6780</v>
      </c>
      <c r="F5125" s="0" t="n">
        <f aca="false">IF(C5125&gt;1,IF(C5125&lt;99,VLOOKUP(C5125,'MSA-Lookup'!$H$1:$I$86,2),C5125),C5125)</f>
        <v>7360</v>
      </c>
      <c r="G5125" s="0" t="n">
        <f aca="false">VLOOKUP(E5125,'MSA-Lookup'!$AA$1:$AB$25,2)</f>
        <v>4472</v>
      </c>
      <c r="H5125" s="0" t="n">
        <f aca="false">IF(C5125&gt;1,IF(C5125&lt;99,VLOOKUP(F5125,'MSA-Lookup'!$AA$1:$AB$25,2),C5125),C5125)</f>
        <v>7362</v>
      </c>
    </row>
    <row r="5126" customFormat="false" ht="12.75" hidden="false" customHeight="false" outlineLevel="0" collapsed="false">
      <c r="A5126" s="0" t="n">
        <f aca="false">B5126*1000+C5126</f>
        <v>71023</v>
      </c>
      <c r="B5126" s="0" t="n">
        <v>71</v>
      </c>
      <c r="C5126" s="0" t="n">
        <v>23</v>
      </c>
      <c r="D5126" s="0" t="n">
        <v>130</v>
      </c>
      <c r="E5126" s="0" t="n">
        <f aca="false">VLOOKUP(B5126,'MSA-Lookup'!$H$2:$I$86,2)</f>
        <v>6780</v>
      </c>
      <c r="F5126" s="0" t="n">
        <f aca="false">IF(C5126&gt;1,IF(C5126&lt;99,VLOOKUP(C5126,'MSA-Lookup'!$H$1:$I$86,2),C5126),C5126)</f>
        <v>8120</v>
      </c>
      <c r="G5126" s="0" t="n">
        <f aca="false">VLOOKUP(E5126,'MSA-Lookup'!$AA$1:$AB$25,2)</f>
        <v>4472</v>
      </c>
      <c r="H5126" s="0" t="n">
        <f aca="false">IF(C5126&gt;1,IF(C5126&lt;99,VLOOKUP(F5126,'MSA-Lookup'!$AA$1:$AB$25,2),C5126),C5126)</f>
        <v>8120</v>
      </c>
    </row>
    <row r="5127" customFormat="false" ht="12.75" hidden="false" customHeight="false" outlineLevel="0" collapsed="false">
      <c r="A5127" s="0" t="n">
        <f aca="false">B5127*1000+C5127</f>
        <v>71024</v>
      </c>
      <c r="B5127" s="0" t="n">
        <v>71</v>
      </c>
      <c r="C5127" s="0" t="n">
        <v>24</v>
      </c>
      <c r="D5127" s="0" t="n">
        <v>0</v>
      </c>
      <c r="E5127" s="0" t="n">
        <f aca="false">VLOOKUP(B5127,'MSA-Lookup'!$H$2:$I$86,2)</f>
        <v>6780</v>
      </c>
      <c r="F5127" s="0" t="n">
        <f aca="false">IF(C5127&gt;1,IF(C5127&lt;99,VLOOKUP(C5127,'MSA-Lookup'!$H$1:$I$86,2),C5127),C5127)</f>
        <v>5170</v>
      </c>
      <c r="G5127" s="0" t="n">
        <f aca="false">VLOOKUP(E5127,'MSA-Lookup'!$AA$1:$AB$25,2)</f>
        <v>4472</v>
      </c>
      <c r="H5127" s="0" t="n">
        <f aca="false">IF(C5127&gt;1,IF(C5127&lt;99,VLOOKUP(F5127,'MSA-Lookup'!$AA$1:$AB$25,2),C5127),C5127)</f>
        <v>5170</v>
      </c>
    </row>
    <row r="5128" customFormat="false" ht="12.75" hidden="false" customHeight="false" outlineLevel="0" collapsed="false">
      <c r="A5128" s="0" t="n">
        <f aca="false">B5128*1000+C5128</f>
        <v>71025</v>
      </c>
      <c r="B5128" s="0" t="n">
        <v>71</v>
      </c>
      <c r="C5128" s="0" t="n">
        <v>25</v>
      </c>
      <c r="D5128" s="0" t="n">
        <v>0</v>
      </c>
      <c r="E5128" s="0" t="n">
        <f aca="false">VLOOKUP(B5128,'MSA-Lookup'!$H$2:$I$86,2)</f>
        <v>6780</v>
      </c>
      <c r="F5128" s="0" t="n">
        <f aca="false">IF(C5128&gt;1,IF(C5128&lt;99,VLOOKUP(C5128,'MSA-Lookup'!$H$1:$I$86,2),C5128),C5128)</f>
        <v>5170</v>
      </c>
      <c r="G5128" s="0" t="n">
        <f aca="false">VLOOKUP(E5128,'MSA-Lookup'!$AA$1:$AB$25,2)</f>
        <v>4472</v>
      </c>
      <c r="H5128" s="0" t="n">
        <f aca="false">IF(C5128&gt;1,IF(C5128&lt;99,VLOOKUP(F5128,'MSA-Lookup'!$AA$1:$AB$25,2),C5128),C5128)</f>
        <v>5170</v>
      </c>
    </row>
    <row r="5129" customFormat="false" ht="12.75" hidden="false" customHeight="false" outlineLevel="0" collapsed="false">
      <c r="A5129" s="0" t="n">
        <f aca="false">B5129*1000+C5129</f>
        <v>71026</v>
      </c>
      <c r="B5129" s="0" t="n">
        <v>71</v>
      </c>
      <c r="C5129" s="0" t="n">
        <v>26</v>
      </c>
      <c r="D5129" s="0" t="n">
        <v>0</v>
      </c>
      <c r="E5129" s="0" t="n">
        <f aca="false">VLOOKUP(B5129,'MSA-Lookup'!$H$2:$I$86,2)</f>
        <v>6780</v>
      </c>
      <c r="F5129" s="0" t="n">
        <f aca="false">IF(C5129&gt;1,IF(C5129&lt;99,VLOOKUP(C5129,'MSA-Lookup'!$H$1:$I$86,2),C5129),C5129)</f>
        <v>9999</v>
      </c>
      <c r="G5129" s="0" t="n">
        <f aca="false">VLOOKUP(E5129,'MSA-Lookup'!$AA$1:$AB$25,2)</f>
        <v>4472</v>
      </c>
      <c r="H5129" s="0" t="n">
        <f aca="false">IF(C5129&gt;1,IF(C5129&lt;99,VLOOKUP(F5129,'MSA-Lookup'!$AA$1:$AB$25,2),C5129),C5129)</f>
        <v>9999</v>
      </c>
    </row>
    <row r="5130" customFormat="false" ht="12.75" hidden="false" customHeight="false" outlineLevel="0" collapsed="false">
      <c r="A5130" s="0" t="n">
        <f aca="false">B5130*1000+C5130</f>
        <v>71027</v>
      </c>
      <c r="B5130" s="0" t="n">
        <v>71</v>
      </c>
      <c r="C5130" s="0" t="n">
        <v>27</v>
      </c>
      <c r="D5130" s="0" t="n">
        <v>0</v>
      </c>
      <c r="E5130" s="0" t="n">
        <f aca="false">VLOOKUP(B5130,'MSA-Lookup'!$H$2:$I$86,2)</f>
        <v>6780</v>
      </c>
      <c r="F5130" s="0" t="n">
        <f aca="false">IF(C5130&gt;1,IF(C5130&lt;99,VLOOKUP(C5130,'MSA-Lookup'!$H$1:$I$86,2),C5130),C5130)</f>
        <v>9999</v>
      </c>
      <c r="G5130" s="0" t="n">
        <f aca="false">VLOOKUP(E5130,'MSA-Lookup'!$AA$1:$AB$25,2)</f>
        <v>4472</v>
      </c>
      <c r="H5130" s="0" t="n">
        <f aca="false">IF(C5130&gt;1,IF(C5130&lt;99,VLOOKUP(F5130,'MSA-Lookup'!$AA$1:$AB$25,2),C5130),C5130)</f>
        <v>9999</v>
      </c>
    </row>
    <row r="5131" customFormat="false" ht="12.75" hidden="false" customHeight="false" outlineLevel="0" collapsed="false">
      <c r="A5131" s="0" t="n">
        <f aca="false">B5131*1000+C5131</f>
        <v>71028</v>
      </c>
      <c r="B5131" s="0" t="n">
        <v>71</v>
      </c>
      <c r="C5131" s="0" t="n">
        <v>28</v>
      </c>
      <c r="D5131" s="0" t="n">
        <v>0</v>
      </c>
      <c r="E5131" s="0" t="n">
        <f aca="false">VLOOKUP(B5131,'MSA-Lookup'!$H$2:$I$86,2)</f>
        <v>6780</v>
      </c>
      <c r="F5131" s="0" t="n">
        <f aca="false">IF(C5131&gt;1,IF(C5131&lt;99,VLOOKUP(C5131,'MSA-Lookup'!$H$1:$I$86,2),C5131),C5131)</f>
        <v>6920</v>
      </c>
      <c r="G5131" s="0" t="n">
        <f aca="false">VLOOKUP(E5131,'MSA-Lookup'!$AA$1:$AB$25,2)</f>
        <v>4472</v>
      </c>
      <c r="H5131" s="0" t="n">
        <f aca="false">IF(C5131&gt;1,IF(C5131&lt;99,VLOOKUP(F5131,'MSA-Lookup'!$AA$1:$AB$25,2),C5131),C5131)</f>
        <v>6920</v>
      </c>
    </row>
    <row r="5132" customFormat="false" ht="12.75" hidden="false" customHeight="false" outlineLevel="0" collapsed="false">
      <c r="A5132" s="0" t="n">
        <f aca="false">B5132*1000+C5132</f>
        <v>71029</v>
      </c>
      <c r="B5132" s="0" t="n">
        <v>71</v>
      </c>
      <c r="C5132" s="0" t="n">
        <v>29</v>
      </c>
      <c r="D5132" s="0" t="n">
        <v>0</v>
      </c>
      <c r="E5132" s="0" t="n">
        <f aca="false">VLOOKUP(B5132,'MSA-Lookup'!$H$2:$I$86,2)</f>
        <v>6780</v>
      </c>
      <c r="F5132" s="0" t="n">
        <f aca="false">IF(C5132&gt;1,IF(C5132&lt;99,VLOOKUP(C5132,'MSA-Lookup'!$H$1:$I$86,2),C5132),C5132)</f>
        <v>6920</v>
      </c>
      <c r="G5132" s="0" t="n">
        <f aca="false">VLOOKUP(E5132,'MSA-Lookup'!$AA$1:$AB$25,2)</f>
        <v>4472</v>
      </c>
      <c r="H5132" s="0" t="n">
        <f aca="false">IF(C5132&gt;1,IF(C5132&lt;99,VLOOKUP(F5132,'MSA-Lookup'!$AA$1:$AB$25,2),C5132),C5132)</f>
        <v>6920</v>
      </c>
    </row>
    <row r="5133" customFormat="false" ht="12.75" hidden="false" customHeight="false" outlineLevel="0" collapsed="false">
      <c r="A5133" s="0" t="n">
        <f aca="false">B5133*1000+C5133</f>
        <v>71030</v>
      </c>
      <c r="B5133" s="0" t="n">
        <v>71</v>
      </c>
      <c r="C5133" s="0" t="n">
        <v>30</v>
      </c>
      <c r="D5133" s="0" t="n">
        <v>0</v>
      </c>
      <c r="E5133" s="0" t="n">
        <f aca="false">VLOOKUP(B5133,'MSA-Lookup'!$H$2:$I$86,2)</f>
        <v>6780</v>
      </c>
      <c r="F5133" s="0" t="n">
        <f aca="false">IF(C5133&gt;1,IF(C5133&lt;99,VLOOKUP(C5133,'MSA-Lookup'!$H$1:$I$86,2),C5133),C5133)</f>
        <v>4940</v>
      </c>
      <c r="G5133" s="0" t="n">
        <f aca="false">VLOOKUP(E5133,'MSA-Lookup'!$AA$1:$AB$25,2)</f>
        <v>4472</v>
      </c>
      <c r="H5133" s="0" t="n">
        <f aca="false">IF(C5133&gt;1,IF(C5133&lt;99,VLOOKUP(F5133,'MSA-Lookup'!$AA$1:$AB$25,2),C5133),C5133)</f>
        <v>4940</v>
      </c>
    </row>
    <row r="5134" customFormat="false" ht="12.75" hidden="false" customHeight="false" outlineLevel="0" collapsed="false">
      <c r="A5134" s="0" t="n">
        <f aca="false">B5134*1000+C5134</f>
        <v>71031</v>
      </c>
      <c r="B5134" s="0" t="n">
        <v>71</v>
      </c>
      <c r="C5134" s="0" t="n">
        <v>31</v>
      </c>
      <c r="D5134" s="0" t="n">
        <v>0</v>
      </c>
      <c r="E5134" s="0" t="n">
        <f aca="false">VLOOKUP(B5134,'MSA-Lookup'!$H$2:$I$86,2)</f>
        <v>6780</v>
      </c>
      <c r="F5134" s="0" t="n">
        <f aca="false">IF(C5134&gt;1,IF(C5134&lt;99,VLOOKUP(C5134,'MSA-Lookup'!$H$1:$I$86,2),C5134),C5134)</f>
        <v>9999</v>
      </c>
      <c r="G5134" s="0" t="n">
        <f aca="false">VLOOKUP(E5134,'MSA-Lookup'!$AA$1:$AB$25,2)</f>
        <v>4472</v>
      </c>
      <c r="H5134" s="0" t="n">
        <f aca="false">IF(C5134&gt;1,IF(C5134&lt;99,VLOOKUP(F5134,'MSA-Lookup'!$AA$1:$AB$25,2),C5134),C5134)</f>
        <v>9999</v>
      </c>
    </row>
    <row r="5135" customFormat="false" ht="12.75" hidden="false" customHeight="false" outlineLevel="0" collapsed="false">
      <c r="A5135" s="0" t="n">
        <f aca="false">B5135*1000+C5135</f>
        <v>71032</v>
      </c>
      <c r="B5135" s="0" t="n">
        <v>71</v>
      </c>
      <c r="C5135" s="0" t="n">
        <v>32</v>
      </c>
      <c r="D5135" s="0" t="n">
        <v>0</v>
      </c>
      <c r="E5135" s="0" t="n">
        <f aca="false">VLOOKUP(B5135,'MSA-Lookup'!$H$2:$I$86,2)</f>
        <v>6780</v>
      </c>
      <c r="F5135" s="0" t="n">
        <f aca="false">IF(C5135&gt;1,IF(C5135&lt;99,VLOOKUP(C5135,'MSA-Lookup'!$H$1:$I$86,2),C5135),C5135)</f>
        <v>7480</v>
      </c>
      <c r="G5135" s="0" t="n">
        <f aca="false">VLOOKUP(E5135,'MSA-Lookup'!$AA$1:$AB$25,2)</f>
        <v>4472</v>
      </c>
      <c r="H5135" s="0" t="n">
        <f aca="false">IF(C5135&gt;1,IF(C5135&lt;99,VLOOKUP(F5135,'MSA-Lookup'!$AA$1:$AB$25,2),C5135),C5135)</f>
        <v>7480</v>
      </c>
    </row>
    <row r="5136" customFormat="false" ht="12.75" hidden="false" customHeight="false" outlineLevel="0" collapsed="false">
      <c r="A5136" s="0" t="n">
        <f aca="false">B5136*1000+C5136</f>
        <v>71033</v>
      </c>
      <c r="B5136" s="0" t="n">
        <v>71</v>
      </c>
      <c r="C5136" s="0" t="n">
        <v>33</v>
      </c>
      <c r="D5136" s="0" t="n">
        <v>0</v>
      </c>
      <c r="E5136" s="0" t="n">
        <f aca="false">VLOOKUP(B5136,'MSA-Lookup'!$H$2:$I$86,2)</f>
        <v>6780</v>
      </c>
      <c r="F5136" s="0" t="n">
        <f aca="false">IF(C5136&gt;1,IF(C5136&lt;99,VLOOKUP(C5136,'MSA-Lookup'!$H$1:$I$86,2),C5136),C5136)</f>
        <v>7320</v>
      </c>
      <c r="G5136" s="0" t="n">
        <f aca="false">VLOOKUP(E5136,'MSA-Lookup'!$AA$1:$AB$25,2)</f>
        <v>4472</v>
      </c>
      <c r="H5136" s="0" t="n">
        <f aca="false">IF(C5136&gt;1,IF(C5136&lt;99,VLOOKUP(F5136,'MSA-Lookup'!$AA$1:$AB$25,2),C5136),C5136)</f>
        <v>7320</v>
      </c>
    </row>
    <row r="5137" customFormat="false" ht="12.75" hidden="false" customHeight="false" outlineLevel="0" collapsed="false">
      <c r="A5137" s="0" t="n">
        <f aca="false">B5137*1000+C5137</f>
        <v>71034</v>
      </c>
      <c r="B5137" s="0" t="n">
        <v>71</v>
      </c>
      <c r="C5137" s="0" t="n">
        <v>34</v>
      </c>
      <c r="D5137" s="0" t="n">
        <v>0</v>
      </c>
      <c r="E5137" s="0" t="n">
        <f aca="false">VLOOKUP(B5137,'MSA-Lookup'!$H$2:$I$86,2)</f>
        <v>6780</v>
      </c>
      <c r="F5137" s="0" t="n">
        <f aca="false">IF(C5137&gt;1,IF(C5137&lt;99,VLOOKUP(C5137,'MSA-Lookup'!$H$1:$I$86,2),C5137),C5137)</f>
        <v>7320</v>
      </c>
      <c r="G5137" s="0" t="n">
        <f aca="false">VLOOKUP(E5137,'MSA-Lookup'!$AA$1:$AB$25,2)</f>
        <v>4472</v>
      </c>
      <c r="H5137" s="0" t="n">
        <f aca="false">IF(C5137&gt;1,IF(C5137&lt;99,VLOOKUP(F5137,'MSA-Lookup'!$AA$1:$AB$25,2),C5137),C5137)</f>
        <v>7320</v>
      </c>
    </row>
    <row r="5138" customFormat="false" ht="12.75" hidden="false" customHeight="false" outlineLevel="0" collapsed="false">
      <c r="A5138" s="0" t="n">
        <f aca="false">B5138*1000+C5138</f>
        <v>71035</v>
      </c>
      <c r="B5138" s="0" t="n">
        <v>71</v>
      </c>
      <c r="C5138" s="0" t="n">
        <v>35</v>
      </c>
      <c r="D5138" s="0" t="n">
        <v>0</v>
      </c>
      <c r="E5138" s="0" t="n">
        <f aca="false">VLOOKUP(B5138,'MSA-Lookup'!$H$2:$I$86,2)</f>
        <v>6780</v>
      </c>
      <c r="F5138" s="0" t="n">
        <f aca="false">IF(C5138&gt;1,IF(C5138&lt;99,VLOOKUP(C5138,'MSA-Lookup'!$H$1:$I$86,2),C5138),C5138)</f>
        <v>7320</v>
      </c>
      <c r="G5138" s="0" t="n">
        <f aca="false">VLOOKUP(E5138,'MSA-Lookup'!$AA$1:$AB$25,2)</f>
        <v>4472</v>
      </c>
      <c r="H5138" s="0" t="n">
        <f aca="false">IF(C5138&gt;1,IF(C5138&lt;99,VLOOKUP(F5138,'MSA-Lookup'!$AA$1:$AB$25,2),C5138),C5138)</f>
        <v>7320</v>
      </c>
    </row>
    <row r="5139" customFormat="false" ht="12.75" hidden="false" customHeight="false" outlineLevel="0" collapsed="false">
      <c r="A5139" s="0" t="n">
        <f aca="false">B5139*1000+C5139</f>
        <v>71036</v>
      </c>
      <c r="B5139" s="0" t="n">
        <v>71</v>
      </c>
      <c r="C5139" s="0" t="n">
        <v>36</v>
      </c>
      <c r="D5139" s="0" t="n">
        <v>0</v>
      </c>
      <c r="E5139" s="0" t="n">
        <f aca="false">VLOOKUP(B5139,'MSA-Lookup'!$H$2:$I$86,2)</f>
        <v>6780</v>
      </c>
      <c r="F5139" s="0" t="n">
        <f aca="false">IF(C5139&gt;1,IF(C5139&lt;99,VLOOKUP(C5139,'MSA-Lookup'!$H$1:$I$86,2),C5139),C5139)</f>
        <v>7320</v>
      </c>
      <c r="G5139" s="0" t="n">
        <f aca="false">VLOOKUP(E5139,'MSA-Lookup'!$AA$1:$AB$25,2)</f>
        <v>4472</v>
      </c>
      <c r="H5139" s="0" t="n">
        <f aca="false">IF(C5139&gt;1,IF(C5139&lt;99,VLOOKUP(F5139,'MSA-Lookup'!$AA$1:$AB$25,2),C5139),C5139)</f>
        <v>7320</v>
      </c>
    </row>
    <row r="5140" customFormat="false" ht="12.75" hidden="false" customHeight="false" outlineLevel="0" collapsed="false">
      <c r="A5140" s="0" t="n">
        <f aca="false">B5140*1000+C5140</f>
        <v>71037</v>
      </c>
      <c r="B5140" s="0" t="n">
        <v>71</v>
      </c>
      <c r="C5140" s="0" t="n">
        <v>37</v>
      </c>
      <c r="D5140" s="0" t="n">
        <v>0</v>
      </c>
      <c r="E5140" s="0" t="n">
        <f aca="false">VLOOKUP(B5140,'MSA-Lookup'!$H$2:$I$86,2)</f>
        <v>6780</v>
      </c>
      <c r="F5140" s="0" t="n">
        <f aca="false">IF(C5140&gt;1,IF(C5140&lt;99,VLOOKUP(C5140,'MSA-Lookup'!$H$1:$I$86,2),C5140),C5140)</f>
        <v>7320</v>
      </c>
      <c r="G5140" s="0" t="n">
        <f aca="false">VLOOKUP(E5140,'MSA-Lookup'!$AA$1:$AB$25,2)</f>
        <v>4472</v>
      </c>
      <c r="H5140" s="0" t="n">
        <f aca="false">IF(C5140&gt;1,IF(C5140&lt;99,VLOOKUP(F5140,'MSA-Lookup'!$AA$1:$AB$25,2),C5140),C5140)</f>
        <v>7320</v>
      </c>
    </row>
    <row r="5141" customFormat="false" ht="12.75" hidden="false" customHeight="false" outlineLevel="0" collapsed="false">
      <c r="A5141" s="0" t="n">
        <f aca="false">B5141*1000+C5141</f>
        <v>71038</v>
      </c>
      <c r="B5141" s="0" t="n">
        <v>71</v>
      </c>
      <c r="C5141" s="0" t="n">
        <v>38</v>
      </c>
      <c r="D5141" s="0" t="n">
        <v>0</v>
      </c>
      <c r="E5141" s="0" t="n">
        <f aca="false">VLOOKUP(B5141,'MSA-Lookup'!$H$2:$I$86,2)</f>
        <v>6780</v>
      </c>
      <c r="F5141" s="0" t="n">
        <f aca="false">IF(C5141&gt;1,IF(C5141&lt;99,VLOOKUP(C5141,'MSA-Lookup'!$H$1:$I$86,2),C5141),C5141)</f>
        <v>7120</v>
      </c>
      <c r="G5141" s="0" t="n">
        <f aca="false">VLOOKUP(E5141,'MSA-Lookup'!$AA$1:$AB$25,2)</f>
        <v>4472</v>
      </c>
      <c r="H5141" s="0" t="n">
        <f aca="false">IF(C5141&gt;1,IF(C5141&lt;99,VLOOKUP(F5141,'MSA-Lookup'!$AA$1:$AB$25,2),C5141),C5141)</f>
        <v>7120</v>
      </c>
    </row>
    <row r="5142" customFormat="false" ht="12.75" hidden="false" customHeight="false" outlineLevel="0" collapsed="false">
      <c r="A5142" s="0" t="n">
        <f aca="false">B5142*1000+C5142</f>
        <v>71039</v>
      </c>
      <c r="B5142" s="0" t="n">
        <v>71</v>
      </c>
      <c r="C5142" s="0" t="n">
        <v>39</v>
      </c>
      <c r="D5142" s="0" t="n">
        <v>0</v>
      </c>
      <c r="E5142" s="0" t="n">
        <f aca="false">VLOOKUP(B5142,'MSA-Lookup'!$H$2:$I$86,2)</f>
        <v>6780</v>
      </c>
      <c r="F5142" s="0" t="n">
        <f aca="false">IF(C5142&gt;1,IF(C5142&lt;99,VLOOKUP(C5142,'MSA-Lookup'!$H$1:$I$86,2),C5142),C5142)</f>
        <v>7120</v>
      </c>
      <c r="G5142" s="0" t="n">
        <f aca="false">VLOOKUP(E5142,'MSA-Lookup'!$AA$1:$AB$25,2)</f>
        <v>4472</v>
      </c>
      <c r="H5142" s="0" t="n">
        <f aca="false">IF(C5142&gt;1,IF(C5142&lt;99,VLOOKUP(F5142,'MSA-Lookup'!$AA$1:$AB$25,2),C5142),C5142)</f>
        <v>7120</v>
      </c>
    </row>
    <row r="5143" customFormat="false" ht="12.75" hidden="false" customHeight="false" outlineLevel="0" collapsed="false">
      <c r="A5143" s="0" t="n">
        <f aca="false">B5143*1000+C5143</f>
        <v>71040</v>
      </c>
      <c r="B5143" s="0" t="n">
        <v>71</v>
      </c>
      <c r="C5143" s="0" t="n">
        <v>40</v>
      </c>
      <c r="D5143" s="0" t="n">
        <v>0</v>
      </c>
      <c r="E5143" s="0" t="n">
        <f aca="false">VLOOKUP(B5143,'MSA-Lookup'!$H$2:$I$86,2)</f>
        <v>6780</v>
      </c>
      <c r="F5143" s="0" t="n">
        <f aca="false">IF(C5143&gt;1,IF(C5143&lt;99,VLOOKUP(C5143,'MSA-Lookup'!$H$1:$I$86,2),C5143),C5143)</f>
        <v>2840</v>
      </c>
      <c r="G5143" s="0" t="n">
        <f aca="false">VLOOKUP(E5143,'MSA-Lookup'!$AA$1:$AB$25,2)</f>
        <v>4472</v>
      </c>
      <c r="H5143" s="0" t="n">
        <f aca="false">IF(C5143&gt;1,IF(C5143&lt;99,VLOOKUP(F5143,'MSA-Lookup'!$AA$1:$AB$25,2),C5143),C5143)</f>
        <v>2840</v>
      </c>
    </row>
    <row r="5144" customFormat="false" ht="12.75" hidden="false" customHeight="false" outlineLevel="0" collapsed="false">
      <c r="A5144" s="0" t="n">
        <f aca="false">B5144*1000+C5144</f>
        <v>71041</v>
      </c>
      <c r="B5144" s="0" t="n">
        <v>71</v>
      </c>
      <c r="C5144" s="0" t="n">
        <v>41</v>
      </c>
      <c r="D5144" s="0" t="n">
        <v>0</v>
      </c>
      <c r="E5144" s="0" t="n">
        <f aca="false">VLOOKUP(B5144,'MSA-Lookup'!$H$2:$I$86,2)</f>
        <v>6780</v>
      </c>
      <c r="F5144" s="0" t="n">
        <f aca="false">IF(C5144&gt;1,IF(C5144&lt;99,VLOOKUP(C5144,'MSA-Lookup'!$H$1:$I$86,2),C5144),C5144)</f>
        <v>2840</v>
      </c>
      <c r="G5144" s="0" t="n">
        <f aca="false">VLOOKUP(E5144,'MSA-Lookup'!$AA$1:$AB$25,2)</f>
        <v>4472</v>
      </c>
      <c r="H5144" s="0" t="n">
        <f aca="false">IF(C5144&gt;1,IF(C5144&lt;99,VLOOKUP(F5144,'MSA-Lookup'!$AA$1:$AB$25,2),C5144),C5144)</f>
        <v>2840</v>
      </c>
    </row>
    <row r="5145" customFormat="false" ht="12.75" hidden="false" customHeight="false" outlineLevel="0" collapsed="false">
      <c r="A5145" s="0" t="n">
        <f aca="false">B5145*1000+C5145</f>
        <v>71042</v>
      </c>
      <c r="B5145" s="0" t="n">
        <v>71</v>
      </c>
      <c r="C5145" s="0" t="n">
        <v>42</v>
      </c>
      <c r="D5145" s="0" t="n">
        <v>494</v>
      </c>
      <c r="E5145" s="0" t="n">
        <f aca="false">VLOOKUP(B5145,'MSA-Lookup'!$H$2:$I$86,2)</f>
        <v>6780</v>
      </c>
      <c r="F5145" s="0" t="n">
        <f aca="false">IF(C5145&gt;1,IF(C5145&lt;99,VLOOKUP(C5145,'MSA-Lookup'!$H$1:$I$86,2),C5145),C5145)</f>
        <v>360</v>
      </c>
      <c r="G5145" s="0" t="n">
        <f aca="false">VLOOKUP(E5145,'MSA-Lookup'!$AA$1:$AB$25,2)</f>
        <v>4472</v>
      </c>
      <c r="H5145" s="0" t="n">
        <f aca="false">IF(C5145&gt;1,IF(C5145&lt;99,VLOOKUP(F5145,'MSA-Lookup'!$AA$1:$AB$25,2),C5145),C5145)</f>
        <v>4472</v>
      </c>
    </row>
    <row r="5146" customFormat="false" ht="12.75" hidden="false" customHeight="false" outlineLevel="0" collapsed="false">
      <c r="A5146" s="0" t="n">
        <f aca="false">B5146*1000+C5146</f>
        <v>71043</v>
      </c>
      <c r="B5146" s="0" t="n">
        <v>71</v>
      </c>
      <c r="C5146" s="0" t="n">
        <v>43</v>
      </c>
      <c r="D5146" s="0" t="n">
        <v>143</v>
      </c>
      <c r="E5146" s="0" t="n">
        <f aca="false">VLOOKUP(B5146,'MSA-Lookup'!$H$2:$I$86,2)</f>
        <v>6780</v>
      </c>
      <c r="F5146" s="0" t="n">
        <f aca="false">IF(C5146&gt;1,IF(C5146&lt;99,VLOOKUP(C5146,'MSA-Lookup'!$H$1:$I$86,2),C5146),C5146)</f>
        <v>360</v>
      </c>
      <c r="G5146" s="0" t="n">
        <f aca="false">VLOOKUP(E5146,'MSA-Lookup'!$AA$1:$AB$25,2)</f>
        <v>4472</v>
      </c>
      <c r="H5146" s="0" t="n">
        <f aca="false">IF(C5146&gt;1,IF(C5146&lt;99,VLOOKUP(F5146,'MSA-Lookup'!$AA$1:$AB$25,2),C5146),C5146)</f>
        <v>4472</v>
      </c>
    </row>
    <row r="5147" customFormat="false" ht="12.75" hidden="false" customHeight="false" outlineLevel="0" collapsed="false">
      <c r="A5147" s="0" t="n">
        <f aca="false">B5147*1000+C5147</f>
        <v>71044</v>
      </c>
      <c r="B5147" s="0" t="n">
        <v>71</v>
      </c>
      <c r="C5147" s="0" t="n">
        <v>44</v>
      </c>
      <c r="D5147" s="0" t="n">
        <v>221</v>
      </c>
      <c r="E5147" s="0" t="n">
        <f aca="false">VLOOKUP(B5147,'MSA-Lookup'!$H$2:$I$86,2)</f>
        <v>6780</v>
      </c>
      <c r="F5147" s="0" t="n">
        <f aca="false">IF(C5147&gt;1,IF(C5147&lt;99,VLOOKUP(C5147,'MSA-Lookup'!$H$1:$I$86,2),C5147),C5147)</f>
        <v>360</v>
      </c>
      <c r="G5147" s="0" t="n">
        <f aca="false">VLOOKUP(E5147,'MSA-Lookup'!$AA$1:$AB$25,2)</f>
        <v>4472</v>
      </c>
      <c r="H5147" s="0" t="n">
        <f aca="false">IF(C5147&gt;1,IF(C5147&lt;99,VLOOKUP(F5147,'MSA-Lookup'!$AA$1:$AB$25,2),C5147),C5147)</f>
        <v>4472</v>
      </c>
    </row>
    <row r="5148" customFormat="false" ht="12.75" hidden="false" customHeight="false" outlineLevel="0" collapsed="false">
      <c r="A5148" s="0" t="n">
        <f aca="false">B5148*1000+C5148</f>
        <v>71045</v>
      </c>
      <c r="B5148" s="0" t="n">
        <v>71</v>
      </c>
      <c r="C5148" s="0" t="n">
        <v>45</v>
      </c>
      <c r="D5148" s="0" t="n">
        <v>0</v>
      </c>
      <c r="E5148" s="0" t="n">
        <f aca="false">VLOOKUP(B5148,'MSA-Lookup'!$H$2:$I$86,2)</f>
        <v>6780</v>
      </c>
      <c r="F5148" s="0" t="n">
        <f aca="false">IF(C5148&gt;1,IF(C5148&lt;99,VLOOKUP(C5148,'MSA-Lookup'!$H$1:$I$86,2),C5148),C5148)</f>
        <v>360</v>
      </c>
      <c r="G5148" s="0" t="n">
        <f aca="false">VLOOKUP(E5148,'MSA-Lookup'!$AA$1:$AB$25,2)</f>
        <v>4472</v>
      </c>
      <c r="H5148" s="0" t="n">
        <f aca="false">IF(C5148&gt;1,IF(C5148&lt;99,VLOOKUP(F5148,'MSA-Lookup'!$AA$1:$AB$25,2),C5148),C5148)</f>
        <v>4472</v>
      </c>
    </row>
    <row r="5149" customFormat="false" ht="12.75" hidden="false" customHeight="false" outlineLevel="0" collapsed="false">
      <c r="A5149" s="0" t="n">
        <f aca="false">B5149*1000+C5149</f>
        <v>71046</v>
      </c>
      <c r="B5149" s="0" t="n">
        <v>71</v>
      </c>
      <c r="C5149" s="0" t="n">
        <v>46</v>
      </c>
      <c r="D5149" s="0" t="n">
        <v>78</v>
      </c>
      <c r="E5149" s="0" t="n">
        <f aca="false">VLOOKUP(B5149,'MSA-Lookup'!$H$2:$I$86,2)</f>
        <v>6780</v>
      </c>
      <c r="F5149" s="0" t="n">
        <f aca="false">IF(C5149&gt;1,IF(C5149&lt;99,VLOOKUP(C5149,'MSA-Lookup'!$H$1:$I$86,2),C5149),C5149)</f>
        <v>360</v>
      </c>
      <c r="G5149" s="0" t="n">
        <f aca="false">VLOOKUP(E5149,'MSA-Lookup'!$AA$1:$AB$25,2)</f>
        <v>4472</v>
      </c>
      <c r="H5149" s="0" t="n">
        <f aca="false">IF(C5149&gt;1,IF(C5149&lt;99,VLOOKUP(F5149,'MSA-Lookup'!$AA$1:$AB$25,2),C5149),C5149)</f>
        <v>4472</v>
      </c>
    </row>
    <row r="5150" customFormat="false" ht="12.75" hidden="false" customHeight="false" outlineLevel="0" collapsed="false">
      <c r="A5150" s="0" t="n">
        <f aca="false">B5150*1000+C5150</f>
        <v>71047</v>
      </c>
      <c r="B5150" s="0" t="n">
        <v>71</v>
      </c>
      <c r="C5150" s="0" t="n">
        <v>47</v>
      </c>
      <c r="D5150" s="0" t="n">
        <v>0</v>
      </c>
      <c r="E5150" s="0" t="n">
        <f aca="false">VLOOKUP(B5150,'MSA-Lookup'!$H$2:$I$86,2)</f>
        <v>6780</v>
      </c>
      <c r="F5150" s="0" t="n">
        <f aca="false">IF(C5150&gt;1,IF(C5150&lt;99,VLOOKUP(C5150,'MSA-Lookup'!$H$1:$I$86,2),C5150),C5150)</f>
        <v>360</v>
      </c>
      <c r="G5150" s="0" t="n">
        <f aca="false">VLOOKUP(E5150,'MSA-Lookup'!$AA$1:$AB$25,2)</f>
        <v>4472</v>
      </c>
      <c r="H5150" s="0" t="n">
        <f aca="false">IF(C5150&gt;1,IF(C5150&lt;99,VLOOKUP(F5150,'MSA-Lookup'!$AA$1:$AB$25,2),C5150),C5150)</f>
        <v>4472</v>
      </c>
    </row>
    <row r="5151" customFormat="false" ht="12.75" hidden="false" customHeight="false" outlineLevel="0" collapsed="false">
      <c r="A5151" s="0" t="n">
        <f aca="false">B5151*1000+C5151</f>
        <v>71048</v>
      </c>
      <c r="B5151" s="0" t="n">
        <v>71</v>
      </c>
      <c r="C5151" s="0" t="n">
        <v>48</v>
      </c>
      <c r="D5151" s="0" t="n">
        <v>3198</v>
      </c>
      <c r="E5151" s="0" t="n">
        <f aca="false">VLOOKUP(B5151,'MSA-Lookup'!$H$2:$I$86,2)</f>
        <v>6780</v>
      </c>
      <c r="F5151" s="0" t="n">
        <f aca="false">IF(C5151&gt;1,IF(C5151&lt;99,VLOOKUP(C5151,'MSA-Lookup'!$H$1:$I$86,2),C5151),C5151)</f>
        <v>360</v>
      </c>
      <c r="G5151" s="0" t="n">
        <f aca="false">VLOOKUP(E5151,'MSA-Lookup'!$AA$1:$AB$25,2)</f>
        <v>4472</v>
      </c>
      <c r="H5151" s="0" t="n">
        <f aca="false">IF(C5151&gt;1,IF(C5151&lt;99,VLOOKUP(F5151,'MSA-Lookup'!$AA$1:$AB$25,2),C5151),C5151)</f>
        <v>4472</v>
      </c>
    </row>
    <row r="5152" customFormat="false" ht="12.75" hidden="false" customHeight="false" outlineLevel="0" collapsed="false">
      <c r="A5152" s="0" t="n">
        <f aca="false">B5152*1000+C5152</f>
        <v>71049</v>
      </c>
      <c r="B5152" s="0" t="n">
        <v>71</v>
      </c>
      <c r="C5152" s="0" t="n">
        <v>49</v>
      </c>
      <c r="D5152" s="0" t="n">
        <v>0</v>
      </c>
      <c r="E5152" s="0" t="n">
        <f aca="false">VLOOKUP(B5152,'MSA-Lookup'!$H$2:$I$86,2)</f>
        <v>6780</v>
      </c>
      <c r="F5152" s="0" t="n">
        <f aca="false">IF(C5152&gt;1,IF(C5152&lt;99,VLOOKUP(C5152,'MSA-Lookup'!$H$1:$I$86,2),C5152),C5152)</f>
        <v>7400</v>
      </c>
      <c r="G5152" s="0" t="n">
        <f aca="false">VLOOKUP(E5152,'MSA-Lookup'!$AA$1:$AB$25,2)</f>
        <v>4472</v>
      </c>
      <c r="H5152" s="0" t="n">
        <f aca="false">IF(C5152&gt;1,IF(C5152&lt;99,VLOOKUP(F5152,'MSA-Lookup'!$AA$1:$AB$25,2),C5152),C5152)</f>
        <v>7362</v>
      </c>
    </row>
    <row r="5153" customFormat="false" ht="12.75" hidden="false" customHeight="false" outlineLevel="0" collapsed="false">
      <c r="A5153" s="0" t="n">
        <f aca="false">B5153*1000+C5153</f>
        <v>71050</v>
      </c>
      <c r="B5153" s="0" t="n">
        <v>71</v>
      </c>
      <c r="C5153" s="0" t="n">
        <v>50</v>
      </c>
      <c r="D5153" s="0" t="n">
        <v>0</v>
      </c>
      <c r="E5153" s="0" t="n">
        <f aca="false">VLOOKUP(B5153,'MSA-Lookup'!$H$2:$I$86,2)</f>
        <v>6780</v>
      </c>
      <c r="F5153" s="0" t="n">
        <f aca="false">IF(C5153&gt;1,IF(C5153&lt;99,VLOOKUP(C5153,'MSA-Lookup'!$H$1:$I$86,2),C5153),C5153)</f>
        <v>7400</v>
      </c>
      <c r="G5153" s="0" t="n">
        <f aca="false">VLOOKUP(E5153,'MSA-Lookup'!$AA$1:$AB$25,2)</f>
        <v>4472</v>
      </c>
      <c r="H5153" s="0" t="n">
        <f aca="false">IF(C5153&gt;1,IF(C5153&lt;99,VLOOKUP(F5153,'MSA-Lookup'!$AA$1:$AB$25,2),C5153),C5153)</f>
        <v>7362</v>
      </c>
    </row>
    <row r="5154" customFormat="false" ht="12.75" hidden="false" customHeight="false" outlineLevel="0" collapsed="false">
      <c r="A5154" s="0" t="n">
        <f aca="false">B5154*1000+C5154</f>
        <v>71051</v>
      </c>
      <c r="B5154" s="0" t="n">
        <v>71</v>
      </c>
      <c r="C5154" s="0" t="n">
        <v>51</v>
      </c>
      <c r="D5154" s="0" t="n">
        <v>0</v>
      </c>
      <c r="E5154" s="0" t="n">
        <f aca="false">VLOOKUP(B5154,'MSA-Lookup'!$H$2:$I$86,2)</f>
        <v>6780</v>
      </c>
      <c r="F5154" s="0" t="n">
        <f aca="false">IF(C5154&gt;1,IF(C5154&lt;99,VLOOKUP(C5154,'MSA-Lookup'!$H$1:$I$86,2),C5154),C5154)</f>
        <v>7400</v>
      </c>
      <c r="G5154" s="0" t="n">
        <f aca="false">VLOOKUP(E5154,'MSA-Lookup'!$AA$1:$AB$25,2)</f>
        <v>4472</v>
      </c>
      <c r="H5154" s="0" t="n">
        <f aca="false">IF(C5154&gt;1,IF(C5154&lt;99,VLOOKUP(F5154,'MSA-Lookup'!$AA$1:$AB$25,2),C5154),C5154)</f>
        <v>7362</v>
      </c>
    </row>
    <row r="5155" customFormat="false" ht="12.75" hidden="false" customHeight="false" outlineLevel="0" collapsed="false">
      <c r="A5155" s="0" t="n">
        <f aca="false">B5155*1000+C5155</f>
        <v>71052</v>
      </c>
      <c r="B5155" s="0" t="n">
        <v>71</v>
      </c>
      <c r="C5155" s="0" t="n">
        <v>52</v>
      </c>
      <c r="D5155" s="0" t="n">
        <v>91</v>
      </c>
      <c r="E5155" s="0" t="n">
        <f aca="false">VLOOKUP(B5155,'MSA-Lookup'!$H$2:$I$86,2)</f>
        <v>6780</v>
      </c>
      <c r="F5155" s="0" t="n">
        <f aca="false">IF(C5155&gt;1,IF(C5155&lt;99,VLOOKUP(C5155,'MSA-Lookup'!$H$1:$I$86,2),C5155),C5155)</f>
        <v>4480</v>
      </c>
      <c r="G5155" s="0" t="n">
        <f aca="false">VLOOKUP(E5155,'MSA-Lookup'!$AA$1:$AB$25,2)</f>
        <v>4472</v>
      </c>
      <c r="H5155" s="0" t="n">
        <f aca="false">IF(C5155&gt;1,IF(C5155&lt;99,VLOOKUP(F5155,'MSA-Lookup'!$AA$1:$AB$25,2),C5155),C5155)</f>
        <v>4472</v>
      </c>
    </row>
    <row r="5156" customFormat="false" ht="12.75" hidden="false" customHeight="false" outlineLevel="0" collapsed="false">
      <c r="A5156" s="0" t="n">
        <f aca="false">B5156*1000+C5156</f>
        <v>71053</v>
      </c>
      <c r="B5156" s="0" t="n">
        <v>71</v>
      </c>
      <c r="C5156" s="0" t="n">
        <v>53</v>
      </c>
      <c r="D5156" s="0" t="n">
        <v>0</v>
      </c>
      <c r="E5156" s="0" t="n">
        <f aca="false">VLOOKUP(B5156,'MSA-Lookup'!$H$2:$I$86,2)</f>
        <v>6780</v>
      </c>
      <c r="F5156" s="0" t="n">
        <f aca="false">IF(C5156&gt;1,IF(C5156&lt;99,VLOOKUP(C5156,'MSA-Lookup'!$H$1:$I$86,2),C5156),C5156)</f>
        <v>4480</v>
      </c>
      <c r="G5156" s="0" t="n">
        <f aca="false">VLOOKUP(E5156,'MSA-Lookup'!$AA$1:$AB$25,2)</f>
        <v>4472</v>
      </c>
      <c r="H5156" s="0" t="n">
        <f aca="false">IF(C5156&gt;1,IF(C5156&lt;99,VLOOKUP(F5156,'MSA-Lookup'!$AA$1:$AB$25,2),C5156),C5156)</f>
        <v>4472</v>
      </c>
    </row>
    <row r="5157" customFormat="false" ht="12.75" hidden="false" customHeight="false" outlineLevel="0" collapsed="false">
      <c r="A5157" s="0" t="n">
        <f aca="false">B5157*1000+C5157</f>
        <v>71054</v>
      </c>
      <c r="B5157" s="0" t="n">
        <v>71</v>
      </c>
      <c r="C5157" s="0" t="n">
        <v>54</v>
      </c>
      <c r="D5157" s="0" t="n">
        <v>663</v>
      </c>
      <c r="E5157" s="0" t="n">
        <f aca="false">VLOOKUP(B5157,'MSA-Lookup'!$H$2:$I$86,2)</f>
        <v>6780</v>
      </c>
      <c r="F5157" s="0" t="n">
        <f aca="false">IF(C5157&gt;1,IF(C5157&lt;99,VLOOKUP(C5157,'MSA-Lookup'!$H$1:$I$86,2),C5157),C5157)</f>
        <v>4480</v>
      </c>
      <c r="G5157" s="0" t="n">
        <f aca="false">VLOOKUP(E5157,'MSA-Lookup'!$AA$1:$AB$25,2)</f>
        <v>4472</v>
      </c>
      <c r="H5157" s="0" t="n">
        <f aca="false">IF(C5157&gt;1,IF(C5157&lt;99,VLOOKUP(F5157,'MSA-Lookup'!$AA$1:$AB$25,2),C5157),C5157)</f>
        <v>4472</v>
      </c>
    </row>
    <row r="5158" customFormat="false" ht="12.75" hidden="false" customHeight="false" outlineLevel="0" collapsed="false">
      <c r="A5158" s="0" t="n">
        <f aca="false">B5158*1000+C5158</f>
        <v>71055</v>
      </c>
      <c r="B5158" s="0" t="n">
        <v>71</v>
      </c>
      <c r="C5158" s="0" t="n">
        <v>55</v>
      </c>
      <c r="D5158" s="0" t="n">
        <v>65</v>
      </c>
      <c r="E5158" s="0" t="n">
        <f aca="false">VLOOKUP(B5158,'MSA-Lookup'!$H$2:$I$86,2)</f>
        <v>6780</v>
      </c>
      <c r="F5158" s="0" t="n">
        <f aca="false">IF(C5158&gt;1,IF(C5158&lt;99,VLOOKUP(C5158,'MSA-Lookup'!$H$1:$I$86,2),C5158),C5158)</f>
        <v>4480</v>
      </c>
      <c r="G5158" s="0" t="n">
        <f aca="false">VLOOKUP(E5158,'MSA-Lookup'!$AA$1:$AB$25,2)</f>
        <v>4472</v>
      </c>
      <c r="H5158" s="0" t="n">
        <f aca="false">IF(C5158&gt;1,IF(C5158&lt;99,VLOOKUP(F5158,'MSA-Lookup'!$AA$1:$AB$25,2),C5158),C5158)</f>
        <v>4472</v>
      </c>
    </row>
    <row r="5159" customFormat="false" ht="12.75" hidden="false" customHeight="false" outlineLevel="0" collapsed="false">
      <c r="A5159" s="0" t="n">
        <f aca="false">B5159*1000+C5159</f>
        <v>71056</v>
      </c>
      <c r="B5159" s="0" t="n">
        <v>71</v>
      </c>
      <c r="C5159" s="0" t="n">
        <v>56</v>
      </c>
      <c r="D5159" s="0" t="n">
        <v>143</v>
      </c>
      <c r="E5159" s="0" t="n">
        <f aca="false">VLOOKUP(B5159,'MSA-Lookup'!$H$2:$I$86,2)</f>
        <v>6780</v>
      </c>
      <c r="F5159" s="0" t="n">
        <f aca="false">IF(C5159&gt;1,IF(C5159&lt;99,VLOOKUP(C5159,'MSA-Lookup'!$H$1:$I$86,2),C5159),C5159)</f>
        <v>4480</v>
      </c>
      <c r="G5159" s="0" t="n">
        <f aca="false">VLOOKUP(E5159,'MSA-Lookup'!$AA$1:$AB$25,2)</f>
        <v>4472</v>
      </c>
      <c r="H5159" s="0" t="n">
        <f aca="false">IF(C5159&gt;1,IF(C5159&lt;99,VLOOKUP(F5159,'MSA-Lookup'!$AA$1:$AB$25,2),C5159),C5159)</f>
        <v>4472</v>
      </c>
    </row>
    <row r="5160" customFormat="false" ht="12.75" hidden="false" customHeight="false" outlineLevel="0" collapsed="false">
      <c r="A5160" s="0" t="n">
        <f aca="false">B5160*1000+C5160</f>
        <v>71057</v>
      </c>
      <c r="B5160" s="0" t="n">
        <v>71</v>
      </c>
      <c r="C5160" s="0" t="n">
        <v>57</v>
      </c>
      <c r="D5160" s="0" t="n">
        <v>0</v>
      </c>
      <c r="E5160" s="0" t="n">
        <f aca="false">VLOOKUP(B5160,'MSA-Lookup'!$H$2:$I$86,2)</f>
        <v>6780</v>
      </c>
      <c r="F5160" s="0" t="n">
        <f aca="false">IF(C5160&gt;1,IF(C5160&lt;99,VLOOKUP(C5160,'MSA-Lookup'!$H$1:$I$86,2),C5160),C5160)</f>
        <v>4480</v>
      </c>
      <c r="G5160" s="0" t="n">
        <f aca="false">VLOOKUP(E5160,'MSA-Lookup'!$AA$1:$AB$25,2)</f>
        <v>4472</v>
      </c>
      <c r="H5160" s="0" t="n">
        <f aca="false">IF(C5160&gt;1,IF(C5160&lt;99,VLOOKUP(F5160,'MSA-Lookup'!$AA$1:$AB$25,2),C5160),C5160)</f>
        <v>4472</v>
      </c>
    </row>
    <row r="5161" customFormat="false" ht="12.75" hidden="false" customHeight="false" outlineLevel="0" collapsed="false">
      <c r="A5161" s="0" t="n">
        <f aca="false">B5161*1000+C5161</f>
        <v>71058</v>
      </c>
      <c r="B5161" s="0" t="n">
        <v>71</v>
      </c>
      <c r="C5161" s="0" t="n">
        <v>58</v>
      </c>
      <c r="D5161" s="0" t="n">
        <v>546</v>
      </c>
      <c r="E5161" s="0" t="n">
        <f aca="false">VLOOKUP(B5161,'MSA-Lookup'!$H$2:$I$86,2)</f>
        <v>6780</v>
      </c>
      <c r="F5161" s="0" t="n">
        <f aca="false">IF(C5161&gt;1,IF(C5161&lt;99,VLOOKUP(C5161,'MSA-Lookup'!$H$1:$I$86,2),C5161),C5161)</f>
        <v>4480</v>
      </c>
      <c r="G5161" s="0" t="n">
        <f aca="false">VLOOKUP(E5161,'MSA-Lookup'!$AA$1:$AB$25,2)</f>
        <v>4472</v>
      </c>
      <c r="H5161" s="0" t="n">
        <f aca="false">IF(C5161&gt;1,IF(C5161&lt;99,VLOOKUP(F5161,'MSA-Lookup'!$AA$1:$AB$25,2),C5161),C5161)</f>
        <v>4472</v>
      </c>
    </row>
    <row r="5162" customFormat="false" ht="12.75" hidden="false" customHeight="false" outlineLevel="0" collapsed="false">
      <c r="A5162" s="0" t="n">
        <f aca="false">B5162*1000+C5162</f>
        <v>71059</v>
      </c>
      <c r="B5162" s="0" t="n">
        <v>71</v>
      </c>
      <c r="C5162" s="0" t="n">
        <v>59</v>
      </c>
      <c r="D5162" s="0" t="n">
        <v>3289</v>
      </c>
      <c r="E5162" s="0" t="n">
        <f aca="false">VLOOKUP(B5162,'MSA-Lookup'!$H$2:$I$86,2)</f>
        <v>6780</v>
      </c>
      <c r="F5162" s="0" t="n">
        <f aca="false">IF(C5162&gt;1,IF(C5162&lt;99,VLOOKUP(C5162,'MSA-Lookup'!$H$1:$I$86,2),C5162),C5162)</f>
        <v>4480</v>
      </c>
      <c r="G5162" s="0" t="n">
        <f aca="false">VLOOKUP(E5162,'MSA-Lookup'!$AA$1:$AB$25,2)</f>
        <v>4472</v>
      </c>
      <c r="H5162" s="0" t="n">
        <f aca="false">IF(C5162&gt;1,IF(C5162&lt;99,VLOOKUP(F5162,'MSA-Lookup'!$AA$1:$AB$25,2),C5162),C5162)</f>
        <v>4472</v>
      </c>
    </row>
    <row r="5163" customFormat="false" ht="12.75" hidden="false" customHeight="false" outlineLevel="0" collapsed="false">
      <c r="A5163" s="0" t="n">
        <f aca="false">B5163*1000+C5163</f>
        <v>71060</v>
      </c>
      <c r="B5163" s="0" t="n">
        <v>71</v>
      </c>
      <c r="C5163" s="0" t="n">
        <v>60</v>
      </c>
      <c r="D5163" s="0" t="n">
        <v>91</v>
      </c>
      <c r="E5163" s="0" t="n">
        <f aca="false">VLOOKUP(B5163,'MSA-Lookup'!$H$2:$I$86,2)</f>
        <v>6780</v>
      </c>
      <c r="F5163" s="0" t="n">
        <f aca="false">IF(C5163&gt;1,IF(C5163&lt;99,VLOOKUP(C5163,'MSA-Lookup'!$H$1:$I$86,2),C5163),C5163)</f>
        <v>4480</v>
      </c>
      <c r="G5163" s="0" t="n">
        <f aca="false">VLOOKUP(E5163,'MSA-Lookup'!$AA$1:$AB$25,2)</f>
        <v>4472</v>
      </c>
      <c r="H5163" s="0" t="n">
        <f aca="false">IF(C5163&gt;1,IF(C5163&lt;99,VLOOKUP(F5163,'MSA-Lookup'!$AA$1:$AB$25,2),C5163),C5163)</f>
        <v>4472</v>
      </c>
    </row>
    <row r="5164" customFormat="false" ht="12.75" hidden="false" customHeight="false" outlineLevel="0" collapsed="false">
      <c r="A5164" s="0" t="n">
        <f aca="false">B5164*1000+C5164</f>
        <v>71061</v>
      </c>
      <c r="B5164" s="0" t="n">
        <v>71</v>
      </c>
      <c r="C5164" s="0" t="n">
        <v>61</v>
      </c>
      <c r="D5164" s="0" t="n">
        <v>0</v>
      </c>
      <c r="E5164" s="0" t="n">
        <f aca="false">VLOOKUP(B5164,'MSA-Lookup'!$H$2:$I$86,2)</f>
        <v>6780</v>
      </c>
      <c r="F5164" s="0" t="n">
        <f aca="false">IF(C5164&gt;1,IF(C5164&lt;99,VLOOKUP(C5164,'MSA-Lookup'!$H$1:$I$86,2),C5164),C5164)</f>
        <v>4480</v>
      </c>
      <c r="G5164" s="0" t="n">
        <f aca="false">VLOOKUP(E5164,'MSA-Lookup'!$AA$1:$AB$25,2)</f>
        <v>4472</v>
      </c>
      <c r="H5164" s="0" t="n">
        <f aca="false">IF(C5164&gt;1,IF(C5164&lt;99,VLOOKUP(F5164,'MSA-Lookup'!$AA$1:$AB$25,2),C5164),C5164)</f>
        <v>4472</v>
      </c>
    </row>
    <row r="5165" customFormat="false" ht="12.75" hidden="false" customHeight="false" outlineLevel="0" collapsed="false">
      <c r="A5165" s="0" t="n">
        <f aca="false">B5165*1000+C5165</f>
        <v>71062</v>
      </c>
      <c r="B5165" s="0" t="n">
        <v>71</v>
      </c>
      <c r="C5165" s="0" t="n">
        <v>62</v>
      </c>
      <c r="D5165" s="0" t="n">
        <v>0</v>
      </c>
      <c r="E5165" s="0" t="n">
        <f aca="false">VLOOKUP(B5165,'MSA-Lookup'!$H$2:$I$86,2)</f>
        <v>6780</v>
      </c>
      <c r="F5165" s="0" t="n">
        <f aca="false">IF(C5165&gt;1,IF(C5165&lt;99,VLOOKUP(C5165,'MSA-Lookup'!$H$1:$I$86,2),C5165),C5165)</f>
        <v>4480</v>
      </c>
      <c r="G5165" s="0" t="n">
        <f aca="false">VLOOKUP(E5165,'MSA-Lookup'!$AA$1:$AB$25,2)</f>
        <v>4472</v>
      </c>
      <c r="H5165" s="0" t="n">
        <f aca="false">IF(C5165&gt;1,IF(C5165&lt;99,VLOOKUP(F5165,'MSA-Lookup'!$AA$1:$AB$25,2),C5165),C5165)</f>
        <v>4472</v>
      </c>
    </row>
    <row r="5166" customFormat="false" ht="12.75" hidden="false" customHeight="false" outlineLevel="0" collapsed="false">
      <c r="A5166" s="0" t="n">
        <f aca="false">B5166*1000+C5166</f>
        <v>71063</v>
      </c>
      <c r="B5166" s="0" t="n">
        <v>71</v>
      </c>
      <c r="C5166" s="0" t="n">
        <v>63</v>
      </c>
      <c r="D5166" s="0" t="n">
        <v>143</v>
      </c>
      <c r="E5166" s="0" t="n">
        <f aca="false">VLOOKUP(B5166,'MSA-Lookup'!$H$2:$I$86,2)</f>
        <v>6780</v>
      </c>
      <c r="F5166" s="0" t="n">
        <f aca="false">IF(C5166&gt;1,IF(C5166&lt;99,VLOOKUP(C5166,'MSA-Lookup'!$H$1:$I$86,2),C5166),C5166)</f>
        <v>4480</v>
      </c>
      <c r="G5166" s="0" t="n">
        <f aca="false">VLOOKUP(E5166,'MSA-Lookup'!$AA$1:$AB$25,2)</f>
        <v>4472</v>
      </c>
      <c r="H5166" s="0" t="n">
        <f aca="false">IF(C5166&gt;1,IF(C5166&lt;99,VLOOKUP(F5166,'MSA-Lookup'!$AA$1:$AB$25,2),C5166),C5166)</f>
        <v>4472</v>
      </c>
    </row>
    <row r="5167" customFormat="false" ht="12.75" hidden="false" customHeight="false" outlineLevel="0" collapsed="false">
      <c r="A5167" s="0" t="n">
        <f aca="false">B5167*1000+C5167</f>
        <v>71064</v>
      </c>
      <c r="B5167" s="0" t="n">
        <v>71</v>
      </c>
      <c r="C5167" s="0" t="n">
        <v>64</v>
      </c>
      <c r="D5167" s="0" t="n">
        <v>9672</v>
      </c>
      <c r="E5167" s="0" t="n">
        <f aca="false">VLOOKUP(B5167,'MSA-Lookup'!$H$2:$I$86,2)</f>
        <v>6780</v>
      </c>
      <c r="F5167" s="0" t="n">
        <f aca="false">IF(C5167&gt;1,IF(C5167&lt;99,VLOOKUP(C5167,'MSA-Lookup'!$H$1:$I$86,2),C5167),C5167)</f>
        <v>4480</v>
      </c>
      <c r="G5167" s="0" t="n">
        <f aca="false">VLOOKUP(E5167,'MSA-Lookup'!$AA$1:$AB$25,2)</f>
        <v>4472</v>
      </c>
      <c r="H5167" s="0" t="n">
        <f aca="false">IF(C5167&gt;1,IF(C5167&lt;99,VLOOKUP(F5167,'MSA-Lookup'!$AA$1:$AB$25,2),C5167),C5167)</f>
        <v>4472</v>
      </c>
    </row>
    <row r="5168" customFormat="false" ht="12.75" hidden="false" customHeight="false" outlineLevel="0" collapsed="false">
      <c r="A5168" s="0" t="n">
        <f aca="false">B5168*1000+C5168</f>
        <v>71065</v>
      </c>
      <c r="B5168" s="0" t="n">
        <v>71</v>
      </c>
      <c r="C5168" s="0" t="n">
        <v>65</v>
      </c>
      <c r="D5168" s="0" t="n">
        <v>2990</v>
      </c>
      <c r="E5168" s="0" t="n">
        <f aca="false">VLOOKUP(B5168,'MSA-Lookup'!$H$2:$I$86,2)</f>
        <v>6780</v>
      </c>
      <c r="F5168" s="0" t="n">
        <f aca="false">IF(C5168&gt;1,IF(C5168&lt;99,VLOOKUP(C5168,'MSA-Lookup'!$H$1:$I$86,2),C5168),C5168)</f>
        <v>4480</v>
      </c>
      <c r="G5168" s="0" t="n">
        <f aca="false">VLOOKUP(E5168,'MSA-Lookup'!$AA$1:$AB$25,2)</f>
        <v>4472</v>
      </c>
      <c r="H5168" s="0" t="n">
        <f aca="false">IF(C5168&gt;1,IF(C5168&lt;99,VLOOKUP(F5168,'MSA-Lookup'!$AA$1:$AB$25,2),C5168),C5168)</f>
        <v>4472</v>
      </c>
    </row>
    <row r="5169" customFormat="false" ht="12.75" hidden="false" customHeight="false" outlineLevel="0" collapsed="false">
      <c r="A5169" s="0" t="n">
        <f aca="false">B5169*1000+C5169</f>
        <v>71066</v>
      </c>
      <c r="B5169" s="0" t="n">
        <v>71</v>
      </c>
      <c r="C5169" s="0" t="n">
        <v>66</v>
      </c>
      <c r="D5169" s="0" t="n">
        <v>312</v>
      </c>
      <c r="E5169" s="0" t="n">
        <f aca="false">VLOOKUP(B5169,'MSA-Lookup'!$H$2:$I$86,2)</f>
        <v>6780</v>
      </c>
      <c r="F5169" s="0" t="n">
        <f aca="false">IF(C5169&gt;1,IF(C5169&lt;99,VLOOKUP(C5169,'MSA-Lookup'!$H$1:$I$86,2),C5169),C5169)</f>
        <v>4480</v>
      </c>
      <c r="G5169" s="0" t="n">
        <f aca="false">VLOOKUP(E5169,'MSA-Lookup'!$AA$1:$AB$25,2)</f>
        <v>4472</v>
      </c>
      <c r="H5169" s="0" t="n">
        <f aca="false">IF(C5169&gt;1,IF(C5169&lt;99,VLOOKUP(F5169,'MSA-Lookup'!$AA$1:$AB$25,2),C5169),C5169)</f>
        <v>4472</v>
      </c>
    </row>
    <row r="5170" customFormat="false" ht="12.75" hidden="false" customHeight="false" outlineLevel="0" collapsed="false">
      <c r="A5170" s="0" t="n">
        <f aca="false">B5170*1000+C5170</f>
        <v>71067</v>
      </c>
      <c r="B5170" s="0" t="n">
        <v>71</v>
      </c>
      <c r="C5170" s="0" t="n">
        <v>67</v>
      </c>
      <c r="D5170" s="0" t="n">
        <v>0</v>
      </c>
      <c r="E5170" s="0" t="n">
        <f aca="false">VLOOKUP(B5170,'MSA-Lookup'!$H$2:$I$86,2)</f>
        <v>6780</v>
      </c>
      <c r="F5170" s="0" t="n">
        <f aca="false">IF(C5170&gt;1,IF(C5170&lt;99,VLOOKUP(C5170,'MSA-Lookup'!$H$1:$I$86,2),C5170),C5170)</f>
        <v>6000</v>
      </c>
      <c r="G5170" s="0" t="n">
        <f aca="false">VLOOKUP(E5170,'MSA-Lookup'!$AA$1:$AB$25,2)</f>
        <v>4472</v>
      </c>
      <c r="H5170" s="0" t="n">
        <f aca="false">IF(C5170&gt;1,IF(C5170&lt;99,VLOOKUP(F5170,'MSA-Lookup'!$AA$1:$AB$25,2),C5170),C5170)</f>
        <v>4472</v>
      </c>
    </row>
    <row r="5171" customFormat="false" ht="12.75" hidden="false" customHeight="false" outlineLevel="0" collapsed="false">
      <c r="A5171" s="0" t="n">
        <f aca="false">B5171*1000+C5171</f>
        <v>71068</v>
      </c>
      <c r="B5171" s="0" t="n">
        <v>71</v>
      </c>
      <c r="C5171" s="0" t="n">
        <v>68</v>
      </c>
      <c r="D5171" s="0" t="n">
        <v>0</v>
      </c>
      <c r="E5171" s="0" t="n">
        <f aca="false">VLOOKUP(B5171,'MSA-Lookup'!$H$2:$I$86,2)</f>
        <v>6780</v>
      </c>
      <c r="F5171" s="0" t="n">
        <f aca="false">IF(C5171&gt;1,IF(C5171&lt;99,VLOOKUP(C5171,'MSA-Lookup'!$H$1:$I$86,2),C5171),C5171)</f>
        <v>6780</v>
      </c>
      <c r="G5171" s="0" t="n">
        <f aca="false">VLOOKUP(E5171,'MSA-Lookup'!$AA$1:$AB$25,2)</f>
        <v>4472</v>
      </c>
      <c r="H5171" s="0" t="n">
        <f aca="false">IF(C5171&gt;1,IF(C5171&lt;99,VLOOKUP(F5171,'MSA-Lookup'!$AA$1:$AB$25,2),C5171),C5171)</f>
        <v>4472</v>
      </c>
    </row>
    <row r="5172" customFormat="false" ht="12.75" hidden="false" customHeight="false" outlineLevel="0" collapsed="false">
      <c r="A5172" s="0" t="n">
        <f aca="false">B5172*1000+C5172</f>
        <v>71069</v>
      </c>
      <c r="B5172" s="0" t="n">
        <v>71</v>
      </c>
      <c r="C5172" s="0" t="n">
        <v>69</v>
      </c>
      <c r="D5172" s="0" t="n">
        <v>1729</v>
      </c>
      <c r="E5172" s="0" t="n">
        <f aca="false">VLOOKUP(B5172,'MSA-Lookup'!$H$2:$I$86,2)</f>
        <v>6780</v>
      </c>
      <c r="F5172" s="0" t="n">
        <f aca="false">IF(C5172&gt;1,IF(C5172&lt;99,VLOOKUP(C5172,'MSA-Lookup'!$H$1:$I$86,2),C5172),C5172)</f>
        <v>6780</v>
      </c>
      <c r="G5172" s="0" t="n">
        <f aca="false">VLOOKUP(E5172,'MSA-Lookup'!$AA$1:$AB$25,2)</f>
        <v>4472</v>
      </c>
      <c r="H5172" s="0" t="n">
        <f aca="false">IF(C5172&gt;1,IF(C5172&lt;99,VLOOKUP(F5172,'MSA-Lookup'!$AA$1:$AB$25,2),C5172),C5172)</f>
        <v>4472</v>
      </c>
    </row>
    <row r="5173" customFormat="false" ht="12.75" hidden="false" customHeight="false" outlineLevel="0" collapsed="false">
      <c r="A5173" s="0" t="n">
        <f aca="false">B5173*1000+C5173</f>
        <v>71070</v>
      </c>
      <c r="B5173" s="0" t="n">
        <v>71</v>
      </c>
      <c r="C5173" s="0" t="n">
        <v>70</v>
      </c>
      <c r="D5173" s="0" t="n">
        <v>3341</v>
      </c>
      <c r="E5173" s="0" t="n">
        <f aca="false">VLOOKUP(B5173,'MSA-Lookup'!$H$2:$I$86,2)</f>
        <v>6780</v>
      </c>
      <c r="F5173" s="0" t="n">
        <f aca="false">IF(C5173&gt;1,IF(C5173&lt;99,VLOOKUP(C5173,'MSA-Lookup'!$H$1:$I$86,2),C5173),C5173)</f>
        <v>6780</v>
      </c>
      <c r="G5173" s="0" t="n">
        <f aca="false">VLOOKUP(E5173,'MSA-Lookup'!$AA$1:$AB$25,2)</f>
        <v>4472</v>
      </c>
      <c r="H5173" s="0" t="n">
        <f aca="false">IF(C5173&gt;1,IF(C5173&lt;99,VLOOKUP(F5173,'MSA-Lookup'!$AA$1:$AB$25,2),C5173),C5173)</f>
        <v>4472</v>
      </c>
    </row>
    <row r="5174" customFormat="false" ht="12.75" hidden="false" customHeight="false" outlineLevel="0" collapsed="false">
      <c r="A5174" s="0" t="n">
        <f aca="false">B5174*1000+C5174</f>
        <v>71071</v>
      </c>
      <c r="B5174" s="0" t="n">
        <v>71</v>
      </c>
      <c r="C5174" s="0" t="n">
        <v>71</v>
      </c>
      <c r="D5174" s="0" t="n">
        <v>13234</v>
      </c>
      <c r="E5174" s="0" t="n">
        <f aca="false">VLOOKUP(B5174,'MSA-Lookup'!$H$2:$I$86,2)</f>
        <v>6780</v>
      </c>
      <c r="F5174" s="0" t="n">
        <f aca="false">IF(C5174&gt;1,IF(C5174&lt;99,VLOOKUP(C5174,'MSA-Lookup'!$H$1:$I$86,2),C5174),C5174)</f>
        <v>6780</v>
      </c>
      <c r="G5174" s="0" t="n">
        <f aca="false">VLOOKUP(E5174,'MSA-Lookup'!$AA$1:$AB$25,2)</f>
        <v>4472</v>
      </c>
      <c r="H5174" s="0" t="n">
        <f aca="false">IF(C5174&gt;1,IF(C5174&lt;99,VLOOKUP(F5174,'MSA-Lookup'!$AA$1:$AB$25,2),C5174),C5174)</f>
        <v>4472</v>
      </c>
    </row>
    <row r="5175" customFormat="false" ht="12.75" hidden="false" customHeight="false" outlineLevel="0" collapsed="false">
      <c r="A5175" s="0" t="n">
        <f aca="false">B5175*1000+C5175</f>
        <v>71072</v>
      </c>
      <c r="B5175" s="0" t="n">
        <v>71</v>
      </c>
      <c r="C5175" s="0" t="n">
        <v>72</v>
      </c>
      <c r="D5175" s="0" t="n">
        <v>15366</v>
      </c>
      <c r="E5175" s="0" t="n">
        <f aca="false">VLOOKUP(B5175,'MSA-Lookup'!$H$2:$I$86,2)</f>
        <v>6780</v>
      </c>
      <c r="F5175" s="0" t="n">
        <f aca="false">IF(C5175&gt;1,IF(C5175&lt;99,VLOOKUP(C5175,'MSA-Lookup'!$H$1:$I$86,2),C5175),C5175)</f>
        <v>6780</v>
      </c>
      <c r="G5175" s="0" t="n">
        <f aca="false">VLOOKUP(E5175,'MSA-Lookup'!$AA$1:$AB$25,2)</f>
        <v>4472</v>
      </c>
      <c r="H5175" s="0" t="n">
        <f aca="false">IF(C5175&gt;1,IF(C5175&lt;99,VLOOKUP(F5175,'MSA-Lookup'!$AA$1:$AB$25,2),C5175),C5175)</f>
        <v>4472</v>
      </c>
    </row>
    <row r="5176" customFormat="false" ht="12.75" hidden="false" customHeight="false" outlineLevel="0" collapsed="false">
      <c r="A5176" s="0" t="n">
        <f aca="false">B5176*1000+C5176</f>
        <v>71073</v>
      </c>
      <c r="B5176" s="0" t="n">
        <v>71</v>
      </c>
      <c r="C5176" s="0" t="n">
        <v>73</v>
      </c>
      <c r="D5176" s="0" t="n">
        <v>0</v>
      </c>
      <c r="E5176" s="0" t="n">
        <f aca="false">VLOOKUP(B5176,'MSA-Lookup'!$H$2:$I$86,2)</f>
        <v>6780</v>
      </c>
      <c r="F5176" s="0" t="n">
        <f aca="false">IF(C5176&gt;1,IF(C5176&lt;99,VLOOKUP(C5176,'MSA-Lookup'!$H$1:$I$86,2),C5176),C5176)</f>
        <v>8720</v>
      </c>
      <c r="G5176" s="0" t="n">
        <f aca="false">VLOOKUP(E5176,'MSA-Lookup'!$AA$1:$AB$25,2)</f>
        <v>4472</v>
      </c>
      <c r="H5176" s="0" t="n">
        <f aca="false">IF(C5176&gt;1,IF(C5176&lt;99,VLOOKUP(F5176,'MSA-Lookup'!$AA$1:$AB$25,2),C5176),C5176)</f>
        <v>7362</v>
      </c>
    </row>
    <row r="5177" customFormat="false" ht="12.75" hidden="false" customHeight="false" outlineLevel="0" collapsed="false">
      <c r="A5177" s="0" t="n">
        <f aca="false">B5177*1000+C5177</f>
        <v>71075</v>
      </c>
      <c r="B5177" s="0" t="n">
        <v>71</v>
      </c>
      <c r="C5177" s="0" t="n">
        <v>75</v>
      </c>
      <c r="D5177" s="0" t="n">
        <v>0</v>
      </c>
      <c r="E5177" s="0" t="n">
        <f aca="false">VLOOKUP(B5177,'MSA-Lookup'!$H$2:$I$86,2)</f>
        <v>6780</v>
      </c>
      <c r="F5177" s="0" t="n">
        <f aca="false">IF(C5177&gt;1,IF(C5177&lt;99,VLOOKUP(C5177,'MSA-Lookup'!$H$1:$I$86,2),C5177),C5177)</f>
        <v>8780</v>
      </c>
      <c r="G5177" s="0" t="n">
        <f aca="false">VLOOKUP(E5177,'MSA-Lookup'!$AA$1:$AB$25,2)</f>
        <v>4472</v>
      </c>
      <c r="H5177" s="0" t="n">
        <f aca="false">IF(C5177&gt;1,IF(C5177&lt;99,VLOOKUP(F5177,'MSA-Lookup'!$AA$1:$AB$25,2),C5177),C5177)</f>
        <v>8780</v>
      </c>
    </row>
    <row r="5178" customFormat="false" ht="12.75" hidden="false" customHeight="false" outlineLevel="0" collapsed="false">
      <c r="A5178" s="0" t="n">
        <f aca="false">B5178*1000+C5178</f>
        <v>71076</v>
      </c>
      <c r="B5178" s="0" t="n">
        <v>71</v>
      </c>
      <c r="C5178" s="0" t="n">
        <v>76</v>
      </c>
      <c r="D5178" s="0" t="n">
        <v>0</v>
      </c>
      <c r="E5178" s="0" t="n">
        <f aca="false">VLOOKUP(B5178,'MSA-Lookup'!$H$2:$I$86,2)</f>
        <v>6780</v>
      </c>
      <c r="F5178" s="0" t="n">
        <f aca="false">IF(C5178&gt;1,IF(C5178&lt;99,VLOOKUP(C5178,'MSA-Lookup'!$H$1:$I$86,2),C5178),C5178)</f>
        <v>7485</v>
      </c>
      <c r="G5178" s="0" t="n">
        <f aca="false">VLOOKUP(E5178,'MSA-Lookup'!$AA$1:$AB$25,2)</f>
        <v>4472</v>
      </c>
      <c r="H5178" s="0" t="n">
        <f aca="false">IF(C5178&gt;1,IF(C5178&lt;99,VLOOKUP(F5178,'MSA-Lookup'!$AA$1:$AB$25,2),C5178),C5178)</f>
        <v>7362</v>
      </c>
    </row>
    <row r="5179" customFormat="false" ht="12.75" hidden="false" customHeight="false" outlineLevel="0" collapsed="false">
      <c r="A5179" s="0" t="n">
        <f aca="false">B5179*1000+C5179</f>
        <v>71077</v>
      </c>
      <c r="B5179" s="0" t="n">
        <v>71</v>
      </c>
      <c r="C5179" s="0" t="n">
        <v>77</v>
      </c>
      <c r="D5179" s="0" t="n">
        <v>0</v>
      </c>
      <c r="E5179" s="0" t="n">
        <f aca="false">VLOOKUP(B5179,'MSA-Lookup'!$H$2:$I$86,2)</f>
        <v>6780</v>
      </c>
      <c r="F5179" s="0" t="n">
        <f aca="false">IF(C5179&gt;1,IF(C5179&lt;99,VLOOKUP(C5179,'MSA-Lookup'!$H$1:$I$86,2),C5179),C5179)</f>
        <v>9999</v>
      </c>
      <c r="G5179" s="0" t="n">
        <f aca="false">VLOOKUP(E5179,'MSA-Lookup'!$AA$1:$AB$25,2)</f>
        <v>4472</v>
      </c>
      <c r="H5179" s="0" t="n">
        <f aca="false">IF(C5179&gt;1,IF(C5179&lt;99,VLOOKUP(F5179,'MSA-Lookup'!$AA$1:$AB$25,2),C5179),C5179)</f>
        <v>9999</v>
      </c>
    </row>
    <row r="5180" customFormat="false" ht="12.75" hidden="false" customHeight="false" outlineLevel="0" collapsed="false">
      <c r="A5180" s="0" t="n">
        <f aca="false">B5180*1000+C5180</f>
        <v>71078</v>
      </c>
      <c r="B5180" s="0" t="n">
        <v>71</v>
      </c>
      <c r="C5180" s="0" t="n">
        <v>78</v>
      </c>
      <c r="D5180" s="0" t="n">
        <v>0</v>
      </c>
      <c r="E5180" s="0" t="n">
        <f aca="false">VLOOKUP(B5180,'MSA-Lookup'!$H$2:$I$86,2)</f>
        <v>6780</v>
      </c>
      <c r="F5180" s="0" t="n">
        <f aca="false">IF(C5180&gt;1,IF(C5180&lt;99,VLOOKUP(C5180,'MSA-Lookup'!$H$1:$I$86,2),C5180),C5180)</f>
        <v>680</v>
      </c>
      <c r="G5180" s="0" t="n">
        <f aca="false">VLOOKUP(E5180,'MSA-Lookup'!$AA$1:$AB$25,2)</f>
        <v>4472</v>
      </c>
      <c r="H5180" s="0" t="n">
        <f aca="false">IF(C5180&gt;1,IF(C5180&lt;99,VLOOKUP(F5180,'MSA-Lookup'!$AA$1:$AB$25,2),C5180),C5180)</f>
        <v>680</v>
      </c>
    </row>
    <row r="5181" customFormat="false" ht="12.75" hidden="false" customHeight="false" outlineLevel="0" collapsed="false">
      <c r="A5181" s="0" t="n">
        <f aca="false">B5181*1000+C5181</f>
        <v>71079</v>
      </c>
      <c r="B5181" s="0" t="n">
        <v>71</v>
      </c>
      <c r="C5181" s="0" t="n">
        <v>79</v>
      </c>
      <c r="D5181" s="0" t="n">
        <v>0</v>
      </c>
      <c r="E5181" s="0" t="n">
        <f aca="false">VLOOKUP(B5181,'MSA-Lookup'!$H$2:$I$86,2)</f>
        <v>6780</v>
      </c>
      <c r="F5181" s="0" t="n">
        <f aca="false">IF(C5181&gt;1,IF(C5181&lt;99,VLOOKUP(C5181,'MSA-Lookup'!$H$1:$I$86,2),C5181),C5181)</f>
        <v>680</v>
      </c>
      <c r="G5181" s="0" t="n">
        <f aca="false">VLOOKUP(E5181,'MSA-Lookup'!$AA$1:$AB$25,2)</f>
        <v>4472</v>
      </c>
      <c r="H5181" s="0" t="n">
        <f aca="false">IF(C5181&gt;1,IF(C5181&lt;99,VLOOKUP(F5181,'MSA-Lookup'!$AA$1:$AB$25,2),C5181),C5181)</f>
        <v>680</v>
      </c>
    </row>
    <row r="5182" customFormat="false" ht="12.75" hidden="false" customHeight="false" outlineLevel="0" collapsed="false">
      <c r="A5182" s="0" t="n">
        <f aca="false">B5182*1000+C5182</f>
        <v>71080</v>
      </c>
      <c r="B5182" s="0" t="n">
        <v>71</v>
      </c>
      <c r="C5182" s="0" t="n">
        <v>80</v>
      </c>
      <c r="D5182" s="0" t="n">
        <v>0</v>
      </c>
      <c r="E5182" s="0" t="n">
        <f aca="false">VLOOKUP(B5182,'MSA-Lookup'!$H$2:$I$86,2)</f>
        <v>6780</v>
      </c>
      <c r="F5182" s="0" t="n">
        <f aca="false">IF(C5182&gt;1,IF(C5182&lt;99,VLOOKUP(C5182,'MSA-Lookup'!$H$1:$I$86,2),C5182),C5182)</f>
        <v>9999</v>
      </c>
      <c r="G5182" s="0" t="n">
        <f aca="false">VLOOKUP(E5182,'MSA-Lookup'!$AA$1:$AB$25,2)</f>
        <v>4472</v>
      </c>
      <c r="H5182" s="0" t="n">
        <f aca="false">IF(C5182&gt;1,IF(C5182&lt;99,VLOOKUP(F5182,'MSA-Lookup'!$AA$1:$AB$25,2),C5182),C5182)</f>
        <v>9999</v>
      </c>
    </row>
    <row r="5183" customFormat="false" ht="12.75" hidden="false" customHeight="false" outlineLevel="0" collapsed="false">
      <c r="A5183" s="0" t="n">
        <f aca="false">B5183*1000+C5183</f>
        <v>71081</v>
      </c>
      <c r="B5183" s="0" t="n">
        <v>71</v>
      </c>
      <c r="C5183" s="0" t="n">
        <v>81</v>
      </c>
      <c r="D5183" s="0" t="n">
        <v>1001</v>
      </c>
      <c r="E5183" s="0" t="n">
        <f aca="false">VLOOKUP(B5183,'MSA-Lookup'!$H$2:$I$86,2)</f>
        <v>6780</v>
      </c>
      <c r="F5183" s="0" t="n">
        <f aca="false">IF(C5183&gt;1,IF(C5183&lt;99,VLOOKUP(C5183,'MSA-Lookup'!$H$1:$I$86,2),C5183),C5183)</f>
        <v>6780</v>
      </c>
      <c r="G5183" s="0" t="n">
        <f aca="false">VLOOKUP(E5183,'MSA-Lookup'!$AA$1:$AB$25,2)</f>
        <v>4472</v>
      </c>
      <c r="H5183" s="0" t="n">
        <f aca="false">IF(C5183&gt;1,IF(C5183&lt;99,VLOOKUP(F5183,'MSA-Lookup'!$AA$1:$AB$25,2),C5183),C5183)</f>
        <v>4472</v>
      </c>
    </row>
    <row r="5184" customFormat="false" ht="12.75" hidden="false" customHeight="false" outlineLevel="0" collapsed="false">
      <c r="A5184" s="0" t="n">
        <f aca="false">B5184*1000+C5184</f>
        <v>71082</v>
      </c>
      <c r="B5184" s="0" t="n">
        <v>71</v>
      </c>
      <c r="C5184" s="0" t="n">
        <v>82</v>
      </c>
      <c r="D5184" s="0" t="n">
        <v>234</v>
      </c>
      <c r="E5184" s="0" t="n">
        <f aca="false">VLOOKUP(B5184,'MSA-Lookup'!$H$2:$I$86,2)</f>
        <v>6780</v>
      </c>
      <c r="F5184" s="0" t="n">
        <f aca="false">IF(C5184&gt;1,IF(C5184&lt;99,VLOOKUP(C5184,'MSA-Lookup'!$H$1:$I$86,2),C5184),C5184)</f>
        <v>6780</v>
      </c>
      <c r="G5184" s="0" t="n">
        <f aca="false">VLOOKUP(E5184,'MSA-Lookup'!$AA$1:$AB$25,2)</f>
        <v>4472</v>
      </c>
      <c r="H5184" s="0" t="n">
        <f aca="false">IF(C5184&gt;1,IF(C5184&lt;99,VLOOKUP(F5184,'MSA-Lookup'!$AA$1:$AB$25,2),C5184),C5184)</f>
        <v>4472</v>
      </c>
    </row>
    <row r="5185" customFormat="false" ht="12.75" hidden="false" customHeight="false" outlineLevel="0" collapsed="false">
      <c r="A5185" s="0" t="n">
        <f aca="false">B5185*1000+C5185</f>
        <v>71083</v>
      </c>
      <c r="B5185" s="0" t="n">
        <v>71</v>
      </c>
      <c r="C5185" s="0" t="n">
        <v>83</v>
      </c>
      <c r="D5185" s="0" t="n">
        <v>0</v>
      </c>
      <c r="E5185" s="0" t="n">
        <f aca="false">VLOOKUP(B5185,'MSA-Lookup'!$H$2:$I$86,2)</f>
        <v>6780</v>
      </c>
      <c r="F5185" s="0" t="n">
        <f aca="false">IF(C5185&gt;1,IF(C5185&lt;99,VLOOKUP(C5185,'MSA-Lookup'!$H$1:$I$86,2),C5185),C5185)</f>
        <v>6000</v>
      </c>
      <c r="G5185" s="0" t="n">
        <f aca="false">VLOOKUP(E5185,'MSA-Lookup'!$AA$1:$AB$25,2)</f>
        <v>4472</v>
      </c>
      <c r="H5185" s="0" t="n">
        <f aca="false">IF(C5185&gt;1,IF(C5185&lt;99,VLOOKUP(F5185,'MSA-Lookup'!$AA$1:$AB$25,2),C5185),C5185)</f>
        <v>4472</v>
      </c>
    </row>
    <row r="5186" customFormat="false" ht="12.75" hidden="false" customHeight="false" outlineLevel="0" collapsed="false">
      <c r="A5186" s="0" t="n">
        <f aca="false">B5186*1000+C5186</f>
        <v>71084</v>
      </c>
      <c r="B5186" s="0" t="n">
        <v>71</v>
      </c>
      <c r="C5186" s="0" t="n">
        <v>84</v>
      </c>
      <c r="D5186" s="0" t="n">
        <v>455</v>
      </c>
      <c r="E5186" s="0" t="n">
        <f aca="false">VLOOKUP(B5186,'MSA-Lookup'!$H$2:$I$86,2)</f>
        <v>6780</v>
      </c>
      <c r="F5186" s="0" t="n">
        <f aca="false">IF(C5186&gt;1,IF(C5186&lt;99,VLOOKUP(C5186,'MSA-Lookup'!$H$1:$I$86,2),C5186),C5186)</f>
        <v>360</v>
      </c>
      <c r="G5186" s="0" t="n">
        <f aca="false">VLOOKUP(E5186,'MSA-Lookup'!$AA$1:$AB$25,2)</f>
        <v>4472</v>
      </c>
      <c r="H5186" s="0" t="n">
        <f aca="false">IF(C5186&gt;1,IF(C5186&lt;99,VLOOKUP(F5186,'MSA-Lookup'!$AA$1:$AB$25,2),C5186),C5186)</f>
        <v>4472</v>
      </c>
    </row>
    <row r="5187" customFormat="false" ht="12.75" hidden="false" customHeight="false" outlineLevel="0" collapsed="false">
      <c r="A5187" s="0" t="n">
        <f aca="false">B5187*1000+C5187</f>
        <v>71085</v>
      </c>
      <c r="B5187" s="0" t="n">
        <v>71</v>
      </c>
      <c r="C5187" s="0" t="n">
        <v>85</v>
      </c>
      <c r="D5187" s="0" t="n">
        <v>0</v>
      </c>
      <c r="E5187" s="0" t="n">
        <f aca="false">VLOOKUP(B5187,'MSA-Lookup'!$H$2:$I$86,2)</f>
        <v>6780</v>
      </c>
      <c r="F5187" s="0" t="n">
        <f aca="false">IF(C5187&gt;1,IF(C5187&lt;99,VLOOKUP(C5187,'MSA-Lookup'!$H$1:$I$86,2),C5187),C5187)</f>
        <v>8120</v>
      </c>
      <c r="G5187" s="0" t="n">
        <f aca="false">VLOOKUP(E5187,'MSA-Lookup'!$AA$1:$AB$25,2)</f>
        <v>4472</v>
      </c>
      <c r="H5187" s="0" t="n">
        <f aca="false">IF(C5187&gt;1,IF(C5187&lt;99,VLOOKUP(F5187,'MSA-Lookup'!$AA$1:$AB$25,2),C5187),C5187)</f>
        <v>8120</v>
      </c>
    </row>
    <row r="5188" customFormat="false" ht="12.75" hidden="false" customHeight="false" outlineLevel="0" collapsed="false">
      <c r="A5188" s="0" t="n">
        <f aca="false">B5188*1000+C5188</f>
        <v>71858</v>
      </c>
      <c r="B5188" s="0" t="n">
        <v>71</v>
      </c>
      <c r="C5188" s="0" t="n">
        <v>858</v>
      </c>
      <c r="D5188" s="0" t="n">
        <v>0</v>
      </c>
      <c r="E5188" s="0" t="n">
        <f aca="false">VLOOKUP(B5188,'MSA-Lookup'!$H$2:$I$86,2)</f>
        <v>6780</v>
      </c>
      <c r="F5188" s="0" t="n">
        <f aca="false">IF(C5188&gt;1,IF(C5188&lt;99,VLOOKUP(C5188,'MSA-Lookup'!$H$1:$I$86,2),C5188),C5188)</f>
        <v>858</v>
      </c>
      <c r="G5188" s="0" t="n">
        <f aca="false">VLOOKUP(E5188,'MSA-Lookup'!$AA$1:$AB$25,2)</f>
        <v>4472</v>
      </c>
      <c r="H5188" s="0" t="n">
        <f aca="false">IF(C5188&gt;1,IF(C5188&lt;99,VLOOKUP(F5188,'MSA-Lookup'!$AA$1:$AB$25,2),C5188),C5188)</f>
        <v>858</v>
      </c>
    </row>
    <row r="5189" customFormat="false" ht="12.75" hidden="false" customHeight="false" outlineLevel="0" collapsed="false">
      <c r="A5189" s="0" t="n">
        <f aca="false">B5189*1000+C5189</f>
        <v>71983</v>
      </c>
      <c r="B5189" s="0" t="n">
        <v>71</v>
      </c>
      <c r="C5189" s="0" t="n">
        <v>983</v>
      </c>
      <c r="D5189" s="0" t="n">
        <v>0</v>
      </c>
      <c r="E5189" s="0" t="n">
        <f aca="false">VLOOKUP(B5189,'MSA-Lookup'!$H$2:$I$86,2)</f>
        <v>6780</v>
      </c>
      <c r="F5189" s="0" t="n">
        <f aca="false">IF(C5189&gt;1,IF(C5189&lt;99,VLOOKUP(C5189,'MSA-Lookup'!$H$1:$I$86,2),C5189),C5189)</f>
        <v>983</v>
      </c>
      <c r="G5189" s="0" t="n">
        <f aca="false">VLOOKUP(E5189,'MSA-Lookup'!$AA$1:$AB$25,2)</f>
        <v>4472</v>
      </c>
      <c r="H5189" s="0" t="n">
        <f aca="false">IF(C5189&gt;1,IF(C5189&lt;99,VLOOKUP(F5189,'MSA-Lookup'!$AA$1:$AB$25,2),C5189),C5189)</f>
        <v>983</v>
      </c>
    </row>
    <row r="5190" customFormat="false" ht="12.75" hidden="false" customHeight="false" outlineLevel="0" collapsed="false">
      <c r="A5190" s="0" t="n">
        <f aca="false">B5190*1000+C5190</f>
        <v>71999</v>
      </c>
      <c r="B5190" s="0" t="n">
        <v>71</v>
      </c>
      <c r="C5190" s="0" t="n">
        <v>999</v>
      </c>
      <c r="D5190" s="0" t="n">
        <v>0</v>
      </c>
      <c r="E5190" s="0" t="n">
        <f aca="false">VLOOKUP(B5190,'MSA-Lookup'!$H$2:$I$86,2)</f>
        <v>6780</v>
      </c>
      <c r="F5190" s="0" t="n">
        <f aca="false">IF(C5190&gt;1,IF(C5190&lt;99,VLOOKUP(C5190,'MSA-Lookup'!$H$1:$I$86,2),C5190),C5190)</f>
        <v>999</v>
      </c>
      <c r="G5190" s="0" t="n">
        <f aca="false">VLOOKUP(E5190,'MSA-Lookup'!$AA$1:$AB$25,2)</f>
        <v>4472</v>
      </c>
      <c r="H5190" s="0" t="n">
        <f aca="false">IF(C5190&gt;1,IF(C5190&lt;99,VLOOKUP(F5190,'MSA-Lookup'!$AA$1:$AB$25,2),C5190),C5190)</f>
        <v>999</v>
      </c>
    </row>
    <row r="5191" customFormat="false" ht="12.75" hidden="false" customHeight="false" outlineLevel="0" collapsed="false">
      <c r="A5191" s="0" t="n">
        <f aca="false">B5191*1000+C5191</f>
        <v>72000</v>
      </c>
      <c r="B5191" s="0" t="n">
        <v>72</v>
      </c>
      <c r="C5191" s="0" t="n">
        <v>0</v>
      </c>
      <c r="D5191" s="0" t="n">
        <v>595062</v>
      </c>
      <c r="E5191" s="0" t="n">
        <f aca="false">VLOOKUP(B5191,'MSA-Lookup'!$H$2:$I$86,2)</f>
        <v>6780</v>
      </c>
      <c r="F5191" s="0" t="n">
        <f aca="false">IF(C5191&gt;1,IF(C5191&lt;99,VLOOKUP(C5191,'MSA-Lookup'!$H$1:$I$86,2),C5191),C5191)</f>
        <v>0</v>
      </c>
      <c r="G5191" s="0" t="n">
        <f aca="false">VLOOKUP(E5191,'MSA-Lookup'!$AA$1:$AB$25,2)</f>
        <v>4472</v>
      </c>
      <c r="H5191" s="0" t="n">
        <f aca="false">IF(C5191&gt;1,IF(C5191&lt;99,VLOOKUP(F5191,'MSA-Lookup'!$AA$1:$AB$25,2),C5191),C5191)</f>
        <v>0</v>
      </c>
    </row>
    <row r="5192" customFormat="false" ht="12.75" hidden="false" customHeight="false" outlineLevel="0" collapsed="false">
      <c r="A5192" s="0" t="n">
        <f aca="false">B5192*1000+C5192</f>
        <v>72001</v>
      </c>
      <c r="B5192" s="0" t="n">
        <v>72</v>
      </c>
      <c r="C5192" s="0" t="n">
        <v>1</v>
      </c>
      <c r="D5192" s="0" t="n">
        <v>195</v>
      </c>
      <c r="E5192" s="0" t="n">
        <f aca="false">VLOOKUP(B5192,'MSA-Lookup'!$H$2:$I$86,2)</f>
        <v>6780</v>
      </c>
      <c r="F5192" s="0" t="n">
        <f aca="false">IF(C5192&gt;1,IF(C5192&lt;99,VLOOKUP(C5192,'MSA-Lookup'!$H$1:$I$86,2),C5192),C5192)</f>
        <v>1</v>
      </c>
      <c r="G5192" s="0" t="n">
        <f aca="false">VLOOKUP(E5192,'MSA-Lookup'!$AA$1:$AB$25,2)</f>
        <v>4472</v>
      </c>
      <c r="H5192" s="0" t="n">
        <f aca="false">IF(C5192&gt;1,IF(C5192&lt;99,VLOOKUP(F5192,'MSA-Lookup'!$AA$1:$AB$25,2),C5192),C5192)</f>
        <v>1</v>
      </c>
    </row>
    <row r="5193" customFormat="false" ht="12.75" hidden="false" customHeight="false" outlineLevel="0" collapsed="false">
      <c r="A5193" s="0" t="n">
        <f aca="false">B5193*1000+C5193</f>
        <v>72002</v>
      </c>
      <c r="B5193" s="0" t="n">
        <v>72</v>
      </c>
      <c r="C5193" s="0" t="n">
        <v>2</v>
      </c>
      <c r="D5193" s="0" t="n">
        <v>442</v>
      </c>
      <c r="E5193" s="0" t="n">
        <f aca="false">VLOOKUP(B5193,'MSA-Lookup'!$H$2:$I$86,2)</f>
        <v>6780</v>
      </c>
      <c r="F5193" s="0" t="n">
        <f aca="false">IF(C5193&gt;1,IF(C5193&lt;99,VLOOKUP(C5193,'MSA-Lookup'!$H$1:$I$86,2),C5193),C5193)</f>
        <v>9999</v>
      </c>
      <c r="G5193" s="0" t="n">
        <f aca="false">VLOOKUP(E5193,'MSA-Lookup'!$AA$1:$AB$25,2)</f>
        <v>4472</v>
      </c>
      <c r="H5193" s="0" t="n">
        <f aca="false">IF(C5193&gt;1,IF(C5193&lt;99,VLOOKUP(F5193,'MSA-Lookup'!$AA$1:$AB$25,2),C5193),C5193)</f>
        <v>9999</v>
      </c>
    </row>
    <row r="5194" customFormat="false" ht="12.75" hidden="false" customHeight="false" outlineLevel="0" collapsed="false">
      <c r="A5194" s="0" t="n">
        <f aca="false">B5194*1000+C5194</f>
        <v>72003</v>
      </c>
      <c r="B5194" s="0" t="n">
        <v>72</v>
      </c>
      <c r="C5194" s="0" t="n">
        <v>3</v>
      </c>
      <c r="D5194" s="0" t="n">
        <v>338</v>
      </c>
      <c r="E5194" s="0" t="n">
        <f aca="false">VLOOKUP(B5194,'MSA-Lookup'!$H$2:$I$86,2)</f>
        <v>6780</v>
      </c>
      <c r="F5194" s="0" t="n">
        <f aca="false">IF(C5194&gt;1,IF(C5194&lt;99,VLOOKUP(C5194,'MSA-Lookup'!$H$1:$I$86,2),C5194),C5194)</f>
        <v>6690</v>
      </c>
      <c r="G5194" s="0" t="n">
        <f aca="false">VLOOKUP(E5194,'MSA-Lookup'!$AA$1:$AB$25,2)</f>
        <v>4472</v>
      </c>
      <c r="H5194" s="0" t="n">
        <f aca="false">IF(C5194&gt;1,IF(C5194&lt;99,VLOOKUP(F5194,'MSA-Lookup'!$AA$1:$AB$25,2),C5194),C5194)</f>
        <v>6690</v>
      </c>
    </row>
    <row r="5195" customFormat="false" ht="12.75" hidden="false" customHeight="false" outlineLevel="0" collapsed="false">
      <c r="A5195" s="0" t="n">
        <f aca="false">B5195*1000+C5195</f>
        <v>72004</v>
      </c>
      <c r="B5195" s="0" t="n">
        <v>72</v>
      </c>
      <c r="C5195" s="0" t="n">
        <v>4</v>
      </c>
      <c r="D5195" s="0" t="n">
        <v>208</v>
      </c>
      <c r="E5195" s="0" t="n">
        <f aca="false">VLOOKUP(B5195,'MSA-Lookup'!$H$2:$I$86,2)</f>
        <v>6780</v>
      </c>
      <c r="F5195" s="0" t="n">
        <f aca="false">IF(C5195&gt;1,IF(C5195&lt;99,VLOOKUP(C5195,'MSA-Lookup'!$H$1:$I$86,2),C5195),C5195)</f>
        <v>9999</v>
      </c>
      <c r="G5195" s="0" t="n">
        <f aca="false">VLOOKUP(E5195,'MSA-Lookup'!$AA$1:$AB$25,2)</f>
        <v>4472</v>
      </c>
      <c r="H5195" s="0" t="n">
        <f aca="false">IF(C5195&gt;1,IF(C5195&lt;99,VLOOKUP(F5195,'MSA-Lookup'!$AA$1:$AB$25,2),C5195),C5195)</f>
        <v>9999</v>
      </c>
    </row>
    <row r="5196" customFormat="false" ht="12.75" hidden="false" customHeight="false" outlineLevel="0" collapsed="false">
      <c r="A5196" s="0" t="n">
        <f aca="false">B5196*1000+C5196</f>
        <v>72005</v>
      </c>
      <c r="B5196" s="0" t="n">
        <v>72</v>
      </c>
      <c r="C5196" s="0" t="n">
        <v>5</v>
      </c>
      <c r="D5196" s="0" t="n">
        <v>0</v>
      </c>
      <c r="E5196" s="0" t="n">
        <f aca="false">VLOOKUP(B5196,'MSA-Lookup'!$H$2:$I$86,2)</f>
        <v>6780</v>
      </c>
      <c r="F5196" s="0" t="n">
        <f aca="false">IF(C5196&gt;1,IF(C5196&lt;99,VLOOKUP(C5196,'MSA-Lookup'!$H$1:$I$86,2),C5196),C5196)</f>
        <v>9999</v>
      </c>
      <c r="G5196" s="0" t="n">
        <f aca="false">VLOOKUP(E5196,'MSA-Lookup'!$AA$1:$AB$25,2)</f>
        <v>4472</v>
      </c>
      <c r="H5196" s="0" t="n">
        <f aca="false">IF(C5196&gt;1,IF(C5196&lt;99,VLOOKUP(F5196,'MSA-Lookup'!$AA$1:$AB$25,2),C5196),C5196)</f>
        <v>9999</v>
      </c>
    </row>
    <row r="5197" customFormat="false" ht="12.75" hidden="false" customHeight="false" outlineLevel="0" collapsed="false">
      <c r="A5197" s="0" t="n">
        <f aca="false">B5197*1000+C5197</f>
        <v>72006</v>
      </c>
      <c r="B5197" s="0" t="n">
        <v>72</v>
      </c>
      <c r="C5197" s="0" t="n">
        <v>6</v>
      </c>
      <c r="D5197" s="0" t="n">
        <v>0</v>
      </c>
      <c r="E5197" s="0" t="n">
        <f aca="false">VLOOKUP(B5197,'MSA-Lookup'!$H$2:$I$86,2)</f>
        <v>6780</v>
      </c>
      <c r="F5197" s="0" t="n">
        <f aca="false">IF(C5197&gt;1,IF(C5197&lt;99,VLOOKUP(C5197,'MSA-Lookup'!$H$1:$I$86,2),C5197),C5197)</f>
        <v>1620</v>
      </c>
      <c r="G5197" s="0" t="n">
        <f aca="false">VLOOKUP(E5197,'MSA-Lookup'!$AA$1:$AB$25,2)</f>
        <v>4472</v>
      </c>
      <c r="H5197" s="0" t="n">
        <f aca="false">IF(C5197&gt;1,IF(C5197&lt;99,VLOOKUP(F5197,'MSA-Lookup'!$AA$1:$AB$25,2),C5197),C5197)</f>
        <v>1620</v>
      </c>
    </row>
    <row r="5198" customFormat="false" ht="12.75" hidden="false" customHeight="false" outlineLevel="0" collapsed="false">
      <c r="A5198" s="0" t="n">
        <f aca="false">B5198*1000+C5198</f>
        <v>72007</v>
      </c>
      <c r="B5198" s="0" t="n">
        <v>72</v>
      </c>
      <c r="C5198" s="0" t="n">
        <v>7</v>
      </c>
      <c r="D5198" s="0" t="n">
        <v>0</v>
      </c>
      <c r="E5198" s="0" t="n">
        <f aca="false">VLOOKUP(B5198,'MSA-Lookup'!$H$2:$I$86,2)</f>
        <v>6780</v>
      </c>
      <c r="F5198" s="0" t="n">
        <f aca="false">IF(C5198&gt;1,IF(C5198&lt;99,VLOOKUP(C5198,'MSA-Lookup'!$H$1:$I$86,2),C5198),C5198)</f>
        <v>9999</v>
      </c>
      <c r="G5198" s="0" t="n">
        <f aca="false">VLOOKUP(E5198,'MSA-Lookup'!$AA$1:$AB$25,2)</f>
        <v>4472</v>
      </c>
      <c r="H5198" s="0" t="n">
        <f aca="false">IF(C5198&gt;1,IF(C5198&lt;99,VLOOKUP(F5198,'MSA-Lookup'!$AA$1:$AB$25,2),C5198),C5198)</f>
        <v>9999</v>
      </c>
    </row>
    <row r="5199" customFormat="false" ht="12.75" hidden="false" customHeight="false" outlineLevel="0" collapsed="false">
      <c r="A5199" s="0" t="n">
        <f aca="false">B5199*1000+C5199</f>
        <v>72008</v>
      </c>
      <c r="B5199" s="0" t="n">
        <v>72</v>
      </c>
      <c r="C5199" s="0" t="n">
        <v>8</v>
      </c>
      <c r="D5199" s="0" t="n">
        <v>0</v>
      </c>
      <c r="E5199" s="0" t="n">
        <f aca="false">VLOOKUP(B5199,'MSA-Lookup'!$H$2:$I$86,2)</f>
        <v>6780</v>
      </c>
      <c r="F5199" s="0" t="n">
        <f aca="false">IF(C5199&gt;1,IF(C5199&lt;99,VLOOKUP(C5199,'MSA-Lookup'!$H$1:$I$86,2),C5199),C5199)</f>
        <v>9340</v>
      </c>
      <c r="G5199" s="0" t="n">
        <f aca="false">VLOOKUP(E5199,'MSA-Lookup'!$AA$1:$AB$25,2)</f>
        <v>4472</v>
      </c>
      <c r="H5199" s="0" t="n">
        <f aca="false">IF(C5199&gt;1,IF(C5199&lt;99,VLOOKUP(F5199,'MSA-Lookup'!$AA$1:$AB$25,2),C5199),C5199)</f>
        <v>9340</v>
      </c>
    </row>
    <row r="5200" customFormat="false" ht="12.75" hidden="false" customHeight="false" outlineLevel="0" collapsed="false">
      <c r="A5200" s="0" t="n">
        <f aca="false">B5200*1000+C5200</f>
        <v>72009</v>
      </c>
      <c r="B5200" s="0" t="n">
        <v>72</v>
      </c>
      <c r="C5200" s="0" t="n">
        <v>9</v>
      </c>
      <c r="D5200" s="0" t="n">
        <v>0</v>
      </c>
      <c r="E5200" s="0" t="n">
        <f aca="false">VLOOKUP(B5200,'MSA-Lookup'!$H$2:$I$86,2)</f>
        <v>6780</v>
      </c>
      <c r="F5200" s="0" t="n">
        <f aca="false">IF(C5200&gt;1,IF(C5200&lt;99,VLOOKUP(C5200,'MSA-Lookup'!$H$1:$I$86,2),C5200),C5200)</f>
        <v>8720</v>
      </c>
      <c r="G5200" s="0" t="n">
        <f aca="false">VLOOKUP(E5200,'MSA-Lookup'!$AA$1:$AB$25,2)</f>
        <v>4472</v>
      </c>
      <c r="H5200" s="0" t="n">
        <f aca="false">IF(C5200&gt;1,IF(C5200&lt;99,VLOOKUP(F5200,'MSA-Lookup'!$AA$1:$AB$25,2),C5200),C5200)</f>
        <v>7362</v>
      </c>
    </row>
    <row r="5201" customFormat="false" ht="12.75" hidden="false" customHeight="false" outlineLevel="0" collapsed="false">
      <c r="A5201" s="0" t="n">
        <f aca="false">B5201*1000+C5201</f>
        <v>72010</v>
      </c>
      <c r="B5201" s="0" t="n">
        <v>72</v>
      </c>
      <c r="C5201" s="0" t="n">
        <v>10</v>
      </c>
      <c r="D5201" s="0" t="n">
        <v>104</v>
      </c>
      <c r="E5201" s="0" t="n">
        <f aca="false">VLOOKUP(B5201,'MSA-Lookup'!$H$2:$I$86,2)</f>
        <v>6780</v>
      </c>
      <c r="F5201" s="0" t="n">
        <f aca="false">IF(C5201&gt;1,IF(C5201&lt;99,VLOOKUP(C5201,'MSA-Lookup'!$H$1:$I$86,2),C5201),C5201)</f>
        <v>6920</v>
      </c>
      <c r="G5201" s="0" t="n">
        <f aca="false">VLOOKUP(E5201,'MSA-Lookup'!$AA$1:$AB$25,2)</f>
        <v>4472</v>
      </c>
      <c r="H5201" s="0" t="n">
        <f aca="false">IF(C5201&gt;1,IF(C5201&lt;99,VLOOKUP(F5201,'MSA-Lookup'!$AA$1:$AB$25,2),C5201),C5201)</f>
        <v>6920</v>
      </c>
    </row>
    <row r="5202" customFormat="false" ht="12.75" hidden="false" customHeight="false" outlineLevel="0" collapsed="false">
      <c r="A5202" s="0" t="n">
        <f aca="false">B5202*1000+C5202</f>
        <v>72011</v>
      </c>
      <c r="B5202" s="0" t="n">
        <v>72</v>
      </c>
      <c r="C5202" s="0" t="n">
        <v>11</v>
      </c>
      <c r="D5202" s="0" t="n">
        <v>78</v>
      </c>
      <c r="E5202" s="0" t="n">
        <f aca="false">VLOOKUP(B5202,'MSA-Lookup'!$H$2:$I$86,2)</f>
        <v>6780</v>
      </c>
      <c r="F5202" s="0" t="n">
        <f aca="false">IF(C5202&gt;1,IF(C5202&lt;99,VLOOKUP(C5202,'MSA-Lookup'!$H$1:$I$86,2),C5202),C5202)</f>
        <v>6920</v>
      </c>
      <c r="G5202" s="0" t="n">
        <f aca="false">VLOOKUP(E5202,'MSA-Lookup'!$AA$1:$AB$25,2)</f>
        <v>4472</v>
      </c>
      <c r="H5202" s="0" t="n">
        <f aca="false">IF(C5202&gt;1,IF(C5202&lt;99,VLOOKUP(F5202,'MSA-Lookup'!$AA$1:$AB$25,2),C5202),C5202)</f>
        <v>6920</v>
      </c>
    </row>
    <row r="5203" customFormat="false" ht="12.75" hidden="false" customHeight="false" outlineLevel="0" collapsed="false">
      <c r="A5203" s="0" t="n">
        <f aca="false">B5203*1000+C5203</f>
        <v>72012</v>
      </c>
      <c r="B5203" s="0" t="n">
        <v>72</v>
      </c>
      <c r="C5203" s="0" t="n">
        <v>12</v>
      </c>
      <c r="D5203" s="0" t="n">
        <v>260</v>
      </c>
      <c r="E5203" s="0" t="n">
        <f aca="false">VLOOKUP(B5203,'MSA-Lookup'!$H$2:$I$86,2)</f>
        <v>6780</v>
      </c>
      <c r="F5203" s="0" t="n">
        <f aca="false">IF(C5203&gt;1,IF(C5203&lt;99,VLOOKUP(C5203,'MSA-Lookup'!$H$1:$I$86,2),C5203),C5203)</f>
        <v>6920</v>
      </c>
      <c r="G5203" s="0" t="n">
        <f aca="false">VLOOKUP(E5203,'MSA-Lookup'!$AA$1:$AB$25,2)</f>
        <v>4472</v>
      </c>
      <c r="H5203" s="0" t="n">
        <f aca="false">IF(C5203&gt;1,IF(C5203&lt;99,VLOOKUP(F5203,'MSA-Lookup'!$AA$1:$AB$25,2),C5203),C5203)</f>
        <v>6920</v>
      </c>
    </row>
    <row r="5204" customFormat="false" ht="12.75" hidden="false" customHeight="false" outlineLevel="0" collapsed="false">
      <c r="A5204" s="0" t="n">
        <f aca="false">B5204*1000+C5204</f>
        <v>72013</v>
      </c>
      <c r="B5204" s="0" t="n">
        <v>72</v>
      </c>
      <c r="C5204" s="0" t="n">
        <v>13</v>
      </c>
      <c r="D5204" s="0" t="n">
        <v>0</v>
      </c>
      <c r="E5204" s="0" t="n">
        <f aca="false">VLOOKUP(B5204,'MSA-Lookup'!$H$2:$I$86,2)</f>
        <v>6780</v>
      </c>
      <c r="F5204" s="0" t="n">
        <f aca="false">IF(C5204&gt;1,IF(C5204&lt;99,VLOOKUP(C5204,'MSA-Lookup'!$H$1:$I$86,2),C5204),C5204)</f>
        <v>7500</v>
      </c>
      <c r="G5204" s="0" t="n">
        <f aca="false">VLOOKUP(E5204,'MSA-Lookup'!$AA$1:$AB$25,2)</f>
        <v>4472</v>
      </c>
      <c r="H5204" s="0" t="n">
        <f aca="false">IF(C5204&gt;1,IF(C5204&lt;99,VLOOKUP(F5204,'MSA-Lookup'!$AA$1:$AB$25,2),C5204),C5204)</f>
        <v>7362</v>
      </c>
    </row>
    <row r="5205" customFormat="false" ht="12.75" hidden="false" customHeight="false" outlineLevel="0" collapsed="false">
      <c r="A5205" s="0" t="n">
        <f aca="false">B5205*1000+C5205</f>
        <v>72014</v>
      </c>
      <c r="B5205" s="0" t="n">
        <v>72</v>
      </c>
      <c r="C5205" s="0" t="n">
        <v>14</v>
      </c>
      <c r="D5205" s="0" t="n">
        <v>117</v>
      </c>
      <c r="E5205" s="0" t="n">
        <f aca="false">VLOOKUP(B5205,'MSA-Lookup'!$H$2:$I$86,2)</f>
        <v>6780</v>
      </c>
      <c r="F5205" s="0" t="n">
        <f aca="false">IF(C5205&gt;1,IF(C5205&lt;99,VLOOKUP(C5205,'MSA-Lookup'!$H$1:$I$86,2),C5205),C5205)</f>
        <v>7500</v>
      </c>
      <c r="G5205" s="0" t="n">
        <f aca="false">VLOOKUP(E5205,'MSA-Lookup'!$AA$1:$AB$25,2)</f>
        <v>4472</v>
      </c>
      <c r="H5205" s="0" t="n">
        <f aca="false">IF(C5205&gt;1,IF(C5205&lt;99,VLOOKUP(F5205,'MSA-Lookup'!$AA$1:$AB$25,2),C5205),C5205)</f>
        <v>7362</v>
      </c>
    </row>
    <row r="5206" customFormat="false" ht="12.75" hidden="false" customHeight="false" outlineLevel="0" collapsed="false">
      <c r="A5206" s="0" t="n">
        <f aca="false">B5206*1000+C5206</f>
        <v>72015</v>
      </c>
      <c r="B5206" s="0" t="n">
        <v>72</v>
      </c>
      <c r="C5206" s="0" t="n">
        <v>15</v>
      </c>
      <c r="D5206" s="0" t="n">
        <v>0</v>
      </c>
      <c r="E5206" s="0" t="n">
        <f aca="false">VLOOKUP(B5206,'MSA-Lookup'!$H$2:$I$86,2)</f>
        <v>6780</v>
      </c>
      <c r="F5206" s="0" t="n">
        <f aca="false">IF(C5206&gt;1,IF(C5206&lt;99,VLOOKUP(C5206,'MSA-Lookup'!$H$1:$I$86,2),C5206),C5206)</f>
        <v>7360</v>
      </c>
      <c r="G5206" s="0" t="n">
        <f aca="false">VLOOKUP(E5206,'MSA-Lookup'!$AA$1:$AB$25,2)</f>
        <v>4472</v>
      </c>
      <c r="H5206" s="0" t="n">
        <f aca="false">IF(C5206&gt;1,IF(C5206&lt;99,VLOOKUP(F5206,'MSA-Lookup'!$AA$1:$AB$25,2),C5206),C5206)</f>
        <v>7362</v>
      </c>
    </row>
    <row r="5207" customFormat="false" ht="12.75" hidden="false" customHeight="false" outlineLevel="0" collapsed="false">
      <c r="A5207" s="0" t="n">
        <f aca="false">B5207*1000+C5207</f>
        <v>72016</v>
      </c>
      <c r="B5207" s="0" t="n">
        <v>72</v>
      </c>
      <c r="C5207" s="0" t="n">
        <v>16</v>
      </c>
      <c r="D5207" s="0" t="n">
        <v>0</v>
      </c>
      <c r="E5207" s="0" t="n">
        <f aca="false">VLOOKUP(B5207,'MSA-Lookup'!$H$2:$I$86,2)</f>
        <v>6780</v>
      </c>
      <c r="F5207" s="0" t="n">
        <f aca="false">IF(C5207&gt;1,IF(C5207&lt;99,VLOOKUP(C5207,'MSA-Lookup'!$H$1:$I$86,2),C5207),C5207)</f>
        <v>8720</v>
      </c>
      <c r="G5207" s="0" t="n">
        <f aca="false">VLOOKUP(E5207,'MSA-Lookup'!$AA$1:$AB$25,2)</f>
        <v>4472</v>
      </c>
      <c r="H5207" s="0" t="n">
        <f aca="false">IF(C5207&gt;1,IF(C5207&lt;99,VLOOKUP(F5207,'MSA-Lookup'!$AA$1:$AB$25,2),C5207),C5207)</f>
        <v>7362</v>
      </c>
    </row>
    <row r="5208" customFormat="false" ht="12.75" hidden="false" customHeight="false" outlineLevel="0" collapsed="false">
      <c r="A5208" s="0" t="n">
        <f aca="false">B5208*1000+C5208</f>
        <v>72017</v>
      </c>
      <c r="B5208" s="0" t="n">
        <v>72</v>
      </c>
      <c r="C5208" s="0" t="n">
        <v>17</v>
      </c>
      <c r="D5208" s="0" t="n">
        <v>0</v>
      </c>
      <c r="E5208" s="0" t="n">
        <f aca="false">VLOOKUP(B5208,'MSA-Lookup'!$H$2:$I$86,2)</f>
        <v>6780</v>
      </c>
      <c r="F5208" s="0" t="n">
        <f aca="false">IF(C5208&gt;1,IF(C5208&lt;99,VLOOKUP(C5208,'MSA-Lookup'!$H$1:$I$86,2),C5208),C5208)</f>
        <v>5775</v>
      </c>
      <c r="G5208" s="0" t="n">
        <f aca="false">VLOOKUP(E5208,'MSA-Lookup'!$AA$1:$AB$25,2)</f>
        <v>4472</v>
      </c>
      <c r="H5208" s="0" t="n">
        <f aca="false">IF(C5208&gt;1,IF(C5208&lt;99,VLOOKUP(F5208,'MSA-Lookup'!$AA$1:$AB$25,2),C5208),C5208)</f>
        <v>7362</v>
      </c>
    </row>
    <row r="5209" customFormat="false" ht="12.75" hidden="false" customHeight="false" outlineLevel="0" collapsed="false">
      <c r="A5209" s="0" t="n">
        <f aca="false">B5209*1000+C5209</f>
        <v>72018</v>
      </c>
      <c r="B5209" s="0" t="n">
        <v>72</v>
      </c>
      <c r="C5209" s="0" t="n">
        <v>18</v>
      </c>
      <c r="D5209" s="0" t="n">
        <v>52</v>
      </c>
      <c r="E5209" s="0" t="n">
        <f aca="false">VLOOKUP(B5209,'MSA-Lookup'!$H$2:$I$86,2)</f>
        <v>6780</v>
      </c>
      <c r="F5209" s="0" t="n">
        <f aca="false">IF(C5209&gt;1,IF(C5209&lt;99,VLOOKUP(C5209,'MSA-Lookup'!$H$1:$I$86,2),C5209),C5209)</f>
        <v>5775</v>
      </c>
      <c r="G5209" s="0" t="n">
        <f aca="false">VLOOKUP(E5209,'MSA-Lookup'!$AA$1:$AB$25,2)</f>
        <v>4472</v>
      </c>
      <c r="H5209" s="0" t="n">
        <f aca="false">IF(C5209&gt;1,IF(C5209&lt;99,VLOOKUP(F5209,'MSA-Lookup'!$AA$1:$AB$25,2),C5209),C5209)</f>
        <v>7362</v>
      </c>
    </row>
    <row r="5210" customFormat="false" ht="12.75" hidden="false" customHeight="false" outlineLevel="0" collapsed="false">
      <c r="A5210" s="0" t="n">
        <f aca="false">B5210*1000+C5210</f>
        <v>72019</v>
      </c>
      <c r="B5210" s="0" t="n">
        <v>72</v>
      </c>
      <c r="C5210" s="0" t="n">
        <v>19</v>
      </c>
      <c r="D5210" s="0" t="n">
        <v>26</v>
      </c>
      <c r="E5210" s="0" t="n">
        <f aca="false">VLOOKUP(B5210,'MSA-Lookup'!$H$2:$I$86,2)</f>
        <v>6780</v>
      </c>
      <c r="F5210" s="0" t="n">
        <f aca="false">IF(C5210&gt;1,IF(C5210&lt;99,VLOOKUP(C5210,'MSA-Lookup'!$H$1:$I$86,2),C5210),C5210)</f>
        <v>7360</v>
      </c>
      <c r="G5210" s="0" t="n">
        <f aca="false">VLOOKUP(E5210,'MSA-Lookup'!$AA$1:$AB$25,2)</f>
        <v>4472</v>
      </c>
      <c r="H5210" s="0" t="n">
        <f aca="false">IF(C5210&gt;1,IF(C5210&lt;99,VLOOKUP(F5210,'MSA-Lookup'!$AA$1:$AB$25,2),C5210),C5210)</f>
        <v>7362</v>
      </c>
    </row>
    <row r="5211" customFormat="false" ht="12.75" hidden="false" customHeight="false" outlineLevel="0" collapsed="false">
      <c r="A5211" s="0" t="n">
        <f aca="false">B5211*1000+C5211</f>
        <v>72020</v>
      </c>
      <c r="B5211" s="0" t="n">
        <v>72</v>
      </c>
      <c r="C5211" s="0" t="n">
        <v>20</v>
      </c>
      <c r="D5211" s="0" t="n">
        <v>0</v>
      </c>
      <c r="E5211" s="0" t="n">
        <f aca="false">VLOOKUP(B5211,'MSA-Lookup'!$H$2:$I$86,2)</f>
        <v>6780</v>
      </c>
      <c r="F5211" s="0" t="n">
        <f aca="false">IF(C5211&gt;1,IF(C5211&lt;99,VLOOKUP(C5211,'MSA-Lookup'!$H$1:$I$86,2),C5211),C5211)</f>
        <v>5775</v>
      </c>
      <c r="G5211" s="0" t="n">
        <f aca="false">VLOOKUP(E5211,'MSA-Lookup'!$AA$1:$AB$25,2)</f>
        <v>4472</v>
      </c>
      <c r="H5211" s="0" t="n">
        <f aca="false">IF(C5211&gt;1,IF(C5211&lt;99,VLOOKUP(F5211,'MSA-Lookup'!$AA$1:$AB$25,2),C5211),C5211)</f>
        <v>7362</v>
      </c>
    </row>
    <row r="5212" customFormat="false" ht="12.75" hidden="false" customHeight="false" outlineLevel="0" collapsed="false">
      <c r="A5212" s="0" t="n">
        <f aca="false">B5212*1000+C5212</f>
        <v>72021</v>
      </c>
      <c r="B5212" s="0" t="n">
        <v>72</v>
      </c>
      <c r="C5212" s="0" t="n">
        <v>21</v>
      </c>
      <c r="D5212" s="0" t="n">
        <v>78</v>
      </c>
      <c r="E5212" s="0" t="n">
        <f aca="false">VLOOKUP(B5212,'MSA-Lookup'!$H$2:$I$86,2)</f>
        <v>6780</v>
      </c>
      <c r="F5212" s="0" t="n">
        <f aca="false">IF(C5212&gt;1,IF(C5212&lt;99,VLOOKUP(C5212,'MSA-Lookup'!$H$1:$I$86,2),C5212),C5212)</f>
        <v>5775</v>
      </c>
      <c r="G5212" s="0" t="n">
        <f aca="false">VLOOKUP(E5212,'MSA-Lookup'!$AA$1:$AB$25,2)</f>
        <v>4472</v>
      </c>
      <c r="H5212" s="0" t="n">
        <f aca="false">IF(C5212&gt;1,IF(C5212&lt;99,VLOOKUP(F5212,'MSA-Lookup'!$AA$1:$AB$25,2),C5212),C5212)</f>
        <v>7362</v>
      </c>
    </row>
    <row r="5213" customFormat="false" ht="12.75" hidden="false" customHeight="false" outlineLevel="0" collapsed="false">
      <c r="A5213" s="0" t="n">
        <f aca="false">B5213*1000+C5213</f>
        <v>72022</v>
      </c>
      <c r="B5213" s="0" t="n">
        <v>72</v>
      </c>
      <c r="C5213" s="0" t="n">
        <v>22</v>
      </c>
      <c r="D5213" s="0" t="n">
        <v>0</v>
      </c>
      <c r="E5213" s="0" t="n">
        <f aca="false">VLOOKUP(B5213,'MSA-Lookup'!$H$2:$I$86,2)</f>
        <v>6780</v>
      </c>
      <c r="F5213" s="0" t="n">
        <f aca="false">IF(C5213&gt;1,IF(C5213&lt;99,VLOOKUP(C5213,'MSA-Lookup'!$H$1:$I$86,2),C5213),C5213)</f>
        <v>7360</v>
      </c>
      <c r="G5213" s="0" t="n">
        <f aca="false">VLOOKUP(E5213,'MSA-Lookup'!$AA$1:$AB$25,2)</f>
        <v>4472</v>
      </c>
      <c r="H5213" s="0" t="n">
        <f aca="false">IF(C5213&gt;1,IF(C5213&lt;99,VLOOKUP(F5213,'MSA-Lookup'!$AA$1:$AB$25,2),C5213),C5213)</f>
        <v>7362</v>
      </c>
    </row>
    <row r="5214" customFormat="false" ht="12.75" hidden="false" customHeight="false" outlineLevel="0" collapsed="false">
      <c r="A5214" s="0" t="n">
        <f aca="false">B5214*1000+C5214</f>
        <v>72023</v>
      </c>
      <c r="B5214" s="0" t="n">
        <v>72</v>
      </c>
      <c r="C5214" s="0" t="n">
        <v>23</v>
      </c>
      <c r="D5214" s="0" t="n">
        <v>0</v>
      </c>
      <c r="E5214" s="0" t="n">
        <f aca="false">VLOOKUP(B5214,'MSA-Lookup'!$H$2:$I$86,2)</f>
        <v>6780</v>
      </c>
      <c r="F5214" s="0" t="n">
        <f aca="false">IF(C5214&gt;1,IF(C5214&lt;99,VLOOKUP(C5214,'MSA-Lookup'!$H$1:$I$86,2),C5214),C5214)</f>
        <v>8120</v>
      </c>
      <c r="G5214" s="0" t="n">
        <f aca="false">VLOOKUP(E5214,'MSA-Lookup'!$AA$1:$AB$25,2)</f>
        <v>4472</v>
      </c>
      <c r="H5214" s="0" t="n">
        <f aca="false">IF(C5214&gt;1,IF(C5214&lt;99,VLOOKUP(F5214,'MSA-Lookup'!$AA$1:$AB$25,2),C5214),C5214)</f>
        <v>8120</v>
      </c>
    </row>
    <row r="5215" customFormat="false" ht="12.75" hidden="false" customHeight="false" outlineLevel="0" collapsed="false">
      <c r="A5215" s="0" t="n">
        <f aca="false">B5215*1000+C5215</f>
        <v>72024</v>
      </c>
      <c r="B5215" s="0" t="n">
        <v>72</v>
      </c>
      <c r="C5215" s="0" t="n">
        <v>24</v>
      </c>
      <c r="D5215" s="0" t="n">
        <v>65</v>
      </c>
      <c r="E5215" s="0" t="n">
        <f aca="false">VLOOKUP(B5215,'MSA-Lookup'!$H$2:$I$86,2)</f>
        <v>6780</v>
      </c>
      <c r="F5215" s="0" t="n">
        <f aca="false">IF(C5215&gt;1,IF(C5215&lt;99,VLOOKUP(C5215,'MSA-Lookup'!$H$1:$I$86,2),C5215),C5215)</f>
        <v>5170</v>
      </c>
      <c r="G5215" s="0" t="n">
        <f aca="false">VLOOKUP(E5215,'MSA-Lookup'!$AA$1:$AB$25,2)</f>
        <v>4472</v>
      </c>
      <c r="H5215" s="0" t="n">
        <f aca="false">IF(C5215&gt;1,IF(C5215&lt;99,VLOOKUP(F5215,'MSA-Lookup'!$AA$1:$AB$25,2),C5215),C5215)</f>
        <v>5170</v>
      </c>
    </row>
    <row r="5216" customFormat="false" ht="12.75" hidden="false" customHeight="false" outlineLevel="0" collapsed="false">
      <c r="A5216" s="0" t="n">
        <f aca="false">B5216*1000+C5216</f>
        <v>72025</v>
      </c>
      <c r="B5216" s="0" t="n">
        <v>72</v>
      </c>
      <c r="C5216" s="0" t="n">
        <v>25</v>
      </c>
      <c r="D5216" s="0" t="n">
        <v>0</v>
      </c>
      <c r="E5216" s="0" t="n">
        <f aca="false">VLOOKUP(B5216,'MSA-Lookup'!$H$2:$I$86,2)</f>
        <v>6780</v>
      </c>
      <c r="F5216" s="0" t="n">
        <f aca="false">IF(C5216&gt;1,IF(C5216&lt;99,VLOOKUP(C5216,'MSA-Lookup'!$H$1:$I$86,2),C5216),C5216)</f>
        <v>5170</v>
      </c>
      <c r="G5216" s="0" t="n">
        <f aca="false">VLOOKUP(E5216,'MSA-Lookup'!$AA$1:$AB$25,2)</f>
        <v>4472</v>
      </c>
      <c r="H5216" s="0" t="n">
        <f aca="false">IF(C5216&gt;1,IF(C5216&lt;99,VLOOKUP(F5216,'MSA-Lookup'!$AA$1:$AB$25,2),C5216),C5216)</f>
        <v>5170</v>
      </c>
    </row>
    <row r="5217" customFormat="false" ht="12.75" hidden="false" customHeight="false" outlineLevel="0" collapsed="false">
      <c r="A5217" s="0" t="n">
        <f aca="false">B5217*1000+C5217</f>
        <v>72026</v>
      </c>
      <c r="B5217" s="0" t="n">
        <v>72</v>
      </c>
      <c r="C5217" s="0" t="n">
        <v>26</v>
      </c>
      <c r="D5217" s="0" t="n">
        <v>0</v>
      </c>
      <c r="E5217" s="0" t="n">
        <f aca="false">VLOOKUP(B5217,'MSA-Lookup'!$H$2:$I$86,2)</f>
        <v>6780</v>
      </c>
      <c r="F5217" s="0" t="n">
        <f aca="false">IF(C5217&gt;1,IF(C5217&lt;99,VLOOKUP(C5217,'MSA-Lookup'!$H$1:$I$86,2),C5217),C5217)</f>
        <v>9999</v>
      </c>
      <c r="G5217" s="0" t="n">
        <f aca="false">VLOOKUP(E5217,'MSA-Lookup'!$AA$1:$AB$25,2)</f>
        <v>4472</v>
      </c>
      <c r="H5217" s="0" t="n">
        <f aca="false">IF(C5217&gt;1,IF(C5217&lt;99,VLOOKUP(F5217,'MSA-Lookup'!$AA$1:$AB$25,2),C5217),C5217)</f>
        <v>9999</v>
      </c>
    </row>
    <row r="5218" customFormat="false" ht="12.75" hidden="false" customHeight="false" outlineLevel="0" collapsed="false">
      <c r="A5218" s="0" t="n">
        <f aca="false">B5218*1000+C5218</f>
        <v>72027</v>
      </c>
      <c r="B5218" s="0" t="n">
        <v>72</v>
      </c>
      <c r="C5218" s="0" t="n">
        <v>27</v>
      </c>
      <c r="D5218" s="0" t="n">
        <v>0</v>
      </c>
      <c r="E5218" s="0" t="n">
        <f aca="false">VLOOKUP(B5218,'MSA-Lookup'!$H$2:$I$86,2)</f>
        <v>6780</v>
      </c>
      <c r="F5218" s="0" t="n">
        <f aca="false">IF(C5218&gt;1,IF(C5218&lt;99,VLOOKUP(C5218,'MSA-Lookup'!$H$1:$I$86,2),C5218),C5218)</f>
        <v>9999</v>
      </c>
      <c r="G5218" s="0" t="n">
        <f aca="false">VLOOKUP(E5218,'MSA-Lookup'!$AA$1:$AB$25,2)</f>
        <v>4472</v>
      </c>
      <c r="H5218" s="0" t="n">
        <f aca="false">IF(C5218&gt;1,IF(C5218&lt;99,VLOOKUP(F5218,'MSA-Lookup'!$AA$1:$AB$25,2),C5218),C5218)</f>
        <v>9999</v>
      </c>
    </row>
    <row r="5219" customFormat="false" ht="12.75" hidden="false" customHeight="false" outlineLevel="0" collapsed="false">
      <c r="A5219" s="0" t="n">
        <f aca="false">B5219*1000+C5219</f>
        <v>72028</v>
      </c>
      <c r="B5219" s="0" t="n">
        <v>72</v>
      </c>
      <c r="C5219" s="0" t="n">
        <v>28</v>
      </c>
      <c r="D5219" s="0" t="n">
        <v>0</v>
      </c>
      <c r="E5219" s="0" t="n">
        <f aca="false">VLOOKUP(B5219,'MSA-Lookup'!$H$2:$I$86,2)</f>
        <v>6780</v>
      </c>
      <c r="F5219" s="0" t="n">
        <f aca="false">IF(C5219&gt;1,IF(C5219&lt;99,VLOOKUP(C5219,'MSA-Lookup'!$H$1:$I$86,2),C5219),C5219)</f>
        <v>6920</v>
      </c>
      <c r="G5219" s="0" t="n">
        <f aca="false">VLOOKUP(E5219,'MSA-Lookup'!$AA$1:$AB$25,2)</f>
        <v>4472</v>
      </c>
      <c r="H5219" s="0" t="n">
        <f aca="false">IF(C5219&gt;1,IF(C5219&lt;99,VLOOKUP(F5219,'MSA-Lookup'!$AA$1:$AB$25,2),C5219),C5219)</f>
        <v>6920</v>
      </c>
    </row>
    <row r="5220" customFormat="false" ht="12.75" hidden="false" customHeight="false" outlineLevel="0" collapsed="false">
      <c r="A5220" s="0" t="n">
        <f aca="false">B5220*1000+C5220</f>
        <v>72029</v>
      </c>
      <c r="B5220" s="0" t="n">
        <v>72</v>
      </c>
      <c r="C5220" s="0" t="n">
        <v>29</v>
      </c>
      <c r="D5220" s="0" t="n">
        <v>0</v>
      </c>
      <c r="E5220" s="0" t="n">
        <f aca="false">VLOOKUP(B5220,'MSA-Lookup'!$H$2:$I$86,2)</f>
        <v>6780</v>
      </c>
      <c r="F5220" s="0" t="n">
        <f aca="false">IF(C5220&gt;1,IF(C5220&lt;99,VLOOKUP(C5220,'MSA-Lookup'!$H$1:$I$86,2),C5220),C5220)</f>
        <v>6920</v>
      </c>
      <c r="G5220" s="0" t="n">
        <f aca="false">VLOOKUP(E5220,'MSA-Lookup'!$AA$1:$AB$25,2)</f>
        <v>4472</v>
      </c>
      <c r="H5220" s="0" t="n">
        <f aca="false">IF(C5220&gt;1,IF(C5220&lt;99,VLOOKUP(F5220,'MSA-Lookup'!$AA$1:$AB$25,2),C5220),C5220)</f>
        <v>6920</v>
      </c>
    </row>
    <row r="5221" customFormat="false" ht="12.75" hidden="false" customHeight="false" outlineLevel="0" collapsed="false">
      <c r="A5221" s="0" t="n">
        <f aca="false">B5221*1000+C5221</f>
        <v>72030</v>
      </c>
      <c r="B5221" s="0" t="n">
        <v>72</v>
      </c>
      <c r="C5221" s="0" t="n">
        <v>30</v>
      </c>
      <c r="D5221" s="0" t="n">
        <v>117</v>
      </c>
      <c r="E5221" s="0" t="n">
        <f aca="false">VLOOKUP(B5221,'MSA-Lookup'!$H$2:$I$86,2)</f>
        <v>6780</v>
      </c>
      <c r="F5221" s="0" t="n">
        <f aca="false">IF(C5221&gt;1,IF(C5221&lt;99,VLOOKUP(C5221,'MSA-Lookup'!$H$1:$I$86,2),C5221),C5221)</f>
        <v>4940</v>
      </c>
      <c r="G5221" s="0" t="n">
        <f aca="false">VLOOKUP(E5221,'MSA-Lookup'!$AA$1:$AB$25,2)</f>
        <v>4472</v>
      </c>
      <c r="H5221" s="0" t="n">
        <f aca="false">IF(C5221&gt;1,IF(C5221&lt;99,VLOOKUP(F5221,'MSA-Lookup'!$AA$1:$AB$25,2),C5221),C5221)</f>
        <v>4940</v>
      </c>
    </row>
    <row r="5222" customFormat="false" ht="12.75" hidden="false" customHeight="false" outlineLevel="0" collapsed="false">
      <c r="A5222" s="0" t="n">
        <f aca="false">B5222*1000+C5222</f>
        <v>72031</v>
      </c>
      <c r="B5222" s="0" t="n">
        <v>72</v>
      </c>
      <c r="C5222" s="0" t="n">
        <v>31</v>
      </c>
      <c r="D5222" s="0" t="n">
        <v>0</v>
      </c>
      <c r="E5222" s="0" t="n">
        <f aca="false">VLOOKUP(B5222,'MSA-Lookup'!$H$2:$I$86,2)</f>
        <v>6780</v>
      </c>
      <c r="F5222" s="0" t="n">
        <f aca="false">IF(C5222&gt;1,IF(C5222&lt;99,VLOOKUP(C5222,'MSA-Lookup'!$H$1:$I$86,2),C5222),C5222)</f>
        <v>9999</v>
      </c>
      <c r="G5222" s="0" t="n">
        <f aca="false">VLOOKUP(E5222,'MSA-Lookup'!$AA$1:$AB$25,2)</f>
        <v>4472</v>
      </c>
      <c r="H5222" s="0" t="n">
        <f aca="false">IF(C5222&gt;1,IF(C5222&lt;99,VLOOKUP(F5222,'MSA-Lookup'!$AA$1:$AB$25,2),C5222),C5222)</f>
        <v>9999</v>
      </c>
    </row>
    <row r="5223" customFormat="false" ht="12.75" hidden="false" customHeight="false" outlineLevel="0" collapsed="false">
      <c r="A5223" s="0" t="n">
        <f aca="false">B5223*1000+C5223</f>
        <v>72032</v>
      </c>
      <c r="B5223" s="0" t="n">
        <v>72</v>
      </c>
      <c r="C5223" s="0" t="n">
        <v>32</v>
      </c>
      <c r="D5223" s="0" t="n">
        <v>221</v>
      </c>
      <c r="E5223" s="0" t="n">
        <f aca="false">VLOOKUP(B5223,'MSA-Lookup'!$H$2:$I$86,2)</f>
        <v>6780</v>
      </c>
      <c r="F5223" s="0" t="n">
        <f aca="false">IF(C5223&gt;1,IF(C5223&lt;99,VLOOKUP(C5223,'MSA-Lookup'!$H$1:$I$86,2),C5223),C5223)</f>
        <v>7480</v>
      </c>
      <c r="G5223" s="0" t="n">
        <f aca="false">VLOOKUP(E5223,'MSA-Lookup'!$AA$1:$AB$25,2)</f>
        <v>4472</v>
      </c>
      <c r="H5223" s="0" t="n">
        <f aca="false">IF(C5223&gt;1,IF(C5223&lt;99,VLOOKUP(F5223,'MSA-Lookup'!$AA$1:$AB$25,2),C5223),C5223)</f>
        <v>7480</v>
      </c>
    </row>
    <row r="5224" customFormat="false" ht="12.75" hidden="false" customHeight="false" outlineLevel="0" collapsed="false">
      <c r="A5224" s="0" t="n">
        <f aca="false">B5224*1000+C5224</f>
        <v>72033</v>
      </c>
      <c r="B5224" s="0" t="n">
        <v>72</v>
      </c>
      <c r="C5224" s="0" t="n">
        <v>33</v>
      </c>
      <c r="D5224" s="0" t="n">
        <v>273</v>
      </c>
      <c r="E5224" s="0" t="n">
        <f aca="false">VLOOKUP(B5224,'MSA-Lookup'!$H$2:$I$86,2)</f>
        <v>6780</v>
      </c>
      <c r="F5224" s="0" t="n">
        <f aca="false">IF(C5224&gt;1,IF(C5224&lt;99,VLOOKUP(C5224,'MSA-Lookup'!$H$1:$I$86,2),C5224),C5224)</f>
        <v>7320</v>
      </c>
      <c r="G5224" s="0" t="n">
        <f aca="false">VLOOKUP(E5224,'MSA-Lookup'!$AA$1:$AB$25,2)</f>
        <v>4472</v>
      </c>
      <c r="H5224" s="0" t="n">
        <f aca="false">IF(C5224&gt;1,IF(C5224&lt;99,VLOOKUP(F5224,'MSA-Lookup'!$AA$1:$AB$25,2),C5224),C5224)</f>
        <v>7320</v>
      </c>
    </row>
    <row r="5225" customFormat="false" ht="12.75" hidden="false" customHeight="false" outlineLevel="0" collapsed="false">
      <c r="A5225" s="0" t="n">
        <f aca="false">B5225*1000+C5225</f>
        <v>72034</v>
      </c>
      <c r="B5225" s="0" t="n">
        <v>72</v>
      </c>
      <c r="C5225" s="0" t="n">
        <v>34</v>
      </c>
      <c r="D5225" s="0" t="n">
        <v>0</v>
      </c>
      <c r="E5225" s="0" t="n">
        <f aca="false">VLOOKUP(B5225,'MSA-Lookup'!$H$2:$I$86,2)</f>
        <v>6780</v>
      </c>
      <c r="F5225" s="0" t="n">
        <f aca="false">IF(C5225&gt;1,IF(C5225&lt;99,VLOOKUP(C5225,'MSA-Lookup'!$H$1:$I$86,2),C5225),C5225)</f>
        <v>7320</v>
      </c>
      <c r="G5225" s="0" t="n">
        <f aca="false">VLOOKUP(E5225,'MSA-Lookup'!$AA$1:$AB$25,2)</f>
        <v>4472</v>
      </c>
      <c r="H5225" s="0" t="n">
        <f aca="false">IF(C5225&gt;1,IF(C5225&lt;99,VLOOKUP(F5225,'MSA-Lookup'!$AA$1:$AB$25,2),C5225),C5225)</f>
        <v>7320</v>
      </c>
    </row>
    <row r="5226" customFormat="false" ht="12.75" hidden="false" customHeight="false" outlineLevel="0" collapsed="false">
      <c r="A5226" s="0" t="n">
        <f aca="false">B5226*1000+C5226</f>
        <v>72035</v>
      </c>
      <c r="B5226" s="0" t="n">
        <v>72</v>
      </c>
      <c r="C5226" s="0" t="n">
        <v>35</v>
      </c>
      <c r="D5226" s="0" t="n">
        <v>0</v>
      </c>
      <c r="E5226" s="0" t="n">
        <f aca="false">VLOOKUP(B5226,'MSA-Lookup'!$H$2:$I$86,2)</f>
        <v>6780</v>
      </c>
      <c r="F5226" s="0" t="n">
        <f aca="false">IF(C5226&gt;1,IF(C5226&lt;99,VLOOKUP(C5226,'MSA-Lookup'!$H$1:$I$86,2),C5226),C5226)</f>
        <v>7320</v>
      </c>
      <c r="G5226" s="0" t="n">
        <f aca="false">VLOOKUP(E5226,'MSA-Lookup'!$AA$1:$AB$25,2)</f>
        <v>4472</v>
      </c>
      <c r="H5226" s="0" t="n">
        <f aca="false">IF(C5226&gt;1,IF(C5226&lt;99,VLOOKUP(F5226,'MSA-Lookup'!$AA$1:$AB$25,2),C5226),C5226)</f>
        <v>7320</v>
      </c>
    </row>
    <row r="5227" customFormat="false" ht="12.75" hidden="false" customHeight="false" outlineLevel="0" collapsed="false">
      <c r="A5227" s="0" t="n">
        <f aca="false">B5227*1000+C5227</f>
        <v>72036</v>
      </c>
      <c r="B5227" s="0" t="n">
        <v>72</v>
      </c>
      <c r="C5227" s="0" t="n">
        <v>36</v>
      </c>
      <c r="D5227" s="0" t="n">
        <v>351</v>
      </c>
      <c r="E5227" s="0" t="n">
        <f aca="false">VLOOKUP(B5227,'MSA-Lookup'!$H$2:$I$86,2)</f>
        <v>6780</v>
      </c>
      <c r="F5227" s="0" t="n">
        <f aca="false">IF(C5227&gt;1,IF(C5227&lt;99,VLOOKUP(C5227,'MSA-Lookup'!$H$1:$I$86,2),C5227),C5227)</f>
        <v>7320</v>
      </c>
      <c r="G5227" s="0" t="n">
        <f aca="false">VLOOKUP(E5227,'MSA-Lookup'!$AA$1:$AB$25,2)</f>
        <v>4472</v>
      </c>
      <c r="H5227" s="0" t="n">
        <f aca="false">IF(C5227&gt;1,IF(C5227&lt;99,VLOOKUP(F5227,'MSA-Lookup'!$AA$1:$AB$25,2),C5227),C5227)</f>
        <v>7320</v>
      </c>
    </row>
    <row r="5228" customFormat="false" ht="12.75" hidden="false" customHeight="false" outlineLevel="0" collapsed="false">
      <c r="A5228" s="0" t="n">
        <f aca="false">B5228*1000+C5228</f>
        <v>72037</v>
      </c>
      <c r="B5228" s="0" t="n">
        <v>72</v>
      </c>
      <c r="C5228" s="0" t="n">
        <v>37</v>
      </c>
      <c r="D5228" s="0" t="n">
        <v>91</v>
      </c>
      <c r="E5228" s="0" t="n">
        <f aca="false">VLOOKUP(B5228,'MSA-Lookup'!$H$2:$I$86,2)</f>
        <v>6780</v>
      </c>
      <c r="F5228" s="0" t="n">
        <f aca="false">IF(C5228&gt;1,IF(C5228&lt;99,VLOOKUP(C5228,'MSA-Lookup'!$H$1:$I$86,2),C5228),C5228)</f>
        <v>7320</v>
      </c>
      <c r="G5228" s="0" t="n">
        <f aca="false">VLOOKUP(E5228,'MSA-Lookup'!$AA$1:$AB$25,2)</f>
        <v>4472</v>
      </c>
      <c r="H5228" s="0" t="n">
        <f aca="false">IF(C5228&gt;1,IF(C5228&lt;99,VLOOKUP(F5228,'MSA-Lookup'!$AA$1:$AB$25,2),C5228),C5228)</f>
        <v>7320</v>
      </c>
    </row>
    <row r="5229" customFormat="false" ht="12.75" hidden="false" customHeight="false" outlineLevel="0" collapsed="false">
      <c r="A5229" s="0" t="n">
        <f aca="false">B5229*1000+C5229</f>
        <v>72038</v>
      </c>
      <c r="B5229" s="0" t="n">
        <v>72</v>
      </c>
      <c r="C5229" s="0" t="n">
        <v>38</v>
      </c>
      <c r="D5229" s="0" t="n">
        <v>0</v>
      </c>
      <c r="E5229" s="0" t="n">
        <f aca="false">VLOOKUP(B5229,'MSA-Lookup'!$H$2:$I$86,2)</f>
        <v>6780</v>
      </c>
      <c r="F5229" s="0" t="n">
        <f aca="false">IF(C5229&gt;1,IF(C5229&lt;99,VLOOKUP(C5229,'MSA-Lookup'!$H$1:$I$86,2),C5229),C5229)</f>
        <v>7120</v>
      </c>
      <c r="G5229" s="0" t="n">
        <f aca="false">VLOOKUP(E5229,'MSA-Lookup'!$AA$1:$AB$25,2)</f>
        <v>4472</v>
      </c>
      <c r="H5229" s="0" t="n">
        <f aca="false">IF(C5229&gt;1,IF(C5229&lt;99,VLOOKUP(F5229,'MSA-Lookup'!$AA$1:$AB$25,2),C5229),C5229)</f>
        <v>7120</v>
      </c>
    </row>
    <row r="5230" customFormat="false" ht="12.75" hidden="false" customHeight="false" outlineLevel="0" collapsed="false">
      <c r="A5230" s="0" t="n">
        <f aca="false">B5230*1000+C5230</f>
        <v>72039</v>
      </c>
      <c r="B5230" s="0" t="n">
        <v>72</v>
      </c>
      <c r="C5230" s="0" t="n">
        <v>39</v>
      </c>
      <c r="D5230" s="0" t="n">
        <v>208</v>
      </c>
      <c r="E5230" s="0" t="n">
        <f aca="false">VLOOKUP(B5230,'MSA-Lookup'!$H$2:$I$86,2)</f>
        <v>6780</v>
      </c>
      <c r="F5230" s="0" t="n">
        <f aca="false">IF(C5230&gt;1,IF(C5230&lt;99,VLOOKUP(C5230,'MSA-Lookup'!$H$1:$I$86,2),C5230),C5230)</f>
        <v>7120</v>
      </c>
      <c r="G5230" s="0" t="n">
        <f aca="false">VLOOKUP(E5230,'MSA-Lookup'!$AA$1:$AB$25,2)</f>
        <v>4472</v>
      </c>
      <c r="H5230" s="0" t="n">
        <f aca="false">IF(C5230&gt;1,IF(C5230&lt;99,VLOOKUP(F5230,'MSA-Lookup'!$AA$1:$AB$25,2),C5230),C5230)</f>
        <v>7120</v>
      </c>
    </row>
    <row r="5231" customFormat="false" ht="12.75" hidden="false" customHeight="false" outlineLevel="0" collapsed="false">
      <c r="A5231" s="0" t="n">
        <f aca="false">B5231*1000+C5231</f>
        <v>72040</v>
      </c>
      <c r="B5231" s="0" t="n">
        <v>72</v>
      </c>
      <c r="C5231" s="0" t="n">
        <v>40</v>
      </c>
      <c r="D5231" s="0" t="n">
        <v>0</v>
      </c>
      <c r="E5231" s="0" t="n">
        <f aca="false">VLOOKUP(B5231,'MSA-Lookup'!$H$2:$I$86,2)</f>
        <v>6780</v>
      </c>
      <c r="F5231" s="0" t="n">
        <f aca="false">IF(C5231&gt;1,IF(C5231&lt;99,VLOOKUP(C5231,'MSA-Lookup'!$H$1:$I$86,2),C5231),C5231)</f>
        <v>2840</v>
      </c>
      <c r="G5231" s="0" t="n">
        <f aca="false">VLOOKUP(E5231,'MSA-Lookup'!$AA$1:$AB$25,2)</f>
        <v>4472</v>
      </c>
      <c r="H5231" s="0" t="n">
        <f aca="false">IF(C5231&gt;1,IF(C5231&lt;99,VLOOKUP(F5231,'MSA-Lookup'!$AA$1:$AB$25,2),C5231),C5231)</f>
        <v>2840</v>
      </c>
    </row>
    <row r="5232" customFormat="false" ht="12.75" hidden="false" customHeight="false" outlineLevel="0" collapsed="false">
      <c r="A5232" s="0" t="n">
        <f aca="false">B5232*1000+C5232</f>
        <v>72041</v>
      </c>
      <c r="B5232" s="0" t="n">
        <v>72</v>
      </c>
      <c r="C5232" s="0" t="n">
        <v>41</v>
      </c>
      <c r="D5232" s="0" t="n">
        <v>0</v>
      </c>
      <c r="E5232" s="0" t="n">
        <f aca="false">VLOOKUP(B5232,'MSA-Lookup'!$H$2:$I$86,2)</f>
        <v>6780</v>
      </c>
      <c r="F5232" s="0" t="n">
        <f aca="false">IF(C5232&gt;1,IF(C5232&lt;99,VLOOKUP(C5232,'MSA-Lookup'!$H$1:$I$86,2),C5232),C5232)</f>
        <v>2840</v>
      </c>
      <c r="G5232" s="0" t="n">
        <f aca="false">VLOOKUP(E5232,'MSA-Lookup'!$AA$1:$AB$25,2)</f>
        <v>4472</v>
      </c>
      <c r="H5232" s="0" t="n">
        <f aca="false">IF(C5232&gt;1,IF(C5232&lt;99,VLOOKUP(F5232,'MSA-Lookup'!$AA$1:$AB$25,2),C5232),C5232)</f>
        <v>2840</v>
      </c>
    </row>
    <row r="5233" customFormat="false" ht="12.75" hidden="false" customHeight="false" outlineLevel="0" collapsed="false">
      <c r="A5233" s="0" t="n">
        <f aca="false">B5233*1000+C5233</f>
        <v>72042</v>
      </c>
      <c r="B5233" s="0" t="n">
        <v>72</v>
      </c>
      <c r="C5233" s="0" t="n">
        <v>42</v>
      </c>
      <c r="D5233" s="0" t="n">
        <v>1521</v>
      </c>
      <c r="E5233" s="0" t="n">
        <f aca="false">VLOOKUP(B5233,'MSA-Lookup'!$H$2:$I$86,2)</f>
        <v>6780</v>
      </c>
      <c r="F5233" s="0" t="n">
        <f aca="false">IF(C5233&gt;1,IF(C5233&lt;99,VLOOKUP(C5233,'MSA-Lookup'!$H$1:$I$86,2),C5233),C5233)</f>
        <v>360</v>
      </c>
      <c r="G5233" s="0" t="n">
        <f aca="false">VLOOKUP(E5233,'MSA-Lookup'!$AA$1:$AB$25,2)</f>
        <v>4472</v>
      </c>
      <c r="H5233" s="0" t="n">
        <f aca="false">IF(C5233&gt;1,IF(C5233&lt;99,VLOOKUP(F5233,'MSA-Lookup'!$AA$1:$AB$25,2),C5233),C5233)</f>
        <v>4472</v>
      </c>
    </row>
    <row r="5234" customFormat="false" ht="12.75" hidden="false" customHeight="false" outlineLevel="0" collapsed="false">
      <c r="A5234" s="0" t="n">
        <f aca="false">B5234*1000+C5234</f>
        <v>72043</v>
      </c>
      <c r="B5234" s="0" t="n">
        <v>72</v>
      </c>
      <c r="C5234" s="0" t="n">
        <v>43</v>
      </c>
      <c r="D5234" s="0" t="n">
        <v>351</v>
      </c>
      <c r="E5234" s="0" t="n">
        <f aca="false">VLOOKUP(B5234,'MSA-Lookup'!$H$2:$I$86,2)</f>
        <v>6780</v>
      </c>
      <c r="F5234" s="0" t="n">
        <f aca="false">IF(C5234&gt;1,IF(C5234&lt;99,VLOOKUP(C5234,'MSA-Lookup'!$H$1:$I$86,2),C5234),C5234)</f>
        <v>360</v>
      </c>
      <c r="G5234" s="0" t="n">
        <f aca="false">VLOOKUP(E5234,'MSA-Lookup'!$AA$1:$AB$25,2)</f>
        <v>4472</v>
      </c>
      <c r="H5234" s="0" t="n">
        <f aca="false">IF(C5234&gt;1,IF(C5234&lt;99,VLOOKUP(F5234,'MSA-Lookup'!$AA$1:$AB$25,2),C5234),C5234)</f>
        <v>4472</v>
      </c>
    </row>
    <row r="5235" customFormat="false" ht="12.75" hidden="false" customHeight="false" outlineLevel="0" collapsed="false">
      <c r="A5235" s="0" t="n">
        <f aca="false">B5235*1000+C5235</f>
        <v>72044</v>
      </c>
      <c r="B5235" s="0" t="n">
        <v>72</v>
      </c>
      <c r="C5235" s="0" t="n">
        <v>44</v>
      </c>
      <c r="D5235" s="0" t="n">
        <v>403</v>
      </c>
      <c r="E5235" s="0" t="n">
        <f aca="false">VLOOKUP(B5235,'MSA-Lookup'!$H$2:$I$86,2)</f>
        <v>6780</v>
      </c>
      <c r="F5235" s="0" t="n">
        <f aca="false">IF(C5235&gt;1,IF(C5235&lt;99,VLOOKUP(C5235,'MSA-Lookup'!$H$1:$I$86,2),C5235),C5235)</f>
        <v>360</v>
      </c>
      <c r="G5235" s="0" t="n">
        <f aca="false">VLOOKUP(E5235,'MSA-Lookup'!$AA$1:$AB$25,2)</f>
        <v>4472</v>
      </c>
      <c r="H5235" s="0" t="n">
        <f aca="false">IF(C5235&gt;1,IF(C5235&lt;99,VLOOKUP(F5235,'MSA-Lookup'!$AA$1:$AB$25,2),C5235),C5235)</f>
        <v>4472</v>
      </c>
    </row>
    <row r="5236" customFormat="false" ht="12.75" hidden="false" customHeight="false" outlineLevel="0" collapsed="false">
      <c r="A5236" s="0" t="n">
        <f aca="false">B5236*1000+C5236</f>
        <v>72045</v>
      </c>
      <c r="B5236" s="0" t="n">
        <v>72</v>
      </c>
      <c r="C5236" s="0" t="n">
        <v>45</v>
      </c>
      <c r="D5236" s="0" t="n">
        <v>0</v>
      </c>
      <c r="E5236" s="0" t="n">
        <f aca="false">VLOOKUP(B5236,'MSA-Lookup'!$H$2:$I$86,2)</f>
        <v>6780</v>
      </c>
      <c r="F5236" s="0" t="n">
        <f aca="false">IF(C5236&gt;1,IF(C5236&lt;99,VLOOKUP(C5236,'MSA-Lookup'!$H$1:$I$86,2),C5236),C5236)</f>
        <v>360</v>
      </c>
      <c r="G5236" s="0" t="n">
        <f aca="false">VLOOKUP(E5236,'MSA-Lookup'!$AA$1:$AB$25,2)</f>
        <v>4472</v>
      </c>
      <c r="H5236" s="0" t="n">
        <f aca="false">IF(C5236&gt;1,IF(C5236&lt;99,VLOOKUP(F5236,'MSA-Lookup'!$AA$1:$AB$25,2),C5236),C5236)</f>
        <v>4472</v>
      </c>
    </row>
    <row r="5237" customFormat="false" ht="12.75" hidden="false" customHeight="false" outlineLevel="0" collapsed="false">
      <c r="A5237" s="0" t="n">
        <f aca="false">B5237*1000+C5237</f>
        <v>72046</v>
      </c>
      <c r="B5237" s="0" t="n">
        <v>72</v>
      </c>
      <c r="C5237" s="0" t="n">
        <v>46</v>
      </c>
      <c r="D5237" s="0" t="n">
        <v>767</v>
      </c>
      <c r="E5237" s="0" t="n">
        <f aca="false">VLOOKUP(B5237,'MSA-Lookup'!$H$2:$I$86,2)</f>
        <v>6780</v>
      </c>
      <c r="F5237" s="0" t="n">
        <f aca="false">IF(C5237&gt;1,IF(C5237&lt;99,VLOOKUP(C5237,'MSA-Lookup'!$H$1:$I$86,2),C5237),C5237)</f>
        <v>360</v>
      </c>
      <c r="G5237" s="0" t="n">
        <f aca="false">VLOOKUP(E5237,'MSA-Lookup'!$AA$1:$AB$25,2)</f>
        <v>4472</v>
      </c>
      <c r="H5237" s="0" t="n">
        <f aca="false">IF(C5237&gt;1,IF(C5237&lt;99,VLOOKUP(F5237,'MSA-Lookup'!$AA$1:$AB$25,2),C5237),C5237)</f>
        <v>4472</v>
      </c>
    </row>
    <row r="5238" customFormat="false" ht="12.75" hidden="false" customHeight="false" outlineLevel="0" collapsed="false">
      <c r="A5238" s="0" t="n">
        <f aca="false">B5238*1000+C5238</f>
        <v>72047</v>
      </c>
      <c r="B5238" s="0" t="n">
        <v>72</v>
      </c>
      <c r="C5238" s="0" t="n">
        <v>47</v>
      </c>
      <c r="D5238" s="0" t="n">
        <v>247</v>
      </c>
      <c r="E5238" s="0" t="n">
        <f aca="false">VLOOKUP(B5238,'MSA-Lookup'!$H$2:$I$86,2)</f>
        <v>6780</v>
      </c>
      <c r="F5238" s="0" t="n">
        <f aca="false">IF(C5238&gt;1,IF(C5238&lt;99,VLOOKUP(C5238,'MSA-Lookup'!$H$1:$I$86,2),C5238),C5238)</f>
        <v>360</v>
      </c>
      <c r="G5238" s="0" t="n">
        <f aca="false">VLOOKUP(E5238,'MSA-Lookup'!$AA$1:$AB$25,2)</f>
        <v>4472</v>
      </c>
      <c r="H5238" s="0" t="n">
        <f aca="false">IF(C5238&gt;1,IF(C5238&lt;99,VLOOKUP(F5238,'MSA-Lookup'!$AA$1:$AB$25,2),C5238),C5238)</f>
        <v>4472</v>
      </c>
    </row>
    <row r="5239" customFormat="false" ht="12.75" hidden="false" customHeight="false" outlineLevel="0" collapsed="false">
      <c r="A5239" s="0" t="n">
        <f aca="false">B5239*1000+C5239</f>
        <v>72048</v>
      </c>
      <c r="B5239" s="0" t="n">
        <v>72</v>
      </c>
      <c r="C5239" s="0" t="n">
        <v>48</v>
      </c>
      <c r="D5239" s="0" t="n">
        <v>13858</v>
      </c>
      <c r="E5239" s="0" t="n">
        <f aca="false">VLOOKUP(B5239,'MSA-Lookup'!$H$2:$I$86,2)</f>
        <v>6780</v>
      </c>
      <c r="F5239" s="0" t="n">
        <f aca="false">IF(C5239&gt;1,IF(C5239&lt;99,VLOOKUP(C5239,'MSA-Lookup'!$H$1:$I$86,2),C5239),C5239)</f>
        <v>360</v>
      </c>
      <c r="G5239" s="0" t="n">
        <f aca="false">VLOOKUP(E5239,'MSA-Lookup'!$AA$1:$AB$25,2)</f>
        <v>4472</v>
      </c>
      <c r="H5239" s="0" t="n">
        <f aca="false">IF(C5239&gt;1,IF(C5239&lt;99,VLOOKUP(F5239,'MSA-Lookup'!$AA$1:$AB$25,2),C5239),C5239)</f>
        <v>4472</v>
      </c>
    </row>
    <row r="5240" customFormat="false" ht="12.75" hidden="false" customHeight="false" outlineLevel="0" collapsed="false">
      <c r="A5240" s="0" t="n">
        <f aca="false">B5240*1000+C5240</f>
        <v>72049</v>
      </c>
      <c r="B5240" s="0" t="n">
        <v>72</v>
      </c>
      <c r="C5240" s="0" t="n">
        <v>49</v>
      </c>
      <c r="D5240" s="0" t="n">
        <v>65</v>
      </c>
      <c r="E5240" s="0" t="n">
        <f aca="false">VLOOKUP(B5240,'MSA-Lookup'!$H$2:$I$86,2)</f>
        <v>6780</v>
      </c>
      <c r="F5240" s="0" t="n">
        <f aca="false">IF(C5240&gt;1,IF(C5240&lt;99,VLOOKUP(C5240,'MSA-Lookup'!$H$1:$I$86,2),C5240),C5240)</f>
        <v>7400</v>
      </c>
      <c r="G5240" s="0" t="n">
        <f aca="false">VLOOKUP(E5240,'MSA-Lookup'!$AA$1:$AB$25,2)</f>
        <v>4472</v>
      </c>
      <c r="H5240" s="0" t="n">
        <f aca="false">IF(C5240&gt;1,IF(C5240&lt;99,VLOOKUP(F5240,'MSA-Lookup'!$AA$1:$AB$25,2),C5240),C5240)</f>
        <v>7362</v>
      </c>
    </row>
    <row r="5241" customFormat="false" ht="12.75" hidden="false" customHeight="false" outlineLevel="0" collapsed="false">
      <c r="A5241" s="0" t="n">
        <f aca="false">B5241*1000+C5241</f>
        <v>72050</v>
      </c>
      <c r="B5241" s="0" t="n">
        <v>72</v>
      </c>
      <c r="C5241" s="0" t="n">
        <v>50</v>
      </c>
      <c r="D5241" s="0" t="n">
        <v>0</v>
      </c>
      <c r="E5241" s="0" t="n">
        <f aca="false">VLOOKUP(B5241,'MSA-Lookup'!$H$2:$I$86,2)</f>
        <v>6780</v>
      </c>
      <c r="F5241" s="0" t="n">
        <f aca="false">IF(C5241&gt;1,IF(C5241&lt;99,VLOOKUP(C5241,'MSA-Lookup'!$H$1:$I$86,2),C5241),C5241)</f>
        <v>7400</v>
      </c>
      <c r="G5241" s="0" t="n">
        <f aca="false">VLOOKUP(E5241,'MSA-Lookup'!$AA$1:$AB$25,2)</f>
        <v>4472</v>
      </c>
      <c r="H5241" s="0" t="n">
        <f aca="false">IF(C5241&gt;1,IF(C5241&lt;99,VLOOKUP(F5241,'MSA-Lookup'!$AA$1:$AB$25,2),C5241),C5241)</f>
        <v>7362</v>
      </c>
    </row>
    <row r="5242" customFormat="false" ht="12.75" hidden="false" customHeight="false" outlineLevel="0" collapsed="false">
      <c r="A5242" s="0" t="n">
        <f aca="false">B5242*1000+C5242</f>
        <v>72051</v>
      </c>
      <c r="B5242" s="0" t="n">
        <v>72</v>
      </c>
      <c r="C5242" s="0" t="n">
        <v>51</v>
      </c>
      <c r="D5242" s="0" t="n">
        <v>0</v>
      </c>
      <c r="E5242" s="0" t="n">
        <f aca="false">VLOOKUP(B5242,'MSA-Lookup'!$H$2:$I$86,2)</f>
        <v>6780</v>
      </c>
      <c r="F5242" s="0" t="n">
        <f aca="false">IF(C5242&gt;1,IF(C5242&lt;99,VLOOKUP(C5242,'MSA-Lookup'!$H$1:$I$86,2),C5242),C5242)</f>
        <v>7400</v>
      </c>
      <c r="G5242" s="0" t="n">
        <f aca="false">VLOOKUP(E5242,'MSA-Lookup'!$AA$1:$AB$25,2)</f>
        <v>4472</v>
      </c>
      <c r="H5242" s="0" t="n">
        <f aca="false">IF(C5242&gt;1,IF(C5242&lt;99,VLOOKUP(F5242,'MSA-Lookup'!$AA$1:$AB$25,2),C5242),C5242)</f>
        <v>7362</v>
      </c>
    </row>
    <row r="5243" customFormat="false" ht="12.75" hidden="false" customHeight="false" outlineLevel="0" collapsed="false">
      <c r="A5243" s="0" t="n">
        <f aca="false">B5243*1000+C5243</f>
        <v>72052</v>
      </c>
      <c r="B5243" s="0" t="n">
        <v>72</v>
      </c>
      <c r="C5243" s="0" t="n">
        <v>52</v>
      </c>
      <c r="D5243" s="0" t="n">
        <v>793</v>
      </c>
      <c r="E5243" s="0" t="n">
        <f aca="false">VLOOKUP(B5243,'MSA-Lookup'!$H$2:$I$86,2)</f>
        <v>6780</v>
      </c>
      <c r="F5243" s="0" t="n">
        <f aca="false">IF(C5243&gt;1,IF(C5243&lt;99,VLOOKUP(C5243,'MSA-Lookup'!$H$1:$I$86,2),C5243),C5243)</f>
        <v>4480</v>
      </c>
      <c r="G5243" s="0" t="n">
        <f aca="false">VLOOKUP(E5243,'MSA-Lookup'!$AA$1:$AB$25,2)</f>
        <v>4472</v>
      </c>
      <c r="H5243" s="0" t="n">
        <f aca="false">IF(C5243&gt;1,IF(C5243&lt;99,VLOOKUP(F5243,'MSA-Lookup'!$AA$1:$AB$25,2),C5243),C5243)</f>
        <v>4472</v>
      </c>
    </row>
    <row r="5244" customFormat="false" ht="12.75" hidden="false" customHeight="false" outlineLevel="0" collapsed="false">
      <c r="A5244" s="0" t="n">
        <f aca="false">B5244*1000+C5244</f>
        <v>72053</v>
      </c>
      <c r="B5244" s="0" t="n">
        <v>72</v>
      </c>
      <c r="C5244" s="0" t="n">
        <v>53</v>
      </c>
      <c r="D5244" s="0" t="n">
        <v>1625</v>
      </c>
      <c r="E5244" s="0" t="n">
        <f aca="false">VLOOKUP(B5244,'MSA-Lookup'!$H$2:$I$86,2)</f>
        <v>6780</v>
      </c>
      <c r="F5244" s="0" t="n">
        <f aca="false">IF(C5244&gt;1,IF(C5244&lt;99,VLOOKUP(C5244,'MSA-Lookup'!$H$1:$I$86,2),C5244),C5244)</f>
        <v>4480</v>
      </c>
      <c r="G5244" s="0" t="n">
        <f aca="false">VLOOKUP(E5244,'MSA-Lookup'!$AA$1:$AB$25,2)</f>
        <v>4472</v>
      </c>
      <c r="H5244" s="0" t="n">
        <f aca="false">IF(C5244&gt;1,IF(C5244&lt;99,VLOOKUP(F5244,'MSA-Lookup'!$AA$1:$AB$25,2),C5244),C5244)</f>
        <v>4472</v>
      </c>
    </row>
    <row r="5245" customFormat="false" ht="12.75" hidden="false" customHeight="false" outlineLevel="0" collapsed="false">
      <c r="A5245" s="0" t="n">
        <f aca="false">B5245*1000+C5245</f>
        <v>72054</v>
      </c>
      <c r="B5245" s="0" t="n">
        <v>72</v>
      </c>
      <c r="C5245" s="0" t="n">
        <v>54</v>
      </c>
      <c r="D5245" s="0" t="n">
        <v>1820</v>
      </c>
      <c r="E5245" s="0" t="n">
        <f aca="false">VLOOKUP(B5245,'MSA-Lookup'!$H$2:$I$86,2)</f>
        <v>6780</v>
      </c>
      <c r="F5245" s="0" t="n">
        <f aca="false">IF(C5245&gt;1,IF(C5245&lt;99,VLOOKUP(C5245,'MSA-Lookup'!$H$1:$I$86,2),C5245),C5245)</f>
        <v>4480</v>
      </c>
      <c r="G5245" s="0" t="n">
        <f aca="false">VLOOKUP(E5245,'MSA-Lookup'!$AA$1:$AB$25,2)</f>
        <v>4472</v>
      </c>
      <c r="H5245" s="0" t="n">
        <f aca="false">IF(C5245&gt;1,IF(C5245&lt;99,VLOOKUP(F5245,'MSA-Lookup'!$AA$1:$AB$25,2),C5245),C5245)</f>
        <v>4472</v>
      </c>
    </row>
    <row r="5246" customFormat="false" ht="12.75" hidden="false" customHeight="false" outlineLevel="0" collapsed="false">
      <c r="A5246" s="0" t="n">
        <f aca="false">B5246*1000+C5246</f>
        <v>72055</v>
      </c>
      <c r="B5246" s="0" t="n">
        <v>72</v>
      </c>
      <c r="C5246" s="0" t="n">
        <v>55</v>
      </c>
      <c r="D5246" s="0" t="n">
        <v>949</v>
      </c>
      <c r="E5246" s="0" t="n">
        <f aca="false">VLOOKUP(B5246,'MSA-Lookup'!$H$2:$I$86,2)</f>
        <v>6780</v>
      </c>
      <c r="F5246" s="0" t="n">
        <f aca="false">IF(C5246&gt;1,IF(C5246&lt;99,VLOOKUP(C5246,'MSA-Lookup'!$H$1:$I$86,2),C5246),C5246)</f>
        <v>4480</v>
      </c>
      <c r="G5246" s="0" t="n">
        <f aca="false">VLOOKUP(E5246,'MSA-Lookup'!$AA$1:$AB$25,2)</f>
        <v>4472</v>
      </c>
      <c r="H5246" s="0" t="n">
        <f aca="false">IF(C5246&gt;1,IF(C5246&lt;99,VLOOKUP(F5246,'MSA-Lookup'!$AA$1:$AB$25,2),C5246),C5246)</f>
        <v>4472</v>
      </c>
    </row>
    <row r="5247" customFormat="false" ht="12.75" hidden="false" customHeight="false" outlineLevel="0" collapsed="false">
      <c r="A5247" s="0" t="n">
        <f aca="false">B5247*1000+C5247</f>
        <v>72056</v>
      </c>
      <c r="B5247" s="0" t="n">
        <v>72</v>
      </c>
      <c r="C5247" s="0" t="n">
        <v>56</v>
      </c>
      <c r="D5247" s="0" t="n">
        <v>351</v>
      </c>
      <c r="E5247" s="0" t="n">
        <f aca="false">VLOOKUP(B5247,'MSA-Lookup'!$H$2:$I$86,2)</f>
        <v>6780</v>
      </c>
      <c r="F5247" s="0" t="n">
        <f aca="false">IF(C5247&gt;1,IF(C5247&lt;99,VLOOKUP(C5247,'MSA-Lookup'!$H$1:$I$86,2),C5247),C5247)</f>
        <v>4480</v>
      </c>
      <c r="G5247" s="0" t="n">
        <f aca="false">VLOOKUP(E5247,'MSA-Lookup'!$AA$1:$AB$25,2)</f>
        <v>4472</v>
      </c>
      <c r="H5247" s="0" t="n">
        <f aca="false">IF(C5247&gt;1,IF(C5247&lt;99,VLOOKUP(F5247,'MSA-Lookup'!$AA$1:$AB$25,2),C5247),C5247)</f>
        <v>4472</v>
      </c>
    </row>
    <row r="5248" customFormat="false" ht="12.75" hidden="false" customHeight="false" outlineLevel="0" collapsed="false">
      <c r="A5248" s="0" t="n">
        <f aca="false">B5248*1000+C5248</f>
        <v>72057</v>
      </c>
      <c r="B5248" s="0" t="n">
        <v>72</v>
      </c>
      <c r="C5248" s="0" t="n">
        <v>57</v>
      </c>
      <c r="D5248" s="0" t="n">
        <v>624</v>
      </c>
      <c r="E5248" s="0" t="n">
        <f aca="false">VLOOKUP(B5248,'MSA-Lookup'!$H$2:$I$86,2)</f>
        <v>6780</v>
      </c>
      <c r="F5248" s="0" t="n">
        <f aca="false">IF(C5248&gt;1,IF(C5248&lt;99,VLOOKUP(C5248,'MSA-Lookup'!$H$1:$I$86,2),C5248),C5248)</f>
        <v>4480</v>
      </c>
      <c r="G5248" s="0" t="n">
        <f aca="false">VLOOKUP(E5248,'MSA-Lookup'!$AA$1:$AB$25,2)</f>
        <v>4472</v>
      </c>
      <c r="H5248" s="0" t="n">
        <f aca="false">IF(C5248&gt;1,IF(C5248&lt;99,VLOOKUP(F5248,'MSA-Lookup'!$AA$1:$AB$25,2),C5248),C5248)</f>
        <v>4472</v>
      </c>
    </row>
    <row r="5249" customFormat="false" ht="12.75" hidden="false" customHeight="false" outlineLevel="0" collapsed="false">
      <c r="A5249" s="0" t="n">
        <f aca="false">B5249*1000+C5249</f>
        <v>72058</v>
      </c>
      <c r="B5249" s="0" t="n">
        <v>72</v>
      </c>
      <c r="C5249" s="0" t="n">
        <v>58</v>
      </c>
      <c r="D5249" s="0" t="n">
        <v>1924</v>
      </c>
      <c r="E5249" s="0" t="n">
        <f aca="false">VLOOKUP(B5249,'MSA-Lookup'!$H$2:$I$86,2)</f>
        <v>6780</v>
      </c>
      <c r="F5249" s="0" t="n">
        <f aca="false">IF(C5249&gt;1,IF(C5249&lt;99,VLOOKUP(C5249,'MSA-Lookup'!$H$1:$I$86,2),C5249),C5249)</f>
        <v>4480</v>
      </c>
      <c r="G5249" s="0" t="n">
        <f aca="false">VLOOKUP(E5249,'MSA-Lookup'!$AA$1:$AB$25,2)</f>
        <v>4472</v>
      </c>
      <c r="H5249" s="0" t="n">
        <f aca="false">IF(C5249&gt;1,IF(C5249&lt;99,VLOOKUP(F5249,'MSA-Lookup'!$AA$1:$AB$25,2),C5249),C5249)</f>
        <v>4472</v>
      </c>
    </row>
    <row r="5250" customFormat="false" ht="12.75" hidden="false" customHeight="false" outlineLevel="0" collapsed="false">
      <c r="A5250" s="0" t="n">
        <f aca="false">B5250*1000+C5250</f>
        <v>72059</v>
      </c>
      <c r="B5250" s="0" t="n">
        <v>72</v>
      </c>
      <c r="C5250" s="0" t="n">
        <v>59</v>
      </c>
      <c r="D5250" s="0" t="n">
        <v>9815</v>
      </c>
      <c r="E5250" s="0" t="n">
        <f aca="false">VLOOKUP(B5250,'MSA-Lookup'!$H$2:$I$86,2)</f>
        <v>6780</v>
      </c>
      <c r="F5250" s="0" t="n">
        <f aca="false">IF(C5250&gt;1,IF(C5250&lt;99,VLOOKUP(C5250,'MSA-Lookup'!$H$1:$I$86,2),C5250),C5250)</f>
        <v>4480</v>
      </c>
      <c r="G5250" s="0" t="n">
        <f aca="false">VLOOKUP(E5250,'MSA-Lookup'!$AA$1:$AB$25,2)</f>
        <v>4472</v>
      </c>
      <c r="H5250" s="0" t="n">
        <f aca="false">IF(C5250&gt;1,IF(C5250&lt;99,VLOOKUP(F5250,'MSA-Lookup'!$AA$1:$AB$25,2),C5250),C5250)</f>
        <v>4472</v>
      </c>
    </row>
    <row r="5251" customFormat="false" ht="12.75" hidden="false" customHeight="false" outlineLevel="0" collapsed="false">
      <c r="A5251" s="0" t="n">
        <f aca="false">B5251*1000+C5251</f>
        <v>72060</v>
      </c>
      <c r="B5251" s="0" t="n">
        <v>72</v>
      </c>
      <c r="C5251" s="0" t="n">
        <v>60</v>
      </c>
      <c r="D5251" s="0" t="n">
        <v>598</v>
      </c>
      <c r="E5251" s="0" t="n">
        <f aca="false">VLOOKUP(B5251,'MSA-Lookup'!$H$2:$I$86,2)</f>
        <v>6780</v>
      </c>
      <c r="F5251" s="0" t="n">
        <f aca="false">IF(C5251&gt;1,IF(C5251&lt;99,VLOOKUP(C5251,'MSA-Lookup'!$H$1:$I$86,2),C5251),C5251)</f>
        <v>4480</v>
      </c>
      <c r="G5251" s="0" t="n">
        <f aca="false">VLOOKUP(E5251,'MSA-Lookup'!$AA$1:$AB$25,2)</f>
        <v>4472</v>
      </c>
      <c r="H5251" s="0" t="n">
        <f aca="false">IF(C5251&gt;1,IF(C5251&lt;99,VLOOKUP(F5251,'MSA-Lookup'!$AA$1:$AB$25,2),C5251),C5251)</f>
        <v>4472</v>
      </c>
    </row>
    <row r="5252" customFormat="false" ht="12.75" hidden="false" customHeight="false" outlineLevel="0" collapsed="false">
      <c r="A5252" s="0" t="n">
        <f aca="false">B5252*1000+C5252</f>
        <v>72061</v>
      </c>
      <c r="B5252" s="0" t="n">
        <v>72</v>
      </c>
      <c r="C5252" s="0" t="n">
        <v>61</v>
      </c>
      <c r="D5252" s="0" t="n">
        <v>0</v>
      </c>
      <c r="E5252" s="0" t="n">
        <f aca="false">VLOOKUP(B5252,'MSA-Lookup'!$H$2:$I$86,2)</f>
        <v>6780</v>
      </c>
      <c r="F5252" s="0" t="n">
        <f aca="false">IF(C5252&gt;1,IF(C5252&lt;99,VLOOKUP(C5252,'MSA-Lookup'!$H$1:$I$86,2),C5252),C5252)</f>
        <v>4480</v>
      </c>
      <c r="G5252" s="0" t="n">
        <f aca="false">VLOOKUP(E5252,'MSA-Lookup'!$AA$1:$AB$25,2)</f>
        <v>4472</v>
      </c>
      <c r="H5252" s="0" t="n">
        <f aca="false">IF(C5252&gt;1,IF(C5252&lt;99,VLOOKUP(F5252,'MSA-Lookup'!$AA$1:$AB$25,2),C5252),C5252)</f>
        <v>4472</v>
      </c>
    </row>
    <row r="5253" customFormat="false" ht="12.75" hidden="false" customHeight="false" outlineLevel="0" collapsed="false">
      <c r="A5253" s="0" t="n">
        <f aca="false">B5253*1000+C5253</f>
        <v>72062</v>
      </c>
      <c r="B5253" s="0" t="n">
        <v>72</v>
      </c>
      <c r="C5253" s="0" t="n">
        <v>62</v>
      </c>
      <c r="D5253" s="0" t="n">
        <v>390</v>
      </c>
      <c r="E5253" s="0" t="n">
        <f aca="false">VLOOKUP(B5253,'MSA-Lookup'!$H$2:$I$86,2)</f>
        <v>6780</v>
      </c>
      <c r="F5253" s="0" t="n">
        <f aca="false">IF(C5253&gt;1,IF(C5253&lt;99,VLOOKUP(C5253,'MSA-Lookup'!$H$1:$I$86,2),C5253),C5253)</f>
        <v>4480</v>
      </c>
      <c r="G5253" s="0" t="n">
        <f aca="false">VLOOKUP(E5253,'MSA-Lookup'!$AA$1:$AB$25,2)</f>
        <v>4472</v>
      </c>
      <c r="H5253" s="0" t="n">
        <f aca="false">IF(C5253&gt;1,IF(C5253&lt;99,VLOOKUP(F5253,'MSA-Lookup'!$AA$1:$AB$25,2),C5253),C5253)</f>
        <v>4472</v>
      </c>
    </row>
    <row r="5254" customFormat="false" ht="12.75" hidden="false" customHeight="false" outlineLevel="0" collapsed="false">
      <c r="A5254" s="0" t="n">
        <f aca="false">B5254*1000+C5254</f>
        <v>72063</v>
      </c>
      <c r="B5254" s="0" t="n">
        <v>72</v>
      </c>
      <c r="C5254" s="0" t="n">
        <v>63</v>
      </c>
      <c r="D5254" s="0" t="n">
        <v>1599</v>
      </c>
      <c r="E5254" s="0" t="n">
        <f aca="false">VLOOKUP(B5254,'MSA-Lookup'!$H$2:$I$86,2)</f>
        <v>6780</v>
      </c>
      <c r="F5254" s="0" t="n">
        <f aca="false">IF(C5254&gt;1,IF(C5254&lt;99,VLOOKUP(C5254,'MSA-Lookup'!$H$1:$I$86,2),C5254),C5254)</f>
        <v>4480</v>
      </c>
      <c r="G5254" s="0" t="n">
        <f aca="false">VLOOKUP(E5254,'MSA-Lookup'!$AA$1:$AB$25,2)</f>
        <v>4472</v>
      </c>
      <c r="H5254" s="0" t="n">
        <f aca="false">IF(C5254&gt;1,IF(C5254&lt;99,VLOOKUP(F5254,'MSA-Lookup'!$AA$1:$AB$25,2),C5254),C5254)</f>
        <v>4472</v>
      </c>
    </row>
    <row r="5255" customFormat="false" ht="12.75" hidden="false" customHeight="false" outlineLevel="0" collapsed="false">
      <c r="A5255" s="0" t="n">
        <f aca="false">B5255*1000+C5255</f>
        <v>72064</v>
      </c>
      <c r="B5255" s="0" t="n">
        <v>72</v>
      </c>
      <c r="C5255" s="0" t="n">
        <v>64</v>
      </c>
      <c r="D5255" s="0" t="n">
        <v>40924</v>
      </c>
      <c r="E5255" s="0" t="n">
        <f aca="false">VLOOKUP(B5255,'MSA-Lookup'!$H$2:$I$86,2)</f>
        <v>6780</v>
      </c>
      <c r="F5255" s="0" t="n">
        <f aca="false">IF(C5255&gt;1,IF(C5255&lt;99,VLOOKUP(C5255,'MSA-Lookup'!$H$1:$I$86,2),C5255),C5255)</f>
        <v>4480</v>
      </c>
      <c r="G5255" s="0" t="n">
        <f aca="false">VLOOKUP(E5255,'MSA-Lookup'!$AA$1:$AB$25,2)</f>
        <v>4472</v>
      </c>
      <c r="H5255" s="0" t="n">
        <f aca="false">IF(C5255&gt;1,IF(C5255&lt;99,VLOOKUP(F5255,'MSA-Lookup'!$AA$1:$AB$25,2),C5255),C5255)</f>
        <v>4472</v>
      </c>
    </row>
    <row r="5256" customFormat="false" ht="12.75" hidden="false" customHeight="false" outlineLevel="0" collapsed="false">
      <c r="A5256" s="0" t="n">
        <f aca="false">B5256*1000+C5256</f>
        <v>72065</v>
      </c>
      <c r="B5256" s="0" t="n">
        <v>72</v>
      </c>
      <c r="C5256" s="0" t="n">
        <v>65</v>
      </c>
      <c r="D5256" s="0" t="n">
        <v>16939</v>
      </c>
      <c r="E5256" s="0" t="n">
        <f aca="false">VLOOKUP(B5256,'MSA-Lookup'!$H$2:$I$86,2)</f>
        <v>6780</v>
      </c>
      <c r="F5256" s="0" t="n">
        <f aca="false">IF(C5256&gt;1,IF(C5256&lt;99,VLOOKUP(C5256,'MSA-Lookup'!$H$1:$I$86,2),C5256),C5256)</f>
        <v>4480</v>
      </c>
      <c r="G5256" s="0" t="n">
        <f aca="false">VLOOKUP(E5256,'MSA-Lookup'!$AA$1:$AB$25,2)</f>
        <v>4472</v>
      </c>
      <c r="H5256" s="0" t="n">
        <f aca="false">IF(C5256&gt;1,IF(C5256&lt;99,VLOOKUP(F5256,'MSA-Lookup'!$AA$1:$AB$25,2),C5256),C5256)</f>
        <v>4472</v>
      </c>
    </row>
    <row r="5257" customFormat="false" ht="12.75" hidden="false" customHeight="false" outlineLevel="0" collapsed="false">
      <c r="A5257" s="0" t="n">
        <f aca="false">B5257*1000+C5257</f>
        <v>72066</v>
      </c>
      <c r="B5257" s="0" t="n">
        <v>72</v>
      </c>
      <c r="C5257" s="0" t="n">
        <v>66</v>
      </c>
      <c r="D5257" s="0" t="n">
        <v>2301</v>
      </c>
      <c r="E5257" s="0" t="n">
        <f aca="false">VLOOKUP(B5257,'MSA-Lookup'!$H$2:$I$86,2)</f>
        <v>6780</v>
      </c>
      <c r="F5257" s="0" t="n">
        <f aca="false">IF(C5257&gt;1,IF(C5257&lt;99,VLOOKUP(C5257,'MSA-Lookup'!$H$1:$I$86,2),C5257),C5257)</f>
        <v>4480</v>
      </c>
      <c r="G5257" s="0" t="n">
        <f aca="false">VLOOKUP(E5257,'MSA-Lookup'!$AA$1:$AB$25,2)</f>
        <v>4472</v>
      </c>
      <c r="H5257" s="0" t="n">
        <f aca="false">IF(C5257&gt;1,IF(C5257&lt;99,VLOOKUP(F5257,'MSA-Lookup'!$AA$1:$AB$25,2),C5257),C5257)</f>
        <v>4472</v>
      </c>
    </row>
    <row r="5258" customFormat="false" ht="12.75" hidden="false" customHeight="false" outlineLevel="0" collapsed="false">
      <c r="A5258" s="0" t="n">
        <f aca="false">B5258*1000+C5258</f>
        <v>72067</v>
      </c>
      <c r="B5258" s="0" t="n">
        <v>72</v>
      </c>
      <c r="C5258" s="0" t="n">
        <v>67</v>
      </c>
      <c r="D5258" s="0" t="n">
        <v>221</v>
      </c>
      <c r="E5258" s="0" t="n">
        <f aca="false">VLOOKUP(B5258,'MSA-Lookup'!$H$2:$I$86,2)</f>
        <v>6780</v>
      </c>
      <c r="F5258" s="0" t="n">
        <f aca="false">IF(C5258&gt;1,IF(C5258&lt;99,VLOOKUP(C5258,'MSA-Lookup'!$H$1:$I$86,2),C5258),C5258)</f>
        <v>6000</v>
      </c>
      <c r="G5258" s="0" t="n">
        <f aca="false">VLOOKUP(E5258,'MSA-Lookup'!$AA$1:$AB$25,2)</f>
        <v>4472</v>
      </c>
      <c r="H5258" s="0" t="n">
        <f aca="false">IF(C5258&gt;1,IF(C5258&lt;99,VLOOKUP(F5258,'MSA-Lookup'!$AA$1:$AB$25,2),C5258),C5258)</f>
        <v>4472</v>
      </c>
    </row>
    <row r="5259" customFormat="false" ht="12.75" hidden="false" customHeight="false" outlineLevel="0" collapsed="false">
      <c r="A5259" s="0" t="n">
        <f aca="false">B5259*1000+C5259</f>
        <v>72068</v>
      </c>
      <c r="B5259" s="0" t="n">
        <v>72</v>
      </c>
      <c r="C5259" s="0" t="n">
        <v>68</v>
      </c>
      <c r="D5259" s="0" t="n">
        <v>1027</v>
      </c>
      <c r="E5259" s="0" t="n">
        <f aca="false">VLOOKUP(B5259,'MSA-Lookup'!$H$2:$I$86,2)</f>
        <v>6780</v>
      </c>
      <c r="F5259" s="0" t="n">
        <f aca="false">IF(C5259&gt;1,IF(C5259&lt;99,VLOOKUP(C5259,'MSA-Lookup'!$H$1:$I$86,2),C5259),C5259)</f>
        <v>6780</v>
      </c>
      <c r="G5259" s="0" t="n">
        <f aca="false">VLOOKUP(E5259,'MSA-Lookup'!$AA$1:$AB$25,2)</f>
        <v>4472</v>
      </c>
      <c r="H5259" s="0" t="n">
        <f aca="false">IF(C5259&gt;1,IF(C5259&lt;99,VLOOKUP(F5259,'MSA-Lookup'!$AA$1:$AB$25,2),C5259),C5259)</f>
        <v>4472</v>
      </c>
    </row>
    <row r="5260" customFormat="false" ht="12.75" hidden="false" customHeight="false" outlineLevel="0" collapsed="false">
      <c r="A5260" s="0" t="n">
        <f aca="false">B5260*1000+C5260</f>
        <v>72069</v>
      </c>
      <c r="B5260" s="0" t="n">
        <v>72</v>
      </c>
      <c r="C5260" s="0" t="n">
        <v>69</v>
      </c>
      <c r="D5260" s="0" t="n">
        <v>13910</v>
      </c>
      <c r="E5260" s="0" t="n">
        <f aca="false">VLOOKUP(B5260,'MSA-Lookup'!$H$2:$I$86,2)</f>
        <v>6780</v>
      </c>
      <c r="F5260" s="0" t="n">
        <f aca="false">IF(C5260&gt;1,IF(C5260&lt;99,VLOOKUP(C5260,'MSA-Lookup'!$H$1:$I$86,2),C5260),C5260)</f>
        <v>6780</v>
      </c>
      <c r="G5260" s="0" t="n">
        <f aca="false">VLOOKUP(E5260,'MSA-Lookup'!$AA$1:$AB$25,2)</f>
        <v>4472</v>
      </c>
      <c r="H5260" s="0" t="n">
        <f aca="false">IF(C5260&gt;1,IF(C5260&lt;99,VLOOKUP(F5260,'MSA-Lookup'!$AA$1:$AB$25,2),C5260),C5260)</f>
        <v>4472</v>
      </c>
    </row>
    <row r="5261" customFormat="false" ht="12.75" hidden="false" customHeight="false" outlineLevel="0" collapsed="false">
      <c r="A5261" s="0" t="n">
        <f aca="false">B5261*1000+C5261</f>
        <v>72070</v>
      </c>
      <c r="B5261" s="0" t="n">
        <v>72</v>
      </c>
      <c r="C5261" s="0" t="n">
        <v>70</v>
      </c>
      <c r="D5261" s="0" t="n">
        <v>11947</v>
      </c>
      <c r="E5261" s="0" t="n">
        <f aca="false">VLOOKUP(B5261,'MSA-Lookup'!$H$2:$I$86,2)</f>
        <v>6780</v>
      </c>
      <c r="F5261" s="0" t="n">
        <f aca="false">IF(C5261&gt;1,IF(C5261&lt;99,VLOOKUP(C5261,'MSA-Lookup'!$H$1:$I$86,2),C5261),C5261)</f>
        <v>6780</v>
      </c>
      <c r="G5261" s="0" t="n">
        <f aca="false">VLOOKUP(E5261,'MSA-Lookup'!$AA$1:$AB$25,2)</f>
        <v>4472</v>
      </c>
      <c r="H5261" s="0" t="n">
        <f aca="false">IF(C5261&gt;1,IF(C5261&lt;99,VLOOKUP(F5261,'MSA-Lookup'!$AA$1:$AB$25,2),C5261),C5261)</f>
        <v>4472</v>
      </c>
    </row>
    <row r="5262" customFormat="false" ht="12.75" hidden="false" customHeight="false" outlineLevel="0" collapsed="false">
      <c r="A5262" s="0" t="n">
        <f aca="false">B5262*1000+C5262</f>
        <v>72071</v>
      </c>
      <c r="B5262" s="0" t="n">
        <v>72</v>
      </c>
      <c r="C5262" s="0" t="n">
        <v>71</v>
      </c>
      <c r="D5262" s="0" t="n">
        <v>19747</v>
      </c>
      <c r="E5262" s="0" t="n">
        <f aca="false">VLOOKUP(B5262,'MSA-Lookup'!$H$2:$I$86,2)</f>
        <v>6780</v>
      </c>
      <c r="F5262" s="0" t="n">
        <f aca="false">IF(C5262&gt;1,IF(C5262&lt;99,VLOOKUP(C5262,'MSA-Lookup'!$H$1:$I$86,2),C5262),C5262)</f>
        <v>6780</v>
      </c>
      <c r="G5262" s="0" t="n">
        <f aca="false">VLOOKUP(E5262,'MSA-Lookup'!$AA$1:$AB$25,2)</f>
        <v>4472</v>
      </c>
      <c r="H5262" s="0" t="n">
        <f aca="false">IF(C5262&gt;1,IF(C5262&lt;99,VLOOKUP(F5262,'MSA-Lookup'!$AA$1:$AB$25,2),C5262),C5262)</f>
        <v>4472</v>
      </c>
    </row>
    <row r="5263" customFormat="false" ht="12.75" hidden="false" customHeight="false" outlineLevel="0" collapsed="false">
      <c r="A5263" s="0" t="n">
        <f aca="false">B5263*1000+C5263</f>
        <v>72072</v>
      </c>
      <c r="B5263" s="0" t="n">
        <v>72</v>
      </c>
      <c r="C5263" s="0" t="n">
        <v>72</v>
      </c>
      <c r="D5263" s="0" t="n">
        <v>228774</v>
      </c>
      <c r="E5263" s="0" t="n">
        <f aca="false">VLOOKUP(B5263,'MSA-Lookup'!$H$2:$I$86,2)</f>
        <v>6780</v>
      </c>
      <c r="F5263" s="0" t="n">
        <f aca="false">IF(C5263&gt;1,IF(C5263&lt;99,VLOOKUP(C5263,'MSA-Lookup'!$H$1:$I$86,2),C5263),C5263)</f>
        <v>6780</v>
      </c>
      <c r="G5263" s="0" t="n">
        <f aca="false">VLOOKUP(E5263,'MSA-Lookup'!$AA$1:$AB$25,2)</f>
        <v>4472</v>
      </c>
      <c r="H5263" s="0" t="n">
        <f aca="false">IF(C5263&gt;1,IF(C5263&lt;99,VLOOKUP(F5263,'MSA-Lookup'!$AA$1:$AB$25,2),C5263),C5263)</f>
        <v>4472</v>
      </c>
    </row>
    <row r="5264" customFormat="false" ht="12.75" hidden="false" customHeight="false" outlineLevel="0" collapsed="false">
      <c r="A5264" s="0" t="n">
        <f aca="false">B5264*1000+C5264</f>
        <v>72073</v>
      </c>
      <c r="B5264" s="0" t="n">
        <v>72</v>
      </c>
      <c r="C5264" s="0" t="n">
        <v>73</v>
      </c>
      <c r="D5264" s="0" t="n">
        <v>0</v>
      </c>
      <c r="E5264" s="0" t="n">
        <f aca="false">VLOOKUP(B5264,'MSA-Lookup'!$H$2:$I$86,2)</f>
        <v>6780</v>
      </c>
      <c r="F5264" s="0" t="n">
        <f aca="false">IF(C5264&gt;1,IF(C5264&lt;99,VLOOKUP(C5264,'MSA-Lookup'!$H$1:$I$86,2),C5264),C5264)</f>
        <v>8720</v>
      </c>
      <c r="G5264" s="0" t="n">
        <f aca="false">VLOOKUP(E5264,'MSA-Lookup'!$AA$1:$AB$25,2)</f>
        <v>4472</v>
      </c>
      <c r="H5264" s="0" t="n">
        <f aca="false">IF(C5264&gt;1,IF(C5264&lt;99,VLOOKUP(F5264,'MSA-Lookup'!$AA$1:$AB$25,2),C5264),C5264)</f>
        <v>7362</v>
      </c>
    </row>
    <row r="5265" customFormat="false" ht="12.75" hidden="false" customHeight="false" outlineLevel="0" collapsed="false">
      <c r="A5265" s="0" t="n">
        <f aca="false">B5265*1000+C5265</f>
        <v>72075</v>
      </c>
      <c r="B5265" s="0" t="n">
        <v>72</v>
      </c>
      <c r="C5265" s="0" t="n">
        <v>75</v>
      </c>
      <c r="D5265" s="0" t="n">
        <v>0</v>
      </c>
      <c r="E5265" s="0" t="n">
        <f aca="false">VLOOKUP(B5265,'MSA-Lookup'!$H$2:$I$86,2)</f>
        <v>6780</v>
      </c>
      <c r="F5265" s="0" t="n">
        <f aca="false">IF(C5265&gt;1,IF(C5265&lt;99,VLOOKUP(C5265,'MSA-Lookup'!$H$1:$I$86,2),C5265),C5265)</f>
        <v>8780</v>
      </c>
      <c r="G5265" s="0" t="n">
        <f aca="false">VLOOKUP(E5265,'MSA-Lookup'!$AA$1:$AB$25,2)</f>
        <v>4472</v>
      </c>
      <c r="H5265" s="0" t="n">
        <f aca="false">IF(C5265&gt;1,IF(C5265&lt;99,VLOOKUP(F5265,'MSA-Lookup'!$AA$1:$AB$25,2),C5265),C5265)</f>
        <v>8780</v>
      </c>
    </row>
    <row r="5266" customFormat="false" ht="12.75" hidden="false" customHeight="false" outlineLevel="0" collapsed="false">
      <c r="A5266" s="0" t="n">
        <f aca="false">B5266*1000+C5266</f>
        <v>72076</v>
      </c>
      <c r="B5266" s="0" t="n">
        <v>72</v>
      </c>
      <c r="C5266" s="0" t="n">
        <v>76</v>
      </c>
      <c r="D5266" s="0" t="n">
        <v>0</v>
      </c>
      <c r="E5266" s="0" t="n">
        <f aca="false">VLOOKUP(B5266,'MSA-Lookup'!$H$2:$I$86,2)</f>
        <v>6780</v>
      </c>
      <c r="F5266" s="0" t="n">
        <f aca="false">IF(C5266&gt;1,IF(C5266&lt;99,VLOOKUP(C5266,'MSA-Lookup'!$H$1:$I$86,2),C5266),C5266)</f>
        <v>7485</v>
      </c>
      <c r="G5266" s="0" t="n">
        <f aca="false">VLOOKUP(E5266,'MSA-Lookup'!$AA$1:$AB$25,2)</f>
        <v>4472</v>
      </c>
      <c r="H5266" s="0" t="n">
        <f aca="false">IF(C5266&gt;1,IF(C5266&lt;99,VLOOKUP(F5266,'MSA-Lookup'!$AA$1:$AB$25,2),C5266),C5266)</f>
        <v>7362</v>
      </c>
    </row>
    <row r="5267" customFormat="false" ht="12.75" hidden="false" customHeight="false" outlineLevel="0" collapsed="false">
      <c r="A5267" s="0" t="n">
        <f aca="false">B5267*1000+C5267</f>
        <v>72077</v>
      </c>
      <c r="B5267" s="0" t="n">
        <v>72</v>
      </c>
      <c r="C5267" s="0" t="n">
        <v>77</v>
      </c>
      <c r="D5267" s="0" t="n">
        <v>312</v>
      </c>
      <c r="E5267" s="0" t="n">
        <f aca="false">VLOOKUP(B5267,'MSA-Lookup'!$H$2:$I$86,2)</f>
        <v>6780</v>
      </c>
      <c r="F5267" s="0" t="n">
        <f aca="false">IF(C5267&gt;1,IF(C5267&lt;99,VLOOKUP(C5267,'MSA-Lookup'!$H$1:$I$86,2),C5267),C5267)</f>
        <v>9999</v>
      </c>
      <c r="G5267" s="0" t="n">
        <f aca="false">VLOOKUP(E5267,'MSA-Lookup'!$AA$1:$AB$25,2)</f>
        <v>4472</v>
      </c>
      <c r="H5267" s="0" t="n">
        <f aca="false">IF(C5267&gt;1,IF(C5267&lt;99,VLOOKUP(F5267,'MSA-Lookup'!$AA$1:$AB$25,2),C5267),C5267)</f>
        <v>9999</v>
      </c>
    </row>
    <row r="5268" customFormat="false" ht="12.75" hidden="false" customHeight="false" outlineLevel="0" collapsed="false">
      <c r="A5268" s="0" t="n">
        <f aca="false">B5268*1000+C5268</f>
        <v>72078</v>
      </c>
      <c r="B5268" s="0" t="n">
        <v>72</v>
      </c>
      <c r="C5268" s="0" t="n">
        <v>78</v>
      </c>
      <c r="D5268" s="0" t="n">
        <v>247</v>
      </c>
      <c r="E5268" s="0" t="n">
        <f aca="false">VLOOKUP(B5268,'MSA-Lookup'!$H$2:$I$86,2)</f>
        <v>6780</v>
      </c>
      <c r="F5268" s="0" t="n">
        <f aca="false">IF(C5268&gt;1,IF(C5268&lt;99,VLOOKUP(C5268,'MSA-Lookup'!$H$1:$I$86,2),C5268),C5268)</f>
        <v>680</v>
      </c>
      <c r="G5268" s="0" t="n">
        <f aca="false">VLOOKUP(E5268,'MSA-Lookup'!$AA$1:$AB$25,2)</f>
        <v>4472</v>
      </c>
      <c r="H5268" s="0" t="n">
        <f aca="false">IF(C5268&gt;1,IF(C5268&lt;99,VLOOKUP(F5268,'MSA-Lookup'!$AA$1:$AB$25,2),C5268),C5268)</f>
        <v>680</v>
      </c>
    </row>
    <row r="5269" customFormat="false" ht="12.75" hidden="false" customHeight="false" outlineLevel="0" collapsed="false">
      <c r="A5269" s="0" t="n">
        <f aca="false">B5269*1000+C5269</f>
        <v>72079</v>
      </c>
      <c r="B5269" s="0" t="n">
        <v>72</v>
      </c>
      <c r="C5269" s="0" t="n">
        <v>79</v>
      </c>
      <c r="D5269" s="0" t="n">
        <v>1391</v>
      </c>
      <c r="E5269" s="0" t="n">
        <f aca="false">VLOOKUP(B5269,'MSA-Lookup'!$H$2:$I$86,2)</f>
        <v>6780</v>
      </c>
      <c r="F5269" s="0" t="n">
        <f aca="false">IF(C5269&gt;1,IF(C5269&lt;99,VLOOKUP(C5269,'MSA-Lookup'!$H$1:$I$86,2),C5269),C5269)</f>
        <v>680</v>
      </c>
      <c r="G5269" s="0" t="n">
        <f aca="false">VLOOKUP(E5269,'MSA-Lookup'!$AA$1:$AB$25,2)</f>
        <v>4472</v>
      </c>
      <c r="H5269" s="0" t="n">
        <f aca="false">IF(C5269&gt;1,IF(C5269&lt;99,VLOOKUP(F5269,'MSA-Lookup'!$AA$1:$AB$25,2),C5269),C5269)</f>
        <v>680</v>
      </c>
    </row>
    <row r="5270" customFormat="false" ht="12.75" hidden="false" customHeight="false" outlineLevel="0" collapsed="false">
      <c r="A5270" s="0" t="n">
        <f aca="false">B5270*1000+C5270</f>
        <v>72080</v>
      </c>
      <c r="B5270" s="0" t="n">
        <v>72</v>
      </c>
      <c r="C5270" s="0" t="n">
        <v>80</v>
      </c>
      <c r="D5270" s="0" t="n">
        <v>0</v>
      </c>
      <c r="E5270" s="0" t="n">
        <f aca="false">VLOOKUP(B5270,'MSA-Lookup'!$H$2:$I$86,2)</f>
        <v>6780</v>
      </c>
      <c r="F5270" s="0" t="n">
        <f aca="false">IF(C5270&gt;1,IF(C5270&lt;99,VLOOKUP(C5270,'MSA-Lookup'!$H$1:$I$86,2),C5270),C5270)</f>
        <v>9999</v>
      </c>
      <c r="G5270" s="0" t="n">
        <f aca="false">VLOOKUP(E5270,'MSA-Lookup'!$AA$1:$AB$25,2)</f>
        <v>4472</v>
      </c>
      <c r="H5270" s="0" t="n">
        <f aca="false">IF(C5270&gt;1,IF(C5270&lt;99,VLOOKUP(F5270,'MSA-Lookup'!$AA$1:$AB$25,2),C5270),C5270)</f>
        <v>9999</v>
      </c>
    </row>
    <row r="5271" customFormat="false" ht="12.75" hidden="false" customHeight="false" outlineLevel="0" collapsed="false">
      <c r="A5271" s="0" t="n">
        <f aca="false">B5271*1000+C5271</f>
        <v>72081</v>
      </c>
      <c r="B5271" s="0" t="n">
        <v>72</v>
      </c>
      <c r="C5271" s="0" t="n">
        <v>81</v>
      </c>
      <c r="D5271" s="0" t="n">
        <v>12220</v>
      </c>
      <c r="E5271" s="0" t="n">
        <f aca="false">VLOOKUP(B5271,'MSA-Lookup'!$H$2:$I$86,2)</f>
        <v>6780</v>
      </c>
      <c r="F5271" s="0" t="n">
        <f aca="false">IF(C5271&gt;1,IF(C5271&lt;99,VLOOKUP(C5271,'MSA-Lookup'!$H$1:$I$86,2),C5271),C5271)</f>
        <v>6780</v>
      </c>
      <c r="G5271" s="0" t="n">
        <f aca="false">VLOOKUP(E5271,'MSA-Lookup'!$AA$1:$AB$25,2)</f>
        <v>4472</v>
      </c>
      <c r="H5271" s="0" t="n">
        <f aca="false">IF(C5271&gt;1,IF(C5271&lt;99,VLOOKUP(F5271,'MSA-Lookup'!$AA$1:$AB$25,2),C5271),C5271)</f>
        <v>4472</v>
      </c>
    </row>
    <row r="5272" customFormat="false" ht="12.75" hidden="false" customHeight="false" outlineLevel="0" collapsed="false">
      <c r="A5272" s="0" t="n">
        <f aca="false">B5272*1000+C5272</f>
        <v>72082</v>
      </c>
      <c r="B5272" s="0" t="n">
        <v>72</v>
      </c>
      <c r="C5272" s="0" t="n">
        <v>82</v>
      </c>
      <c r="D5272" s="0" t="n">
        <v>41964</v>
      </c>
      <c r="E5272" s="0" t="n">
        <f aca="false">VLOOKUP(B5272,'MSA-Lookup'!$H$2:$I$86,2)</f>
        <v>6780</v>
      </c>
      <c r="F5272" s="0" t="n">
        <f aca="false">IF(C5272&gt;1,IF(C5272&lt;99,VLOOKUP(C5272,'MSA-Lookup'!$H$1:$I$86,2),C5272),C5272)</f>
        <v>6780</v>
      </c>
      <c r="G5272" s="0" t="n">
        <f aca="false">VLOOKUP(E5272,'MSA-Lookup'!$AA$1:$AB$25,2)</f>
        <v>4472</v>
      </c>
      <c r="H5272" s="0" t="n">
        <f aca="false">IF(C5272&gt;1,IF(C5272&lt;99,VLOOKUP(F5272,'MSA-Lookup'!$AA$1:$AB$25,2),C5272),C5272)</f>
        <v>4472</v>
      </c>
    </row>
    <row r="5273" customFormat="false" ht="12.75" hidden="false" customHeight="false" outlineLevel="0" collapsed="false">
      <c r="A5273" s="0" t="n">
        <f aca="false">B5273*1000+C5273</f>
        <v>72083</v>
      </c>
      <c r="B5273" s="0" t="n">
        <v>72</v>
      </c>
      <c r="C5273" s="0" t="n">
        <v>83</v>
      </c>
      <c r="D5273" s="0" t="n">
        <v>104</v>
      </c>
      <c r="E5273" s="0" t="n">
        <f aca="false">VLOOKUP(B5273,'MSA-Lookup'!$H$2:$I$86,2)</f>
        <v>6780</v>
      </c>
      <c r="F5273" s="0" t="n">
        <f aca="false">IF(C5273&gt;1,IF(C5273&lt;99,VLOOKUP(C5273,'MSA-Lookup'!$H$1:$I$86,2),C5273),C5273)</f>
        <v>6000</v>
      </c>
      <c r="G5273" s="0" t="n">
        <f aca="false">VLOOKUP(E5273,'MSA-Lookup'!$AA$1:$AB$25,2)</f>
        <v>4472</v>
      </c>
      <c r="H5273" s="0" t="n">
        <f aca="false">IF(C5273&gt;1,IF(C5273&lt;99,VLOOKUP(F5273,'MSA-Lookup'!$AA$1:$AB$25,2),C5273),C5273)</f>
        <v>4472</v>
      </c>
    </row>
    <row r="5274" customFormat="false" ht="12.75" hidden="false" customHeight="false" outlineLevel="0" collapsed="false">
      <c r="A5274" s="0" t="n">
        <f aca="false">B5274*1000+C5274</f>
        <v>72084</v>
      </c>
      <c r="B5274" s="0" t="n">
        <v>72</v>
      </c>
      <c r="C5274" s="0" t="n">
        <v>84</v>
      </c>
      <c r="D5274" s="0" t="n">
        <v>4017</v>
      </c>
      <c r="E5274" s="0" t="n">
        <f aca="false">VLOOKUP(B5274,'MSA-Lookup'!$H$2:$I$86,2)</f>
        <v>6780</v>
      </c>
      <c r="F5274" s="0" t="n">
        <f aca="false">IF(C5274&gt;1,IF(C5274&lt;99,VLOOKUP(C5274,'MSA-Lookup'!$H$1:$I$86,2),C5274),C5274)</f>
        <v>360</v>
      </c>
      <c r="G5274" s="0" t="n">
        <f aca="false">VLOOKUP(E5274,'MSA-Lookup'!$AA$1:$AB$25,2)</f>
        <v>4472</v>
      </c>
      <c r="H5274" s="0" t="n">
        <f aca="false">IF(C5274&gt;1,IF(C5274&lt;99,VLOOKUP(F5274,'MSA-Lookup'!$AA$1:$AB$25,2),C5274),C5274)</f>
        <v>4472</v>
      </c>
    </row>
    <row r="5275" customFormat="false" ht="12.75" hidden="false" customHeight="false" outlineLevel="0" collapsed="false">
      <c r="A5275" s="0" t="n">
        <f aca="false">B5275*1000+C5275</f>
        <v>72085</v>
      </c>
      <c r="B5275" s="0" t="n">
        <v>72</v>
      </c>
      <c r="C5275" s="0" t="n">
        <v>85</v>
      </c>
      <c r="D5275" s="0" t="n">
        <v>0</v>
      </c>
      <c r="E5275" s="0" t="n">
        <f aca="false">VLOOKUP(B5275,'MSA-Lookup'!$H$2:$I$86,2)</f>
        <v>6780</v>
      </c>
      <c r="F5275" s="0" t="n">
        <f aca="false">IF(C5275&gt;1,IF(C5275&lt;99,VLOOKUP(C5275,'MSA-Lookup'!$H$1:$I$86,2),C5275),C5275)</f>
        <v>8120</v>
      </c>
      <c r="G5275" s="0" t="n">
        <f aca="false">VLOOKUP(E5275,'MSA-Lookup'!$AA$1:$AB$25,2)</f>
        <v>4472</v>
      </c>
      <c r="H5275" s="0" t="n">
        <f aca="false">IF(C5275&gt;1,IF(C5275&lt;99,VLOOKUP(F5275,'MSA-Lookup'!$AA$1:$AB$25,2),C5275),C5275)</f>
        <v>8120</v>
      </c>
    </row>
    <row r="5276" customFormat="false" ht="12.75" hidden="false" customHeight="false" outlineLevel="0" collapsed="false">
      <c r="A5276" s="0" t="n">
        <f aca="false">B5276*1000+C5276</f>
        <v>72858</v>
      </c>
      <c r="B5276" s="0" t="n">
        <v>72</v>
      </c>
      <c r="C5276" s="0" t="n">
        <v>858</v>
      </c>
      <c r="D5276" s="0" t="n">
        <v>0</v>
      </c>
      <c r="E5276" s="0" t="n">
        <f aca="false">VLOOKUP(B5276,'MSA-Lookup'!$H$2:$I$86,2)</f>
        <v>6780</v>
      </c>
      <c r="F5276" s="0" t="n">
        <f aca="false">IF(C5276&gt;1,IF(C5276&lt;99,VLOOKUP(C5276,'MSA-Lookup'!$H$1:$I$86,2),C5276),C5276)</f>
        <v>858</v>
      </c>
      <c r="G5276" s="0" t="n">
        <f aca="false">VLOOKUP(E5276,'MSA-Lookup'!$AA$1:$AB$25,2)</f>
        <v>4472</v>
      </c>
      <c r="H5276" s="0" t="n">
        <f aca="false">IF(C5276&gt;1,IF(C5276&lt;99,VLOOKUP(F5276,'MSA-Lookup'!$AA$1:$AB$25,2),C5276),C5276)</f>
        <v>858</v>
      </c>
    </row>
    <row r="5277" customFormat="false" ht="12.75" hidden="false" customHeight="false" outlineLevel="0" collapsed="false">
      <c r="A5277" s="0" t="n">
        <f aca="false">B5277*1000+C5277</f>
        <v>72983</v>
      </c>
      <c r="B5277" s="0" t="n">
        <v>72</v>
      </c>
      <c r="C5277" s="0" t="n">
        <v>983</v>
      </c>
      <c r="D5277" s="0" t="n">
        <v>0</v>
      </c>
      <c r="E5277" s="0" t="n">
        <f aca="false">VLOOKUP(B5277,'MSA-Lookup'!$H$2:$I$86,2)</f>
        <v>6780</v>
      </c>
      <c r="F5277" s="0" t="n">
        <f aca="false">IF(C5277&gt;1,IF(C5277&lt;99,VLOOKUP(C5277,'MSA-Lookup'!$H$1:$I$86,2),C5277),C5277)</f>
        <v>983</v>
      </c>
      <c r="G5277" s="0" t="n">
        <f aca="false">VLOOKUP(E5277,'MSA-Lookup'!$AA$1:$AB$25,2)</f>
        <v>4472</v>
      </c>
      <c r="H5277" s="0" t="n">
        <f aca="false">IF(C5277&gt;1,IF(C5277&lt;99,VLOOKUP(F5277,'MSA-Lookup'!$AA$1:$AB$25,2),C5277),C5277)</f>
        <v>983</v>
      </c>
    </row>
    <row r="5278" customFormat="false" ht="12.75" hidden="false" customHeight="false" outlineLevel="0" collapsed="false">
      <c r="A5278" s="0" t="n">
        <f aca="false">B5278*1000+C5278</f>
        <v>72999</v>
      </c>
      <c r="B5278" s="0" t="n">
        <v>72</v>
      </c>
      <c r="C5278" s="0" t="n">
        <v>999</v>
      </c>
      <c r="D5278" s="0" t="n">
        <v>0</v>
      </c>
      <c r="E5278" s="0" t="n">
        <f aca="false">VLOOKUP(B5278,'MSA-Lookup'!$H$2:$I$86,2)</f>
        <v>6780</v>
      </c>
      <c r="F5278" s="0" t="n">
        <f aca="false">IF(C5278&gt;1,IF(C5278&lt;99,VLOOKUP(C5278,'MSA-Lookup'!$H$1:$I$86,2),C5278),C5278)</f>
        <v>999</v>
      </c>
      <c r="G5278" s="0" t="n">
        <f aca="false">VLOOKUP(E5278,'MSA-Lookup'!$AA$1:$AB$25,2)</f>
        <v>4472</v>
      </c>
      <c r="H5278" s="0" t="n">
        <f aca="false">IF(C5278&gt;1,IF(C5278&lt;99,VLOOKUP(F5278,'MSA-Lookup'!$AA$1:$AB$25,2),C5278),C5278)</f>
        <v>999</v>
      </c>
    </row>
    <row r="5279" customFormat="false" ht="12.75" hidden="false" customHeight="false" outlineLevel="0" collapsed="false">
      <c r="A5279" s="0" t="n">
        <f aca="false">B5279*1000+C5279</f>
        <v>73000</v>
      </c>
      <c r="B5279" s="0" t="n">
        <v>73</v>
      </c>
      <c r="C5279" s="0" t="n">
        <v>0</v>
      </c>
      <c r="D5279" s="0" t="n">
        <v>58201</v>
      </c>
      <c r="E5279" s="0" t="n">
        <f aca="false">VLOOKUP(B5279,'MSA-Lookup'!$H$2:$I$86,2)</f>
        <v>8720</v>
      </c>
      <c r="F5279" s="0" t="n">
        <f aca="false">IF(C5279&gt;1,IF(C5279&lt;99,VLOOKUP(C5279,'MSA-Lookup'!$H$1:$I$86,2),C5279),C5279)</f>
        <v>0</v>
      </c>
      <c r="G5279" s="0" t="n">
        <f aca="false">VLOOKUP(E5279,'MSA-Lookup'!$AA$1:$AB$25,2)</f>
        <v>7362</v>
      </c>
      <c r="H5279" s="0" t="n">
        <f aca="false">IF(C5279&gt;1,IF(C5279&lt;99,VLOOKUP(F5279,'MSA-Lookup'!$AA$1:$AB$25,2),C5279),C5279)</f>
        <v>0</v>
      </c>
    </row>
    <row r="5280" customFormat="false" ht="12.75" hidden="false" customHeight="false" outlineLevel="0" collapsed="false">
      <c r="A5280" s="0" t="n">
        <f aca="false">B5280*1000+C5280</f>
        <v>73001</v>
      </c>
      <c r="B5280" s="0" t="n">
        <v>73</v>
      </c>
      <c r="C5280" s="0" t="n">
        <v>1</v>
      </c>
      <c r="D5280" s="0" t="n">
        <v>39</v>
      </c>
      <c r="E5280" s="0" t="n">
        <f aca="false">VLOOKUP(B5280,'MSA-Lookup'!$H$2:$I$86,2)</f>
        <v>8720</v>
      </c>
      <c r="F5280" s="0" t="n">
        <f aca="false">IF(C5280&gt;1,IF(C5280&lt;99,VLOOKUP(C5280,'MSA-Lookup'!$H$1:$I$86,2),C5280),C5280)</f>
        <v>1</v>
      </c>
      <c r="G5280" s="0" t="n">
        <f aca="false">VLOOKUP(E5280,'MSA-Lookup'!$AA$1:$AB$25,2)</f>
        <v>7362</v>
      </c>
      <c r="H5280" s="0" t="n">
        <f aca="false">IF(C5280&gt;1,IF(C5280&lt;99,VLOOKUP(F5280,'MSA-Lookup'!$AA$1:$AB$25,2),C5280),C5280)</f>
        <v>1</v>
      </c>
    </row>
    <row r="5281" customFormat="false" ht="12.75" hidden="false" customHeight="false" outlineLevel="0" collapsed="false">
      <c r="A5281" s="0" t="n">
        <f aca="false">B5281*1000+C5281</f>
        <v>73002</v>
      </c>
      <c r="B5281" s="0" t="n">
        <v>73</v>
      </c>
      <c r="C5281" s="0" t="n">
        <v>2</v>
      </c>
      <c r="D5281" s="0" t="n">
        <v>0</v>
      </c>
      <c r="E5281" s="0" t="n">
        <f aca="false">VLOOKUP(B5281,'MSA-Lookup'!$H$2:$I$86,2)</f>
        <v>8720</v>
      </c>
      <c r="F5281" s="0" t="n">
        <f aca="false">IF(C5281&gt;1,IF(C5281&lt;99,VLOOKUP(C5281,'MSA-Lookup'!$H$1:$I$86,2),C5281),C5281)</f>
        <v>9999</v>
      </c>
      <c r="G5281" s="0" t="n">
        <f aca="false">VLOOKUP(E5281,'MSA-Lookup'!$AA$1:$AB$25,2)</f>
        <v>7362</v>
      </c>
      <c r="H5281" s="0" t="n">
        <f aca="false">IF(C5281&gt;1,IF(C5281&lt;99,VLOOKUP(F5281,'MSA-Lookup'!$AA$1:$AB$25,2),C5281),C5281)</f>
        <v>9999</v>
      </c>
    </row>
    <row r="5282" customFormat="false" ht="12.75" hidden="false" customHeight="false" outlineLevel="0" collapsed="false">
      <c r="A5282" s="0" t="n">
        <f aca="false">B5282*1000+C5282</f>
        <v>73003</v>
      </c>
      <c r="B5282" s="0" t="n">
        <v>73</v>
      </c>
      <c r="C5282" s="0" t="n">
        <v>3</v>
      </c>
      <c r="D5282" s="0" t="n">
        <v>0</v>
      </c>
      <c r="E5282" s="0" t="n">
        <f aca="false">VLOOKUP(B5282,'MSA-Lookup'!$H$2:$I$86,2)</f>
        <v>8720</v>
      </c>
      <c r="F5282" s="0" t="n">
        <f aca="false">IF(C5282&gt;1,IF(C5282&lt;99,VLOOKUP(C5282,'MSA-Lookup'!$H$1:$I$86,2),C5282),C5282)</f>
        <v>6690</v>
      </c>
      <c r="G5282" s="0" t="n">
        <f aca="false">VLOOKUP(E5282,'MSA-Lookup'!$AA$1:$AB$25,2)</f>
        <v>7362</v>
      </c>
      <c r="H5282" s="0" t="n">
        <f aca="false">IF(C5282&gt;1,IF(C5282&lt;99,VLOOKUP(F5282,'MSA-Lookup'!$AA$1:$AB$25,2),C5282),C5282)</f>
        <v>6690</v>
      </c>
    </row>
    <row r="5283" customFormat="false" ht="12.75" hidden="false" customHeight="false" outlineLevel="0" collapsed="false">
      <c r="A5283" s="0" t="n">
        <f aca="false">B5283*1000+C5283</f>
        <v>73004</v>
      </c>
      <c r="B5283" s="0" t="n">
        <v>73</v>
      </c>
      <c r="C5283" s="0" t="n">
        <v>4</v>
      </c>
      <c r="D5283" s="0" t="n">
        <v>0</v>
      </c>
      <c r="E5283" s="0" t="n">
        <f aca="false">VLOOKUP(B5283,'MSA-Lookup'!$H$2:$I$86,2)</f>
        <v>8720</v>
      </c>
      <c r="F5283" s="0" t="n">
        <f aca="false">IF(C5283&gt;1,IF(C5283&lt;99,VLOOKUP(C5283,'MSA-Lookup'!$H$1:$I$86,2),C5283),C5283)</f>
        <v>9999</v>
      </c>
      <c r="G5283" s="0" t="n">
        <f aca="false">VLOOKUP(E5283,'MSA-Lookup'!$AA$1:$AB$25,2)</f>
        <v>7362</v>
      </c>
      <c r="H5283" s="0" t="n">
        <f aca="false">IF(C5283&gt;1,IF(C5283&lt;99,VLOOKUP(F5283,'MSA-Lookup'!$AA$1:$AB$25,2),C5283),C5283)</f>
        <v>9999</v>
      </c>
    </row>
    <row r="5284" customFormat="false" ht="12.75" hidden="false" customHeight="false" outlineLevel="0" collapsed="false">
      <c r="A5284" s="0" t="n">
        <f aca="false">B5284*1000+C5284</f>
        <v>73005</v>
      </c>
      <c r="B5284" s="0" t="n">
        <v>73</v>
      </c>
      <c r="C5284" s="0" t="n">
        <v>5</v>
      </c>
      <c r="D5284" s="0" t="n">
        <v>0</v>
      </c>
      <c r="E5284" s="0" t="n">
        <f aca="false">VLOOKUP(B5284,'MSA-Lookup'!$H$2:$I$86,2)</f>
        <v>8720</v>
      </c>
      <c r="F5284" s="0" t="n">
        <f aca="false">IF(C5284&gt;1,IF(C5284&lt;99,VLOOKUP(C5284,'MSA-Lookup'!$H$1:$I$86,2),C5284),C5284)</f>
        <v>9999</v>
      </c>
      <c r="G5284" s="0" t="n">
        <f aca="false">VLOOKUP(E5284,'MSA-Lookup'!$AA$1:$AB$25,2)</f>
        <v>7362</v>
      </c>
      <c r="H5284" s="0" t="n">
        <f aca="false">IF(C5284&gt;1,IF(C5284&lt;99,VLOOKUP(F5284,'MSA-Lookup'!$AA$1:$AB$25,2),C5284),C5284)</f>
        <v>9999</v>
      </c>
    </row>
    <row r="5285" customFormat="false" ht="12.75" hidden="false" customHeight="false" outlineLevel="0" collapsed="false">
      <c r="A5285" s="0" t="n">
        <f aca="false">B5285*1000+C5285</f>
        <v>73006</v>
      </c>
      <c r="B5285" s="0" t="n">
        <v>73</v>
      </c>
      <c r="C5285" s="0" t="n">
        <v>6</v>
      </c>
      <c r="D5285" s="0" t="n">
        <v>0</v>
      </c>
      <c r="E5285" s="0" t="n">
        <f aca="false">VLOOKUP(B5285,'MSA-Lookup'!$H$2:$I$86,2)</f>
        <v>8720</v>
      </c>
      <c r="F5285" s="0" t="n">
        <f aca="false">IF(C5285&gt;1,IF(C5285&lt;99,VLOOKUP(C5285,'MSA-Lookup'!$H$1:$I$86,2),C5285),C5285)</f>
        <v>1620</v>
      </c>
      <c r="G5285" s="0" t="n">
        <f aca="false">VLOOKUP(E5285,'MSA-Lookup'!$AA$1:$AB$25,2)</f>
        <v>7362</v>
      </c>
      <c r="H5285" s="0" t="n">
        <f aca="false">IF(C5285&gt;1,IF(C5285&lt;99,VLOOKUP(F5285,'MSA-Lookup'!$AA$1:$AB$25,2),C5285),C5285)</f>
        <v>1620</v>
      </c>
    </row>
    <row r="5286" customFormat="false" ht="12.75" hidden="false" customHeight="false" outlineLevel="0" collapsed="false">
      <c r="A5286" s="0" t="n">
        <f aca="false">B5286*1000+C5286</f>
        <v>73007</v>
      </c>
      <c r="B5286" s="0" t="n">
        <v>73</v>
      </c>
      <c r="C5286" s="0" t="n">
        <v>7</v>
      </c>
      <c r="D5286" s="0" t="n">
        <v>0</v>
      </c>
      <c r="E5286" s="0" t="n">
        <f aca="false">VLOOKUP(B5286,'MSA-Lookup'!$H$2:$I$86,2)</f>
        <v>8720</v>
      </c>
      <c r="F5286" s="0" t="n">
        <f aca="false">IF(C5286&gt;1,IF(C5286&lt;99,VLOOKUP(C5286,'MSA-Lookup'!$H$1:$I$86,2),C5286),C5286)</f>
        <v>9999</v>
      </c>
      <c r="G5286" s="0" t="n">
        <f aca="false">VLOOKUP(E5286,'MSA-Lookup'!$AA$1:$AB$25,2)</f>
        <v>7362</v>
      </c>
      <c r="H5286" s="0" t="n">
        <f aca="false">IF(C5286&gt;1,IF(C5286&lt;99,VLOOKUP(F5286,'MSA-Lookup'!$AA$1:$AB$25,2),C5286),C5286)</f>
        <v>9999</v>
      </c>
    </row>
    <row r="5287" customFormat="false" ht="12.75" hidden="false" customHeight="false" outlineLevel="0" collapsed="false">
      <c r="A5287" s="0" t="n">
        <f aca="false">B5287*1000+C5287</f>
        <v>73008</v>
      </c>
      <c r="B5287" s="0" t="n">
        <v>73</v>
      </c>
      <c r="C5287" s="0" t="n">
        <v>8</v>
      </c>
      <c r="D5287" s="0" t="n">
        <v>0</v>
      </c>
      <c r="E5287" s="0" t="n">
        <f aca="false">VLOOKUP(B5287,'MSA-Lookup'!$H$2:$I$86,2)</f>
        <v>8720</v>
      </c>
      <c r="F5287" s="0" t="n">
        <f aca="false">IF(C5287&gt;1,IF(C5287&lt;99,VLOOKUP(C5287,'MSA-Lookup'!$H$1:$I$86,2),C5287),C5287)</f>
        <v>9340</v>
      </c>
      <c r="G5287" s="0" t="n">
        <f aca="false">VLOOKUP(E5287,'MSA-Lookup'!$AA$1:$AB$25,2)</f>
        <v>7362</v>
      </c>
      <c r="H5287" s="0" t="n">
        <f aca="false">IF(C5287&gt;1,IF(C5287&lt;99,VLOOKUP(F5287,'MSA-Lookup'!$AA$1:$AB$25,2),C5287),C5287)</f>
        <v>9340</v>
      </c>
    </row>
    <row r="5288" customFormat="false" ht="12.75" hidden="false" customHeight="false" outlineLevel="0" collapsed="false">
      <c r="A5288" s="0" t="n">
        <f aca="false">B5288*1000+C5288</f>
        <v>73009</v>
      </c>
      <c r="B5288" s="0" t="n">
        <v>73</v>
      </c>
      <c r="C5288" s="0" t="n">
        <v>9</v>
      </c>
      <c r="D5288" s="0" t="n">
        <v>1521</v>
      </c>
      <c r="E5288" s="0" t="n">
        <f aca="false">VLOOKUP(B5288,'MSA-Lookup'!$H$2:$I$86,2)</f>
        <v>8720</v>
      </c>
      <c r="F5288" s="0" t="n">
        <f aca="false">IF(C5288&gt;1,IF(C5288&lt;99,VLOOKUP(C5288,'MSA-Lookup'!$H$1:$I$86,2),C5288),C5288)</f>
        <v>8720</v>
      </c>
      <c r="G5288" s="0" t="n">
        <f aca="false">VLOOKUP(E5288,'MSA-Lookup'!$AA$1:$AB$25,2)</f>
        <v>7362</v>
      </c>
      <c r="H5288" s="0" t="n">
        <f aca="false">IF(C5288&gt;1,IF(C5288&lt;99,VLOOKUP(F5288,'MSA-Lookup'!$AA$1:$AB$25,2),C5288),C5288)</f>
        <v>7362</v>
      </c>
    </row>
    <row r="5289" customFormat="false" ht="12.75" hidden="false" customHeight="false" outlineLevel="0" collapsed="false">
      <c r="A5289" s="0" t="n">
        <f aca="false">B5289*1000+C5289</f>
        <v>73010</v>
      </c>
      <c r="B5289" s="0" t="n">
        <v>73</v>
      </c>
      <c r="C5289" s="0" t="n">
        <v>10</v>
      </c>
      <c r="D5289" s="0" t="n">
        <v>0</v>
      </c>
      <c r="E5289" s="0" t="n">
        <f aca="false">VLOOKUP(B5289,'MSA-Lookup'!$H$2:$I$86,2)</f>
        <v>8720</v>
      </c>
      <c r="F5289" s="0" t="n">
        <f aca="false">IF(C5289&gt;1,IF(C5289&lt;99,VLOOKUP(C5289,'MSA-Lookup'!$H$1:$I$86,2),C5289),C5289)</f>
        <v>6920</v>
      </c>
      <c r="G5289" s="0" t="n">
        <f aca="false">VLOOKUP(E5289,'MSA-Lookup'!$AA$1:$AB$25,2)</f>
        <v>7362</v>
      </c>
      <c r="H5289" s="0" t="n">
        <f aca="false">IF(C5289&gt;1,IF(C5289&lt;99,VLOOKUP(F5289,'MSA-Lookup'!$AA$1:$AB$25,2),C5289),C5289)</f>
        <v>6920</v>
      </c>
    </row>
    <row r="5290" customFormat="false" ht="12.75" hidden="false" customHeight="false" outlineLevel="0" collapsed="false">
      <c r="A5290" s="0" t="n">
        <f aca="false">B5290*1000+C5290</f>
        <v>73011</v>
      </c>
      <c r="B5290" s="0" t="n">
        <v>73</v>
      </c>
      <c r="C5290" s="0" t="n">
        <v>11</v>
      </c>
      <c r="D5290" s="0" t="n">
        <v>0</v>
      </c>
      <c r="E5290" s="0" t="n">
        <f aca="false">VLOOKUP(B5290,'MSA-Lookup'!$H$2:$I$86,2)</f>
        <v>8720</v>
      </c>
      <c r="F5290" s="0" t="n">
        <f aca="false">IF(C5290&gt;1,IF(C5290&lt;99,VLOOKUP(C5290,'MSA-Lookup'!$H$1:$I$86,2),C5290),C5290)</f>
        <v>6920</v>
      </c>
      <c r="G5290" s="0" t="n">
        <f aca="false">VLOOKUP(E5290,'MSA-Lookup'!$AA$1:$AB$25,2)</f>
        <v>7362</v>
      </c>
      <c r="H5290" s="0" t="n">
        <f aca="false">IF(C5290&gt;1,IF(C5290&lt;99,VLOOKUP(F5290,'MSA-Lookup'!$AA$1:$AB$25,2),C5290),C5290)</f>
        <v>6920</v>
      </c>
    </row>
    <row r="5291" customFormat="false" ht="12.75" hidden="false" customHeight="false" outlineLevel="0" collapsed="false">
      <c r="A5291" s="0" t="n">
        <f aca="false">B5291*1000+C5291</f>
        <v>73012</v>
      </c>
      <c r="B5291" s="0" t="n">
        <v>73</v>
      </c>
      <c r="C5291" s="0" t="n">
        <v>12</v>
      </c>
      <c r="D5291" s="0" t="n">
        <v>91</v>
      </c>
      <c r="E5291" s="0" t="n">
        <f aca="false">VLOOKUP(B5291,'MSA-Lookup'!$H$2:$I$86,2)</f>
        <v>8720</v>
      </c>
      <c r="F5291" s="0" t="n">
        <f aca="false">IF(C5291&gt;1,IF(C5291&lt;99,VLOOKUP(C5291,'MSA-Lookup'!$H$1:$I$86,2),C5291),C5291)</f>
        <v>6920</v>
      </c>
      <c r="G5291" s="0" t="n">
        <f aca="false">VLOOKUP(E5291,'MSA-Lookup'!$AA$1:$AB$25,2)</f>
        <v>7362</v>
      </c>
      <c r="H5291" s="0" t="n">
        <f aca="false">IF(C5291&gt;1,IF(C5291&lt;99,VLOOKUP(F5291,'MSA-Lookup'!$AA$1:$AB$25,2),C5291),C5291)</f>
        <v>6920</v>
      </c>
    </row>
    <row r="5292" customFormat="false" ht="12.75" hidden="false" customHeight="false" outlineLevel="0" collapsed="false">
      <c r="A5292" s="0" t="n">
        <f aca="false">B5292*1000+C5292</f>
        <v>73013</v>
      </c>
      <c r="B5292" s="0" t="n">
        <v>73</v>
      </c>
      <c r="C5292" s="0" t="n">
        <v>13</v>
      </c>
      <c r="D5292" s="0" t="n">
        <v>0</v>
      </c>
      <c r="E5292" s="0" t="n">
        <f aca="false">VLOOKUP(B5292,'MSA-Lookup'!$H$2:$I$86,2)</f>
        <v>8720</v>
      </c>
      <c r="F5292" s="0" t="n">
        <f aca="false">IF(C5292&gt;1,IF(C5292&lt;99,VLOOKUP(C5292,'MSA-Lookup'!$H$1:$I$86,2),C5292),C5292)</f>
        <v>7500</v>
      </c>
      <c r="G5292" s="0" t="n">
        <f aca="false">VLOOKUP(E5292,'MSA-Lookup'!$AA$1:$AB$25,2)</f>
        <v>7362</v>
      </c>
      <c r="H5292" s="0" t="n">
        <f aca="false">IF(C5292&gt;1,IF(C5292&lt;99,VLOOKUP(F5292,'MSA-Lookup'!$AA$1:$AB$25,2),C5292),C5292)</f>
        <v>7362</v>
      </c>
    </row>
    <row r="5293" customFormat="false" ht="12.75" hidden="false" customHeight="false" outlineLevel="0" collapsed="false">
      <c r="A5293" s="0" t="n">
        <f aca="false">B5293*1000+C5293</f>
        <v>73014</v>
      </c>
      <c r="B5293" s="0" t="n">
        <v>73</v>
      </c>
      <c r="C5293" s="0" t="n">
        <v>14</v>
      </c>
      <c r="D5293" s="0" t="n">
        <v>598</v>
      </c>
      <c r="E5293" s="0" t="n">
        <f aca="false">VLOOKUP(B5293,'MSA-Lookup'!$H$2:$I$86,2)</f>
        <v>8720</v>
      </c>
      <c r="F5293" s="0" t="n">
        <f aca="false">IF(C5293&gt;1,IF(C5293&lt;99,VLOOKUP(C5293,'MSA-Lookup'!$H$1:$I$86,2),C5293),C5293)</f>
        <v>7500</v>
      </c>
      <c r="G5293" s="0" t="n">
        <f aca="false">VLOOKUP(E5293,'MSA-Lookup'!$AA$1:$AB$25,2)</f>
        <v>7362</v>
      </c>
      <c r="H5293" s="0" t="n">
        <f aca="false">IF(C5293&gt;1,IF(C5293&lt;99,VLOOKUP(F5293,'MSA-Lookup'!$AA$1:$AB$25,2),C5293),C5293)</f>
        <v>7362</v>
      </c>
    </row>
    <row r="5294" customFormat="false" ht="12.75" hidden="false" customHeight="false" outlineLevel="0" collapsed="false">
      <c r="A5294" s="0" t="n">
        <f aca="false">B5294*1000+C5294</f>
        <v>73015</v>
      </c>
      <c r="B5294" s="0" t="n">
        <v>73</v>
      </c>
      <c r="C5294" s="0" t="n">
        <v>15</v>
      </c>
      <c r="D5294" s="0" t="n">
        <v>585</v>
      </c>
      <c r="E5294" s="0" t="n">
        <f aca="false">VLOOKUP(B5294,'MSA-Lookup'!$H$2:$I$86,2)</f>
        <v>8720</v>
      </c>
      <c r="F5294" s="0" t="n">
        <f aca="false">IF(C5294&gt;1,IF(C5294&lt;99,VLOOKUP(C5294,'MSA-Lookup'!$H$1:$I$86,2),C5294),C5294)</f>
        <v>7360</v>
      </c>
      <c r="G5294" s="0" t="n">
        <f aca="false">VLOOKUP(E5294,'MSA-Lookup'!$AA$1:$AB$25,2)</f>
        <v>7362</v>
      </c>
      <c r="H5294" s="0" t="n">
        <f aca="false">IF(C5294&gt;1,IF(C5294&lt;99,VLOOKUP(F5294,'MSA-Lookup'!$AA$1:$AB$25,2),C5294),C5294)</f>
        <v>7362</v>
      </c>
    </row>
    <row r="5295" customFormat="false" ht="12.75" hidden="false" customHeight="false" outlineLevel="0" collapsed="false">
      <c r="A5295" s="0" t="n">
        <f aca="false">B5295*1000+C5295</f>
        <v>73016</v>
      </c>
      <c r="B5295" s="0" t="n">
        <v>73</v>
      </c>
      <c r="C5295" s="0" t="n">
        <v>16</v>
      </c>
      <c r="D5295" s="0" t="n">
        <v>5122</v>
      </c>
      <c r="E5295" s="0" t="n">
        <f aca="false">VLOOKUP(B5295,'MSA-Lookup'!$H$2:$I$86,2)</f>
        <v>8720</v>
      </c>
      <c r="F5295" s="0" t="n">
        <f aca="false">IF(C5295&gt;1,IF(C5295&lt;99,VLOOKUP(C5295,'MSA-Lookup'!$H$1:$I$86,2),C5295),C5295)</f>
        <v>8720</v>
      </c>
      <c r="G5295" s="0" t="n">
        <f aca="false">VLOOKUP(E5295,'MSA-Lookup'!$AA$1:$AB$25,2)</f>
        <v>7362</v>
      </c>
      <c r="H5295" s="0" t="n">
        <f aca="false">IF(C5295&gt;1,IF(C5295&lt;99,VLOOKUP(F5295,'MSA-Lookup'!$AA$1:$AB$25,2),C5295),C5295)</f>
        <v>7362</v>
      </c>
    </row>
    <row r="5296" customFormat="false" ht="12.75" hidden="false" customHeight="false" outlineLevel="0" collapsed="false">
      <c r="A5296" s="0" t="n">
        <f aca="false">B5296*1000+C5296</f>
        <v>73017</v>
      </c>
      <c r="B5296" s="0" t="n">
        <v>73</v>
      </c>
      <c r="C5296" s="0" t="n">
        <v>17</v>
      </c>
      <c r="D5296" s="0" t="n">
        <v>2327</v>
      </c>
      <c r="E5296" s="0" t="n">
        <f aca="false">VLOOKUP(B5296,'MSA-Lookup'!$H$2:$I$86,2)</f>
        <v>8720</v>
      </c>
      <c r="F5296" s="0" t="n">
        <f aca="false">IF(C5296&gt;1,IF(C5296&lt;99,VLOOKUP(C5296,'MSA-Lookup'!$H$1:$I$86,2),C5296),C5296)</f>
        <v>5775</v>
      </c>
      <c r="G5296" s="0" t="n">
        <f aca="false">VLOOKUP(E5296,'MSA-Lookup'!$AA$1:$AB$25,2)</f>
        <v>7362</v>
      </c>
      <c r="H5296" s="0" t="n">
        <f aca="false">IF(C5296&gt;1,IF(C5296&lt;99,VLOOKUP(F5296,'MSA-Lookup'!$AA$1:$AB$25,2),C5296),C5296)</f>
        <v>7362</v>
      </c>
    </row>
    <row r="5297" customFormat="false" ht="12.75" hidden="false" customHeight="false" outlineLevel="0" collapsed="false">
      <c r="A5297" s="0" t="n">
        <f aca="false">B5297*1000+C5297</f>
        <v>73018</v>
      </c>
      <c r="B5297" s="0" t="n">
        <v>73</v>
      </c>
      <c r="C5297" s="0" t="n">
        <v>18</v>
      </c>
      <c r="D5297" s="0" t="n">
        <v>6435</v>
      </c>
      <c r="E5297" s="0" t="n">
        <f aca="false">VLOOKUP(B5297,'MSA-Lookup'!$H$2:$I$86,2)</f>
        <v>8720</v>
      </c>
      <c r="F5297" s="0" t="n">
        <f aca="false">IF(C5297&gt;1,IF(C5297&lt;99,VLOOKUP(C5297,'MSA-Lookup'!$H$1:$I$86,2),C5297),C5297)</f>
        <v>5775</v>
      </c>
      <c r="G5297" s="0" t="n">
        <f aca="false">VLOOKUP(E5297,'MSA-Lookup'!$AA$1:$AB$25,2)</f>
        <v>7362</v>
      </c>
      <c r="H5297" s="0" t="n">
        <f aca="false">IF(C5297&gt;1,IF(C5297&lt;99,VLOOKUP(F5297,'MSA-Lookup'!$AA$1:$AB$25,2),C5297),C5297)</f>
        <v>7362</v>
      </c>
    </row>
    <row r="5298" customFormat="false" ht="12.75" hidden="false" customHeight="false" outlineLevel="0" collapsed="false">
      <c r="A5298" s="0" t="n">
        <f aca="false">B5298*1000+C5298</f>
        <v>73019</v>
      </c>
      <c r="B5298" s="0" t="n">
        <v>73</v>
      </c>
      <c r="C5298" s="0" t="n">
        <v>19</v>
      </c>
      <c r="D5298" s="0" t="n">
        <v>4433</v>
      </c>
      <c r="E5298" s="0" t="n">
        <f aca="false">VLOOKUP(B5298,'MSA-Lookup'!$H$2:$I$86,2)</f>
        <v>8720</v>
      </c>
      <c r="F5298" s="0" t="n">
        <f aca="false">IF(C5298&gt;1,IF(C5298&lt;99,VLOOKUP(C5298,'MSA-Lookup'!$H$1:$I$86,2),C5298),C5298)</f>
        <v>7360</v>
      </c>
      <c r="G5298" s="0" t="n">
        <f aca="false">VLOOKUP(E5298,'MSA-Lookup'!$AA$1:$AB$25,2)</f>
        <v>7362</v>
      </c>
      <c r="H5298" s="0" t="n">
        <f aca="false">IF(C5298&gt;1,IF(C5298&lt;99,VLOOKUP(F5298,'MSA-Lookup'!$AA$1:$AB$25,2),C5298),C5298)</f>
        <v>7362</v>
      </c>
    </row>
    <row r="5299" customFormat="false" ht="12.75" hidden="false" customHeight="false" outlineLevel="0" collapsed="false">
      <c r="A5299" s="0" t="n">
        <f aca="false">B5299*1000+C5299</f>
        <v>73020</v>
      </c>
      <c r="B5299" s="0" t="n">
        <v>73</v>
      </c>
      <c r="C5299" s="0" t="n">
        <v>20</v>
      </c>
      <c r="D5299" s="0" t="n">
        <v>1326</v>
      </c>
      <c r="E5299" s="0" t="n">
        <f aca="false">VLOOKUP(B5299,'MSA-Lookup'!$H$2:$I$86,2)</f>
        <v>8720</v>
      </c>
      <c r="F5299" s="0" t="n">
        <f aca="false">IF(C5299&gt;1,IF(C5299&lt;99,VLOOKUP(C5299,'MSA-Lookup'!$H$1:$I$86,2),C5299),C5299)</f>
        <v>5775</v>
      </c>
      <c r="G5299" s="0" t="n">
        <f aca="false">VLOOKUP(E5299,'MSA-Lookup'!$AA$1:$AB$25,2)</f>
        <v>7362</v>
      </c>
      <c r="H5299" s="0" t="n">
        <f aca="false">IF(C5299&gt;1,IF(C5299&lt;99,VLOOKUP(F5299,'MSA-Lookup'!$AA$1:$AB$25,2),C5299),C5299)</f>
        <v>7362</v>
      </c>
    </row>
    <row r="5300" customFormat="false" ht="12.75" hidden="false" customHeight="false" outlineLevel="0" collapsed="false">
      <c r="A5300" s="0" t="n">
        <f aca="false">B5300*1000+C5300</f>
        <v>73021</v>
      </c>
      <c r="B5300" s="0" t="n">
        <v>73</v>
      </c>
      <c r="C5300" s="0" t="n">
        <v>21</v>
      </c>
      <c r="D5300" s="0" t="n">
        <v>3913</v>
      </c>
      <c r="E5300" s="0" t="n">
        <f aca="false">VLOOKUP(B5300,'MSA-Lookup'!$H$2:$I$86,2)</f>
        <v>8720</v>
      </c>
      <c r="F5300" s="0" t="n">
        <f aca="false">IF(C5300&gt;1,IF(C5300&lt;99,VLOOKUP(C5300,'MSA-Lookup'!$H$1:$I$86,2),C5300),C5300)</f>
        <v>5775</v>
      </c>
      <c r="G5300" s="0" t="n">
        <f aca="false">VLOOKUP(E5300,'MSA-Lookup'!$AA$1:$AB$25,2)</f>
        <v>7362</v>
      </c>
      <c r="H5300" s="0" t="n">
        <f aca="false">IF(C5300&gt;1,IF(C5300&lt;99,VLOOKUP(F5300,'MSA-Lookup'!$AA$1:$AB$25,2),C5300),C5300)</f>
        <v>7362</v>
      </c>
    </row>
    <row r="5301" customFormat="false" ht="12.75" hidden="false" customHeight="false" outlineLevel="0" collapsed="false">
      <c r="A5301" s="0" t="n">
        <f aca="false">B5301*1000+C5301</f>
        <v>73022</v>
      </c>
      <c r="B5301" s="0" t="n">
        <v>73</v>
      </c>
      <c r="C5301" s="0" t="n">
        <v>22</v>
      </c>
      <c r="D5301" s="0" t="n">
        <v>1040</v>
      </c>
      <c r="E5301" s="0" t="n">
        <f aca="false">VLOOKUP(B5301,'MSA-Lookup'!$H$2:$I$86,2)</f>
        <v>8720</v>
      </c>
      <c r="F5301" s="0" t="n">
        <f aca="false">IF(C5301&gt;1,IF(C5301&lt;99,VLOOKUP(C5301,'MSA-Lookup'!$H$1:$I$86,2),C5301),C5301)</f>
        <v>7360</v>
      </c>
      <c r="G5301" s="0" t="n">
        <f aca="false">VLOOKUP(E5301,'MSA-Lookup'!$AA$1:$AB$25,2)</f>
        <v>7362</v>
      </c>
      <c r="H5301" s="0" t="n">
        <f aca="false">IF(C5301&gt;1,IF(C5301&lt;99,VLOOKUP(F5301,'MSA-Lookup'!$AA$1:$AB$25,2),C5301),C5301)</f>
        <v>7362</v>
      </c>
    </row>
    <row r="5302" customFormat="false" ht="12.75" hidden="false" customHeight="false" outlineLevel="0" collapsed="false">
      <c r="A5302" s="0" t="n">
        <f aca="false">B5302*1000+C5302</f>
        <v>73023</v>
      </c>
      <c r="B5302" s="0" t="n">
        <v>73</v>
      </c>
      <c r="C5302" s="0" t="n">
        <v>23</v>
      </c>
      <c r="D5302" s="0" t="n">
        <v>0</v>
      </c>
      <c r="E5302" s="0" t="n">
        <f aca="false">VLOOKUP(B5302,'MSA-Lookup'!$H$2:$I$86,2)</f>
        <v>8720</v>
      </c>
      <c r="F5302" s="0" t="n">
        <f aca="false">IF(C5302&gt;1,IF(C5302&lt;99,VLOOKUP(C5302,'MSA-Lookup'!$H$1:$I$86,2),C5302),C5302)</f>
        <v>8120</v>
      </c>
      <c r="G5302" s="0" t="n">
        <f aca="false">VLOOKUP(E5302,'MSA-Lookup'!$AA$1:$AB$25,2)</f>
        <v>7362</v>
      </c>
      <c r="H5302" s="0" t="n">
        <f aca="false">IF(C5302&gt;1,IF(C5302&lt;99,VLOOKUP(F5302,'MSA-Lookup'!$AA$1:$AB$25,2),C5302),C5302)</f>
        <v>8120</v>
      </c>
    </row>
    <row r="5303" customFormat="false" ht="12.75" hidden="false" customHeight="false" outlineLevel="0" collapsed="false">
      <c r="A5303" s="0" t="n">
        <f aca="false">B5303*1000+C5303</f>
        <v>73024</v>
      </c>
      <c r="B5303" s="0" t="n">
        <v>73</v>
      </c>
      <c r="C5303" s="0" t="n">
        <v>24</v>
      </c>
      <c r="D5303" s="0" t="n">
        <v>0</v>
      </c>
      <c r="E5303" s="0" t="n">
        <f aca="false">VLOOKUP(B5303,'MSA-Lookup'!$H$2:$I$86,2)</f>
        <v>8720</v>
      </c>
      <c r="F5303" s="0" t="n">
        <f aca="false">IF(C5303&gt;1,IF(C5303&lt;99,VLOOKUP(C5303,'MSA-Lookup'!$H$1:$I$86,2),C5303),C5303)</f>
        <v>5170</v>
      </c>
      <c r="G5303" s="0" t="n">
        <f aca="false">VLOOKUP(E5303,'MSA-Lookup'!$AA$1:$AB$25,2)</f>
        <v>7362</v>
      </c>
      <c r="H5303" s="0" t="n">
        <f aca="false">IF(C5303&gt;1,IF(C5303&lt;99,VLOOKUP(F5303,'MSA-Lookup'!$AA$1:$AB$25,2),C5303),C5303)</f>
        <v>5170</v>
      </c>
    </row>
    <row r="5304" customFormat="false" ht="12.75" hidden="false" customHeight="false" outlineLevel="0" collapsed="false">
      <c r="A5304" s="0" t="n">
        <f aca="false">B5304*1000+C5304</f>
        <v>73025</v>
      </c>
      <c r="B5304" s="0" t="n">
        <v>73</v>
      </c>
      <c r="C5304" s="0" t="n">
        <v>25</v>
      </c>
      <c r="D5304" s="0" t="n">
        <v>0</v>
      </c>
      <c r="E5304" s="0" t="n">
        <f aca="false">VLOOKUP(B5304,'MSA-Lookup'!$H$2:$I$86,2)</f>
        <v>8720</v>
      </c>
      <c r="F5304" s="0" t="n">
        <f aca="false">IF(C5304&gt;1,IF(C5304&lt;99,VLOOKUP(C5304,'MSA-Lookup'!$H$1:$I$86,2),C5304),C5304)</f>
        <v>5170</v>
      </c>
      <c r="G5304" s="0" t="n">
        <f aca="false">VLOOKUP(E5304,'MSA-Lookup'!$AA$1:$AB$25,2)</f>
        <v>7362</v>
      </c>
      <c r="H5304" s="0" t="n">
        <f aca="false">IF(C5304&gt;1,IF(C5304&lt;99,VLOOKUP(F5304,'MSA-Lookup'!$AA$1:$AB$25,2),C5304),C5304)</f>
        <v>5170</v>
      </c>
    </row>
    <row r="5305" customFormat="false" ht="12.75" hidden="false" customHeight="false" outlineLevel="0" collapsed="false">
      <c r="A5305" s="0" t="n">
        <f aca="false">B5305*1000+C5305</f>
        <v>73026</v>
      </c>
      <c r="B5305" s="0" t="n">
        <v>73</v>
      </c>
      <c r="C5305" s="0" t="n">
        <v>26</v>
      </c>
      <c r="D5305" s="0" t="n">
        <v>0</v>
      </c>
      <c r="E5305" s="0" t="n">
        <f aca="false">VLOOKUP(B5305,'MSA-Lookup'!$H$2:$I$86,2)</f>
        <v>8720</v>
      </c>
      <c r="F5305" s="0" t="n">
        <f aca="false">IF(C5305&gt;1,IF(C5305&lt;99,VLOOKUP(C5305,'MSA-Lookup'!$H$1:$I$86,2),C5305),C5305)</f>
        <v>9999</v>
      </c>
      <c r="G5305" s="0" t="n">
        <f aca="false">VLOOKUP(E5305,'MSA-Lookup'!$AA$1:$AB$25,2)</f>
        <v>7362</v>
      </c>
      <c r="H5305" s="0" t="n">
        <f aca="false">IF(C5305&gt;1,IF(C5305&lt;99,VLOOKUP(F5305,'MSA-Lookup'!$AA$1:$AB$25,2),C5305),C5305)</f>
        <v>9999</v>
      </c>
    </row>
    <row r="5306" customFormat="false" ht="12.75" hidden="false" customHeight="false" outlineLevel="0" collapsed="false">
      <c r="A5306" s="0" t="n">
        <f aca="false">B5306*1000+C5306</f>
        <v>73027</v>
      </c>
      <c r="B5306" s="0" t="n">
        <v>73</v>
      </c>
      <c r="C5306" s="0" t="n">
        <v>27</v>
      </c>
      <c r="D5306" s="0" t="n">
        <v>0</v>
      </c>
      <c r="E5306" s="0" t="n">
        <f aca="false">VLOOKUP(B5306,'MSA-Lookup'!$H$2:$I$86,2)</f>
        <v>8720</v>
      </c>
      <c r="F5306" s="0" t="n">
        <f aca="false">IF(C5306&gt;1,IF(C5306&lt;99,VLOOKUP(C5306,'MSA-Lookup'!$H$1:$I$86,2),C5306),C5306)</f>
        <v>9999</v>
      </c>
      <c r="G5306" s="0" t="n">
        <f aca="false">VLOOKUP(E5306,'MSA-Lookup'!$AA$1:$AB$25,2)</f>
        <v>7362</v>
      </c>
      <c r="H5306" s="0" t="n">
        <f aca="false">IF(C5306&gt;1,IF(C5306&lt;99,VLOOKUP(F5306,'MSA-Lookup'!$AA$1:$AB$25,2),C5306),C5306)</f>
        <v>9999</v>
      </c>
    </row>
    <row r="5307" customFormat="false" ht="12.75" hidden="false" customHeight="false" outlineLevel="0" collapsed="false">
      <c r="A5307" s="0" t="n">
        <f aca="false">B5307*1000+C5307</f>
        <v>73028</v>
      </c>
      <c r="B5307" s="0" t="n">
        <v>73</v>
      </c>
      <c r="C5307" s="0" t="n">
        <v>28</v>
      </c>
      <c r="D5307" s="0" t="n">
        <v>52</v>
      </c>
      <c r="E5307" s="0" t="n">
        <f aca="false">VLOOKUP(B5307,'MSA-Lookup'!$H$2:$I$86,2)</f>
        <v>8720</v>
      </c>
      <c r="F5307" s="0" t="n">
        <f aca="false">IF(C5307&gt;1,IF(C5307&lt;99,VLOOKUP(C5307,'MSA-Lookup'!$H$1:$I$86,2),C5307),C5307)</f>
        <v>6920</v>
      </c>
      <c r="G5307" s="0" t="n">
        <f aca="false">VLOOKUP(E5307,'MSA-Lookup'!$AA$1:$AB$25,2)</f>
        <v>7362</v>
      </c>
      <c r="H5307" s="0" t="n">
        <f aca="false">IF(C5307&gt;1,IF(C5307&lt;99,VLOOKUP(F5307,'MSA-Lookup'!$AA$1:$AB$25,2),C5307),C5307)</f>
        <v>6920</v>
      </c>
    </row>
    <row r="5308" customFormat="false" ht="12.75" hidden="false" customHeight="false" outlineLevel="0" collapsed="false">
      <c r="A5308" s="0" t="n">
        <f aca="false">B5308*1000+C5308</f>
        <v>73029</v>
      </c>
      <c r="B5308" s="0" t="n">
        <v>73</v>
      </c>
      <c r="C5308" s="0" t="n">
        <v>29</v>
      </c>
      <c r="D5308" s="0" t="n">
        <v>104</v>
      </c>
      <c r="E5308" s="0" t="n">
        <f aca="false">VLOOKUP(B5308,'MSA-Lookup'!$H$2:$I$86,2)</f>
        <v>8720</v>
      </c>
      <c r="F5308" s="0" t="n">
        <f aca="false">IF(C5308&gt;1,IF(C5308&lt;99,VLOOKUP(C5308,'MSA-Lookup'!$H$1:$I$86,2),C5308),C5308)</f>
        <v>6920</v>
      </c>
      <c r="G5308" s="0" t="n">
        <f aca="false">VLOOKUP(E5308,'MSA-Lookup'!$AA$1:$AB$25,2)</f>
        <v>7362</v>
      </c>
      <c r="H5308" s="0" t="n">
        <f aca="false">IF(C5308&gt;1,IF(C5308&lt;99,VLOOKUP(F5308,'MSA-Lookup'!$AA$1:$AB$25,2),C5308),C5308)</f>
        <v>6920</v>
      </c>
    </row>
    <row r="5309" customFormat="false" ht="12.75" hidden="false" customHeight="false" outlineLevel="0" collapsed="false">
      <c r="A5309" s="0" t="n">
        <f aca="false">B5309*1000+C5309</f>
        <v>73030</v>
      </c>
      <c r="B5309" s="0" t="n">
        <v>73</v>
      </c>
      <c r="C5309" s="0" t="n">
        <v>30</v>
      </c>
      <c r="D5309" s="0" t="n">
        <v>0</v>
      </c>
      <c r="E5309" s="0" t="n">
        <f aca="false">VLOOKUP(B5309,'MSA-Lookup'!$H$2:$I$86,2)</f>
        <v>8720</v>
      </c>
      <c r="F5309" s="0" t="n">
        <f aca="false">IF(C5309&gt;1,IF(C5309&lt;99,VLOOKUP(C5309,'MSA-Lookup'!$H$1:$I$86,2),C5309),C5309)</f>
        <v>4940</v>
      </c>
      <c r="G5309" s="0" t="n">
        <f aca="false">VLOOKUP(E5309,'MSA-Lookup'!$AA$1:$AB$25,2)</f>
        <v>7362</v>
      </c>
      <c r="H5309" s="0" t="n">
        <f aca="false">IF(C5309&gt;1,IF(C5309&lt;99,VLOOKUP(F5309,'MSA-Lookup'!$AA$1:$AB$25,2),C5309),C5309)</f>
        <v>4940</v>
      </c>
    </row>
    <row r="5310" customFormat="false" ht="12.75" hidden="false" customHeight="false" outlineLevel="0" collapsed="false">
      <c r="A5310" s="0" t="n">
        <f aca="false">B5310*1000+C5310</f>
        <v>73031</v>
      </c>
      <c r="B5310" s="0" t="n">
        <v>73</v>
      </c>
      <c r="C5310" s="0" t="n">
        <v>31</v>
      </c>
      <c r="D5310" s="0" t="n">
        <v>0</v>
      </c>
      <c r="E5310" s="0" t="n">
        <f aca="false">VLOOKUP(B5310,'MSA-Lookup'!$H$2:$I$86,2)</f>
        <v>8720</v>
      </c>
      <c r="F5310" s="0" t="n">
        <f aca="false">IF(C5310&gt;1,IF(C5310&lt;99,VLOOKUP(C5310,'MSA-Lookup'!$H$1:$I$86,2),C5310),C5310)</f>
        <v>9999</v>
      </c>
      <c r="G5310" s="0" t="n">
        <f aca="false">VLOOKUP(E5310,'MSA-Lookup'!$AA$1:$AB$25,2)</f>
        <v>7362</v>
      </c>
      <c r="H5310" s="0" t="n">
        <f aca="false">IF(C5310&gt;1,IF(C5310&lt;99,VLOOKUP(F5310,'MSA-Lookup'!$AA$1:$AB$25,2),C5310),C5310)</f>
        <v>9999</v>
      </c>
    </row>
    <row r="5311" customFormat="false" ht="12.75" hidden="false" customHeight="false" outlineLevel="0" collapsed="false">
      <c r="A5311" s="0" t="n">
        <f aca="false">B5311*1000+C5311</f>
        <v>73032</v>
      </c>
      <c r="B5311" s="0" t="n">
        <v>73</v>
      </c>
      <c r="C5311" s="0" t="n">
        <v>32</v>
      </c>
      <c r="D5311" s="0" t="n">
        <v>0</v>
      </c>
      <c r="E5311" s="0" t="n">
        <f aca="false">VLOOKUP(B5311,'MSA-Lookup'!$H$2:$I$86,2)</f>
        <v>8720</v>
      </c>
      <c r="F5311" s="0" t="n">
        <f aca="false">IF(C5311&gt;1,IF(C5311&lt;99,VLOOKUP(C5311,'MSA-Lookup'!$H$1:$I$86,2),C5311),C5311)</f>
        <v>7480</v>
      </c>
      <c r="G5311" s="0" t="n">
        <f aca="false">VLOOKUP(E5311,'MSA-Lookup'!$AA$1:$AB$25,2)</f>
        <v>7362</v>
      </c>
      <c r="H5311" s="0" t="n">
        <f aca="false">IF(C5311&gt;1,IF(C5311&lt;99,VLOOKUP(F5311,'MSA-Lookup'!$AA$1:$AB$25,2),C5311),C5311)</f>
        <v>7480</v>
      </c>
    </row>
    <row r="5312" customFormat="false" ht="12.75" hidden="false" customHeight="false" outlineLevel="0" collapsed="false">
      <c r="A5312" s="0" t="n">
        <f aca="false">B5312*1000+C5312</f>
        <v>73033</v>
      </c>
      <c r="B5312" s="0" t="n">
        <v>73</v>
      </c>
      <c r="C5312" s="0" t="n">
        <v>33</v>
      </c>
      <c r="D5312" s="0" t="n">
        <v>0</v>
      </c>
      <c r="E5312" s="0" t="n">
        <f aca="false">VLOOKUP(B5312,'MSA-Lookup'!$H$2:$I$86,2)</f>
        <v>8720</v>
      </c>
      <c r="F5312" s="0" t="n">
        <f aca="false">IF(C5312&gt;1,IF(C5312&lt;99,VLOOKUP(C5312,'MSA-Lookup'!$H$1:$I$86,2),C5312),C5312)</f>
        <v>7320</v>
      </c>
      <c r="G5312" s="0" t="n">
        <f aca="false">VLOOKUP(E5312,'MSA-Lookup'!$AA$1:$AB$25,2)</f>
        <v>7362</v>
      </c>
      <c r="H5312" s="0" t="n">
        <f aca="false">IF(C5312&gt;1,IF(C5312&lt;99,VLOOKUP(F5312,'MSA-Lookup'!$AA$1:$AB$25,2),C5312),C5312)</f>
        <v>7320</v>
      </c>
    </row>
    <row r="5313" customFormat="false" ht="12.75" hidden="false" customHeight="false" outlineLevel="0" collapsed="false">
      <c r="A5313" s="0" t="n">
        <f aca="false">B5313*1000+C5313</f>
        <v>73034</v>
      </c>
      <c r="B5313" s="0" t="n">
        <v>73</v>
      </c>
      <c r="C5313" s="0" t="n">
        <v>34</v>
      </c>
      <c r="D5313" s="0" t="n">
        <v>0</v>
      </c>
      <c r="E5313" s="0" t="n">
        <f aca="false">VLOOKUP(B5313,'MSA-Lookup'!$H$2:$I$86,2)</f>
        <v>8720</v>
      </c>
      <c r="F5313" s="0" t="n">
        <f aca="false">IF(C5313&gt;1,IF(C5313&lt;99,VLOOKUP(C5313,'MSA-Lookup'!$H$1:$I$86,2),C5313),C5313)</f>
        <v>7320</v>
      </c>
      <c r="G5313" s="0" t="n">
        <f aca="false">VLOOKUP(E5313,'MSA-Lookup'!$AA$1:$AB$25,2)</f>
        <v>7362</v>
      </c>
      <c r="H5313" s="0" t="n">
        <f aca="false">IF(C5313&gt;1,IF(C5313&lt;99,VLOOKUP(F5313,'MSA-Lookup'!$AA$1:$AB$25,2),C5313),C5313)</f>
        <v>7320</v>
      </c>
    </row>
    <row r="5314" customFormat="false" ht="12.75" hidden="false" customHeight="false" outlineLevel="0" collapsed="false">
      <c r="A5314" s="0" t="n">
        <f aca="false">B5314*1000+C5314</f>
        <v>73035</v>
      </c>
      <c r="B5314" s="0" t="n">
        <v>73</v>
      </c>
      <c r="C5314" s="0" t="n">
        <v>35</v>
      </c>
      <c r="D5314" s="0" t="n">
        <v>0</v>
      </c>
      <c r="E5314" s="0" t="n">
        <f aca="false">VLOOKUP(B5314,'MSA-Lookup'!$H$2:$I$86,2)</f>
        <v>8720</v>
      </c>
      <c r="F5314" s="0" t="n">
        <f aca="false">IF(C5314&gt;1,IF(C5314&lt;99,VLOOKUP(C5314,'MSA-Lookup'!$H$1:$I$86,2),C5314),C5314)</f>
        <v>7320</v>
      </c>
      <c r="G5314" s="0" t="n">
        <f aca="false">VLOOKUP(E5314,'MSA-Lookup'!$AA$1:$AB$25,2)</f>
        <v>7362</v>
      </c>
      <c r="H5314" s="0" t="n">
        <f aca="false">IF(C5314&gt;1,IF(C5314&lt;99,VLOOKUP(F5314,'MSA-Lookup'!$AA$1:$AB$25,2),C5314),C5314)</f>
        <v>7320</v>
      </c>
    </row>
    <row r="5315" customFormat="false" ht="12.75" hidden="false" customHeight="false" outlineLevel="0" collapsed="false">
      <c r="A5315" s="0" t="n">
        <f aca="false">B5315*1000+C5315</f>
        <v>73036</v>
      </c>
      <c r="B5315" s="0" t="n">
        <v>73</v>
      </c>
      <c r="C5315" s="0" t="n">
        <v>36</v>
      </c>
      <c r="D5315" s="0" t="n">
        <v>0</v>
      </c>
      <c r="E5315" s="0" t="n">
        <f aca="false">VLOOKUP(B5315,'MSA-Lookup'!$H$2:$I$86,2)</f>
        <v>8720</v>
      </c>
      <c r="F5315" s="0" t="n">
        <f aca="false">IF(C5315&gt;1,IF(C5315&lt;99,VLOOKUP(C5315,'MSA-Lookup'!$H$1:$I$86,2),C5315),C5315)</f>
        <v>7320</v>
      </c>
      <c r="G5315" s="0" t="n">
        <f aca="false">VLOOKUP(E5315,'MSA-Lookup'!$AA$1:$AB$25,2)</f>
        <v>7362</v>
      </c>
      <c r="H5315" s="0" t="n">
        <f aca="false">IF(C5315&gt;1,IF(C5315&lt;99,VLOOKUP(F5315,'MSA-Lookup'!$AA$1:$AB$25,2),C5315),C5315)</f>
        <v>7320</v>
      </c>
    </row>
    <row r="5316" customFormat="false" ht="12.75" hidden="false" customHeight="false" outlineLevel="0" collapsed="false">
      <c r="A5316" s="0" t="n">
        <f aca="false">B5316*1000+C5316</f>
        <v>73037</v>
      </c>
      <c r="B5316" s="0" t="n">
        <v>73</v>
      </c>
      <c r="C5316" s="0" t="n">
        <v>37</v>
      </c>
      <c r="D5316" s="0" t="n">
        <v>0</v>
      </c>
      <c r="E5316" s="0" t="n">
        <f aca="false">VLOOKUP(B5316,'MSA-Lookup'!$H$2:$I$86,2)</f>
        <v>8720</v>
      </c>
      <c r="F5316" s="0" t="n">
        <f aca="false">IF(C5316&gt;1,IF(C5316&lt;99,VLOOKUP(C5316,'MSA-Lookup'!$H$1:$I$86,2),C5316),C5316)</f>
        <v>7320</v>
      </c>
      <c r="G5316" s="0" t="n">
        <f aca="false">VLOOKUP(E5316,'MSA-Lookup'!$AA$1:$AB$25,2)</f>
        <v>7362</v>
      </c>
      <c r="H5316" s="0" t="n">
        <f aca="false">IF(C5316&gt;1,IF(C5316&lt;99,VLOOKUP(F5316,'MSA-Lookup'!$AA$1:$AB$25,2),C5316),C5316)</f>
        <v>7320</v>
      </c>
    </row>
    <row r="5317" customFormat="false" ht="12.75" hidden="false" customHeight="false" outlineLevel="0" collapsed="false">
      <c r="A5317" s="0" t="n">
        <f aca="false">B5317*1000+C5317</f>
        <v>73038</v>
      </c>
      <c r="B5317" s="0" t="n">
        <v>73</v>
      </c>
      <c r="C5317" s="0" t="n">
        <v>38</v>
      </c>
      <c r="D5317" s="0" t="n">
        <v>0</v>
      </c>
      <c r="E5317" s="0" t="n">
        <f aca="false">VLOOKUP(B5317,'MSA-Lookup'!$H$2:$I$86,2)</f>
        <v>8720</v>
      </c>
      <c r="F5317" s="0" t="n">
        <f aca="false">IF(C5317&gt;1,IF(C5317&lt;99,VLOOKUP(C5317,'MSA-Lookup'!$H$1:$I$86,2),C5317),C5317)</f>
        <v>7120</v>
      </c>
      <c r="G5317" s="0" t="n">
        <f aca="false">VLOOKUP(E5317,'MSA-Lookup'!$AA$1:$AB$25,2)</f>
        <v>7362</v>
      </c>
      <c r="H5317" s="0" t="n">
        <f aca="false">IF(C5317&gt;1,IF(C5317&lt;99,VLOOKUP(F5317,'MSA-Lookup'!$AA$1:$AB$25,2),C5317),C5317)</f>
        <v>7120</v>
      </c>
    </row>
    <row r="5318" customFormat="false" ht="12.75" hidden="false" customHeight="false" outlineLevel="0" collapsed="false">
      <c r="A5318" s="0" t="n">
        <f aca="false">B5318*1000+C5318</f>
        <v>73039</v>
      </c>
      <c r="B5318" s="0" t="n">
        <v>73</v>
      </c>
      <c r="C5318" s="0" t="n">
        <v>39</v>
      </c>
      <c r="D5318" s="0" t="n">
        <v>0</v>
      </c>
      <c r="E5318" s="0" t="n">
        <f aca="false">VLOOKUP(B5318,'MSA-Lookup'!$H$2:$I$86,2)</f>
        <v>8720</v>
      </c>
      <c r="F5318" s="0" t="n">
        <f aca="false">IF(C5318&gt;1,IF(C5318&lt;99,VLOOKUP(C5318,'MSA-Lookup'!$H$1:$I$86,2),C5318),C5318)</f>
        <v>7120</v>
      </c>
      <c r="G5318" s="0" t="n">
        <f aca="false">VLOOKUP(E5318,'MSA-Lookup'!$AA$1:$AB$25,2)</f>
        <v>7362</v>
      </c>
      <c r="H5318" s="0" t="n">
        <f aca="false">IF(C5318&gt;1,IF(C5318&lt;99,VLOOKUP(F5318,'MSA-Lookup'!$AA$1:$AB$25,2),C5318),C5318)</f>
        <v>7120</v>
      </c>
    </row>
    <row r="5319" customFormat="false" ht="12.75" hidden="false" customHeight="false" outlineLevel="0" collapsed="false">
      <c r="A5319" s="0" t="n">
        <f aca="false">B5319*1000+C5319</f>
        <v>73040</v>
      </c>
      <c r="B5319" s="0" t="n">
        <v>73</v>
      </c>
      <c r="C5319" s="0" t="n">
        <v>40</v>
      </c>
      <c r="D5319" s="0" t="n">
        <v>0</v>
      </c>
      <c r="E5319" s="0" t="n">
        <f aca="false">VLOOKUP(B5319,'MSA-Lookup'!$H$2:$I$86,2)</f>
        <v>8720</v>
      </c>
      <c r="F5319" s="0" t="n">
        <f aca="false">IF(C5319&gt;1,IF(C5319&lt;99,VLOOKUP(C5319,'MSA-Lookup'!$H$1:$I$86,2),C5319),C5319)</f>
        <v>2840</v>
      </c>
      <c r="G5319" s="0" t="n">
        <f aca="false">VLOOKUP(E5319,'MSA-Lookup'!$AA$1:$AB$25,2)</f>
        <v>7362</v>
      </c>
      <c r="H5319" s="0" t="n">
        <f aca="false">IF(C5319&gt;1,IF(C5319&lt;99,VLOOKUP(F5319,'MSA-Lookup'!$AA$1:$AB$25,2),C5319),C5319)</f>
        <v>2840</v>
      </c>
    </row>
    <row r="5320" customFormat="false" ht="12.75" hidden="false" customHeight="false" outlineLevel="0" collapsed="false">
      <c r="A5320" s="0" t="n">
        <f aca="false">B5320*1000+C5320</f>
        <v>73041</v>
      </c>
      <c r="B5320" s="0" t="n">
        <v>73</v>
      </c>
      <c r="C5320" s="0" t="n">
        <v>41</v>
      </c>
      <c r="D5320" s="0" t="n">
        <v>0</v>
      </c>
      <c r="E5320" s="0" t="n">
        <f aca="false">VLOOKUP(B5320,'MSA-Lookup'!$H$2:$I$86,2)</f>
        <v>8720</v>
      </c>
      <c r="F5320" s="0" t="n">
        <f aca="false">IF(C5320&gt;1,IF(C5320&lt;99,VLOOKUP(C5320,'MSA-Lookup'!$H$1:$I$86,2),C5320),C5320)</f>
        <v>2840</v>
      </c>
      <c r="G5320" s="0" t="n">
        <f aca="false">VLOOKUP(E5320,'MSA-Lookup'!$AA$1:$AB$25,2)</f>
        <v>7362</v>
      </c>
      <c r="H5320" s="0" t="n">
        <f aca="false">IF(C5320&gt;1,IF(C5320&lt;99,VLOOKUP(F5320,'MSA-Lookup'!$AA$1:$AB$25,2),C5320),C5320)</f>
        <v>2840</v>
      </c>
    </row>
    <row r="5321" customFormat="false" ht="12.75" hidden="false" customHeight="false" outlineLevel="0" collapsed="false">
      <c r="A5321" s="0" t="n">
        <f aca="false">B5321*1000+C5321</f>
        <v>73042</v>
      </c>
      <c r="B5321" s="0" t="n">
        <v>73</v>
      </c>
      <c r="C5321" s="0" t="n">
        <v>42</v>
      </c>
      <c r="D5321" s="0" t="n">
        <v>0</v>
      </c>
      <c r="E5321" s="0" t="n">
        <f aca="false">VLOOKUP(B5321,'MSA-Lookup'!$H$2:$I$86,2)</f>
        <v>8720</v>
      </c>
      <c r="F5321" s="0" t="n">
        <f aca="false">IF(C5321&gt;1,IF(C5321&lt;99,VLOOKUP(C5321,'MSA-Lookup'!$H$1:$I$86,2),C5321),C5321)</f>
        <v>360</v>
      </c>
      <c r="G5321" s="0" t="n">
        <f aca="false">VLOOKUP(E5321,'MSA-Lookup'!$AA$1:$AB$25,2)</f>
        <v>7362</v>
      </c>
      <c r="H5321" s="0" t="n">
        <f aca="false">IF(C5321&gt;1,IF(C5321&lt;99,VLOOKUP(F5321,'MSA-Lookup'!$AA$1:$AB$25,2),C5321),C5321)</f>
        <v>4472</v>
      </c>
    </row>
    <row r="5322" customFormat="false" ht="12.75" hidden="false" customHeight="false" outlineLevel="0" collapsed="false">
      <c r="A5322" s="0" t="n">
        <f aca="false">B5322*1000+C5322</f>
        <v>73043</v>
      </c>
      <c r="B5322" s="0" t="n">
        <v>73</v>
      </c>
      <c r="C5322" s="0" t="n">
        <v>43</v>
      </c>
      <c r="D5322" s="0" t="n">
        <v>0</v>
      </c>
      <c r="E5322" s="0" t="n">
        <f aca="false">VLOOKUP(B5322,'MSA-Lookup'!$H$2:$I$86,2)</f>
        <v>8720</v>
      </c>
      <c r="F5322" s="0" t="n">
        <f aca="false">IF(C5322&gt;1,IF(C5322&lt;99,VLOOKUP(C5322,'MSA-Lookup'!$H$1:$I$86,2),C5322),C5322)</f>
        <v>360</v>
      </c>
      <c r="G5322" s="0" t="n">
        <f aca="false">VLOOKUP(E5322,'MSA-Lookup'!$AA$1:$AB$25,2)</f>
        <v>7362</v>
      </c>
      <c r="H5322" s="0" t="n">
        <f aca="false">IF(C5322&gt;1,IF(C5322&lt;99,VLOOKUP(F5322,'MSA-Lookup'!$AA$1:$AB$25,2),C5322),C5322)</f>
        <v>4472</v>
      </c>
    </row>
    <row r="5323" customFormat="false" ht="12.75" hidden="false" customHeight="false" outlineLevel="0" collapsed="false">
      <c r="A5323" s="0" t="n">
        <f aca="false">B5323*1000+C5323</f>
        <v>73044</v>
      </c>
      <c r="B5323" s="0" t="n">
        <v>73</v>
      </c>
      <c r="C5323" s="0" t="n">
        <v>44</v>
      </c>
      <c r="D5323" s="0" t="n">
        <v>0</v>
      </c>
      <c r="E5323" s="0" t="n">
        <f aca="false">VLOOKUP(B5323,'MSA-Lookup'!$H$2:$I$86,2)</f>
        <v>8720</v>
      </c>
      <c r="F5323" s="0" t="n">
        <f aca="false">IF(C5323&gt;1,IF(C5323&lt;99,VLOOKUP(C5323,'MSA-Lookup'!$H$1:$I$86,2),C5323),C5323)</f>
        <v>360</v>
      </c>
      <c r="G5323" s="0" t="n">
        <f aca="false">VLOOKUP(E5323,'MSA-Lookup'!$AA$1:$AB$25,2)</f>
        <v>7362</v>
      </c>
      <c r="H5323" s="0" t="n">
        <f aca="false">IF(C5323&gt;1,IF(C5323&lt;99,VLOOKUP(F5323,'MSA-Lookup'!$AA$1:$AB$25,2),C5323),C5323)</f>
        <v>4472</v>
      </c>
    </row>
    <row r="5324" customFormat="false" ht="12.75" hidden="false" customHeight="false" outlineLevel="0" collapsed="false">
      <c r="A5324" s="0" t="n">
        <f aca="false">B5324*1000+C5324</f>
        <v>73045</v>
      </c>
      <c r="B5324" s="0" t="n">
        <v>73</v>
      </c>
      <c r="C5324" s="0" t="n">
        <v>45</v>
      </c>
      <c r="D5324" s="0" t="n">
        <v>0</v>
      </c>
      <c r="E5324" s="0" t="n">
        <f aca="false">VLOOKUP(B5324,'MSA-Lookup'!$H$2:$I$86,2)</f>
        <v>8720</v>
      </c>
      <c r="F5324" s="0" t="n">
        <f aca="false">IF(C5324&gt;1,IF(C5324&lt;99,VLOOKUP(C5324,'MSA-Lookup'!$H$1:$I$86,2),C5324),C5324)</f>
        <v>360</v>
      </c>
      <c r="G5324" s="0" t="n">
        <f aca="false">VLOOKUP(E5324,'MSA-Lookup'!$AA$1:$AB$25,2)</f>
        <v>7362</v>
      </c>
      <c r="H5324" s="0" t="n">
        <f aca="false">IF(C5324&gt;1,IF(C5324&lt;99,VLOOKUP(F5324,'MSA-Lookup'!$AA$1:$AB$25,2),C5324),C5324)</f>
        <v>4472</v>
      </c>
    </row>
    <row r="5325" customFormat="false" ht="12.75" hidden="false" customHeight="false" outlineLevel="0" collapsed="false">
      <c r="A5325" s="0" t="n">
        <f aca="false">B5325*1000+C5325</f>
        <v>73046</v>
      </c>
      <c r="B5325" s="0" t="n">
        <v>73</v>
      </c>
      <c r="C5325" s="0" t="n">
        <v>46</v>
      </c>
      <c r="D5325" s="0" t="n">
        <v>0</v>
      </c>
      <c r="E5325" s="0" t="n">
        <f aca="false">VLOOKUP(B5325,'MSA-Lookup'!$H$2:$I$86,2)</f>
        <v>8720</v>
      </c>
      <c r="F5325" s="0" t="n">
        <f aca="false">IF(C5325&gt;1,IF(C5325&lt;99,VLOOKUP(C5325,'MSA-Lookup'!$H$1:$I$86,2),C5325),C5325)</f>
        <v>360</v>
      </c>
      <c r="G5325" s="0" t="n">
        <f aca="false">VLOOKUP(E5325,'MSA-Lookup'!$AA$1:$AB$25,2)</f>
        <v>7362</v>
      </c>
      <c r="H5325" s="0" t="n">
        <f aca="false">IF(C5325&gt;1,IF(C5325&lt;99,VLOOKUP(F5325,'MSA-Lookup'!$AA$1:$AB$25,2),C5325),C5325)</f>
        <v>4472</v>
      </c>
    </row>
    <row r="5326" customFormat="false" ht="12.75" hidden="false" customHeight="false" outlineLevel="0" collapsed="false">
      <c r="A5326" s="0" t="n">
        <f aca="false">B5326*1000+C5326</f>
        <v>73047</v>
      </c>
      <c r="B5326" s="0" t="n">
        <v>73</v>
      </c>
      <c r="C5326" s="0" t="n">
        <v>47</v>
      </c>
      <c r="D5326" s="0" t="n">
        <v>0</v>
      </c>
      <c r="E5326" s="0" t="n">
        <f aca="false">VLOOKUP(B5326,'MSA-Lookup'!$H$2:$I$86,2)</f>
        <v>8720</v>
      </c>
      <c r="F5326" s="0" t="n">
        <f aca="false">IF(C5326&gt;1,IF(C5326&lt;99,VLOOKUP(C5326,'MSA-Lookup'!$H$1:$I$86,2),C5326),C5326)</f>
        <v>360</v>
      </c>
      <c r="G5326" s="0" t="n">
        <f aca="false">VLOOKUP(E5326,'MSA-Lookup'!$AA$1:$AB$25,2)</f>
        <v>7362</v>
      </c>
      <c r="H5326" s="0" t="n">
        <f aca="false">IF(C5326&gt;1,IF(C5326&lt;99,VLOOKUP(F5326,'MSA-Lookup'!$AA$1:$AB$25,2),C5326),C5326)</f>
        <v>4472</v>
      </c>
    </row>
    <row r="5327" customFormat="false" ht="12.75" hidden="false" customHeight="false" outlineLevel="0" collapsed="false">
      <c r="A5327" s="0" t="n">
        <f aca="false">B5327*1000+C5327</f>
        <v>73048</v>
      </c>
      <c r="B5327" s="0" t="n">
        <v>73</v>
      </c>
      <c r="C5327" s="0" t="n">
        <v>48</v>
      </c>
      <c r="D5327" s="0" t="n">
        <v>169</v>
      </c>
      <c r="E5327" s="0" t="n">
        <f aca="false">VLOOKUP(B5327,'MSA-Lookup'!$H$2:$I$86,2)</f>
        <v>8720</v>
      </c>
      <c r="F5327" s="0" t="n">
        <f aca="false">IF(C5327&gt;1,IF(C5327&lt;99,VLOOKUP(C5327,'MSA-Lookup'!$H$1:$I$86,2),C5327),C5327)</f>
        <v>360</v>
      </c>
      <c r="G5327" s="0" t="n">
        <f aca="false">VLOOKUP(E5327,'MSA-Lookup'!$AA$1:$AB$25,2)</f>
        <v>7362</v>
      </c>
      <c r="H5327" s="0" t="n">
        <f aca="false">IF(C5327&gt;1,IF(C5327&lt;99,VLOOKUP(F5327,'MSA-Lookup'!$AA$1:$AB$25,2),C5327),C5327)</f>
        <v>4472</v>
      </c>
    </row>
    <row r="5328" customFormat="false" ht="12.75" hidden="false" customHeight="false" outlineLevel="0" collapsed="false">
      <c r="A5328" s="0" t="n">
        <f aca="false">B5328*1000+C5328</f>
        <v>73049</v>
      </c>
      <c r="B5328" s="0" t="n">
        <v>73</v>
      </c>
      <c r="C5328" s="0" t="n">
        <v>49</v>
      </c>
      <c r="D5328" s="0" t="n">
        <v>117</v>
      </c>
      <c r="E5328" s="0" t="n">
        <f aca="false">VLOOKUP(B5328,'MSA-Lookup'!$H$2:$I$86,2)</f>
        <v>8720</v>
      </c>
      <c r="F5328" s="0" t="n">
        <f aca="false">IF(C5328&gt;1,IF(C5328&lt;99,VLOOKUP(C5328,'MSA-Lookup'!$H$1:$I$86,2),C5328),C5328)</f>
        <v>7400</v>
      </c>
      <c r="G5328" s="0" t="n">
        <f aca="false">VLOOKUP(E5328,'MSA-Lookup'!$AA$1:$AB$25,2)</f>
        <v>7362</v>
      </c>
      <c r="H5328" s="0" t="n">
        <f aca="false">IF(C5328&gt;1,IF(C5328&lt;99,VLOOKUP(F5328,'MSA-Lookup'!$AA$1:$AB$25,2),C5328),C5328)</f>
        <v>7362</v>
      </c>
    </row>
    <row r="5329" customFormat="false" ht="12.75" hidden="false" customHeight="false" outlineLevel="0" collapsed="false">
      <c r="A5329" s="0" t="n">
        <f aca="false">B5329*1000+C5329</f>
        <v>73050</v>
      </c>
      <c r="B5329" s="0" t="n">
        <v>73</v>
      </c>
      <c r="C5329" s="0" t="n">
        <v>50</v>
      </c>
      <c r="D5329" s="0" t="n">
        <v>91</v>
      </c>
      <c r="E5329" s="0" t="n">
        <f aca="false">VLOOKUP(B5329,'MSA-Lookup'!$H$2:$I$86,2)</f>
        <v>8720</v>
      </c>
      <c r="F5329" s="0" t="n">
        <f aca="false">IF(C5329&gt;1,IF(C5329&lt;99,VLOOKUP(C5329,'MSA-Lookup'!$H$1:$I$86,2),C5329),C5329)</f>
        <v>7400</v>
      </c>
      <c r="G5329" s="0" t="n">
        <f aca="false">VLOOKUP(E5329,'MSA-Lookup'!$AA$1:$AB$25,2)</f>
        <v>7362</v>
      </c>
      <c r="H5329" s="0" t="n">
        <f aca="false">IF(C5329&gt;1,IF(C5329&lt;99,VLOOKUP(F5329,'MSA-Lookup'!$AA$1:$AB$25,2),C5329),C5329)</f>
        <v>7362</v>
      </c>
    </row>
    <row r="5330" customFormat="false" ht="12.75" hidden="false" customHeight="false" outlineLevel="0" collapsed="false">
      <c r="A5330" s="0" t="n">
        <f aca="false">B5330*1000+C5330</f>
        <v>73051</v>
      </c>
      <c r="B5330" s="0" t="n">
        <v>73</v>
      </c>
      <c r="C5330" s="0" t="n">
        <v>51</v>
      </c>
      <c r="D5330" s="0" t="n">
        <v>286</v>
      </c>
      <c r="E5330" s="0" t="n">
        <f aca="false">VLOOKUP(B5330,'MSA-Lookup'!$H$2:$I$86,2)</f>
        <v>8720</v>
      </c>
      <c r="F5330" s="0" t="n">
        <f aca="false">IF(C5330&gt;1,IF(C5330&lt;99,VLOOKUP(C5330,'MSA-Lookup'!$H$1:$I$86,2),C5330),C5330)</f>
        <v>7400</v>
      </c>
      <c r="G5330" s="0" t="n">
        <f aca="false">VLOOKUP(E5330,'MSA-Lookup'!$AA$1:$AB$25,2)</f>
        <v>7362</v>
      </c>
      <c r="H5330" s="0" t="n">
        <f aca="false">IF(C5330&gt;1,IF(C5330&lt;99,VLOOKUP(F5330,'MSA-Lookup'!$AA$1:$AB$25,2),C5330),C5330)</f>
        <v>7362</v>
      </c>
    </row>
    <row r="5331" customFormat="false" ht="12.75" hidden="false" customHeight="false" outlineLevel="0" collapsed="false">
      <c r="A5331" s="0" t="n">
        <f aca="false">B5331*1000+C5331</f>
        <v>73052</v>
      </c>
      <c r="B5331" s="0" t="n">
        <v>73</v>
      </c>
      <c r="C5331" s="0" t="n">
        <v>52</v>
      </c>
      <c r="D5331" s="0" t="n">
        <v>0</v>
      </c>
      <c r="E5331" s="0" t="n">
        <f aca="false">VLOOKUP(B5331,'MSA-Lookup'!$H$2:$I$86,2)</f>
        <v>8720</v>
      </c>
      <c r="F5331" s="0" t="n">
        <f aca="false">IF(C5331&gt;1,IF(C5331&lt;99,VLOOKUP(C5331,'MSA-Lookup'!$H$1:$I$86,2),C5331),C5331)</f>
        <v>4480</v>
      </c>
      <c r="G5331" s="0" t="n">
        <f aca="false">VLOOKUP(E5331,'MSA-Lookup'!$AA$1:$AB$25,2)</f>
        <v>7362</v>
      </c>
      <c r="H5331" s="0" t="n">
        <f aca="false">IF(C5331&gt;1,IF(C5331&lt;99,VLOOKUP(F5331,'MSA-Lookup'!$AA$1:$AB$25,2),C5331),C5331)</f>
        <v>4472</v>
      </c>
    </row>
    <row r="5332" customFormat="false" ht="12.75" hidden="false" customHeight="false" outlineLevel="0" collapsed="false">
      <c r="A5332" s="0" t="n">
        <f aca="false">B5332*1000+C5332</f>
        <v>73053</v>
      </c>
      <c r="B5332" s="0" t="n">
        <v>73</v>
      </c>
      <c r="C5332" s="0" t="n">
        <v>53</v>
      </c>
      <c r="D5332" s="0" t="n">
        <v>0</v>
      </c>
      <c r="E5332" s="0" t="n">
        <f aca="false">VLOOKUP(B5332,'MSA-Lookup'!$H$2:$I$86,2)</f>
        <v>8720</v>
      </c>
      <c r="F5332" s="0" t="n">
        <f aca="false">IF(C5332&gt;1,IF(C5332&lt;99,VLOOKUP(C5332,'MSA-Lookup'!$H$1:$I$86,2),C5332),C5332)</f>
        <v>4480</v>
      </c>
      <c r="G5332" s="0" t="n">
        <f aca="false">VLOOKUP(E5332,'MSA-Lookup'!$AA$1:$AB$25,2)</f>
        <v>7362</v>
      </c>
      <c r="H5332" s="0" t="n">
        <f aca="false">IF(C5332&gt;1,IF(C5332&lt;99,VLOOKUP(F5332,'MSA-Lookup'!$AA$1:$AB$25,2),C5332),C5332)</f>
        <v>4472</v>
      </c>
    </row>
    <row r="5333" customFormat="false" ht="12.75" hidden="false" customHeight="false" outlineLevel="0" collapsed="false">
      <c r="A5333" s="0" t="n">
        <f aca="false">B5333*1000+C5333</f>
        <v>73054</v>
      </c>
      <c r="B5333" s="0" t="n">
        <v>73</v>
      </c>
      <c r="C5333" s="0" t="n">
        <v>54</v>
      </c>
      <c r="D5333" s="0" t="n">
        <v>0</v>
      </c>
      <c r="E5333" s="0" t="n">
        <f aca="false">VLOOKUP(B5333,'MSA-Lookup'!$H$2:$I$86,2)</f>
        <v>8720</v>
      </c>
      <c r="F5333" s="0" t="n">
        <f aca="false">IF(C5333&gt;1,IF(C5333&lt;99,VLOOKUP(C5333,'MSA-Lookup'!$H$1:$I$86,2),C5333),C5333)</f>
        <v>4480</v>
      </c>
      <c r="G5333" s="0" t="n">
        <f aca="false">VLOOKUP(E5333,'MSA-Lookup'!$AA$1:$AB$25,2)</f>
        <v>7362</v>
      </c>
      <c r="H5333" s="0" t="n">
        <f aca="false">IF(C5333&gt;1,IF(C5333&lt;99,VLOOKUP(F5333,'MSA-Lookup'!$AA$1:$AB$25,2),C5333),C5333)</f>
        <v>4472</v>
      </c>
    </row>
    <row r="5334" customFormat="false" ht="12.75" hidden="false" customHeight="false" outlineLevel="0" collapsed="false">
      <c r="A5334" s="0" t="n">
        <f aca="false">B5334*1000+C5334</f>
        <v>73055</v>
      </c>
      <c r="B5334" s="0" t="n">
        <v>73</v>
      </c>
      <c r="C5334" s="0" t="n">
        <v>55</v>
      </c>
      <c r="D5334" s="0" t="n">
        <v>78</v>
      </c>
      <c r="E5334" s="0" t="n">
        <f aca="false">VLOOKUP(B5334,'MSA-Lookup'!$H$2:$I$86,2)</f>
        <v>8720</v>
      </c>
      <c r="F5334" s="0" t="n">
        <f aca="false">IF(C5334&gt;1,IF(C5334&lt;99,VLOOKUP(C5334,'MSA-Lookup'!$H$1:$I$86,2),C5334),C5334)</f>
        <v>4480</v>
      </c>
      <c r="G5334" s="0" t="n">
        <f aca="false">VLOOKUP(E5334,'MSA-Lookup'!$AA$1:$AB$25,2)</f>
        <v>7362</v>
      </c>
      <c r="H5334" s="0" t="n">
        <f aca="false">IF(C5334&gt;1,IF(C5334&lt;99,VLOOKUP(F5334,'MSA-Lookup'!$AA$1:$AB$25,2),C5334),C5334)</f>
        <v>4472</v>
      </c>
    </row>
    <row r="5335" customFormat="false" ht="12.75" hidden="false" customHeight="false" outlineLevel="0" collapsed="false">
      <c r="A5335" s="0" t="n">
        <f aca="false">B5335*1000+C5335</f>
        <v>73056</v>
      </c>
      <c r="B5335" s="0" t="n">
        <v>73</v>
      </c>
      <c r="C5335" s="0" t="n">
        <v>56</v>
      </c>
      <c r="D5335" s="0" t="n">
        <v>0</v>
      </c>
      <c r="E5335" s="0" t="n">
        <f aca="false">VLOOKUP(B5335,'MSA-Lookup'!$H$2:$I$86,2)</f>
        <v>8720</v>
      </c>
      <c r="F5335" s="0" t="n">
        <f aca="false">IF(C5335&gt;1,IF(C5335&lt;99,VLOOKUP(C5335,'MSA-Lookup'!$H$1:$I$86,2),C5335),C5335)</f>
        <v>4480</v>
      </c>
      <c r="G5335" s="0" t="n">
        <f aca="false">VLOOKUP(E5335,'MSA-Lookup'!$AA$1:$AB$25,2)</f>
        <v>7362</v>
      </c>
      <c r="H5335" s="0" t="n">
        <f aca="false">IF(C5335&gt;1,IF(C5335&lt;99,VLOOKUP(F5335,'MSA-Lookup'!$AA$1:$AB$25,2),C5335),C5335)</f>
        <v>4472</v>
      </c>
    </row>
    <row r="5336" customFormat="false" ht="12.75" hidden="false" customHeight="false" outlineLevel="0" collapsed="false">
      <c r="A5336" s="0" t="n">
        <f aca="false">B5336*1000+C5336</f>
        <v>73057</v>
      </c>
      <c r="B5336" s="0" t="n">
        <v>73</v>
      </c>
      <c r="C5336" s="0" t="n">
        <v>57</v>
      </c>
      <c r="D5336" s="0" t="n">
        <v>0</v>
      </c>
      <c r="E5336" s="0" t="n">
        <f aca="false">VLOOKUP(B5336,'MSA-Lookup'!$H$2:$I$86,2)</f>
        <v>8720</v>
      </c>
      <c r="F5336" s="0" t="n">
        <f aca="false">IF(C5336&gt;1,IF(C5336&lt;99,VLOOKUP(C5336,'MSA-Lookup'!$H$1:$I$86,2),C5336),C5336)</f>
        <v>4480</v>
      </c>
      <c r="G5336" s="0" t="n">
        <f aca="false">VLOOKUP(E5336,'MSA-Lookup'!$AA$1:$AB$25,2)</f>
        <v>7362</v>
      </c>
      <c r="H5336" s="0" t="n">
        <f aca="false">IF(C5336&gt;1,IF(C5336&lt;99,VLOOKUP(F5336,'MSA-Lookup'!$AA$1:$AB$25,2),C5336),C5336)</f>
        <v>4472</v>
      </c>
    </row>
    <row r="5337" customFormat="false" ht="12.75" hidden="false" customHeight="false" outlineLevel="0" collapsed="false">
      <c r="A5337" s="0" t="n">
        <f aca="false">B5337*1000+C5337</f>
        <v>73058</v>
      </c>
      <c r="B5337" s="0" t="n">
        <v>73</v>
      </c>
      <c r="C5337" s="0" t="n">
        <v>58</v>
      </c>
      <c r="D5337" s="0" t="n">
        <v>0</v>
      </c>
      <c r="E5337" s="0" t="n">
        <f aca="false">VLOOKUP(B5337,'MSA-Lookup'!$H$2:$I$86,2)</f>
        <v>8720</v>
      </c>
      <c r="F5337" s="0" t="n">
        <f aca="false">IF(C5337&gt;1,IF(C5337&lt;99,VLOOKUP(C5337,'MSA-Lookup'!$H$1:$I$86,2),C5337),C5337)</f>
        <v>4480</v>
      </c>
      <c r="G5337" s="0" t="n">
        <f aca="false">VLOOKUP(E5337,'MSA-Lookup'!$AA$1:$AB$25,2)</f>
        <v>7362</v>
      </c>
      <c r="H5337" s="0" t="n">
        <f aca="false">IF(C5337&gt;1,IF(C5337&lt;99,VLOOKUP(F5337,'MSA-Lookup'!$AA$1:$AB$25,2),C5337),C5337)</f>
        <v>4472</v>
      </c>
    </row>
    <row r="5338" customFormat="false" ht="12.75" hidden="false" customHeight="false" outlineLevel="0" collapsed="false">
      <c r="A5338" s="0" t="n">
        <f aca="false">B5338*1000+C5338</f>
        <v>73059</v>
      </c>
      <c r="B5338" s="0" t="n">
        <v>73</v>
      </c>
      <c r="C5338" s="0" t="n">
        <v>59</v>
      </c>
      <c r="D5338" s="0" t="n">
        <v>0</v>
      </c>
      <c r="E5338" s="0" t="n">
        <f aca="false">VLOOKUP(B5338,'MSA-Lookup'!$H$2:$I$86,2)</f>
        <v>8720</v>
      </c>
      <c r="F5338" s="0" t="n">
        <f aca="false">IF(C5338&gt;1,IF(C5338&lt;99,VLOOKUP(C5338,'MSA-Lookup'!$H$1:$I$86,2),C5338),C5338)</f>
        <v>4480</v>
      </c>
      <c r="G5338" s="0" t="n">
        <f aca="false">VLOOKUP(E5338,'MSA-Lookup'!$AA$1:$AB$25,2)</f>
        <v>7362</v>
      </c>
      <c r="H5338" s="0" t="n">
        <f aca="false">IF(C5338&gt;1,IF(C5338&lt;99,VLOOKUP(F5338,'MSA-Lookup'!$AA$1:$AB$25,2),C5338),C5338)</f>
        <v>4472</v>
      </c>
    </row>
    <row r="5339" customFormat="false" ht="12.75" hidden="false" customHeight="false" outlineLevel="0" collapsed="false">
      <c r="A5339" s="0" t="n">
        <f aca="false">B5339*1000+C5339</f>
        <v>73060</v>
      </c>
      <c r="B5339" s="0" t="n">
        <v>73</v>
      </c>
      <c r="C5339" s="0" t="n">
        <v>60</v>
      </c>
      <c r="D5339" s="0" t="n">
        <v>0</v>
      </c>
      <c r="E5339" s="0" t="n">
        <f aca="false">VLOOKUP(B5339,'MSA-Lookup'!$H$2:$I$86,2)</f>
        <v>8720</v>
      </c>
      <c r="F5339" s="0" t="n">
        <f aca="false">IF(C5339&gt;1,IF(C5339&lt;99,VLOOKUP(C5339,'MSA-Lookup'!$H$1:$I$86,2),C5339),C5339)</f>
        <v>4480</v>
      </c>
      <c r="G5339" s="0" t="n">
        <f aca="false">VLOOKUP(E5339,'MSA-Lookup'!$AA$1:$AB$25,2)</f>
        <v>7362</v>
      </c>
      <c r="H5339" s="0" t="n">
        <f aca="false">IF(C5339&gt;1,IF(C5339&lt;99,VLOOKUP(F5339,'MSA-Lookup'!$AA$1:$AB$25,2),C5339),C5339)</f>
        <v>4472</v>
      </c>
    </row>
    <row r="5340" customFormat="false" ht="12.75" hidden="false" customHeight="false" outlineLevel="0" collapsed="false">
      <c r="A5340" s="0" t="n">
        <f aca="false">B5340*1000+C5340</f>
        <v>73061</v>
      </c>
      <c r="B5340" s="0" t="n">
        <v>73</v>
      </c>
      <c r="C5340" s="0" t="n">
        <v>61</v>
      </c>
      <c r="D5340" s="0" t="n">
        <v>0</v>
      </c>
      <c r="E5340" s="0" t="n">
        <f aca="false">VLOOKUP(B5340,'MSA-Lookup'!$H$2:$I$86,2)</f>
        <v>8720</v>
      </c>
      <c r="F5340" s="0" t="n">
        <f aca="false">IF(C5340&gt;1,IF(C5340&lt;99,VLOOKUP(C5340,'MSA-Lookup'!$H$1:$I$86,2),C5340),C5340)</f>
        <v>4480</v>
      </c>
      <c r="G5340" s="0" t="n">
        <f aca="false">VLOOKUP(E5340,'MSA-Lookup'!$AA$1:$AB$25,2)</f>
        <v>7362</v>
      </c>
      <c r="H5340" s="0" t="n">
        <f aca="false">IF(C5340&gt;1,IF(C5340&lt;99,VLOOKUP(F5340,'MSA-Lookup'!$AA$1:$AB$25,2),C5340),C5340)</f>
        <v>4472</v>
      </c>
    </row>
    <row r="5341" customFormat="false" ht="12.75" hidden="false" customHeight="false" outlineLevel="0" collapsed="false">
      <c r="A5341" s="0" t="n">
        <f aca="false">B5341*1000+C5341</f>
        <v>73062</v>
      </c>
      <c r="B5341" s="0" t="n">
        <v>73</v>
      </c>
      <c r="C5341" s="0" t="n">
        <v>62</v>
      </c>
      <c r="D5341" s="0" t="n">
        <v>0</v>
      </c>
      <c r="E5341" s="0" t="n">
        <f aca="false">VLOOKUP(B5341,'MSA-Lookup'!$H$2:$I$86,2)</f>
        <v>8720</v>
      </c>
      <c r="F5341" s="0" t="n">
        <f aca="false">IF(C5341&gt;1,IF(C5341&lt;99,VLOOKUP(C5341,'MSA-Lookup'!$H$1:$I$86,2),C5341),C5341)</f>
        <v>4480</v>
      </c>
      <c r="G5341" s="0" t="n">
        <f aca="false">VLOOKUP(E5341,'MSA-Lookup'!$AA$1:$AB$25,2)</f>
        <v>7362</v>
      </c>
      <c r="H5341" s="0" t="n">
        <f aca="false">IF(C5341&gt;1,IF(C5341&lt;99,VLOOKUP(F5341,'MSA-Lookup'!$AA$1:$AB$25,2),C5341),C5341)</f>
        <v>4472</v>
      </c>
    </row>
    <row r="5342" customFormat="false" ht="12.75" hidden="false" customHeight="false" outlineLevel="0" collapsed="false">
      <c r="A5342" s="0" t="n">
        <f aca="false">B5342*1000+C5342</f>
        <v>73063</v>
      </c>
      <c r="B5342" s="0" t="n">
        <v>73</v>
      </c>
      <c r="C5342" s="0" t="n">
        <v>63</v>
      </c>
      <c r="D5342" s="0" t="n">
        <v>0</v>
      </c>
      <c r="E5342" s="0" t="n">
        <f aca="false">VLOOKUP(B5342,'MSA-Lookup'!$H$2:$I$86,2)</f>
        <v>8720</v>
      </c>
      <c r="F5342" s="0" t="n">
        <f aca="false">IF(C5342&gt;1,IF(C5342&lt;99,VLOOKUP(C5342,'MSA-Lookup'!$H$1:$I$86,2),C5342),C5342)</f>
        <v>4480</v>
      </c>
      <c r="G5342" s="0" t="n">
        <f aca="false">VLOOKUP(E5342,'MSA-Lookup'!$AA$1:$AB$25,2)</f>
        <v>7362</v>
      </c>
      <c r="H5342" s="0" t="n">
        <f aca="false">IF(C5342&gt;1,IF(C5342&lt;99,VLOOKUP(F5342,'MSA-Lookup'!$AA$1:$AB$25,2),C5342),C5342)</f>
        <v>4472</v>
      </c>
    </row>
    <row r="5343" customFormat="false" ht="12.75" hidden="false" customHeight="false" outlineLevel="0" collapsed="false">
      <c r="A5343" s="0" t="n">
        <f aca="false">B5343*1000+C5343</f>
        <v>73064</v>
      </c>
      <c r="B5343" s="0" t="n">
        <v>73</v>
      </c>
      <c r="C5343" s="0" t="n">
        <v>64</v>
      </c>
      <c r="D5343" s="0" t="n">
        <v>0</v>
      </c>
      <c r="E5343" s="0" t="n">
        <f aca="false">VLOOKUP(B5343,'MSA-Lookup'!$H$2:$I$86,2)</f>
        <v>8720</v>
      </c>
      <c r="F5343" s="0" t="n">
        <f aca="false">IF(C5343&gt;1,IF(C5343&lt;99,VLOOKUP(C5343,'MSA-Lookup'!$H$1:$I$86,2),C5343),C5343)</f>
        <v>4480</v>
      </c>
      <c r="G5343" s="0" t="n">
        <f aca="false">VLOOKUP(E5343,'MSA-Lookup'!$AA$1:$AB$25,2)</f>
        <v>7362</v>
      </c>
      <c r="H5343" s="0" t="n">
        <f aca="false">IF(C5343&gt;1,IF(C5343&lt;99,VLOOKUP(F5343,'MSA-Lookup'!$AA$1:$AB$25,2),C5343),C5343)</f>
        <v>4472</v>
      </c>
    </row>
    <row r="5344" customFormat="false" ht="12.75" hidden="false" customHeight="false" outlineLevel="0" collapsed="false">
      <c r="A5344" s="0" t="n">
        <f aca="false">B5344*1000+C5344</f>
        <v>73065</v>
      </c>
      <c r="B5344" s="0" t="n">
        <v>73</v>
      </c>
      <c r="C5344" s="0" t="n">
        <v>65</v>
      </c>
      <c r="D5344" s="0" t="n">
        <v>0</v>
      </c>
      <c r="E5344" s="0" t="n">
        <f aca="false">VLOOKUP(B5344,'MSA-Lookup'!$H$2:$I$86,2)</f>
        <v>8720</v>
      </c>
      <c r="F5344" s="0" t="n">
        <f aca="false">IF(C5344&gt;1,IF(C5344&lt;99,VLOOKUP(C5344,'MSA-Lookup'!$H$1:$I$86,2),C5344),C5344)</f>
        <v>4480</v>
      </c>
      <c r="G5344" s="0" t="n">
        <f aca="false">VLOOKUP(E5344,'MSA-Lookup'!$AA$1:$AB$25,2)</f>
        <v>7362</v>
      </c>
      <c r="H5344" s="0" t="n">
        <f aca="false">IF(C5344&gt;1,IF(C5344&lt;99,VLOOKUP(F5344,'MSA-Lookup'!$AA$1:$AB$25,2),C5344),C5344)</f>
        <v>4472</v>
      </c>
    </row>
    <row r="5345" customFormat="false" ht="12.75" hidden="false" customHeight="false" outlineLevel="0" collapsed="false">
      <c r="A5345" s="0" t="n">
        <f aca="false">B5345*1000+C5345</f>
        <v>73066</v>
      </c>
      <c r="B5345" s="0" t="n">
        <v>73</v>
      </c>
      <c r="C5345" s="0" t="n">
        <v>66</v>
      </c>
      <c r="D5345" s="0" t="n">
        <v>0</v>
      </c>
      <c r="E5345" s="0" t="n">
        <f aca="false">VLOOKUP(B5345,'MSA-Lookup'!$H$2:$I$86,2)</f>
        <v>8720</v>
      </c>
      <c r="F5345" s="0" t="n">
        <f aca="false">IF(C5345&gt;1,IF(C5345&lt;99,VLOOKUP(C5345,'MSA-Lookup'!$H$1:$I$86,2),C5345),C5345)</f>
        <v>4480</v>
      </c>
      <c r="G5345" s="0" t="n">
        <f aca="false">VLOOKUP(E5345,'MSA-Lookup'!$AA$1:$AB$25,2)</f>
        <v>7362</v>
      </c>
      <c r="H5345" s="0" t="n">
        <f aca="false">IF(C5345&gt;1,IF(C5345&lt;99,VLOOKUP(F5345,'MSA-Lookup'!$AA$1:$AB$25,2),C5345),C5345)</f>
        <v>4472</v>
      </c>
    </row>
    <row r="5346" customFormat="false" ht="12.75" hidden="false" customHeight="false" outlineLevel="0" collapsed="false">
      <c r="A5346" s="0" t="n">
        <f aca="false">B5346*1000+C5346</f>
        <v>73067</v>
      </c>
      <c r="B5346" s="0" t="n">
        <v>73</v>
      </c>
      <c r="C5346" s="0" t="n">
        <v>67</v>
      </c>
      <c r="D5346" s="0" t="n">
        <v>0</v>
      </c>
      <c r="E5346" s="0" t="n">
        <f aca="false">VLOOKUP(B5346,'MSA-Lookup'!$H$2:$I$86,2)</f>
        <v>8720</v>
      </c>
      <c r="F5346" s="0" t="n">
        <f aca="false">IF(C5346&gt;1,IF(C5346&lt;99,VLOOKUP(C5346,'MSA-Lookup'!$H$1:$I$86,2),C5346),C5346)</f>
        <v>6000</v>
      </c>
      <c r="G5346" s="0" t="n">
        <f aca="false">VLOOKUP(E5346,'MSA-Lookup'!$AA$1:$AB$25,2)</f>
        <v>7362</v>
      </c>
      <c r="H5346" s="0" t="n">
        <f aca="false">IF(C5346&gt;1,IF(C5346&lt;99,VLOOKUP(F5346,'MSA-Lookup'!$AA$1:$AB$25,2),C5346),C5346)</f>
        <v>4472</v>
      </c>
    </row>
    <row r="5347" customFormat="false" ht="12.75" hidden="false" customHeight="false" outlineLevel="0" collapsed="false">
      <c r="A5347" s="0" t="n">
        <f aca="false">B5347*1000+C5347</f>
        <v>73068</v>
      </c>
      <c r="B5347" s="0" t="n">
        <v>73</v>
      </c>
      <c r="C5347" s="0" t="n">
        <v>68</v>
      </c>
      <c r="D5347" s="0" t="n">
        <v>0</v>
      </c>
      <c r="E5347" s="0" t="n">
        <f aca="false">VLOOKUP(B5347,'MSA-Lookup'!$H$2:$I$86,2)</f>
        <v>8720</v>
      </c>
      <c r="F5347" s="0" t="n">
        <f aca="false">IF(C5347&gt;1,IF(C5347&lt;99,VLOOKUP(C5347,'MSA-Lookup'!$H$1:$I$86,2),C5347),C5347)</f>
        <v>6780</v>
      </c>
      <c r="G5347" s="0" t="n">
        <f aca="false">VLOOKUP(E5347,'MSA-Lookup'!$AA$1:$AB$25,2)</f>
        <v>7362</v>
      </c>
      <c r="H5347" s="0" t="n">
        <f aca="false">IF(C5347&gt;1,IF(C5347&lt;99,VLOOKUP(F5347,'MSA-Lookup'!$AA$1:$AB$25,2),C5347),C5347)</f>
        <v>4472</v>
      </c>
    </row>
    <row r="5348" customFormat="false" ht="12.75" hidden="false" customHeight="false" outlineLevel="0" collapsed="false">
      <c r="A5348" s="0" t="n">
        <f aca="false">B5348*1000+C5348</f>
        <v>73069</v>
      </c>
      <c r="B5348" s="0" t="n">
        <v>73</v>
      </c>
      <c r="C5348" s="0" t="n">
        <v>69</v>
      </c>
      <c r="D5348" s="0" t="n">
        <v>0</v>
      </c>
      <c r="E5348" s="0" t="n">
        <f aca="false">VLOOKUP(B5348,'MSA-Lookup'!$H$2:$I$86,2)</f>
        <v>8720</v>
      </c>
      <c r="F5348" s="0" t="n">
        <f aca="false">IF(C5348&gt;1,IF(C5348&lt;99,VLOOKUP(C5348,'MSA-Lookup'!$H$1:$I$86,2),C5348),C5348)</f>
        <v>6780</v>
      </c>
      <c r="G5348" s="0" t="n">
        <f aca="false">VLOOKUP(E5348,'MSA-Lookup'!$AA$1:$AB$25,2)</f>
        <v>7362</v>
      </c>
      <c r="H5348" s="0" t="n">
        <f aca="false">IF(C5348&gt;1,IF(C5348&lt;99,VLOOKUP(F5348,'MSA-Lookup'!$AA$1:$AB$25,2),C5348),C5348)</f>
        <v>4472</v>
      </c>
    </row>
    <row r="5349" customFormat="false" ht="12.75" hidden="false" customHeight="false" outlineLevel="0" collapsed="false">
      <c r="A5349" s="0" t="n">
        <f aca="false">B5349*1000+C5349</f>
        <v>73070</v>
      </c>
      <c r="B5349" s="0" t="n">
        <v>73</v>
      </c>
      <c r="C5349" s="0" t="n">
        <v>70</v>
      </c>
      <c r="D5349" s="0" t="n">
        <v>0</v>
      </c>
      <c r="E5349" s="0" t="n">
        <f aca="false">VLOOKUP(B5349,'MSA-Lookup'!$H$2:$I$86,2)</f>
        <v>8720</v>
      </c>
      <c r="F5349" s="0" t="n">
        <f aca="false">IF(C5349&gt;1,IF(C5349&lt;99,VLOOKUP(C5349,'MSA-Lookup'!$H$1:$I$86,2),C5349),C5349)</f>
        <v>6780</v>
      </c>
      <c r="G5349" s="0" t="n">
        <f aca="false">VLOOKUP(E5349,'MSA-Lookup'!$AA$1:$AB$25,2)</f>
        <v>7362</v>
      </c>
      <c r="H5349" s="0" t="n">
        <f aca="false">IF(C5349&gt;1,IF(C5349&lt;99,VLOOKUP(F5349,'MSA-Lookup'!$AA$1:$AB$25,2),C5349),C5349)</f>
        <v>4472</v>
      </c>
    </row>
    <row r="5350" customFormat="false" ht="12.75" hidden="false" customHeight="false" outlineLevel="0" collapsed="false">
      <c r="A5350" s="0" t="n">
        <f aca="false">B5350*1000+C5350</f>
        <v>73071</v>
      </c>
      <c r="B5350" s="0" t="n">
        <v>73</v>
      </c>
      <c r="C5350" s="0" t="n">
        <v>71</v>
      </c>
      <c r="D5350" s="0" t="n">
        <v>0</v>
      </c>
      <c r="E5350" s="0" t="n">
        <f aca="false">VLOOKUP(B5350,'MSA-Lookup'!$H$2:$I$86,2)</f>
        <v>8720</v>
      </c>
      <c r="F5350" s="0" t="n">
        <f aca="false">IF(C5350&gt;1,IF(C5350&lt;99,VLOOKUP(C5350,'MSA-Lookup'!$H$1:$I$86,2),C5350),C5350)</f>
        <v>6780</v>
      </c>
      <c r="G5350" s="0" t="n">
        <f aca="false">VLOOKUP(E5350,'MSA-Lookup'!$AA$1:$AB$25,2)</f>
        <v>7362</v>
      </c>
      <c r="H5350" s="0" t="n">
        <f aca="false">IF(C5350&gt;1,IF(C5350&lt;99,VLOOKUP(F5350,'MSA-Lookup'!$AA$1:$AB$25,2),C5350),C5350)</f>
        <v>4472</v>
      </c>
    </row>
    <row r="5351" customFormat="false" ht="12.75" hidden="false" customHeight="false" outlineLevel="0" collapsed="false">
      <c r="A5351" s="0" t="n">
        <f aca="false">B5351*1000+C5351</f>
        <v>73072</v>
      </c>
      <c r="B5351" s="0" t="n">
        <v>73</v>
      </c>
      <c r="C5351" s="0" t="n">
        <v>72</v>
      </c>
      <c r="D5351" s="0" t="n">
        <v>0</v>
      </c>
      <c r="E5351" s="0" t="n">
        <f aca="false">VLOOKUP(B5351,'MSA-Lookup'!$H$2:$I$86,2)</f>
        <v>8720</v>
      </c>
      <c r="F5351" s="0" t="n">
        <f aca="false">IF(C5351&gt;1,IF(C5351&lt;99,VLOOKUP(C5351,'MSA-Lookup'!$H$1:$I$86,2),C5351),C5351)</f>
        <v>6780</v>
      </c>
      <c r="G5351" s="0" t="n">
        <f aca="false">VLOOKUP(E5351,'MSA-Lookup'!$AA$1:$AB$25,2)</f>
        <v>7362</v>
      </c>
      <c r="H5351" s="0" t="n">
        <f aca="false">IF(C5351&gt;1,IF(C5351&lt;99,VLOOKUP(F5351,'MSA-Lookup'!$AA$1:$AB$25,2),C5351),C5351)</f>
        <v>4472</v>
      </c>
    </row>
    <row r="5352" customFormat="false" ht="12.75" hidden="false" customHeight="false" outlineLevel="0" collapsed="false">
      <c r="A5352" s="0" t="n">
        <f aca="false">B5352*1000+C5352</f>
        <v>73073</v>
      </c>
      <c r="B5352" s="0" t="n">
        <v>73</v>
      </c>
      <c r="C5352" s="0" t="n">
        <v>73</v>
      </c>
      <c r="D5352" s="0" t="n">
        <v>21268</v>
      </c>
      <c r="E5352" s="0" t="n">
        <f aca="false">VLOOKUP(B5352,'MSA-Lookup'!$H$2:$I$86,2)</f>
        <v>8720</v>
      </c>
      <c r="F5352" s="0" t="n">
        <f aca="false">IF(C5352&gt;1,IF(C5352&lt;99,VLOOKUP(C5352,'MSA-Lookup'!$H$1:$I$86,2),C5352),C5352)</f>
        <v>8720</v>
      </c>
      <c r="G5352" s="0" t="n">
        <f aca="false">VLOOKUP(E5352,'MSA-Lookup'!$AA$1:$AB$25,2)</f>
        <v>7362</v>
      </c>
      <c r="H5352" s="0" t="n">
        <f aca="false">IF(C5352&gt;1,IF(C5352&lt;99,VLOOKUP(F5352,'MSA-Lookup'!$AA$1:$AB$25,2),C5352),C5352)</f>
        <v>7362</v>
      </c>
    </row>
    <row r="5353" customFormat="false" ht="12.75" hidden="false" customHeight="false" outlineLevel="0" collapsed="false">
      <c r="A5353" s="0" t="n">
        <f aca="false">B5353*1000+C5353</f>
        <v>73075</v>
      </c>
      <c r="B5353" s="0" t="n">
        <v>73</v>
      </c>
      <c r="C5353" s="0" t="n">
        <v>75</v>
      </c>
      <c r="D5353" s="0" t="n">
        <v>0</v>
      </c>
      <c r="E5353" s="0" t="n">
        <f aca="false">VLOOKUP(B5353,'MSA-Lookup'!$H$2:$I$86,2)</f>
        <v>8720</v>
      </c>
      <c r="F5353" s="0" t="n">
        <f aca="false">IF(C5353&gt;1,IF(C5353&lt;99,VLOOKUP(C5353,'MSA-Lookup'!$H$1:$I$86,2),C5353),C5353)</f>
        <v>8780</v>
      </c>
      <c r="G5353" s="0" t="n">
        <f aca="false">VLOOKUP(E5353,'MSA-Lookup'!$AA$1:$AB$25,2)</f>
        <v>7362</v>
      </c>
      <c r="H5353" s="0" t="n">
        <f aca="false">IF(C5353&gt;1,IF(C5353&lt;99,VLOOKUP(F5353,'MSA-Lookup'!$AA$1:$AB$25,2),C5353),C5353)</f>
        <v>8780</v>
      </c>
    </row>
    <row r="5354" customFormat="false" ht="12.75" hidden="false" customHeight="false" outlineLevel="0" collapsed="false">
      <c r="A5354" s="0" t="n">
        <f aca="false">B5354*1000+C5354</f>
        <v>73076</v>
      </c>
      <c r="B5354" s="0" t="n">
        <v>73</v>
      </c>
      <c r="C5354" s="0" t="n">
        <v>76</v>
      </c>
      <c r="D5354" s="0" t="n">
        <v>0</v>
      </c>
      <c r="E5354" s="0" t="n">
        <f aca="false">VLOOKUP(B5354,'MSA-Lookup'!$H$2:$I$86,2)</f>
        <v>8720</v>
      </c>
      <c r="F5354" s="0" t="n">
        <f aca="false">IF(C5354&gt;1,IF(C5354&lt;99,VLOOKUP(C5354,'MSA-Lookup'!$H$1:$I$86,2),C5354),C5354)</f>
        <v>7485</v>
      </c>
      <c r="G5354" s="0" t="n">
        <f aca="false">VLOOKUP(E5354,'MSA-Lookup'!$AA$1:$AB$25,2)</f>
        <v>7362</v>
      </c>
      <c r="H5354" s="0" t="n">
        <f aca="false">IF(C5354&gt;1,IF(C5354&lt;99,VLOOKUP(F5354,'MSA-Lookup'!$AA$1:$AB$25,2),C5354),C5354)</f>
        <v>7362</v>
      </c>
    </row>
    <row r="5355" customFormat="false" ht="12.75" hidden="false" customHeight="false" outlineLevel="0" collapsed="false">
      <c r="A5355" s="0" t="n">
        <f aca="false">B5355*1000+C5355</f>
        <v>73077</v>
      </c>
      <c r="B5355" s="0" t="n">
        <v>73</v>
      </c>
      <c r="C5355" s="0" t="n">
        <v>77</v>
      </c>
      <c r="D5355" s="0" t="n">
        <v>0</v>
      </c>
      <c r="E5355" s="0" t="n">
        <f aca="false">VLOOKUP(B5355,'MSA-Lookup'!$H$2:$I$86,2)</f>
        <v>8720</v>
      </c>
      <c r="F5355" s="0" t="n">
        <f aca="false">IF(C5355&gt;1,IF(C5355&lt;99,VLOOKUP(C5355,'MSA-Lookup'!$H$1:$I$86,2),C5355),C5355)</f>
        <v>9999</v>
      </c>
      <c r="G5355" s="0" t="n">
        <f aca="false">VLOOKUP(E5355,'MSA-Lookup'!$AA$1:$AB$25,2)</f>
        <v>7362</v>
      </c>
      <c r="H5355" s="0" t="n">
        <f aca="false">IF(C5355&gt;1,IF(C5355&lt;99,VLOOKUP(F5355,'MSA-Lookup'!$AA$1:$AB$25,2),C5355),C5355)</f>
        <v>9999</v>
      </c>
    </row>
    <row r="5356" customFormat="false" ht="12.75" hidden="false" customHeight="false" outlineLevel="0" collapsed="false">
      <c r="A5356" s="0" t="n">
        <f aca="false">B5356*1000+C5356</f>
        <v>73078</v>
      </c>
      <c r="B5356" s="0" t="n">
        <v>73</v>
      </c>
      <c r="C5356" s="0" t="n">
        <v>78</v>
      </c>
      <c r="D5356" s="0" t="n">
        <v>0</v>
      </c>
      <c r="E5356" s="0" t="n">
        <f aca="false">VLOOKUP(B5356,'MSA-Lookup'!$H$2:$I$86,2)</f>
        <v>8720</v>
      </c>
      <c r="F5356" s="0" t="n">
        <f aca="false">IF(C5356&gt;1,IF(C5356&lt;99,VLOOKUP(C5356,'MSA-Lookup'!$H$1:$I$86,2),C5356),C5356)</f>
        <v>680</v>
      </c>
      <c r="G5356" s="0" t="n">
        <f aca="false">VLOOKUP(E5356,'MSA-Lookup'!$AA$1:$AB$25,2)</f>
        <v>7362</v>
      </c>
      <c r="H5356" s="0" t="n">
        <f aca="false">IF(C5356&gt;1,IF(C5356&lt;99,VLOOKUP(F5356,'MSA-Lookup'!$AA$1:$AB$25,2),C5356),C5356)</f>
        <v>680</v>
      </c>
    </row>
    <row r="5357" customFormat="false" ht="12.75" hidden="false" customHeight="false" outlineLevel="0" collapsed="false">
      <c r="A5357" s="0" t="n">
        <f aca="false">B5357*1000+C5357</f>
        <v>73079</v>
      </c>
      <c r="B5357" s="0" t="n">
        <v>73</v>
      </c>
      <c r="C5357" s="0" t="n">
        <v>79</v>
      </c>
      <c r="D5357" s="0" t="n">
        <v>0</v>
      </c>
      <c r="E5357" s="0" t="n">
        <f aca="false">VLOOKUP(B5357,'MSA-Lookup'!$H$2:$I$86,2)</f>
        <v>8720</v>
      </c>
      <c r="F5357" s="0" t="n">
        <f aca="false">IF(C5357&gt;1,IF(C5357&lt;99,VLOOKUP(C5357,'MSA-Lookup'!$H$1:$I$86,2),C5357),C5357)</f>
        <v>680</v>
      </c>
      <c r="G5357" s="0" t="n">
        <f aca="false">VLOOKUP(E5357,'MSA-Lookup'!$AA$1:$AB$25,2)</f>
        <v>7362</v>
      </c>
      <c r="H5357" s="0" t="n">
        <f aca="false">IF(C5357&gt;1,IF(C5357&lt;99,VLOOKUP(F5357,'MSA-Lookup'!$AA$1:$AB$25,2),C5357),C5357)</f>
        <v>680</v>
      </c>
    </row>
    <row r="5358" customFormat="false" ht="12.75" hidden="false" customHeight="false" outlineLevel="0" collapsed="false">
      <c r="A5358" s="0" t="n">
        <f aca="false">B5358*1000+C5358</f>
        <v>73080</v>
      </c>
      <c r="B5358" s="0" t="n">
        <v>73</v>
      </c>
      <c r="C5358" s="0" t="n">
        <v>80</v>
      </c>
      <c r="D5358" s="0" t="n">
        <v>0</v>
      </c>
      <c r="E5358" s="0" t="n">
        <f aca="false">VLOOKUP(B5358,'MSA-Lookup'!$H$2:$I$86,2)</f>
        <v>8720</v>
      </c>
      <c r="F5358" s="0" t="n">
        <f aca="false">IF(C5358&gt;1,IF(C5358&lt;99,VLOOKUP(C5358,'MSA-Lookup'!$H$1:$I$86,2),C5358),C5358)</f>
        <v>9999</v>
      </c>
      <c r="G5358" s="0" t="n">
        <f aca="false">VLOOKUP(E5358,'MSA-Lookup'!$AA$1:$AB$25,2)</f>
        <v>7362</v>
      </c>
      <c r="H5358" s="0" t="n">
        <f aca="false">IF(C5358&gt;1,IF(C5358&lt;99,VLOOKUP(F5358,'MSA-Lookup'!$AA$1:$AB$25,2),C5358),C5358)</f>
        <v>9999</v>
      </c>
    </row>
    <row r="5359" customFormat="false" ht="12.75" hidden="false" customHeight="false" outlineLevel="0" collapsed="false">
      <c r="A5359" s="0" t="n">
        <f aca="false">B5359*1000+C5359</f>
        <v>73081</v>
      </c>
      <c r="B5359" s="0" t="n">
        <v>73</v>
      </c>
      <c r="C5359" s="0" t="n">
        <v>81</v>
      </c>
      <c r="D5359" s="0" t="n">
        <v>0</v>
      </c>
      <c r="E5359" s="0" t="n">
        <f aca="false">VLOOKUP(B5359,'MSA-Lookup'!$H$2:$I$86,2)</f>
        <v>8720</v>
      </c>
      <c r="F5359" s="0" t="n">
        <f aca="false">IF(C5359&gt;1,IF(C5359&lt;99,VLOOKUP(C5359,'MSA-Lookup'!$H$1:$I$86,2),C5359),C5359)</f>
        <v>6780</v>
      </c>
      <c r="G5359" s="0" t="n">
        <f aca="false">VLOOKUP(E5359,'MSA-Lookup'!$AA$1:$AB$25,2)</f>
        <v>7362</v>
      </c>
      <c r="H5359" s="0" t="n">
        <f aca="false">IF(C5359&gt;1,IF(C5359&lt;99,VLOOKUP(F5359,'MSA-Lookup'!$AA$1:$AB$25,2),C5359),C5359)</f>
        <v>4472</v>
      </c>
    </row>
    <row r="5360" customFormat="false" ht="12.75" hidden="false" customHeight="false" outlineLevel="0" collapsed="false">
      <c r="A5360" s="0" t="n">
        <f aca="false">B5360*1000+C5360</f>
        <v>73082</v>
      </c>
      <c r="B5360" s="0" t="n">
        <v>73</v>
      </c>
      <c r="C5360" s="0" t="n">
        <v>82</v>
      </c>
      <c r="D5360" s="0" t="n">
        <v>0</v>
      </c>
      <c r="E5360" s="0" t="n">
        <f aca="false">VLOOKUP(B5360,'MSA-Lookup'!$H$2:$I$86,2)</f>
        <v>8720</v>
      </c>
      <c r="F5360" s="0" t="n">
        <f aca="false">IF(C5360&gt;1,IF(C5360&lt;99,VLOOKUP(C5360,'MSA-Lookup'!$H$1:$I$86,2),C5360),C5360)</f>
        <v>6780</v>
      </c>
      <c r="G5360" s="0" t="n">
        <f aca="false">VLOOKUP(E5360,'MSA-Lookup'!$AA$1:$AB$25,2)</f>
        <v>7362</v>
      </c>
      <c r="H5360" s="0" t="n">
        <f aca="false">IF(C5360&gt;1,IF(C5360&lt;99,VLOOKUP(F5360,'MSA-Lookup'!$AA$1:$AB$25,2),C5360),C5360)</f>
        <v>4472</v>
      </c>
    </row>
    <row r="5361" customFormat="false" ht="12.75" hidden="false" customHeight="false" outlineLevel="0" collapsed="false">
      <c r="A5361" s="0" t="n">
        <f aca="false">B5361*1000+C5361</f>
        <v>73083</v>
      </c>
      <c r="B5361" s="0" t="n">
        <v>73</v>
      </c>
      <c r="C5361" s="0" t="n">
        <v>83</v>
      </c>
      <c r="D5361" s="0" t="n">
        <v>0</v>
      </c>
      <c r="E5361" s="0" t="n">
        <f aca="false">VLOOKUP(B5361,'MSA-Lookup'!$H$2:$I$86,2)</f>
        <v>8720</v>
      </c>
      <c r="F5361" s="0" t="n">
        <f aca="false">IF(C5361&gt;1,IF(C5361&lt;99,VLOOKUP(C5361,'MSA-Lookup'!$H$1:$I$86,2),C5361),C5361)</f>
        <v>6000</v>
      </c>
      <c r="G5361" s="0" t="n">
        <f aca="false">VLOOKUP(E5361,'MSA-Lookup'!$AA$1:$AB$25,2)</f>
        <v>7362</v>
      </c>
      <c r="H5361" s="0" t="n">
        <f aca="false">IF(C5361&gt;1,IF(C5361&lt;99,VLOOKUP(F5361,'MSA-Lookup'!$AA$1:$AB$25,2),C5361),C5361)</f>
        <v>4472</v>
      </c>
    </row>
    <row r="5362" customFormat="false" ht="12.75" hidden="false" customHeight="false" outlineLevel="0" collapsed="false">
      <c r="A5362" s="0" t="n">
        <f aca="false">B5362*1000+C5362</f>
        <v>73084</v>
      </c>
      <c r="B5362" s="0" t="n">
        <v>73</v>
      </c>
      <c r="C5362" s="0" t="n">
        <v>84</v>
      </c>
      <c r="D5362" s="0" t="n">
        <v>0</v>
      </c>
      <c r="E5362" s="0" t="n">
        <f aca="false">VLOOKUP(B5362,'MSA-Lookup'!$H$2:$I$86,2)</f>
        <v>8720</v>
      </c>
      <c r="F5362" s="0" t="n">
        <f aca="false">IF(C5362&gt;1,IF(C5362&lt;99,VLOOKUP(C5362,'MSA-Lookup'!$H$1:$I$86,2),C5362),C5362)</f>
        <v>360</v>
      </c>
      <c r="G5362" s="0" t="n">
        <f aca="false">VLOOKUP(E5362,'MSA-Lookup'!$AA$1:$AB$25,2)</f>
        <v>7362</v>
      </c>
      <c r="H5362" s="0" t="n">
        <f aca="false">IF(C5362&gt;1,IF(C5362&lt;99,VLOOKUP(F5362,'MSA-Lookup'!$AA$1:$AB$25,2),C5362),C5362)</f>
        <v>4472</v>
      </c>
    </row>
    <row r="5363" customFormat="false" ht="12.75" hidden="false" customHeight="false" outlineLevel="0" collapsed="false">
      <c r="A5363" s="0" t="n">
        <f aca="false">B5363*1000+C5363</f>
        <v>73085</v>
      </c>
      <c r="B5363" s="0" t="n">
        <v>73</v>
      </c>
      <c r="C5363" s="0" t="n">
        <v>85</v>
      </c>
      <c r="D5363" s="0" t="n">
        <v>0</v>
      </c>
      <c r="E5363" s="0" t="n">
        <f aca="false">VLOOKUP(B5363,'MSA-Lookup'!$H$2:$I$86,2)</f>
        <v>8720</v>
      </c>
      <c r="F5363" s="0" t="n">
        <f aca="false">IF(C5363&gt;1,IF(C5363&lt;99,VLOOKUP(C5363,'MSA-Lookup'!$H$1:$I$86,2),C5363),C5363)</f>
        <v>8120</v>
      </c>
      <c r="G5363" s="0" t="n">
        <f aca="false">VLOOKUP(E5363,'MSA-Lookup'!$AA$1:$AB$25,2)</f>
        <v>7362</v>
      </c>
      <c r="H5363" s="0" t="n">
        <f aca="false">IF(C5363&gt;1,IF(C5363&lt;99,VLOOKUP(F5363,'MSA-Lookup'!$AA$1:$AB$25,2),C5363),C5363)</f>
        <v>8120</v>
      </c>
    </row>
    <row r="5364" customFormat="false" ht="12.75" hidden="false" customHeight="false" outlineLevel="0" collapsed="false">
      <c r="A5364" s="0" t="n">
        <f aca="false">B5364*1000+C5364</f>
        <v>73858</v>
      </c>
      <c r="B5364" s="0" t="n">
        <v>73</v>
      </c>
      <c r="C5364" s="0" t="n">
        <v>858</v>
      </c>
      <c r="D5364" s="0" t="n">
        <v>0</v>
      </c>
      <c r="E5364" s="0" t="n">
        <f aca="false">VLOOKUP(B5364,'MSA-Lookup'!$H$2:$I$86,2)</f>
        <v>8720</v>
      </c>
      <c r="F5364" s="0" t="n">
        <f aca="false">IF(C5364&gt;1,IF(C5364&lt;99,VLOOKUP(C5364,'MSA-Lookup'!$H$1:$I$86,2),C5364),C5364)</f>
        <v>858</v>
      </c>
      <c r="G5364" s="0" t="n">
        <f aca="false">VLOOKUP(E5364,'MSA-Lookup'!$AA$1:$AB$25,2)</f>
        <v>7362</v>
      </c>
      <c r="H5364" s="0" t="n">
        <f aca="false">IF(C5364&gt;1,IF(C5364&lt;99,VLOOKUP(F5364,'MSA-Lookup'!$AA$1:$AB$25,2),C5364),C5364)</f>
        <v>858</v>
      </c>
    </row>
    <row r="5365" customFormat="false" ht="12.75" hidden="false" customHeight="false" outlineLevel="0" collapsed="false">
      <c r="A5365" s="0" t="n">
        <f aca="false">B5365*1000+C5365</f>
        <v>73983</v>
      </c>
      <c r="B5365" s="0" t="n">
        <v>73</v>
      </c>
      <c r="C5365" s="0" t="n">
        <v>983</v>
      </c>
      <c r="D5365" s="0" t="n">
        <v>0</v>
      </c>
      <c r="E5365" s="0" t="n">
        <f aca="false">VLOOKUP(B5365,'MSA-Lookup'!$H$2:$I$86,2)</f>
        <v>8720</v>
      </c>
      <c r="F5365" s="0" t="n">
        <f aca="false">IF(C5365&gt;1,IF(C5365&lt;99,VLOOKUP(C5365,'MSA-Lookup'!$H$1:$I$86,2),C5365),C5365)</f>
        <v>983</v>
      </c>
      <c r="G5365" s="0" t="n">
        <f aca="false">VLOOKUP(E5365,'MSA-Lookup'!$AA$1:$AB$25,2)</f>
        <v>7362</v>
      </c>
      <c r="H5365" s="0" t="n">
        <f aca="false">IF(C5365&gt;1,IF(C5365&lt;99,VLOOKUP(F5365,'MSA-Lookup'!$AA$1:$AB$25,2),C5365),C5365)</f>
        <v>983</v>
      </c>
    </row>
    <row r="5366" customFormat="false" ht="12.75" hidden="false" customHeight="false" outlineLevel="0" collapsed="false">
      <c r="A5366" s="0" t="n">
        <f aca="false">B5366*1000+C5366</f>
        <v>73999</v>
      </c>
      <c r="B5366" s="0" t="n">
        <v>73</v>
      </c>
      <c r="C5366" s="0" t="n">
        <v>999</v>
      </c>
      <c r="D5366" s="0" t="n">
        <v>299</v>
      </c>
      <c r="E5366" s="0" t="n">
        <f aca="false">VLOOKUP(B5366,'MSA-Lookup'!$H$2:$I$86,2)</f>
        <v>8720</v>
      </c>
      <c r="F5366" s="0" t="n">
        <f aca="false">IF(C5366&gt;1,IF(C5366&lt;99,VLOOKUP(C5366,'MSA-Lookup'!$H$1:$I$86,2),C5366),C5366)</f>
        <v>999</v>
      </c>
      <c r="G5366" s="0" t="n">
        <f aca="false">VLOOKUP(E5366,'MSA-Lookup'!$AA$1:$AB$25,2)</f>
        <v>7362</v>
      </c>
      <c r="H5366" s="0" t="n">
        <f aca="false">IF(C5366&gt;1,IF(C5366&lt;99,VLOOKUP(F5366,'MSA-Lookup'!$AA$1:$AB$25,2),C5366),C5366)</f>
        <v>999</v>
      </c>
    </row>
    <row r="5367" customFormat="false" ht="12.75" hidden="false" customHeight="false" outlineLevel="0" collapsed="false">
      <c r="A5367" s="0" t="n">
        <f aca="false">B5367*1000+C5367</f>
        <v>74000</v>
      </c>
      <c r="B5367" s="0" t="n">
        <v>74</v>
      </c>
      <c r="C5367" s="0" t="n">
        <v>0</v>
      </c>
      <c r="D5367" s="0" t="n">
        <v>201604</v>
      </c>
      <c r="E5367" s="0" t="n">
        <f aca="false">VLOOKUP(B5367,'MSA-Lookup'!$H$2:$I$86,2)</f>
        <v>5775</v>
      </c>
      <c r="F5367" s="0" t="n">
        <f aca="false">IF(C5367&gt;1,IF(C5367&lt;99,VLOOKUP(C5367,'MSA-Lookup'!$H$1:$I$86,2),C5367),C5367)</f>
        <v>0</v>
      </c>
      <c r="G5367" s="0" t="n">
        <f aca="false">VLOOKUP(E5367,'MSA-Lookup'!$AA$1:$AB$25,2)</f>
        <v>7362</v>
      </c>
      <c r="H5367" s="0" t="n">
        <f aca="false">IF(C5367&gt;1,IF(C5367&lt;99,VLOOKUP(F5367,'MSA-Lookup'!$AA$1:$AB$25,2),C5367),C5367)</f>
        <v>0</v>
      </c>
    </row>
    <row r="5368" customFormat="false" ht="12.75" hidden="false" customHeight="false" outlineLevel="0" collapsed="false">
      <c r="A5368" s="0" t="n">
        <f aca="false">B5368*1000+C5368</f>
        <v>74001</v>
      </c>
      <c r="B5368" s="0" t="n">
        <v>74</v>
      </c>
      <c r="C5368" s="0" t="n">
        <v>1</v>
      </c>
      <c r="D5368" s="0" t="n">
        <v>0</v>
      </c>
      <c r="E5368" s="0" t="n">
        <f aca="false">VLOOKUP(B5368,'MSA-Lookup'!$H$2:$I$86,2)</f>
        <v>5775</v>
      </c>
      <c r="F5368" s="0" t="n">
        <f aca="false">IF(C5368&gt;1,IF(C5368&lt;99,VLOOKUP(C5368,'MSA-Lookup'!$H$1:$I$86,2),C5368),C5368)</f>
        <v>1</v>
      </c>
      <c r="G5368" s="0" t="n">
        <f aca="false">VLOOKUP(E5368,'MSA-Lookup'!$AA$1:$AB$25,2)</f>
        <v>7362</v>
      </c>
      <c r="H5368" s="0" t="n">
        <f aca="false">IF(C5368&gt;1,IF(C5368&lt;99,VLOOKUP(F5368,'MSA-Lookup'!$AA$1:$AB$25,2),C5368),C5368)</f>
        <v>1</v>
      </c>
    </row>
    <row r="5369" customFormat="false" ht="12.75" hidden="false" customHeight="false" outlineLevel="0" collapsed="false">
      <c r="A5369" s="0" t="n">
        <f aca="false">B5369*1000+C5369</f>
        <v>74002</v>
      </c>
      <c r="B5369" s="0" t="n">
        <v>74</v>
      </c>
      <c r="C5369" s="0" t="n">
        <v>2</v>
      </c>
      <c r="D5369" s="0" t="n">
        <v>78</v>
      </c>
      <c r="E5369" s="0" t="n">
        <f aca="false">VLOOKUP(B5369,'MSA-Lookup'!$H$2:$I$86,2)</f>
        <v>5775</v>
      </c>
      <c r="F5369" s="0" t="n">
        <f aca="false">IF(C5369&gt;1,IF(C5369&lt;99,VLOOKUP(C5369,'MSA-Lookup'!$H$1:$I$86,2),C5369),C5369)</f>
        <v>9999</v>
      </c>
      <c r="G5369" s="0" t="n">
        <f aca="false">VLOOKUP(E5369,'MSA-Lookup'!$AA$1:$AB$25,2)</f>
        <v>7362</v>
      </c>
      <c r="H5369" s="0" t="n">
        <f aca="false">IF(C5369&gt;1,IF(C5369&lt;99,VLOOKUP(F5369,'MSA-Lookup'!$AA$1:$AB$25,2),C5369),C5369)</f>
        <v>9999</v>
      </c>
    </row>
    <row r="5370" customFormat="false" ht="12.75" hidden="false" customHeight="false" outlineLevel="0" collapsed="false">
      <c r="A5370" s="0" t="n">
        <f aca="false">B5370*1000+C5370</f>
        <v>74003</v>
      </c>
      <c r="B5370" s="0" t="n">
        <v>74</v>
      </c>
      <c r="C5370" s="0" t="n">
        <v>3</v>
      </c>
      <c r="D5370" s="0" t="n">
        <v>0</v>
      </c>
      <c r="E5370" s="0" t="n">
        <f aca="false">VLOOKUP(B5370,'MSA-Lookup'!$H$2:$I$86,2)</f>
        <v>5775</v>
      </c>
      <c r="F5370" s="0" t="n">
        <f aca="false">IF(C5370&gt;1,IF(C5370&lt;99,VLOOKUP(C5370,'MSA-Lookup'!$H$1:$I$86,2),C5370),C5370)</f>
        <v>6690</v>
      </c>
      <c r="G5370" s="0" t="n">
        <f aca="false">VLOOKUP(E5370,'MSA-Lookup'!$AA$1:$AB$25,2)</f>
        <v>7362</v>
      </c>
      <c r="H5370" s="0" t="n">
        <f aca="false">IF(C5370&gt;1,IF(C5370&lt;99,VLOOKUP(F5370,'MSA-Lookup'!$AA$1:$AB$25,2),C5370),C5370)</f>
        <v>6690</v>
      </c>
    </row>
    <row r="5371" customFormat="false" ht="12.75" hidden="false" customHeight="false" outlineLevel="0" collapsed="false">
      <c r="A5371" s="0" t="n">
        <f aca="false">B5371*1000+C5371</f>
        <v>74004</v>
      </c>
      <c r="B5371" s="0" t="n">
        <v>74</v>
      </c>
      <c r="C5371" s="0" t="n">
        <v>4</v>
      </c>
      <c r="D5371" s="0" t="n">
        <v>0</v>
      </c>
      <c r="E5371" s="0" t="n">
        <f aca="false">VLOOKUP(B5371,'MSA-Lookup'!$H$2:$I$86,2)</f>
        <v>5775</v>
      </c>
      <c r="F5371" s="0" t="n">
        <f aca="false">IF(C5371&gt;1,IF(C5371&lt;99,VLOOKUP(C5371,'MSA-Lookup'!$H$1:$I$86,2),C5371),C5371)</f>
        <v>9999</v>
      </c>
      <c r="G5371" s="0" t="n">
        <f aca="false">VLOOKUP(E5371,'MSA-Lookup'!$AA$1:$AB$25,2)</f>
        <v>7362</v>
      </c>
      <c r="H5371" s="0" t="n">
        <f aca="false">IF(C5371&gt;1,IF(C5371&lt;99,VLOOKUP(F5371,'MSA-Lookup'!$AA$1:$AB$25,2),C5371),C5371)</f>
        <v>9999</v>
      </c>
    </row>
    <row r="5372" customFormat="false" ht="12.75" hidden="false" customHeight="false" outlineLevel="0" collapsed="false">
      <c r="A5372" s="0" t="n">
        <f aca="false">B5372*1000+C5372</f>
        <v>74005</v>
      </c>
      <c r="B5372" s="0" t="n">
        <v>74</v>
      </c>
      <c r="C5372" s="0" t="n">
        <v>5</v>
      </c>
      <c r="D5372" s="0" t="n">
        <v>0</v>
      </c>
      <c r="E5372" s="0" t="n">
        <f aca="false">VLOOKUP(B5372,'MSA-Lookup'!$H$2:$I$86,2)</f>
        <v>5775</v>
      </c>
      <c r="F5372" s="0" t="n">
        <f aca="false">IF(C5372&gt;1,IF(C5372&lt;99,VLOOKUP(C5372,'MSA-Lookup'!$H$1:$I$86,2),C5372),C5372)</f>
        <v>9999</v>
      </c>
      <c r="G5372" s="0" t="n">
        <f aca="false">VLOOKUP(E5372,'MSA-Lookup'!$AA$1:$AB$25,2)</f>
        <v>7362</v>
      </c>
      <c r="H5372" s="0" t="n">
        <f aca="false">IF(C5372&gt;1,IF(C5372&lt;99,VLOOKUP(F5372,'MSA-Lookup'!$AA$1:$AB$25,2),C5372),C5372)</f>
        <v>9999</v>
      </c>
    </row>
    <row r="5373" customFormat="false" ht="12.75" hidden="false" customHeight="false" outlineLevel="0" collapsed="false">
      <c r="A5373" s="0" t="n">
        <f aca="false">B5373*1000+C5373</f>
        <v>74006</v>
      </c>
      <c r="B5373" s="0" t="n">
        <v>74</v>
      </c>
      <c r="C5373" s="0" t="n">
        <v>6</v>
      </c>
      <c r="D5373" s="0" t="n">
        <v>65</v>
      </c>
      <c r="E5373" s="0" t="n">
        <f aca="false">VLOOKUP(B5373,'MSA-Lookup'!$H$2:$I$86,2)</f>
        <v>5775</v>
      </c>
      <c r="F5373" s="0" t="n">
        <f aca="false">IF(C5373&gt;1,IF(C5373&lt;99,VLOOKUP(C5373,'MSA-Lookup'!$H$1:$I$86,2),C5373),C5373)</f>
        <v>1620</v>
      </c>
      <c r="G5373" s="0" t="n">
        <f aca="false">VLOOKUP(E5373,'MSA-Lookup'!$AA$1:$AB$25,2)</f>
        <v>7362</v>
      </c>
      <c r="H5373" s="0" t="n">
        <f aca="false">IF(C5373&gt;1,IF(C5373&lt;99,VLOOKUP(F5373,'MSA-Lookup'!$AA$1:$AB$25,2),C5373),C5373)</f>
        <v>1620</v>
      </c>
    </row>
    <row r="5374" customFormat="false" ht="12.75" hidden="false" customHeight="false" outlineLevel="0" collapsed="false">
      <c r="A5374" s="0" t="n">
        <f aca="false">B5374*1000+C5374</f>
        <v>74007</v>
      </c>
      <c r="B5374" s="0" t="n">
        <v>74</v>
      </c>
      <c r="C5374" s="0" t="n">
        <v>7</v>
      </c>
      <c r="D5374" s="0" t="n">
        <v>0</v>
      </c>
      <c r="E5374" s="0" t="n">
        <f aca="false">VLOOKUP(B5374,'MSA-Lookup'!$H$2:$I$86,2)</f>
        <v>5775</v>
      </c>
      <c r="F5374" s="0" t="n">
        <f aca="false">IF(C5374&gt;1,IF(C5374&lt;99,VLOOKUP(C5374,'MSA-Lookup'!$H$1:$I$86,2),C5374),C5374)</f>
        <v>9999</v>
      </c>
      <c r="G5374" s="0" t="n">
        <f aca="false">VLOOKUP(E5374,'MSA-Lookup'!$AA$1:$AB$25,2)</f>
        <v>7362</v>
      </c>
      <c r="H5374" s="0" t="n">
        <f aca="false">IF(C5374&gt;1,IF(C5374&lt;99,VLOOKUP(F5374,'MSA-Lookup'!$AA$1:$AB$25,2),C5374),C5374)</f>
        <v>9999</v>
      </c>
    </row>
    <row r="5375" customFormat="false" ht="12.75" hidden="false" customHeight="false" outlineLevel="0" collapsed="false">
      <c r="A5375" s="0" t="n">
        <f aca="false">B5375*1000+C5375</f>
        <v>74008</v>
      </c>
      <c r="B5375" s="0" t="n">
        <v>74</v>
      </c>
      <c r="C5375" s="0" t="n">
        <v>8</v>
      </c>
      <c r="D5375" s="0" t="n">
        <v>0</v>
      </c>
      <c r="E5375" s="0" t="n">
        <f aca="false">VLOOKUP(B5375,'MSA-Lookup'!$H$2:$I$86,2)</f>
        <v>5775</v>
      </c>
      <c r="F5375" s="0" t="n">
        <f aca="false">IF(C5375&gt;1,IF(C5375&lt;99,VLOOKUP(C5375,'MSA-Lookup'!$H$1:$I$86,2),C5375),C5375)</f>
        <v>9340</v>
      </c>
      <c r="G5375" s="0" t="n">
        <f aca="false">VLOOKUP(E5375,'MSA-Lookup'!$AA$1:$AB$25,2)</f>
        <v>7362</v>
      </c>
      <c r="H5375" s="0" t="n">
        <f aca="false">IF(C5375&gt;1,IF(C5375&lt;99,VLOOKUP(F5375,'MSA-Lookup'!$AA$1:$AB$25,2),C5375),C5375)</f>
        <v>9340</v>
      </c>
    </row>
    <row r="5376" customFormat="false" ht="12.75" hidden="false" customHeight="false" outlineLevel="0" collapsed="false">
      <c r="A5376" s="0" t="n">
        <f aca="false">B5376*1000+C5376</f>
        <v>74009</v>
      </c>
      <c r="B5376" s="0" t="n">
        <v>74</v>
      </c>
      <c r="C5376" s="0" t="n">
        <v>9</v>
      </c>
      <c r="D5376" s="0" t="n">
        <v>0</v>
      </c>
      <c r="E5376" s="0" t="n">
        <f aca="false">VLOOKUP(B5376,'MSA-Lookup'!$H$2:$I$86,2)</f>
        <v>5775</v>
      </c>
      <c r="F5376" s="0" t="n">
        <f aca="false">IF(C5376&gt;1,IF(C5376&lt;99,VLOOKUP(C5376,'MSA-Lookup'!$H$1:$I$86,2),C5376),C5376)</f>
        <v>8720</v>
      </c>
      <c r="G5376" s="0" t="n">
        <f aca="false">VLOOKUP(E5376,'MSA-Lookup'!$AA$1:$AB$25,2)</f>
        <v>7362</v>
      </c>
      <c r="H5376" s="0" t="n">
        <f aca="false">IF(C5376&gt;1,IF(C5376&lt;99,VLOOKUP(F5376,'MSA-Lookup'!$AA$1:$AB$25,2),C5376),C5376)</f>
        <v>7362</v>
      </c>
    </row>
    <row r="5377" customFormat="false" ht="12.75" hidden="false" customHeight="false" outlineLevel="0" collapsed="false">
      <c r="A5377" s="0" t="n">
        <f aca="false">B5377*1000+C5377</f>
        <v>74010</v>
      </c>
      <c r="B5377" s="0" t="n">
        <v>74</v>
      </c>
      <c r="C5377" s="0" t="n">
        <v>10</v>
      </c>
      <c r="D5377" s="0" t="n">
        <v>0</v>
      </c>
      <c r="E5377" s="0" t="n">
        <f aca="false">VLOOKUP(B5377,'MSA-Lookup'!$H$2:$I$86,2)</f>
        <v>5775</v>
      </c>
      <c r="F5377" s="0" t="n">
        <f aca="false">IF(C5377&gt;1,IF(C5377&lt;99,VLOOKUP(C5377,'MSA-Lookup'!$H$1:$I$86,2),C5377),C5377)</f>
        <v>6920</v>
      </c>
      <c r="G5377" s="0" t="n">
        <f aca="false">VLOOKUP(E5377,'MSA-Lookup'!$AA$1:$AB$25,2)</f>
        <v>7362</v>
      </c>
      <c r="H5377" s="0" t="n">
        <f aca="false">IF(C5377&gt;1,IF(C5377&lt;99,VLOOKUP(F5377,'MSA-Lookup'!$AA$1:$AB$25,2),C5377),C5377)</f>
        <v>6920</v>
      </c>
    </row>
    <row r="5378" customFormat="false" ht="12.75" hidden="false" customHeight="false" outlineLevel="0" collapsed="false">
      <c r="A5378" s="0" t="n">
        <f aca="false">B5378*1000+C5378</f>
        <v>74011</v>
      </c>
      <c r="B5378" s="0" t="n">
        <v>74</v>
      </c>
      <c r="C5378" s="0" t="n">
        <v>11</v>
      </c>
      <c r="D5378" s="0" t="n">
        <v>117</v>
      </c>
      <c r="E5378" s="0" t="n">
        <f aca="false">VLOOKUP(B5378,'MSA-Lookup'!$H$2:$I$86,2)</f>
        <v>5775</v>
      </c>
      <c r="F5378" s="0" t="n">
        <f aca="false">IF(C5378&gt;1,IF(C5378&lt;99,VLOOKUP(C5378,'MSA-Lookup'!$H$1:$I$86,2),C5378),C5378)</f>
        <v>6920</v>
      </c>
      <c r="G5378" s="0" t="n">
        <f aca="false">VLOOKUP(E5378,'MSA-Lookup'!$AA$1:$AB$25,2)</f>
        <v>7362</v>
      </c>
      <c r="H5378" s="0" t="n">
        <f aca="false">IF(C5378&gt;1,IF(C5378&lt;99,VLOOKUP(F5378,'MSA-Lookup'!$AA$1:$AB$25,2),C5378),C5378)</f>
        <v>6920</v>
      </c>
    </row>
    <row r="5379" customFormat="false" ht="12.75" hidden="false" customHeight="false" outlineLevel="0" collapsed="false">
      <c r="A5379" s="0" t="n">
        <f aca="false">B5379*1000+C5379</f>
        <v>74012</v>
      </c>
      <c r="B5379" s="0" t="n">
        <v>74</v>
      </c>
      <c r="C5379" s="0" t="n">
        <v>12</v>
      </c>
      <c r="D5379" s="0" t="n">
        <v>78</v>
      </c>
      <c r="E5379" s="0" t="n">
        <f aca="false">VLOOKUP(B5379,'MSA-Lookup'!$H$2:$I$86,2)</f>
        <v>5775</v>
      </c>
      <c r="F5379" s="0" t="n">
        <f aca="false">IF(C5379&gt;1,IF(C5379&lt;99,VLOOKUP(C5379,'MSA-Lookup'!$H$1:$I$86,2),C5379),C5379)</f>
        <v>6920</v>
      </c>
      <c r="G5379" s="0" t="n">
        <f aca="false">VLOOKUP(E5379,'MSA-Lookup'!$AA$1:$AB$25,2)</f>
        <v>7362</v>
      </c>
      <c r="H5379" s="0" t="n">
        <f aca="false">IF(C5379&gt;1,IF(C5379&lt;99,VLOOKUP(F5379,'MSA-Lookup'!$AA$1:$AB$25,2),C5379),C5379)</f>
        <v>6920</v>
      </c>
    </row>
    <row r="5380" customFormat="false" ht="12.75" hidden="false" customHeight="false" outlineLevel="0" collapsed="false">
      <c r="A5380" s="0" t="n">
        <f aca="false">B5380*1000+C5380</f>
        <v>74013</v>
      </c>
      <c r="B5380" s="0" t="n">
        <v>74</v>
      </c>
      <c r="C5380" s="0" t="n">
        <v>13</v>
      </c>
      <c r="D5380" s="0" t="n">
        <v>117</v>
      </c>
      <c r="E5380" s="0" t="n">
        <f aca="false">VLOOKUP(B5380,'MSA-Lookup'!$H$2:$I$86,2)</f>
        <v>5775</v>
      </c>
      <c r="F5380" s="0" t="n">
        <f aca="false">IF(C5380&gt;1,IF(C5380&lt;99,VLOOKUP(C5380,'MSA-Lookup'!$H$1:$I$86,2),C5380),C5380)</f>
        <v>7500</v>
      </c>
      <c r="G5380" s="0" t="n">
        <f aca="false">VLOOKUP(E5380,'MSA-Lookup'!$AA$1:$AB$25,2)</f>
        <v>7362</v>
      </c>
      <c r="H5380" s="0" t="n">
        <f aca="false">IF(C5380&gt;1,IF(C5380&lt;99,VLOOKUP(F5380,'MSA-Lookup'!$AA$1:$AB$25,2),C5380),C5380)</f>
        <v>7362</v>
      </c>
    </row>
    <row r="5381" customFormat="false" ht="12.75" hidden="false" customHeight="false" outlineLevel="0" collapsed="false">
      <c r="A5381" s="0" t="n">
        <f aca="false">B5381*1000+C5381</f>
        <v>74014</v>
      </c>
      <c r="B5381" s="0" t="n">
        <v>74</v>
      </c>
      <c r="C5381" s="0" t="n">
        <v>14</v>
      </c>
      <c r="D5381" s="0" t="n">
        <v>169</v>
      </c>
      <c r="E5381" s="0" t="n">
        <f aca="false">VLOOKUP(B5381,'MSA-Lookup'!$H$2:$I$86,2)</f>
        <v>5775</v>
      </c>
      <c r="F5381" s="0" t="n">
        <f aca="false">IF(C5381&gt;1,IF(C5381&lt;99,VLOOKUP(C5381,'MSA-Lookup'!$H$1:$I$86,2),C5381),C5381)</f>
        <v>7500</v>
      </c>
      <c r="G5381" s="0" t="n">
        <f aca="false">VLOOKUP(E5381,'MSA-Lookup'!$AA$1:$AB$25,2)</f>
        <v>7362</v>
      </c>
      <c r="H5381" s="0" t="n">
        <f aca="false">IF(C5381&gt;1,IF(C5381&lt;99,VLOOKUP(F5381,'MSA-Lookup'!$AA$1:$AB$25,2),C5381),C5381)</f>
        <v>7362</v>
      </c>
    </row>
    <row r="5382" customFormat="false" ht="12.75" hidden="false" customHeight="false" outlineLevel="0" collapsed="false">
      <c r="A5382" s="0" t="n">
        <f aca="false">B5382*1000+C5382</f>
        <v>74015</v>
      </c>
      <c r="B5382" s="0" t="n">
        <v>74</v>
      </c>
      <c r="C5382" s="0" t="n">
        <v>15</v>
      </c>
      <c r="D5382" s="0" t="n">
        <v>962</v>
      </c>
      <c r="E5382" s="0" t="n">
        <f aca="false">VLOOKUP(B5382,'MSA-Lookup'!$H$2:$I$86,2)</f>
        <v>5775</v>
      </c>
      <c r="F5382" s="0" t="n">
        <f aca="false">IF(C5382&gt;1,IF(C5382&lt;99,VLOOKUP(C5382,'MSA-Lookup'!$H$1:$I$86,2),C5382),C5382)</f>
        <v>7360</v>
      </c>
      <c r="G5382" s="0" t="n">
        <f aca="false">VLOOKUP(E5382,'MSA-Lookup'!$AA$1:$AB$25,2)</f>
        <v>7362</v>
      </c>
      <c r="H5382" s="0" t="n">
        <f aca="false">IF(C5382&gt;1,IF(C5382&lt;99,VLOOKUP(F5382,'MSA-Lookup'!$AA$1:$AB$25,2),C5382),C5382)</f>
        <v>7362</v>
      </c>
    </row>
    <row r="5383" customFormat="false" ht="12.75" hidden="false" customHeight="false" outlineLevel="0" collapsed="false">
      <c r="A5383" s="0" t="n">
        <f aca="false">B5383*1000+C5383</f>
        <v>74016</v>
      </c>
      <c r="B5383" s="0" t="n">
        <v>74</v>
      </c>
      <c r="C5383" s="0" t="n">
        <v>16</v>
      </c>
      <c r="D5383" s="0" t="n">
        <v>208</v>
      </c>
      <c r="E5383" s="0" t="n">
        <f aca="false">VLOOKUP(B5383,'MSA-Lookup'!$H$2:$I$86,2)</f>
        <v>5775</v>
      </c>
      <c r="F5383" s="0" t="n">
        <f aca="false">IF(C5383&gt;1,IF(C5383&lt;99,VLOOKUP(C5383,'MSA-Lookup'!$H$1:$I$86,2),C5383),C5383)</f>
        <v>8720</v>
      </c>
      <c r="G5383" s="0" t="n">
        <f aca="false">VLOOKUP(E5383,'MSA-Lookup'!$AA$1:$AB$25,2)</f>
        <v>7362</v>
      </c>
      <c r="H5383" s="0" t="n">
        <f aca="false">IF(C5383&gt;1,IF(C5383&lt;99,VLOOKUP(F5383,'MSA-Lookup'!$AA$1:$AB$25,2),C5383),C5383)</f>
        <v>7362</v>
      </c>
    </row>
    <row r="5384" customFormat="false" ht="12.75" hidden="false" customHeight="false" outlineLevel="0" collapsed="false">
      <c r="A5384" s="0" t="n">
        <f aca="false">B5384*1000+C5384</f>
        <v>74017</v>
      </c>
      <c r="B5384" s="0" t="n">
        <v>74</v>
      </c>
      <c r="C5384" s="0" t="n">
        <v>17</v>
      </c>
      <c r="D5384" s="0" t="n">
        <v>1638</v>
      </c>
      <c r="E5384" s="0" t="n">
        <f aca="false">VLOOKUP(B5384,'MSA-Lookup'!$H$2:$I$86,2)</f>
        <v>5775</v>
      </c>
      <c r="F5384" s="0" t="n">
        <f aca="false">IF(C5384&gt;1,IF(C5384&lt;99,VLOOKUP(C5384,'MSA-Lookup'!$H$1:$I$86,2),C5384),C5384)</f>
        <v>5775</v>
      </c>
      <c r="G5384" s="0" t="n">
        <f aca="false">VLOOKUP(E5384,'MSA-Lookup'!$AA$1:$AB$25,2)</f>
        <v>7362</v>
      </c>
      <c r="H5384" s="0" t="n">
        <f aca="false">IF(C5384&gt;1,IF(C5384&lt;99,VLOOKUP(F5384,'MSA-Lookup'!$AA$1:$AB$25,2),C5384),C5384)</f>
        <v>7362</v>
      </c>
    </row>
    <row r="5385" customFormat="false" ht="12.75" hidden="false" customHeight="false" outlineLevel="0" collapsed="false">
      <c r="A5385" s="0" t="n">
        <f aca="false">B5385*1000+C5385</f>
        <v>74018</v>
      </c>
      <c r="B5385" s="0" t="n">
        <v>74</v>
      </c>
      <c r="C5385" s="0" t="n">
        <v>18</v>
      </c>
      <c r="D5385" s="0" t="n">
        <v>8060</v>
      </c>
      <c r="E5385" s="0" t="n">
        <f aca="false">VLOOKUP(B5385,'MSA-Lookup'!$H$2:$I$86,2)</f>
        <v>5775</v>
      </c>
      <c r="F5385" s="0" t="n">
        <f aca="false">IF(C5385&gt;1,IF(C5385&lt;99,VLOOKUP(C5385,'MSA-Lookup'!$H$1:$I$86,2),C5385),C5385)</f>
        <v>5775</v>
      </c>
      <c r="G5385" s="0" t="n">
        <f aca="false">VLOOKUP(E5385,'MSA-Lookup'!$AA$1:$AB$25,2)</f>
        <v>7362</v>
      </c>
      <c r="H5385" s="0" t="n">
        <f aca="false">IF(C5385&gt;1,IF(C5385&lt;99,VLOOKUP(F5385,'MSA-Lookup'!$AA$1:$AB$25,2),C5385),C5385)</f>
        <v>7362</v>
      </c>
    </row>
    <row r="5386" customFormat="false" ht="12.75" hidden="false" customHeight="false" outlineLevel="0" collapsed="false">
      <c r="A5386" s="0" t="n">
        <f aca="false">B5386*1000+C5386</f>
        <v>74019</v>
      </c>
      <c r="B5386" s="0" t="n">
        <v>74</v>
      </c>
      <c r="C5386" s="0" t="n">
        <v>19</v>
      </c>
      <c r="D5386" s="0" t="n">
        <v>26858</v>
      </c>
      <c r="E5386" s="0" t="n">
        <f aca="false">VLOOKUP(B5386,'MSA-Lookup'!$H$2:$I$86,2)</f>
        <v>5775</v>
      </c>
      <c r="F5386" s="0" t="n">
        <f aca="false">IF(C5386&gt;1,IF(C5386&lt;99,VLOOKUP(C5386,'MSA-Lookup'!$H$1:$I$86,2),C5386),C5386)</f>
        <v>7360</v>
      </c>
      <c r="G5386" s="0" t="n">
        <f aca="false">VLOOKUP(E5386,'MSA-Lookup'!$AA$1:$AB$25,2)</f>
        <v>7362</v>
      </c>
      <c r="H5386" s="0" t="n">
        <f aca="false">IF(C5386&gt;1,IF(C5386&lt;99,VLOOKUP(F5386,'MSA-Lookup'!$AA$1:$AB$25,2),C5386),C5386)</f>
        <v>7362</v>
      </c>
    </row>
    <row r="5387" customFormat="false" ht="12.75" hidden="false" customHeight="false" outlineLevel="0" collapsed="false">
      <c r="A5387" s="0" t="n">
        <f aca="false">B5387*1000+C5387</f>
        <v>74020</v>
      </c>
      <c r="B5387" s="0" t="n">
        <v>74</v>
      </c>
      <c r="C5387" s="0" t="n">
        <v>20</v>
      </c>
      <c r="D5387" s="0" t="n">
        <v>18343</v>
      </c>
      <c r="E5387" s="0" t="n">
        <f aca="false">VLOOKUP(B5387,'MSA-Lookup'!$H$2:$I$86,2)</f>
        <v>5775</v>
      </c>
      <c r="F5387" s="0" t="n">
        <f aca="false">IF(C5387&gt;1,IF(C5387&lt;99,VLOOKUP(C5387,'MSA-Lookup'!$H$1:$I$86,2),C5387),C5387)</f>
        <v>5775</v>
      </c>
      <c r="G5387" s="0" t="n">
        <f aca="false">VLOOKUP(E5387,'MSA-Lookup'!$AA$1:$AB$25,2)</f>
        <v>7362</v>
      </c>
      <c r="H5387" s="0" t="n">
        <f aca="false">IF(C5387&gt;1,IF(C5387&lt;99,VLOOKUP(F5387,'MSA-Lookup'!$AA$1:$AB$25,2),C5387),C5387)</f>
        <v>7362</v>
      </c>
    </row>
    <row r="5388" customFormat="false" ht="12.75" hidden="false" customHeight="false" outlineLevel="0" collapsed="false">
      <c r="A5388" s="0" t="n">
        <f aca="false">B5388*1000+C5388</f>
        <v>74021</v>
      </c>
      <c r="B5388" s="0" t="n">
        <v>74</v>
      </c>
      <c r="C5388" s="0" t="n">
        <v>21</v>
      </c>
      <c r="D5388" s="0" t="n">
        <v>96408</v>
      </c>
      <c r="E5388" s="0" t="n">
        <f aca="false">VLOOKUP(B5388,'MSA-Lookup'!$H$2:$I$86,2)</f>
        <v>5775</v>
      </c>
      <c r="F5388" s="0" t="n">
        <f aca="false">IF(C5388&gt;1,IF(C5388&lt;99,VLOOKUP(C5388,'MSA-Lookup'!$H$1:$I$86,2),C5388),C5388)</f>
        <v>5775</v>
      </c>
      <c r="G5388" s="0" t="n">
        <f aca="false">VLOOKUP(E5388,'MSA-Lookup'!$AA$1:$AB$25,2)</f>
        <v>7362</v>
      </c>
      <c r="H5388" s="0" t="n">
        <f aca="false">IF(C5388&gt;1,IF(C5388&lt;99,VLOOKUP(F5388,'MSA-Lookup'!$AA$1:$AB$25,2),C5388),C5388)</f>
        <v>7362</v>
      </c>
    </row>
    <row r="5389" customFormat="false" ht="12.75" hidden="false" customHeight="false" outlineLevel="0" collapsed="false">
      <c r="A5389" s="0" t="n">
        <f aca="false">B5389*1000+C5389</f>
        <v>74022</v>
      </c>
      <c r="B5389" s="0" t="n">
        <v>74</v>
      </c>
      <c r="C5389" s="0" t="n">
        <v>22</v>
      </c>
      <c r="D5389" s="0" t="n">
        <v>4303</v>
      </c>
      <c r="E5389" s="0" t="n">
        <f aca="false">VLOOKUP(B5389,'MSA-Lookup'!$H$2:$I$86,2)</f>
        <v>5775</v>
      </c>
      <c r="F5389" s="0" t="n">
        <f aca="false">IF(C5389&gt;1,IF(C5389&lt;99,VLOOKUP(C5389,'MSA-Lookup'!$H$1:$I$86,2),C5389),C5389)</f>
        <v>7360</v>
      </c>
      <c r="G5389" s="0" t="n">
        <f aca="false">VLOOKUP(E5389,'MSA-Lookup'!$AA$1:$AB$25,2)</f>
        <v>7362</v>
      </c>
      <c r="H5389" s="0" t="n">
        <f aca="false">IF(C5389&gt;1,IF(C5389&lt;99,VLOOKUP(F5389,'MSA-Lookup'!$AA$1:$AB$25,2),C5389),C5389)</f>
        <v>7362</v>
      </c>
    </row>
    <row r="5390" customFormat="false" ht="12.75" hidden="false" customHeight="false" outlineLevel="0" collapsed="false">
      <c r="A5390" s="0" t="n">
        <f aca="false">B5390*1000+C5390</f>
        <v>74023</v>
      </c>
      <c r="B5390" s="0" t="n">
        <v>74</v>
      </c>
      <c r="C5390" s="0" t="n">
        <v>23</v>
      </c>
      <c r="D5390" s="0" t="n">
        <v>234</v>
      </c>
      <c r="E5390" s="0" t="n">
        <f aca="false">VLOOKUP(B5390,'MSA-Lookup'!$H$2:$I$86,2)</f>
        <v>5775</v>
      </c>
      <c r="F5390" s="0" t="n">
        <f aca="false">IF(C5390&gt;1,IF(C5390&lt;99,VLOOKUP(C5390,'MSA-Lookup'!$H$1:$I$86,2),C5390),C5390)</f>
        <v>8120</v>
      </c>
      <c r="G5390" s="0" t="n">
        <f aca="false">VLOOKUP(E5390,'MSA-Lookup'!$AA$1:$AB$25,2)</f>
        <v>7362</v>
      </c>
      <c r="H5390" s="0" t="n">
        <f aca="false">IF(C5390&gt;1,IF(C5390&lt;99,VLOOKUP(F5390,'MSA-Lookup'!$AA$1:$AB$25,2),C5390),C5390)</f>
        <v>8120</v>
      </c>
    </row>
    <row r="5391" customFormat="false" ht="12.75" hidden="false" customHeight="false" outlineLevel="0" collapsed="false">
      <c r="A5391" s="0" t="n">
        <f aca="false">B5391*1000+C5391</f>
        <v>74024</v>
      </c>
      <c r="B5391" s="0" t="n">
        <v>74</v>
      </c>
      <c r="C5391" s="0" t="n">
        <v>24</v>
      </c>
      <c r="D5391" s="0" t="n">
        <v>78</v>
      </c>
      <c r="E5391" s="0" t="n">
        <f aca="false">VLOOKUP(B5391,'MSA-Lookup'!$H$2:$I$86,2)</f>
        <v>5775</v>
      </c>
      <c r="F5391" s="0" t="n">
        <f aca="false">IF(C5391&gt;1,IF(C5391&lt;99,VLOOKUP(C5391,'MSA-Lookup'!$H$1:$I$86,2),C5391),C5391)</f>
        <v>5170</v>
      </c>
      <c r="G5391" s="0" t="n">
        <f aca="false">VLOOKUP(E5391,'MSA-Lookup'!$AA$1:$AB$25,2)</f>
        <v>7362</v>
      </c>
      <c r="H5391" s="0" t="n">
        <f aca="false">IF(C5391&gt;1,IF(C5391&lt;99,VLOOKUP(F5391,'MSA-Lookup'!$AA$1:$AB$25,2),C5391),C5391)</f>
        <v>5170</v>
      </c>
    </row>
    <row r="5392" customFormat="false" ht="12.75" hidden="false" customHeight="false" outlineLevel="0" collapsed="false">
      <c r="A5392" s="0" t="n">
        <f aca="false">B5392*1000+C5392</f>
        <v>74025</v>
      </c>
      <c r="B5392" s="0" t="n">
        <v>74</v>
      </c>
      <c r="C5392" s="0" t="n">
        <v>25</v>
      </c>
      <c r="D5392" s="0" t="n">
        <v>0</v>
      </c>
      <c r="E5392" s="0" t="n">
        <f aca="false">VLOOKUP(B5392,'MSA-Lookup'!$H$2:$I$86,2)</f>
        <v>5775</v>
      </c>
      <c r="F5392" s="0" t="n">
        <f aca="false">IF(C5392&gt;1,IF(C5392&lt;99,VLOOKUP(C5392,'MSA-Lookup'!$H$1:$I$86,2),C5392),C5392)</f>
        <v>5170</v>
      </c>
      <c r="G5392" s="0" t="n">
        <f aca="false">VLOOKUP(E5392,'MSA-Lookup'!$AA$1:$AB$25,2)</f>
        <v>7362</v>
      </c>
      <c r="H5392" s="0" t="n">
        <f aca="false">IF(C5392&gt;1,IF(C5392&lt;99,VLOOKUP(F5392,'MSA-Lookup'!$AA$1:$AB$25,2),C5392),C5392)</f>
        <v>5170</v>
      </c>
    </row>
    <row r="5393" customFormat="false" ht="12.75" hidden="false" customHeight="false" outlineLevel="0" collapsed="false">
      <c r="A5393" s="0" t="n">
        <f aca="false">B5393*1000+C5393</f>
        <v>74026</v>
      </c>
      <c r="B5393" s="0" t="n">
        <v>74</v>
      </c>
      <c r="C5393" s="0" t="n">
        <v>26</v>
      </c>
      <c r="D5393" s="0" t="n">
        <v>0</v>
      </c>
      <c r="E5393" s="0" t="n">
        <f aca="false">VLOOKUP(B5393,'MSA-Lookup'!$H$2:$I$86,2)</f>
        <v>5775</v>
      </c>
      <c r="F5393" s="0" t="n">
        <f aca="false">IF(C5393&gt;1,IF(C5393&lt;99,VLOOKUP(C5393,'MSA-Lookup'!$H$1:$I$86,2),C5393),C5393)</f>
        <v>9999</v>
      </c>
      <c r="G5393" s="0" t="n">
        <f aca="false">VLOOKUP(E5393,'MSA-Lookup'!$AA$1:$AB$25,2)</f>
        <v>7362</v>
      </c>
      <c r="H5393" s="0" t="n">
        <f aca="false">IF(C5393&gt;1,IF(C5393&lt;99,VLOOKUP(F5393,'MSA-Lookup'!$AA$1:$AB$25,2),C5393),C5393)</f>
        <v>9999</v>
      </c>
    </row>
    <row r="5394" customFormat="false" ht="12.75" hidden="false" customHeight="false" outlineLevel="0" collapsed="false">
      <c r="A5394" s="0" t="n">
        <f aca="false">B5394*1000+C5394</f>
        <v>74027</v>
      </c>
      <c r="B5394" s="0" t="n">
        <v>74</v>
      </c>
      <c r="C5394" s="0" t="n">
        <v>27</v>
      </c>
      <c r="D5394" s="0" t="n">
        <v>0</v>
      </c>
      <c r="E5394" s="0" t="n">
        <f aca="false">VLOOKUP(B5394,'MSA-Lookup'!$H$2:$I$86,2)</f>
        <v>5775</v>
      </c>
      <c r="F5394" s="0" t="n">
        <f aca="false">IF(C5394&gt;1,IF(C5394&lt;99,VLOOKUP(C5394,'MSA-Lookup'!$H$1:$I$86,2),C5394),C5394)</f>
        <v>9999</v>
      </c>
      <c r="G5394" s="0" t="n">
        <f aca="false">VLOOKUP(E5394,'MSA-Lookup'!$AA$1:$AB$25,2)</f>
        <v>7362</v>
      </c>
      <c r="H5394" s="0" t="n">
        <f aca="false">IF(C5394&gt;1,IF(C5394&lt;99,VLOOKUP(F5394,'MSA-Lookup'!$AA$1:$AB$25,2),C5394),C5394)</f>
        <v>9999</v>
      </c>
    </row>
    <row r="5395" customFormat="false" ht="12.75" hidden="false" customHeight="false" outlineLevel="0" collapsed="false">
      <c r="A5395" s="0" t="n">
        <f aca="false">B5395*1000+C5395</f>
        <v>74028</v>
      </c>
      <c r="B5395" s="0" t="n">
        <v>74</v>
      </c>
      <c r="C5395" s="0" t="n">
        <v>28</v>
      </c>
      <c r="D5395" s="0" t="n">
        <v>169</v>
      </c>
      <c r="E5395" s="0" t="n">
        <f aca="false">VLOOKUP(B5395,'MSA-Lookup'!$H$2:$I$86,2)</f>
        <v>5775</v>
      </c>
      <c r="F5395" s="0" t="n">
        <f aca="false">IF(C5395&gt;1,IF(C5395&lt;99,VLOOKUP(C5395,'MSA-Lookup'!$H$1:$I$86,2),C5395),C5395)</f>
        <v>6920</v>
      </c>
      <c r="G5395" s="0" t="n">
        <f aca="false">VLOOKUP(E5395,'MSA-Lookup'!$AA$1:$AB$25,2)</f>
        <v>7362</v>
      </c>
      <c r="H5395" s="0" t="n">
        <f aca="false">IF(C5395&gt;1,IF(C5395&lt;99,VLOOKUP(F5395,'MSA-Lookup'!$AA$1:$AB$25,2),C5395),C5395)</f>
        <v>6920</v>
      </c>
    </row>
    <row r="5396" customFormat="false" ht="12.75" hidden="false" customHeight="false" outlineLevel="0" collapsed="false">
      <c r="A5396" s="0" t="n">
        <f aca="false">B5396*1000+C5396</f>
        <v>74029</v>
      </c>
      <c r="B5396" s="0" t="n">
        <v>74</v>
      </c>
      <c r="C5396" s="0" t="n">
        <v>29</v>
      </c>
      <c r="D5396" s="0" t="n">
        <v>130</v>
      </c>
      <c r="E5396" s="0" t="n">
        <f aca="false">VLOOKUP(B5396,'MSA-Lookup'!$H$2:$I$86,2)</f>
        <v>5775</v>
      </c>
      <c r="F5396" s="0" t="n">
        <f aca="false">IF(C5396&gt;1,IF(C5396&lt;99,VLOOKUP(C5396,'MSA-Lookup'!$H$1:$I$86,2),C5396),C5396)</f>
        <v>6920</v>
      </c>
      <c r="G5396" s="0" t="n">
        <f aca="false">VLOOKUP(E5396,'MSA-Lookup'!$AA$1:$AB$25,2)</f>
        <v>7362</v>
      </c>
      <c r="H5396" s="0" t="n">
        <f aca="false">IF(C5396&gt;1,IF(C5396&lt;99,VLOOKUP(F5396,'MSA-Lookup'!$AA$1:$AB$25,2),C5396),C5396)</f>
        <v>6920</v>
      </c>
    </row>
    <row r="5397" customFormat="false" ht="12.75" hidden="false" customHeight="false" outlineLevel="0" collapsed="false">
      <c r="A5397" s="0" t="n">
        <f aca="false">B5397*1000+C5397</f>
        <v>74030</v>
      </c>
      <c r="B5397" s="0" t="n">
        <v>74</v>
      </c>
      <c r="C5397" s="0" t="n">
        <v>30</v>
      </c>
      <c r="D5397" s="0" t="n">
        <v>0</v>
      </c>
      <c r="E5397" s="0" t="n">
        <f aca="false">VLOOKUP(B5397,'MSA-Lookup'!$H$2:$I$86,2)</f>
        <v>5775</v>
      </c>
      <c r="F5397" s="0" t="n">
        <f aca="false">IF(C5397&gt;1,IF(C5397&lt;99,VLOOKUP(C5397,'MSA-Lookup'!$H$1:$I$86,2),C5397),C5397)</f>
        <v>4940</v>
      </c>
      <c r="G5397" s="0" t="n">
        <f aca="false">VLOOKUP(E5397,'MSA-Lookup'!$AA$1:$AB$25,2)</f>
        <v>7362</v>
      </c>
      <c r="H5397" s="0" t="n">
        <f aca="false">IF(C5397&gt;1,IF(C5397&lt;99,VLOOKUP(F5397,'MSA-Lookup'!$AA$1:$AB$25,2),C5397),C5397)</f>
        <v>4940</v>
      </c>
    </row>
    <row r="5398" customFormat="false" ht="12.75" hidden="false" customHeight="false" outlineLevel="0" collapsed="false">
      <c r="A5398" s="0" t="n">
        <f aca="false">B5398*1000+C5398</f>
        <v>74031</v>
      </c>
      <c r="B5398" s="0" t="n">
        <v>74</v>
      </c>
      <c r="C5398" s="0" t="n">
        <v>31</v>
      </c>
      <c r="D5398" s="0" t="n">
        <v>0</v>
      </c>
      <c r="E5398" s="0" t="n">
        <f aca="false">VLOOKUP(B5398,'MSA-Lookup'!$H$2:$I$86,2)</f>
        <v>5775</v>
      </c>
      <c r="F5398" s="0" t="n">
        <f aca="false">IF(C5398&gt;1,IF(C5398&lt;99,VLOOKUP(C5398,'MSA-Lookup'!$H$1:$I$86,2),C5398),C5398)</f>
        <v>9999</v>
      </c>
      <c r="G5398" s="0" t="n">
        <f aca="false">VLOOKUP(E5398,'MSA-Lookup'!$AA$1:$AB$25,2)</f>
        <v>7362</v>
      </c>
      <c r="H5398" s="0" t="n">
        <f aca="false">IF(C5398&gt;1,IF(C5398&lt;99,VLOOKUP(F5398,'MSA-Lookup'!$AA$1:$AB$25,2),C5398),C5398)</f>
        <v>9999</v>
      </c>
    </row>
    <row r="5399" customFormat="false" ht="12.75" hidden="false" customHeight="false" outlineLevel="0" collapsed="false">
      <c r="A5399" s="0" t="n">
        <f aca="false">B5399*1000+C5399</f>
        <v>74032</v>
      </c>
      <c r="B5399" s="0" t="n">
        <v>74</v>
      </c>
      <c r="C5399" s="0" t="n">
        <v>32</v>
      </c>
      <c r="D5399" s="0" t="n">
        <v>0</v>
      </c>
      <c r="E5399" s="0" t="n">
        <f aca="false">VLOOKUP(B5399,'MSA-Lookup'!$H$2:$I$86,2)</f>
        <v>5775</v>
      </c>
      <c r="F5399" s="0" t="n">
        <f aca="false">IF(C5399&gt;1,IF(C5399&lt;99,VLOOKUP(C5399,'MSA-Lookup'!$H$1:$I$86,2),C5399),C5399)</f>
        <v>7480</v>
      </c>
      <c r="G5399" s="0" t="n">
        <f aca="false">VLOOKUP(E5399,'MSA-Lookup'!$AA$1:$AB$25,2)</f>
        <v>7362</v>
      </c>
      <c r="H5399" s="0" t="n">
        <f aca="false">IF(C5399&gt;1,IF(C5399&lt;99,VLOOKUP(F5399,'MSA-Lookup'!$AA$1:$AB$25,2),C5399),C5399)</f>
        <v>7480</v>
      </c>
    </row>
    <row r="5400" customFormat="false" ht="12.75" hidden="false" customHeight="false" outlineLevel="0" collapsed="false">
      <c r="A5400" s="0" t="n">
        <f aca="false">B5400*1000+C5400</f>
        <v>74033</v>
      </c>
      <c r="B5400" s="0" t="n">
        <v>74</v>
      </c>
      <c r="C5400" s="0" t="n">
        <v>33</v>
      </c>
      <c r="D5400" s="0" t="n">
        <v>0</v>
      </c>
      <c r="E5400" s="0" t="n">
        <f aca="false">VLOOKUP(B5400,'MSA-Lookup'!$H$2:$I$86,2)</f>
        <v>5775</v>
      </c>
      <c r="F5400" s="0" t="n">
        <f aca="false">IF(C5400&gt;1,IF(C5400&lt;99,VLOOKUP(C5400,'MSA-Lookup'!$H$1:$I$86,2),C5400),C5400)</f>
        <v>7320</v>
      </c>
      <c r="G5400" s="0" t="n">
        <f aca="false">VLOOKUP(E5400,'MSA-Lookup'!$AA$1:$AB$25,2)</f>
        <v>7362</v>
      </c>
      <c r="H5400" s="0" t="n">
        <f aca="false">IF(C5400&gt;1,IF(C5400&lt;99,VLOOKUP(F5400,'MSA-Lookup'!$AA$1:$AB$25,2),C5400),C5400)</f>
        <v>7320</v>
      </c>
    </row>
    <row r="5401" customFormat="false" ht="12.75" hidden="false" customHeight="false" outlineLevel="0" collapsed="false">
      <c r="A5401" s="0" t="n">
        <f aca="false">B5401*1000+C5401</f>
        <v>74034</v>
      </c>
      <c r="B5401" s="0" t="n">
        <v>74</v>
      </c>
      <c r="C5401" s="0" t="n">
        <v>34</v>
      </c>
      <c r="D5401" s="0" t="n">
        <v>0</v>
      </c>
      <c r="E5401" s="0" t="n">
        <f aca="false">VLOOKUP(B5401,'MSA-Lookup'!$H$2:$I$86,2)</f>
        <v>5775</v>
      </c>
      <c r="F5401" s="0" t="n">
        <f aca="false">IF(C5401&gt;1,IF(C5401&lt;99,VLOOKUP(C5401,'MSA-Lookup'!$H$1:$I$86,2),C5401),C5401)</f>
        <v>7320</v>
      </c>
      <c r="G5401" s="0" t="n">
        <f aca="false">VLOOKUP(E5401,'MSA-Lookup'!$AA$1:$AB$25,2)</f>
        <v>7362</v>
      </c>
      <c r="H5401" s="0" t="n">
        <f aca="false">IF(C5401&gt;1,IF(C5401&lt;99,VLOOKUP(F5401,'MSA-Lookup'!$AA$1:$AB$25,2),C5401),C5401)</f>
        <v>7320</v>
      </c>
    </row>
    <row r="5402" customFormat="false" ht="12.75" hidden="false" customHeight="false" outlineLevel="0" collapsed="false">
      <c r="A5402" s="0" t="n">
        <f aca="false">B5402*1000+C5402</f>
        <v>74035</v>
      </c>
      <c r="B5402" s="0" t="n">
        <v>74</v>
      </c>
      <c r="C5402" s="0" t="n">
        <v>35</v>
      </c>
      <c r="D5402" s="0" t="n">
        <v>0</v>
      </c>
      <c r="E5402" s="0" t="n">
        <f aca="false">VLOOKUP(B5402,'MSA-Lookup'!$H$2:$I$86,2)</f>
        <v>5775</v>
      </c>
      <c r="F5402" s="0" t="n">
        <f aca="false">IF(C5402&gt;1,IF(C5402&lt;99,VLOOKUP(C5402,'MSA-Lookup'!$H$1:$I$86,2),C5402),C5402)</f>
        <v>7320</v>
      </c>
      <c r="G5402" s="0" t="n">
        <f aca="false">VLOOKUP(E5402,'MSA-Lookup'!$AA$1:$AB$25,2)</f>
        <v>7362</v>
      </c>
      <c r="H5402" s="0" t="n">
        <f aca="false">IF(C5402&gt;1,IF(C5402&lt;99,VLOOKUP(F5402,'MSA-Lookup'!$AA$1:$AB$25,2),C5402),C5402)</f>
        <v>7320</v>
      </c>
    </row>
    <row r="5403" customFormat="false" ht="12.75" hidden="false" customHeight="false" outlineLevel="0" collapsed="false">
      <c r="A5403" s="0" t="n">
        <f aca="false">B5403*1000+C5403</f>
        <v>74036</v>
      </c>
      <c r="B5403" s="0" t="n">
        <v>74</v>
      </c>
      <c r="C5403" s="0" t="n">
        <v>36</v>
      </c>
      <c r="D5403" s="0" t="n">
        <v>0</v>
      </c>
      <c r="E5403" s="0" t="n">
        <f aca="false">VLOOKUP(B5403,'MSA-Lookup'!$H$2:$I$86,2)</f>
        <v>5775</v>
      </c>
      <c r="F5403" s="0" t="n">
        <f aca="false">IF(C5403&gt;1,IF(C5403&lt;99,VLOOKUP(C5403,'MSA-Lookup'!$H$1:$I$86,2),C5403),C5403)</f>
        <v>7320</v>
      </c>
      <c r="G5403" s="0" t="n">
        <f aca="false">VLOOKUP(E5403,'MSA-Lookup'!$AA$1:$AB$25,2)</f>
        <v>7362</v>
      </c>
      <c r="H5403" s="0" t="n">
        <f aca="false">IF(C5403&gt;1,IF(C5403&lt;99,VLOOKUP(F5403,'MSA-Lookup'!$AA$1:$AB$25,2),C5403),C5403)</f>
        <v>7320</v>
      </c>
    </row>
    <row r="5404" customFormat="false" ht="12.75" hidden="false" customHeight="false" outlineLevel="0" collapsed="false">
      <c r="A5404" s="0" t="n">
        <f aca="false">B5404*1000+C5404</f>
        <v>74037</v>
      </c>
      <c r="B5404" s="0" t="n">
        <v>74</v>
      </c>
      <c r="C5404" s="0" t="n">
        <v>37</v>
      </c>
      <c r="D5404" s="0" t="n">
        <v>0</v>
      </c>
      <c r="E5404" s="0" t="n">
        <f aca="false">VLOOKUP(B5404,'MSA-Lookup'!$H$2:$I$86,2)</f>
        <v>5775</v>
      </c>
      <c r="F5404" s="0" t="n">
        <f aca="false">IF(C5404&gt;1,IF(C5404&lt;99,VLOOKUP(C5404,'MSA-Lookup'!$H$1:$I$86,2),C5404),C5404)</f>
        <v>7320</v>
      </c>
      <c r="G5404" s="0" t="n">
        <f aca="false">VLOOKUP(E5404,'MSA-Lookup'!$AA$1:$AB$25,2)</f>
        <v>7362</v>
      </c>
      <c r="H5404" s="0" t="n">
        <f aca="false">IF(C5404&gt;1,IF(C5404&lt;99,VLOOKUP(F5404,'MSA-Lookup'!$AA$1:$AB$25,2),C5404),C5404)</f>
        <v>7320</v>
      </c>
    </row>
    <row r="5405" customFormat="false" ht="12.75" hidden="false" customHeight="false" outlineLevel="0" collapsed="false">
      <c r="A5405" s="0" t="n">
        <f aca="false">B5405*1000+C5405</f>
        <v>74038</v>
      </c>
      <c r="B5405" s="0" t="n">
        <v>74</v>
      </c>
      <c r="C5405" s="0" t="n">
        <v>38</v>
      </c>
      <c r="D5405" s="0" t="n">
        <v>0</v>
      </c>
      <c r="E5405" s="0" t="n">
        <f aca="false">VLOOKUP(B5405,'MSA-Lookup'!$H$2:$I$86,2)</f>
        <v>5775</v>
      </c>
      <c r="F5405" s="0" t="n">
        <f aca="false">IF(C5405&gt;1,IF(C5405&lt;99,VLOOKUP(C5405,'MSA-Lookup'!$H$1:$I$86,2),C5405),C5405)</f>
        <v>7120</v>
      </c>
      <c r="G5405" s="0" t="n">
        <f aca="false">VLOOKUP(E5405,'MSA-Lookup'!$AA$1:$AB$25,2)</f>
        <v>7362</v>
      </c>
      <c r="H5405" s="0" t="n">
        <f aca="false">IF(C5405&gt;1,IF(C5405&lt;99,VLOOKUP(F5405,'MSA-Lookup'!$AA$1:$AB$25,2),C5405),C5405)</f>
        <v>7120</v>
      </c>
    </row>
    <row r="5406" customFormat="false" ht="12.75" hidden="false" customHeight="false" outlineLevel="0" collapsed="false">
      <c r="A5406" s="0" t="n">
        <f aca="false">B5406*1000+C5406</f>
        <v>74039</v>
      </c>
      <c r="B5406" s="0" t="n">
        <v>74</v>
      </c>
      <c r="C5406" s="0" t="n">
        <v>39</v>
      </c>
      <c r="D5406" s="0" t="n">
        <v>0</v>
      </c>
      <c r="E5406" s="0" t="n">
        <f aca="false">VLOOKUP(B5406,'MSA-Lookup'!$H$2:$I$86,2)</f>
        <v>5775</v>
      </c>
      <c r="F5406" s="0" t="n">
        <f aca="false">IF(C5406&gt;1,IF(C5406&lt;99,VLOOKUP(C5406,'MSA-Lookup'!$H$1:$I$86,2),C5406),C5406)</f>
        <v>7120</v>
      </c>
      <c r="G5406" s="0" t="n">
        <f aca="false">VLOOKUP(E5406,'MSA-Lookup'!$AA$1:$AB$25,2)</f>
        <v>7362</v>
      </c>
      <c r="H5406" s="0" t="n">
        <f aca="false">IF(C5406&gt;1,IF(C5406&lt;99,VLOOKUP(F5406,'MSA-Lookup'!$AA$1:$AB$25,2),C5406),C5406)</f>
        <v>7120</v>
      </c>
    </row>
    <row r="5407" customFormat="false" ht="12.75" hidden="false" customHeight="false" outlineLevel="0" collapsed="false">
      <c r="A5407" s="0" t="n">
        <f aca="false">B5407*1000+C5407</f>
        <v>74040</v>
      </c>
      <c r="B5407" s="0" t="n">
        <v>74</v>
      </c>
      <c r="C5407" s="0" t="n">
        <v>40</v>
      </c>
      <c r="D5407" s="0" t="n">
        <v>0</v>
      </c>
      <c r="E5407" s="0" t="n">
        <f aca="false">VLOOKUP(B5407,'MSA-Lookup'!$H$2:$I$86,2)</f>
        <v>5775</v>
      </c>
      <c r="F5407" s="0" t="n">
        <f aca="false">IF(C5407&gt;1,IF(C5407&lt;99,VLOOKUP(C5407,'MSA-Lookup'!$H$1:$I$86,2),C5407),C5407)</f>
        <v>2840</v>
      </c>
      <c r="G5407" s="0" t="n">
        <f aca="false">VLOOKUP(E5407,'MSA-Lookup'!$AA$1:$AB$25,2)</f>
        <v>7362</v>
      </c>
      <c r="H5407" s="0" t="n">
        <f aca="false">IF(C5407&gt;1,IF(C5407&lt;99,VLOOKUP(F5407,'MSA-Lookup'!$AA$1:$AB$25,2),C5407),C5407)</f>
        <v>2840</v>
      </c>
    </row>
    <row r="5408" customFormat="false" ht="12.75" hidden="false" customHeight="false" outlineLevel="0" collapsed="false">
      <c r="A5408" s="0" t="n">
        <f aca="false">B5408*1000+C5408</f>
        <v>74041</v>
      </c>
      <c r="B5408" s="0" t="n">
        <v>74</v>
      </c>
      <c r="C5408" s="0" t="n">
        <v>41</v>
      </c>
      <c r="D5408" s="0" t="n">
        <v>0</v>
      </c>
      <c r="E5408" s="0" t="n">
        <f aca="false">VLOOKUP(B5408,'MSA-Lookup'!$H$2:$I$86,2)</f>
        <v>5775</v>
      </c>
      <c r="F5408" s="0" t="n">
        <f aca="false">IF(C5408&gt;1,IF(C5408&lt;99,VLOOKUP(C5408,'MSA-Lookup'!$H$1:$I$86,2),C5408),C5408)</f>
        <v>2840</v>
      </c>
      <c r="G5408" s="0" t="n">
        <f aca="false">VLOOKUP(E5408,'MSA-Lookup'!$AA$1:$AB$25,2)</f>
        <v>7362</v>
      </c>
      <c r="H5408" s="0" t="n">
        <f aca="false">IF(C5408&gt;1,IF(C5408&lt;99,VLOOKUP(F5408,'MSA-Lookup'!$AA$1:$AB$25,2),C5408),C5408)</f>
        <v>2840</v>
      </c>
    </row>
    <row r="5409" customFormat="false" ht="12.75" hidden="false" customHeight="false" outlineLevel="0" collapsed="false">
      <c r="A5409" s="0" t="n">
        <f aca="false">B5409*1000+C5409</f>
        <v>74042</v>
      </c>
      <c r="B5409" s="0" t="n">
        <v>74</v>
      </c>
      <c r="C5409" s="0" t="n">
        <v>42</v>
      </c>
      <c r="D5409" s="0" t="n">
        <v>0</v>
      </c>
      <c r="E5409" s="0" t="n">
        <f aca="false">VLOOKUP(B5409,'MSA-Lookup'!$H$2:$I$86,2)</f>
        <v>5775</v>
      </c>
      <c r="F5409" s="0" t="n">
        <f aca="false">IF(C5409&gt;1,IF(C5409&lt;99,VLOOKUP(C5409,'MSA-Lookup'!$H$1:$I$86,2),C5409),C5409)</f>
        <v>360</v>
      </c>
      <c r="G5409" s="0" t="n">
        <f aca="false">VLOOKUP(E5409,'MSA-Lookup'!$AA$1:$AB$25,2)</f>
        <v>7362</v>
      </c>
      <c r="H5409" s="0" t="n">
        <f aca="false">IF(C5409&gt;1,IF(C5409&lt;99,VLOOKUP(F5409,'MSA-Lookup'!$AA$1:$AB$25,2),C5409),C5409)</f>
        <v>4472</v>
      </c>
    </row>
    <row r="5410" customFormat="false" ht="12.75" hidden="false" customHeight="false" outlineLevel="0" collapsed="false">
      <c r="A5410" s="0" t="n">
        <f aca="false">B5410*1000+C5410</f>
        <v>74043</v>
      </c>
      <c r="B5410" s="0" t="n">
        <v>74</v>
      </c>
      <c r="C5410" s="0" t="n">
        <v>43</v>
      </c>
      <c r="D5410" s="0" t="n">
        <v>0</v>
      </c>
      <c r="E5410" s="0" t="n">
        <f aca="false">VLOOKUP(B5410,'MSA-Lookup'!$H$2:$I$86,2)</f>
        <v>5775</v>
      </c>
      <c r="F5410" s="0" t="n">
        <f aca="false">IF(C5410&gt;1,IF(C5410&lt;99,VLOOKUP(C5410,'MSA-Lookup'!$H$1:$I$86,2),C5410),C5410)</f>
        <v>360</v>
      </c>
      <c r="G5410" s="0" t="n">
        <f aca="false">VLOOKUP(E5410,'MSA-Lookup'!$AA$1:$AB$25,2)</f>
        <v>7362</v>
      </c>
      <c r="H5410" s="0" t="n">
        <f aca="false">IF(C5410&gt;1,IF(C5410&lt;99,VLOOKUP(F5410,'MSA-Lookup'!$AA$1:$AB$25,2),C5410),C5410)</f>
        <v>4472</v>
      </c>
    </row>
    <row r="5411" customFormat="false" ht="12.75" hidden="false" customHeight="false" outlineLevel="0" collapsed="false">
      <c r="A5411" s="0" t="n">
        <f aca="false">B5411*1000+C5411</f>
        <v>74044</v>
      </c>
      <c r="B5411" s="0" t="n">
        <v>74</v>
      </c>
      <c r="C5411" s="0" t="n">
        <v>44</v>
      </c>
      <c r="D5411" s="0" t="n">
        <v>0</v>
      </c>
      <c r="E5411" s="0" t="n">
        <f aca="false">VLOOKUP(B5411,'MSA-Lookup'!$H$2:$I$86,2)</f>
        <v>5775</v>
      </c>
      <c r="F5411" s="0" t="n">
        <f aca="false">IF(C5411&gt;1,IF(C5411&lt;99,VLOOKUP(C5411,'MSA-Lookup'!$H$1:$I$86,2),C5411),C5411)</f>
        <v>360</v>
      </c>
      <c r="G5411" s="0" t="n">
        <f aca="false">VLOOKUP(E5411,'MSA-Lookup'!$AA$1:$AB$25,2)</f>
        <v>7362</v>
      </c>
      <c r="H5411" s="0" t="n">
        <f aca="false">IF(C5411&gt;1,IF(C5411&lt;99,VLOOKUP(F5411,'MSA-Lookup'!$AA$1:$AB$25,2),C5411),C5411)</f>
        <v>4472</v>
      </c>
    </row>
    <row r="5412" customFormat="false" ht="12.75" hidden="false" customHeight="false" outlineLevel="0" collapsed="false">
      <c r="A5412" s="0" t="n">
        <f aca="false">B5412*1000+C5412</f>
        <v>74045</v>
      </c>
      <c r="B5412" s="0" t="n">
        <v>74</v>
      </c>
      <c r="C5412" s="0" t="n">
        <v>45</v>
      </c>
      <c r="D5412" s="0" t="n">
        <v>0</v>
      </c>
      <c r="E5412" s="0" t="n">
        <f aca="false">VLOOKUP(B5412,'MSA-Lookup'!$H$2:$I$86,2)</f>
        <v>5775</v>
      </c>
      <c r="F5412" s="0" t="n">
        <f aca="false">IF(C5412&gt;1,IF(C5412&lt;99,VLOOKUP(C5412,'MSA-Lookup'!$H$1:$I$86,2),C5412),C5412)</f>
        <v>360</v>
      </c>
      <c r="G5412" s="0" t="n">
        <f aca="false">VLOOKUP(E5412,'MSA-Lookup'!$AA$1:$AB$25,2)</f>
        <v>7362</v>
      </c>
      <c r="H5412" s="0" t="n">
        <f aca="false">IF(C5412&gt;1,IF(C5412&lt;99,VLOOKUP(F5412,'MSA-Lookup'!$AA$1:$AB$25,2),C5412),C5412)</f>
        <v>4472</v>
      </c>
    </row>
    <row r="5413" customFormat="false" ht="12.75" hidden="false" customHeight="false" outlineLevel="0" collapsed="false">
      <c r="A5413" s="0" t="n">
        <f aca="false">B5413*1000+C5413</f>
        <v>74046</v>
      </c>
      <c r="B5413" s="0" t="n">
        <v>74</v>
      </c>
      <c r="C5413" s="0" t="n">
        <v>46</v>
      </c>
      <c r="D5413" s="0" t="n">
        <v>0</v>
      </c>
      <c r="E5413" s="0" t="n">
        <f aca="false">VLOOKUP(B5413,'MSA-Lookup'!$H$2:$I$86,2)</f>
        <v>5775</v>
      </c>
      <c r="F5413" s="0" t="n">
        <f aca="false">IF(C5413&gt;1,IF(C5413&lt;99,VLOOKUP(C5413,'MSA-Lookup'!$H$1:$I$86,2),C5413),C5413)</f>
        <v>360</v>
      </c>
      <c r="G5413" s="0" t="n">
        <f aca="false">VLOOKUP(E5413,'MSA-Lookup'!$AA$1:$AB$25,2)</f>
        <v>7362</v>
      </c>
      <c r="H5413" s="0" t="n">
        <f aca="false">IF(C5413&gt;1,IF(C5413&lt;99,VLOOKUP(F5413,'MSA-Lookup'!$AA$1:$AB$25,2),C5413),C5413)</f>
        <v>4472</v>
      </c>
    </row>
    <row r="5414" customFormat="false" ht="12.75" hidden="false" customHeight="false" outlineLevel="0" collapsed="false">
      <c r="A5414" s="0" t="n">
        <f aca="false">B5414*1000+C5414</f>
        <v>74047</v>
      </c>
      <c r="B5414" s="0" t="n">
        <v>74</v>
      </c>
      <c r="C5414" s="0" t="n">
        <v>47</v>
      </c>
      <c r="D5414" s="0" t="n">
        <v>0</v>
      </c>
      <c r="E5414" s="0" t="n">
        <f aca="false">VLOOKUP(B5414,'MSA-Lookup'!$H$2:$I$86,2)</f>
        <v>5775</v>
      </c>
      <c r="F5414" s="0" t="n">
        <f aca="false">IF(C5414&gt;1,IF(C5414&lt;99,VLOOKUP(C5414,'MSA-Lookup'!$H$1:$I$86,2),C5414),C5414)</f>
        <v>360</v>
      </c>
      <c r="G5414" s="0" t="n">
        <f aca="false">VLOOKUP(E5414,'MSA-Lookup'!$AA$1:$AB$25,2)</f>
        <v>7362</v>
      </c>
      <c r="H5414" s="0" t="n">
        <f aca="false">IF(C5414&gt;1,IF(C5414&lt;99,VLOOKUP(F5414,'MSA-Lookup'!$AA$1:$AB$25,2),C5414),C5414)</f>
        <v>4472</v>
      </c>
    </row>
    <row r="5415" customFormat="false" ht="12.75" hidden="false" customHeight="false" outlineLevel="0" collapsed="false">
      <c r="A5415" s="0" t="n">
        <f aca="false">B5415*1000+C5415</f>
        <v>74048</v>
      </c>
      <c r="B5415" s="0" t="n">
        <v>74</v>
      </c>
      <c r="C5415" s="0" t="n">
        <v>48</v>
      </c>
      <c r="D5415" s="0" t="n">
        <v>0</v>
      </c>
      <c r="E5415" s="0" t="n">
        <f aca="false">VLOOKUP(B5415,'MSA-Lookup'!$H$2:$I$86,2)</f>
        <v>5775</v>
      </c>
      <c r="F5415" s="0" t="n">
        <f aca="false">IF(C5415&gt;1,IF(C5415&lt;99,VLOOKUP(C5415,'MSA-Lookup'!$H$1:$I$86,2),C5415),C5415)</f>
        <v>360</v>
      </c>
      <c r="G5415" s="0" t="n">
        <f aca="false">VLOOKUP(E5415,'MSA-Lookup'!$AA$1:$AB$25,2)</f>
        <v>7362</v>
      </c>
      <c r="H5415" s="0" t="n">
        <f aca="false">IF(C5415&gt;1,IF(C5415&lt;99,VLOOKUP(F5415,'MSA-Lookup'!$AA$1:$AB$25,2),C5415),C5415)</f>
        <v>4472</v>
      </c>
    </row>
    <row r="5416" customFormat="false" ht="12.75" hidden="false" customHeight="false" outlineLevel="0" collapsed="false">
      <c r="A5416" s="0" t="n">
        <f aca="false">B5416*1000+C5416</f>
        <v>74049</v>
      </c>
      <c r="B5416" s="0" t="n">
        <v>74</v>
      </c>
      <c r="C5416" s="0" t="n">
        <v>49</v>
      </c>
      <c r="D5416" s="0" t="n">
        <v>858</v>
      </c>
      <c r="E5416" s="0" t="n">
        <f aca="false">VLOOKUP(B5416,'MSA-Lookup'!$H$2:$I$86,2)</f>
        <v>5775</v>
      </c>
      <c r="F5416" s="0" t="n">
        <f aca="false">IF(C5416&gt;1,IF(C5416&lt;99,VLOOKUP(C5416,'MSA-Lookup'!$H$1:$I$86,2),C5416),C5416)</f>
        <v>7400</v>
      </c>
      <c r="G5416" s="0" t="n">
        <f aca="false">VLOOKUP(E5416,'MSA-Lookup'!$AA$1:$AB$25,2)</f>
        <v>7362</v>
      </c>
      <c r="H5416" s="0" t="n">
        <f aca="false">IF(C5416&gt;1,IF(C5416&lt;99,VLOOKUP(F5416,'MSA-Lookup'!$AA$1:$AB$25,2),C5416),C5416)</f>
        <v>7362</v>
      </c>
    </row>
    <row r="5417" customFormat="false" ht="12.75" hidden="false" customHeight="false" outlineLevel="0" collapsed="false">
      <c r="A5417" s="0" t="n">
        <f aca="false">B5417*1000+C5417</f>
        <v>74050</v>
      </c>
      <c r="B5417" s="0" t="n">
        <v>74</v>
      </c>
      <c r="C5417" s="0" t="n">
        <v>50</v>
      </c>
      <c r="D5417" s="0" t="n">
        <v>325</v>
      </c>
      <c r="E5417" s="0" t="n">
        <f aca="false">VLOOKUP(B5417,'MSA-Lookup'!$H$2:$I$86,2)</f>
        <v>5775</v>
      </c>
      <c r="F5417" s="0" t="n">
        <f aca="false">IF(C5417&gt;1,IF(C5417&lt;99,VLOOKUP(C5417,'MSA-Lookup'!$H$1:$I$86,2),C5417),C5417)</f>
        <v>7400</v>
      </c>
      <c r="G5417" s="0" t="n">
        <f aca="false">VLOOKUP(E5417,'MSA-Lookup'!$AA$1:$AB$25,2)</f>
        <v>7362</v>
      </c>
      <c r="H5417" s="0" t="n">
        <f aca="false">IF(C5417&gt;1,IF(C5417&lt;99,VLOOKUP(F5417,'MSA-Lookup'!$AA$1:$AB$25,2),C5417),C5417)</f>
        <v>7362</v>
      </c>
    </row>
    <row r="5418" customFormat="false" ht="12.75" hidden="false" customHeight="false" outlineLevel="0" collapsed="false">
      <c r="A5418" s="0" t="n">
        <f aca="false">B5418*1000+C5418</f>
        <v>74051</v>
      </c>
      <c r="B5418" s="0" t="n">
        <v>74</v>
      </c>
      <c r="C5418" s="0" t="n">
        <v>51</v>
      </c>
      <c r="D5418" s="0" t="n">
        <v>845</v>
      </c>
      <c r="E5418" s="0" t="n">
        <f aca="false">VLOOKUP(B5418,'MSA-Lookup'!$H$2:$I$86,2)</f>
        <v>5775</v>
      </c>
      <c r="F5418" s="0" t="n">
        <f aca="false">IF(C5418&gt;1,IF(C5418&lt;99,VLOOKUP(C5418,'MSA-Lookup'!$H$1:$I$86,2),C5418),C5418)</f>
        <v>7400</v>
      </c>
      <c r="G5418" s="0" t="n">
        <f aca="false">VLOOKUP(E5418,'MSA-Lookup'!$AA$1:$AB$25,2)</f>
        <v>7362</v>
      </c>
      <c r="H5418" s="0" t="n">
        <f aca="false">IF(C5418&gt;1,IF(C5418&lt;99,VLOOKUP(F5418,'MSA-Lookup'!$AA$1:$AB$25,2),C5418),C5418)</f>
        <v>7362</v>
      </c>
    </row>
    <row r="5419" customFormat="false" ht="12.75" hidden="false" customHeight="false" outlineLevel="0" collapsed="false">
      <c r="A5419" s="0" t="n">
        <f aca="false">B5419*1000+C5419</f>
        <v>74052</v>
      </c>
      <c r="B5419" s="0" t="n">
        <v>74</v>
      </c>
      <c r="C5419" s="0" t="n">
        <v>52</v>
      </c>
      <c r="D5419" s="0" t="n">
        <v>0</v>
      </c>
      <c r="E5419" s="0" t="n">
        <f aca="false">VLOOKUP(B5419,'MSA-Lookup'!$H$2:$I$86,2)</f>
        <v>5775</v>
      </c>
      <c r="F5419" s="0" t="n">
        <f aca="false">IF(C5419&gt;1,IF(C5419&lt;99,VLOOKUP(C5419,'MSA-Lookup'!$H$1:$I$86,2),C5419),C5419)</f>
        <v>4480</v>
      </c>
      <c r="G5419" s="0" t="n">
        <f aca="false">VLOOKUP(E5419,'MSA-Lookup'!$AA$1:$AB$25,2)</f>
        <v>7362</v>
      </c>
      <c r="H5419" s="0" t="n">
        <f aca="false">IF(C5419&gt;1,IF(C5419&lt;99,VLOOKUP(F5419,'MSA-Lookup'!$AA$1:$AB$25,2),C5419),C5419)</f>
        <v>4472</v>
      </c>
    </row>
    <row r="5420" customFormat="false" ht="12.75" hidden="false" customHeight="false" outlineLevel="0" collapsed="false">
      <c r="A5420" s="0" t="n">
        <f aca="false">B5420*1000+C5420</f>
        <v>74053</v>
      </c>
      <c r="B5420" s="0" t="n">
        <v>74</v>
      </c>
      <c r="C5420" s="0" t="n">
        <v>53</v>
      </c>
      <c r="D5420" s="0" t="n">
        <v>0</v>
      </c>
      <c r="E5420" s="0" t="n">
        <f aca="false">VLOOKUP(B5420,'MSA-Lookup'!$H$2:$I$86,2)</f>
        <v>5775</v>
      </c>
      <c r="F5420" s="0" t="n">
        <f aca="false">IF(C5420&gt;1,IF(C5420&lt;99,VLOOKUP(C5420,'MSA-Lookup'!$H$1:$I$86,2),C5420),C5420)</f>
        <v>4480</v>
      </c>
      <c r="G5420" s="0" t="n">
        <f aca="false">VLOOKUP(E5420,'MSA-Lookup'!$AA$1:$AB$25,2)</f>
        <v>7362</v>
      </c>
      <c r="H5420" s="0" t="n">
        <f aca="false">IF(C5420&gt;1,IF(C5420&lt;99,VLOOKUP(F5420,'MSA-Lookup'!$AA$1:$AB$25,2),C5420),C5420)</f>
        <v>4472</v>
      </c>
    </row>
    <row r="5421" customFormat="false" ht="12.75" hidden="false" customHeight="false" outlineLevel="0" collapsed="false">
      <c r="A5421" s="0" t="n">
        <f aca="false">B5421*1000+C5421</f>
        <v>74054</v>
      </c>
      <c r="B5421" s="0" t="n">
        <v>74</v>
      </c>
      <c r="C5421" s="0" t="n">
        <v>54</v>
      </c>
      <c r="D5421" s="0" t="n">
        <v>0</v>
      </c>
      <c r="E5421" s="0" t="n">
        <f aca="false">VLOOKUP(B5421,'MSA-Lookup'!$H$2:$I$86,2)</f>
        <v>5775</v>
      </c>
      <c r="F5421" s="0" t="n">
        <f aca="false">IF(C5421&gt;1,IF(C5421&lt;99,VLOOKUP(C5421,'MSA-Lookup'!$H$1:$I$86,2),C5421),C5421)</f>
        <v>4480</v>
      </c>
      <c r="G5421" s="0" t="n">
        <f aca="false">VLOOKUP(E5421,'MSA-Lookup'!$AA$1:$AB$25,2)</f>
        <v>7362</v>
      </c>
      <c r="H5421" s="0" t="n">
        <f aca="false">IF(C5421&gt;1,IF(C5421&lt;99,VLOOKUP(F5421,'MSA-Lookup'!$AA$1:$AB$25,2),C5421),C5421)</f>
        <v>4472</v>
      </c>
    </row>
    <row r="5422" customFormat="false" ht="12.75" hidden="false" customHeight="false" outlineLevel="0" collapsed="false">
      <c r="A5422" s="0" t="n">
        <f aca="false">B5422*1000+C5422</f>
        <v>74055</v>
      </c>
      <c r="B5422" s="0" t="n">
        <v>74</v>
      </c>
      <c r="C5422" s="0" t="n">
        <v>55</v>
      </c>
      <c r="D5422" s="0" t="n">
        <v>78</v>
      </c>
      <c r="E5422" s="0" t="n">
        <f aca="false">VLOOKUP(B5422,'MSA-Lookup'!$H$2:$I$86,2)</f>
        <v>5775</v>
      </c>
      <c r="F5422" s="0" t="n">
        <f aca="false">IF(C5422&gt;1,IF(C5422&lt;99,VLOOKUP(C5422,'MSA-Lookup'!$H$1:$I$86,2),C5422),C5422)</f>
        <v>4480</v>
      </c>
      <c r="G5422" s="0" t="n">
        <f aca="false">VLOOKUP(E5422,'MSA-Lookup'!$AA$1:$AB$25,2)</f>
        <v>7362</v>
      </c>
      <c r="H5422" s="0" t="n">
        <f aca="false">IF(C5422&gt;1,IF(C5422&lt;99,VLOOKUP(F5422,'MSA-Lookup'!$AA$1:$AB$25,2),C5422),C5422)</f>
        <v>4472</v>
      </c>
    </row>
    <row r="5423" customFormat="false" ht="12.75" hidden="false" customHeight="false" outlineLevel="0" collapsed="false">
      <c r="A5423" s="0" t="n">
        <f aca="false">B5423*1000+C5423</f>
        <v>74056</v>
      </c>
      <c r="B5423" s="0" t="n">
        <v>74</v>
      </c>
      <c r="C5423" s="0" t="n">
        <v>56</v>
      </c>
      <c r="D5423" s="0" t="n">
        <v>0</v>
      </c>
      <c r="E5423" s="0" t="n">
        <f aca="false">VLOOKUP(B5423,'MSA-Lookup'!$H$2:$I$86,2)</f>
        <v>5775</v>
      </c>
      <c r="F5423" s="0" t="n">
        <f aca="false">IF(C5423&gt;1,IF(C5423&lt;99,VLOOKUP(C5423,'MSA-Lookup'!$H$1:$I$86,2),C5423),C5423)</f>
        <v>4480</v>
      </c>
      <c r="G5423" s="0" t="n">
        <f aca="false">VLOOKUP(E5423,'MSA-Lookup'!$AA$1:$AB$25,2)</f>
        <v>7362</v>
      </c>
      <c r="H5423" s="0" t="n">
        <f aca="false">IF(C5423&gt;1,IF(C5423&lt;99,VLOOKUP(F5423,'MSA-Lookup'!$AA$1:$AB$25,2),C5423),C5423)</f>
        <v>4472</v>
      </c>
    </row>
    <row r="5424" customFormat="false" ht="12.75" hidden="false" customHeight="false" outlineLevel="0" collapsed="false">
      <c r="A5424" s="0" t="n">
        <f aca="false">B5424*1000+C5424</f>
        <v>74057</v>
      </c>
      <c r="B5424" s="0" t="n">
        <v>74</v>
      </c>
      <c r="C5424" s="0" t="n">
        <v>57</v>
      </c>
      <c r="D5424" s="0" t="n">
        <v>0</v>
      </c>
      <c r="E5424" s="0" t="n">
        <f aca="false">VLOOKUP(B5424,'MSA-Lookup'!$H$2:$I$86,2)</f>
        <v>5775</v>
      </c>
      <c r="F5424" s="0" t="n">
        <f aca="false">IF(C5424&gt;1,IF(C5424&lt;99,VLOOKUP(C5424,'MSA-Lookup'!$H$1:$I$86,2),C5424),C5424)</f>
        <v>4480</v>
      </c>
      <c r="G5424" s="0" t="n">
        <f aca="false">VLOOKUP(E5424,'MSA-Lookup'!$AA$1:$AB$25,2)</f>
        <v>7362</v>
      </c>
      <c r="H5424" s="0" t="n">
        <f aca="false">IF(C5424&gt;1,IF(C5424&lt;99,VLOOKUP(F5424,'MSA-Lookup'!$AA$1:$AB$25,2),C5424),C5424)</f>
        <v>4472</v>
      </c>
    </row>
    <row r="5425" customFormat="false" ht="12.75" hidden="false" customHeight="false" outlineLevel="0" collapsed="false">
      <c r="A5425" s="0" t="n">
        <f aca="false">B5425*1000+C5425</f>
        <v>74058</v>
      </c>
      <c r="B5425" s="0" t="n">
        <v>74</v>
      </c>
      <c r="C5425" s="0" t="n">
        <v>58</v>
      </c>
      <c r="D5425" s="0" t="n">
        <v>0</v>
      </c>
      <c r="E5425" s="0" t="n">
        <f aca="false">VLOOKUP(B5425,'MSA-Lookup'!$H$2:$I$86,2)</f>
        <v>5775</v>
      </c>
      <c r="F5425" s="0" t="n">
        <f aca="false">IF(C5425&gt;1,IF(C5425&lt;99,VLOOKUP(C5425,'MSA-Lookup'!$H$1:$I$86,2),C5425),C5425)</f>
        <v>4480</v>
      </c>
      <c r="G5425" s="0" t="n">
        <f aca="false">VLOOKUP(E5425,'MSA-Lookup'!$AA$1:$AB$25,2)</f>
        <v>7362</v>
      </c>
      <c r="H5425" s="0" t="n">
        <f aca="false">IF(C5425&gt;1,IF(C5425&lt;99,VLOOKUP(F5425,'MSA-Lookup'!$AA$1:$AB$25,2),C5425),C5425)</f>
        <v>4472</v>
      </c>
    </row>
    <row r="5426" customFormat="false" ht="12.75" hidden="false" customHeight="false" outlineLevel="0" collapsed="false">
      <c r="A5426" s="0" t="n">
        <f aca="false">B5426*1000+C5426</f>
        <v>74059</v>
      </c>
      <c r="B5426" s="0" t="n">
        <v>74</v>
      </c>
      <c r="C5426" s="0" t="n">
        <v>59</v>
      </c>
      <c r="D5426" s="0" t="n">
        <v>0</v>
      </c>
      <c r="E5426" s="0" t="n">
        <f aca="false">VLOOKUP(B5426,'MSA-Lookup'!$H$2:$I$86,2)</f>
        <v>5775</v>
      </c>
      <c r="F5426" s="0" t="n">
        <f aca="false">IF(C5426&gt;1,IF(C5426&lt;99,VLOOKUP(C5426,'MSA-Lookup'!$H$1:$I$86,2),C5426),C5426)</f>
        <v>4480</v>
      </c>
      <c r="G5426" s="0" t="n">
        <f aca="false">VLOOKUP(E5426,'MSA-Lookup'!$AA$1:$AB$25,2)</f>
        <v>7362</v>
      </c>
      <c r="H5426" s="0" t="n">
        <f aca="false">IF(C5426&gt;1,IF(C5426&lt;99,VLOOKUP(F5426,'MSA-Lookup'!$AA$1:$AB$25,2),C5426),C5426)</f>
        <v>4472</v>
      </c>
    </row>
    <row r="5427" customFormat="false" ht="12.75" hidden="false" customHeight="false" outlineLevel="0" collapsed="false">
      <c r="A5427" s="0" t="n">
        <f aca="false">B5427*1000+C5427</f>
        <v>74060</v>
      </c>
      <c r="B5427" s="0" t="n">
        <v>74</v>
      </c>
      <c r="C5427" s="0" t="n">
        <v>60</v>
      </c>
      <c r="D5427" s="0" t="n">
        <v>0</v>
      </c>
      <c r="E5427" s="0" t="n">
        <f aca="false">VLOOKUP(B5427,'MSA-Lookup'!$H$2:$I$86,2)</f>
        <v>5775</v>
      </c>
      <c r="F5427" s="0" t="n">
        <f aca="false">IF(C5427&gt;1,IF(C5427&lt;99,VLOOKUP(C5427,'MSA-Lookup'!$H$1:$I$86,2),C5427),C5427)</f>
        <v>4480</v>
      </c>
      <c r="G5427" s="0" t="n">
        <f aca="false">VLOOKUP(E5427,'MSA-Lookup'!$AA$1:$AB$25,2)</f>
        <v>7362</v>
      </c>
      <c r="H5427" s="0" t="n">
        <f aca="false">IF(C5427&gt;1,IF(C5427&lt;99,VLOOKUP(F5427,'MSA-Lookup'!$AA$1:$AB$25,2),C5427),C5427)</f>
        <v>4472</v>
      </c>
    </row>
    <row r="5428" customFormat="false" ht="12.75" hidden="false" customHeight="false" outlineLevel="0" collapsed="false">
      <c r="A5428" s="0" t="n">
        <f aca="false">B5428*1000+C5428</f>
        <v>74061</v>
      </c>
      <c r="B5428" s="0" t="n">
        <v>74</v>
      </c>
      <c r="C5428" s="0" t="n">
        <v>61</v>
      </c>
      <c r="D5428" s="0" t="n">
        <v>0</v>
      </c>
      <c r="E5428" s="0" t="n">
        <f aca="false">VLOOKUP(B5428,'MSA-Lookup'!$H$2:$I$86,2)</f>
        <v>5775</v>
      </c>
      <c r="F5428" s="0" t="n">
        <f aca="false">IF(C5428&gt;1,IF(C5428&lt;99,VLOOKUP(C5428,'MSA-Lookup'!$H$1:$I$86,2),C5428),C5428)</f>
        <v>4480</v>
      </c>
      <c r="G5428" s="0" t="n">
        <f aca="false">VLOOKUP(E5428,'MSA-Lookup'!$AA$1:$AB$25,2)</f>
        <v>7362</v>
      </c>
      <c r="H5428" s="0" t="n">
        <f aca="false">IF(C5428&gt;1,IF(C5428&lt;99,VLOOKUP(F5428,'MSA-Lookup'!$AA$1:$AB$25,2),C5428),C5428)</f>
        <v>4472</v>
      </c>
    </row>
    <row r="5429" customFormat="false" ht="12.75" hidden="false" customHeight="false" outlineLevel="0" collapsed="false">
      <c r="A5429" s="0" t="n">
        <f aca="false">B5429*1000+C5429</f>
        <v>74062</v>
      </c>
      <c r="B5429" s="0" t="n">
        <v>74</v>
      </c>
      <c r="C5429" s="0" t="n">
        <v>62</v>
      </c>
      <c r="D5429" s="0" t="n">
        <v>0</v>
      </c>
      <c r="E5429" s="0" t="n">
        <f aca="false">VLOOKUP(B5429,'MSA-Lookup'!$H$2:$I$86,2)</f>
        <v>5775</v>
      </c>
      <c r="F5429" s="0" t="n">
        <f aca="false">IF(C5429&gt;1,IF(C5429&lt;99,VLOOKUP(C5429,'MSA-Lookup'!$H$1:$I$86,2),C5429),C5429)</f>
        <v>4480</v>
      </c>
      <c r="G5429" s="0" t="n">
        <f aca="false">VLOOKUP(E5429,'MSA-Lookup'!$AA$1:$AB$25,2)</f>
        <v>7362</v>
      </c>
      <c r="H5429" s="0" t="n">
        <f aca="false">IF(C5429&gt;1,IF(C5429&lt;99,VLOOKUP(F5429,'MSA-Lookup'!$AA$1:$AB$25,2),C5429),C5429)</f>
        <v>4472</v>
      </c>
    </row>
    <row r="5430" customFormat="false" ht="12.75" hidden="false" customHeight="false" outlineLevel="0" collapsed="false">
      <c r="A5430" s="0" t="n">
        <f aca="false">B5430*1000+C5430</f>
        <v>74063</v>
      </c>
      <c r="B5430" s="0" t="n">
        <v>74</v>
      </c>
      <c r="C5430" s="0" t="n">
        <v>63</v>
      </c>
      <c r="D5430" s="0" t="n">
        <v>0</v>
      </c>
      <c r="E5430" s="0" t="n">
        <f aca="false">VLOOKUP(B5430,'MSA-Lookup'!$H$2:$I$86,2)</f>
        <v>5775</v>
      </c>
      <c r="F5430" s="0" t="n">
        <f aca="false">IF(C5430&gt;1,IF(C5430&lt;99,VLOOKUP(C5430,'MSA-Lookup'!$H$1:$I$86,2),C5430),C5430)</f>
        <v>4480</v>
      </c>
      <c r="G5430" s="0" t="n">
        <f aca="false">VLOOKUP(E5430,'MSA-Lookup'!$AA$1:$AB$25,2)</f>
        <v>7362</v>
      </c>
      <c r="H5430" s="0" t="n">
        <f aca="false">IF(C5430&gt;1,IF(C5430&lt;99,VLOOKUP(F5430,'MSA-Lookup'!$AA$1:$AB$25,2),C5430),C5430)</f>
        <v>4472</v>
      </c>
    </row>
    <row r="5431" customFormat="false" ht="12.75" hidden="false" customHeight="false" outlineLevel="0" collapsed="false">
      <c r="A5431" s="0" t="n">
        <f aca="false">B5431*1000+C5431</f>
        <v>74064</v>
      </c>
      <c r="B5431" s="0" t="n">
        <v>74</v>
      </c>
      <c r="C5431" s="0" t="n">
        <v>64</v>
      </c>
      <c r="D5431" s="0" t="n">
        <v>0</v>
      </c>
      <c r="E5431" s="0" t="n">
        <f aca="false">VLOOKUP(B5431,'MSA-Lookup'!$H$2:$I$86,2)</f>
        <v>5775</v>
      </c>
      <c r="F5431" s="0" t="n">
        <f aca="false">IF(C5431&gt;1,IF(C5431&lt;99,VLOOKUP(C5431,'MSA-Lookup'!$H$1:$I$86,2),C5431),C5431)</f>
        <v>4480</v>
      </c>
      <c r="G5431" s="0" t="n">
        <f aca="false">VLOOKUP(E5431,'MSA-Lookup'!$AA$1:$AB$25,2)</f>
        <v>7362</v>
      </c>
      <c r="H5431" s="0" t="n">
        <f aca="false">IF(C5431&gt;1,IF(C5431&lt;99,VLOOKUP(F5431,'MSA-Lookup'!$AA$1:$AB$25,2),C5431),C5431)</f>
        <v>4472</v>
      </c>
    </row>
    <row r="5432" customFormat="false" ht="12.75" hidden="false" customHeight="false" outlineLevel="0" collapsed="false">
      <c r="A5432" s="0" t="n">
        <f aca="false">B5432*1000+C5432</f>
        <v>74065</v>
      </c>
      <c r="B5432" s="0" t="n">
        <v>74</v>
      </c>
      <c r="C5432" s="0" t="n">
        <v>65</v>
      </c>
      <c r="D5432" s="0" t="n">
        <v>234</v>
      </c>
      <c r="E5432" s="0" t="n">
        <f aca="false">VLOOKUP(B5432,'MSA-Lookup'!$H$2:$I$86,2)</f>
        <v>5775</v>
      </c>
      <c r="F5432" s="0" t="n">
        <f aca="false">IF(C5432&gt;1,IF(C5432&lt;99,VLOOKUP(C5432,'MSA-Lookup'!$H$1:$I$86,2),C5432),C5432)</f>
        <v>4480</v>
      </c>
      <c r="G5432" s="0" t="n">
        <f aca="false">VLOOKUP(E5432,'MSA-Lookup'!$AA$1:$AB$25,2)</f>
        <v>7362</v>
      </c>
      <c r="H5432" s="0" t="n">
        <f aca="false">IF(C5432&gt;1,IF(C5432&lt;99,VLOOKUP(F5432,'MSA-Lookup'!$AA$1:$AB$25,2),C5432),C5432)</f>
        <v>4472</v>
      </c>
    </row>
    <row r="5433" customFormat="false" ht="12.75" hidden="false" customHeight="false" outlineLevel="0" collapsed="false">
      <c r="A5433" s="0" t="n">
        <f aca="false">B5433*1000+C5433</f>
        <v>74066</v>
      </c>
      <c r="B5433" s="0" t="n">
        <v>74</v>
      </c>
      <c r="C5433" s="0" t="n">
        <v>66</v>
      </c>
      <c r="D5433" s="0" t="n">
        <v>0</v>
      </c>
      <c r="E5433" s="0" t="n">
        <f aca="false">VLOOKUP(B5433,'MSA-Lookup'!$H$2:$I$86,2)</f>
        <v>5775</v>
      </c>
      <c r="F5433" s="0" t="n">
        <f aca="false">IF(C5433&gt;1,IF(C5433&lt;99,VLOOKUP(C5433,'MSA-Lookup'!$H$1:$I$86,2),C5433),C5433)</f>
        <v>4480</v>
      </c>
      <c r="G5433" s="0" t="n">
        <f aca="false">VLOOKUP(E5433,'MSA-Lookup'!$AA$1:$AB$25,2)</f>
        <v>7362</v>
      </c>
      <c r="H5433" s="0" t="n">
        <f aca="false">IF(C5433&gt;1,IF(C5433&lt;99,VLOOKUP(F5433,'MSA-Lookup'!$AA$1:$AB$25,2),C5433),C5433)</f>
        <v>4472</v>
      </c>
    </row>
    <row r="5434" customFormat="false" ht="12.75" hidden="false" customHeight="false" outlineLevel="0" collapsed="false">
      <c r="A5434" s="0" t="n">
        <f aca="false">B5434*1000+C5434</f>
        <v>74067</v>
      </c>
      <c r="B5434" s="0" t="n">
        <v>74</v>
      </c>
      <c r="C5434" s="0" t="n">
        <v>67</v>
      </c>
      <c r="D5434" s="0" t="n">
        <v>0</v>
      </c>
      <c r="E5434" s="0" t="n">
        <f aca="false">VLOOKUP(B5434,'MSA-Lookup'!$H$2:$I$86,2)</f>
        <v>5775</v>
      </c>
      <c r="F5434" s="0" t="n">
        <f aca="false">IF(C5434&gt;1,IF(C5434&lt;99,VLOOKUP(C5434,'MSA-Lookup'!$H$1:$I$86,2),C5434),C5434)</f>
        <v>6000</v>
      </c>
      <c r="G5434" s="0" t="n">
        <f aca="false">VLOOKUP(E5434,'MSA-Lookup'!$AA$1:$AB$25,2)</f>
        <v>7362</v>
      </c>
      <c r="H5434" s="0" t="n">
        <f aca="false">IF(C5434&gt;1,IF(C5434&lt;99,VLOOKUP(F5434,'MSA-Lookup'!$AA$1:$AB$25,2),C5434),C5434)</f>
        <v>4472</v>
      </c>
    </row>
    <row r="5435" customFormat="false" ht="12.75" hidden="false" customHeight="false" outlineLevel="0" collapsed="false">
      <c r="A5435" s="0" t="n">
        <f aca="false">B5435*1000+C5435</f>
        <v>74068</v>
      </c>
      <c r="B5435" s="0" t="n">
        <v>74</v>
      </c>
      <c r="C5435" s="0" t="n">
        <v>68</v>
      </c>
      <c r="D5435" s="0" t="n">
        <v>0</v>
      </c>
      <c r="E5435" s="0" t="n">
        <f aca="false">VLOOKUP(B5435,'MSA-Lookup'!$H$2:$I$86,2)</f>
        <v>5775</v>
      </c>
      <c r="F5435" s="0" t="n">
        <f aca="false">IF(C5435&gt;1,IF(C5435&lt;99,VLOOKUP(C5435,'MSA-Lookup'!$H$1:$I$86,2),C5435),C5435)</f>
        <v>6780</v>
      </c>
      <c r="G5435" s="0" t="n">
        <f aca="false">VLOOKUP(E5435,'MSA-Lookup'!$AA$1:$AB$25,2)</f>
        <v>7362</v>
      </c>
      <c r="H5435" s="0" t="n">
        <f aca="false">IF(C5435&gt;1,IF(C5435&lt;99,VLOOKUP(F5435,'MSA-Lookup'!$AA$1:$AB$25,2),C5435),C5435)</f>
        <v>4472</v>
      </c>
    </row>
    <row r="5436" customFormat="false" ht="12.75" hidden="false" customHeight="false" outlineLevel="0" collapsed="false">
      <c r="A5436" s="0" t="n">
        <f aca="false">B5436*1000+C5436</f>
        <v>74069</v>
      </c>
      <c r="B5436" s="0" t="n">
        <v>74</v>
      </c>
      <c r="C5436" s="0" t="n">
        <v>69</v>
      </c>
      <c r="D5436" s="0" t="n">
        <v>0</v>
      </c>
      <c r="E5436" s="0" t="n">
        <f aca="false">VLOOKUP(B5436,'MSA-Lookup'!$H$2:$I$86,2)</f>
        <v>5775</v>
      </c>
      <c r="F5436" s="0" t="n">
        <f aca="false">IF(C5436&gt;1,IF(C5436&lt;99,VLOOKUP(C5436,'MSA-Lookup'!$H$1:$I$86,2),C5436),C5436)</f>
        <v>6780</v>
      </c>
      <c r="G5436" s="0" t="n">
        <f aca="false">VLOOKUP(E5436,'MSA-Lookup'!$AA$1:$AB$25,2)</f>
        <v>7362</v>
      </c>
      <c r="H5436" s="0" t="n">
        <f aca="false">IF(C5436&gt;1,IF(C5436&lt;99,VLOOKUP(F5436,'MSA-Lookup'!$AA$1:$AB$25,2),C5436),C5436)</f>
        <v>4472</v>
      </c>
    </row>
    <row r="5437" customFormat="false" ht="12.75" hidden="false" customHeight="false" outlineLevel="0" collapsed="false">
      <c r="A5437" s="0" t="n">
        <f aca="false">B5437*1000+C5437</f>
        <v>74070</v>
      </c>
      <c r="B5437" s="0" t="n">
        <v>74</v>
      </c>
      <c r="C5437" s="0" t="n">
        <v>70</v>
      </c>
      <c r="D5437" s="0" t="n">
        <v>0</v>
      </c>
      <c r="E5437" s="0" t="n">
        <f aca="false">VLOOKUP(B5437,'MSA-Lookup'!$H$2:$I$86,2)</f>
        <v>5775</v>
      </c>
      <c r="F5437" s="0" t="n">
        <f aca="false">IF(C5437&gt;1,IF(C5437&lt;99,VLOOKUP(C5437,'MSA-Lookup'!$H$1:$I$86,2),C5437),C5437)</f>
        <v>6780</v>
      </c>
      <c r="G5437" s="0" t="n">
        <f aca="false">VLOOKUP(E5437,'MSA-Lookup'!$AA$1:$AB$25,2)</f>
        <v>7362</v>
      </c>
      <c r="H5437" s="0" t="n">
        <f aca="false">IF(C5437&gt;1,IF(C5437&lt;99,VLOOKUP(F5437,'MSA-Lookup'!$AA$1:$AB$25,2),C5437),C5437)</f>
        <v>4472</v>
      </c>
    </row>
    <row r="5438" customFormat="false" ht="12.75" hidden="false" customHeight="false" outlineLevel="0" collapsed="false">
      <c r="A5438" s="0" t="n">
        <f aca="false">B5438*1000+C5438</f>
        <v>74071</v>
      </c>
      <c r="B5438" s="0" t="n">
        <v>74</v>
      </c>
      <c r="C5438" s="0" t="n">
        <v>71</v>
      </c>
      <c r="D5438" s="0" t="n">
        <v>0</v>
      </c>
      <c r="E5438" s="0" t="n">
        <f aca="false">VLOOKUP(B5438,'MSA-Lookup'!$H$2:$I$86,2)</f>
        <v>5775</v>
      </c>
      <c r="F5438" s="0" t="n">
        <f aca="false">IF(C5438&gt;1,IF(C5438&lt;99,VLOOKUP(C5438,'MSA-Lookup'!$H$1:$I$86,2),C5438),C5438)</f>
        <v>6780</v>
      </c>
      <c r="G5438" s="0" t="n">
        <f aca="false">VLOOKUP(E5438,'MSA-Lookup'!$AA$1:$AB$25,2)</f>
        <v>7362</v>
      </c>
      <c r="H5438" s="0" t="n">
        <f aca="false">IF(C5438&gt;1,IF(C5438&lt;99,VLOOKUP(F5438,'MSA-Lookup'!$AA$1:$AB$25,2),C5438),C5438)</f>
        <v>4472</v>
      </c>
    </row>
    <row r="5439" customFormat="false" ht="12.75" hidden="false" customHeight="false" outlineLevel="0" collapsed="false">
      <c r="A5439" s="0" t="n">
        <f aca="false">B5439*1000+C5439</f>
        <v>74072</v>
      </c>
      <c r="B5439" s="0" t="n">
        <v>74</v>
      </c>
      <c r="C5439" s="0" t="n">
        <v>72</v>
      </c>
      <c r="D5439" s="0" t="n">
        <v>0</v>
      </c>
      <c r="E5439" s="0" t="n">
        <f aca="false">VLOOKUP(B5439,'MSA-Lookup'!$H$2:$I$86,2)</f>
        <v>5775</v>
      </c>
      <c r="F5439" s="0" t="n">
        <f aca="false">IF(C5439&gt;1,IF(C5439&lt;99,VLOOKUP(C5439,'MSA-Lookup'!$H$1:$I$86,2),C5439),C5439)</f>
        <v>6780</v>
      </c>
      <c r="G5439" s="0" t="n">
        <f aca="false">VLOOKUP(E5439,'MSA-Lookup'!$AA$1:$AB$25,2)</f>
        <v>7362</v>
      </c>
      <c r="H5439" s="0" t="n">
        <f aca="false">IF(C5439&gt;1,IF(C5439&lt;99,VLOOKUP(F5439,'MSA-Lookup'!$AA$1:$AB$25,2),C5439),C5439)</f>
        <v>4472</v>
      </c>
    </row>
    <row r="5440" customFormat="false" ht="12.75" hidden="false" customHeight="false" outlineLevel="0" collapsed="false">
      <c r="A5440" s="0" t="n">
        <f aca="false">B5440*1000+C5440</f>
        <v>74073</v>
      </c>
      <c r="B5440" s="0" t="n">
        <v>74</v>
      </c>
      <c r="C5440" s="0" t="n">
        <v>73</v>
      </c>
      <c r="D5440" s="0" t="n">
        <v>338</v>
      </c>
      <c r="E5440" s="0" t="n">
        <f aca="false">VLOOKUP(B5440,'MSA-Lookup'!$H$2:$I$86,2)</f>
        <v>5775</v>
      </c>
      <c r="F5440" s="0" t="n">
        <f aca="false">IF(C5440&gt;1,IF(C5440&lt;99,VLOOKUP(C5440,'MSA-Lookup'!$H$1:$I$86,2),C5440),C5440)</f>
        <v>8720</v>
      </c>
      <c r="G5440" s="0" t="n">
        <f aca="false">VLOOKUP(E5440,'MSA-Lookup'!$AA$1:$AB$25,2)</f>
        <v>7362</v>
      </c>
      <c r="H5440" s="0" t="n">
        <f aca="false">IF(C5440&gt;1,IF(C5440&lt;99,VLOOKUP(F5440,'MSA-Lookup'!$AA$1:$AB$25,2),C5440),C5440)</f>
        <v>7362</v>
      </c>
    </row>
    <row r="5441" customFormat="false" ht="12.75" hidden="false" customHeight="false" outlineLevel="0" collapsed="false">
      <c r="A5441" s="0" t="n">
        <f aca="false">B5441*1000+C5441</f>
        <v>74075</v>
      </c>
      <c r="B5441" s="0" t="n">
        <v>74</v>
      </c>
      <c r="C5441" s="0" t="n">
        <v>75</v>
      </c>
      <c r="D5441" s="0" t="n">
        <v>0</v>
      </c>
      <c r="E5441" s="0" t="n">
        <f aca="false">VLOOKUP(B5441,'MSA-Lookup'!$H$2:$I$86,2)</f>
        <v>5775</v>
      </c>
      <c r="F5441" s="0" t="n">
        <f aca="false">IF(C5441&gt;1,IF(C5441&lt;99,VLOOKUP(C5441,'MSA-Lookup'!$H$1:$I$86,2),C5441),C5441)</f>
        <v>8780</v>
      </c>
      <c r="G5441" s="0" t="n">
        <f aca="false">VLOOKUP(E5441,'MSA-Lookup'!$AA$1:$AB$25,2)</f>
        <v>7362</v>
      </c>
      <c r="H5441" s="0" t="n">
        <f aca="false">IF(C5441&gt;1,IF(C5441&lt;99,VLOOKUP(F5441,'MSA-Lookup'!$AA$1:$AB$25,2),C5441),C5441)</f>
        <v>8780</v>
      </c>
    </row>
    <row r="5442" customFormat="false" ht="12.75" hidden="false" customHeight="false" outlineLevel="0" collapsed="false">
      <c r="A5442" s="0" t="n">
        <f aca="false">B5442*1000+C5442</f>
        <v>74076</v>
      </c>
      <c r="B5442" s="0" t="n">
        <v>74</v>
      </c>
      <c r="C5442" s="0" t="n">
        <v>76</v>
      </c>
      <c r="D5442" s="0" t="n">
        <v>0</v>
      </c>
      <c r="E5442" s="0" t="n">
        <f aca="false">VLOOKUP(B5442,'MSA-Lookup'!$H$2:$I$86,2)</f>
        <v>5775</v>
      </c>
      <c r="F5442" s="0" t="n">
        <f aca="false">IF(C5442&gt;1,IF(C5442&lt;99,VLOOKUP(C5442,'MSA-Lookup'!$H$1:$I$86,2),C5442),C5442)</f>
        <v>7485</v>
      </c>
      <c r="G5442" s="0" t="n">
        <f aca="false">VLOOKUP(E5442,'MSA-Lookup'!$AA$1:$AB$25,2)</f>
        <v>7362</v>
      </c>
      <c r="H5442" s="0" t="n">
        <f aca="false">IF(C5442&gt;1,IF(C5442&lt;99,VLOOKUP(F5442,'MSA-Lookup'!$AA$1:$AB$25,2),C5442),C5442)</f>
        <v>7362</v>
      </c>
    </row>
    <row r="5443" customFormat="false" ht="12.75" hidden="false" customHeight="false" outlineLevel="0" collapsed="false">
      <c r="A5443" s="0" t="n">
        <f aca="false">B5443*1000+C5443</f>
        <v>74077</v>
      </c>
      <c r="B5443" s="0" t="n">
        <v>74</v>
      </c>
      <c r="C5443" s="0" t="n">
        <v>77</v>
      </c>
      <c r="D5443" s="0" t="n">
        <v>0</v>
      </c>
      <c r="E5443" s="0" t="n">
        <f aca="false">VLOOKUP(B5443,'MSA-Lookup'!$H$2:$I$86,2)</f>
        <v>5775</v>
      </c>
      <c r="F5443" s="0" t="n">
        <f aca="false">IF(C5443&gt;1,IF(C5443&lt;99,VLOOKUP(C5443,'MSA-Lookup'!$H$1:$I$86,2),C5443),C5443)</f>
        <v>9999</v>
      </c>
      <c r="G5443" s="0" t="n">
        <f aca="false">VLOOKUP(E5443,'MSA-Lookup'!$AA$1:$AB$25,2)</f>
        <v>7362</v>
      </c>
      <c r="H5443" s="0" t="n">
        <f aca="false">IF(C5443&gt;1,IF(C5443&lt;99,VLOOKUP(F5443,'MSA-Lookup'!$AA$1:$AB$25,2),C5443),C5443)</f>
        <v>9999</v>
      </c>
    </row>
    <row r="5444" customFormat="false" ht="12.75" hidden="false" customHeight="false" outlineLevel="0" collapsed="false">
      <c r="A5444" s="0" t="n">
        <f aca="false">B5444*1000+C5444</f>
        <v>74078</v>
      </c>
      <c r="B5444" s="0" t="n">
        <v>74</v>
      </c>
      <c r="C5444" s="0" t="n">
        <v>78</v>
      </c>
      <c r="D5444" s="0" t="n">
        <v>0</v>
      </c>
      <c r="E5444" s="0" t="n">
        <f aca="false">VLOOKUP(B5444,'MSA-Lookup'!$H$2:$I$86,2)</f>
        <v>5775</v>
      </c>
      <c r="F5444" s="0" t="n">
        <f aca="false">IF(C5444&gt;1,IF(C5444&lt;99,VLOOKUP(C5444,'MSA-Lookup'!$H$1:$I$86,2),C5444),C5444)</f>
        <v>680</v>
      </c>
      <c r="G5444" s="0" t="n">
        <f aca="false">VLOOKUP(E5444,'MSA-Lookup'!$AA$1:$AB$25,2)</f>
        <v>7362</v>
      </c>
      <c r="H5444" s="0" t="n">
        <f aca="false">IF(C5444&gt;1,IF(C5444&lt;99,VLOOKUP(F5444,'MSA-Lookup'!$AA$1:$AB$25,2),C5444),C5444)</f>
        <v>680</v>
      </c>
    </row>
    <row r="5445" customFormat="false" ht="12.75" hidden="false" customHeight="false" outlineLevel="0" collapsed="false">
      <c r="A5445" s="0" t="n">
        <f aca="false">B5445*1000+C5445</f>
        <v>74079</v>
      </c>
      <c r="B5445" s="0" t="n">
        <v>74</v>
      </c>
      <c r="C5445" s="0" t="n">
        <v>79</v>
      </c>
      <c r="D5445" s="0" t="n">
        <v>0</v>
      </c>
      <c r="E5445" s="0" t="n">
        <f aca="false">VLOOKUP(B5445,'MSA-Lookup'!$H$2:$I$86,2)</f>
        <v>5775</v>
      </c>
      <c r="F5445" s="0" t="n">
        <f aca="false">IF(C5445&gt;1,IF(C5445&lt;99,VLOOKUP(C5445,'MSA-Lookup'!$H$1:$I$86,2),C5445),C5445)</f>
        <v>680</v>
      </c>
      <c r="G5445" s="0" t="n">
        <f aca="false">VLOOKUP(E5445,'MSA-Lookup'!$AA$1:$AB$25,2)</f>
        <v>7362</v>
      </c>
      <c r="H5445" s="0" t="n">
        <f aca="false">IF(C5445&gt;1,IF(C5445&lt;99,VLOOKUP(F5445,'MSA-Lookup'!$AA$1:$AB$25,2),C5445),C5445)</f>
        <v>680</v>
      </c>
    </row>
    <row r="5446" customFormat="false" ht="12.75" hidden="false" customHeight="false" outlineLevel="0" collapsed="false">
      <c r="A5446" s="0" t="n">
        <f aca="false">B5446*1000+C5446</f>
        <v>74080</v>
      </c>
      <c r="B5446" s="0" t="n">
        <v>74</v>
      </c>
      <c r="C5446" s="0" t="n">
        <v>80</v>
      </c>
      <c r="D5446" s="0" t="n">
        <v>0</v>
      </c>
      <c r="E5446" s="0" t="n">
        <f aca="false">VLOOKUP(B5446,'MSA-Lookup'!$H$2:$I$86,2)</f>
        <v>5775</v>
      </c>
      <c r="F5446" s="0" t="n">
        <f aca="false">IF(C5446&gt;1,IF(C5446&lt;99,VLOOKUP(C5446,'MSA-Lookup'!$H$1:$I$86,2),C5446),C5446)</f>
        <v>9999</v>
      </c>
      <c r="G5446" s="0" t="n">
        <f aca="false">VLOOKUP(E5446,'MSA-Lookup'!$AA$1:$AB$25,2)</f>
        <v>7362</v>
      </c>
      <c r="H5446" s="0" t="n">
        <f aca="false">IF(C5446&gt;1,IF(C5446&lt;99,VLOOKUP(F5446,'MSA-Lookup'!$AA$1:$AB$25,2),C5446),C5446)</f>
        <v>9999</v>
      </c>
    </row>
    <row r="5447" customFormat="false" ht="12.75" hidden="false" customHeight="false" outlineLevel="0" collapsed="false">
      <c r="A5447" s="0" t="n">
        <f aca="false">B5447*1000+C5447</f>
        <v>74081</v>
      </c>
      <c r="B5447" s="0" t="n">
        <v>74</v>
      </c>
      <c r="C5447" s="0" t="n">
        <v>81</v>
      </c>
      <c r="D5447" s="0" t="n">
        <v>0</v>
      </c>
      <c r="E5447" s="0" t="n">
        <f aca="false">VLOOKUP(B5447,'MSA-Lookup'!$H$2:$I$86,2)</f>
        <v>5775</v>
      </c>
      <c r="F5447" s="0" t="n">
        <f aca="false">IF(C5447&gt;1,IF(C5447&lt;99,VLOOKUP(C5447,'MSA-Lookup'!$H$1:$I$86,2),C5447),C5447)</f>
        <v>6780</v>
      </c>
      <c r="G5447" s="0" t="n">
        <f aca="false">VLOOKUP(E5447,'MSA-Lookup'!$AA$1:$AB$25,2)</f>
        <v>7362</v>
      </c>
      <c r="H5447" s="0" t="n">
        <f aca="false">IF(C5447&gt;1,IF(C5447&lt;99,VLOOKUP(F5447,'MSA-Lookup'!$AA$1:$AB$25,2),C5447),C5447)</f>
        <v>4472</v>
      </c>
    </row>
    <row r="5448" customFormat="false" ht="12.75" hidden="false" customHeight="false" outlineLevel="0" collapsed="false">
      <c r="A5448" s="0" t="n">
        <f aca="false">B5448*1000+C5448</f>
        <v>74082</v>
      </c>
      <c r="B5448" s="0" t="n">
        <v>74</v>
      </c>
      <c r="C5448" s="0" t="n">
        <v>82</v>
      </c>
      <c r="D5448" s="0" t="n">
        <v>0</v>
      </c>
      <c r="E5448" s="0" t="n">
        <f aca="false">VLOOKUP(B5448,'MSA-Lookup'!$H$2:$I$86,2)</f>
        <v>5775</v>
      </c>
      <c r="F5448" s="0" t="n">
        <f aca="false">IF(C5448&gt;1,IF(C5448&lt;99,VLOOKUP(C5448,'MSA-Lookup'!$H$1:$I$86,2),C5448),C5448)</f>
        <v>6780</v>
      </c>
      <c r="G5448" s="0" t="n">
        <f aca="false">VLOOKUP(E5448,'MSA-Lookup'!$AA$1:$AB$25,2)</f>
        <v>7362</v>
      </c>
      <c r="H5448" s="0" t="n">
        <f aca="false">IF(C5448&gt;1,IF(C5448&lt;99,VLOOKUP(F5448,'MSA-Lookup'!$AA$1:$AB$25,2),C5448),C5448)</f>
        <v>4472</v>
      </c>
    </row>
    <row r="5449" customFormat="false" ht="12.75" hidden="false" customHeight="false" outlineLevel="0" collapsed="false">
      <c r="A5449" s="0" t="n">
        <f aca="false">B5449*1000+C5449</f>
        <v>74083</v>
      </c>
      <c r="B5449" s="0" t="n">
        <v>74</v>
      </c>
      <c r="C5449" s="0" t="n">
        <v>83</v>
      </c>
      <c r="D5449" s="0" t="n">
        <v>0</v>
      </c>
      <c r="E5449" s="0" t="n">
        <f aca="false">VLOOKUP(B5449,'MSA-Lookup'!$H$2:$I$86,2)</f>
        <v>5775</v>
      </c>
      <c r="F5449" s="0" t="n">
        <f aca="false">IF(C5449&gt;1,IF(C5449&lt;99,VLOOKUP(C5449,'MSA-Lookup'!$H$1:$I$86,2),C5449),C5449)</f>
        <v>6000</v>
      </c>
      <c r="G5449" s="0" t="n">
        <f aca="false">VLOOKUP(E5449,'MSA-Lookup'!$AA$1:$AB$25,2)</f>
        <v>7362</v>
      </c>
      <c r="H5449" s="0" t="n">
        <f aca="false">IF(C5449&gt;1,IF(C5449&lt;99,VLOOKUP(F5449,'MSA-Lookup'!$AA$1:$AB$25,2),C5449),C5449)</f>
        <v>4472</v>
      </c>
    </row>
    <row r="5450" customFormat="false" ht="12.75" hidden="false" customHeight="false" outlineLevel="0" collapsed="false">
      <c r="A5450" s="0" t="n">
        <f aca="false">B5450*1000+C5450</f>
        <v>74084</v>
      </c>
      <c r="B5450" s="0" t="n">
        <v>74</v>
      </c>
      <c r="C5450" s="0" t="n">
        <v>84</v>
      </c>
      <c r="D5450" s="0" t="n">
        <v>0</v>
      </c>
      <c r="E5450" s="0" t="n">
        <f aca="false">VLOOKUP(B5450,'MSA-Lookup'!$H$2:$I$86,2)</f>
        <v>5775</v>
      </c>
      <c r="F5450" s="0" t="n">
        <f aca="false">IF(C5450&gt;1,IF(C5450&lt;99,VLOOKUP(C5450,'MSA-Lookup'!$H$1:$I$86,2),C5450),C5450)</f>
        <v>360</v>
      </c>
      <c r="G5450" s="0" t="n">
        <f aca="false">VLOOKUP(E5450,'MSA-Lookup'!$AA$1:$AB$25,2)</f>
        <v>7362</v>
      </c>
      <c r="H5450" s="0" t="n">
        <f aca="false">IF(C5450&gt;1,IF(C5450&lt;99,VLOOKUP(F5450,'MSA-Lookup'!$AA$1:$AB$25,2),C5450),C5450)</f>
        <v>4472</v>
      </c>
    </row>
    <row r="5451" customFormat="false" ht="12.75" hidden="false" customHeight="false" outlineLevel="0" collapsed="false">
      <c r="A5451" s="0" t="n">
        <f aca="false">B5451*1000+C5451</f>
        <v>74085</v>
      </c>
      <c r="B5451" s="0" t="n">
        <v>74</v>
      </c>
      <c r="C5451" s="0" t="n">
        <v>85</v>
      </c>
      <c r="D5451" s="0" t="n">
        <v>130</v>
      </c>
      <c r="E5451" s="0" t="n">
        <f aca="false">VLOOKUP(B5451,'MSA-Lookup'!$H$2:$I$86,2)</f>
        <v>5775</v>
      </c>
      <c r="F5451" s="0" t="n">
        <f aca="false">IF(C5451&gt;1,IF(C5451&lt;99,VLOOKUP(C5451,'MSA-Lookup'!$H$1:$I$86,2),C5451),C5451)</f>
        <v>8120</v>
      </c>
      <c r="G5451" s="0" t="n">
        <f aca="false">VLOOKUP(E5451,'MSA-Lookup'!$AA$1:$AB$25,2)</f>
        <v>7362</v>
      </c>
      <c r="H5451" s="0" t="n">
        <f aca="false">IF(C5451&gt;1,IF(C5451&lt;99,VLOOKUP(F5451,'MSA-Lookup'!$AA$1:$AB$25,2),C5451),C5451)</f>
        <v>8120</v>
      </c>
    </row>
    <row r="5452" customFormat="false" ht="12.75" hidden="false" customHeight="false" outlineLevel="0" collapsed="false">
      <c r="A5452" s="0" t="n">
        <f aca="false">B5452*1000+C5452</f>
        <v>74858</v>
      </c>
      <c r="B5452" s="0" t="n">
        <v>74</v>
      </c>
      <c r="C5452" s="0" t="n">
        <v>858</v>
      </c>
      <c r="D5452" s="0" t="n">
        <v>0</v>
      </c>
      <c r="E5452" s="0" t="n">
        <f aca="false">VLOOKUP(B5452,'MSA-Lookup'!$H$2:$I$86,2)</f>
        <v>5775</v>
      </c>
      <c r="F5452" s="0" t="n">
        <f aca="false">IF(C5452&gt;1,IF(C5452&lt;99,VLOOKUP(C5452,'MSA-Lookup'!$H$1:$I$86,2),C5452),C5452)</f>
        <v>858</v>
      </c>
      <c r="G5452" s="0" t="n">
        <f aca="false">VLOOKUP(E5452,'MSA-Lookup'!$AA$1:$AB$25,2)</f>
        <v>7362</v>
      </c>
      <c r="H5452" s="0" t="n">
        <f aca="false">IF(C5452&gt;1,IF(C5452&lt;99,VLOOKUP(F5452,'MSA-Lookup'!$AA$1:$AB$25,2),C5452),C5452)</f>
        <v>858</v>
      </c>
    </row>
    <row r="5453" customFormat="false" ht="12.75" hidden="false" customHeight="false" outlineLevel="0" collapsed="false">
      <c r="A5453" s="0" t="n">
        <f aca="false">B5453*1000+C5453</f>
        <v>74983</v>
      </c>
      <c r="B5453" s="0" t="n">
        <v>74</v>
      </c>
      <c r="C5453" s="0" t="n">
        <v>983</v>
      </c>
      <c r="D5453" s="0" t="n">
        <v>0</v>
      </c>
      <c r="E5453" s="0" t="n">
        <f aca="false">VLOOKUP(B5453,'MSA-Lookup'!$H$2:$I$86,2)</f>
        <v>5775</v>
      </c>
      <c r="F5453" s="0" t="n">
        <f aca="false">IF(C5453&gt;1,IF(C5453&lt;99,VLOOKUP(C5453,'MSA-Lookup'!$H$1:$I$86,2),C5453),C5453)</f>
        <v>983</v>
      </c>
      <c r="G5453" s="0" t="n">
        <f aca="false">VLOOKUP(E5453,'MSA-Lookup'!$AA$1:$AB$25,2)</f>
        <v>7362</v>
      </c>
      <c r="H5453" s="0" t="n">
        <f aca="false">IF(C5453&gt;1,IF(C5453&lt;99,VLOOKUP(F5453,'MSA-Lookup'!$AA$1:$AB$25,2),C5453),C5453)</f>
        <v>983</v>
      </c>
    </row>
    <row r="5454" customFormat="false" ht="12.75" hidden="false" customHeight="false" outlineLevel="0" collapsed="false">
      <c r="A5454" s="0" t="n">
        <f aca="false">B5454*1000+C5454</f>
        <v>74999</v>
      </c>
      <c r="B5454" s="0" t="n">
        <v>74</v>
      </c>
      <c r="C5454" s="0" t="n">
        <v>999</v>
      </c>
      <c r="D5454" s="0" t="n">
        <v>0</v>
      </c>
      <c r="E5454" s="0" t="n">
        <f aca="false">VLOOKUP(B5454,'MSA-Lookup'!$H$2:$I$86,2)</f>
        <v>5775</v>
      </c>
      <c r="F5454" s="0" t="n">
        <f aca="false">IF(C5454&gt;1,IF(C5454&lt;99,VLOOKUP(C5454,'MSA-Lookup'!$H$1:$I$86,2),C5454),C5454)</f>
        <v>999</v>
      </c>
      <c r="G5454" s="0" t="n">
        <f aca="false">VLOOKUP(E5454,'MSA-Lookup'!$AA$1:$AB$25,2)</f>
        <v>7362</v>
      </c>
      <c r="H5454" s="0" t="n">
        <f aca="false">IF(C5454&gt;1,IF(C5454&lt;99,VLOOKUP(F5454,'MSA-Lookup'!$AA$1:$AB$25,2),C5454),C5454)</f>
        <v>999</v>
      </c>
    </row>
    <row r="5455" customFormat="false" ht="12.75" hidden="false" customHeight="false" outlineLevel="0" collapsed="false">
      <c r="A5455" s="0" t="n">
        <f aca="false">B5455*1000+C5455</f>
        <v>75000</v>
      </c>
      <c r="B5455" s="0" t="n">
        <v>75</v>
      </c>
      <c r="C5455" s="0" t="n">
        <v>0</v>
      </c>
      <c r="D5455" s="0" t="n">
        <v>192426</v>
      </c>
      <c r="E5455" s="0" t="n">
        <f aca="false">VLOOKUP(B5455,'MSA-Lookup'!$H$2:$I$86,2)</f>
        <v>8780</v>
      </c>
      <c r="F5455" s="0" t="n">
        <f aca="false">IF(C5455&gt;1,IF(C5455&lt;99,VLOOKUP(C5455,'MSA-Lookup'!$H$1:$I$86,2),C5455),C5455)</f>
        <v>0</v>
      </c>
      <c r="G5455" s="0" t="n">
        <f aca="false">VLOOKUP(E5455,'MSA-Lookup'!$AA$1:$AB$25,2)</f>
        <v>8780</v>
      </c>
      <c r="H5455" s="0" t="n">
        <f aca="false">IF(C5455&gt;1,IF(C5455&lt;99,VLOOKUP(F5455,'MSA-Lookup'!$AA$1:$AB$25,2),C5455),C5455)</f>
        <v>0</v>
      </c>
    </row>
    <row r="5456" customFormat="false" ht="12.75" hidden="false" customHeight="false" outlineLevel="0" collapsed="false">
      <c r="A5456" s="0" t="n">
        <f aca="false">B5456*1000+C5456</f>
        <v>75001</v>
      </c>
      <c r="B5456" s="0" t="n">
        <v>75</v>
      </c>
      <c r="C5456" s="0" t="n">
        <v>1</v>
      </c>
      <c r="D5456" s="0" t="n">
        <v>0</v>
      </c>
      <c r="E5456" s="0" t="n">
        <f aca="false">VLOOKUP(B5456,'MSA-Lookup'!$H$2:$I$86,2)</f>
        <v>8780</v>
      </c>
      <c r="F5456" s="0" t="n">
        <f aca="false">IF(C5456&gt;1,IF(C5456&lt;99,VLOOKUP(C5456,'MSA-Lookup'!$H$1:$I$86,2),C5456),C5456)</f>
        <v>1</v>
      </c>
      <c r="G5456" s="0" t="n">
        <f aca="false">VLOOKUP(E5456,'MSA-Lookup'!$AA$1:$AB$25,2)</f>
        <v>8780</v>
      </c>
      <c r="H5456" s="0" t="n">
        <f aca="false">IF(C5456&gt;1,IF(C5456&lt;99,VLOOKUP(F5456,'MSA-Lookup'!$AA$1:$AB$25,2),C5456),C5456)</f>
        <v>1</v>
      </c>
    </row>
    <row r="5457" customFormat="false" ht="12.75" hidden="false" customHeight="false" outlineLevel="0" collapsed="false">
      <c r="A5457" s="0" t="n">
        <f aca="false">B5457*1000+C5457</f>
        <v>75002</v>
      </c>
      <c r="B5457" s="0" t="n">
        <v>75</v>
      </c>
      <c r="C5457" s="0" t="n">
        <v>2</v>
      </c>
      <c r="D5457" s="0" t="n">
        <v>104</v>
      </c>
      <c r="E5457" s="0" t="n">
        <f aca="false">VLOOKUP(B5457,'MSA-Lookup'!$H$2:$I$86,2)</f>
        <v>8780</v>
      </c>
      <c r="F5457" s="0" t="n">
        <f aca="false">IF(C5457&gt;1,IF(C5457&lt;99,VLOOKUP(C5457,'MSA-Lookup'!$H$1:$I$86,2),C5457),C5457)</f>
        <v>9999</v>
      </c>
      <c r="G5457" s="0" t="n">
        <f aca="false">VLOOKUP(E5457,'MSA-Lookup'!$AA$1:$AB$25,2)</f>
        <v>8780</v>
      </c>
      <c r="H5457" s="0" t="n">
        <f aca="false">IF(C5457&gt;1,IF(C5457&lt;99,VLOOKUP(F5457,'MSA-Lookup'!$AA$1:$AB$25,2),C5457),C5457)</f>
        <v>9999</v>
      </c>
    </row>
    <row r="5458" customFormat="false" ht="12.75" hidden="false" customHeight="false" outlineLevel="0" collapsed="false">
      <c r="A5458" s="0" t="n">
        <f aca="false">B5458*1000+C5458</f>
        <v>75003</v>
      </c>
      <c r="B5458" s="0" t="n">
        <v>75</v>
      </c>
      <c r="C5458" s="0" t="n">
        <v>3</v>
      </c>
      <c r="D5458" s="0" t="n">
        <v>0</v>
      </c>
      <c r="E5458" s="0" t="n">
        <f aca="false">VLOOKUP(B5458,'MSA-Lookup'!$H$2:$I$86,2)</f>
        <v>8780</v>
      </c>
      <c r="F5458" s="0" t="n">
        <f aca="false">IF(C5458&gt;1,IF(C5458&lt;99,VLOOKUP(C5458,'MSA-Lookup'!$H$1:$I$86,2),C5458),C5458)</f>
        <v>6690</v>
      </c>
      <c r="G5458" s="0" t="n">
        <f aca="false">VLOOKUP(E5458,'MSA-Lookup'!$AA$1:$AB$25,2)</f>
        <v>8780</v>
      </c>
      <c r="H5458" s="0" t="n">
        <f aca="false">IF(C5458&gt;1,IF(C5458&lt;99,VLOOKUP(F5458,'MSA-Lookup'!$AA$1:$AB$25,2),C5458),C5458)</f>
        <v>6690</v>
      </c>
    </row>
    <row r="5459" customFormat="false" ht="12.75" hidden="false" customHeight="false" outlineLevel="0" collapsed="false">
      <c r="A5459" s="0" t="n">
        <f aca="false">B5459*1000+C5459</f>
        <v>75004</v>
      </c>
      <c r="B5459" s="0" t="n">
        <v>75</v>
      </c>
      <c r="C5459" s="0" t="n">
        <v>4</v>
      </c>
      <c r="D5459" s="0" t="n">
        <v>0</v>
      </c>
      <c r="E5459" s="0" t="n">
        <f aca="false">VLOOKUP(B5459,'MSA-Lookup'!$H$2:$I$86,2)</f>
        <v>8780</v>
      </c>
      <c r="F5459" s="0" t="n">
        <f aca="false">IF(C5459&gt;1,IF(C5459&lt;99,VLOOKUP(C5459,'MSA-Lookup'!$H$1:$I$86,2),C5459),C5459)</f>
        <v>9999</v>
      </c>
      <c r="G5459" s="0" t="n">
        <f aca="false">VLOOKUP(E5459,'MSA-Lookup'!$AA$1:$AB$25,2)</f>
        <v>8780</v>
      </c>
      <c r="H5459" s="0" t="n">
        <f aca="false">IF(C5459&gt;1,IF(C5459&lt;99,VLOOKUP(F5459,'MSA-Lookup'!$AA$1:$AB$25,2),C5459),C5459)</f>
        <v>9999</v>
      </c>
    </row>
    <row r="5460" customFormat="false" ht="12.75" hidden="false" customHeight="false" outlineLevel="0" collapsed="false">
      <c r="A5460" s="0" t="n">
        <f aca="false">B5460*1000+C5460</f>
        <v>75005</v>
      </c>
      <c r="B5460" s="0" t="n">
        <v>75</v>
      </c>
      <c r="C5460" s="0" t="n">
        <v>5</v>
      </c>
      <c r="D5460" s="0" t="n">
        <v>0</v>
      </c>
      <c r="E5460" s="0" t="n">
        <f aca="false">VLOOKUP(B5460,'MSA-Lookup'!$H$2:$I$86,2)</f>
        <v>8780</v>
      </c>
      <c r="F5460" s="0" t="n">
        <f aca="false">IF(C5460&gt;1,IF(C5460&lt;99,VLOOKUP(C5460,'MSA-Lookup'!$H$1:$I$86,2),C5460),C5460)</f>
        <v>9999</v>
      </c>
      <c r="G5460" s="0" t="n">
        <f aca="false">VLOOKUP(E5460,'MSA-Lookup'!$AA$1:$AB$25,2)</f>
        <v>8780</v>
      </c>
      <c r="H5460" s="0" t="n">
        <f aca="false">IF(C5460&gt;1,IF(C5460&lt;99,VLOOKUP(F5460,'MSA-Lookup'!$AA$1:$AB$25,2),C5460),C5460)</f>
        <v>9999</v>
      </c>
    </row>
    <row r="5461" customFormat="false" ht="12.75" hidden="false" customHeight="false" outlineLevel="0" collapsed="false">
      <c r="A5461" s="0" t="n">
        <f aca="false">B5461*1000+C5461</f>
        <v>75006</v>
      </c>
      <c r="B5461" s="0" t="n">
        <v>75</v>
      </c>
      <c r="C5461" s="0" t="n">
        <v>6</v>
      </c>
      <c r="D5461" s="0" t="n">
        <v>0</v>
      </c>
      <c r="E5461" s="0" t="n">
        <f aca="false">VLOOKUP(B5461,'MSA-Lookup'!$H$2:$I$86,2)</f>
        <v>8780</v>
      </c>
      <c r="F5461" s="0" t="n">
        <f aca="false">IF(C5461&gt;1,IF(C5461&lt;99,VLOOKUP(C5461,'MSA-Lookup'!$H$1:$I$86,2),C5461),C5461)</f>
        <v>1620</v>
      </c>
      <c r="G5461" s="0" t="n">
        <f aca="false">VLOOKUP(E5461,'MSA-Lookup'!$AA$1:$AB$25,2)</f>
        <v>8780</v>
      </c>
      <c r="H5461" s="0" t="n">
        <f aca="false">IF(C5461&gt;1,IF(C5461&lt;99,VLOOKUP(F5461,'MSA-Lookup'!$AA$1:$AB$25,2),C5461),C5461)</f>
        <v>1620</v>
      </c>
    </row>
    <row r="5462" customFormat="false" ht="12.75" hidden="false" customHeight="false" outlineLevel="0" collapsed="false">
      <c r="A5462" s="0" t="n">
        <f aca="false">B5462*1000+C5462</f>
        <v>75007</v>
      </c>
      <c r="B5462" s="0" t="n">
        <v>75</v>
      </c>
      <c r="C5462" s="0" t="n">
        <v>7</v>
      </c>
      <c r="D5462" s="0" t="n">
        <v>0</v>
      </c>
      <c r="E5462" s="0" t="n">
        <f aca="false">VLOOKUP(B5462,'MSA-Lookup'!$H$2:$I$86,2)</f>
        <v>8780</v>
      </c>
      <c r="F5462" s="0" t="n">
        <f aca="false">IF(C5462&gt;1,IF(C5462&lt;99,VLOOKUP(C5462,'MSA-Lookup'!$H$1:$I$86,2),C5462),C5462)</f>
        <v>9999</v>
      </c>
      <c r="G5462" s="0" t="n">
        <f aca="false">VLOOKUP(E5462,'MSA-Lookup'!$AA$1:$AB$25,2)</f>
        <v>8780</v>
      </c>
      <c r="H5462" s="0" t="n">
        <f aca="false">IF(C5462&gt;1,IF(C5462&lt;99,VLOOKUP(F5462,'MSA-Lookup'!$AA$1:$AB$25,2),C5462),C5462)</f>
        <v>9999</v>
      </c>
    </row>
    <row r="5463" customFormat="false" ht="12.75" hidden="false" customHeight="false" outlineLevel="0" collapsed="false">
      <c r="A5463" s="0" t="n">
        <f aca="false">B5463*1000+C5463</f>
        <v>75008</v>
      </c>
      <c r="B5463" s="0" t="n">
        <v>75</v>
      </c>
      <c r="C5463" s="0" t="n">
        <v>8</v>
      </c>
      <c r="D5463" s="0" t="n">
        <v>0</v>
      </c>
      <c r="E5463" s="0" t="n">
        <f aca="false">VLOOKUP(B5463,'MSA-Lookup'!$H$2:$I$86,2)</f>
        <v>8780</v>
      </c>
      <c r="F5463" s="0" t="n">
        <f aca="false">IF(C5463&gt;1,IF(C5463&lt;99,VLOOKUP(C5463,'MSA-Lookup'!$H$1:$I$86,2),C5463),C5463)</f>
        <v>9340</v>
      </c>
      <c r="G5463" s="0" t="n">
        <f aca="false">VLOOKUP(E5463,'MSA-Lookup'!$AA$1:$AB$25,2)</f>
        <v>8780</v>
      </c>
      <c r="H5463" s="0" t="n">
        <f aca="false">IF(C5463&gt;1,IF(C5463&lt;99,VLOOKUP(F5463,'MSA-Lookup'!$AA$1:$AB$25,2),C5463),C5463)</f>
        <v>9340</v>
      </c>
    </row>
    <row r="5464" customFormat="false" ht="12.75" hidden="false" customHeight="false" outlineLevel="0" collapsed="false">
      <c r="A5464" s="0" t="n">
        <f aca="false">B5464*1000+C5464</f>
        <v>75009</v>
      </c>
      <c r="B5464" s="0" t="n">
        <v>75</v>
      </c>
      <c r="C5464" s="0" t="n">
        <v>9</v>
      </c>
      <c r="D5464" s="0" t="n">
        <v>0</v>
      </c>
      <c r="E5464" s="0" t="n">
        <f aca="false">VLOOKUP(B5464,'MSA-Lookup'!$H$2:$I$86,2)</f>
        <v>8780</v>
      </c>
      <c r="F5464" s="0" t="n">
        <f aca="false">IF(C5464&gt;1,IF(C5464&lt;99,VLOOKUP(C5464,'MSA-Lookup'!$H$1:$I$86,2),C5464),C5464)</f>
        <v>8720</v>
      </c>
      <c r="G5464" s="0" t="n">
        <f aca="false">VLOOKUP(E5464,'MSA-Lookup'!$AA$1:$AB$25,2)</f>
        <v>8780</v>
      </c>
      <c r="H5464" s="0" t="n">
        <f aca="false">IF(C5464&gt;1,IF(C5464&lt;99,VLOOKUP(F5464,'MSA-Lookup'!$AA$1:$AB$25,2),C5464),C5464)</f>
        <v>7362</v>
      </c>
    </row>
    <row r="5465" customFormat="false" ht="12.75" hidden="false" customHeight="false" outlineLevel="0" collapsed="false">
      <c r="A5465" s="0" t="n">
        <f aca="false">B5465*1000+C5465</f>
        <v>75010</v>
      </c>
      <c r="B5465" s="0" t="n">
        <v>75</v>
      </c>
      <c r="C5465" s="0" t="n">
        <v>10</v>
      </c>
      <c r="D5465" s="0" t="n">
        <v>0</v>
      </c>
      <c r="E5465" s="0" t="n">
        <f aca="false">VLOOKUP(B5465,'MSA-Lookup'!$H$2:$I$86,2)</f>
        <v>8780</v>
      </c>
      <c r="F5465" s="0" t="n">
        <f aca="false">IF(C5465&gt;1,IF(C5465&lt;99,VLOOKUP(C5465,'MSA-Lookup'!$H$1:$I$86,2),C5465),C5465)</f>
        <v>6920</v>
      </c>
      <c r="G5465" s="0" t="n">
        <f aca="false">VLOOKUP(E5465,'MSA-Lookup'!$AA$1:$AB$25,2)</f>
        <v>8780</v>
      </c>
      <c r="H5465" s="0" t="n">
        <f aca="false">IF(C5465&gt;1,IF(C5465&lt;99,VLOOKUP(F5465,'MSA-Lookup'!$AA$1:$AB$25,2),C5465),C5465)</f>
        <v>6920</v>
      </c>
    </row>
    <row r="5466" customFormat="false" ht="12.75" hidden="false" customHeight="false" outlineLevel="0" collapsed="false">
      <c r="A5466" s="0" t="n">
        <f aca="false">B5466*1000+C5466</f>
        <v>75011</v>
      </c>
      <c r="B5466" s="0" t="n">
        <v>75</v>
      </c>
      <c r="C5466" s="0" t="n">
        <v>11</v>
      </c>
      <c r="D5466" s="0" t="n">
        <v>0</v>
      </c>
      <c r="E5466" s="0" t="n">
        <f aca="false">VLOOKUP(B5466,'MSA-Lookup'!$H$2:$I$86,2)</f>
        <v>8780</v>
      </c>
      <c r="F5466" s="0" t="n">
        <f aca="false">IF(C5466&gt;1,IF(C5466&lt;99,VLOOKUP(C5466,'MSA-Lookup'!$H$1:$I$86,2),C5466),C5466)</f>
        <v>6920</v>
      </c>
      <c r="G5466" s="0" t="n">
        <f aca="false">VLOOKUP(E5466,'MSA-Lookup'!$AA$1:$AB$25,2)</f>
        <v>8780</v>
      </c>
      <c r="H5466" s="0" t="n">
        <f aca="false">IF(C5466&gt;1,IF(C5466&lt;99,VLOOKUP(F5466,'MSA-Lookup'!$AA$1:$AB$25,2),C5466),C5466)</f>
        <v>6920</v>
      </c>
    </row>
    <row r="5467" customFormat="false" ht="12.75" hidden="false" customHeight="false" outlineLevel="0" collapsed="false">
      <c r="A5467" s="0" t="n">
        <f aca="false">B5467*1000+C5467</f>
        <v>75012</v>
      </c>
      <c r="B5467" s="0" t="n">
        <v>75</v>
      </c>
      <c r="C5467" s="0" t="n">
        <v>12</v>
      </c>
      <c r="D5467" s="0" t="n">
        <v>0</v>
      </c>
      <c r="E5467" s="0" t="n">
        <f aca="false">VLOOKUP(B5467,'MSA-Lookup'!$H$2:$I$86,2)</f>
        <v>8780</v>
      </c>
      <c r="F5467" s="0" t="n">
        <f aca="false">IF(C5467&gt;1,IF(C5467&lt;99,VLOOKUP(C5467,'MSA-Lookup'!$H$1:$I$86,2),C5467),C5467)</f>
        <v>6920</v>
      </c>
      <c r="G5467" s="0" t="n">
        <f aca="false">VLOOKUP(E5467,'MSA-Lookup'!$AA$1:$AB$25,2)</f>
        <v>8780</v>
      </c>
      <c r="H5467" s="0" t="n">
        <f aca="false">IF(C5467&gt;1,IF(C5467&lt;99,VLOOKUP(F5467,'MSA-Lookup'!$AA$1:$AB$25,2),C5467),C5467)</f>
        <v>6920</v>
      </c>
    </row>
    <row r="5468" customFormat="false" ht="12.75" hidden="false" customHeight="false" outlineLevel="0" collapsed="false">
      <c r="A5468" s="0" t="n">
        <f aca="false">B5468*1000+C5468</f>
        <v>75013</v>
      </c>
      <c r="B5468" s="0" t="n">
        <v>75</v>
      </c>
      <c r="C5468" s="0" t="n">
        <v>13</v>
      </c>
      <c r="D5468" s="0" t="n">
        <v>0</v>
      </c>
      <c r="E5468" s="0" t="n">
        <f aca="false">VLOOKUP(B5468,'MSA-Lookup'!$H$2:$I$86,2)</f>
        <v>8780</v>
      </c>
      <c r="F5468" s="0" t="n">
        <f aca="false">IF(C5468&gt;1,IF(C5468&lt;99,VLOOKUP(C5468,'MSA-Lookup'!$H$1:$I$86,2),C5468),C5468)</f>
        <v>7500</v>
      </c>
      <c r="G5468" s="0" t="n">
        <f aca="false">VLOOKUP(E5468,'MSA-Lookup'!$AA$1:$AB$25,2)</f>
        <v>8780</v>
      </c>
      <c r="H5468" s="0" t="n">
        <f aca="false">IF(C5468&gt;1,IF(C5468&lt;99,VLOOKUP(F5468,'MSA-Lookup'!$AA$1:$AB$25,2),C5468),C5468)</f>
        <v>7362</v>
      </c>
    </row>
    <row r="5469" customFormat="false" ht="12.75" hidden="false" customHeight="false" outlineLevel="0" collapsed="false">
      <c r="A5469" s="0" t="n">
        <f aca="false">B5469*1000+C5469</f>
        <v>75014</v>
      </c>
      <c r="B5469" s="0" t="n">
        <v>75</v>
      </c>
      <c r="C5469" s="0" t="n">
        <v>14</v>
      </c>
      <c r="D5469" s="0" t="n">
        <v>0</v>
      </c>
      <c r="E5469" s="0" t="n">
        <f aca="false">VLOOKUP(B5469,'MSA-Lookup'!$H$2:$I$86,2)</f>
        <v>8780</v>
      </c>
      <c r="F5469" s="0" t="n">
        <f aca="false">IF(C5469&gt;1,IF(C5469&lt;99,VLOOKUP(C5469,'MSA-Lookup'!$H$1:$I$86,2),C5469),C5469)</f>
        <v>7500</v>
      </c>
      <c r="G5469" s="0" t="n">
        <f aca="false">VLOOKUP(E5469,'MSA-Lookup'!$AA$1:$AB$25,2)</f>
        <v>8780</v>
      </c>
      <c r="H5469" s="0" t="n">
        <f aca="false">IF(C5469&gt;1,IF(C5469&lt;99,VLOOKUP(F5469,'MSA-Lookup'!$AA$1:$AB$25,2),C5469),C5469)</f>
        <v>7362</v>
      </c>
    </row>
    <row r="5470" customFormat="false" ht="12.75" hidden="false" customHeight="false" outlineLevel="0" collapsed="false">
      <c r="A5470" s="0" t="n">
        <f aca="false">B5470*1000+C5470</f>
        <v>75015</v>
      </c>
      <c r="B5470" s="0" t="n">
        <v>75</v>
      </c>
      <c r="C5470" s="0" t="n">
        <v>15</v>
      </c>
      <c r="D5470" s="0" t="n">
        <v>0</v>
      </c>
      <c r="E5470" s="0" t="n">
        <f aca="false">VLOOKUP(B5470,'MSA-Lookup'!$H$2:$I$86,2)</f>
        <v>8780</v>
      </c>
      <c r="F5470" s="0" t="n">
        <f aca="false">IF(C5470&gt;1,IF(C5470&lt;99,VLOOKUP(C5470,'MSA-Lookup'!$H$1:$I$86,2),C5470),C5470)</f>
        <v>7360</v>
      </c>
      <c r="G5470" s="0" t="n">
        <f aca="false">VLOOKUP(E5470,'MSA-Lookup'!$AA$1:$AB$25,2)</f>
        <v>8780</v>
      </c>
      <c r="H5470" s="0" t="n">
        <f aca="false">IF(C5470&gt;1,IF(C5470&lt;99,VLOOKUP(F5470,'MSA-Lookup'!$AA$1:$AB$25,2),C5470),C5470)</f>
        <v>7362</v>
      </c>
    </row>
    <row r="5471" customFormat="false" ht="12.75" hidden="false" customHeight="false" outlineLevel="0" collapsed="false">
      <c r="A5471" s="0" t="n">
        <f aca="false">B5471*1000+C5471</f>
        <v>75016</v>
      </c>
      <c r="B5471" s="0" t="n">
        <v>75</v>
      </c>
      <c r="C5471" s="0" t="n">
        <v>16</v>
      </c>
      <c r="D5471" s="0" t="n">
        <v>0</v>
      </c>
      <c r="E5471" s="0" t="n">
        <f aca="false">VLOOKUP(B5471,'MSA-Lookup'!$H$2:$I$86,2)</f>
        <v>8780</v>
      </c>
      <c r="F5471" s="0" t="n">
        <f aca="false">IF(C5471&gt;1,IF(C5471&lt;99,VLOOKUP(C5471,'MSA-Lookup'!$H$1:$I$86,2),C5471),C5471)</f>
        <v>8720</v>
      </c>
      <c r="G5471" s="0" t="n">
        <f aca="false">VLOOKUP(E5471,'MSA-Lookup'!$AA$1:$AB$25,2)</f>
        <v>8780</v>
      </c>
      <c r="H5471" s="0" t="n">
        <f aca="false">IF(C5471&gt;1,IF(C5471&lt;99,VLOOKUP(F5471,'MSA-Lookup'!$AA$1:$AB$25,2),C5471),C5471)</f>
        <v>7362</v>
      </c>
    </row>
    <row r="5472" customFormat="false" ht="12.75" hidden="false" customHeight="false" outlineLevel="0" collapsed="false">
      <c r="A5472" s="0" t="n">
        <f aca="false">B5472*1000+C5472</f>
        <v>75017</v>
      </c>
      <c r="B5472" s="0" t="n">
        <v>75</v>
      </c>
      <c r="C5472" s="0" t="n">
        <v>17</v>
      </c>
      <c r="D5472" s="0" t="n">
        <v>0</v>
      </c>
      <c r="E5472" s="0" t="n">
        <f aca="false">VLOOKUP(B5472,'MSA-Lookup'!$H$2:$I$86,2)</f>
        <v>8780</v>
      </c>
      <c r="F5472" s="0" t="n">
        <f aca="false">IF(C5472&gt;1,IF(C5472&lt;99,VLOOKUP(C5472,'MSA-Lookup'!$H$1:$I$86,2),C5472),C5472)</f>
        <v>5775</v>
      </c>
      <c r="G5472" s="0" t="n">
        <f aca="false">VLOOKUP(E5472,'MSA-Lookup'!$AA$1:$AB$25,2)</f>
        <v>8780</v>
      </c>
      <c r="H5472" s="0" t="n">
        <f aca="false">IF(C5472&gt;1,IF(C5472&lt;99,VLOOKUP(F5472,'MSA-Lookup'!$AA$1:$AB$25,2),C5472),C5472)</f>
        <v>7362</v>
      </c>
    </row>
    <row r="5473" customFormat="false" ht="12.75" hidden="false" customHeight="false" outlineLevel="0" collapsed="false">
      <c r="A5473" s="0" t="n">
        <f aca="false">B5473*1000+C5473</f>
        <v>75018</v>
      </c>
      <c r="B5473" s="0" t="n">
        <v>75</v>
      </c>
      <c r="C5473" s="0" t="n">
        <v>18</v>
      </c>
      <c r="D5473" s="0" t="n">
        <v>91</v>
      </c>
      <c r="E5473" s="0" t="n">
        <f aca="false">VLOOKUP(B5473,'MSA-Lookup'!$H$2:$I$86,2)</f>
        <v>8780</v>
      </c>
      <c r="F5473" s="0" t="n">
        <f aca="false">IF(C5473&gt;1,IF(C5473&lt;99,VLOOKUP(C5473,'MSA-Lookup'!$H$1:$I$86,2),C5473),C5473)</f>
        <v>5775</v>
      </c>
      <c r="G5473" s="0" t="n">
        <f aca="false">VLOOKUP(E5473,'MSA-Lookup'!$AA$1:$AB$25,2)</f>
        <v>8780</v>
      </c>
      <c r="H5473" s="0" t="n">
        <f aca="false">IF(C5473&gt;1,IF(C5473&lt;99,VLOOKUP(F5473,'MSA-Lookup'!$AA$1:$AB$25,2),C5473),C5473)</f>
        <v>7362</v>
      </c>
    </row>
    <row r="5474" customFormat="false" ht="12.75" hidden="false" customHeight="false" outlineLevel="0" collapsed="false">
      <c r="A5474" s="0" t="n">
        <f aca="false">B5474*1000+C5474</f>
        <v>75019</v>
      </c>
      <c r="B5474" s="0" t="n">
        <v>75</v>
      </c>
      <c r="C5474" s="0" t="n">
        <v>19</v>
      </c>
      <c r="D5474" s="0" t="n">
        <v>91</v>
      </c>
      <c r="E5474" s="0" t="n">
        <f aca="false">VLOOKUP(B5474,'MSA-Lookup'!$H$2:$I$86,2)</f>
        <v>8780</v>
      </c>
      <c r="F5474" s="0" t="n">
        <f aca="false">IF(C5474&gt;1,IF(C5474&lt;99,VLOOKUP(C5474,'MSA-Lookup'!$H$1:$I$86,2),C5474),C5474)</f>
        <v>7360</v>
      </c>
      <c r="G5474" s="0" t="n">
        <f aca="false">VLOOKUP(E5474,'MSA-Lookup'!$AA$1:$AB$25,2)</f>
        <v>8780</v>
      </c>
      <c r="H5474" s="0" t="n">
        <f aca="false">IF(C5474&gt;1,IF(C5474&lt;99,VLOOKUP(F5474,'MSA-Lookup'!$AA$1:$AB$25,2),C5474),C5474)</f>
        <v>7362</v>
      </c>
    </row>
    <row r="5475" customFormat="false" ht="12.75" hidden="false" customHeight="false" outlineLevel="0" collapsed="false">
      <c r="A5475" s="0" t="n">
        <f aca="false">B5475*1000+C5475</f>
        <v>75020</v>
      </c>
      <c r="B5475" s="0" t="n">
        <v>75</v>
      </c>
      <c r="C5475" s="0" t="n">
        <v>20</v>
      </c>
      <c r="D5475" s="0" t="n">
        <v>0</v>
      </c>
      <c r="E5475" s="0" t="n">
        <f aca="false">VLOOKUP(B5475,'MSA-Lookup'!$H$2:$I$86,2)</f>
        <v>8780</v>
      </c>
      <c r="F5475" s="0" t="n">
        <f aca="false">IF(C5475&gt;1,IF(C5475&lt;99,VLOOKUP(C5475,'MSA-Lookup'!$H$1:$I$86,2),C5475),C5475)</f>
        <v>5775</v>
      </c>
      <c r="G5475" s="0" t="n">
        <f aca="false">VLOOKUP(E5475,'MSA-Lookup'!$AA$1:$AB$25,2)</f>
        <v>8780</v>
      </c>
      <c r="H5475" s="0" t="n">
        <f aca="false">IF(C5475&gt;1,IF(C5475&lt;99,VLOOKUP(F5475,'MSA-Lookup'!$AA$1:$AB$25,2),C5475),C5475)</f>
        <v>7362</v>
      </c>
    </row>
    <row r="5476" customFormat="false" ht="12.75" hidden="false" customHeight="false" outlineLevel="0" collapsed="false">
      <c r="A5476" s="0" t="n">
        <f aca="false">B5476*1000+C5476</f>
        <v>75021</v>
      </c>
      <c r="B5476" s="0" t="n">
        <v>75</v>
      </c>
      <c r="C5476" s="0" t="n">
        <v>21</v>
      </c>
      <c r="D5476" s="0" t="n">
        <v>0</v>
      </c>
      <c r="E5476" s="0" t="n">
        <f aca="false">VLOOKUP(B5476,'MSA-Lookup'!$H$2:$I$86,2)</f>
        <v>8780</v>
      </c>
      <c r="F5476" s="0" t="n">
        <f aca="false">IF(C5476&gt;1,IF(C5476&lt;99,VLOOKUP(C5476,'MSA-Lookup'!$H$1:$I$86,2),C5476),C5476)</f>
        <v>5775</v>
      </c>
      <c r="G5476" s="0" t="n">
        <f aca="false">VLOOKUP(E5476,'MSA-Lookup'!$AA$1:$AB$25,2)</f>
        <v>8780</v>
      </c>
      <c r="H5476" s="0" t="n">
        <f aca="false">IF(C5476&gt;1,IF(C5476&lt;99,VLOOKUP(F5476,'MSA-Lookup'!$AA$1:$AB$25,2),C5476),C5476)</f>
        <v>7362</v>
      </c>
    </row>
    <row r="5477" customFormat="false" ht="12.75" hidden="false" customHeight="false" outlineLevel="0" collapsed="false">
      <c r="A5477" s="0" t="n">
        <f aca="false">B5477*1000+C5477</f>
        <v>75022</v>
      </c>
      <c r="B5477" s="0" t="n">
        <v>75</v>
      </c>
      <c r="C5477" s="0" t="n">
        <v>22</v>
      </c>
      <c r="D5477" s="0" t="n">
        <v>0</v>
      </c>
      <c r="E5477" s="0" t="n">
        <f aca="false">VLOOKUP(B5477,'MSA-Lookup'!$H$2:$I$86,2)</f>
        <v>8780</v>
      </c>
      <c r="F5477" s="0" t="n">
        <f aca="false">IF(C5477&gt;1,IF(C5477&lt;99,VLOOKUP(C5477,'MSA-Lookup'!$H$1:$I$86,2),C5477),C5477)</f>
        <v>7360</v>
      </c>
      <c r="G5477" s="0" t="n">
        <f aca="false">VLOOKUP(E5477,'MSA-Lookup'!$AA$1:$AB$25,2)</f>
        <v>8780</v>
      </c>
      <c r="H5477" s="0" t="n">
        <f aca="false">IF(C5477&gt;1,IF(C5477&lt;99,VLOOKUP(F5477,'MSA-Lookup'!$AA$1:$AB$25,2),C5477),C5477)</f>
        <v>7362</v>
      </c>
    </row>
    <row r="5478" customFormat="false" ht="12.75" hidden="false" customHeight="false" outlineLevel="0" collapsed="false">
      <c r="A5478" s="0" t="n">
        <f aca="false">B5478*1000+C5478</f>
        <v>75023</v>
      </c>
      <c r="B5478" s="0" t="n">
        <v>75</v>
      </c>
      <c r="C5478" s="0" t="n">
        <v>23</v>
      </c>
      <c r="D5478" s="0" t="n">
        <v>117</v>
      </c>
      <c r="E5478" s="0" t="n">
        <f aca="false">VLOOKUP(B5478,'MSA-Lookup'!$H$2:$I$86,2)</f>
        <v>8780</v>
      </c>
      <c r="F5478" s="0" t="n">
        <f aca="false">IF(C5478&gt;1,IF(C5478&lt;99,VLOOKUP(C5478,'MSA-Lookup'!$H$1:$I$86,2),C5478),C5478)</f>
        <v>8120</v>
      </c>
      <c r="G5478" s="0" t="n">
        <f aca="false">VLOOKUP(E5478,'MSA-Lookup'!$AA$1:$AB$25,2)</f>
        <v>8780</v>
      </c>
      <c r="H5478" s="0" t="n">
        <f aca="false">IF(C5478&gt;1,IF(C5478&lt;99,VLOOKUP(F5478,'MSA-Lookup'!$AA$1:$AB$25,2),C5478),C5478)</f>
        <v>8120</v>
      </c>
    </row>
    <row r="5479" customFormat="false" ht="12.75" hidden="false" customHeight="false" outlineLevel="0" collapsed="false">
      <c r="A5479" s="0" t="n">
        <f aca="false">B5479*1000+C5479</f>
        <v>75024</v>
      </c>
      <c r="B5479" s="0" t="n">
        <v>75</v>
      </c>
      <c r="C5479" s="0" t="n">
        <v>24</v>
      </c>
      <c r="D5479" s="0" t="n">
        <v>0</v>
      </c>
      <c r="E5479" s="0" t="n">
        <f aca="false">VLOOKUP(B5479,'MSA-Lookup'!$H$2:$I$86,2)</f>
        <v>8780</v>
      </c>
      <c r="F5479" s="0" t="n">
        <f aca="false">IF(C5479&gt;1,IF(C5479&lt;99,VLOOKUP(C5479,'MSA-Lookup'!$H$1:$I$86,2),C5479),C5479)</f>
        <v>5170</v>
      </c>
      <c r="G5479" s="0" t="n">
        <f aca="false">VLOOKUP(E5479,'MSA-Lookup'!$AA$1:$AB$25,2)</f>
        <v>8780</v>
      </c>
      <c r="H5479" s="0" t="n">
        <f aca="false">IF(C5479&gt;1,IF(C5479&lt;99,VLOOKUP(F5479,'MSA-Lookup'!$AA$1:$AB$25,2),C5479),C5479)</f>
        <v>5170</v>
      </c>
    </row>
    <row r="5480" customFormat="false" ht="12.75" hidden="false" customHeight="false" outlineLevel="0" collapsed="false">
      <c r="A5480" s="0" t="n">
        <f aca="false">B5480*1000+C5480</f>
        <v>75025</v>
      </c>
      <c r="B5480" s="0" t="n">
        <v>75</v>
      </c>
      <c r="C5480" s="0" t="n">
        <v>25</v>
      </c>
      <c r="D5480" s="0" t="n">
        <v>0</v>
      </c>
      <c r="E5480" s="0" t="n">
        <f aca="false">VLOOKUP(B5480,'MSA-Lookup'!$H$2:$I$86,2)</f>
        <v>8780</v>
      </c>
      <c r="F5480" s="0" t="n">
        <f aca="false">IF(C5480&gt;1,IF(C5480&lt;99,VLOOKUP(C5480,'MSA-Lookup'!$H$1:$I$86,2),C5480),C5480)</f>
        <v>5170</v>
      </c>
      <c r="G5480" s="0" t="n">
        <f aca="false">VLOOKUP(E5480,'MSA-Lookup'!$AA$1:$AB$25,2)</f>
        <v>8780</v>
      </c>
      <c r="H5480" s="0" t="n">
        <f aca="false">IF(C5480&gt;1,IF(C5480&lt;99,VLOOKUP(F5480,'MSA-Lookup'!$AA$1:$AB$25,2),C5480),C5480)</f>
        <v>5170</v>
      </c>
    </row>
    <row r="5481" customFormat="false" ht="12.75" hidden="false" customHeight="false" outlineLevel="0" collapsed="false">
      <c r="A5481" s="0" t="n">
        <f aca="false">B5481*1000+C5481</f>
        <v>75026</v>
      </c>
      <c r="B5481" s="0" t="n">
        <v>75</v>
      </c>
      <c r="C5481" s="0" t="n">
        <v>26</v>
      </c>
      <c r="D5481" s="0" t="n">
        <v>0</v>
      </c>
      <c r="E5481" s="0" t="n">
        <f aca="false">VLOOKUP(B5481,'MSA-Lookup'!$H$2:$I$86,2)</f>
        <v>8780</v>
      </c>
      <c r="F5481" s="0" t="n">
        <f aca="false">IF(C5481&gt;1,IF(C5481&lt;99,VLOOKUP(C5481,'MSA-Lookup'!$H$1:$I$86,2),C5481),C5481)</f>
        <v>9999</v>
      </c>
      <c r="G5481" s="0" t="n">
        <f aca="false">VLOOKUP(E5481,'MSA-Lookup'!$AA$1:$AB$25,2)</f>
        <v>8780</v>
      </c>
      <c r="H5481" s="0" t="n">
        <f aca="false">IF(C5481&gt;1,IF(C5481&lt;99,VLOOKUP(F5481,'MSA-Lookup'!$AA$1:$AB$25,2),C5481),C5481)</f>
        <v>9999</v>
      </c>
    </row>
    <row r="5482" customFormat="false" ht="12.75" hidden="false" customHeight="false" outlineLevel="0" collapsed="false">
      <c r="A5482" s="0" t="n">
        <f aca="false">B5482*1000+C5482</f>
        <v>75027</v>
      </c>
      <c r="B5482" s="0" t="n">
        <v>75</v>
      </c>
      <c r="C5482" s="0" t="n">
        <v>27</v>
      </c>
      <c r="D5482" s="0" t="n">
        <v>0</v>
      </c>
      <c r="E5482" s="0" t="n">
        <f aca="false">VLOOKUP(B5482,'MSA-Lookup'!$H$2:$I$86,2)</f>
        <v>8780</v>
      </c>
      <c r="F5482" s="0" t="n">
        <f aca="false">IF(C5482&gt;1,IF(C5482&lt;99,VLOOKUP(C5482,'MSA-Lookup'!$H$1:$I$86,2),C5482),C5482)</f>
        <v>9999</v>
      </c>
      <c r="G5482" s="0" t="n">
        <f aca="false">VLOOKUP(E5482,'MSA-Lookup'!$AA$1:$AB$25,2)</f>
        <v>8780</v>
      </c>
      <c r="H5482" s="0" t="n">
        <f aca="false">IF(C5482&gt;1,IF(C5482&lt;99,VLOOKUP(F5482,'MSA-Lookup'!$AA$1:$AB$25,2),C5482),C5482)</f>
        <v>9999</v>
      </c>
    </row>
    <row r="5483" customFormat="false" ht="12.75" hidden="false" customHeight="false" outlineLevel="0" collapsed="false">
      <c r="A5483" s="0" t="n">
        <f aca="false">B5483*1000+C5483</f>
        <v>75028</v>
      </c>
      <c r="B5483" s="0" t="n">
        <v>75</v>
      </c>
      <c r="C5483" s="0" t="n">
        <v>28</v>
      </c>
      <c r="D5483" s="0" t="n">
        <v>0</v>
      </c>
      <c r="E5483" s="0" t="n">
        <f aca="false">VLOOKUP(B5483,'MSA-Lookup'!$H$2:$I$86,2)</f>
        <v>8780</v>
      </c>
      <c r="F5483" s="0" t="n">
        <f aca="false">IF(C5483&gt;1,IF(C5483&lt;99,VLOOKUP(C5483,'MSA-Lookup'!$H$1:$I$86,2),C5483),C5483)</f>
        <v>6920</v>
      </c>
      <c r="G5483" s="0" t="n">
        <f aca="false">VLOOKUP(E5483,'MSA-Lookup'!$AA$1:$AB$25,2)</f>
        <v>8780</v>
      </c>
      <c r="H5483" s="0" t="n">
        <f aca="false">IF(C5483&gt;1,IF(C5483&lt;99,VLOOKUP(F5483,'MSA-Lookup'!$AA$1:$AB$25,2),C5483),C5483)</f>
        <v>6920</v>
      </c>
    </row>
    <row r="5484" customFormat="false" ht="12.75" hidden="false" customHeight="false" outlineLevel="0" collapsed="false">
      <c r="A5484" s="0" t="n">
        <f aca="false">B5484*1000+C5484</f>
        <v>75029</v>
      </c>
      <c r="B5484" s="0" t="n">
        <v>75</v>
      </c>
      <c r="C5484" s="0" t="n">
        <v>29</v>
      </c>
      <c r="D5484" s="0" t="n">
        <v>0</v>
      </c>
      <c r="E5484" s="0" t="n">
        <f aca="false">VLOOKUP(B5484,'MSA-Lookup'!$H$2:$I$86,2)</f>
        <v>8780</v>
      </c>
      <c r="F5484" s="0" t="n">
        <f aca="false">IF(C5484&gt;1,IF(C5484&lt;99,VLOOKUP(C5484,'MSA-Lookup'!$H$1:$I$86,2),C5484),C5484)</f>
        <v>6920</v>
      </c>
      <c r="G5484" s="0" t="n">
        <f aca="false">VLOOKUP(E5484,'MSA-Lookup'!$AA$1:$AB$25,2)</f>
        <v>8780</v>
      </c>
      <c r="H5484" s="0" t="n">
        <f aca="false">IF(C5484&gt;1,IF(C5484&lt;99,VLOOKUP(F5484,'MSA-Lookup'!$AA$1:$AB$25,2),C5484),C5484)</f>
        <v>6920</v>
      </c>
    </row>
    <row r="5485" customFormat="false" ht="12.75" hidden="false" customHeight="false" outlineLevel="0" collapsed="false">
      <c r="A5485" s="0" t="n">
        <f aca="false">B5485*1000+C5485</f>
        <v>75030</v>
      </c>
      <c r="B5485" s="0" t="n">
        <v>75</v>
      </c>
      <c r="C5485" s="0" t="n">
        <v>30</v>
      </c>
      <c r="D5485" s="0" t="n">
        <v>0</v>
      </c>
      <c r="E5485" s="0" t="n">
        <f aca="false">VLOOKUP(B5485,'MSA-Lookup'!$H$2:$I$86,2)</f>
        <v>8780</v>
      </c>
      <c r="F5485" s="0" t="n">
        <f aca="false">IF(C5485&gt;1,IF(C5485&lt;99,VLOOKUP(C5485,'MSA-Lookup'!$H$1:$I$86,2),C5485),C5485)</f>
        <v>4940</v>
      </c>
      <c r="G5485" s="0" t="n">
        <f aca="false">VLOOKUP(E5485,'MSA-Lookup'!$AA$1:$AB$25,2)</f>
        <v>8780</v>
      </c>
      <c r="H5485" s="0" t="n">
        <f aca="false">IF(C5485&gt;1,IF(C5485&lt;99,VLOOKUP(F5485,'MSA-Lookup'!$AA$1:$AB$25,2),C5485),C5485)</f>
        <v>4940</v>
      </c>
    </row>
    <row r="5486" customFormat="false" ht="12.75" hidden="false" customHeight="false" outlineLevel="0" collapsed="false">
      <c r="A5486" s="0" t="n">
        <f aca="false">B5486*1000+C5486</f>
        <v>75031</v>
      </c>
      <c r="B5486" s="0" t="n">
        <v>75</v>
      </c>
      <c r="C5486" s="0" t="n">
        <v>31</v>
      </c>
      <c r="D5486" s="0" t="n">
        <v>2210</v>
      </c>
      <c r="E5486" s="0" t="n">
        <f aca="false">VLOOKUP(B5486,'MSA-Lookup'!$H$2:$I$86,2)</f>
        <v>8780</v>
      </c>
      <c r="F5486" s="0" t="n">
        <f aca="false">IF(C5486&gt;1,IF(C5486&lt;99,VLOOKUP(C5486,'MSA-Lookup'!$H$1:$I$86,2),C5486),C5486)</f>
        <v>9999</v>
      </c>
      <c r="G5486" s="0" t="n">
        <f aca="false">VLOOKUP(E5486,'MSA-Lookup'!$AA$1:$AB$25,2)</f>
        <v>8780</v>
      </c>
      <c r="H5486" s="0" t="n">
        <f aca="false">IF(C5486&gt;1,IF(C5486&lt;99,VLOOKUP(F5486,'MSA-Lookup'!$AA$1:$AB$25,2),C5486),C5486)</f>
        <v>9999</v>
      </c>
    </row>
    <row r="5487" customFormat="false" ht="12.75" hidden="false" customHeight="false" outlineLevel="0" collapsed="false">
      <c r="A5487" s="0" t="n">
        <f aca="false">B5487*1000+C5487</f>
        <v>75032</v>
      </c>
      <c r="B5487" s="0" t="n">
        <v>75</v>
      </c>
      <c r="C5487" s="0" t="n">
        <v>32</v>
      </c>
      <c r="D5487" s="0" t="n">
        <v>0</v>
      </c>
      <c r="E5487" s="0" t="n">
        <f aca="false">VLOOKUP(B5487,'MSA-Lookup'!$H$2:$I$86,2)</f>
        <v>8780</v>
      </c>
      <c r="F5487" s="0" t="n">
        <f aca="false">IF(C5487&gt;1,IF(C5487&lt;99,VLOOKUP(C5487,'MSA-Lookup'!$H$1:$I$86,2),C5487),C5487)</f>
        <v>7480</v>
      </c>
      <c r="G5487" s="0" t="n">
        <f aca="false">VLOOKUP(E5487,'MSA-Lookup'!$AA$1:$AB$25,2)</f>
        <v>8780</v>
      </c>
      <c r="H5487" s="0" t="n">
        <f aca="false">IF(C5487&gt;1,IF(C5487&lt;99,VLOOKUP(F5487,'MSA-Lookup'!$AA$1:$AB$25,2),C5487),C5487)</f>
        <v>7480</v>
      </c>
    </row>
    <row r="5488" customFormat="false" ht="12.75" hidden="false" customHeight="false" outlineLevel="0" collapsed="false">
      <c r="A5488" s="0" t="n">
        <f aca="false">B5488*1000+C5488</f>
        <v>75033</v>
      </c>
      <c r="B5488" s="0" t="n">
        <v>75</v>
      </c>
      <c r="C5488" s="0" t="n">
        <v>33</v>
      </c>
      <c r="D5488" s="0" t="n">
        <v>0</v>
      </c>
      <c r="E5488" s="0" t="n">
        <f aca="false">VLOOKUP(B5488,'MSA-Lookup'!$H$2:$I$86,2)</f>
        <v>8780</v>
      </c>
      <c r="F5488" s="0" t="n">
        <f aca="false">IF(C5488&gt;1,IF(C5488&lt;99,VLOOKUP(C5488,'MSA-Lookup'!$H$1:$I$86,2),C5488),C5488)</f>
        <v>7320</v>
      </c>
      <c r="G5488" s="0" t="n">
        <f aca="false">VLOOKUP(E5488,'MSA-Lookup'!$AA$1:$AB$25,2)</f>
        <v>8780</v>
      </c>
      <c r="H5488" s="0" t="n">
        <f aca="false">IF(C5488&gt;1,IF(C5488&lt;99,VLOOKUP(F5488,'MSA-Lookup'!$AA$1:$AB$25,2),C5488),C5488)</f>
        <v>7320</v>
      </c>
    </row>
    <row r="5489" customFormat="false" ht="12.75" hidden="false" customHeight="false" outlineLevel="0" collapsed="false">
      <c r="A5489" s="0" t="n">
        <f aca="false">B5489*1000+C5489</f>
        <v>75034</v>
      </c>
      <c r="B5489" s="0" t="n">
        <v>75</v>
      </c>
      <c r="C5489" s="0" t="n">
        <v>34</v>
      </c>
      <c r="D5489" s="0" t="n">
        <v>0</v>
      </c>
      <c r="E5489" s="0" t="n">
        <f aca="false">VLOOKUP(B5489,'MSA-Lookup'!$H$2:$I$86,2)</f>
        <v>8780</v>
      </c>
      <c r="F5489" s="0" t="n">
        <f aca="false">IF(C5489&gt;1,IF(C5489&lt;99,VLOOKUP(C5489,'MSA-Lookup'!$H$1:$I$86,2),C5489),C5489)</f>
        <v>7320</v>
      </c>
      <c r="G5489" s="0" t="n">
        <f aca="false">VLOOKUP(E5489,'MSA-Lookup'!$AA$1:$AB$25,2)</f>
        <v>8780</v>
      </c>
      <c r="H5489" s="0" t="n">
        <f aca="false">IF(C5489&gt;1,IF(C5489&lt;99,VLOOKUP(F5489,'MSA-Lookup'!$AA$1:$AB$25,2),C5489),C5489)</f>
        <v>7320</v>
      </c>
    </row>
    <row r="5490" customFormat="false" ht="12.75" hidden="false" customHeight="false" outlineLevel="0" collapsed="false">
      <c r="A5490" s="0" t="n">
        <f aca="false">B5490*1000+C5490</f>
        <v>75035</v>
      </c>
      <c r="B5490" s="0" t="n">
        <v>75</v>
      </c>
      <c r="C5490" s="0" t="n">
        <v>35</v>
      </c>
      <c r="D5490" s="0" t="n">
        <v>0</v>
      </c>
      <c r="E5490" s="0" t="n">
        <f aca="false">VLOOKUP(B5490,'MSA-Lookup'!$H$2:$I$86,2)</f>
        <v>8780</v>
      </c>
      <c r="F5490" s="0" t="n">
        <f aca="false">IF(C5490&gt;1,IF(C5490&lt;99,VLOOKUP(C5490,'MSA-Lookup'!$H$1:$I$86,2),C5490),C5490)</f>
        <v>7320</v>
      </c>
      <c r="G5490" s="0" t="n">
        <f aca="false">VLOOKUP(E5490,'MSA-Lookup'!$AA$1:$AB$25,2)</f>
        <v>8780</v>
      </c>
      <c r="H5490" s="0" t="n">
        <f aca="false">IF(C5490&gt;1,IF(C5490&lt;99,VLOOKUP(F5490,'MSA-Lookup'!$AA$1:$AB$25,2),C5490),C5490)</f>
        <v>7320</v>
      </c>
    </row>
    <row r="5491" customFormat="false" ht="12.75" hidden="false" customHeight="false" outlineLevel="0" collapsed="false">
      <c r="A5491" s="0" t="n">
        <f aca="false">B5491*1000+C5491</f>
        <v>75036</v>
      </c>
      <c r="B5491" s="0" t="n">
        <v>75</v>
      </c>
      <c r="C5491" s="0" t="n">
        <v>36</v>
      </c>
      <c r="D5491" s="0" t="n">
        <v>0</v>
      </c>
      <c r="E5491" s="0" t="n">
        <f aca="false">VLOOKUP(B5491,'MSA-Lookup'!$H$2:$I$86,2)</f>
        <v>8780</v>
      </c>
      <c r="F5491" s="0" t="n">
        <f aca="false">IF(C5491&gt;1,IF(C5491&lt;99,VLOOKUP(C5491,'MSA-Lookup'!$H$1:$I$86,2),C5491),C5491)</f>
        <v>7320</v>
      </c>
      <c r="G5491" s="0" t="n">
        <f aca="false">VLOOKUP(E5491,'MSA-Lookup'!$AA$1:$AB$25,2)</f>
        <v>8780</v>
      </c>
      <c r="H5491" s="0" t="n">
        <f aca="false">IF(C5491&gt;1,IF(C5491&lt;99,VLOOKUP(F5491,'MSA-Lookup'!$AA$1:$AB$25,2),C5491),C5491)</f>
        <v>7320</v>
      </c>
    </row>
    <row r="5492" customFormat="false" ht="12.75" hidden="false" customHeight="false" outlineLevel="0" collapsed="false">
      <c r="A5492" s="0" t="n">
        <f aca="false">B5492*1000+C5492</f>
        <v>75037</v>
      </c>
      <c r="B5492" s="0" t="n">
        <v>75</v>
      </c>
      <c r="C5492" s="0" t="n">
        <v>37</v>
      </c>
      <c r="D5492" s="0" t="n">
        <v>0</v>
      </c>
      <c r="E5492" s="0" t="n">
        <f aca="false">VLOOKUP(B5492,'MSA-Lookup'!$H$2:$I$86,2)</f>
        <v>8780</v>
      </c>
      <c r="F5492" s="0" t="n">
        <f aca="false">IF(C5492&gt;1,IF(C5492&lt;99,VLOOKUP(C5492,'MSA-Lookup'!$H$1:$I$86,2),C5492),C5492)</f>
        <v>7320</v>
      </c>
      <c r="G5492" s="0" t="n">
        <f aca="false">VLOOKUP(E5492,'MSA-Lookup'!$AA$1:$AB$25,2)</f>
        <v>8780</v>
      </c>
      <c r="H5492" s="0" t="n">
        <f aca="false">IF(C5492&gt;1,IF(C5492&lt;99,VLOOKUP(F5492,'MSA-Lookup'!$AA$1:$AB$25,2),C5492),C5492)</f>
        <v>7320</v>
      </c>
    </row>
    <row r="5493" customFormat="false" ht="12.75" hidden="false" customHeight="false" outlineLevel="0" collapsed="false">
      <c r="A5493" s="0" t="n">
        <f aca="false">B5493*1000+C5493</f>
        <v>75038</v>
      </c>
      <c r="B5493" s="0" t="n">
        <v>75</v>
      </c>
      <c r="C5493" s="0" t="n">
        <v>38</v>
      </c>
      <c r="D5493" s="0" t="n">
        <v>65</v>
      </c>
      <c r="E5493" s="0" t="n">
        <f aca="false">VLOOKUP(B5493,'MSA-Lookup'!$H$2:$I$86,2)</f>
        <v>8780</v>
      </c>
      <c r="F5493" s="0" t="n">
        <f aca="false">IF(C5493&gt;1,IF(C5493&lt;99,VLOOKUP(C5493,'MSA-Lookup'!$H$1:$I$86,2),C5493),C5493)</f>
        <v>7120</v>
      </c>
      <c r="G5493" s="0" t="n">
        <f aca="false">VLOOKUP(E5493,'MSA-Lookup'!$AA$1:$AB$25,2)</f>
        <v>8780</v>
      </c>
      <c r="H5493" s="0" t="n">
        <f aca="false">IF(C5493&gt;1,IF(C5493&lt;99,VLOOKUP(F5493,'MSA-Lookup'!$AA$1:$AB$25,2),C5493),C5493)</f>
        <v>7120</v>
      </c>
    </row>
    <row r="5494" customFormat="false" ht="12.75" hidden="false" customHeight="false" outlineLevel="0" collapsed="false">
      <c r="A5494" s="0" t="n">
        <f aca="false">B5494*1000+C5494</f>
        <v>75039</v>
      </c>
      <c r="B5494" s="0" t="n">
        <v>75</v>
      </c>
      <c r="C5494" s="0" t="n">
        <v>39</v>
      </c>
      <c r="D5494" s="0" t="n">
        <v>0</v>
      </c>
      <c r="E5494" s="0" t="n">
        <f aca="false">VLOOKUP(B5494,'MSA-Lookup'!$H$2:$I$86,2)</f>
        <v>8780</v>
      </c>
      <c r="F5494" s="0" t="n">
        <f aca="false">IF(C5494&gt;1,IF(C5494&lt;99,VLOOKUP(C5494,'MSA-Lookup'!$H$1:$I$86,2),C5494),C5494)</f>
        <v>7120</v>
      </c>
      <c r="G5494" s="0" t="n">
        <f aca="false">VLOOKUP(E5494,'MSA-Lookup'!$AA$1:$AB$25,2)</f>
        <v>8780</v>
      </c>
      <c r="H5494" s="0" t="n">
        <f aca="false">IF(C5494&gt;1,IF(C5494&lt;99,VLOOKUP(F5494,'MSA-Lookup'!$AA$1:$AB$25,2),C5494),C5494)</f>
        <v>7120</v>
      </c>
    </row>
    <row r="5495" customFormat="false" ht="12.75" hidden="false" customHeight="false" outlineLevel="0" collapsed="false">
      <c r="A5495" s="0" t="n">
        <f aca="false">B5495*1000+C5495</f>
        <v>75040</v>
      </c>
      <c r="B5495" s="0" t="n">
        <v>75</v>
      </c>
      <c r="C5495" s="0" t="n">
        <v>40</v>
      </c>
      <c r="D5495" s="0" t="n">
        <v>1300</v>
      </c>
      <c r="E5495" s="0" t="n">
        <f aca="false">VLOOKUP(B5495,'MSA-Lookup'!$H$2:$I$86,2)</f>
        <v>8780</v>
      </c>
      <c r="F5495" s="0" t="n">
        <f aca="false">IF(C5495&gt;1,IF(C5495&lt;99,VLOOKUP(C5495,'MSA-Lookup'!$H$1:$I$86,2),C5495),C5495)</f>
        <v>2840</v>
      </c>
      <c r="G5495" s="0" t="n">
        <f aca="false">VLOOKUP(E5495,'MSA-Lookup'!$AA$1:$AB$25,2)</f>
        <v>8780</v>
      </c>
      <c r="H5495" s="0" t="n">
        <f aca="false">IF(C5495&gt;1,IF(C5495&lt;99,VLOOKUP(F5495,'MSA-Lookup'!$AA$1:$AB$25,2),C5495),C5495)</f>
        <v>2840</v>
      </c>
    </row>
    <row r="5496" customFormat="false" ht="12.75" hidden="false" customHeight="false" outlineLevel="0" collapsed="false">
      <c r="A5496" s="0" t="n">
        <f aca="false">B5496*1000+C5496</f>
        <v>75041</v>
      </c>
      <c r="B5496" s="0" t="n">
        <v>75</v>
      </c>
      <c r="C5496" s="0" t="n">
        <v>41</v>
      </c>
      <c r="D5496" s="0" t="n">
        <v>4329</v>
      </c>
      <c r="E5496" s="0" t="n">
        <f aca="false">VLOOKUP(B5496,'MSA-Lookup'!$H$2:$I$86,2)</f>
        <v>8780</v>
      </c>
      <c r="F5496" s="0" t="n">
        <f aca="false">IF(C5496&gt;1,IF(C5496&lt;99,VLOOKUP(C5496,'MSA-Lookup'!$H$1:$I$86,2),C5496),C5496)</f>
        <v>2840</v>
      </c>
      <c r="G5496" s="0" t="n">
        <f aca="false">VLOOKUP(E5496,'MSA-Lookup'!$AA$1:$AB$25,2)</f>
        <v>8780</v>
      </c>
      <c r="H5496" s="0" t="n">
        <f aca="false">IF(C5496&gt;1,IF(C5496&lt;99,VLOOKUP(F5496,'MSA-Lookup'!$AA$1:$AB$25,2),C5496),C5496)</f>
        <v>2840</v>
      </c>
    </row>
    <row r="5497" customFormat="false" ht="12.75" hidden="false" customHeight="false" outlineLevel="0" collapsed="false">
      <c r="A5497" s="0" t="n">
        <f aca="false">B5497*1000+C5497</f>
        <v>75042</v>
      </c>
      <c r="B5497" s="0" t="n">
        <v>75</v>
      </c>
      <c r="C5497" s="0" t="n">
        <v>42</v>
      </c>
      <c r="D5497" s="0" t="n">
        <v>0</v>
      </c>
      <c r="E5497" s="0" t="n">
        <f aca="false">VLOOKUP(B5497,'MSA-Lookup'!$H$2:$I$86,2)</f>
        <v>8780</v>
      </c>
      <c r="F5497" s="0" t="n">
        <f aca="false">IF(C5497&gt;1,IF(C5497&lt;99,VLOOKUP(C5497,'MSA-Lookup'!$H$1:$I$86,2),C5497),C5497)</f>
        <v>360</v>
      </c>
      <c r="G5497" s="0" t="n">
        <f aca="false">VLOOKUP(E5497,'MSA-Lookup'!$AA$1:$AB$25,2)</f>
        <v>8780</v>
      </c>
      <c r="H5497" s="0" t="n">
        <f aca="false">IF(C5497&gt;1,IF(C5497&lt;99,VLOOKUP(F5497,'MSA-Lookup'!$AA$1:$AB$25,2),C5497),C5497)</f>
        <v>4472</v>
      </c>
    </row>
    <row r="5498" customFormat="false" ht="12.75" hidden="false" customHeight="false" outlineLevel="0" collapsed="false">
      <c r="A5498" s="0" t="n">
        <f aca="false">B5498*1000+C5498</f>
        <v>75043</v>
      </c>
      <c r="B5498" s="0" t="n">
        <v>75</v>
      </c>
      <c r="C5498" s="0" t="n">
        <v>43</v>
      </c>
      <c r="D5498" s="0" t="n">
        <v>130</v>
      </c>
      <c r="E5498" s="0" t="n">
        <f aca="false">VLOOKUP(B5498,'MSA-Lookup'!$H$2:$I$86,2)</f>
        <v>8780</v>
      </c>
      <c r="F5498" s="0" t="n">
        <f aca="false">IF(C5498&gt;1,IF(C5498&lt;99,VLOOKUP(C5498,'MSA-Lookup'!$H$1:$I$86,2),C5498),C5498)</f>
        <v>360</v>
      </c>
      <c r="G5498" s="0" t="n">
        <f aca="false">VLOOKUP(E5498,'MSA-Lookup'!$AA$1:$AB$25,2)</f>
        <v>8780</v>
      </c>
      <c r="H5498" s="0" t="n">
        <f aca="false">IF(C5498&gt;1,IF(C5498&lt;99,VLOOKUP(F5498,'MSA-Lookup'!$AA$1:$AB$25,2),C5498),C5498)</f>
        <v>4472</v>
      </c>
    </row>
    <row r="5499" customFormat="false" ht="12.75" hidden="false" customHeight="false" outlineLevel="0" collapsed="false">
      <c r="A5499" s="0" t="n">
        <f aca="false">B5499*1000+C5499</f>
        <v>75044</v>
      </c>
      <c r="B5499" s="0" t="n">
        <v>75</v>
      </c>
      <c r="C5499" s="0" t="n">
        <v>44</v>
      </c>
      <c r="D5499" s="0" t="n">
        <v>0</v>
      </c>
      <c r="E5499" s="0" t="n">
        <f aca="false">VLOOKUP(B5499,'MSA-Lookup'!$H$2:$I$86,2)</f>
        <v>8780</v>
      </c>
      <c r="F5499" s="0" t="n">
        <f aca="false">IF(C5499&gt;1,IF(C5499&lt;99,VLOOKUP(C5499,'MSA-Lookup'!$H$1:$I$86,2),C5499),C5499)</f>
        <v>360</v>
      </c>
      <c r="G5499" s="0" t="n">
        <f aca="false">VLOOKUP(E5499,'MSA-Lookup'!$AA$1:$AB$25,2)</f>
        <v>8780</v>
      </c>
      <c r="H5499" s="0" t="n">
        <f aca="false">IF(C5499&gt;1,IF(C5499&lt;99,VLOOKUP(F5499,'MSA-Lookup'!$AA$1:$AB$25,2),C5499),C5499)</f>
        <v>4472</v>
      </c>
    </row>
    <row r="5500" customFormat="false" ht="12.75" hidden="false" customHeight="false" outlineLevel="0" collapsed="false">
      <c r="A5500" s="0" t="n">
        <f aca="false">B5500*1000+C5500</f>
        <v>75045</v>
      </c>
      <c r="B5500" s="0" t="n">
        <v>75</v>
      </c>
      <c r="C5500" s="0" t="n">
        <v>45</v>
      </c>
      <c r="D5500" s="0" t="n">
        <v>0</v>
      </c>
      <c r="E5500" s="0" t="n">
        <f aca="false">VLOOKUP(B5500,'MSA-Lookup'!$H$2:$I$86,2)</f>
        <v>8780</v>
      </c>
      <c r="F5500" s="0" t="n">
        <f aca="false">IF(C5500&gt;1,IF(C5500&lt;99,VLOOKUP(C5500,'MSA-Lookup'!$H$1:$I$86,2),C5500),C5500)</f>
        <v>360</v>
      </c>
      <c r="G5500" s="0" t="n">
        <f aca="false">VLOOKUP(E5500,'MSA-Lookup'!$AA$1:$AB$25,2)</f>
        <v>8780</v>
      </c>
      <c r="H5500" s="0" t="n">
        <f aca="false">IF(C5500&gt;1,IF(C5500&lt;99,VLOOKUP(F5500,'MSA-Lookup'!$AA$1:$AB$25,2),C5500),C5500)</f>
        <v>4472</v>
      </c>
    </row>
    <row r="5501" customFormat="false" ht="12.75" hidden="false" customHeight="false" outlineLevel="0" collapsed="false">
      <c r="A5501" s="0" t="n">
        <f aca="false">B5501*1000+C5501</f>
        <v>75046</v>
      </c>
      <c r="B5501" s="0" t="n">
        <v>75</v>
      </c>
      <c r="C5501" s="0" t="n">
        <v>46</v>
      </c>
      <c r="D5501" s="0" t="n">
        <v>0</v>
      </c>
      <c r="E5501" s="0" t="n">
        <f aca="false">VLOOKUP(B5501,'MSA-Lookup'!$H$2:$I$86,2)</f>
        <v>8780</v>
      </c>
      <c r="F5501" s="0" t="n">
        <f aca="false">IF(C5501&gt;1,IF(C5501&lt;99,VLOOKUP(C5501,'MSA-Lookup'!$H$1:$I$86,2),C5501),C5501)</f>
        <v>360</v>
      </c>
      <c r="G5501" s="0" t="n">
        <f aca="false">VLOOKUP(E5501,'MSA-Lookup'!$AA$1:$AB$25,2)</f>
        <v>8780</v>
      </c>
      <c r="H5501" s="0" t="n">
        <f aca="false">IF(C5501&gt;1,IF(C5501&lt;99,VLOOKUP(F5501,'MSA-Lookup'!$AA$1:$AB$25,2),C5501),C5501)</f>
        <v>4472</v>
      </c>
    </row>
    <row r="5502" customFormat="false" ht="12.75" hidden="false" customHeight="false" outlineLevel="0" collapsed="false">
      <c r="A5502" s="0" t="n">
        <f aca="false">B5502*1000+C5502</f>
        <v>75047</v>
      </c>
      <c r="B5502" s="0" t="n">
        <v>75</v>
      </c>
      <c r="C5502" s="0" t="n">
        <v>47</v>
      </c>
      <c r="D5502" s="0" t="n">
        <v>0</v>
      </c>
      <c r="E5502" s="0" t="n">
        <f aca="false">VLOOKUP(B5502,'MSA-Lookup'!$H$2:$I$86,2)</f>
        <v>8780</v>
      </c>
      <c r="F5502" s="0" t="n">
        <f aca="false">IF(C5502&gt;1,IF(C5502&lt;99,VLOOKUP(C5502,'MSA-Lookup'!$H$1:$I$86,2),C5502),C5502)</f>
        <v>360</v>
      </c>
      <c r="G5502" s="0" t="n">
        <f aca="false">VLOOKUP(E5502,'MSA-Lookup'!$AA$1:$AB$25,2)</f>
        <v>8780</v>
      </c>
      <c r="H5502" s="0" t="n">
        <f aca="false">IF(C5502&gt;1,IF(C5502&lt;99,VLOOKUP(F5502,'MSA-Lookup'!$AA$1:$AB$25,2),C5502),C5502)</f>
        <v>4472</v>
      </c>
    </row>
    <row r="5503" customFormat="false" ht="12.75" hidden="false" customHeight="false" outlineLevel="0" collapsed="false">
      <c r="A5503" s="0" t="n">
        <f aca="false">B5503*1000+C5503</f>
        <v>75048</v>
      </c>
      <c r="B5503" s="0" t="n">
        <v>75</v>
      </c>
      <c r="C5503" s="0" t="n">
        <v>48</v>
      </c>
      <c r="D5503" s="0" t="n">
        <v>0</v>
      </c>
      <c r="E5503" s="0" t="n">
        <f aca="false">VLOOKUP(B5503,'MSA-Lookup'!$H$2:$I$86,2)</f>
        <v>8780</v>
      </c>
      <c r="F5503" s="0" t="n">
        <f aca="false">IF(C5503&gt;1,IF(C5503&lt;99,VLOOKUP(C5503,'MSA-Lookup'!$H$1:$I$86,2),C5503),C5503)</f>
        <v>360</v>
      </c>
      <c r="G5503" s="0" t="n">
        <f aca="false">VLOOKUP(E5503,'MSA-Lookup'!$AA$1:$AB$25,2)</f>
        <v>8780</v>
      </c>
      <c r="H5503" s="0" t="n">
        <f aca="false">IF(C5503&gt;1,IF(C5503&lt;99,VLOOKUP(F5503,'MSA-Lookup'!$AA$1:$AB$25,2),C5503),C5503)</f>
        <v>4472</v>
      </c>
    </row>
    <row r="5504" customFormat="false" ht="12.75" hidden="false" customHeight="false" outlineLevel="0" collapsed="false">
      <c r="A5504" s="0" t="n">
        <f aca="false">B5504*1000+C5504</f>
        <v>75049</v>
      </c>
      <c r="B5504" s="0" t="n">
        <v>75</v>
      </c>
      <c r="C5504" s="0" t="n">
        <v>49</v>
      </c>
      <c r="D5504" s="0" t="n">
        <v>91</v>
      </c>
      <c r="E5504" s="0" t="n">
        <f aca="false">VLOOKUP(B5504,'MSA-Lookup'!$H$2:$I$86,2)</f>
        <v>8780</v>
      </c>
      <c r="F5504" s="0" t="n">
        <f aca="false">IF(C5504&gt;1,IF(C5504&lt;99,VLOOKUP(C5504,'MSA-Lookup'!$H$1:$I$86,2),C5504),C5504)</f>
        <v>7400</v>
      </c>
      <c r="G5504" s="0" t="n">
        <f aca="false">VLOOKUP(E5504,'MSA-Lookup'!$AA$1:$AB$25,2)</f>
        <v>8780</v>
      </c>
      <c r="H5504" s="0" t="n">
        <f aca="false">IF(C5504&gt;1,IF(C5504&lt;99,VLOOKUP(F5504,'MSA-Lookup'!$AA$1:$AB$25,2),C5504),C5504)</f>
        <v>7362</v>
      </c>
    </row>
    <row r="5505" customFormat="false" ht="12.75" hidden="false" customHeight="false" outlineLevel="0" collapsed="false">
      <c r="A5505" s="0" t="n">
        <f aca="false">B5505*1000+C5505</f>
        <v>75050</v>
      </c>
      <c r="B5505" s="0" t="n">
        <v>75</v>
      </c>
      <c r="C5505" s="0" t="n">
        <v>50</v>
      </c>
      <c r="D5505" s="0" t="n">
        <v>0</v>
      </c>
      <c r="E5505" s="0" t="n">
        <f aca="false">VLOOKUP(B5505,'MSA-Lookup'!$H$2:$I$86,2)</f>
        <v>8780</v>
      </c>
      <c r="F5505" s="0" t="n">
        <f aca="false">IF(C5505&gt;1,IF(C5505&lt;99,VLOOKUP(C5505,'MSA-Lookup'!$H$1:$I$86,2),C5505),C5505)</f>
        <v>7400</v>
      </c>
      <c r="G5505" s="0" t="n">
        <f aca="false">VLOOKUP(E5505,'MSA-Lookup'!$AA$1:$AB$25,2)</f>
        <v>8780</v>
      </c>
      <c r="H5505" s="0" t="n">
        <f aca="false">IF(C5505&gt;1,IF(C5505&lt;99,VLOOKUP(F5505,'MSA-Lookup'!$AA$1:$AB$25,2),C5505),C5505)</f>
        <v>7362</v>
      </c>
    </row>
    <row r="5506" customFormat="false" ht="12.75" hidden="false" customHeight="false" outlineLevel="0" collapsed="false">
      <c r="A5506" s="0" t="n">
        <f aca="false">B5506*1000+C5506</f>
        <v>75051</v>
      </c>
      <c r="B5506" s="0" t="n">
        <v>75</v>
      </c>
      <c r="C5506" s="0" t="n">
        <v>51</v>
      </c>
      <c r="D5506" s="0" t="n">
        <v>0</v>
      </c>
      <c r="E5506" s="0" t="n">
        <f aca="false">VLOOKUP(B5506,'MSA-Lookup'!$H$2:$I$86,2)</f>
        <v>8780</v>
      </c>
      <c r="F5506" s="0" t="n">
        <f aca="false">IF(C5506&gt;1,IF(C5506&lt;99,VLOOKUP(C5506,'MSA-Lookup'!$H$1:$I$86,2),C5506),C5506)</f>
        <v>7400</v>
      </c>
      <c r="G5506" s="0" t="n">
        <f aca="false">VLOOKUP(E5506,'MSA-Lookup'!$AA$1:$AB$25,2)</f>
        <v>8780</v>
      </c>
      <c r="H5506" s="0" t="n">
        <f aca="false">IF(C5506&gt;1,IF(C5506&lt;99,VLOOKUP(F5506,'MSA-Lookup'!$AA$1:$AB$25,2),C5506),C5506)</f>
        <v>7362</v>
      </c>
    </row>
    <row r="5507" customFormat="false" ht="12.75" hidden="false" customHeight="false" outlineLevel="0" collapsed="false">
      <c r="A5507" s="0" t="n">
        <f aca="false">B5507*1000+C5507</f>
        <v>75052</v>
      </c>
      <c r="B5507" s="0" t="n">
        <v>75</v>
      </c>
      <c r="C5507" s="0" t="n">
        <v>52</v>
      </c>
      <c r="D5507" s="0" t="n">
        <v>0</v>
      </c>
      <c r="E5507" s="0" t="n">
        <f aca="false">VLOOKUP(B5507,'MSA-Lookup'!$H$2:$I$86,2)</f>
        <v>8780</v>
      </c>
      <c r="F5507" s="0" t="n">
        <f aca="false">IF(C5507&gt;1,IF(C5507&lt;99,VLOOKUP(C5507,'MSA-Lookup'!$H$1:$I$86,2),C5507),C5507)</f>
        <v>4480</v>
      </c>
      <c r="G5507" s="0" t="n">
        <f aca="false">VLOOKUP(E5507,'MSA-Lookup'!$AA$1:$AB$25,2)</f>
        <v>8780</v>
      </c>
      <c r="H5507" s="0" t="n">
        <f aca="false">IF(C5507&gt;1,IF(C5507&lt;99,VLOOKUP(F5507,'MSA-Lookup'!$AA$1:$AB$25,2),C5507),C5507)</f>
        <v>4472</v>
      </c>
    </row>
    <row r="5508" customFormat="false" ht="12.75" hidden="false" customHeight="false" outlineLevel="0" collapsed="false">
      <c r="A5508" s="0" t="n">
        <f aca="false">B5508*1000+C5508</f>
        <v>75053</v>
      </c>
      <c r="B5508" s="0" t="n">
        <v>75</v>
      </c>
      <c r="C5508" s="0" t="n">
        <v>53</v>
      </c>
      <c r="D5508" s="0" t="n">
        <v>0</v>
      </c>
      <c r="E5508" s="0" t="n">
        <f aca="false">VLOOKUP(B5508,'MSA-Lookup'!$H$2:$I$86,2)</f>
        <v>8780</v>
      </c>
      <c r="F5508" s="0" t="n">
        <f aca="false">IF(C5508&gt;1,IF(C5508&lt;99,VLOOKUP(C5508,'MSA-Lookup'!$H$1:$I$86,2),C5508),C5508)</f>
        <v>4480</v>
      </c>
      <c r="G5508" s="0" t="n">
        <f aca="false">VLOOKUP(E5508,'MSA-Lookup'!$AA$1:$AB$25,2)</f>
        <v>8780</v>
      </c>
      <c r="H5508" s="0" t="n">
        <f aca="false">IF(C5508&gt;1,IF(C5508&lt;99,VLOOKUP(F5508,'MSA-Lookup'!$AA$1:$AB$25,2),C5508),C5508)</f>
        <v>4472</v>
      </c>
    </row>
    <row r="5509" customFormat="false" ht="12.75" hidden="false" customHeight="false" outlineLevel="0" collapsed="false">
      <c r="A5509" s="0" t="n">
        <f aca="false">B5509*1000+C5509</f>
        <v>75054</v>
      </c>
      <c r="B5509" s="0" t="n">
        <v>75</v>
      </c>
      <c r="C5509" s="0" t="n">
        <v>54</v>
      </c>
      <c r="D5509" s="0" t="n">
        <v>0</v>
      </c>
      <c r="E5509" s="0" t="n">
        <f aca="false">VLOOKUP(B5509,'MSA-Lookup'!$H$2:$I$86,2)</f>
        <v>8780</v>
      </c>
      <c r="F5509" s="0" t="n">
        <f aca="false">IF(C5509&gt;1,IF(C5509&lt;99,VLOOKUP(C5509,'MSA-Lookup'!$H$1:$I$86,2),C5509),C5509)</f>
        <v>4480</v>
      </c>
      <c r="G5509" s="0" t="n">
        <f aca="false">VLOOKUP(E5509,'MSA-Lookup'!$AA$1:$AB$25,2)</f>
        <v>8780</v>
      </c>
      <c r="H5509" s="0" t="n">
        <f aca="false">IF(C5509&gt;1,IF(C5509&lt;99,VLOOKUP(F5509,'MSA-Lookup'!$AA$1:$AB$25,2),C5509),C5509)</f>
        <v>4472</v>
      </c>
    </row>
    <row r="5510" customFormat="false" ht="12.75" hidden="false" customHeight="false" outlineLevel="0" collapsed="false">
      <c r="A5510" s="0" t="n">
        <f aca="false">B5510*1000+C5510</f>
        <v>75055</v>
      </c>
      <c r="B5510" s="0" t="n">
        <v>75</v>
      </c>
      <c r="C5510" s="0" t="n">
        <v>55</v>
      </c>
      <c r="D5510" s="0" t="n">
        <v>0</v>
      </c>
      <c r="E5510" s="0" t="n">
        <f aca="false">VLOOKUP(B5510,'MSA-Lookup'!$H$2:$I$86,2)</f>
        <v>8780</v>
      </c>
      <c r="F5510" s="0" t="n">
        <f aca="false">IF(C5510&gt;1,IF(C5510&lt;99,VLOOKUP(C5510,'MSA-Lookup'!$H$1:$I$86,2),C5510),C5510)</f>
        <v>4480</v>
      </c>
      <c r="G5510" s="0" t="n">
        <f aca="false">VLOOKUP(E5510,'MSA-Lookup'!$AA$1:$AB$25,2)</f>
        <v>8780</v>
      </c>
      <c r="H5510" s="0" t="n">
        <f aca="false">IF(C5510&gt;1,IF(C5510&lt;99,VLOOKUP(F5510,'MSA-Lookup'!$AA$1:$AB$25,2),C5510),C5510)</f>
        <v>4472</v>
      </c>
    </row>
    <row r="5511" customFormat="false" ht="12.75" hidden="false" customHeight="false" outlineLevel="0" collapsed="false">
      <c r="A5511" s="0" t="n">
        <f aca="false">B5511*1000+C5511</f>
        <v>75056</v>
      </c>
      <c r="B5511" s="0" t="n">
        <v>75</v>
      </c>
      <c r="C5511" s="0" t="n">
        <v>56</v>
      </c>
      <c r="D5511" s="0" t="n">
        <v>0</v>
      </c>
      <c r="E5511" s="0" t="n">
        <f aca="false">VLOOKUP(B5511,'MSA-Lookup'!$H$2:$I$86,2)</f>
        <v>8780</v>
      </c>
      <c r="F5511" s="0" t="n">
        <f aca="false">IF(C5511&gt;1,IF(C5511&lt;99,VLOOKUP(C5511,'MSA-Lookup'!$H$1:$I$86,2),C5511),C5511)</f>
        <v>4480</v>
      </c>
      <c r="G5511" s="0" t="n">
        <f aca="false">VLOOKUP(E5511,'MSA-Lookup'!$AA$1:$AB$25,2)</f>
        <v>8780</v>
      </c>
      <c r="H5511" s="0" t="n">
        <f aca="false">IF(C5511&gt;1,IF(C5511&lt;99,VLOOKUP(F5511,'MSA-Lookup'!$AA$1:$AB$25,2),C5511),C5511)</f>
        <v>4472</v>
      </c>
    </row>
    <row r="5512" customFormat="false" ht="12.75" hidden="false" customHeight="false" outlineLevel="0" collapsed="false">
      <c r="A5512" s="0" t="n">
        <f aca="false">B5512*1000+C5512</f>
        <v>75057</v>
      </c>
      <c r="B5512" s="0" t="n">
        <v>75</v>
      </c>
      <c r="C5512" s="0" t="n">
        <v>57</v>
      </c>
      <c r="D5512" s="0" t="n">
        <v>0</v>
      </c>
      <c r="E5512" s="0" t="n">
        <f aca="false">VLOOKUP(B5512,'MSA-Lookup'!$H$2:$I$86,2)</f>
        <v>8780</v>
      </c>
      <c r="F5512" s="0" t="n">
        <f aca="false">IF(C5512&gt;1,IF(C5512&lt;99,VLOOKUP(C5512,'MSA-Lookup'!$H$1:$I$86,2),C5512),C5512)</f>
        <v>4480</v>
      </c>
      <c r="G5512" s="0" t="n">
        <f aca="false">VLOOKUP(E5512,'MSA-Lookup'!$AA$1:$AB$25,2)</f>
        <v>8780</v>
      </c>
      <c r="H5512" s="0" t="n">
        <f aca="false">IF(C5512&gt;1,IF(C5512&lt;99,VLOOKUP(F5512,'MSA-Lookup'!$AA$1:$AB$25,2),C5512),C5512)</f>
        <v>4472</v>
      </c>
    </row>
    <row r="5513" customFormat="false" ht="12.75" hidden="false" customHeight="false" outlineLevel="0" collapsed="false">
      <c r="A5513" s="0" t="n">
        <f aca="false">B5513*1000+C5513</f>
        <v>75058</v>
      </c>
      <c r="B5513" s="0" t="n">
        <v>75</v>
      </c>
      <c r="C5513" s="0" t="n">
        <v>58</v>
      </c>
      <c r="D5513" s="0" t="n">
        <v>0</v>
      </c>
      <c r="E5513" s="0" t="n">
        <f aca="false">VLOOKUP(B5513,'MSA-Lookup'!$H$2:$I$86,2)</f>
        <v>8780</v>
      </c>
      <c r="F5513" s="0" t="n">
        <f aca="false">IF(C5513&gt;1,IF(C5513&lt;99,VLOOKUP(C5513,'MSA-Lookup'!$H$1:$I$86,2),C5513),C5513)</f>
        <v>4480</v>
      </c>
      <c r="G5513" s="0" t="n">
        <f aca="false">VLOOKUP(E5513,'MSA-Lookup'!$AA$1:$AB$25,2)</f>
        <v>8780</v>
      </c>
      <c r="H5513" s="0" t="n">
        <f aca="false">IF(C5513&gt;1,IF(C5513&lt;99,VLOOKUP(F5513,'MSA-Lookup'!$AA$1:$AB$25,2),C5513),C5513)</f>
        <v>4472</v>
      </c>
    </row>
    <row r="5514" customFormat="false" ht="12.75" hidden="false" customHeight="false" outlineLevel="0" collapsed="false">
      <c r="A5514" s="0" t="n">
        <f aca="false">B5514*1000+C5514</f>
        <v>75059</v>
      </c>
      <c r="B5514" s="0" t="n">
        <v>75</v>
      </c>
      <c r="C5514" s="0" t="n">
        <v>59</v>
      </c>
      <c r="D5514" s="0" t="n">
        <v>0</v>
      </c>
      <c r="E5514" s="0" t="n">
        <f aca="false">VLOOKUP(B5514,'MSA-Lookup'!$H$2:$I$86,2)</f>
        <v>8780</v>
      </c>
      <c r="F5514" s="0" t="n">
        <f aca="false">IF(C5514&gt;1,IF(C5514&lt;99,VLOOKUP(C5514,'MSA-Lookup'!$H$1:$I$86,2),C5514),C5514)</f>
        <v>4480</v>
      </c>
      <c r="G5514" s="0" t="n">
        <f aca="false">VLOOKUP(E5514,'MSA-Lookup'!$AA$1:$AB$25,2)</f>
        <v>8780</v>
      </c>
      <c r="H5514" s="0" t="n">
        <f aca="false">IF(C5514&gt;1,IF(C5514&lt;99,VLOOKUP(F5514,'MSA-Lookup'!$AA$1:$AB$25,2),C5514),C5514)</f>
        <v>4472</v>
      </c>
    </row>
    <row r="5515" customFormat="false" ht="12.75" hidden="false" customHeight="false" outlineLevel="0" collapsed="false">
      <c r="A5515" s="0" t="n">
        <f aca="false">B5515*1000+C5515</f>
        <v>75060</v>
      </c>
      <c r="B5515" s="0" t="n">
        <v>75</v>
      </c>
      <c r="C5515" s="0" t="n">
        <v>60</v>
      </c>
      <c r="D5515" s="0" t="n">
        <v>0</v>
      </c>
      <c r="E5515" s="0" t="n">
        <f aca="false">VLOOKUP(B5515,'MSA-Lookup'!$H$2:$I$86,2)</f>
        <v>8780</v>
      </c>
      <c r="F5515" s="0" t="n">
        <f aca="false">IF(C5515&gt;1,IF(C5515&lt;99,VLOOKUP(C5515,'MSA-Lookup'!$H$1:$I$86,2),C5515),C5515)</f>
        <v>4480</v>
      </c>
      <c r="G5515" s="0" t="n">
        <f aca="false">VLOOKUP(E5515,'MSA-Lookup'!$AA$1:$AB$25,2)</f>
        <v>8780</v>
      </c>
      <c r="H5515" s="0" t="n">
        <f aca="false">IF(C5515&gt;1,IF(C5515&lt;99,VLOOKUP(F5515,'MSA-Lookup'!$AA$1:$AB$25,2),C5515),C5515)</f>
        <v>4472</v>
      </c>
    </row>
    <row r="5516" customFormat="false" ht="12.75" hidden="false" customHeight="false" outlineLevel="0" collapsed="false">
      <c r="A5516" s="0" t="n">
        <f aca="false">B5516*1000+C5516</f>
        <v>75061</v>
      </c>
      <c r="B5516" s="0" t="n">
        <v>75</v>
      </c>
      <c r="C5516" s="0" t="n">
        <v>61</v>
      </c>
      <c r="D5516" s="0" t="n">
        <v>0</v>
      </c>
      <c r="E5516" s="0" t="n">
        <f aca="false">VLOOKUP(B5516,'MSA-Lookup'!$H$2:$I$86,2)</f>
        <v>8780</v>
      </c>
      <c r="F5516" s="0" t="n">
        <f aca="false">IF(C5516&gt;1,IF(C5516&lt;99,VLOOKUP(C5516,'MSA-Lookup'!$H$1:$I$86,2),C5516),C5516)</f>
        <v>4480</v>
      </c>
      <c r="G5516" s="0" t="n">
        <f aca="false">VLOOKUP(E5516,'MSA-Lookup'!$AA$1:$AB$25,2)</f>
        <v>8780</v>
      </c>
      <c r="H5516" s="0" t="n">
        <f aca="false">IF(C5516&gt;1,IF(C5516&lt;99,VLOOKUP(F5516,'MSA-Lookup'!$AA$1:$AB$25,2),C5516),C5516)</f>
        <v>4472</v>
      </c>
    </row>
    <row r="5517" customFormat="false" ht="12.75" hidden="false" customHeight="false" outlineLevel="0" collapsed="false">
      <c r="A5517" s="0" t="n">
        <f aca="false">B5517*1000+C5517</f>
        <v>75062</v>
      </c>
      <c r="B5517" s="0" t="n">
        <v>75</v>
      </c>
      <c r="C5517" s="0" t="n">
        <v>62</v>
      </c>
      <c r="D5517" s="0" t="n">
        <v>0</v>
      </c>
      <c r="E5517" s="0" t="n">
        <f aca="false">VLOOKUP(B5517,'MSA-Lookup'!$H$2:$I$86,2)</f>
        <v>8780</v>
      </c>
      <c r="F5517" s="0" t="n">
        <f aca="false">IF(C5517&gt;1,IF(C5517&lt;99,VLOOKUP(C5517,'MSA-Lookup'!$H$1:$I$86,2),C5517),C5517)</f>
        <v>4480</v>
      </c>
      <c r="G5517" s="0" t="n">
        <f aca="false">VLOOKUP(E5517,'MSA-Lookup'!$AA$1:$AB$25,2)</f>
        <v>8780</v>
      </c>
      <c r="H5517" s="0" t="n">
        <f aca="false">IF(C5517&gt;1,IF(C5517&lt;99,VLOOKUP(F5517,'MSA-Lookup'!$AA$1:$AB$25,2),C5517),C5517)</f>
        <v>4472</v>
      </c>
    </row>
    <row r="5518" customFormat="false" ht="12.75" hidden="false" customHeight="false" outlineLevel="0" collapsed="false">
      <c r="A5518" s="0" t="n">
        <f aca="false">B5518*1000+C5518</f>
        <v>75063</v>
      </c>
      <c r="B5518" s="0" t="n">
        <v>75</v>
      </c>
      <c r="C5518" s="0" t="n">
        <v>63</v>
      </c>
      <c r="D5518" s="0" t="n">
        <v>0</v>
      </c>
      <c r="E5518" s="0" t="n">
        <f aca="false">VLOOKUP(B5518,'MSA-Lookup'!$H$2:$I$86,2)</f>
        <v>8780</v>
      </c>
      <c r="F5518" s="0" t="n">
        <f aca="false">IF(C5518&gt;1,IF(C5518&lt;99,VLOOKUP(C5518,'MSA-Lookup'!$H$1:$I$86,2),C5518),C5518)</f>
        <v>4480</v>
      </c>
      <c r="G5518" s="0" t="n">
        <f aca="false">VLOOKUP(E5518,'MSA-Lookup'!$AA$1:$AB$25,2)</f>
        <v>8780</v>
      </c>
      <c r="H5518" s="0" t="n">
        <f aca="false">IF(C5518&gt;1,IF(C5518&lt;99,VLOOKUP(F5518,'MSA-Lookup'!$AA$1:$AB$25,2),C5518),C5518)</f>
        <v>4472</v>
      </c>
    </row>
    <row r="5519" customFormat="false" ht="12.75" hidden="false" customHeight="false" outlineLevel="0" collapsed="false">
      <c r="A5519" s="0" t="n">
        <f aca="false">B5519*1000+C5519</f>
        <v>75064</v>
      </c>
      <c r="B5519" s="0" t="n">
        <v>75</v>
      </c>
      <c r="C5519" s="0" t="n">
        <v>64</v>
      </c>
      <c r="D5519" s="0" t="n">
        <v>234</v>
      </c>
      <c r="E5519" s="0" t="n">
        <f aca="false">VLOOKUP(B5519,'MSA-Lookup'!$H$2:$I$86,2)</f>
        <v>8780</v>
      </c>
      <c r="F5519" s="0" t="n">
        <f aca="false">IF(C5519&gt;1,IF(C5519&lt;99,VLOOKUP(C5519,'MSA-Lookup'!$H$1:$I$86,2),C5519),C5519)</f>
        <v>4480</v>
      </c>
      <c r="G5519" s="0" t="n">
        <f aca="false">VLOOKUP(E5519,'MSA-Lookup'!$AA$1:$AB$25,2)</f>
        <v>8780</v>
      </c>
      <c r="H5519" s="0" t="n">
        <f aca="false">IF(C5519&gt;1,IF(C5519&lt;99,VLOOKUP(F5519,'MSA-Lookup'!$AA$1:$AB$25,2),C5519),C5519)</f>
        <v>4472</v>
      </c>
    </row>
    <row r="5520" customFormat="false" ht="12.75" hidden="false" customHeight="false" outlineLevel="0" collapsed="false">
      <c r="A5520" s="0" t="n">
        <f aca="false">B5520*1000+C5520</f>
        <v>75065</v>
      </c>
      <c r="B5520" s="0" t="n">
        <v>75</v>
      </c>
      <c r="C5520" s="0" t="n">
        <v>65</v>
      </c>
      <c r="D5520" s="0" t="n">
        <v>260</v>
      </c>
      <c r="E5520" s="0" t="n">
        <f aca="false">VLOOKUP(B5520,'MSA-Lookup'!$H$2:$I$86,2)</f>
        <v>8780</v>
      </c>
      <c r="F5520" s="0" t="n">
        <f aca="false">IF(C5520&gt;1,IF(C5520&lt;99,VLOOKUP(C5520,'MSA-Lookup'!$H$1:$I$86,2),C5520),C5520)</f>
        <v>4480</v>
      </c>
      <c r="G5520" s="0" t="n">
        <f aca="false">VLOOKUP(E5520,'MSA-Lookup'!$AA$1:$AB$25,2)</f>
        <v>8780</v>
      </c>
      <c r="H5520" s="0" t="n">
        <f aca="false">IF(C5520&gt;1,IF(C5520&lt;99,VLOOKUP(F5520,'MSA-Lookup'!$AA$1:$AB$25,2),C5520),C5520)</f>
        <v>4472</v>
      </c>
    </row>
    <row r="5521" customFormat="false" ht="12.75" hidden="false" customHeight="false" outlineLevel="0" collapsed="false">
      <c r="A5521" s="0" t="n">
        <f aca="false">B5521*1000+C5521</f>
        <v>75066</v>
      </c>
      <c r="B5521" s="0" t="n">
        <v>75</v>
      </c>
      <c r="C5521" s="0" t="n">
        <v>66</v>
      </c>
      <c r="D5521" s="0" t="n">
        <v>0</v>
      </c>
      <c r="E5521" s="0" t="n">
        <f aca="false">VLOOKUP(B5521,'MSA-Lookup'!$H$2:$I$86,2)</f>
        <v>8780</v>
      </c>
      <c r="F5521" s="0" t="n">
        <f aca="false">IF(C5521&gt;1,IF(C5521&lt;99,VLOOKUP(C5521,'MSA-Lookup'!$H$1:$I$86,2),C5521),C5521)</f>
        <v>4480</v>
      </c>
      <c r="G5521" s="0" t="n">
        <f aca="false">VLOOKUP(E5521,'MSA-Lookup'!$AA$1:$AB$25,2)</f>
        <v>8780</v>
      </c>
      <c r="H5521" s="0" t="n">
        <f aca="false">IF(C5521&gt;1,IF(C5521&lt;99,VLOOKUP(F5521,'MSA-Lookup'!$AA$1:$AB$25,2),C5521),C5521)</f>
        <v>4472</v>
      </c>
    </row>
    <row r="5522" customFormat="false" ht="12.75" hidden="false" customHeight="false" outlineLevel="0" collapsed="false">
      <c r="A5522" s="0" t="n">
        <f aca="false">B5522*1000+C5522</f>
        <v>75067</v>
      </c>
      <c r="B5522" s="0" t="n">
        <v>75</v>
      </c>
      <c r="C5522" s="0" t="n">
        <v>67</v>
      </c>
      <c r="D5522" s="0" t="n">
        <v>0</v>
      </c>
      <c r="E5522" s="0" t="n">
        <f aca="false">VLOOKUP(B5522,'MSA-Lookup'!$H$2:$I$86,2)</f>
        <v>8780</v>
      </c>
      <c r="F5522" s="0" t="n">
        <f aca="false">IF(C5522&gt;1,IF(C5522&lt;99,VLOOKUP(C5522,'MSA-Lookup'!$H$1:$I$86,2),C5522),C5522)</f>
        <v>6000</v>
      </c>
      <c r="G5522" s="0" t="n">
        <f aca="false">VLOOKUP(E5522,'MSA-Lookup'!$AA$1:$AB$25,2)</f>
        <v>8780</v>
      </c>
      <c r="H5522" s="0" t="n">
        <f aca="false">IF(C5522&gt;1,IF(C5522&lt;99,VLOOKUP(F5522,'MSA-Lookup'!$AA$1:$AB$25,2),C5522),C5522)</f>
        <v>4472</v>
      </c>
    </row>
    <row r="5523" customFormat="false" ht="12.75" hidden="false" customHeight="false" outlineLevel="0" collapsed="false">
      <c r="A5523" s="0" t="n">
        <f aca="false">B5523*1000+C5523</f>
        <v>75068</v>
      </c>
      <c r="B5523" s="0" t="n">
        <v>75</v>
      </c>
      <c r="C5523" s="0" t="n">
        <v>68</v>
      </c>
      <c r="D5523" s="0" t="n">
        <v>0</v>
      </c>
      <c r="E5523" s="0" t="n">
        <f aca="false">VLOOKUP(B5523,'MSA-Lookup'!$H$2:$I$86,2)</f>
        <v>8780</v>
      </c>
      <c r="F5523" s="0" t="n">
        <f aca="false">IF(C5523&gt;1,IF(C5523&lt;99,VLOOKUP(C5523,'MSA-Lookup'!$H$1:$I$86,2),C5523),C5523)</f>
        <v>6780</v>
      </c>
      <c r="G5523" s="0" t="n">
        <f aca="false">VLOOKUP(E5523,'MSA-Lookup'!$AA$1:$AB$25,2)</f>
        <v>8780</v>
      </c>
      <c r="H5523" s="0" t="n">
        <f aca="false">IF(C5523&gt;1,IF(C5523&lt;99,VLOOKUP(F5523,'MSA-Lookup'!$AA$1:$AB$25,2),C5523),C5523)</f>
        <v>4472</v>
      </c>
    </row>
    <row r="5524" customFormat="false" ht="12.75" hidden="false" customHeight="false" outlineLevel="0" collapsed="false">
      <c r="A5524" s="0" t="n">
        <f aca="false">B5524*1000+C5524</f>
        <v>75069</v>
      </c>
      <c r="B5524" s="0" t="n">
        <v>75</v>
      </c>
      <c r="C5524" s="0" t="n">
        <v>69</v>
      </c>
      <c r="D5524" s="0" t="n">
        <v>130</v>
      </c>
      <c r="E5524" s="0" t="n">
        <f aca="false">VLOOKUP(B5524,'MSA-Lookup'!$H$2:$I$86,2)</f>
        <v>8780</v>
      </c>
      <c r="F5524" s="0" t="n">
        <f aca="false">IF(C5524&gt;1,IF(C5524&lt;99,VLOOKUP(C5524,'MSA-Lookup'!$H$1:$I$86,2),C5524),C5524)</f>
        <v>6780</v>
      </c>
      <c r="G5524" s="0" t="n">
        <f aca="false">VLOOKUP(E5524,'MSA-Lookup'!$AA$1:$AB$25,2)</f>
        <v>8780</v>
      </c>
      <c r="H5524" s="0" t="n">
        <f aca="false">IF(C5524&gt;1,IF(C5524&lt;99,VLOOKUP(F5524,'MSA-Lookup'!$AA$1:$AB$25,2),C5524),C5524)</f>
        <v>4472</v>
      </c>
    </row>
    <row r="5525" customFormat="false" ht="12.75" hidden="false" customHeight="false" outlineLevel="0" collapsed="false">
      <c r="A5525" s="0" t="n">
        <f aca="false">B5525*1000+C5525</f>
        <v>75070</v>
      </c>
      <c r="B5525" s="0" t="n">
        <v>75</v>
      </c>
      <c r="C5525" s="0" t="n">
        <v>70</v>
      </c>
      <c r="D5525" s="0" t="n">
        <v>0</v>
      </c>
      <c r="E5525" s="0" t="n">
        <f aca="false">VLOOKUP(B5525,'MSA-Lookup'!$H$2:$I$86,2)</f>
        <v>8780</v>
      </c>
      <c r="F5525" s="0" t="n">
        <f aca="false">IF(C5525&gt;1,IF(C5525&lt;99,VLOOKUP(C5525,'MSA-Lookup'!$H$1:$I$86,2),C5525),C5525)</f>
        <v>6780</v>
      </c>
      <c r="G5525" s="0" t="n">
        <f aca="false">VLOOKUP(E5525,'MSA-Lookup'!$AA$1:$AB$25,2)</f>
        <v>8780</v>
      </c>
      <c r="H5525" s="0" t="n">
        <f aca="false">IF(C5525&gt;1,IF(C5525&lt;99,VLOOKUP(F5525,'MSA-Lookup'!$AA$1:$AB$25,2),C5525),C5525)</f>
        <v>4472</v>
      </c>
    </row>
    <row r="5526" customFormat="false" ht="12.75" hidden="false" customHeight="false" outlineLevel="0" collapsed="false">
      <c r="A5526" s="0" t="n">
        <f aca="false">B5526*1000+C5526</f>
        <v>75071</v>
      </c>
      <c r="B5526" s="0" t="n">
        <v>75</v>
      </c>
      <c r="C5526" s="0" t="n">
        <v>71</v>
      </c>
      <c r="D5526" s="0" t="n">
        <v>0</v>
      </c>
      <c r="E5526" s="0" t="n">
        <f aca="false">VLOOKUP(B5526,'MSA-Lookup'!$H$2:$I$86,2)</f>
        <v>8780</v>
      </c>
      <c r="F5526" s="0" t="n">
        <f aca="false">IF(C5526&gt;1,IF(C5526&lt;99,VLOOKUP(C5526,'MSA-Lookup'!$H$1:$I$86,2),C5526),C5526)</f>
        <v>6780</v>
      </c>
      <c r="G5526" s="0" t="n">
        <f aca="false">VLOOKUP(E5526,'MSA-Lookup'!$AA$1:$AB$25,2)</f>
        <v>8780</v>
      </c>
      <c r="H5526" s="0" t="n">
        <f aca="false">IF(C5526&gt;1,IF(C5526&lt;99,VLOOKUP(F5526,'MSA-Lookup'!$AA$1:$AB$25,2),C5526),C5526)</f>
        <v>4472</v>
      </c>
    </row>
    <row r="5527" customFormat="false" ht="12.75" hidden="false" customHeight="false" outlineLevel="0" collapsed="false">
      <c r="A5527" s="0" t="n">
        <f aca="false">B5527*1000+C5527</f>
        <v>75072</v>
      </c>
      <c r="B5527" s="0" t="n">
        <v>75</v>
      </c>
      <c r="C5527" s="0" t="n">
        <v>72</v>
      </c>
      <c r="D5527" s="0" t="n">
        <v>0</v>
      </c>
      <c r="E5527" s="0" t="n">
        <f aca="false">VLOOKUP(B5527,'MSA-Lookup'!$H$2:$I$86,2)</f>
        <v>8780</v>
      </c>
      <c r="F5527" s="0" t="n">
        <f aca="false">IF(C5527&gt;1,IF(C5527&lt;99,VLOOKUP(C5527,'MSA-Lookup'!$H$1:$I$86,2),C5527),C5527)</f>
        <v>6780</v>
      </c>
      <c r="G5527" s="0" t="n">
        <f aca="false">VLOOKUP(E5527,'MSA-Lookup'!$AA$1:$AB$25,2)</f>
        <v>8780</v>
      </c>
      <c r="H5527" s="0" t="n">
        <f aca="false">IF(C5527&gt;1,IF(C5527&lt;99,VLOOKUP(F5527,'MSA-Lookup'!$AA$1:$AB$25,2),C5527),C5527)</f>
        <v>4472</v>
      </c>
    </row>
    <row r="5528" customFormat="false" ht="12.75" hidden="false" customHeight="false" outlineLevel="0" collapsed="false">
      <c r="A5528" s="0" t="n">
        <f aca="false">B5528*1000+C5528</f>
        <v>75073</v>
      </c>
      <c r="B5528" s="0" t="n">
        <v>75</v>
      </c>
      <c r="C5528" s="0" t="n">
        <v>73</v>
      </c>
      <c r="D5528" s="0" t="n">
        <v>0</v>
      </c>
      <c r="E5528" s="0" t="n">
        <f aca="false">VLOOKUP(B5528,'MSA-Lookup'!$H$2:$I$86,2)</f>
        <v>8780</v>
      </c>
      <c r="F5528" s="0" t="n">
        <f aca="false">IF(C5528&gt;1,IF(C5528&lt;99,VLOOKUP(C5528,'MSA-Lookup'!$H$1:$I$86,2),C5528),C5528)</f>
        <v>8720</v>
      </c>
      <c r="G5528" s="0" t="n">
        <f aca="false">VLOOKUP(E5528,'MSA-Lookup'!$AA$1:$AB$25,2)</f>
        <v>8780</v>
      </c>
      <c r="H5528" s="0" t="n">
        <f aca="false">IF(C5528&gt;1,IF(C5528&lt;99,VLOOKUP(F5528,'MSA-Lookup'!$AA$1:$AB$25,2),C5528),C5528)</f>
        <v>7362</v>
      </c>
    </row>
    <row r="5529" customFormat="false" ht="12.75" hidden="false" customHeight="false" outlineLevel="0" collapsed="false">
      <c r="A5529" s="0" t="n">
        <f aca="false">B5529*1000+C5529</f>
        <v>75075</v>
      </c>
      <c r="B5529" s="0" t="n">
        <v>75</v>
      </c>
      <c r="C5529" s="0" t="n">
        <v>75</v>
      </c>
      <c r="D5529" s="0" t="n">
        <v>106184</v>
      </c>
      <c r="E5529" s="0" t="n">
        <f aca="false">VLOOKUP(B5529,'MSA-Lookup'!$H$2:$I$86,2)</f>
        <v>8780</v>
      </c>
      <c r="F5529" s="0" t="n">
        <f aca="false">IF(C5529&gt;1,IF(C5529&lt;99,VLOOKUP(C5529,'MSA-Lookup'!$H$1:$I$86,2),C5529),C5529)</f>
        <v>8780</v>
      </c>
      <c r="G5529" s="0" t="n">
        <f aca="false">VLOOKUP(E5529,'MSA-Lookup'!$AA$1:$AB$25,2)</f>
        <v>8780</v>
      </c>
      <c r="H5529" s="0" t="n">
        <f aca="false">IF(C5529&gt;1,IF(C5529&lt;99,VLOOKUP(F5529,'MSA-Lookup'!$AA$1:$AB$25,2),C5529),C5529)</f>
        <v>8780</v>
      </c>
    </row>
    <row r="5530" customFormat="false" ht="12.75" hidden="false" customHeight="false" outlineLevel="0" collapsed="false">
      <c r="A5530" s="0" t="n">
        <f aca="false">B5530*1000+C5530</f>
        <v>75076</v>
      </c>
      <c r="B5530" s="0" t="n">
        <v>75</v>
      </c>
      <c r="C5530" s="0" t="n">
        <v>76</v>
      </c>
      <c r="D5530" s="0" t="n">
        <v>0</v>
      </c>
      <c r="E5530" s="0" t="n">
        <f aca="false">VLOOKUP(B5530,'MSA-Lookup'!$H$2:$I$86,2)</f>
        <v>8780</v>
      </c>
      <c r="F5530" s="0" t="n">
        <f aca="false">IF(C5530&gt;1,IF(C5530&lt;99,VLOOKUP(C5530,'MSA-Lookup'!$H$1:$I$86,2),C5530),C5530)</f>
        <v>7485</v>
      </c>
      <c r="G5530" s="0" t="n">
        <f aca="false">VLOOKUP(E5530,'MSA-Lookup'!$AA$1:$AB$25,2)</f>
        <v>8780</v>
      </c>
      <c r="H5530" s="0" t="n">
        <f aca="false">IF(C5530&gt;1,IF(C5530&lt;99,VLOOKUP(F5530,'MSA-Lookup'!$AA$1:$AB$25,2),C5530),C5530)</f>
        <v>7362</v>
      </c>
    </row>
    <row r="5531" customFormat="false" ht="12.75" hidden="false" customHeight="false" outlineLevel="0" collapsed="false">
      <c r="A5531" s="0" t="n">
        <f aca="false">B5531*1000+C5531</f>
        <v>75077</v>
      </c>
      <c r="B5531" s="0" t="n">
        <v>75</v>
      </c>
      <c r="C5531" s="0" t="n">
        <v>77</v>
      </c>
      <c r="D5531" s="0" t="n">
        <v>0</v>
      </c>
      <c r="E5531" s="0" t="n">
        <f aca="false">VLOOKUP(B5531,'MSA-Lookup'!$H$2:$I$86,2)</f>
        <v>8780</v>
      </c>
      <c r="F5531" s="0" t="n">
        <f aca="false">IF(C5531&gt;1,IF(C5531&lt;99,VLOOKUP(C5531,'MSA-Lookup'!$H$1:$I$86,2),C5531),C5531)</f>
        <v>9999</v>
      </c>
      <c r="G5531" s="0" t="n">
        <f aca="false">VLOOKUP(E5531,'MSA-Lookup'!$AA$1:$AB$25,2)</f>
        <v>8780</v>
      </c>
      <c r="H5531" s="0" t="n">
        <f aca="false">IF(C5531&gt;1,IF(C5531&lt;99,VLOOKUP(F5531,'MSA-Lookup'!$AA$1:$AB$25,2),C5531),C5531)</f>
        <v>9999</v>
      </c>
    </row>
    <row r="5532" customFormat="false" ht="12.75" hidden="false" customHeight="false" outlineLevel="0" collapsed="false">
      <c r="A5532" s="0" t="n">
        <f aca="false">B5532*1000+C5532</f>
        <v>75078</v>
      </c>
      <c r="B5532" s="0" t="n">
        <v>75</v>
      </c>
      <c r="C5532" s="0" t="n">
        <v>78</v>
      </c>
      <c r="D5532" s="0" t="n">
        <v>91</v>
      </c>
      <c r="E5532" s="0" t="n">
        <f aca="false">VLOOKUP(B5532,'MSA-Lookup'!$H$2:$I$86,2)</f>
        <v>8780</v>
      </c>
      <c r="F5532" s="0" t="n">
        <f aca="false">IF(C5532&gt;1,IF(C5532&lt;99,VLOOKUP(C5532,'MSA-Lookup'!$H$1:$I$86,2),C5532),C5532)</f>
        <v>680</v>
      </c>
      <c r="G5532" s="0" t="n">
        <f aca="false">VLOOKUP(E5532,'MSA-Lookup'!$AA$1:$AB$25,2)</f>
        <v>8780</v>
      </c>
      <c r="H5532" s="0" t="n">
        <f aca="false">IF(C5532&gt;1,IF(C5532&lt;99,VLOOKUP(F5532,'MSA-Lookup'!$AA$1:$AB$25,2),C5532),C5532)</f>
        <v>680</v>
      </c>
    </row>
    <row r="5533" customFormat="false" ht="12.75" hidden="false" customHeight="false" outlineLevel="0" collapsed="false">
      <c r="A5533" s="0" t="n">
        <f aca="false">B5533*1000+C5533</f>
        <v>75079</v>
      </c>
      <c r="B5533" s="0" t="n">
        <v>75</v>
      </c>
      <c r="C5533" s="0" t="n">
        <v>79</v>
      </c>
      <c r="D5533" s="0" t="n">
        <v>2535</v>
      </c>
      <c r="E5533" s="0" t="n">
        <f aca="false">VLOOKUP(B5533,'MSA-Lookup'!$H$2:$I$86,2)</f>
        <v>8780</v>
      </c>
      <c r="F5533" s="0" t="n">
        <f aca="false">IF(C5533&gt;1,IF(C5533&lt;99,VLOOKUP(C5533,'MSA-Lookup'!$H$1:$I$86,2),C5533),C5533)</f>
        <v>680</v>
      </c>
      <c r="G5533" s="0" t="n">
        <f aca="false">VLOOKUP(E5533,'MSA-Lookup'!$AA$1:$AB$25,2)</f>
        <v>8780</v>
      </c>
      <c r="H5533" s="0" t="n">
        <f aca="false">IF(C5533&gt;1,IF(C5533&lt;99,VLOOKUP(F5533,'MSA-Lookup'!$AA$1:$AB$25,2),C5533),C5533)</f>
        <v>680</v>
      </c>
    </row>
    <row r="5534" customFormat="false" ht="12.75" hidden="false" customHeight="false" outlineLevel="0" collapsed="false">
      <c r="A5534" s="0" t="n">
        <f aca="false">B5534*1000+C5534</f>
        <v>75080</v>
      </c>
      <c r="B5534" s="0" t="n">
        <v>75</v>
      </c>
      <c r="C5534" s="0" t="n">
        <v>80</v>
      </c>
      <c r="D5534" s="0" t="n">
        <v>65</v>
      </c>
      <c r="E5534" s="0" t="n">
        <f aca="false">VLOOKUP(B5534,'MSA-Lookup'!$H$2:$I$86,2)</f>
        <v>8780</v>
      </c>
      <c r="F5534" s="0" t="n">
        <f aca="false">IF(C5534&gt;1,IF(C5534&lt;99,VLOOKUP(C5534,'MSA-Lookup'!$H$1:$I$86,2),C5534),C5534)</f>
        <v>9999</v>
      </c>
      <c r="G5534" s="0" t="n">
        <f aca="false">VLOOKUP(E5534,'MSA-Lookup'!$AA$1:$AB$25,2)</f>
        <v>8780</v>
      </c>
      <c r="H5534" s="0" t="n">
        <f aca="false">IF(C5534&gt;1,IF(C5534&lt;99,VLOOKUP(F5534,'MSA-Lookup'!$AA$1:$AB$25,2),C5534),C5534)</f>
        <v>9999</v>
      </c>
    </row>
    <row r="5535" customFormat="false" ht="12.75" hidden="false" customHeight="false" outlineLevel="0" collapsed="false">
      <c r="A5535" s="0" t="n">
        <f aca="false">B5535*1000+C5535</f>
        <v>75081</v>
      </c>
      <c r="B5535" s="0" t="n">
        <v>75</v>
      </c>
      <c r="C5535" s="0" t="n">
        <v>81</v>
      </c>
      <c r="D5535" s="0" t="n">
        <v>0</v>
      </c>
      <c r="E5535" s="0" t="n">
        <f aca="false">VLOOKUP(B5535,'MSA-Lookup'!$H$2:$I$86,2)</f>
        <v>8780</v>
      </c>
      <c r="F5535" s="0" t="n">
        <f aca="false">IF(C5535&gt;1,IF(C5535&lt;99,VLOOKUP(C5535,'MSA-Lookup'!$H$1:$I$86,2),C5535),C5535)</f>
        <v>6780</v>
      </c>
      <c r="G5535" s="0" t="n">
        <f aca="false">VLOOKUP(E5535,'MSA-Lookup'!$AA$1:$AB$25,2)</f>
        <v>8780</v>
      </c>
      <c r="H5535" s="0" t="n">
        <f aca="false">IF(C5535&gt;1,IF(C5535&lt;99,VLOOKUP(F5535,'MSA-Lookup'!$AA$1:$AB$25,2),C5535),C5535)</f>
        <v>4472</v>
      </c>
    </row>
    <row r="5536" customFormat="false" ht="12.75" hidden="false" customHeight="false" outlineLevel="0" collapsed="false">
      <c r="A5536" s="0" t="n">
        <f aca="false">B5536*1000+C5536</f>
        <v>75082</v>
      </c>
      <c r="B5536" s="0" t="n">
        <v>75</v>
      </c>
      <c r="C5536" s="0" t="n">
        <v>82</v>
      </c>
      <c r="D5536" s="0" t="n">
        <v>0</v>
      </c>
      <c r="E5536" s="0" t="n">
        <f aca="false">VLOOKUP(B5536,'MSA-Lookup'!$H$2:$I$86,2)</f>
        <v>8780</v>
      </c>
      <c r="F5536" s="0" t="n">
        <f aca="false">IF(C5536&gt;1,IF(C5536&lt;99,VLOOKUP(C5536,'MSA-Lookup'!$H$1:$I$86,2),C5536),C5536)</f>
        <v>6780</v>
      </c>
      <c r="G5536" s="0" t="n">
        <f aca="false">VLOOKUP(E5536,'MSA-Lookup'!$AA$1:$AB$25,2)</f>
        <v>8780</v>
      </c>
      <c r="H5536" s="0" t="n">
        <f aca="false">IF(C5536&gt;1,IF(C5536&lt;99,VLOOKUP(F5536,'MSA-Lookup'!$AA$1:$AB$25,2),C5536),C5536)</f>
        <v>4472</v>
      </c>
    </row>
    <row r="5537" customFormat="false" ht="12.75" hidden="false" customHeight="false" outlineLevel="0" collapsed="false">
      <c r="A5537" s="0" t="n">
        <f aca="false">B5537*1000+C5537</f>
        <v>75083</v>
      </c>
      <c r="B5537" s="0" t="n">
        <v>75</v>
      </c>
      <c r="C5537" s="0" t="n">
        <v>83</v>
      </c>
      <c r="D5537" s="0" t="n">
        <v>0</v>
      </c>
      <c r="E5537" s="0" t="n">
        <f aca="false">VLOOKUP(B5537,'MSA-Lookup'!$H$2:$I$86,2)</f>
        <v>8780</v>
      </c>
      <c r="F5537" s="0" t="n">
        <f aca="false">IF(C5537&gt;1,IF(C5537&lt;99,VLOOKUP(C5537,'MSA-Lookup'!$H$1:$I$86,2),C5537),C5537)</f>
        <v>6000</v>
      </c>
      <c r="G5537" s="0" t="n">
        <f aca="false">VLOOKUP(E5537,'MSA-Lookup'!$AA$1:$AB$25,2)</f>
        <v>8780</v>
      </c>
      <c r="H5537" s="0" t="n">
        <f aca="false">IF(C5537&gt;1,IF(C5537&lt;99,VLOOKUP(F5537,'MSA-Lookup'!$AA$1:$AB$25,2),C5537),C5537)</f>
        <v>4472</v>
      </c>
    </row>
    <row r="5538" customFormat="false" ht="12.75" hidden="false" customHeight="false" outlineLevel="0" collapsed="false">
      <c r="A5538" s="0" t="n">
        <f aca="false">B5538*1000+C5538</f>
        <v>75084</v>
      </c>
      <c r="B5538" s="0" t="n">
        <v>75</v>
      </c>
      <c r="C5538" s="0" t="n">
        <v>84</v>
      </c>
      <c r="D5538" s="0" t="n">
        <v>143</v>
      </c>
      <c r="E5538" s="0" t="n">
        <f aca="false">VLOOKUP(B5538,'MSA-Lookup'!$H$2:$I$86,2)</f>
        <v>8780</v>
      </c>
      <c r="F5538" s="0" t="n">
        <f aca="false">IF(C5538&gt;1,IF(C5538&lt;99,VLOOKUP(C5538,'MSA-Lookup'!$H$1:$I$86,2),C5538),C5538)</f>
        <v>360</v>
      </c>
      <c r="G5538" s="0" t="n">
        <f aca="false">VLOOKUP(E5538,'MSA-Lookup'!$AA$1:$AB$25,2)</f>
        <v>8780</v>
      </c>
      <c r="H5538" s="0" t="n">
        <f aca="false">IF(C5538&gt;1,IF(C5538&lt;99,VLOOKUP(F5538,'MSA-Lookup'!$AA$1:$AB$25,2),C5538),C5538)</f>
        <v>4472</v>
      </c>
    </row>
    <row r="5539" customFormat="false" ht="12.75" hidden="false" customHeight="false" outlineLevel="0" collapsed="false">
      <c r="A5539" s="0" t="n">
        <f aca="false">B5539*1000+C5539</f>
        <v>75085</v>
      </c>
      <c r="B5539" s="0" t="n">
        <v>75</v>
      </c>
      <c r="C5539" s="0" t="n">
        <v>85</v>
      </c>
      <c r="D5539" s="0" t="n">
        <v>0</v>
      </c>
      <c r="E5539" s="0" t="n">
        <f aca="false">VLOOKUP(B5539,'MSA-Lookup'!$H$2:$I$86,2)</f>
        <v>8780</v>
      </c>
      <c r="F5539" s="0" t="n">
        <f aca="false">IF(C5539&gt;1,IF(C5539&lt;99,VLOOKUP(C5539,'MSA-Lookup'!$H$1:$I$86,2),C5539),C5539)</f>
        <v>8120</v>
      </c>
      <c r="G5539" s="0" t="n">
        <f aca="false">VLOOKUP(E5539,'MSA-Lookup'!$AA$1:$AB$25,2)</f>
        <v>8780</v>
      </c>
      <c r="H5539" s="0" t="n">
        <f aca="false">IF(C5539&gt;1,IF(C5539&lt;99,VLOOKUP(F5539,'MSA-Lookup'!$AA$1:$AB$25,2),C5539),C5539)</f>
        <v>8120</v>
      </c>
    </row>
    <row r="5540" customFormat="false" ht="12.75" hidden="false" customHeight="false" outlineLevel="0" collapsed="false">
      <c r="A5540" s="0" t="n">
        <f aca="false">B5540*1000+C5540</f>
        <v>75858</v>
      </c>
      <c r="B5540" s="0" t="n">
        <v>75</v>
      </c>
      <c r="C5540" s="0" t="n">
        <v>858</v>
      </c>
      <c r="D5540" s="0" t="n">
        <v>0</v>
      </c>
      <c r="E5540" s="0" t="n">
        <f aca="false">VLOOKUP(B5540,'MSA-Lookup'!$H$2:$I$86,2)</f>
        <v>8780</v>
      </c>
      <c r="F5540" s="0" t="n">
        <f aca="false">IF(C5540&gt;1,IF(C5540&lt;99,VLOOKUP(C5540,'MSA-Lookup'!$H$1:$I$86,2),C5540),C5540)</f>
        <v>858</v>
      </c>
      <c r="G5540" s="0" t="n">
        <f aca="false">VLOOKUP(E5540,'MSA-Lookup'!$AA$1:$AB$25,2)</f>
        <v>8780</v>
      </c>
      <c r="H5540" s="0" t="n">
        <f aca="false">IF(C5540&gt;1,IF(C5540&lt;99,VLOOKUP(F5540,'MSA-Lookup'!$AA$1:$AB$25,2),C5540),C5540)</f>
        <v>858</v>
      </c>
    </row>
    <row r="5541" customFormat="false" ht="12.75" hidden="false" customHeight="false" outlineLevel="0" collapsed="false">
      <c r="A5541" s="0" t="n">
        <f aca="false">B5541*1000+C5541</f>
        <v>75983</v>
      </c>
      <c r="B5541" s="0" t="n">
        <v>75</v>
      </c>
      <c r="C5541" s="0" t="n">
        <v>983</v>
      </c>
      <c r="D5541" s="0" t="n">
        <v>0</v>
      </c>
      <c r="E5541" s="0" t="n">
        <f aca="false">VLOOKUP(B5541,'MSA-Lookup'!$H$2:$I$86,2)</f>
        <v>8780</v>
      </c>
      <c r="F5541" s="0" t="n">
        <f aca="false">IF(C5541&gt;1,IF(C5541&lt;99,VLOOKUP(C5541,'MSA-Lookup'!$H$1:$I$86,2),C5541),C5541)</f>
        <v>983</v>
      </c>
      <c r="G5541" s="0" t="n">
        <f aca="false">VLOOKUP(E5541,'MSA-Lookup'!$AA$1:$AB$25,2)</f>
        <v>8780</v>
      </c>
      <c r="H5541" s="0" t="n">
        <f aca="false">IF(C5541&gt;1,IF(C5541&lt;99,VLOOKUP(F5541,'MSA-Lookup'!$AA$1:$AB$25,2),C5541),C5541)</f>
        <v>983</v>
      </c>
    </row>
    <row r="5542" customFormat="false" ht="12.75" hidden="false" customHeight="false" outlineLevel="0" collapsed="false">
      <c r="A5542" s="0" t="n">
        <f aca="false">B5542*1000+C5542</f>
        <v>75999</v>
      </c>
      <c r="B5542" s="0" t="n">
        <v>75</v>
      </c>
      <c r="C5542" s="0" t="n">
        <v>999</v>
      </c>
      <c r="D5542" s="0" t="n">
        <v>91</v>
      </c>
      <c r="E5542" s="0" t="n">
        <f aca="false">VLOOKUP(B5542,'MSA-Lookup'!$H$2:$I$86,2)</f>
        <v>8780</v>
      </c>
      <c r="F5542" s="0" t="n">
        <f aca="false">IF(C5542&gt;1,IF(C5542&lt;99,VLOOKUP(C5542,'MSA-Lookup'!$H$1:$I$86,2),C5542),C5542)</f>
        <v>999</v>
      </c>
      <c r="G5542" s="0" t="n">
        <f aca="false">VLOOKUP(E5542,'MSA-Lookup'!$AA$1:$AB$25,2)</f>
        <v>8780</v>
      </c>
      <c r="H5542" s="0" t="n">
        <f aca="false">IF(C5542&gt;1,IF(C5542&lt;99,VLOOKUP(F5542,'MSA-Lookup'!$AA$1:$AB$25,2),C5542),C5542)</f>
        <v>999</v>
      </c>
    </row>
    <row r="5543" customFormat="false" ht="12.75" hidden="false" customHeight="false" outlineLevel="0" collapsed="false">
      <c r="A5543" s="0" t="n">
        <f aca="false">B5543*1000+C5543</f>
        <v>76000</v>
      </c>
      <c r="B5543" s="0" t="n">
        <v>76</v>
      </c>
      <c r="C5543" s="0" t="n">
        <v>0</v>
      </c>
      <c r="D5543" s="0" t="n">
        <v>116324</v>
      </c>
      <c r="E5543" s="0" t="n">
        <f aca="false">VLOOKUP(B5543,'MSA-Lookup'!$H$2:$I$86,2)</f>
        <v>7485</v>
      </c>
      <c r="F5543" s="0" t="n">
        <f aca="false">IF(C5543&gt;1,IF(C5543&lt;99,VLOOKUP(C5543,'MSA-Lookup'!$H$1:$I$86,2),C5543),C5543)</f>
        <v>0</v>
      </c>
      <c r="G5543" s="0" t="n">
        <f aca="false">VLOOKUP(E5543,'MSA-Lookup'!$AA$1:$AB$25,2)</f>
        <v>7362</v>
      </c>
      <c r="H5543" s="0" t="n">
        <f aca="false">IF(C5543&gt;1,IF(C5543&lt;99,VLOOKUP(F5543,'MSA-Lookup'!$AA$1:$AB$25,2),C5543),C5543)</f>
        <v>0</v>
      </c>
    </row>
    <row r="5544" customFormat="false" ht="12.75" hidden="false" customHeight="false" outlineLevel="0" collapsed="false">
      <c r="A5544" s="0" t="n">
        <f aca="false">B5544*1000+C5544</f>
        <v>76001</v>
      </c>
      <c r="B5544" s="0" t="n">
        <v>76</v>
      </c>
      <c r="C5544" s="0" t="n">
        <v>1</v>
      </c>
      <c r="D5544" s="0" t="n">
        <v>0</v>
      </c>
      <c r="E5544" s="0" t="n">
        <f aca="false">VLOOKUP(B5544,'MSA-Lookup'!$H$2:$I$86,2)</f>
        <v>7485</v>
      </c>
      <c r="F5544" s="0" t="n">
        <f aca="false">IF(C5544&gt;1,IF(C5544&lt;99,VLOOKUP(C5544,'MSA-Lookup'!$H$1:$I$86,2),C5544),C5544)</f>
        <v>1</v>
      </c>
      <c r="G5544" s="0" t="n">
        <f aca="false">VLOOKUP(E5544,'MSA-Lookup'!$AA$1:$AB$25,2)</f>
        <v>7362</v>
      </c>
      <c r="H5544" s="0" t="n">
        <f aca="false">IF(C5544&gt;1,IF(C5544&lt;99,VLOOKUP(F5544,'MSA-Lookup'!$AA$1:$AB$25,2),C5544),C5544)</f>
        <v>1</v>
      </c>
    </row>
    <row r="5545" customFormat="false" ht="12.75" hidden="false" customHeight="false" outlineLevel="0" collapsed="false">
      <c r="A5545" s="0" t="n">
        <f aca="false">B5545*1000+C5545</f>
        <v>76002</v>
      </c>
      <c r="B5545" s="0" t="n">
        <v>76</v>
      </c>
      <c r="C5545" s="0" t="n">
        <v>2</v>
      </c>
      <c r="D5545" s="0" t="n">
        <v>0</v>
      </c>
      <c r="E5545" s="0" t="n">
        <f aca="false">VLOOKUP(B5545,'MSA-Lookup'!$H$2:$I$86,2)</f>
        <v>7485</v>
      </c>
      <c r="F5545" s="0" t="n">
        <f aca="false">IF(C5545&gt;1,IF(C5545&lt;99,VLOOKUP(C5545,'MSA-Lookup'!$H$1:$I$86,2),C5545),C5545)</f>
        <v>9999</v>
      </c>
      <c r="G5545" s="0" t="n">
        <f aca="false">VLOOKUP(E5545,'MSA-Lookup'!$AA$1:$AB$25,2)</f>
        <v>7362</v>
      </c>
      <c r="H5545" s="0" t="n">
        <f aca="false">IF(C5545&gt;1,IF(C5545&lt;99,VLOOKUP(F5545,'MSA-Lookup'!$AA$1:$AB$25,2),C5545),C5545)</f>
        <v>9999</v>
      </c>
    </row>
    <row r="5546" customFormat="false" ht="12.75" hidden="false" customHeight="false" outlineLevel="0" collapsed="false">
      <c r="A5546" s="0" t="n">
        <f aca="false">B5546*1000+C5546</f>
        <v>76003</v>
      </c>
      <c r="B5546" s="0" t="n">
        <v>76</v>
      </c>
      <c r="C5546" s="0" t="n">
        <v>3</v>
      </c>
      <c r="D5546" s="0" t="n">
        <v>0</v>
      </c>
      <c r="E5546" s="0" t="n">
        <f aca="false">VLOOKUP(B5546,'MSA-Lookup'!$H$2:$I$86,2)</f>
        <v>7485</v>
      </c>
      <c r="F5546" s="0" t="n">
        <f aca="false">IF(C5546&gt;1,IF(C5546&lt;99,VLOOKUP(C5546,'MSA-Lookup'!$H$1:$I$86,2),C5546),C5546)</f>
        <v>6690</v>
      </c>
      <c r="G5546" s="0" t="n">
        <f aca="false">VLOOKUP(E5546,'MSA-Lookup'!$AA$1:$AB$25,2)</f>
        <v>7362</v>
      </c>
      <c r="H5546" s="0" t="n">
        <f aca="false">IF(C5546&gt;1,IF(C5546&lt;99,VLOOKUP(F5546,'MSA-Lookup'!$AA$1:$AB$25,2),C5546),C5546)</f>
        <v>6690</v>
      </c>
    </row>
    <row r="5547" customFormat="false" ht="12.75" hidden="false" customHeight="false" outlineLevel="0" collapsed="false">
      <c r="A5547" s="0" t="n">
        <f aca="false">B5547*1000+C5547</f>
        <v>76004</v>
      </c>
      <c r="B5547" s="0" t="n">
        <v>76</v>
      </c>
      <c r="C5547" s="0" t="n">
        <v>4</v>
      </c>
      <c r="D5547" s="0" t="n">
        <v>143</v>
      </c>
      <c r="E5547" s="0" t="n">
        <f aca="false">VLOOKUP(B5547,'MSA-Lookup'!$H$2:$I$86,2)</f>
        <v>7485</v>
      </c>
      <c r="F5547" s="0" t="n">
        <f aca="false">IF(C5547&gt;1,IF(C5547&lt;99,VLOOKUP(C5547,'MSA-Lookup'!$H$1:$I$86,2),C5547),C5547)</f>
        <v>9999</v>
      </c>
      <c r="G5547" s="0" t="n">
        <f aca="false">VLOOKUP(E5547,'MSA-Lookup'!$AA$1:$AB$25,2)</f>
        <v>7362</v>
      </c>
      <c r="H5547" s="0" t="n">
        <f aca="false">IF(C5547&gt;1,IF(C5547&lt;99,VLOOKUP(F5547,'MSA-Lookup'!$AA$1:$AB$25,2),C5547),C5547)</f>
        <v>9999</v>
      </c>
    </row>
    <row r="5548" customFormat="false" ht="12.75" hidden="false" customHeight="false" outlineLevel="0" collapsed="false">
      <c r="A5548" s="0" t="n">
        <f aca="false">B5548*1000+C5548</f>
        <v>76005</v>
      </c>
      <c r="B5548" s="0" t="n">
        <v>76</v>
      </c>
      <c r="C5548" s="0" t="n">
        <v>5</v>
      </c>
      <c r="D5548" s="0" t="n">
        <v>0</v>
      </c>
      <c r="E5548" s="0" t="n">
        <f aca="false">VLOOKUP(B5548,'MSA-Lookup'!$H$2:$I$86,2)</f>
        <v>7485</v>
      </c>
      <c r="F5548" s="0" t="n">
        <f aca="false">IF(C5548&gt;1,IF(C5548&lt;99,VLOOKUP(C5548,'MSA-Lookup'!$H$1:$I$86,2),C5548),C5548)</f>
        <v>9999</v>
      </c>
      <c r="G5548" s="0" t="n">
        <f aca="false">VLOOKUP(E5548,'MSA-Lookup'!$AA$1:$AB$25,2)</f>
        <v>7362</v>
      </c>
      <c r="H5548" s="0" t="n">
        <f aca="false">IF(C5548&gt;1,IF(C5548&lt;99,VLOOKUP(F5548,'MSA-Lookup'!$AA$1:$AB$25,2),C5548),C5548)</f>
        <v>9999</v>
      </c>
    </row>
    <row r="5549" customFormat="false" ht="12.75" hidden="false" customHeight="false" outlineLevel="0" collapsed="false">
      <c r="A5549" s="0" t="n">
        <f aca="false">B5549*1000+C5549</f>
        <v>76006</v>
      </c>
      <c r="B5549" s="0" t="n">
        <v>76</v>
      </c>
      <c r="C5549" s="0" t="n">
        <v>6</v>
      </c>
      <c r="D5549" s="0" t="n">
        <v>0</v>
      </c>
      <c r="E5549" s="0" t="n">
        <f aca="false">VLOOKUP(B5549,'MSA-Lookup'!$H$2:$I$86,2)</f>
        <v>7485</v>
      </c>
      <c r="F5549" s="0" t="n">
        <f aca="false">IF(C5549&gt;1,IF(C5549&lt;99,VLOOKUP(C5549,'MSA-Lookup'!$H$1:$I$86,2),C5549),C5549)</f>
        <v>1620</v>
      </c>
      <c r="G5549" s="0" t="n">
        <f aca="false">VLOOKUP(E5549,'MSA-Lookup'!$AA$1:$AB$25,2)</f>
        <v>7362</v>
      </c>
      <c r="H5549" s="0" t="n">
        <f aca="false">IF(C5549&gt;1,IF(C5549&lt;99,VLOOKUP(F5549,'MSA-Lookup'!$AA$1:$AB$25,2),C5549),C5549)</f>
        <v>1620</v>
      </c>
    </row>
    <row r="5550" customFormat="false" ht="12.75" hidden="false" customHeight="false" outlineLevel="0" collapsed="false">
      <c r="A5550" s="0" t="n">
        <f aca="false">B5550*1000+C5550</f>
        <v>76007</v>
      </c>
      <c r="B5550" s="0" t="n">
        <v>76</v>
      </c>
      <c r="C5550" s="0" t="n">
        <v>7</v>
      </c>
      <c r="D5550" s="0" t="n">
        <v>0</v>
      </c>
      <c r="E5550" s="0" t="n">
        <f aca="false">VLOOKUP(B5550,'MSA-Lookup'!$H$2:$I$86,2)</f>
        <v>7485</v>
      </c>
      <c r="F5550" s="0" t="n">
        <f aca="false">IF(C5550&gt;1,IF(C5550&lt;99,VLOOKUP(C5550,'MSA-Lookup'!$H$1:$I$86,2),C5550),C5550)</f>
        <v>9999</v>
      </c>
      <c r="G5550" s="0" t="n">
        <f aca="false">VLOOKUP(E5550,'MSA-Lookup'!$AA$1:$AB$25,2)</f>
        <v>7362</v>
      </c>
      <c r="H5550" s="0" t="n">
        <f aca="false">IF(C5550&gt;1,IF(C5550&lt;99,VLOOKUP(F5550,'MSA-Lookup'!$AA$1:$AB$25,2),C5550),C5550)</f>
        <v>9999</v>
      </c>
    </row>
    <row r="5551" customFormat="false" ht="12.75" hidden="false" customHeight="false" outlineLevel="0" collapsed="false">
      <c r="A5551" s="0" t="n">
        <f aca="false">B5551*1000+C5551</f>
        <v>76008</v>
      </c>
      <c r="B5551" s="0" t="n">
        <v>76</v>
      </c>
      <c r="C5551" s="0" t="n">
        <v>8</v>
      </c>
      <c r="D5551" s="0" t="n">
        <v>0</v>
      </c>
      <c r="E5551" s="0" t="n">
        <f aca="false">VLOOKUP(B5551,'MSA-Lookup'!$H$2:$I$86,2)</f>
        <v>7485</v>
      </c>
      <c r="F5551" s="0" t="n">
        <f aca="false">IF(C5551&gt;1,IF(C5551&lt;99,VLOOKUP(C5551,'MSA-Lookup'!$H$1:$I$86,2),C5551),C5551)</f>
        <v>9340</v>
      </c>
      <c r="G5551" s="0" t="n">
        <f aca="false">VLOOKUP(E5551,'MSA-Lookup'!$AA$1:$AB$25,2)</f>
        <v>7362</v>
      </c>
      <c r="H5551" s="0" t="n">
        <f aca="false">IF(C5551&gt;1,IF(C5551&lt;99,VLOOKUP(F5551,'MSA-Lookup'!$AA$1:$AB$25,2),C5551),C5551)</f>
        <v>9340</v>
      </c>
    </row>
    <row r="5552" customFormat="false" ht="12.75" hidden="false" customHeight="false" outlineLevel="0" collapsed="false">
      <c r="A5552" s="0" t="n">
        <f aca="false">B5552*1000+C5552</f>
        <v>76009</v>
      </c>
      <c r="B5552" s="0" t="n">
        <v>76</v>
      </c>
      <c r="C5552" s="0" t="n">
        <v>9</v>
      </c>
      <c r="D5552" s="0" t="n">
        <v>0</v>
      </c>
      <c r="E5552" s="0" t="n">
        <f aca="false">VLOOKUP(B5552,'MSA-Lookup'!$H$2:$I$86,2)</f>
        <v>7485</v>
      </c>
      <c r="F5552" s="0" t="n">
        <f aca="false">IF(C5552&gt;1,IF(C5552&lt;99,VLOOKUP(C5552,'MSA-Lookup'!$H$1:$I$86,2),C5552),C5552)</f>
        <v>8720</v>
      </c>
      <c r="G5552" s="0" t="n">
        <f aca="false">VLOOKUP(E5552,'MSA-Lookup'!$AA$1:$AB$25,2)</f>
        <v>7362</v>
      </c>
      <c r="H5552" s="0" t="n">
        <f aca="false">IF(C5552&gt;1,IF(C5552&lt;99,VLOOKUP(F5552,'MSA-Lookup'!$AA$1:$AB$25,2),C5552),C5552)</f>
        <v>7362</v>
      </c>
    </row>
    <row r="5553" customFormat="false" ht="12.75" hidden="false" customHeight="false" outlineLevel="0" collapsed="false">
      <c r="A5553" s="0" t="n">
        <f aca="false">B5553*1000+C5553</f>
        <v>76010</v>
      </c>
      <c r="B5553" s="0" t="n">
        <v>76</v>
      </c>
      <c r="C5553" s="0" t="n">
        <v>10</v>
      </c>
      <c r="D5553" s="0" t="n">
        <v>0</v>
      </c>
      <c r="E5553" s="0" t="n">
        <f aca="false">VLOOKUP(B5553,'MSA-Lookup'!$H$2:$I$86,2)</f>
        <v>7485</v>
      </c>
      <c r="F5553" s="0" t="n">
        <f aca="false">IF(C5553&gt;1,IF(C5553&lt;99,VLOOKUP(C5553,'MSA-Lookup'!$H$1:$I$86,2),C5553),C5553)</f>
        <v>6920</v>
      </c>
      <c r="G5553" s="0" t="n">
        <f aca="false">VLOOKUP(E5553,'MSA-Lookup'!$AA$1:$AB$25,2)</f>
        <v>7362</v>
      </c>
      <c r="H5553" s="0" t="n">
        <f aca="false">IF(C5553&gt;1,IF(C5553&lt;99,VLOOKUP(F5553,'MSA-Lookup'!$AA$1:$AB$25,2),C5553),C5553)</f>
        <v>6920</v>
      </c>
    </row>
    <row r="5554" customFormat="false" ht="12.75" hidden="false" customHeight="false" outlineLevel="0" collapsed="false">
      <c r="A5554" s="0" t="n">
        <f aca="false">B5554*1000+C5554</f>
        <v>76011</v>
      </c>
      <c r="B5554" s="0" t="n">
        <v>76</v>
      </c>
      <c r="C5554" s="0" t="n">
        <v>11</v>
      </c>
      <c r="D5554" s="0" t="n">
        <v>0</v>
      </c>
      <c r="E5554" s="0" t="n">
        <f aca="false">VLOOKUP(B5554,'MSA-Lookup'!$H$2:$I$86,2)</f>
        <v>7485</v>
      </c>
      <c r="F5554" s="0" t="n">
        <f aca="false">IF(C5554&gt;1,IF(C5554&lt;99,VLOOKUP(C5554,'MSA-Lookup'!$H$1:$I$86,2),C5554),C5554)</f>
        <v>6920</v>
      </c>
      <c r="G5554" s="0" t="n">
        <f aca="false">VLOOKUP(E5554,'MSA-Lookup'!$AA$1:$AB$25,2)</f>
        <v>7362</v>
      </c>
      <c r="H5554" s="0" t="n">
        <f aca="false">IF(C5554&gt;1,IF(C5554&lt;99,VLOOKUP(F5554,'MSA-Lookup'!$AA$1:$AB$25,2),C5554),C5554)</f>
        <v>6920</v>
      </c>
    </row>
    <row r="5555" customFormat="false" ht="12.75" hidden="false" customHeight="false" outlineLevel="0" collapsed="false">
      <c r="A5555" s="0" t="n">
        <f aca="false">B5555*1000+C5555</f>
        <v>76012</v>
      </c>
      <c r="B5555" s="0" t="n">
        <v>76</v>
      </c>
      <c r="C5555" s="0" t="n">
        <v>12</v>
      </c>
      <c r="D5555" s="0" t="n">
        <v>0</v>
      </c>
      <c r="E5555" s="0" t="n">
        <f aca="false">VLOOKUP(B5555,'MSA-Lookup'!$H$2:$I$86,2)</f>
        <v>7485</v>
      </c>
      <c r="F5555" s="0" t="n">
        <f aca="false">IF(C5555&gt;1,IF(C5555&lt;99,VLOOKUP(C5555,'MSA-Lookup'!$H$1:$I$86,2),C5555),C5555)</f>
        <v>6920</v>
      </c>
      <c r="G5555" s="0" t="n">
        <f aca="false">VLOOKUP(E5555,'MSA-Lookup'!$AA$1:$AB$25,2)</f>
        <v>7362</v>
      </c>
      <c r="H5555" s="0" t="n">
        <f aca="false">IF(C5555&gt;1,IF(C5555&lt;99,VLOOKUP(F5555,'MSA-Lookup'!$AA$1:$AB$25,2),C5555),C5555)</f>
        <v>6920</v>
      </c>
    </row>
    <row r="5556" customFormat="false" ht="12.75" hidden="false" customHeight="false" outlineLevel="0" collapsed="false">
      <c r="A5556" s="0" t="n">
        <f aca="false">B5556*1000+C5556</f>
        <v>76013</v>
      </c>
      <c r="B5556" s="0" t="n">
        <v>76</v>
      </c>
      <c r="C5556" s="0" t="n">
        <v>13</v>
      </c>
      <c r="D5556" s="0" t="n">
        <v>0</v>
      </c>
      <c r="E5556" s="0" t="n">
        <f aca="false">VLOOKUP(B5556,'MSA-Lookup'!$H$2:$I$86,2)</f>
        <v>7485</v>
      </c>
      <c r="F5556" s="0" t="n">
        <f aca="false">IF(C5556&gt;1,IF(C5556&lt;99,VLOOKUP(C5556,'MSA-Lookup'!$H$1:$I$86,2),C5556),C5556)</f>
        <v>7500</v>
      </c>
      <c r="G5556" s="0" t="n">
        <f aca="false">VLOOKUP(E5556,'MSA-Lookup'!$AA$1:$AB$25,2)</f>
        <v>7362</v>
      </c>
      <c r="H5556" s="0" t="n">
        <f aca="false">IF(C5556&gt;1,IF(C5556&lt;99,VLOOKUP(F5556,'MSA-Lookup'!$AA$1:$AB$25,2),C5556),C5556)</f>
        <v>7362</v>
      </c>
    </row>
    <row r="5557" customFormat="false" ht="12.75" hidden="false" customHeight="false" outlineLevel="0" collapsed="false">
      <c r="A5557" s="0" t="n">
        <f aca="false">B5557*1000+C5557</f>
        <v>76014</v>
      </c>
      <c r="B5557" s="0" t="n">
        <v>76</v>
      </c>
      <c r="C5557" s="0" t="n">
        <v>14</v>
      </c>
      <c r="D5557" s="0" t="n">
        <v>0</v>
      </c>
      <c r="E5557" s="0" t="n">
        <f aca="false">VLOOKUP(B5557,'MSA-Lookup'!$H$2:$I$86,2)</f>
        <v>7485</v>
      </c>
      <c r="F5557" s="0" t="n">
        <f aca="false">IF(C5557&gt;1,IF(C5557&lt;99,VLOOKUP(C5557,'MSA-Lookup'!$H$1:$I$86,2),C5557),C5557)</f>
        <v>7500</v>
      </c>
      <c r="G5557" s="0" t="n">
        <f aca="false">VLOOKUP(E5557,'MSA-Lookup'!$AA$1:$AB$25,2)</f>
        <v>7362</v>
      </c>
      <c r="H5557" s="0" t="n">
        <f aca="false">IF(C5557&gt;1,IF(C5557&lt;99,VLOOKUP(F5557,'MSA-Lookup'!$AA$1:$AB$25,2),C5557),C5557)</f>
        <v>7362</v>
      </c>
    </row>
    <row r="5558" customFormat="false" ht="12.75" hidden="false" customHeight="false" outlineLevel="0" collapsed="false">
      <c r="A5558" s="0" t="n">
        <f aca="false">B5558*1000+C5558</f>
        <v>76015</v>
      </c>
      <c r="B5558" s="0" t="n">
        <v>76</v>
      </c>
      <c r="C5558" s="0" t="n">
        <v>15</v>
      </c>
      <c r="D5558" s="0" t="n">
        <v>0</v>
      </c>
      <c r="E5558" s="0" t="n">
        <f aca="false">VLOOKUP(B5558,'MSA-Lookup'!$H$2:$I$86,2)</f>
        <v>7485</v>
      </c>
      <c r="F5558" s="0" t="n">
        <f aca="false">IF(C5558&gt;1,IF(C5558&lt;99,VLOOKUP(C5558,'MSA-Lookup'!$H$1:$I$86,2),C5558),C5558)</f>
        <v>7360</v>
      </c>
      <c r="G5558" s="0" t="n">
        <f aca="false">VLOOKUP(E5558,'MSA-Lookup'!$AA$1:$AB$25,2)</f>
        <v>7362</v>
      </c>
      <c r="H5558" s="0" t="n">
        <f aca="false">IF(C5558&gt;1,IF(C5558&lt;99,VLOOKUP(F5558,'MSA-Lookup'!$AA$1:$AB$25,2),C5558),C5558)</f>
        <v>7362</v>
      </c>
    </row>
    <row r="5559" customFormat="false" ht="12.75" hidden="false" customHeight="false" outlineLevel="0" collapsed="false">
      <c r="A5559" s="0" t="n">
        <f aca="false">B5559*1000+C5559</f>
        <v>76016</v>
      </c>
      <c r="B5559" s="0" t="n">
        <v>76</v>
      </c>
      <c r="C5559" s="0" t="n">
        <v>16</v>
      </c>
      <c r="D5559" s="0" t="n">
        <v>0</v>
      </c>
      <c r="E5559" s="0" t="n">
        <f aca="false">VLOOKUP(B5559,'MSA-Lookup'!$H$2:$I$86,2)</f>
        <v>7485</v>
      </c>
      <c r="F5559" s="0" t="n">
        <f aca="false">IF(C5559&gt;1,IF(C5559&lt;99,VLOOKUP(C5559,'MSA-Lookup'!$H$1:$I$86,2),C5559),C5559)</f>
        <v>8720</v>
      </c>
      <c r="G5559" s="0" t="n">
        <f aca="false">VLOOKUP(E5559,'MSA-Lookup'!$AA$1:$AB$25,2)</f>
        <v>7362</v>
      </c>
      <c r="H5559" s="0" t="n">
        <f aca="false">IF(C5559&gt;1,IF(C5559&lt;99,VLOOKUP(F5559,'MSA-Lookup'!$AA$1:$AB$25,2),C5559),C5559)</f>
        <v>7362</v>
      </c>
    </row>
    <row r="5560" customFormat="false" ht="12.75" hidden="false" customHeight="false" outlineLevel="0" collapsed="false">
      <c r="A5560" s="0" t="n">
        <f aca="false">B5560*1000+C5560</f>
        <v>76017</v>
      </c>
      <c r="B5560" s="0" t="n">
        <v>76</v>
      </c>
      <c r="C5560" s="0" t="n">
        <v>17</v>
      </c>
      <c r="D5560" s="0" t="n">
        <v>0</v>
      </c>
      <c r="E5560" s="0" t="n">
        <f aca="false">VLOOKUP(B5560,'MSA-Lookup'!$H$2:$I$86,2)</f>
        <v>7485</v>
      </c>
      <c r="F5560" s="0" t="n">
        <f aca="false">IF(C5560&gt;1,IF(C5560&lt;99,VLOOKUP(C5560,'MSA-Lookup'!$H$1:$I$86,2),C5560),C5560)</f>
        <v>5775</v>
      </c>
      <c r="G5560" s="0" t="n">
        <f aca="false">VLOOKUP(E5560,'MSA-Lookup'!$AA$1:$AB$25,2)</f>
        <v>7362</v>
      </c>
      <c r="H5560" s="0" t="n">
        <f aca="false">IF(C5560&gt;1,IF(C5560&lt;99,VLOOKUP(F5560,'MSA-Lookup'!$AA$1:$AB$25,2),C5560),C5560)</f>
        <v>7362</v>
      </c>
    </row>
    <row r="5561" customFormat="false" ht="12.75" hidden="false" customHeight="false" outlineLevel="0" collapsed="false">
      <c r="A5561" s="0" t="n">
        <f aca="false">B5561*1000+C5561</f>
        <v>76018</v>
      </c>
      <c r="B5561" s="0" t="n">
        <v>76</v>
      </c>
      <c r="C5561" s="0" t="n">
        <v>18</v>
      </c>
      <c r="D5561" s="0" t="n">
        <v>182</v>
      </c>
      <c r="E5561" s="0" t="n">
        <f aca="false">VLOOKUP(B5561,'MSA-Lookup'!$H$2:$I$86,2)</f>
        <v>7485</v>
      </c>
      <c r="F5561" s="0" t="n">
        <f aca="false">IF(C5561&gt;1,IF(C5561&lt;99,VLOOKUP(C5561,'MSA-Lookup'!$H$1:$I$86,2),C5561),C5561)</f>
        <v>5775</v>
      </c>
      <c r="G5561" s="0" t="n">
        <f aca="false">VLOOKUP(E5561,'MSA-Lookup'!$AA$1:$AB$25,2)</f>
        <v>7362</v>
      </c>
      <c r="H5561" s="0" t="n">
        <f aca="false">IF(C5561&gt;1,IF(C5561&lt;99,VLOOKUP(F5561,'MSA-Lookup'!$AA$1:$AB$25,2),C5561),C5561)</f>
        <v>7362</v>
      </c>
    </row>
    <row r="5562" customFormat="false" ht="12.75" hidden="false" customHeight="false" outlineLevel="0" collapsed="false">
      <c r="A5562" s="0" t="n">
        <f aca="false">B5562*1000+C5562</f>
        <v>76019</v>
      </c>
      <c r="B5562" s="0" t="n">
        <v>76</v>
      </c>
      <c r="C5562" s="0" t="n">
        <v>19</v>
      </c>
      <c r="D5562" s="0" t="n">
        <v>572</v>
      </c>
      <c r="E5562" s="0" t="n">
        <f aca="false">VLOOKUP(B5562,'MSA-Lookup'!$H$2:$I$86,2)</f>
        <v>7485</v>
      </c>
      <c r="F5562" s="0" t="n">
        <f aca="false">IF(C5562&gt;1,IF(C5562&lt;99,VLOOKUP(C5562,'MSA-Lookup'!$H$1:$I$86,2),C5562),C5562)</f>
        <v>7360</v>
      </c>
      <c r="G5562" s="0" t="n">
        <f aca="false">VLOOKUP(E5562,'MSA-Lookup'!$AA$1:$AB$25,2)</f>
        <v>7362</v>
      </c>
      <c r="H5562" s="0" t="n">
        <f aca="false">IF(C5562&gt;1,IF(C5562&lt;99,VLOOKUP(F5562,'MSA-Lookup'!$AA$1:$AB$25,2),C5562),C5562)</f>
        <v>7362</v>
      </c>
    </row>
    <row r="5563" customFormat="false" ht="12.75" hidden="false" customHeight="false" outlineLevel="0" collapsed="false">
      <c r="A5563" s="0" t="n">
        <f aca="false">B5563*1000+C5563</f>
        <v>76020</v>
      </c>
      <c r="B5563" s="0" t="n">
        <v>76</v>
      </c>
      <c r="C5563" s="0" t="n">
        <v>20</v>
      </c>
      <c r="D5563" s="0" t="n">
        <v>91</v>
      </c>
      <c r="E5563" s="0" t="n">
        <f aca="false">VLOOKUP(B5563,'MSA-Lookup'!$H$2:$I$86,2)</f>
        <v>7485</v>
      </c>
      <c r="F5563" s="0" t="n">
        <f aca="false">IF(C5563&gt;1,IF(C5563&lt;99,VLOOKUP(C5563,'MSA-Lookup'!$H$1:$I$86,2),C5563),C5563)</f>
        <v>5775</v>
      </c>
      <c r="G5563" s="0" t="n">
        <f aca="false">VLOOKUP(E5563,'MSA-Lookup'!$AA$1:$AB$25,2)</f>
        <v>7362</v>
      </c>
      <c r="H5563" s="0" t="n">
        <f aca="false">IF(C5563&gt;1,IF(C5563&lt;99,VLOOKUP(F5563,'MSA-Lookup'!$AA$1:$AB$25,2),C5563),C5563)</f>
        <v>7362</v>
      </c>
    </row>
    <row r="5564" customFormat="false" ht="12.75" hidden="false" customHeight="false" outlineLevel="0" collapsed="false">
      <c r="A5564" s="0" t="n">
        <f aca="false">B5564*1000+C5564</f>
        <v>76021</v>
      </c>
      <c r="B5564" s="0" t="n">
        <v>76</v>
      </c>
      <c r="C5564" s="0" t="n">
        <v>21</v>
      </c>
      <c r="D5564" s="0" t="n">
        <v>780</v>
      </c>
      <c r="E5564" s="0" t="n">
        <f aca="false">VLOOKUP(B5564,'MSA-Lookup'!$H$2:$I$86,2)</f>
        <v>7485</v>
      </c>
      <c r="F5564" s="0" t="n">
        <f aca="false">IF(C5564&gt;1,IF(C5564&lt;99,VLOOKUP(C5564,'MSA-Lookup'!$H$1:$I$86,2),C5564),C5564)</f>
        <v>5775</v>
      </c>
      <c r="G5564" s="0" t="n">
        <f aca="false">VLOOKUP(E5564,'MSA-Lookup'!$AA$1:$AB$25,2)</f>
        <v>7362</v>
      </c>
      <c r="H5564" s="0" t="n">
        <f aca="false">IF(C5564&gt;1,IF(C5564&lt;99,VLOOKUP(F5564,'MSA-Lookup'!$AA$1:$AB$25,2),C5564),C5564)</f>
        <v>7362</v>
      </c>
    </row>
    <row r="5565" customFormat="false" ht="12.75" hidden="false" customHeight="false" outlineLevel="0" collapsed="false">
      <c r="A5565" s="0" t="n">
        <f aca="false">B5565*1000+C5565</f>
        <v>76022</v>
      </c>
      <c r="B5565" s="0" t="n">
        <v>76</v>
      </c>
      <c r="C5565" s="0" t="n">
        <v>22</v>
      </c>
      <c r="D5565" s="0" t="n">
        <v>1534</v>
      </c>
      <c r="E5565" s="0" t="n">
        <f aca="false">VLOOKUP(B5565,'MSA-Lookup'!$H$2:$I$86,2)</f>
        <v>7485</v>
      </c>
      <c r="F5565" s="0" t="n">
        <f aca="false">IF(C5565&gt;1,IF(C5565&lt;99,VLOOKUP(C5565,'MSA-Lookup'!$H$1:$I$86,2),C5565),C5565)</f>
        <v>7360</v>
      </c>
      <c r="G5565" s="0" t="n">
        <f aca="false">VLOOKUP(E5565,'MSA-Lookup'!$AA$1:$AB$25,2)</f>
        <v>7362</v>
      </c>
      <c r="H5565" s="0" t="n">
        <f aca="false">IF(C5565&gt;1,IF(C5565&lt;99,VLOOKUP(F5565,'MSA-Lookup'!$AA$1:$AB$25,2),C5565),C5565)</f>
        <v>7362</v>
      </c>
    </row>
    <row r="5566" customFormat="false" ht="12.75" hidden="false" customHeight="false" outlineLevel="0" collapsed="false">
      <c r="A5566" s="0" t="n">
        <f aca="false">B5566*1000+C5566</f>
        <v>76023</v>
      </c>
      <c r="B5566" s="0" t="n">
        <v>76</v>
      </c>
      <c r="C5566" s="0" t="n">
        <v>23</v>
      </c>
      <c r="D5566" s="0" t="n">
        <v>0</v>
      </c>
      <c r="E5566" s="0" t="n">
        <f aca="false">VLOOKUP(B5566,'MSA-Lookup'!$H$2:$I$86,2)</f>
        <v>7485</v>
      </c>
      <c r="F5566" s="0" t="n">
        <f aca="false">IF(C5566&gt;1,IF(C5566&lt;99,VLOOKUP(C5566,'MSA-Lookup'!$H$1:$I$86,2),C5566),C5566)</f>
        <v>8120</v>
      </c>
      <c r="G5566" s="0" t="n">
        <f aca="false">VLOOKUP(E5566,'MSA-Lookup'!$AA$1:$AB$25,2)</f>
        <v>7362</v>
      </c>
      <c r="H5566" s="0" t="n">
        <f aca="false">IF(C5566&gt;1,IF(C5566&lt;99,VLOOKUP(F5566,'MSA-Lookup'!$AA$1:$AB$25,2),C5566),C5566)</f>
        <v>8120</v>
      </c>
    </row>
    <row r="5567" customFormat="false" ht="12.75" hidden="false" customHeight="false" outlineLevel="0" collapsed="false">
      <c r="A5567" s="0" t="n">
        <f aca="false">B5567*1000+C5567</f>
        <v>76024</v>
      </c>
      <c r="B5567" s="0" t="n">
        <v>76</v>
      </c>
      <c r="C5567" s="0" t="n">
        <v>24</v>
      </c>
      <c r="D5567" s="0" t="n">
        <v>0</v>
      </c>
      <c r="E5567" s="0" t="n">
        <f aca="false">VLOOKUP(B5567,'MSA-Lookup'!$H$2:$I$86,2)</f>
        <v>7485</v>
      </c>
      <c r="F5567" s="0" t="n">
        <f aca="false">IF(C5567&gt;1,IF(C5567&lt;99,VLOOKUP(C5567,'MSA-Lookup'!$H$1:$I$86,2),C5567),C5567)</f>
        <v>5170</v>
      </c>
      <c r="G5567" s="0" t="n">
        <f aca="false">VLOOKUP(E5567,'MSA-Lookup'!$AA$1:$AB$25,2)</f>
        <v>7362</v>
      </c>
      <c r="H5567" s="0" t="n">
        <f aca="false">IF(C5567&gt;1,IF(C5567&lt;99,VLOOKUP(F5567,'MSA-Lookup'!$AA$1:$AB$25,2),C5567),C5567)</f>
        <v>5170</v>
      </c>
    </row>
    <row r="5568" customFormat="false" ht="12.75" hidden="false" customHeight="false" outlineLevel="0" collapsed="false">
      <c r="A5568" s="0" t="n">
        <f aca="false">B5568*1000+C5568</f>
        <v>76025</v>
      </c>
      <c r="B5568" s="0" t="n">
        <v>76</v>
      </c>
      <c r="C5568" s="0" t="n">
        <v>25</v>
      </c>
      <c r="D5568" s="0" t="n">
        <v>104</v>
      </c>
      <c r="E5568" s="0" t="n">
        <f aca="false">VLOOKUP(B5568,'MSA-Lookup'!$H$2:$I$86,2)</f>
        <v>7485</v>
      </c>
      <c r="F5568" s="0" t="n">
        <f aca="false">IF(C5568&gt;1,IF(C5568&lt;99,VLOOKUP(C5568,'MSA-Lookup'!$H$1:$I$86,2),C5568),C5568)</f>
        <v>5170</v>
      </c>
      <c r="G5568" s="0" t="n">
        <f aca="false">VLOOKUP(E5568,'MSA-Lookup'!$AA$1:$AB$25,2)</f>
        <v>7362</v>
      </c>
      <c r="H5568" s="0" t="n">
        <f aca="false">IF(C5568&gt;1,IF(C5568&lt;99,VLOOKUP(F5568,'MSA-Lookup'!$AA$1:$AB$25,2),C5568),C5568)</f>
        <v>5170</v>
      </c>
    </row>
    <row r="5569" customFormat="false" ht="12.75" hidden="false" customHeight="false" outlineLevel="0" collapsed="false">
      <c r="A5569" s="0" t="n">
        <f aca="false">B5569*1000+C5569</f>
        <v>76026</v>
      </c>
      <c r="B5569" s="0" t="n">
        <v>76</v>
      </c>
      <c r="C5569" s="0" t="n">
        <v>26</v>
      </c>
      <c r="D5569" s="0" t="n">
        <v>0</v>
      </c>
      <c r="E5569" s="0" t="n">
        <f aca="false">VLOOKUP(B5569,'MSA-Lookup'!$H$2:$I$86,2)</f>
        <v>7485</v>
      </c>
      <c r="F5569" s="0" t="n">
        <f aca="false">IF(C5569&gt;1,IF(C5569&lt;99,VLOOKUP(C5569,'MSA-Lookup'!$H$1:$I$86,2),C5569),C5569)</f>
        <v>9999</v>
      </c>
      <c r="G5569" s="0" t="n">
        <f aca="false">VLOOKUP(E5569,'MSA-Lookup'!$AA$1:$AB$25,2)</f>
        <v>7362</v>
      </c>
      <c r="H5569" s="0" t="n">
        <f aca="false">IF(C5569&gt;1,IF(C5569&lt;99,VLOOKUP(F5569,'MSA-Lookup'!$AA$1:$AB$25,2),C5569),C5569)</f>
        <v>9999</v>
      </c>
    </row>
    <row r="5570" customFormat="false" ht="12.75" hidden="false" customHeight="false" outlineLevel="0" collapsed="false">
      <c r="A5570" s="0" t="n">
        <f aca="false">B5570*1000+C5570</f>
        <v>76027</v>
      </c>
      <c r="B5570" s="0" t="n">
        <v>76</v>
      </c>
      <c r="C5570" s="0" t="n">
        <v>27</v>
      </c>
      <c r="D5570" s="0" t="n">
        <v>104</v>
      </c>
      <c r="E5570" s="0" t="n">
        <f aca="false">VLOOKUP(B5570,'MSA-Lookup'!$H$2:$I$86,2)</f>
        <v>7485</v>
      </c>
      <c r="F5570" s="0" t="n">
        <f aca="false">IF(C5570&gt;1,IF(C5570&lt;99,VLOOKUP(C5570,'MSA-Lookup'!$H$1:$I$86,2),C5570),C5570)</f>
        <v>9999</v>
      </c>
      <c r="G5570" s="0" t="n">
        <f aca="false">VLOOKUP(E5570,'MSA-Lookup'!$AA$1:$AB$25,2)</f>
        <v>7362</v>
      </c>
      <c r="H5570" s="0" t="n">
        <f aca="false">IF(C5570&gt;1,IF(C5570&lt;99,VLOOKUP(F5570,'MSA-Lookup'!$AA$1:$AB$25,2),C5570),C5570)</f>
        <v>9999</v>
      </c>
    </row>
    <row r="5571" customFormat="false" ht="12.75" hidden="false" customHeight="false" outlineLevel="0" collapsed="false">
      <c r="A5571" s="0" t="n">
        <f aca="false">B5571*1000+C5571</f>
        <v>76028</v>
      </c>
      <c r="B5571" s="0" t="n">
        <v>76</v>
      </c>
      <c r="C5571" s="0" t="n">
        <v>28</v>
      </c>
      <c r="D5571" s="0" t="n">
        <v>0</v>
      </c>
      <c r="E5571" s="0" t="n">
        <f aca="false">VLOOKUP(B5571,'MSA-Lookup'!$H$2:$I$86,2)</f>
        <v>7485</v>
      </c>
      <c r="F5571" s="0" t="n">
        <f aca="false">IF(C5571&gt;1,IF(C5571&lt;99,VLOOKUP(C5571,'MSA-Lookup'!$H$1:$I$86,2),C5571),C5571)</f>
        <v>6920</v>
      </c>
      <c r="G5571" s="0" t="n">
        <f aca="false">VLOOKUP(E5571,'MSA-Lookup'!$AA$1:$AB$25,2)</f>
        <v>7362</v>
      </c>
      <c r="H5571" s="0" t="n">
        <f aca="false">IF(C5571&gt;1,IF(C5571&lt;99,VLOOKUP(F5571,'MSA-Lookup'!$AA$1:$AB$25,2),C5571),C5571)</f>
        <v>6920</v>
      </c>
    </row>
    <row r="5572" customFormat="false" ht="12.75" hidden="false" customHeight="false" outlineLevel="0" collapsed="false">
      <c r="A5572" s="0" t="n">
        <f aca="false">B5572*1000+C5572</f>
        <v>76029</v>
      </c>
      <c r="B5572" s="0" t="n">
        <v>76</v>
      </c>
      <c r="C5572" s="0" t="n">
        <v>29</v>
      </c>
      <c r="D5572" s="0" t="n">
        <v>0</v>
      </c>
      <c r="E5572" s="0" t="n">
        <f aca="false">VLOOKUP(B5572,'MSA-Lookup'!$H$2:$I$86,2)</f>
        <v>7485</v>
      </c>
      <c r="F5572" s="0" t="n">
        <f aca="false">IF(C5572&gt;1,IF(C5572&lt;99,VLOOKUP(C5572,'MSA-Lookup'!$H$1:$I$86,2),C5572),C5572)</f>
        <v>6920</v>
      </c>
      <c r="G5572" s="0" t="n">
        <f aca="false">VLOOKUP(E5572,'MSA-Lookup'!$AA$1:$AB$25,2)</f>
        <v>7362</v>
      </c>
      <c r="H5572" s="0" t="n">
        <f aca="false">IF(C5572&gt;1,IF(C5572&lt;99,VLOOKUP(F5572,'MSA-Lookup'!$AA$1:$AB$25,2),C5572),C5572)</f>
        <v>6920</v>
      </c>
    </row>
    <row r="5573" customFormat="false" ht="12.75" hidden="false" customHeight="false" outlineLevel="0" collapsed="false">
      <c r="A5573" s="0" t="n">
        <f aca="false">B5573*1000+C5573</f>
        <v>76030</v>
      </c>
      <c r="B5573" s="0" t="n">
        <v>76</v>
      </c>
      <c r="C5573" s="0" t="n">
        <v>30</v>
      </c>
      <c r="D5573" s="0" t="n">
        <v>0</v>
      </c>
      <c r="E5573" s="0" t="n">
        <f aca="false">VLOOKUP(B5573,'MSA-Lookup'!$H$2:$I$86,2)</f>
        <v>7485</v>
      </c>
      <c r="F5573" s="0" t="n">
        <f aca="false">IF(C5573&gt;1,IF(C5573&lt;99,VLOOKUP(C5573,'MSA-Lookup'!$H$1:$I$86,2),C5573),C5573)</f>
        <v>4940</v>
      </c>
      <c r="G5573" s="0" t="n">
        <f aca="false">VLOOKUP(E5573,'MSA-Lookup'!$AA$1:$AB$25,2)</f>
        <v>7362</v>
      </c>
      <c r="H5573" s="0" t="n">
        <f aca="false">IF(C5573&gt;1,IF(C5573&lt;99,VLOOKUP(F5573,'MSA-Lookup'!$AA$1:$AB$25,2),C5573),C5573)</f>
        <v>4940</v>
      </c>
    </row>
    <row r="5574" customFormat="false" ht="12.75" hidden="false" customHeight="false" outlineLevel="0" collapsed="false">
      <c r="A5574" s="0" t="n">
        <f aca="false">B5574*1000+C5574</f>
        <v>76031</v>
      </c>
      <c r="B5574" s="0" t="n">
        <v>76</v>
      </c>
      <c r="C5574" s="0" t="n">
        <v>31</v>
      </c>
      <c r="D5574" s="0" t="n">
        <v>0</v>
      </c>
      <c r="E5574" s="0" t="n">
        <f aca="false">VLOOKUP(B5574,'MSA-Lookup'!$H$2:$I$86,2)</f>
        <v>7485</v>
      </c>
      <c r="F5574" s="0" t="n">
        <f aca="false">IF(C5574&gt;1,IF(C5574&lt;99,VLOOKUP(C5574,'MSA-Lookup'!$H$1:$I$86,2),C5574),C5574)</f>
        <v>9999</v>
      </c>
      <c r="G5574" s="0" t="n">
        <f aca="false">VLOOKUP(E5574,'MSA-Lookup'!$AA$1:$AB$25,2)</f>
        <v>7362</v>
      </c>
      <c r="H5574" s="0" t="n">
        <f aca="false">IF(C5574&gt;1,IF(C5574&lt;99,VLOOKUP(F5574,'MSA-Lookup'!$AA$1:$AB$25,2),C5574),C5574)</f>
        <v>9999</v>
      </c>
    </row>
    <row r="5575" customFormat="false" ht="12.75" hidden="false" customHeight="false" outlineLevel="0" collapsed="false">
      <c r="A5575" s="0" t="n">
        <f aca="false">B5575*1000+C5575</f>
        <v>76032</v>
      </c>
      <c r="B5575" s="0" t="n">
        <v>76</v>
      </c>
      <c r="C5575" s="0" t="n">
        <v>32</v>
      </c>
      <c r="D5575" s="0" t="n">
        <v>0</v>
      </c>
      <c r="E5575" s="0" t="n">
        <f aca="false">VLOOKUP(B5575,'MSA-Lookup'!$H$2:$I$86,2)</f>
        <v>7485</v>
      </c>
      <c r="F5575" s="0" t="n">
        <f aca="false">IF(C5575&gt;1,IF(C5575&lt;99,VLOOKUP(C5575,'MSA-Lookup'!$H$1:$I$86,2),C5575),C5575)</f>
        <v>7480</v>
      </c>
      <c r="G5575" s="0" t="n">
        <f aca="false">VLOOKUP(E5575,'MSA-Lookup'!$AA$1:$AB$25,2)</f>
        <v>7362</v>
      </c>
      <c r="H5575" s="0" t="n">
        <f aca="false">IF(C5575&gt;1,IF(C5575&lt;99,VLOOKUP(F5575,'MSA-Lookup'!$AA$1:$AB$25,2),C5575),C5575)</f>
        <v>7480</v>
      </c>
    </row>
    <row r="5576" customFormat="false" ht="12.75" hidden="false" customHeight="false" outlineLevel="0" collapsed="false">
      <c r="A5576" s="0" t="n">
        <f aca="false">B5576*1000+C5576</f>
        <v>76033</v>
      </c>
      <c r="B5576" s="0" t="n">
        <v>76</v>
      </c>
      <c r="C5576" s="0" t="n">
        <v>33</v>
      </c>
      <c r="D5576" s="0" t="n">
        <v>91</v>
      </c>
      <c r="E5576" s="0" t="n">
        <f aca="false">VLOOKUP(B5576,'MSA-Lookup'!$H$2:$I$86,2)</f>
        <v>7485</v>
      </c>
      <c r="F5576" s="0" t="n">
        <f aca="false">IF(C5576&gt;1,IF(C5576&lt;99,VLOOKUP(C5576,'MSA-Lookup'!$H$1:$I$86,2),C5576),C5576)</f>
        <v>7320</v>
      </c>
      <c r="G5576" s="0" t="n">
        <f aca="false">VLOOKUP(E5576,'MSA-Lookup'!$AA$1:$AB$25,2)</f>
        <v>7362</v>
      </c>
      <c r="H5576" s="0" t="n">
        <f aca="false">IF(C5576&gt;1,IF(C5576&lt;99,VLOOKUP(F5576,'MSA-Lookup'!$AA$1:$AB$25,2),C5576),C5576)</f>
        <v>7320</v>
      </c>
    </row>
    <row r="5577" customFormat="false" ht="12.75" hidden="false" customHeight="false" outlineLevel="0" collapsed="false">
      <c r="A5577" s="0" t="n">
        <f aca="false">B5577*1000+C5577</f>
        <v>76034</v>
      </c>
      <c r="B5577" s="0" t="n">
        <v>76</v>
      </c>
      <c r="C5577" s="0" t="n">
        <v>34</v>
      </c>
      <c r="D5577" s="0" t="n">
        <v>0</v>
      </c>
      <c r="E5577" s="0" t="n">
        <f aca="false">VLOOKUP(B5577,'MSA-Lookup'!$H$2:$I$86,2)</f>
        <v>7485</v>
      </c>
      <c r="F5577" s="0" t="n">
        <f aca="false">IF(C5577&gt;1,IF(C5577&lt;99,VLOOKUP(C5577,'MSA-Lookup'!$H$1:$I$86,2),C5577),C5577)</f>
        <v>7320</v>
      </c>
      <c r="G5577" s="0" t="n">
        <f aca="false">VLOOKUP(E5577,'MSA-Lookup'!$AA$1:$AB$25,2)</f>
        <v>7362</v>
      </c>
      <c r="H5577" s="0" t="n">
        <f aca="false">IF(C5577&gt;1,IF(C5577&lt;99,VLOOKUP(F5577,'MSA-Lookup'!$AA$1:$AB$25,2),C5577),C5577)</f>
        <v>7320</v>
      </c>
    </row>
    <row r="5578" customFormat="false" ht="12.75" hidden="false" customHeight="false" outlineLevel="0" collapsed="false">
      <c r="A5578" s="0" t="n">
        <f aca="false">B5578*1000+C5578</f>
        <v>76035</v>
      </c>
      <c r="B5578" s="0" t="n">
        <v>76</v>
      </c>
      <c r="C5578" s="0" t="n">
        <v>35</v>
      </c>
      <c r="D5578" s="0" t="n">
        <v>0</v>
      </c>
      <c r="E5578" s="0" t="n">
        <f aca="false">VLOOKUP(B5578,'MSA-Lookup'!$H$2:$I$86,2)</f>
        <v>7485</v>
      </c>
      <c r="F5578" s="0" t="n">
        <f aca="false">IF(C5578&gt;1,IF(C5578&lt;99,VLOOKUP(C5578,'MSA-Lookup'!$H$1:$I$86,2),C5578),C5578)</f>
        <v>7320</v>
      </c>
      <c r="G5578" s="0" t="n">
        <f aca="false">VLOOKUP(E5578,'MSA-Lookup'!$AA$1:$AB$25,2)</f>
        <v>7362</v>
      </c>
      <c r="H5578" s="0" t="n">
        <f aca="false">IF(C5578&gt;1,IF(C5578&lt;99,VLOOKUP(F5578,'MSA-Lookup'!$AA$1:$AB$25,2),C5578),C5578)</f>
        <v>7320</v>
      </c>
    </row>
    <row r="5579" customFormat="false" ht="12.75" hidden="false" customHeight="false" outlineLevel="0" collapsed="false">
      <c r="A5579" s="0" t="n">
        <f aca="false">B5579*1000+C5579</f>
        <v>76036</v>
      </c>
      <c r="B5579" s="0" t="n">
        <v>76</v>
      </c>
      <c r="C5579" s="0" t="n">
        <v>36</v>
      </c>
      <c r="D5579" s="0" t="n">
        <v>0</v>
      </c>
      <c r="E5579" s="0" t="n">
        <f aca="false">VLOOKUP(B5579,'MSA-Lookup'!$H$2:$I$86,2)</f>
        <v>7485</v>
      </c>
      <c r="F5579" s="0" t="n">
        <f aca="false">IF(C5579&gt;1,IF(C5579&lt;99,VLOOKUP(C5579,'MSA-Lookup'!$H$1:$I$86,2),C5579),C5579)</f>
        <v>7320</v>
      </c>
      <c r="G5579" s="0" t="n">
        <f aca="false">VLOOKUP(E5579,'MSA-Lookup'!$AA$1:$AB$25,2)</f>
        <v>7362</v>
      </c>
      <c r="H5579" s="0" t="n">
        <f aca="false">IF(C5579&gt;1,IF(C5579&lt;99,VLOOKUP(F5579,'MSA-Lookup'!$AA$1:$AB$25,2),C5579),C5579)</f>
        <v>7320</v>
      </c>
    </row>
    <row r="5580" customFormat="false" ht="12.75" hidden="false" customHeight="false" outlineLevel="0" collapsed="false">
      <c r="A5580" s="0" t="n">
        <f aca="false">B5580*1000+C5580</f>
        <v>76037</v>
      </c>
      <c r="B5580" s="0" t="n">
        <v>76</v>
      </c>
      <c r="C5580" s="0" t="n">
        <v>37</v>
      </c>
      <c r="D5580" s="0" t="n">
        <v>0</v>
      </c>
      <c r="E5580" s="0" t="n">
        <f aca="false">VLOOKUP(B5580,'MSA-Lookup'!$H$2:$I$86,2)</f>
        <v>7485</v>
      </c>
      <c r="F5580" s="0" t="n">
        <f aca="false">IF(C5580&gt;1,IF(C5580&lt;99,VLOOKUP(C5580,'MSA-Lookup'!$H$1:$I$86,2),C5580),C5580)</f>
        <v>7320</v>
      </c>
      <c r="G5580" s="0" t="n">
        <f aca="false">VLOOKUP(E5580,'MSA-Lookup'!$AA$1:$AB$25,2)</f>
        <v>7362</v>
      </c>
      <c r="H5580" s="0" t="n">
        <f aca="false">IF(C5580&gt;1,IF(C5580&lt;99,VLOOKUP(F5580,'MSA-Lookup'!$AA$1:$AB$25,2),C5580),C5580)</f>
        <v>7320</v>
      </c>
    </row>
    <row r="5581" customFormat="false" ht="12.75" hidden="false" customHeight="false" outlineLevel="0" collapsed="false">
      <c r="A5581" s="0" t="n">
        <f aca="false">B5581*1000+C5581</f>
        <v>76038</v>
      </c>
      <c r="B5581" s="0" t="n">
        <v>76</v>
      </c>
      <c r="C5581" s="0" t="n">
        <v>38</v>
      </c>
      <c r="D5581" s="0" t="n">
        <v>1157</v>
      </c>
      <c r="E5581" s="0" t="n">
        <f aca="false">VLOOKUP(B5581,'MSA-Lookup'!$H$2:$I$86,2)</f>
        <v>7485</v>
      </c>
      <c r="F5581" s="0" t="n">
        <f aca="false">IF(C5581&gt;1,IF(C5581&lt;99,VLOOKUP(C5581,'MSA-Lookup'!$H$1:$I$86,2),C5581),C5581)</f>
        <v>7120</v>
      </c>
      <c r="G5581" s="0" t="n">
        <f aca="false">VLOOKUP(E5581,'MSA-Lookup'!$AA$1:$AB$25,2)</f>
        <v>7362</v>
      </c>
      <c r="H5581" s="0" t="n">
        <f aca="false">IF(C5581&gt;1,IF(C5581&lt;99,VLOOKUP(F5581,'MSA-Lookup'!$AA$1:$AB$25,2),C5581),C5581)</f>
        <v>7120</v>
      </c>
    </row>
    <row r="5582" customFormat="false" ht="12.75" hidden="false" customHeight="false" outlineLevel="0" collapsed="false">
      <c r="A5582" s="0" t="n">
        <f aca="false">B5582*1000+C5582</f>
        <v>76039</v>
      </c>
      <c r="B5582" s="0" t="n">
        <v>76</v>
      </c>
      <c r="C5582" s="0" t="n">
        <v>39</v>
      </c>
      <c r="D5582" s="0" t="n">
        <v>3263</v>
      </c>
      <c r="E5582" s="0" t="n">
        <f aca="false">VLOOKUP(B5582,'MSA-Lookup'!$H$2:$I$86,2)</f>
        <v>7485</v>
      </c>
      <c r="F5582" s="0" t="n">
        <f aca="false">IF(C5582&gt;1,IF(C5582&lt;99,VLOOKUP(C5582,'MSA-Lookup'!$H$1:$I$86,2),C5582),C5582)</f>
        <v>7120</v>
      </c>
      <c r="G5582" s="0" t="n">
        <f aca="false">VLOOKUP(E5582,'MSA-Lookup'!$AA$1:$AB$25,2)</f>
        <v>7362</v>
      </c>
      <c r="H5582" s="0" t="n">
        <f aca="false">IF(C5582&gt;1,IF(C5582&lt;99,VLOOKUP(F5582,'MSA-Lookup'!$AA$1:$AB$25,2),C5582),C5582)</f>
        <v>7120</v>
      </c>
    </row>
    <row r="5583" customFormat="false" ht="12.75" hidden="false" customHeight="false" outlineLevel="0" collapsed="false">
      <c r="A5583" s="0" t="n">
        <f aca="false">B5583*1000+C5583</f>
        <v>76040</v>
      </c>
      <c r="B5583" s="0" t="n">
        <v>76</v>
      </c>
      <c r="C5583" s="0" t="n">
        <v>40</v>
      </c>
      <c r="D5583" s="0" t="n">
        <v>0</v>
      </c>
      <c r="E5583" s="0" t="n">
        <f aca="false">VLOOKUP(B5583,'MSA-Lookup'!$H$2:$I$86,2)</f>
        <v>7485</v>
      </c>
      <c r="F5583" s="0" t="n">
        <f aca="false">IF(C5583&gt;1,IF(C5583&lt;99,VLOOKUP(C5583,'MSA-Lookup'!$H$1:$I$86,2),C5583),C5583)</f>
        <v>2840</v>
      </c>
      <c r="G5583" s="0" t="n">
        <f aca="false">VLOOKUP(E5583,'MSA-Lookup'!$AA$1:$AB$25,2)</f>
        <v>7362</v>
      </c>
      <c r="H5583" s="0" t="n">
        <f aca="false">IF(C5583&gt;1,IF(C5583&lt;99,VLOOKUP(F5583,'MSA-Lookup'!$AA$1:$AB$25,2),C5583),C5583)</f>
        <v>2840</v>
      </c>
    </row>
    <row r="5584" customFormat="false" ht="12.75" hidden="false" customHeight="false" outlineLevel="0" collapsed="false">
      <c r="A5584" s="0" t="n">
        <f aca="false">B5584*1000+C5584</f>
        <v>76041</v>
      </c>
      <c r="B5584" s="0" t="n">
        <v>76</v>
      </c>
      <c r="C5584" s="0" t="n">
        <v>41</v>
      </c>
      <c r="D5584" s="0" t="n">
        <v>52</v>
      </c>
      <c r="E5584" s="0" t="n">
        <f aca="false">VLOOKUP(B5584,'MSA-Lookup'!$H$2:$I$86,2)</f>
        <v>7485</v>
      </c>
      <c r="F5584" s="0" t="n">
        <f aca="false">IF(C5584&gt;1,IF(C5584&lt;99,VLOOKUP(C5584,'MSA-Lookup'!$H$1:$I$86,2),C5584),C5584)</f>
        <v>2840</v>
      </c>
      <c r="G5584" s="0" t="n">
        <f aca="false">VLOOKUP(E5584,'MSA-Lookup'!$AA$1:$AB$25,2)</f>
        <v>7362</v>
      </c>
      <c r="H5584" s="0" t="n">
        <f aca="false">IF(C5584&gt;1,IF(C5584&lt;99,VLOOKUP(F5584,'MSA-Lookup'!$AA$1:$AB$25,2),C5584),C5584)</f>
        <v>2840</v>
      </c>
    </row>
    <row r="5585" customFormat="false" ht="12.75" hidden="false" customHeight="false" outlineLevel="0" collapsed="false">
      <c r="A5585" s="0" t="n">
        <f aca="false">B5585*1000+C5585</f>
        <v>76042</v>
      </c>
      <c r="B5585" s="0" t="n">
        <v>76</v>
      </c>
      <c r="C5585" s="0" t="n">
        <v>42</v>
      </c>
      <c r="D5585" s="0" t="n">
        <v>0</v>
      </c>
      <c r="E5585" s="0" t="n">
        <f aca="false">VLOOKUP(B5585,'MSA-Lookup'!$H$2:$I$86,2)</f>
        <v>7485</v>
      </c>
      <c r="F5585" s="0" t="n">
        <f aca="false">IF(C5585&gt;1,IF(C5585&lt;99,VLOOKUP(C5585,'MSA-Lookup'!$H$1:$I$86,2),C5585),C5585)</f>
        <v>360</v>
      </c>
      <c r="G5585" s="0" t="n">
        <f aca="false">VLOOKUP(E5585,'MSA-Lookup'!$AA$1:$AB$25,2)</f>
        <v>7362</v>
      </c>
      <c r="H5585" s="0" t="n">
        <f aca="false">IF(C5585&gt;1,IF(C5585&lt;99,VLOOKUP(F5585,'MSA-Lookup'!$AA$1:$AB$25,2),C5585),C5585)</f>
        <v>4472</v>
      </c>
    </row>
    <row r="5586" customFormat="false" ht="12.75" hidden="false" customHeight="false" outlineLevel="0" collapsed="false">
      <c r="A5586" s="0" t="n">
        <f aca="false">B5586*1000+C5586</f>
        <v>76043</v>
      </c>
      <c r="B5586" s="0" t="n">
        <v>76</v>
      </c>
      <c r="C5586" s="0" t="n">
        <v>43</v>
      </c>
      <c r="D5586" s="0" t="n">
        <v>0</v>
      </c>
      <c r="E5586" s="0" t="n">
        <f aca="false">VLOOKUP(B5586,'MSA-Lookup'!$H$2:$I$86,2)</f>
        <v>7485</v>
      </c>
      <c r="F5586" s="0" t="n">
        <f aca="false">IF(C5586&gt;1,IF(C5586&lt;99,VLOOKUP(C5586,'MSA-Lookup'!$H$1:$I$86,2),C5586),C5586)</f>
        <v>360</v>
      </c>
      <c r="G5586" s="0" t="n">
        <f aca="false">VLOOKUP(E5586,'MSA-Lookup'!$AA$1:$AB$25,2)</f>
        <v>7362</v>
      </c>
      <c r="H5586" s="0" t="n">
        <f aca="false">IF(C5586&gt;1,IF(C5586&lt;99,VLOOKUP(F5586,'MSA-Lookup'!$AA$1:$AB$25,2),C5586),C5586)</f>
        <v>4472</v>
      </c>
    </row>
    <row r="5587" customFormat="false" ht="12.75" hidden="false" customHeight="false" outlineLevel="0" collapsed="false">
      <c r="A5587" s="0" t="n">
        <f aca="false">B5587*1000+C5587</f>
        <v>76044</v>
      </c>
      <c r="B5587" s="0" t="n">
        <v>76</v>
      </c>
      <c r="C5587" s="0" t="n">
        <v>44</v>
      </c>
      <c r="D5587" s="0" t="n">
        <v>0</v>
      </c>
      <c r="E5587" s="0" t="n">
        <f aca="false">VLOOKUP(B5587,'MSA-Lookup'!$H$2:$I$86,2)</f>
        <v>7485</v>
      </c>
      <c r="F5587" s="0" t="n">
        <f aca="false">IF(C5587&gt;1,IF(C5587&lt;99,VLOOKUP(C5587,'MSA-Lookup'!$H$1:$I$86,2),C5587),C5587)</f>
        <v>360</v>
      </c>
      <c r="G5587" s="0" t="n">
        <f aca="false">VLOOKUP(E5587,'MSA-Lookup'!$AA$1:$AB$25,2)</f>
        <v>7362</v>
      </c>
      <c r="H5587" s="0" t="n">
        <f aca="false">IF(C5587&gt;1,IF(C5587&lt;99,VLOOKUP(F5587,'MSA-Lookup'!$AA$1:$AB$25,2),C5587),C5587)</f>
        <v>4472</v>
      </c>
    </row>
    <row r="5588" customFormat="false" ht="12.75" hidden="false" customHeight="false" outlineLevel="0" collapsed="false">
      <c r="A5588" s="0" t="n">
        <f aca="false">B5588*1000+C5588</f>
        <v>76045</v>
      </c>
      <c r="B5588" s="0" t="n">
        <v>76</v>
      </c>
      <c r="C5588" s="0" t="n">
        <v>45</v>
      </c>
      <c r="D5588" s="0" t="n">
        <v>0</v>
      </c>
      <c r="E5588" s="0" t="n">
        <f aca="false">VLOOKUP(B5588,'MSA-Lookup'!$H$2:$I$86,2)</f>
        <v>7485</v>
      </c>
      <c r="F5588" s="0" t="n">
        <f aca="false">IF(C5588&gt;1,IF(C5588&lt;99,VLOOKUP(C5588,'MSA-Lookup'!$H$1:$I$86,2),C5588),C5588)</f>
        <v>360</v>
      </c>
      <c r="G5588" s="0" t="n">
        <f aca="false">VLOOKUP(E5588,'MSA-Lookup'!$AA$1:$AB$25,2)</f>
        <v>7362</v>
      </c>
      <c r="H5588" s="0" t="n">
        <f aca="false">IF(C5588&gt;1,IF(C5588&lt;99,VLOOKUP(F5588,'MSA-Lookup'!$AA$1:$AB$25,2),C5588),C5588)</f>
        <v>4472</v>
      </c>
    </row>
    <row r="5589" customFormat="false" ht="12.75" hidden="false" customHeight="false" outlineLevel="0" collapsed="false">
      <c r="A5589" s="0" t="n">
        <f aca="false">B5589*1000+C5589</f>
        <v>76046</v>
      </c>
      <c r="B5589" s="0" t="n">
        <v>76</v>
      </c>
      <c r="C5589" s="0" t="n">
        <v>46</v>
      </c>
      <c r="D5589" s="0" t="n">
        <v>0</v>
      </c>
      <c r="E5589" s="0" t="n">
        <f aca="false">VLOOKUP(B5589,'MSA-Lookup'!$H$2:$I$86,2)</f>
        <v>7485</v>
      </c>
      <c r="F5589" s="0" t="n">
        <f aca="false">IF(C5589&gt;1,IF(C5589&lt;99,VLOOKUP(C5589,'MSA-Lookup'!$H$1:$I$86,2),C5589),C5589)</f>
        <v>360</v>
      </c>
      <c r="G5589" s="0" t="n">
        <f aca="false">VLOOKUP(E5589,'MSA-Lookup'!$AA$1:$AB$25,2)</f>
        <v>7362</v>
      </c>
      <c r="H5589" s="0" t="n">
        <f aca="false">IF(C5589&gt;1,IF(C5589&lt;99,VLOOKUP(F5589,'MSA-Lookup'!$AA$1:$AB$25,2),C5589),C5589)</f>
        <v>4472</v>
      </c>
    </row>
    <row r="5590" customFormat="false" ht="12.75" hidden="false" customHeight="false" outlineLevel="0" collapsed="false">
      <c r="A5590" s="0" t="n">
        <f aca="false">B5590*1000+C5590</f>
        <v>76047</v>
      </c>
      <c r="B5590" s="0" t="n">
        <v>76</v>
      </c>
      <c r="C5590" s="0" t="n">
        <v>47</v>
      </c>
      <c r="D5590" s="0" t="n">
        <v>0</v>
      </c>
      <c r="E5590" s="0" t="n">
        <f aca="false">VLOOKUP(B5590,'MSA-Lookup'!$H$2:$I$86,2)</f>
        <v>7485</v>
      </c>
      <c r="F5590" s="0" t="n">
        <f aca="false">IF(C5590&gt;1,IF(C5590&lt;99,VLOOKUP(C5590,'MSA-Lookup'!$H$1:$I$86,2),C5590),C5590)</f>
        <v>360</v>
      </c>
      <c r="G5590" s="0" t="n">
        <f aca="false">VLOOKUP(E5590,'MSA-Lookup'!$AA$1:$AB$25,2)</f>
        <v>7362</v>
      </c>
      <c r="H5590" s="0" t="n">
        <f aca="false">IF(C5590&gt;1,IF(C5590&lt;99,VLOOKUP(F5590,'MSA-Lookup'!$AA$1:$AB$25,2),C5590),C5590)</f>
        <v>4472</v>
      </c>
    </row>
    <row r="5591" customFormat="false" ht="12.75" hidden="false" customHeight="false" outlineLevel="0" collapsed="false">
      <c r="A5591" s="0" t="n">
        <f aca="false">B5591*1000+C5591</f>
        <v>76048</v>
      </c>
      <c r="B5591" s="0" t="n">
        <v>76</v>
      </c>
      <c r="C5591" s="0" t="n">
        <v>48</v>
      </c>
      <c r="D5591" s="0" t="n">
        <v>0</v>
      </c>
      <c r="E5591" s="0" t="n">
        <f aca="false">VLOOKUP(B5591,'MSA-Lookup'!$H$2:$I$86,2)</f>
        <v>7485</v>
      </c>
      <c r="F5591" s="0" t="n">
        <f aca="false">IF(C5591&gt;1,IF(C5591&lt;99,VLOOKUP(C5591,'MSA-Lookup'!$H$1:$I$86,2),C5591),C5591)</f>
        <v>360</v>
      </c>
      <c r="G5591" s="0" t="n">
        <f aca="false">VLOOKUP(E5591,'MSA-Lookup'!$AA$1:$AB$25,2)</f>
        <v>7362</v>
      </c>
      <c r="H5591" s="0" t="n">
        <f aca="false">IF(C5591&gt;1,IF(C5591&lt;99,VLOOKUP(F5591,'MSA-Lookup'!$AA$1:$AB$25,2),C5591),C5591)</f>
        <v>4472</v>
      </c>
    </row>
    <row r="5592" customFormat="false" ht="12.75" hidden="false" customHeight="false" outlineLevel="0" collapsed="false">
      <c r="A5592" s="0" t="n">
        <f aca="false">B5592*1000+C5592</f>
        <v>76049</v>
      </c>
      <c r="B5592" s="0" t="n">
        <v>76</v>
      </c>
      <c r="C5592" s="0" t="n">
        <v>49</v>
      </c>
      <c r="D5592" s="0" t="n">
        <v>7371</v>
      </c>
      <c r="E5592" s="0" t="n">
        <f aca="false">VLOOKUP(B5592,'MSA-Lookup'!$H$2:$I$86,2)</f>
        <v>7485</v>
      </c>
      <c r="F5592" s="0" t="n">
        <f aca="false">IF(C5592&gt;1,IF(C5592&lt;99,VLOOKUP(C5592,'MSA-Lookup'!$H$1:$I$86,2),C5592),C5592)</f>
        <v>7400</v>
      </c>
      <c r="G5592" s="0" t="n">
        <f aca="false">VLOOKUP(E5592,'MSA-Lookup'!$AA$1:$AB$25,2)</f>
        <v>7362</v>
      </c>
      <c r="H5592" s="0" t="n">
        <f aca="false">IF(C5592&gt;1,IF(C5592&lt;99,VLOOKUP(F5592,'MSA-Lookup'!$AA$1:$AB$25,2),C5592),C5592)</f>
        <v>7362</v>
      </c>
    </row>
    <row r="5593" customFormat="false" ht="12.75" hidden="false" customHeight="false" outlineLevel="0" collapsed="false">
      <c r="A5593" s="0" t="n">
        <f aca="false">B5593*1000+C5593</f>
        <v>76050</v>
      </c>
      <c r="B5593" s="0" t="n">
        <v>76</v>
      </c>
      <c r="C5593" s="0" t="n">
        <v>50</v>
      </c>
      <c r="D5593" s="0" t="n">
        <v>1482</v>
      </c>
      <c r="E5593" s="0" t="n">
        <f aca="false">VLOOKUP(B5593,'MSA-Lookup'!$H$2:$I$86,2)</f>
        <v>7485</v>
      </c>
      <c r="F5593" s="0" t="n">
        <f aca="false">IF(C5593&gt;1,IF(C5593&lt;99,VLOOKUP(C5593,'MSA-Lookup'!$H$1:$I$86,2),C5593),C5593)</f>
        <v>7400</v>
      </c>
      <c r="G5593" s="0" t="n">
        <f aca="false">VLOOKUP(E5593,'MSA-Lookup'!$AA$1:$AB$25,2)</f>
        <v>7362</v>
      </c>
      <c r="H5593" s="0" t="n">
        <f aca="false">IF(C5593&gt;1,IF(C5593&lt;99,VLOOKUP(F5593,'MSA-Lookup'!$AA$1:$AB$25,2),C5593),C5593)</f>
        <v>7362</v>
      </c>
    </row>
    <row r="5594" customFormat="false" ht="12.75" hidden="false" customHeight="false" outlineLevel="0" collapsed="false">
      <c r="A5594" s="0" t="n">
        <f aca="false">B5594*1000+C5594</f>
        <v>76051</v>
      </c>
      <c r="B5594" s="0" t="n">
        <v>76</v>
      </c>
      <c r="C5594" s="0" t="n">
        <v>51</v>
      </c>
      <c r="D5594" s="0" t="n">
        <v>6591</v>
      </c>
      <c r="E5594" s="0" t="n">
        <f aca="false">VLOOKUP(B5594,'MSA-Lookup'!$H$2:$I$86,2)</f>
        <v>7485</v>
      </c>
      <c r="F5594" s="0" t="n">
        <f aca="false">IF(C5594&gt;1,IF(C5594&lt;99,VLOOKUP(C5594,'MSA-Lookup'!$H$1:$I$86,2),C5594),C5594)</f>
        <v>7400</v>
      </c>
      <c r="G5594" s="0" t="n">
        <f aca="false">VLOOKUP(E5594,'MSA-Lookup'!$AA$1:$AB$25,2)</f>
        <v>7362</v>
      </c>
      <c r="H5594" s="0" t="n">
        <f aca="false">IF(C5594&gt;1,IF(C5594&lt;99,VLOOKUP(F5594,'MSA-Lookup'!$AA$1:$AB$25,2),C5594),C5594)</f>
        <v>7362</v>
      </c>
    </row>
    <row r="5595" customFormat="false" ht="12.75" hidden="false" customHeight="false" outlineLevel="0" collapsed="false">
      <c r="A5595" s="0" t="n">
        <f aca="false">B5595*1000+C5595</f>
        <v>76052</v>
      </c>
      <c r="B5595" s="0" t="n">
        <v>76</v>
      </c>
      <c r="C5595" s="0" t="n">
        <v>52</v>
      </c>
      <c r="D5595" s="0" t="n">
        <v>0</v>
      </c>
      <c r="E5595" s="0" t="n">
        <f aca="false">VLOOKUP(B5595,'MSA-Lookup'!$H$2:$I$86,2)</f>
        <v>7485</v>
      </c>
      <c r="F5595" s="0" t="n">
        <f aca="false">IF(C5595&gt;1,IF(C5595&lt;99,VLOOKUP(C5595,'MSA-Lookup'!$H$1:$I$86,2),C5595),C5595)</f>
        <v>4480</v>
      </c>
      <c r="G5595" s="0" t="n">
        <f aca="false">VLOOKUP(E5595,'MSA-Lookup'!$AA$1:$AB$25,2)</f>
        <v>7362</v>
      </c>
      <c r="H5595" s="0" t="n">
        <f aca="false">IF(C5595&gt;1,IF(C5595&lt;99,VLOOKUP(F5595,'MSA-Lookup'!$AA$1:$AB$25,2),C5595),C5595)</f>
        <v>4472</v>
      </c>
    </row>
    <row r="5596" customFormat="false" ht="12.75" hidden="false" customHeight="false" outlineLevel="0" collapsed="false">
      <c r="A5596" s="0" t="n">
        <f aca="false">B5596*1000+C5596</f>
        <v>76053</v>
      </c>
      <c r="B5596" s="0" t="n">
        <v>76</v>
      </c>
      <c r="C5596" s="0" t="n">
        <v>53</v>
      </c>
      <c r="D5596" s="0" t="n">
        <v>0</v>
      </c>
      <c r="E5596" s="0" t="n">
        <f aca="false">VLOOKUP(B5596,'MSA-Lookup'!$H$2:$I$86,2)</f>
        <v>7485</v>
      </c>
      <c r="F5596" s="0" t="n">
        <f aca="false">IF(C5596&gt;1,IF(C5596&lt;99,VLOOKUP(C5596,'MSA-Lookup'!$H$1:$I$86,2),C5596),C5596)</f>
        <v>4480</v>
      </c>
      <c r="G5596" s="0" t="n">
        <f aca="false">VLOOKUP(E5596,'MSA-Lookup'!$AA$1:$AB$25,2)</f>
        <v>7362</v>
      </c>
      <c r="H5596" s="0" t="n">
        <f aca="false">IF(C5596&gt;1,IF(C5596&lt;99,VLOOKUP(F5596,'MSA-Lookup'!$AA$1:$AB$25,2),C5596),C5596)</f>
        <v>4472</v>
      </c>
    </row>
    <row r="5597" customFormat="false" ht="12.75" hidden="false" customHeight="false" outlineLevel="0" collapsed="false">
      <c r="A5597" s="0" t="n">
        <f aca="false">B5597*1000+C5597</f>
        <v>76054</v>
      </c>
      <c r="B5597" s="0" t="n">
        <v>76</v>
      </c>
      <c r="C5597" s="0" t="n">
        <v>54</v>
      </c>
      <c r="D5597" s="0" t="n">
        <v>0</v>
      </c>
      <c r="E5597" s="0" t="n">
        <f aca="false">VLOOKUP(B5597,'MSA-Lookup'!$H$2:$I$86,2)</f>
        <v>7485</v>
      </c>
      <c r="F5597" s="0" t="n">
        <f aca="false">IF(C5597&gt;1,IF(C5597&lt;99,VLOOKUP(C5597,'MSA-Lookup'!$H$1:$I$86,2),C5597),C5597)</f>
        <v>4480</v>
      </c>
      <c r="G5597" s="0" t="n">
        <f aca="false">VLOOKUP(E5597,'MSA-Lookup'!$AA$1:$AB$25,2)</f>
        <v>7362</v>
      </c>
      <c r="H5597" s="0" t="n">
        <f aca="false">IF(C5597&gt;1,IF(C5597&lt;99,VLOOKUP(F5597,'MSA-Lookup'!$AA$1:$AB$25,2),C5597),C5597)</f>
        <v>4472</v>
      </c>
    </row>
    <row r="5598" customFormat="false" ht="12.75" hidden="false" customHeight="false" outlineLevel="0" collapsed="false">
      <c r="A5598" s="0" t="n">
        <f aca="false">B5598*1000+C5598</f>
        <v>76055</v>
      </c>
      <c r="B5598" s="0" t="n">
        <v>76</v>
      </c>
      <c r="C5598" s="0" t="n">
        <v>55</v>
      </c>
      <c r="D5598" s="0" t="n">
        <v>0</v>
      </c>
      <c r="E5598" s="0" t="n">
        <f aca="false">VLOOKUP(B5598,'MSA-Lookup'!$H$2:$I$86,2)</f>
        <v>7485</v>
      </c>
      <c r="F5598" s="0" t="n">
        <f aca="false">IF(C5598&gt;1,IF(C5598&lt;99,VLOOKUP(C5598,'MSA-Lookup'!$H$1:$I$86,2),C5598),C5598)</f>
        <v>4480</v>
      </c>
      <c r="G5598" s="0" t="n">
        <f aca="false">VLOOKUP(E5598,'MSA-Lookup'!$AA$1:$AB$25,2)</f>
        <v>7362</v>
      </c>
      <c r="H5598" s="0" t="n">
        <f aca="false">IF(C5598&gt;1,IF(C5598&lt;99,VLOOKUP(F5598,'MSA-Lookup'!$AA$1:$AB$25,2),C5598),C5598)</f>
        <v>4472</v>
      </c>
    </row>
    <row r="5599" customFormat="false" ht="12.75" hidden="false" customHeight="false" outlineLevel="0" collapsed="false">
      <c r="A5599" s="0" t="n">
        <f aca="false">B5599*1000+C5599</f>
        <v>76056</v>
      </c>
      <c r="B5599" s="0" t="n">
        <v>76</v>
      </c>
      <c r="C5599" s="0" t="n">
        <v>56</v>
      </c>
      <c r="D5599" s="0" t="n">
        <v>0</v>
      </c>
      <c r="E5599" s="0" t="n">
        <f aca="false">VLOOKUP(B5599,'MSA-Lookup'!$H$2:$I$86,2)</f>
        <v>7485</v>
      </c>
      <c r="F5599" s="0" t="n">
        <f aca="false">IF(C5599&gt;1,IF(C5599&lt;99,VLOOKUP(C5599,'MSA-Lookup'!$H$1:$I$86,2),C5599),C5599)</f>
        <v>4480</v>
      </c>
      <c r="G5599" s="0" t="n">
        <f aca="false">VLOOKUP(E5599,'MSA-Lookup'!$AA$1:$AB$25,2)</f>
        <v>7362</v>
      </c>
      <c r="H5599" s="0" t="n">
        <f aca="false">IF(C5599&gt;1,IF(C5599&lt;99,VLOOKUP(F5599,'MSA-Lookup'!$AA$1:$AB$25,2),C5599),C5599)</f>
        <v>4472</v>
      </c>
    </row>
    <row r="5600" customFormat="false" ht="12.75" hidden="false" customHeight="false" outlineLevel="0" collapsed="false">
      <c r="A5600" s="0" t="n">
        <f aca="false">B5600*1000+C5600</f>
        <v>76057</v>
      </c>
      <c r="B5600" s="0" t="n">
        <v>76</v>
      </c>
      <c r="C5600" s="0" t="n">
        <v>57</v>
      </c>
      <c r="D5600" s="0" t="n">
        <v>0</v>
      </c>
      <c r="E5600" s="0" t="n">
        <f aca="false">VLOOKUP(B5600,'MSA-Lookup'!$H$2:$I$86,2)</f>
        <v>7485</v>
      </c>
      <c r="F5600" s="0" t="n">
        <f aca="false">IF(C5600&gt;1,IF(C5600&lt;99,VLOOKUP(C5600,'MSA-Lookup'!$H$1:$I$86,2),C5600),C5600)</f>
        <v>4480</v>
      </c>
      <c r="G5600" s="0" t="n">
        <f aca="false">VLOOKUP(E5600,'MSA-Lookup'!$AA$1:$AB$25,2)</f>
        <v>7362</v>
      </c>
      <c r="H5600" s="0" t="n">
        <f aca="false">IF(C5600&gt;1,IF(C5600&lt;99,VLOOKUP(F5600,'MSA-Lookup'!$AA$1:$AB$25,2),C5600),C5600)</f>
        <v>4472</v>
      </c>
    </row>
    <row r="5601" customFormat="false" ht="12.75" hidden="false" customHeight="false" outlineLevel="0" collapsed="false">
      <c r="A5601" s="0" t="n">
        <f aca="false">B5601*1000+C5601</f>
        <v>76058</v>
      </c>
      <c r="B5601" s="0" t="n">
        <v>76</v>
      </c>
      <c r="C5601" s="0" t="n">
        <v>58</v>
      </c>
      <c r="D5601" s="0" t="n">
        <v>0</v>
      </c>
      <c r="E5601" s="0" t="n">
        <f aca="false">VLOOKUP(B5601,'MSA-Lookup'!$H$2:$I$86,2)</f>
        <v>7485</v>
      </c>
      <c r="F5601" s="0" t="n">
        <f aca="false">IF(C5601&gt;1,IF(C5601&lt;99,VLOOKUP(C5601,'MSA-Lookup'!$H$1:$I$86,2),C5601),C5601)</f>
        <v>4480</v>
      </c>
      <c r="G5601" s="0" t="n">
        <f aca="false">VLOOKUP(E5601,'MSA-Lookup'!$AA$1:$AB$25,2)</f>
        <v>7362</v>
      </c>
      <c r="H5601" s="0" t="n">
        <f aca="false">IF(C5601&gt;1,IF(C5601&lt;99,VLOOKUP(F5601,'MSA-Lookup'!$AA$1:$AB$25,2),C5601),C5601)</f>
        <v>4472</v>
      </c>
    </row>
    <row r="5602" customFormat="false" ht="12.75" hidden="false" customHeight="false" outlineLevel="0" collapsed="false">
      <c r="A5602" s="0" t="n">
        <f aca="false">B5602*1000+C5602</f>
        <v>76059</v>
      </c>
      <c r="B5602" s="0" t="n">
        <v>76</v>
      </c>
      <c r="C5602" s="0" t="n">
        <v>59</v>
      </c>
      <c r="D5602" s="0" t="n">
        <v>0</v>
      </c>
      <c r="E5602" s="0" t="n">
        <f aca="false">VLOOKUP(B5602,'MSA-Lookup'!$H$2:$I$86,2)</f>
        <v>7485</v>
      </c>
      <c r="F5602" s="0" t="n">
        <f aca="false">IF(C5602&gt;1,IF(C5602&lt;99,VLOOKUP(C5602,'MSA-Lookup'!$H$1:$I$86,2),C5602),C5602)</f>
        <v>4480</v>
      </c>
      <c r="G5602" s="0" t="n">
        <f aca="false">VLOOKUP(E5602,'MSA-Lookup'!$AA$1:$AB$25,2)</f>
        <v>7362</v>
      </c>
      <c r="H5602" s="0" t="n">
        <f aca="false">IF(C5602&gt;1,IF(C5602&lt;99,VLOOKUP(F5602,'MSA-Lookup'!$AA$1:$AB$25,2),C5602),C5602)</f>
        <v>4472</v>
      </c>
    </row>
    <row r="5603" customFormat="false" ht="12.75" hidden="false" customHeight="false" outlineLevel="0" collapsed="false">
      <c r="A5603" s="0" t="n">
        <f aca="false">B5603*1000+C5603</f>
        <v>76060</v>
      </c>
      <c r="B5603" s="0" t="n">
        <v>76</v>
      </c>
      <c r="C5603" s="0" t="n">
        <v>60</v>
      </c>
      <c r="D5603" s="0" t="n">
        <v>0</v>
      </c>
      <c r="E5603" s="0" t="n">
        <f aca="false">VLOOKUP(B5603,'MSA-Lookup'!$H$2:$I$86,2)</f>
        <v>7485</v>
      </c>
      <c r="F5603" s="0" t="n">
        <f aca="false">IF(C5603&gt;1,IF(C5603&lt;99,VLOOKUP(C5603,'MSA-Lookup'!$H$1:$I$86,2),C5603),C5603)</f>
        <v>4480</v>
      </c>
      <c r="G5603" s="0" t="n">
        <f aca="false">VLOOKUP(E5603,'MSA-Lookup'!$AA$1:$AB$25,2)</f>
        <v>7362</v>
      </c>
      <c r="H5603" s="0" t="n">
        <f aca="false">IF(C5603&gt;1,IF(C5603&lt;99,VLOOKUP(F5603,'MSA-Lookup'!$AA$1:$AB$25,2),C5603),C5603)</f>
        <v>4472</v>
      </c>
    </row>
    <row r="5604" customFormat="false" ht="12.75" hidden="false" customHeight="false" outlineLevel="0" collapsed="false">
      <c r="A5604" s="0" t="n">
        <f aca="false">B5604*1000+C5604</f>
        <v>76061</v>
      </c>
      <c r="B5604" s="0" t="n">
        <v>76</v>
      </c>
      <c r="C5604" s="0" t="n">
        <v>61</v>
      </c>
      <c r="D5604" s="0" t="n">
        <v>0</v>
      </c>
      <c r="E5604" s="0" t="n">
        <f aca="false">VLOOKUP(B5604,'MSA-Lookup'!$H$2:$I$86,2)</f>
        <v>7485</v>
      </c>
      <c r="F5604" s="0" t="n">
        <f aca="false">IF(C5604&gt;1,IF(C5604&lt;99,VLOOKUP(C5604,'MSA-Lookup'!$H$1:$I$86,2),C5604),C5604)</f>
        <v>4480</v>
      </c>
      <c r="G5604" s="0" t="n">
        <f aca="false">VLOOKUP(E5604,'MSA-Lookup'!$AA$1:$AB$25,2)</f>
        <v>7362</v>
      </c>
      <c r="H5604" s="0" t="n">
        <f aca="false">IF(C5604&gt;1,IF(C5604&lt;99,VLOOKUP(F5604,'MSA-Lookup'!$AA$1:$AB$25,2),C5604),C5604)</f>
        <v>4472</v>
      </c>
    </row>
    <row r="5605" customFormat="false" ht="12.75" hidden="false" customHeight="false" outlineLevel="0" collapsed="false">
      <c r="A5605" s="0" t="n">
        <f aca="false">B5605*1000+C5605</f>
        <v>76062</v>
      </c>
      <c r="B5605" s="0" t="n">
        <v>76</v>
      </c>
      <c r="C5605" s="0" t="n">
        <v>62</v>
      </c>
      <c r="D5605" s="0" t="n">
        <v>0</v>
      </c>
      <c r="E5605" s="0" t="n">
        <f aca="false">VLOOKUP(B5605,'MSA-Lookup'!$H$2:$I$86,2)</f>
        <v>7485</v>
      </c>
      <c r="F5605" s="0" t="n">
        <f aca="false">IF(C5605&gt;1,IF(C5605&lt;99,VLOOKUP(C5605,'MSA-Lookup'!$H$1:$I$86,2),C5605),C5605)</f>
        <v>4480</v>
      </c>
      <c r="G5605" s="0" t="n">
        <f aca="false">VLOOKUP(E5605,'MSA-Lookup'!$AA$1:$AB$25,2)</f>
        <v>7362</v>
      </c>
      <c r="H5605" s="0" t="n">
        <f aca="false">IF(C5605&gt;1,IF(C5605&lt;99,VLOOKUP(F5605,'MSA-Lookup'!$AA$1:$AB$25,2),C5605),C5605)</f>
        <v>4472</v>
      </c>
    </row>
    <row r="5606" customFormat="false" ht="12.75" hidden="false" customHeight="false" outlineLevel="0" collapsed="false">
      <c r="A5606" s="0" t="n">
        <f aca="false">B5606*1000+C5606</f>
        <v>76063</v>
      </c>
      <c r="B5606" s="0" t="n">
        <v>76</v>
      </c>
      <c r="C5606" s="0" t="n">
        <v>63</v>
      </c>
      <c r="D5606" s="0" t="n">
        <v>0</v>
      </c>
      <c r="E5606" s="0" t="n">
        <f aca="false">VLOOKUP(B5606,'MSA-Lookup'!$H$2:$I$86,2)</f>
        <v>7485</v>
      </c>
      <c r="F5606" s="0" t="n">
        <f aca="false">IF(C5606&gt;1,IF(C5606&lt;99,VLOOKUP(C5606,'MSA-Lookup'!$H$1:$I$86,2),C5606),C5606)</f>
        <v>4480</v>
      </c>
      <c r="G5606" s="0" t="n">
        <f aca="false">VLOOKUP(E5606,'MSA-Lookup'!$AA$1:$AB$25,2)</f>
        <v>7362</v>
      </c>
      <c r="H5606" s="0" t="n">
        <f aca="false">IF(C5606&gt;1,IF(C5606&lt;99,VLOOKUP(F5606,'MSA-Lookup'!$AA$1:$AB$25,2),C5606),C5606)</f>
        <v>4472</v>
      </c>
    </row>
    <row r="5607" customFormat="false" ht="12.75" hidden="false" customHeight="false" outlineLevel="0" collapsed="false">
      <c r="A5607" s="0" t="n">
        <f aca="false">B5607*1000+C5607</f>
        <v>76064</v>
      </c>
      <c r="B5607" s="0" t="n">
        <v>76</v>
      </c>
      <c r="C5607" s="0" t="n">
        <v>64</v>
      </c>
      <c r="D5607" s="0" t="n">
        <v>0</v>
      </c>
      <c r="E5607" s="0" t="n">
        <f aca="false">VLOOKUP(B5607,'MSA-Lookup'!$H$2:$I$86,2)</f>
        <v>7485</v>
      </c>
      <c r="F5607" s="0" t="n">
        <f aca="false">IF(C5607&gt;1,IF(C5607&lt;99,VLOOKUP(C5607,'MSA-Lookup'!$H$1:$I$86,2),C5607),C5607)</f>
        <v>4480</v>
      </c>
      <c r="G5607" s="0" t="n">
        <f aca="false">VLOOKUP(E5607,'MSA-Lookup'!$AA$1:$AB$25,2)</f>
        <v>7362</v>
      </c>
      <c r="H5607" s="0" t="n">
        <f aca="false">IF(C5607&gt;1,IF(C5607&lt;99,VLOOKUP(F5607,'MSA-Lookup'!$AA$1:$AB$25,2),C5607),C5607)</f>
        <v>4472</v>
      </c>
    </row>
    <row r="5608" customFormat="false" ht="12.75" hidden="false" customHeight="false" outlineLevel="0" collapsed="false">
      <c r="A5608" s="0" t="n">
        <f aca="false">B5608*1000+C5608</f>
        <v>76065</v>
      </c>
      <c r="B5608" s="0" t="n">
        <v>76</v>
      </c>
      <c r="C5608" s="0" t="n">
        <v>65</v>
      </c>
      <c r="D5608" s="0" t="n">
        <v>247</v>
      </c>
      <c r="E5608" s="0" t="n">
        <f aca="false">VLOOKUP(B5608,'MSA-Lookup'!$H$2:$I$86,2)</f>
        <v>7485</v>
      </c>
      <c r="F5608" s="0" t="n">
        <f aca="false">IF(C5608&gt;1,IF(C5608&lt;99,VLOOKUP(C5608,'MSA-Lookup'!$H$1:$I$86,2),C5608),C5608)</f>
        <v>4480</v>
      </c>
      <c r="G5608" s="0" t="n">
        <f aca="false">VLOOKUP(E5608,'MSA-Lookup'!$AA$1:$AB$25,2)</f>
        <v>7362</v>
      </c>
      <c r="H5608" s="0" t="n">
        <f aca="false">IF(C5608&gt;1,IF(C5608&lt;99,VLOOKUP(F5608,'MSA-Lookup'!$AA$1:$AB$25,2),C5608),C5608)</f>
        <v>4472</v>
      </c>
    </row>
    <row r="5609" customFormat="false" ht="12.75" hidden="false" customHeight="false" outlineLevel="0" collapsed="false">
      <c r="A5609" s="0" t="n">
        <f aca="false">B5609*1000+C5609</f>
        <v>76066</v>
      </c>
      <c r="B5609" s="0" t="n">
        <v>76</v>
      </c>
      <c r="C5609" s="0" t="n">
        <v>66</v>
      </c>
      <c r="D5609" s="0" t="n">
        <v>0</v>
      </c>
      <c r="E5609" s="0" t="n">
        <f aca="false">VLOOKUP(B5609,'MSA-Lookup'!$H$2:$I$86,2)</f>
        <v>7485</v>
      </c>
      <c r="F5609" s="0" t="n">
        <f aca="false">IF(C5609&gt;1,IF(C5609&lt;99,VLOOKUP(C5609,'MSA-Lookup'!$H$1:$I$86,2),C5609),C5609)</f>
        <v>4480</v>
      </c>
      <c r="G5609" s="0" t="n">
        <f aca="false">VLOOKUP(E5609,'MSA-Lookup'!$AA$1:$AB$25,2)</f>
        <v>7362</v>
      </c>
      <c r="H5609" s="0" t="n">
        <f aca="false">IF(C5609&gt;1,IF(C5609&lt;99,VLOOKUP(F5609,'MSA-Lookup'!$AA$1:$AB$25,2),C5609),C5609)</f>
        <v>4472</v>
      </c>
    </row>
    <row r="5610" customFormat="false" ht="12.75" hidden="false" customHeight="false" outlineLevel="0" collapsed="false">
      <c r="A5610" s="0" t="n">
        <f aca="false">B5610*1000+C5610</f>
        <v>76067</v>
      </c>
      <c r="B5610" s="0" t="n">
        <v>76</v>
      </c>
      <c r="C5610" s="0" t="n">
        <v>67</v>
      </c>
      <c r="D5610" s="0" t="n">
        <v>0</v>
      </c>
      <c r="E5610" s="0" t="n">
        <f aca="false">VLOOKUP(B5610,'MSA-Lookup'!$H$2:$I$86,2)</f>
        <v>7485</v>
      </c>
      <c r="F5610" s="0" t="n">
        <f aca="false">IF(C5610&gt;1,IF(C5610&lt;99,VLOOKUP(C5610,'MSA-Lookup'!$H$1:$I$86,2),C5610),C5610)</f>
        <v>6000</v>
      </c>
      <c r="G5610" s="0" t="n">
        <f aca="false">VLOOKUP(E5610,'MSA-Lookup'!$AA$1:$AB$25,2)</f>
        <v>7362</v>
      </c>
      <c r="H5610" s="0" t="n">
        <f aca="false">IF(C5610&gt;1,IF(C5610&lt;99,VLOOKUP(F5610,'MSA-Lookup'!$AA$1:$AB$25,2),C5610),C5610)</f>
        <v>4472</v>
      </c>
    </row>
    <row r="5611" customFormat="false" ht="12.75" hidden="false" customHeight="false" outlineLevel="0" collapsed="false">
      <c r="A5611" s="0" t="n">
        <f aca="false">B5611*1000+C5611</f>
        <v>76068</v>
      </c>
      <c r="B5611" s="0" t="n">
        <v>76</v>
      </c>
      <c r="C5611" s="0" t="n">
        <v>68</v>
      </c>
      <c r="D5611" s="0" t="n">
        <v>0</v>
      </c>
      <c r="E5611" s="0" t="n">
        <f aca="false">VLOOKUP(B5611,'MSA-Lookup'!$H$2:$I$86,2)</f>
        <v>7485</v>
      </c>
      <c r="F5611" s="0" t="n">
        <f aca="false">IF(C5611&gt;1,IF(C5611&lt;99,VLOOKUP(C5611,'MSA-Lookup'!$H$1:$I$86,2),C5611),C5611)</f>
        <v>6780</v>
      </c>
      <c r="G5611" s="0" t="n">
        <f aca="false">VLOOKUP(E5611,'MSA-Lookup'!$AA$1:$AB$25,2)</f>
        <v>7362</v>
      </c>
      <c r="H5611" s="0" t="n">
        <f aca="false">IF(C5611&gt;1,IF(C5611&lt;99,VLOOKUP(F5611,'MSA-Lookup'!$AA$1:$AB$25,2),C5611),C5611)</f>
        <v>4472</v>
      </c>
    </row>
    <row r="5612" customFormat="false" ht="12.75" hidden="false" customHeight="false" outlineLevel="0" collapsed="false">
      <c r="A5612" s="0" t="n">
        <f aca="false">B5612*1000+C5612</f>
        <v>76069</v>
      </c>
      <c r="B5612" s="0" t="n">
        <v>76</v>
      </c>
      <c r="C5612" s="0" t="n">
        <v>69</v>
      </c>
      <c r="D5612" s="0" t="n">
        <v>0</v>
      </c>
      <c r="E5612" s="0" t="n">
        <f aca="false">VLOOKUP(B5612,'MSA-Lookup'!$H$2:$I$86,2)</f>
        <v>7485</v>
      </c>
      <c r="F5612" s="0" t="n">
        <f aca="false">IF(C5612&gt;1,IF(C5612&lt;99,VLOOKUP(C5612,'MSA-Lookup'!$H$1:$I$86,2),C5612),C5612)</f>
        <v>6780</v>
      </c>
      <c r="G5612" s="0" t="n">
        <f aca="false">VLOOKUP(E5612,'MSA-Lookup'!$AA$1:$AB$25,2)</f>
        <v>7362</v>
      </c>
      <c r="H5612" s="0" t="n">
        <f aca="false">IF(C5612&gt;1,IF(C5612&lt;99,VLOOKUP(F5612,'MSA-Lookup'!$AA$1:$AB$25,2),C5612),C5612)</f>
        <v>4472</v>
      </c>
    </row>
    <row r="5613" customFormat="false" ht="12.75" hidden="false" customHeight="false" outlineLevel="0" collapsed="false">
      <c r="A5613" s="0" t="n">
        <f aca="false">B5613*1000+C5613</f>
        <v>76070</v>
      </c>
      <c r="B5613" s="0" t="n">
        <v>76</v>
      </c>
      <c r="C5613" s="0" t="n">
        <v>70</v>
      </c>
      <c r="D5613" s="0" t="n">
        <v>0</v>
      </c>
      <c r="E5613" s="0" t="n">
        <f aca="false">VLOOKUP(B5613,'MSA-Lookup'!$H$2:$I$86,2)</f>
        <v>7485</v>
      </c>
      <c r="F5613" s="0" t="n">
        <f aca="false">IF(C5613&gt;1,IF(C5613&lt;99,VLOOKUP(C5613,'MSA-Lookup'!$H$1:$I$86,2),C5613),C5613)</f>
        <v>6780</v>
      </c>
      <c r="G5613" s="0" t="n">
        <f aca="false">VLOOKUP(E5613,'MSA-Lookup'!$AA$1:$AB$25,2)</f>
        <v>7362</v>
      </c>
      <c r="H5613" s="0" t="n">
        <f aca="false">IF(C5613&gt;1,IF(C5613&lt;99,VLOOKUP(F5613,'MSA-Lookup'!$AA$1:$AB$25,2),C5613),C5613)</f>
        <v>4472</v>
      </c>
    </row>
    <row r="5614" customFormat="false" ht="12.75" hidden="false" customHeight="false" outlineLevel="0" collapsed="false">
      <c r="A5614" s="0" t="n">
        <f aca="false">B5614*1000+C5614</f>
        <v>76071</v>
      </c>
      <c r="B5614" s="0" t="n">
        <v>76</v>
      </c>
      <c r="C5614" s="0" t="n">
        <v>71</v>
      </c>
      <c r="D5614" s="0" t="n">
        <v>0</v>
      </c>
      <c r="E5614" s="0" t="n">
        <f aca="false">VLOOKUP(B5614,'MSA-Lookup'!$H$2:$I$86,2)</f>
        <v>7485</v>
      </c>
      <c r="F5614" s="0" t="n">
        <f aca="false">IF(C5614&gt;1,IF(C5614&lt;99,VLOOKUP(C5614,'MSA-Lookup'!$H$1:$I$86,2),C5614),C5614)</f>
        <v>6780</v>
      </c>
      <c r="G5614" s="0" t="n">
        <f aca="false">VLOOKUP(E5614,'MSA-Lookup'!$AA$1:$AB$25,2)</f>
        <v>7362</v>
      </c>
      <c r="H5614" s="0" t="n">
        <f aca="false">IF(C5614&gt;1,IF(C5614&lt;99,VLOOKUP(F5614,'MSA-Lookup'!$AA$1:$AB$25,2),C5614),C5614)</f>
        <v>4472</v>
      </c>
    </row>
    <row r="5615" customFormat="false" ht="12.75" hidden="false" customHeight="false" outlineLevel="0" collapsed="false">
      <c r="A5615" s="0" t="n">
        <f aca="false">B5615*1000+C5615</f>
        <v>76072</v>
      </c>
      <c r="B5615" s="0" t="n">
        <v>76</v>
      </c>
      <c r="C5615" s="0" t="n">
        <v>72</v>
      </c>
      <c r="D5615" s="0" t="n">
        <v>0</v>
      </c>
      <c r="E5615" s="0" t="n">
        <f aca="false">VLOOKUP(B5615,'MSA-Lookup'!$H$2:$I$86,2)</f>
        <v>7485</v>
      </c>
      <c r="F5615" s="0" t="n">
        <f aca="false">IF(C5615&gt;1,IF(C5615&lt;99,VLOOKUP(C5615,'MSA-Lookup'!$H$1:$I$86,2),C5615),C5615)</f>
        <v>6780</v>
      </c>
      <c r="G5615" s="0" t="n">
        <f aca="false">VLOOKUP(E5615,'MSA-Lookup'!$AA$1:$AB$25,2)</f>
        <v>7362</v>
      </c>
      <c r="H5615" s="0" t="n">
        <f aca="false">IF(C5615&gt;1,IF(C5615&lt;99,VLOOKUP(F5615,'MSA-Lookup'!$AA$1:$AB$25,2),C5615),C5615)</f>
        <v>4472</v>
      </c>
    </row>
    <row r="5616" customFormat="false" ht="12.75" hidden="false" customHeight="false" outlineLevel="0" collapsed="false">
      <c r="A5616" s="0" t="n">
        <f aca="false">B5616*1000+C5616</f>
        <v>76073</v>
      </c>
      <c r="B5616" s="0" t="n">
        <v>76</v>
      </c>
      <c r="C5616" s="0" t="n">
        <v>73</v>
      </c>
      <c r="D5616" s="0" t="n">
        <v>0</v>
      </c>
      <c r="E5616" s="0" t="n">
        <f aca="false">VLOOKUP(B5616,'MSA-Lookup'!$H$2:$I$86,2)</f>
        <v>7485</v>
      </c>
      <c r="F5616" s="0" t="n">
        <f aca="false">IF(C5616&gt;1,IF(C5616&lt;99,VLOOKUP(C5616,'MSA-Lookup'!$H$1:$I$86,2),C5616),C5616)</f>
        <v>8720</v>
      </c>
      <c r="G5616" s="0" t="n">
        <f aca="false">VLOOKUP(E5616,'MSA-Lookup'!$AA$1:$AB$25,2)</f>
        <v>7362</v>
      </c>
      <c r="H5616" s="0" t="n">
        <f aca="false">IF(C5616&gt;1,IF(C5616&lt;99,VLOOKUP(F5616,'MSA-Lookup'!$AA$1:$AB$25,2),C5616),C5616)</f>
        <v>7362</v>
      </c>
    </row>
    <row r="5617" customFormat="false" ht="12.75" hidden="false" customHeight="false" outlineLevel="0" collapsed="false">
      <c r="A5617" s="0" t="n">
        <f aca="false">B5617*1000+C5617</f>
        <v>76075</v>
      </c>
      <c r="B5617" s="0" t="n">
        <v>76</v>
      </c>
      <c r="C5617" s="0" t="n">
        <v>75</v>
      </c>
      <c r="D5617" s="0" t="n">
        <v>0</v>
      </c>
      <c r="E5617" s="0" t="n">
        <f aca="false">VLOOKUP(B5617,'MSA-Lookup'!$H$2:$I$86,2)</f>
        <v>7485</v>
      </c>
      <c r="F5617" s="0" t="n">
        <f aca="false">IF(C5617&gt;1,IF(C5617&lt;99,VLOOKUP(C5617,'MSA-Lookup'!$H$1:$I$86,2),C5617),C5617)</f>
        <v>8780</v>
      </c>
      <c r="G5617" s="0" t="n">
        <f aca="false">VLOOKUP(E5617,'MSA-Lookup'!$AA$1:$AB$25,2)</f>
        <v>7362</v>
      </c>
      <c r="H5617" s="0" t="n">
        <f aca="false">IF(C5617&gt;1,IF(C5617&lt;99,VLOOKUP(F5617,'MSA-Lookup'!$AA$1:$AB$25,2),C5617),C5617)</f>
        <v>8780</v>
      </c>
    </row>
    <row r="5618" customFormat="false" ht="12.75" hidden="false" customHeight="false" outlineLevel="0" collapsed="false">
      <c r="A5618" s="0" t="n">
        <f aca="false">B5618*1000+C5618</f>
        <v>76076</v>
      </c>
      <c r="B5618" s="0" t="n">
        <v>76</v>
      </c>
      <c r="C5618" s="0" t="n">
        <v>76</v>
      </c>
      <c r="D5618" s="0" t="n">
        <v>88868</v>
      </c>
      <c r="E5618" s="0" t="n">
        <f aca="false">VLOOKUP(B5618,'MSA-Lookup'!$H$2:$I$86,2)</f>
        <v>7485</v>
      </c>
      <c r="F5618" s="0" t="n">
        <f aca="false">IF(C5618&gt;1,IF(C5618&lt;99,VLOOKUP(C5618,'MSA-Lookup'!$H$1:$I$86,2),C5618),C5618)</f>
        <v>7485</v>
      </c>
      <c r="G5618" s="0" t="n">
        <f aca="false">VLOOKUP(E5618,'MSA-Lookup'!$AA$1:$AB$25,2)</f>
        <v>7362</v>
      </c>
      <c r="H5618" s="0" t="n">
        <f aca="false">IF(C5618&gt;1,IF(C5618&lt;99,VLOOKUP(F5618,'MSA-Lookup'!$AA$1:$AB$25,2),C5618),C5618)</f>
        <v>7362</v>
      </c>
    </row>
    <row r="5619" customFormat="false" ht="12.75" hidden="false" customHeight="false" outlineLevel="0" collapsed="false">
      <c r="A5619" s="0" t="n">
        <f aca="false">B5619*1000+C5619</f>
        <v>76077</v>
      </c>
      <c r="B5619" s="0" t="n">
        <v>76</v>
      </c>
      <c r="C5619" s="0" t="n">
        <v>77</v>
      </c>
      <c r="D5619" s="0" t="n">
        <v>0</v>
      </c>
      <c r="E5619" s="0" t="n">
        <f aca="false">VLOOKUP(B5619,'MSA-Lookup'!$H$2:$I$86,2)</f>
        <v>7485</v>
      </c>
      <c r="F5619" s="0" t="n">
        <f aca="false">IF(C5619&gt;1,IF(C5619&lt;99,VLOOKUP(C5619,'MSA-Lookup'!$H$1:$I$86,2),C5619),C5619)</f>
        <v>9999</v>
      </c>
      <c r="G5619" s="0" t="n">
        <f aca="false">VLOOKUP(E5619,'MSA-Lookup'!$AA$1:$AB$25,2)</f>
        <v>7362</v>
      </c>
      <c r="H5619" s="0" t="n">
        <f aca="false">IF(C5619&gt;1,IF(C5619&lt;99,VLOOKUP(F5619,'MSA-Lookup'!$AA$1:$AB$25,2),C5619),C5619)</f>
        <v>9999</v>
      </c>
    </row>
    <row r="5620" customFormat="false" ht="12.75" hidden="false" customHeight="false" outlineLevel="0" collapsed="false">
      <c r="A5620" s="0" t="n">
        <f aca="false">B5620*1000+C5620</f>
        <v>76078</v>
      </c>
      <c r="B5620" s="0" t="n">
        <v>76</v>
      </c>
      <c r="C5620" s="0" t="n">
        <v>78</v>
      </c>
      <c r="D5620" s="0" t="n">
        <v>65</v>
      </c>
      <c r="E5620" s="0" t="n">
        <f aca="false">VLOOKUP(B5620,'MSA-Lookup'!$H$2:$I$86,2)</f>
        <v>7485</v>
      </c>
      <c r="F5620" s="0" t="n">
        <f aca="false">IF(C5620&gt;1,IF(C5620&lt;99,VLOOKUP(C5620,'MSA-Lookup'!$H$1:$I$86,2),C5620),C5620)</f>
        <v>680</v>
      </c>
      <c r="G5620" s="0" t="n">
        <f aca="false">VLOOKUP(E5620,'MSA-Lookup'!$AA$1:$AB$25,2)</f>
        <v>7362</v>
      </c>
      <c r="H5620" s="0" t="n">
        <f aca="false">IF(C5620&gt;1,IF(C5620&lt;99,VLOOKUP(F5620,'MSA-Lookup'!$AA$1:$AB$25,2),C5620),C5620)</f>
        <v>680</v>
      </c>
    </row>
    <row r="5621" customFormat="false" ht="12.75" hidden="false" customHeight="false" outlineLevel="0" collapsed="false">
      <c r="A5621" s="0" t="n">
        <f aca="false">B5621*1000+C5621</f>
        <v>76079</v>
      </c>
      <c r="B5621" s="0" t="n">
        <v>76</v>
      </c>
      <c r="C5621" s="0" t="n">
        <v>79</v>
      </c>
      <c r="D5621" s="0" t="n">
        <v>208</v>
      </c>
      <c r="E5621" s="0" t="n">
        <f aca="false">VLOOKUP(B5621,'MSA-Lookup'!$H$2:$I$86,2)</f>
        <v>7485</v>
      </c>
      <c r="F5621" s="0" t="n">
        <f aca="false">IF(C5621&gt;1,IF(C5621&lt;99,VLOOKUP(C5621,'MSA-Lookup'!$H$1:$I$86,2),C5621),C5621)</f>
        <v>680</v>
      </c>
      <c r="G5621" s="0" t="n">
        <f aca="false">VLOOKUP(E5621,'MSA-Lookup'!$AA$1:$AB$25,2)</f>
        <v>7362</v>
      </c>
      <c r="H5621" s="0" t="n">
        <f aca="false">IF(C5621&gt;1,IF(C5621&lt;99,VLOOKUP(F5621,'MSA-Lookup'!$AA$1:$AB$25,2),C5621),C5621)</f>
        <v>680</v>
      </c>
    </row>
    <row r="5622" customFormat="false" ht="12.75" hidden="false" customHeight="false" outlineLevel="0" collapsed="false">
      <c r="A5622" s="0" t="n">
        <f aca="false">B5622*1000+C5622</f>
        <v>76080</v>
      </c>
      <c r="B5622" s="0" t="n">
        <v>76</v>
      </c>
      <c r="C5622" s="0" t="n">
        <v>80</v>
      </c>
      <c r="D5622" s="0" t="n">
        <v>0</v>
      </c>
      <c r="E5622" s="0" t="n">
        <f aca="false">VLOOKUP(B5622,'MSA-Lookup'!$H$2:$I$86,2)</f>
        <v>7485</v>
      </c>
      <c r="F5622" s="0" t="n">
        <f aca="false">IF(C5622&gt;1,IF(C5622&lt;99,VLOOKUP(C5622,'MSA-Lookup'!$H$1:$I$86,2),C5622),C5622)</f>
        <v>9999</v>
      </c>
      <c r="G5622" s="0" t="n">
        <f aca="false">VLOOKUP(E5622,'MSA-Lookup'!$AA$1:$AB$25,2)</f>
        <v>7362</v>
      </c>
      <c r="H5622" s="0" t="n">
        <f aca="false">IF(C5622&gt;1,IF(C5622&lt;99,VLOOKUP(F5622,'MSA-Lookup'!$AA$1:$AB$25,2),C5622),C5622)</f>
        <v>9999</v>
      </c>
    </row>
    <row r="5623" customFormat="false" ht="12.75" hidden="false" customHeight="false" outlineLevel="0" collapsed="false">
      <c r="A5623" s="0" t="n">
        <f aca="false">B5623*1000+C5623</f>
        <v>76081</v>
      </c>
      <c r="B5623" s="0" t="n">
        <v>76</v>
      </c>
      <c r="C5623" s="0" t="n">
        <v>81</v>
      </c>
      <c r="D5623" s="0" t="n">
        <v>0</v>
      </c>
      <c r="E5623" s="0" t="n">
        <f aca="false">VLOOKUP(B5623,'MSA-Lookup'!$H$2:$I$86,2)</f>
        <v>7485</v>
      </c>
      <c r="F5623" s="0" t="n">
        <f aca="false">IF(C5623&gt;1,IF(C5623&lt;99,VLOOKUP(C5623,'MSA-Lookup'!$H$1:$I$86,2),C5623),C5623)</f>
        <v>6780</v>
      </c>
      <c r="G5623" s="0" t="n">
        <f aca="false">VLOOKUP(E5623,'MSA-Lookup'!$AA$1:$AB$25,2)</f>
        <v>7362</v>
      </c>
      <c r="H5623" s="0" t="n">
        <f aca="false">IF(C5623&gt;1,IF(C5623&lt;99,VLOOKUP(F5623,'MSA-Lookup'!$AA$1:$AB$25,2),C5623),C5623)</f>
        <v>4472</v>
      </c>
    </row>
    <row r="5624" customFormat="false" ht="12.75" hidden="false" customHeight="false" outlineLevel="0" collapsed="false">
      <c r="A5624" s="0" t="n">
        <f aca="false">B5624*1000+C5624</f>
        <v>76082</v>
      </c>
      <c r="B5624" s="0" t="n">
        <v>76</v>
      </c>
      <c r="C5624" s="0" t="n">
        <v>82</v>
      </c>
      <c r="D5624" s="0" t="n">
        <v>0</v>
      </c>
      <c r="E5624" s="0" t="n">
        <f aca="false">VLOOKUP(B5624,'MSA-Lookup'!$H$2:$I$86,2)</f>
        <v>7485</v>
      </c>
      <c r="F5624" s="0" t="n">
        <f aca="false">IF(C5624&gt;1,IF(C5624&lt;99,VLOOKUP(C5624,'MSA-Lookup'!$H$1:$I$86,2),C5624),C5624)</f>
        <v>6780</v>
      </c>
      <c r="G5624" s="0" t="n">
        <f aca="false">VLOOKUP(E5624,'MSA-Lookup'!$AA$1:$AB$25,2)</f>
        <v>7362</v>
      </c>
      <c r="H5624" s="0" t="n">
        <f aca="false">IF(C5624&gt;1,IF(C5624&lt;99,VLOOKUP(F5624,'MSA-Lookup'!$AA$1:$AB$25,2),C5624),C5624)</f>
        <v>4472</v>
      </c>
    </row>
    <row r="5625" customFormat="false" ht="12.75" hidden="false" customHeight="false" outlineLevel="0" collapsed="false">
      <c r="A5625" s="0" t="n">
        <f aca="false">B5625*1000+C5625</f>
        <v>76083</v>
      </c>
      <c r="B5625" s="0" t="n">
        <v>76</v>
      </c>
      <c r="C5625" s="0" t="n">
        <v>83</v>
      </c>
      <c r="D5625" s="0" t="n">
        <v>91</v>
      </c>
      <c r="E5625" s="0" t="n">
        <f aca="false">VLOOKUP(B5625,'MSA-Lookup'!$H$2:$I$86,2)</f>
        <v>7485</v>
      </c>
      <c r="F5625" s="0" t="n">
        <f aca="false">IF(C5625&gt;1,IF(C5625&lt;99,VLOOKUP(C5625,'MSA-Lookup'!$H$1:$I$86,2),C5625),C5625)</f>
        <v>6000</v>
      </c>
      <c r="G5625" s="0" t="n">
        <f aca="false">VLOOKUP(E5625,'MSA-Lookup'!$AA$1:$AB$25,2)</f>
        <v>7362</v>
      </c>
      <c r="H5625" s="0" t="n">
        <f aca="false">IF(C5625&gt;1,IF(C5625&lt;99,VLOOKUP(F5625,'MSA-Lookup'!$AA$1:$AB$25,2),C5625),C5625)</f>
        <v>4472</v>
      </c>
    </row>
    <row r="5626" customFormat="false" ht="12.75" hidden="false" customHeight="false" outlineLevel="0" collapsed="false">
      <c r="A5626" s="0" t="n">
        <f aca="false">B5626*1000+C5626</f>
        <v>76084</v>
      </c>
      <c r="B5626" s="0" t="n">
        <v>76</v>
      </c>
      <c r="C5626" s="0" t="n">
        <v>84</v>
      </c>
      <c r="D5626" s="0" t="n">
        <v>0</v>
      </c>
      <c r="E5626" s="0" t="n">
        <f aca="false">VLOOKUP(B5626,'MSA-Lookup'!$H$2:$I$86,2)</f>
        <v>7485</v>
      </c>
      <c r="F5626" s="0" t="n">
        <f aca="false">IF(C5626&gt;1,IF(C5626&lt;99,VLOOKUP(C5626,'MSA-Lookup'!$H$1:$I$86,2),C5626),C5626)</f>
        <v>360</v>
      </c>
      <c r="G5626" s="0" t="n">
        <f aca="false">VLOOKUP(E5626,'MSA-Lookup'!$AA$1:$AB$25,2)</f>
        <v>7362</v>
      </c>
      <c r="H5626" s="0" t="n">
        <f aca="false">IF(C5626&gt;1,IF(C5626&lt;99,VLOOKUP(F5626,'MSA-Lookup'!$AA$1:$AB$25,2),C5626),C5626)</f>
        <v>4472</v>
      </c>
    </row>
    <row r="5627" customFormat="false" ht="12.75" hidden="false" customHeight="false" outlineLevel="0" collapsed="false">
      <c r="A5627" s="0" t="n">
        <f aca="false">B5627*1000+C5627</f>
        <v>76085</v>
      </c>
      <c r="B5627" s="0" t="n">
        <v>76</v>
      </c>
      <c r="C5627" s="0" t="n">
        <v>85</v>
      </c>
      <c r="D5627" s="0" t="n">
        <v>0</v>
      </c>
      <c r="E5627" s="0" t="n">
        <f aca="false">VLOOKUP(B5627,'MSA-Lookup'!$H$2:$I$86,2)</f>
        <v>7485</v>
      </c>
      <c r="F5627" s="0" t="n">
        <f aca="false">IF(C5627&gt;1,IF(C5627&lt;99,VLOOKUP(C5627,'MSA-Lookup'!$H$1:$I$86,2),C5627),C5627)</f>
        <v>8120</v>
      </c>
      <c r="G5627" s="0" t="n">
        <f aca="false">VLOOKUP(E5627,'MSA-Lookup'!$AA$1:$AB$25,2)</f>
        <v>7362</v>
      </c>
      <c r="H5627" s="0" t="n">
        <f aca="false">IF(C5627&gt;1,IF(C5627&lt;99,VLOOKUP(F5627,'MSA-Lookup'!$AA$1:$AB$25,2),C5627),C5627)</f>
        <v>8120</v>
      </c>
    </row>
    <row r="5628" customFormat="false" ht="12.75" hidden="false" customHeight="false" outlineLevel="0" collapsed="false">
      <c r="A5628" s="0" t="n">
        <f aca="false">B5628*1000+C5628</f>
        <v>76858</v>
      </c>
      <c r="B5628" s="0" t="n">
        <v>76</v>
      </c>
      <c r="C5628" s="0" t="n">
        <v>858</v>
      </c>
      <c r="D5628" s="0" t="n">
        <v>0</v>
      </c>
      <c r="E5628" s="0" t="n">
        <f aca="false">VLOOKUP(B5628,'MSA-Lookup'!$H$2:$I$86,2)</f>
        <v>7485</v>
      </c>
      <c r="F5628" s="0" t="n">
        <f aca="false">IF(C5628&gt;1,IF(C5628&lt;99,VLOOKUP(C5628,'MSA-Lookup'!$H$1:$I$86,2),C5628),C5628)</f>
        <v>858</v>
      </c>
      <c r="G5628" s="0" t="n">
        <f aca="false">VLOOKUP(E5628,'MSA-Lookup'!$AA$1:$AB$25,2)</f>
        <v>7362</v>
      </c>
      <c r="H5628" s="0" t="n">
        <f aca="false">IF(C5628&gt;1,IF(C5628&lt;99,VLOOKUP(F5628,'MSA-Lookup'!$AA$1:$AB$25,2),C5628),C5628)</f>
        <v>858</v>
      </c>
    </row>
    <row r="5629" customFormat="false" ht="12.75" hidden="false" customHeight="false" outlineLevel="0" collapsed="false">
      <c r="A5629" s="0" t="n">
        <f aca="false">B5629*1000+C5629</f>
        <v>76983</v>
      </c>
      <c r="B5629" s="0" t="n">
        <v>76</v>
      </c>
      <c r="C5629" s="0" t="n">
        <v>983</v>
      </c>
      <c r="D5629" s="0" t="n">
        <v>0</v>
      </c>
      <c r="E5629" s="0" t="n">
        <f aca="false">VLOOKUP(B5629,'MSA-Lookup'!$H$2:$I$86,2)</f>
        <v>7485</v>
      </c>
      <c r="F5629" s="0" t="n">
        <f aca="false">IF(C5629&gt;1,IF(C5629&lt;99,VLOOKUP(C5629,'MSA-Lookup'!$H$1:$I$86,2),C5629),C5629)</f>
        <v>983</v>
      </c>
      <c r="G5629" s="0" t="n">
        <f aca="false">VLOOKUP(E5629,'MSA-Lookup'!$AA$1:$AB$25,2)</f>
        <v>7362</v>
      </c>
      <c r="H5629" s="0" t="n">
        <f aca="false">IF(C5629&gt;1,IF(C5629&lt;99,VLOOKUP(F5629,'MSA-Lookup'!$AA$1:$AB$25,2),C5629),C5629)</f>
        <v>983</v>
      </c>
    </row>
    <row r="5630" customFormat="false" ht="12.75" hidden="false" customHeight="false" outlineLevel="0" collapsed="false">
      <c r="A5630" s="0" t="n">
        <f aca="false">B5630*1000+C5630</f>
        <v>76999</v>
      </c>
      <c r="B5630" s="0" t="n">
        <v>76</v>
      </c>
      <c r="C5630" s="0" t="n">
        <v>999</v>
      </c>
      <c r="D5630" s="0" t="n">
        <v>208</v>
      </c>
      <c r="E5630" s="0" t="n">
        <f aca="false">VLOOKUP(B5630,'MSA-Lookup'!$H$2:$I$86,2)</f>
        <v>7485</v>
      </c>
      <c r="F5630" s="0" t="n">
        <f aca="false">IF(C5630&gt;1,IF(C5630&lt;99,VLOOKUP(C5630,'MSA-Lookup'!$H$1:$I$86,2),C5630),C5630)</f>
        <v>999</v>
      </c>
      <c r="G5630" s="0" t="n">
        <f aca="false">VLOOKUP(E5630,'MSA-Lookup'!$AA$1:$AB$25,2)</f>
        <v>7362</v>
      </c>
      <c r="H5630" s="0" t="n">
        <f aca="false">IF(C5630&gt;1,IF(C5630&lt;99,VLOOKUP(F5630,'MSA-Lookup'!$AA$1:$AB$25,2),C5630),C5630)</f>
        <v>999</v>
      </c>
    </row>
    <row r="5631" customFormat="false" ht="12.75" hidden="false" customHeight="false" outlineLevel="0" collapsed="false">
      <c r="A5631" s="0" t="n">
        <f aca="false">B5631*1000+C5631</f>
        <v>77000</v>
      </c>
      <c r="B5631" s="0" t="n">
        <v>77</v>
      </c>
      <c r="C5631" s="0" t="n">
        <v>0</v>
      </c>
      <c r="D5631" s="0" t="n">
        <v>73463</v>
      </c>
      <c r="E5631" s="0" t="n">
        <f aca="false">VLOOKUP(B5631,'MSA-Lookup'!$H$2:$I$86,2)</f>
        <v>9999</v>
      </c>
      <c r="F5631" s="0" t="n">
        <f aca="false">IF(C5631&gt;1,IF(C5631&lt;99,VLOOKUP(C5631,'MSA-Lookup'!$H$1:$I$86,2),C5631),C5631)</f>
        <v>0</v>
      </c>
      <c r="G5631" s="0" t="n">
        <f aca="false">VLOOKUP(E5631,'MSA-Lookup'!$AA$1:$AB$25,2)</f>
        <v>9999</v>
      </c>
      <c r="H5631" s="0" t="n">
        <f aca="false">IF(C5631&gt;1,IF(C5631&lt;99,VLOOKUP(F5631,'MSA-Lookup'!$AA$1:$AB$25,2),C5631),C5631)</f>
        <v>0</v>
      </c>
    </row>
    <row r="5632" customFormat="false" ht="12.75" hidden="false" customHeight="false" outlineLevel="0" collapsed="false">
      <c r="A5632" s="0" t="n">
        <f aca="false">B5632*1000+C5632</f>
        <v>77001</v>
      </c>
      <c r="B5632" s="0" t="n">
        <v>77</v>
      </c>
      <c r="C5632" s="0" t="n">
        <v>1</v>
      </c>
      <c r="D5632" s="0" t="n">
        <v>0</v>
      </c>
      <c r="E5632" s="0" t="n">
        <f aca="false">VLOOKUP(B5632,'MSA-Lookup'!$H$2:$I$86,2)</f>
        <v>9999</v>
      </c>
      <c r="F5632" s="0" t="n">
        <f aca="false">IF(C5632&gt;1,IF(C5632&lt;99,VLOOKUP(C5632,'MSA-Lookup'!$H$1:$I$86,2),C5632),C5632)</f>
        <v>1</v>
      </c>
      <c r="G5632" s="0" t="n">
        <f aca="false">VLOOKUP(E5632,'MSA-Lookup'!$AA$1:$AB$25,2)</f>
        <v>9999</v>
      </c>
      <c r="H5632" s="0" t="n">
        <f aca="false">IF(C5632&gt;1,IF(C5632&lt;99,VLOOKUP(F5632,'MSA-Lookup'!$AA$1:$AB$25,2),C5632),C5632)</f>
        <v>1</v>
      </c>
    </row>
    <row r="5633" customFormat="false" ht="12.75" hidden="false" customHeight="false" outlineLevel="0" collapsed="false">
      <c r="A5633" s="0" t="n">
        <f aca="false">B5633*1000+C5633</f>
        <v>77002</v>
      </c>
      <c r="B5633" s="0" t="n">
        <v>77</v>
      </c>
      <c r="C5633" s="0" t="n">
        <v>2</v>
      </c>
      <c r="D5633" s="0" t="n">
        <v>0</v>
      </c>
      <c r="E5633" s="0" t="n">
        <f aca="false">VLOOKUP(B5633,'MSA-Lookup'!$H$2:$I$86,2)</f>
        <v>9999</v>
      </c>
      <c r="F5633" s="0" t="n">
        <f aca="false">IF(C5633&gt;1,IF(C5633&lt;99,VLOOKUP(C5633,'MSA-Lookup'!$H$1:$I$86,2),C5633),C5633)</f>
        <v>9999</v>
      </c>
      <c r="G5633" s="0" t="n">
        <f aca="false">VLOOKUP(E5633,'MSA-Lookup'!$AA$1:$AB$25,2)</f>
        <v>9999</v>
      </c>
      <c r="H5633" s="0" t="n">
        <f aca="false">IF(C5633&gt;1,IF(C5633&lt;99,VLOOKUP(F5633,'MSA-Lookup'!$AA$1:$AB$25,2),C5633),C5633)</f>
        <v>9999</v>
      </c>
    </row>
    <row r="5634" customFormat="false" ht="12.75" hidden="false" customHeight="false" outlineLevel="0" collapsed="false">
      <c r="A5634" s="0" t="n">
        <f aca="false">B5634*1000+C5634</f>
        <v>77003</v>
      </c>
      <c r="B5634" s="0" t="n">
        <v>77</v>
      </c>
      <c r="C5634" s="0" t="n">
        <v>3</v>
      </c>
      <c r="D5634" s="0" t="n">
        <v>0</v>
      </c>
      <c r="E5634" s="0" t="n">
        <f aca="false">VLOOKUP(B5634,'MSA-Lookup'!$H$2:$I$86,2)</f>
        <v>9999</v>
      </c>
      <c r="F5634" s="0" t="n">
        <f aca="false">IF(C5634&gt;1,IF(C5634&lt;99,VLOOKUP(C5634,'MSA-Lookup'!$H$1:$I$86,2),C5634),C5634)</f>
        <v>6690</v>
      </c>
      <c r="G5634" s="0" t="n">
        <f aca="false">VLOOKUP(E5634,'MSA-Lookup'!$AA$1:$AB$25,2)</f>
        <v>9999</v>
      </c>
      <c r="H5634" s="0" t="n">
        <f aca="false">IF(C5634&gt;1,IF(C5634&lt;99,VLOOKUP(F5634,'MSA-Lookup'!$AA$1:$AB$25,2),C5634),C5634)</f>
        <v>6690</v>
      </c>
    </row>
    <row r="5635" customFormat="false" ht="12.75" hidden="false" customHeight="false" outlineLevel="0" collapsed="false">
      <c r="A5635" s="0" t="n">
        <f aca="false">B5635*1000+C5635</f>
        <v>77004</v>
      </c>
      <c r="B5635" s="0" t="n">
        <v>77</v>
      </c>
      <c r="C5635" s="0" t="n">
        <v>4</v>
      </c>
      <c r="D5635" s="0" t="n">
        <v>377</v>
      </c>
      <c r="E5635" s="0" t="n">
        <f aca="false">VLOOKUP(B5635,'MSA-Lookup'!$H$2:$I$86,2)</f>
        <v>9999</v>
      </c>
      <c r="F5635" s="0" t="n">
        <f aca="false">IF(C5635&gt;1,IF(C5635&lt;99,VLOOKUP(C5635,'MSA-Lookup'!$H$1:$I$86,2),C5635),C5635)</f>
        <v>9999</v>
      </c>
      <c r="G5635" s="0" t="n">
        <f aca="false">VLOOKUP(E5635,'MSA-Lookup'!$AA$1:$AB$25,2)</f>
        <v>9999</v>
      </c>
      <c r="H5635" s="0" t="n">
        <f aca="false">IF(C5635&gt;1,IF(C5635&lt;99,VLOOKUP(F5635,'MSA-Lookup'!$AA$1:$AB$25,2),C5635),C5635)</f>
        <v>9999</v>
      </c>
    </row>
    <row r="5636" customFormat="false" ht="12.75" hidden="false" customHeight="false" outlineLevel="0" collapsed="false">
      <c r="A5636" s="0" t="n">
        <f aca="false">B5636*1000+C5636</f>
        <v>77005</v>
      </c>
      <c r="B5636" s="0" t="n">
        <v>77</v>
      </c>
      <c r="C5636" s="0" t="n">
        <v>5</v>
      </c>
      <c r="D5636" s="0" t="n">
        <v>0</v>
      </c>
      <c r="E5636" s="0" t="n">
        <f aca="false">VLOOKUP(B5636,'MSA-Lookup'!$H$2:$I$86,2)</f>
        <v>9999</v>
      </c>
      <c r="F5636" s="0" t="n">
        <f aca="false">IF(C5636&gt;1,IF(C5636&lt;99,VLOOKUP(C5636,'MSA-Lookup'!$H$1:$I$86,2),C5636),C5636)</f>
        <v>9999</v>
      </c>
      <c r="G5636" s="0" t="n">
        <f aca="false">VLOOKUP(E5636,'MSA-Lookup'!$AA$1:$AB$25,2)</f>
        <v>9999</v>
      </c>
      <c r="H5636" s="0" t="n">
        <f aca="false">IF(C5636&gt;1,IF(C5636&lt;99,VLOOKUP(F5636,'MSA-Lookup'!$AA$1:$AB$25,2),C5636),C5636)</f>
        <v>9999</v>
      </c>
    </row>
    <row r="5637" customFormat="false" ht="12.75" hidden="false" customHeight="false" outlineLevel="0" collapsed="false">
      <c r="A5637" s="0" t="n">
        <f aca="false">B5637*1000+C5637</f>
        <v>77006</v>
      </c>
      <c r="B5637" s="0" t="n">
        <v>77</v>
      </c>
      <c r="C5637" s="0" t="n">
        <v>6</v>
      </c>
      <c r="D5637" s="0" t="n">
        <v>0</v>
      </c>
      <c r="E5637" s="0" t="n">
        <f aca="false">VLOOKUP(B5637,'MSA-Lookup'!$H$2:$I$86,2)</f>
        <v>9999</v>
      </c>
      <c r="F5637" s="0" t="n">
        <f aca="false">IF(C5637&gt;1,IF(C5637&lt;99,VLOOKUP(C5637,'MSA-Lookup'!$H$1:$I$86,2),C5637),C5637)</f>
        <v>1620</v>
      </c>
      <c r="G5637" s="0" t="n">
        <f aca="false">VLOOKUP(E5637,'MSA-Lookup'!$AA$1:$AB$25,2)</f>
        <v>9999</v>
      </c>
      <c r="H5637" s="0" t="n">
        <f aca="false">IF(C5637&gt;1,IF(C5637&lt;99,VLOOKUP(F5637,'MSA-Lookup'!$AA$1:$AB$25,2),C5637),C5637)</f>
        <v>1620</v>
      </c>
    </row>
    <row r="5638" customFormat="false" ht="12.75" hidden="false" customHeight="false" outlineLevel="0" collapsed="false">
      <c r="A5638" s="0" t="n">
        <f aca="false">B5638*1000+C5638</f>
        <v>77007</v>
      </c>
      <c r="B5638" s="0" t="n">
        <v>77</v>
      </c>
      <c r="C5638" s="0" t="n">
        <v>7</v>
      </c>
      <c r="D5638" s="0" t="n">
        <v>0</v>
      </c>
      <c r="E5638" s="0" t="n">
        <f aca="false">VLOOKUP(B5638,'MSA-Lookup'!$H$2:$I$86,2)</f>
        <v>9999</v>
      </c>
      <c r="F5638" s="0" t="n">
        <f aca="false">IF(C5638&gt;1,IF(C5638&lt;99,VLOOKUP(C5638,'MSA-Lookup'!$H$1:$I$86,2),C5638),C5638)</f>
        <v>9999</v>
      </c>
      <c r="G5638" s="0" t="n">
        <f aca="false">VLOOKUP(E5638,'MSA-Lookup'!$AA$1:$AB$25,2)</f>
        <v>9999</v>
      </c>
      <c r="H5638" s="0" t="n">
        <f aca="false">IF(C5638&gt;1,IF(C5638&lt;99,VLOOKUP(F5638,'MSA-Lookup'!$AA$1:$AB$25,2),C5638),C5638)</f>
        <v>9999</v>
      </c>
    </row>
    <row r="5639" customFormat="false" ht="12.75" hidden="false" customHeight="false" outlineLevel="0" collapsed="false">
      <c r="A5639" s="0" t="n">
        <f aca="false">B5639*1000+C5639</f>
        <v>77008</v>
      </c>
      <c r="B5639" s="0" t="n">
        <v>77</v>
      </c>
      <c r="C5639" s="0" t="n">
        <v>8</v>
      </c>
      <c r="D5639" s="0" t="n">
        <v>0</v>
      </c>
      <c r="E5639" s="0" t="n">
        <f aca="false">VLOOKUP(B5639,'MSA-Lookup'!$H$2:$I$86,2)</f>
        <v>9999</v>
      </c>
      <c r="F5639" s="0" t="n">
        <f aca="false">IF(C5639&gt;1,IF(C5639&lt;99,VLOOKUP(C5639,'MSA-Lookup'!$H$1:$I$86,2),C5639),C5639)</f>
        <v>9340</v>
      </c>
      <c r="G5639" s="0" t="n">
        <f aca="false">VLOOKUP(E5639,'MSA-Lookup'!$AA$1:$AB$25,2)</f>
        <v>9999</v>
      </c>
      <c r="H5639" s="0" t="n">
        <f aca="false">IF(C5639&gt;1,IF(C5639&lt;99,VLOOKUP(F5639,'MSA-Lookup'!$AA$1:$AB$25,2),C5639),C5639)</f>
        <v>9340</v>
      </c>
    </row>
    <row r="5640" customFormat="false" ht="12.75" hidden="false" customHeight="false" outlineLevel="0" collapsed="false">
      <c r="A5640" s="0" t="n">
        <f aca="false">B5640*1000+C5640</f>
        <v>77009</v>
      </c>
      <c r="B5640" s="0" t="n">
        <v>77</v>
      </c>
      <c r="C5640" s="0" t="n">
        <v>9</v>
      </c>
      <c r="D5640" s="0" t="n">
        <v>0</v>
      </c>
      <c r="E5640" s="0" t="n">
        <f aca="false">VLOOKUP(B5640,'MSA-Lookup'!$H$2:$I$86,2)</f>
        <v>9999</v>
      </c>
      <c r="F5640" s="0" t="n">
        <f aca="false">IF(C5640&gt;1,IF(C5640&lt;99,VLOOKUP(C5640,'MSA-Lookup'!$H$1:$I$86,2),C5640),C5640)</f>
        <v>8720</v>
      </c>
      <c r="G5640" s="0" t="n">
        <f aca="false">VLOOKUP(E5640,'MSA-Lookup'!$AA$1:$AB$25,2)</f>
        <v>9999</v>
      </c>
      <c r="H5640" s="0" t="n">
        <f aca="false">IF(C5640&gt;1,IF(C5640&lt;99,VLOOKUP(F5640,'MSA-Lookup'!$AA$1:$AB$25,2),C5640),C5640)</f>
        <v>7362</v>
      </c>
    </row>
    <row r="5641" customFormat="false" ht="12.75" hidden="false" customHeight="false" outlineLevel="0" collapsed="false">
      <c r="A5641" s="0" t="n">
        <f aca="false">B5641*1000+C5641</f>
        <v>77010</v>
      </c>
      <c r="B5641" s="0" t="n">
        <v>77</v>
      </c>
      <c r="C5641" s="0" t="n">
        <v>10</v>
      </c>
      <c r="D5641" s="0" t="n">
        <v>0</v>
      </c>
      <c r="E5641" s="0" t="n">
        <f aca="false">VLOOKUP(B5641,'MSA-Lookup'!$H$2:$I$86,2)</f>
        <v>9999</v>
      </c>
      <c r="F5641" s="0" t="n">
        <f aca="false">IF(C5641&gt;1,IF(C5641&lt;99,VLOOKUP(C5641,'MSA-Lookup'!$H$1:$I$86,2),C5641),C5641)</f>
        <v>6920</v>
      </c>
      <c r="G5641" s="0" t="n">
        <f aca="false">VLOOKUP(E5641,'MSA-Lookup'!$AA$1:$AB$25,2)</f>
        <v>9999</v>
      </c>
      <c r="H5641" s="0" t="n">
        <f aca="false">IF(C5641&gt;1,IF(C5641&lt;99,VLOOKUP(F5641,'MSA-Lookup'!$AA$1:$AB$25,2),C5641),C5641)</f>
        <v>6920</v>
      </c>
    </row>
    <row r="5642" customFormat="false" ht="12.75" hidden="false" customHeight="false" outlineLevel="0" collapsed="false">
      <c r="A5642" s="0" t="n">
        <f aca="false">B5642*1000+C5642</f>
        <v>77011</v>
      </c>
      <c r="B5642" s="0" t="n">
        <v>77</v>
      </c>
      <c r="C5642" s="0" t="n">
        <v>11</v>
      </c>
      <c r="D5642" s="0" t="n">
        <v>0</v>
      </c>
      <c r="E5642" s="0" t="n">
        <f aca="false">VLOOKUP(B5642,'MSA-Lookup'!$H$2:$I$86,2)</f>
        <v>9999</v>
      </c>
      <c r="F5642" s="0" t="n">
        <f aca="false">IF(C5642&gt;1,IF(C5642&lt;99,VLOOKUP(C5642,'MSA-Lookup'!$H$1:$I$86,2),C5642),C5642)</f>
        <v>6920</v>
      </c>
      <c r="G5642" s="0" t="n">
        <f aca="false">VLOOKUP(E5642,'MSA-Lookup'!$AA$1:$AB$25,2)</f>
        <v>9999</v>
      </c>
      <c r="H5642" s="0" t="n">
        <f aca="false">IF(C5642&gt;1,IF(C5642&lt;99,VLOOKUP(F5642,'MSA-Lookup'!$AA$1:$AB$25,2),C5642),C5642)</f>
        <v>6920</v>
      </c>
    </row>
    <row r="5643" customFormat="false" ht="12.75" hidden="false" customHeight="false" outlineLevel="0" collapsed="false">
      <c r="A5643" s="0" t="n">
        <f aca="false">B5643*1000+C5643</f>
        <v>77012</v>
      </c>
      <c r="B5643" s="0" t="n">
        <v>77</v>
      </c>
      <c r="C5643" s="0" t="n">
        <v>12</v>
      </c>
      <c r="D5643" s="0" t="n">
        <v>0</v>
      </c>
      <c r="E5643" s="0" t="n">
        <f aca="false">VLOOKUP(B5643,'MSA-Lookup'!$H$2:$I$86,2)</f>
        <v>9999</v>
      </c>
      <c r="F5643" s="0" t="n">
        <f aca="false">IF(C5643&gt;1,IF(C5643&lt;99,VLOOKUP(C5643,'MSA-Lookup'!$H$1:$I$86,2),C5643),C5643)</f>
        <v>6920</v>
      </c>
      <c r="G5643" s="0" t="n">
        <f aca="false">VLOOKUP(E5643,'MSA-Lookup'!$AA$1:$AB$25,2)</f>
        <v>9999</v>
      </c>
      <c r="H5643" s="0" t="n">
        <f aca="false">IF(C5643&gt;1,IF(C5643&lt;99,VLOOKUP(F5643,'MSA-Lookup'!$AA$1:$AB$25,2),C5643),C5643)</f>
        <v>6920</v>
      </c>
    </row>
    <row r="5644" customFormat="false" ht="12.75" hidden="false" customHeight="false" outlineLevel="0" collapsed="false">
      <c r="A5644" s="0" t="n">
        <f aca="false">B5644*1000+C5644</f>
        <v>77013</v>
      </c>
      <c r="B5644" s="0" t="n">
        <v>77</v>
      </c>
      <c r="C5644" s="0" t="n">
        <v>13</v>
      </c>
      <c r="D5644" s="0" t="n">
        <v>0</v>
      </c>
      <c r="E5644" s="0" t="n">
        <f aca="false">VLOOKUP(B5644,'MSA-Lookup'!$H$2:$I$86,2)</f>
        <v>9999</v>
      </c>
      <c r="F5644" s="0" t="n">
        <f aca="false">IF(C5644&gt;1,IF(C5644&lt;99,VLOOKUP(C5644,'MSA-Lookup'!$H$1:$I$86,2),C5644),C5644)</f>
        <v>7500</v>
      </c>
      <c r="G5644" s="0" t="n">
        <f aca="false">VLOOKUP(E5644,'MSA-Lookup'!$AA$1:$AB$25,2)</f>
        <v>9999</v>
      </c>
      <c r="H5644" s="0" t="n">
        <f aca="false">IF(C5644&gt;1,IF(C5644&lt;99,VLOOKUP(F5644,'MSA-Lookup'!$AA$1:$AB$25,2),C5644),C5644)</f>
        <v>7362</v>
      </c>
    </row>
    <row r="5645" customFormat="false" ht="12.75" hidden="false" customHeight="false" outlineLevel="0" collapsed="false">
      <c r="A5645" s="0" t="n">
        <f aca="false">B5645*1000+C5645</f>
        <v>77014</v>
      </c>
      <c r="B5645" s="0" t="n">
        <v>77</v>
      </c>
      <c r="C5645" s="0" t="n">
        <v>14</v>
      </c>
      <c r="D5645" s="0" t="n">
        <v>0</v>
      </c>
      <c r="E5645" s="0" t="n">
        <f aca="false">VLOOKUP(B5645,'MSA-Lookup'!$H$2:$I$86,2)</f>
        <v>9999</v>
      </c>
      <c r="F5645" s="0" t="n">
        <f aca="false">IF(C5645&gt;1,IF(C5645&lt;99,VLOOKUP(C5645,'MSA-Lookup'!$H$1:$I$86,2),C5645),C5645)</f>
        <v>7500</v>
      </c>
      <c r="G5645" s="0" t="n">
        <f aca="false">VLOOKUP(E5645,'MSA-Lookup'!$AA$1:$AB$25,2)</f>
        <v>9999</v>
      </c>
      <c r="H5645" s="0" t="n">
        <f aca="false">IF(C5645&gt;1,IF(C5645&lt;99,VLOOKUP(F5645,'MSA-Lookup'!$AA$1:$AB$25,2),C5645),C5645)</f>
        <v>7362</v>
      </c>
    </row>
    <row r="5646" customFormat="false" ht="12.75" hidden="false" customHeight="false" outlineLevel="0" collapsed="false">
      <c r="A5646" s="0" t="n">
        <f aca="false">B5646*1000+C5646</f>
        <v>77015</v>
      </c>
      <c r="B5646" s="0" t="n">
        <v>77</v>
      </c>
      <c r="C5646" s="0" t="n">
        <v>15</v>
      </c>
      <c r="D5646" s="0" t="n">
        <v>39</v>
      </c>
      <c r="E5646" s="0" t="n">
        <f aca="false">VLOOKUP(B5646,'MSA-Lookup'!$H$2:$I$86,2)</f>
        <v>9999</v>
      </c>
      <c r="F5646" s="0" t="n">
        <f aca="false">IF(C5646&gt;1,IF(C5646&lt;99,VLOOKUP(C5646,'MSA-Lookup'!$H$1:$I$86,2),C5646),C5646)</f>
        <v>7360</v>
      </c>
      <c r="G5646" s="0" t="n">
        <f aca="false">VLOOKUP(E5646,'MSA-Lookup'!$AA$1:$AB$25,2)</f>
        <v>9999</v>
      </c>
      <c r="H5646" s="0" t="n">
        <f aca="false">IF(C5646&gt;1,IF(C5646&lt;99,VLOOKUP(F5646,'MSA-Lookup'!$AA$1:$AB$25,2),C5646),C5646)</f>
        <v>7362</v>
      </c>
    </row>
    <row r="5647" customFormat="false" ht="12.75" hidden="false" customHeight="false" outlineLevel="0" collapsed="false">
      <c r="A5647" s="0" t="n">
        <f aca="false">B5647*1000+C5647</f>
        <v>77016</v>
      </c>
      <c r="B5647" s="0" t="n">
        <v>77</v>
      </c>
      <c r="C5647" s="0" t="n">
        <v>16</v>
      </c>
      <c r="D5647" s="0" t="n">
        <v>0</v>
      </c>
      <c r="E5647" s="0" t="n">
        <f aca="false">VLOOKUP(B5647,'MSA-Lookup'!$H$2:$I$86,2)</f>
        <v>9999</v>
      </c>
      <c r="F5647" s="0" t="n">
        <f aca="false">IF(C5647&gt;1,IF(C5647&lt;99,VLOOKUP(C5647,'MSA-Lookup'!$H$1:$I$86,2),C5647),C5647)</f>
        <v>8720</v>
      </c>
      <c r="G5647" s="0" t="n">
        <f aca="false">VLOOKUP(E5647,'MSA-Lookup'!$AA$1:$AB$25,2)</f>
        <v>9999</v>
      </c>
      <c r="H5647" s="0" t="n">
        <f aca="false">IF(C5647&gt;1,IF(C5647&lt;99,VLOOKUP(F5647,'MSA-Lookup'!$AA$1:$AB$25,2),C5647),C5647)</f>
        <v>7362</v>
      </c>
    </row>
    <row r="5648" customFormat="false" ht="12.75" hidden="false" customHeight="false" outlineLevel="0" collapsed="false">
      <c r="A5648" s="0" t="n">
        <f aca="false">B5648*1000+C5648</f>
        <v>77017</v>
      </c>
      <c r="B5648" s="0" t="n">
        <v>77</v>
      </c>
      <c r="C5648" s="0" t="n">
        <v>17</v>
      </c>
      <c r="D5648" s="0" t="n">
        <v>0</v>
      </c>
      <c r="E5648" s="0" t="n">
        <f aca="false">VLOOKUP(B5648,'MSA-Lookup'!$H$2:$I$86,2)</f>
        <v>9999</v>
      </c>
      <c r="F5648" s="0" t="n">
        <f aca="false">IF(C5648&gt;1,IF(C5648&lt;99,VLOOKUP(C5648,'MSA-Lookup'!$H$1:$I$86,2),C5648),C5648)</f>
        <v>5775</v>
      </c>
      <c r="G5648" s="0" t="n">
        <f aca="false">VLOOKUP(E5648,'MSA-Lookup'!$AA$1:$AB$25,2)</f>
        <v>9999</v>
      </c>
      <c r="H5648" s="0" t="n">
        <f aca="false">IF(C5648&gt;1,IF(C5648&lt;99,VLOOKUP(F5648,'MSA-Lookup'!$AA$1:$AB$25,2),C5648),C5648)</f>
        <v>7362</v>
      </c>
    </row>
    <row r="5649" customFormat="false" ht="12.75" hidden="false" customHeight="false" outlineLevel="0" collapsed="false">
      <c r="A5649" s="0" t="n">
        <f aca="false">B5649*1000+C5649</f>
        <v>77018</v>
      </c>
      <c r="B5649" s="0" t="n">
        <v>77</v>
      </c>
      <c r="C5649" s="0" t="n">
        <v>18</v>
      </c>
      <c r="D5649" s="0" t="n">
        <v>0</v>
      </c>
      <c r="E5649" s="0" t="n">
        <f aca="false">VLOOKUP(B5649,'MSA-Lookup'!$H$2:$I$86,2)</f>
        <v>9999</v>
      </c>
      <c r="F5649" s="0" t="n">
        <f aca="false">IF(C5649&gt;1,IF(C5649&lt;99,VLOOKUP(C5649,'MSA-Lookup'!$H$1:$I$86,2),C5649),C5649)</f>
        <v>5775</v>
      </c>
      <c r="G5649" s="0" t="n">
        <f aca="false">VLOOKUP(E5649,'MSA-Lookup'!$AA$1:$AB$25,2)</f>
        <v>9999</v>
      </c>
      <c r="H5649" s="0" t="n">
        <f aca="false">IF(C5649&gt;1,IF(C5649&lt;99,VLOOKUP(F5649,'MSA-Lookup'!$AA$1:$AB$25,2),C5649),C5649)</f>
        <v>7362</v>
      </c>
    </row>
    <row r="5650" customFormat="false" ht="12.75" hidden="false" customHeight="false" outlineLevel="0" collapsed="false">
      <c r="A5650" s="0" t="n">
        <f aca="false">B5650*1000+C5650</f>
        <v>77019</v>
      </c>
      <c r="B5650" s="0" t="n">
        <v>77</v>
      </c>
      <c r="C5650" s="0" t="n">
        <v>19</v>
      </c>
      <c r="D5650" s="0" t="n">
        <v>0</v>
      </c>
      <c r="E5650" s="0" t="n">
        <f aca="false">VLOOKUP(B5650,'MSA-Lookup'!$H$2:$I$86,2)</f>
        <v>9999</v>
      </c>
      <c r="F5650" s="0" t="n">
        <f aca="false">IF(C5650&gt;1,IF(C5650&lt;99,VLOOKUP(C5650,'MSA-Lookup'!$H$1:$I$86,2),C5650),C5650)</f>
        <v>7360</v>
      </c>
      <c r="G5650" s="0" t="n">
        <f aca="false">VLOOKUP(E5650,'MSA-Lookup'!$AA$1:$AB$25,2)</f>
        <v>9999</v>
      </c>
      <c r="H5650" s="0" t="n">
        <f aca="false">IF(C5650&gt;1,IF(C5650&lt;99,VLOOKUP(F5650,'MSA-Lookup'!$AA$1:$AB$25,2),C5650),C5650)</f>
        <v>7362</v>
      </c>
    </row>
    <row r="5651" customFormat="false" ht="12.75" hidden="false" customHeight="false" outlineLevel="0" collapsed="false">
      <c r="A5651" s="0" t="n">
        <f aca="false">B5651*1000+C5651</f>
        <v>77020</v>
      </c>
      <c r="B5651" s="0" t="n">
        <v>77</v>
      </c>
      <c r="C5651" s="0" t="n">
        <v>20</v>
      </c>
      <c r="D5651" s="0" t="n">
        <v>0</v>
      </c>
      <c r="E5651" s="0" t="n">
        <f aca="false">VLOOKUP(B5651,'MSA-Lookup'!$H$2:$I$86,2)</f>
        <v>9999</v>
      </c>
      <c r="F5651" s="0" t="n">
        <f aca="false">IF(C5651&gt;1,IF(C5651&lt;99,VLOOKUP(C5651,'MSA-Lookup'!$H$1:$I$86,2),C5651),C5651)</f>
        <v>5775</v>
      </c>
      <c r="G5651" s="0" t="n">
        <f aca="false">VLOOKUP(E5651,'MSA-Lookup'!$AA$1:$AB$25,2)</f>
        <v>9999</v>
      </c>
      <c r="H5651" s="0" t="n">
        <f aca="false">IF(C5651&gt;1,IF(C5651&lt;99,VLOOKUP(F5651,'MSA-Lookup'!$AA$1:$AB$25,2),C5651),C5651)</f>
        <v>7362</v>
      </c>
    </row>
    <row r="5652" customFormat="false" ht="12.75" hidden="false" customHeight="false" outlineLevel="0" collapsed="false">
      <c r="A5652" s="0" t="n">
        <f aca="false">B5652*1000+C5652</f>
        <v>77021</v>
      </c>
      <c r="B5652" s="0" t="n">
        <v>77</v>
      </c>
      <c r="C5652" s="0" t="n">
        <v>21</v>
      </c>
      <c r="D5652" s="0" t="n">
        <v>78</v>
      </c>
      <c r="E5652" s="0" t="n">
        <f aca="false">VLOOKUP(B5652,'MSA-Lookup'!$H$2:$I$86,2)</f>
        <v>9999</v>
      </c>
      <c r="F5652" s="0" t="n">
        <f aca="false">IF(C5652&gt;1,IF(C5652&lt;99,VLOOKUP(C5652,'MSA-Lookup'!$H$1:$I$86,2),C5652),C5652)</f>
        <v>5775</v>
      </c>
      <c r="G5652" s="0" t="n">
        <f aca="false">VLOOKUP(E5652,'MSA-Lookup'!$AA$1:$AB$25,2)</f>
        <v>9999</v>
      </c>
      <c r="H5652" s="0" t="n">
        <f aca="false">IF(C5652&gt;1,IF(C5652&lt;99,VLOOKUP(F5652,'MSA-Lookup'!$AA$1:$AB$25,2),C5652),C5652)</f>
        <v>7362</v>
      </c>
    </row>
    <row r="5653" customFormat="false" ht="12.75" hidden="false" customHeight="false" outlineLevel="0" collapsed="false">
      <c r="A5653" s="0" t="n">
        <f aca="false">B5653*1000+C5653</f>
        <v>77022</v>
      </c>
      <c r="B5653" s="0" t="n">
        <v>77</v>
      </c>
      <c r="C5653" s="0" t="n">
        <v>22</v>
      </c>
      <c r="D5653" s="0" t="n">
        <v>0</v>
      </c>
      <c r="E5653" s="0" t="n">
        <f aca="false">VLOOKUP(B5653,'MSA-Lookup'!$H$2:$I$86,2)</f>
        <v>9999</v>
      </c>
      <c r="F5653" s="0" t="n">
        <f aca="false">IF(C5653&gt;1,IF(C5653&lt;99,VLOOKUP(C5653,'MSA-Lookup'!$H$1:$I$86,2),C5653),C5653)</f>
        <v>7360</v>
      </c>
      <c r="G5653" s="0" t="n">
        <f aca="false">VLOOKUP(E5653,'MSA-Lookup'!$AA$1:$AB$25,2)</f>
        <v>9999</v>
      </c>
      <c r="H5653" s="0" t="n">
        <f aca="false">IF(C5653&gt;1,IF(C5653&lt;99,VLOOKUP(F5653,'MSA-Lookup'!$AA$1:$AB$25,2),C5653),C5653)</f>
        <v>7362</v>
      </c>
    </row>
    <row r="5654" customFormat="false" ht="12.75" hidden="false" customHeight="false" outlineLevel="0" collapsed="false">
      <c r="A5654" s="0" t="n">
        <f aca="false">B5654*1000+C5654</f>
        <v>77023</v>
      </c>
      <c r="B5654" s="0" t="n">
        <v>77</v>
      </c>
      <c r="C5654" s="0" t="n">
        <v>23</v>
      </c>
      <c r="D5654" s="0" t="n">
        <v>0</v>
      </c>
      <c r="E5654" s="0" t="n">
        <f aca="false">VLOOKUP(B5654,'MSA-Lookup'!$H$2:$I$86,2)</f>
        <v>9999</v>
      </c>
      <c r="F5654" s="0" t="n">
        <f aca="false">IF(C5654&gt;1,IF(C5654&lt;99,VLOOKUP(C5654,'MSA-Lookup'!$H$1:$I$86,2),C5654),C5654)</f>
        <v>8120</v>
      </c>
      <c r="G5654" s="0" t="n">
        <f aca="false">VLOOKUP(E5654,'MSA-Lookup'!$AA$1:$AB$25,2)</f>
        <v>9999</v>
      </c>
      <c r="H5654" s="0" t="n">
        <f aca="false">IF(C5654&gt;1,IF(C5654&lt;99,VLOOKUP(F5654,'MSA-Lookup'!$AA$1:$AB$25,2),C5654),C5654)</f>
        <v>8120</v>
      </c>
    </row>
    <row r="5655" customFormat="false" ht="12.75" hidden="false" customHeight="false" outlineLevel="0" collapsed="false">
      <c r="A5655" s="0" t="n">
        <f aca="false">B5655*1000+C5655</f>
        <v>77024</v>
      </c>
      <c r="B5655" s="0" t="n">
        <v>77</v>
      </c>
      <c r="C5655" s="0" t="n">
        <v>24</v>
      </c>
      <c r="D5655" s="0" t="n">
        <v>0</v>
      </c>
      <c r="E5655" s="0" t="n">
        <f aca="false">VLOOKUP(B5655,'MSA-Lookup'!$H$2:$I$86,2)</f>
        <v>9999</v>
      </c>
      <c r="F5655" s="0" t="n">
        <f aca="false">IF(C5655&gt;1,IF(C5655&lt;99,VLOOKUP(C5655,'MSA-Lookup'!$H$1:$I$86,2),C5655),C5655)</f>
        <v>5170</v>
      </c>
      <c r="G5655" s="0" t="n">
        <f aca="false">VLOOKUP(E5655,'MSA-Lookup'!$AA$1:$AB$25,2)</f>
        <v>9999</v>
      </c>
      <c r="H5655" s="0" t="n">
        <f aca="false">IF(C5655&gt;1,IF(C5655&lt;99,VLOOKUP(F5655,'MSA-Lookup'!$AA$1:$AB$25,2),C5655),C5655)</f>
        <v>5170</v>
      </c>
    </row>
    <row r="5656" customFormat="false" ht="12.75" hidden="false" customHeight="false" outlineLevel="0" collapsed="false">
      <c r="A5656" s="0" t="n">
        <f aca="false">B5656*1000+C5656</f>
        <v>77025</v>
      </c>
      <c r="B5656" s="0" t="n">
        <v>77</v>
      </c>
      <c r="C5656" s="0" t="n">
        <v>25</v>
      </c>
      <c r="D5656" s="0" t="n">
        <v>0</v>
      </c>
      <c r="E5656" s="0" t="n">
        <f aca="false">VLOOKUP(B5656,'MSA-Lookup'!$H$2:$I$86,2)</f>
        <v>9999</v>
      </c>
      <c r="F5656" s="0" t="n">
        <f aca="false">IF(C5656&gt;1,IF(C5656&lt;99,VLOOKUP(C5656,'MSA-Lookup'!$H$1:$I$86,2),C5656),C5656)</f>
        <v>5170</v>
      </c>
      <c r="G5656" s="0" t="n">
        <f aca="false">VLOOKUP(E5656,'MSA-Lookup'!$AA$1:$AB$25,2)</f>
        <v>9999</v>
      </c>
      <c r="H5656" s="0" t="n">
        <f aca="false">IF(C5656&gt;1,IF(C5656&lt;99,VLOOKUP(F5656,'MSA-Lookup'!$AA$1:$AB$25,2),C5656),C5656)</f>
        <v>5170</v>
      </c>
    </row>
    <row r="5657" customFormat="false" ht="12.75" hidden="false" customHeight="false" outlineLevel="0" collapsed="false">
      <c r="A5657" s="0" t="n">
        <f aca="false">B5657*1000+C5657</f>
        <v>77026</v>
      </c>
      <c r="B5657" s="0" t="n">
        <v>77</v>
      </c>
      <c r="C5657" s="0" t="n">
        <v>26</v>
      </c>
      <c r="D5657" s="0" t="n">
        <v>0</v>
      </c>
      <c r="E5657" s="0" t="n">
        <f aca="false">VLOOKUP(B5657,'MSA-Lookup'!$H$2:$I$86,2)</f>
        <v>9999</v>
      </c>
      <c r="F5657" s="0" t="n">
        <f aca="false">IF(C5657&gt;1,IF(C5657&lt;99,VLOOKUP(C5657,'MSA-Lookup'!$H$1:$I$86,2),C5657),C5657)</f>
        <v>9999</v>
      </c>
      <c r="G5657" s="0" t="n">
        <f aca="false">VLOOKUP(E5657,'MSA-Lookup'!$AA$1:$AB$25,2)</f>
        <v>9999</v>
      </c>
      <c r="H5657" s="0" t="n">
        <f aca="false">IF(C5657&gt;1,IF(C5657&lt;99,VLOOKUP(F5657,'MSA-Lookup'!$AA$1:$AB$25,2),C5657),C5657)</f>
        <v>9999</v>
      </c>
    </row>
    <row r="5658" customFormat="false" ht="12.75" hidden="false" customHeight="false" outlineLevel="0" collapsed="false">
      <c r="A5658" s="0" t="n">
        <f aca="false">B5658*1000+C5658</f>
        <v>77027</v>
      </c>
      <c r="B5658" s="0" t="n">
        <v>77</v>
      </c>
      <c r="C5658" s="0" t="n">
        <v>27</v>
      </c>
      <c r="D5658" s="0" t="n">
        <v>0</v>
      </c>
      <c r="E5658" s="0" t="n">
        <f aca="false">VLOOKUP(B5658,'MSA-Lookup'!$H$2:$I$86,2)</f>
        <v>9999</v>
      </c>
      <c r="F5658" s="0" t="n">
        <f aca="false">IF(C5658&gt;1,IF(C5658&lt;99,VLOOKUP(C5658,'MSA-Lookup'!$H$1:$I$86,2),C5658),C5658)</f>
        <v>9999</v>
      </c>
      <c r="G5658" s="0" t="n">
        <f aca="false">VLOOKUP(E5658,'MSA-Lookup'!$AA$1:$AB$25,2)</f>
        <v>9999</v>
      </c>
      <c r="H5658" s="0" t="n">
        <f aca="false">IF(C5658&gt;1,IF(C5658&lt;99,VLOOKUP(F5658,'MSA-Lookup'!$AA$1:$AB$25,2),C5658),C5658)</f>
        <v>9999</v>
      </c>
    </row>
    <row r="5659" customFormat="false" ht="12.75" hidden="false" customHeight="false" outlineLevel="0" collapsed="false">
      <c r="A5659" s="0" t="n">
        <f aca="false">B5659*1000+C5659</f>
        <v>77028</v>
      </c>
      <c r="B5659" s="0" t="n">
        <v>77</v>
      </c>
      <c r="C5659" s="0" t="n">
        <v>28</v>
      </c>
      <c r="D5659" s="0" t="n">
        <v>78</v>
      </c>
      <c r="E5659" s="0" t="n">
        <f aca="false">VLOOKUP(B5659,'MSA-Lookup'!$H$2:$I$86,2)</f>
        <v>9999</v>
      </c>
      <c r="F5659" s="0" t="n">
        <f aca="false">IF(C5659&gt;1,IF(C5659&lt;99,VLOOKUP(C5659,'MSA-Lookup'!$H$1:$I$86,2),C5659),C5659)</f>
        <v>6920</v>
      </c>
      <c r="G5659" s="0" t="n">
        <f aca="false">VLOOKUP(E5659,'MSA-Lookup'!$AA$1:$AB$25,2)</f>
        <v>9999</v>
      </c>
      <c r="H5659" s="0" t="n">
        <f aca="false">IF(C5659&gt;1,IF(C5659&lt;99,VLOOKUP(F5659,'MSA-Lookup'!$AA$1:$AB$25,2),C5659),C5659)</f>
        <v>6920</v>
      </c>
    </row>
    <row r="5660" customFormat="false" ht="12.75" hidden="false" customHeight="false" outlineLevel="0" collapsed="false">
      <c r="A5660" s="0" t="n">
        <f aca="false">B5660*1000+C5660</f>
        <v>77029</v>
      </c>
      <c r="B5660" s="0" t="n">
        <v>77</v>
      </c>
      <c r="C5660" s="0" t="n">
        <v>29</v>
      </c>
      <c r="D5660" s="0" t="n">
        <v>0</v>
      </c>
      <c r="E5660" s="0" t="n">
        <f aca="false">VLOOKUP(B5660,'MSA-Lookup'!$H$2:$I$86,2)</f>
        <v>9999</v>
      </c>
      <c r="F5660" s="0" t="n">
        <f aca="false">IF(C5660&gt;1,IF(C5660&lt;99,VLOOKUP(C5660,'MSA-Lookup'!$H$1:$I$86,2),C5660),C5660)</f>
        <v>6920</v>
      </c>
      <c r="G5660" s="0" t="n">
        <f aca="false">VLOOKUP(E5660,'MSA-Lookup'!$AA$1:$AB$25,2)</f>
        <v>9999</v>
      </c>
      <c r="H5660" s="0" t="n">
        <f aca="false">IF(C5660&gt;1,IF(C5660&lt;99,VLOOKUP(F5660,'MSA-Lookup'!$AA$1:$AB$25,2),C5660),C5660)</f>
        <v>6920</v>
      </c>
    </row>
    <row r="5661" customFormat="false" ht="12.75" hidden="false" customHeight="false" outlineLevel="0" collapsed="false">
      <c r="A5661" s="0" t="n">
        <f aca="false">B5661*1000+C5661</f>
        <v>77030</v>
      </c>
      <c r="B5661" s="0" t="n">
        <v>77</v>
      </c>
      <c r="C5661" s="0" t="n">
        <v>30</v>
      </c>
      <c r="D5661" s="0" t="n">
        <v>0</v>
      </c>
      <c r="E5661" s="0" t="n">
        <f aca="false">VLOOKUP(B5661,'MSA-Lookup'!$H$2:$I$86,2)</f>
        <v>9999</v>
      </c>
      <c r="F5661" s="0" t="n">
        <f aca="false">IF(C5661&gt;1,IF(C5661&lt;99,VLOOKUP(C5661,'MSA-Lookup'!$H$1:$I$86,2),C5661),C5661)</f>
        <v>4940</v>
      </c>
      <c r="G5661" s="0" t="n">
        <f aca="false">VLOOKUP(E5661,'MSA-Lookup'!$AA$1:$AB$25,2)</f>
        <v>9999</v>
      </c>
      <c r="H5661" s="0" t="n">
        <f aca="false">IF(C5661&gt;1,IF(C5661&lt;99,VLOOKUP(F5661,'MSA-Lookup'!$AA$1:$AB$25,2),C5661),C5661)</f>
        <v>4940</v>
      </c>
    </row>
    <row r="5662" customFormat="false" ht="12.75" hidden="false" customHeight="false" outlineLevel="0" collapsed="false">
      <c r="A5662" s="0" t="n">
        <f aca="false">B5662*1000+C5662</f>
        <v>77031</v>
      </c>
      <c r="B5662" s="0" t="n">
        <v>77</v>
      </c>
      <c r="C5662" s="0" t="n">
        <v>31</v>
      </c>
      <c r="D5662" s="0" t="n">
        <v>0</v>
      </c>
      <c r="E5662" s="0" t="n">
        <f aca="false">VLOOKUP(B5662,'MSA-Lookup'!$H$2:$I$86,2)</f>
        <v>9999</v>
      </c>
      <c r="F5662" s="0" t="n">
        <f aca="false">IF(C5662&gt;1,IF(C5662&lt;99,VLOOKUP(C5662,'MSA-Lookup'!$H$1:$I$86,2),C5662),C5662)</f>
        <v>9999</v>
      </c>
      <c r="G5662" s="0" t="n">
        <f aca="false">VLOOKUP(E5662,'MSA-Lookup'!$AA$1:$AB$25,2)</f>
        <v>9999</v>
      </c>
      <c r="H5662" s="0" t="n">
        <f aca="false">IF(C5662&gt;1,IF(C5662&lt;99,VLOOKUP(F5662,'MSA-Lookup'!$AA$1:$AB$25,2),C5662),C5662)</f>
        <v>9999</v>
      </c>
    </row>
    <row r="5663" customFormat="false" ht="12.75" hidden="false" customHeight="false" outlineLevel="0" collapsed="false">
      <c r="A5663" s="0" t="n">
        <f aca="false">B5663*1000+C5663</f>
        <v>77032</v>
      </c>
      <c r="B5663" s="0" t="n">
        <v>77</v>
      </c>
      <c r="C5663" s="0" t="n">
        <v>32</v>
      </c>
      <c r="D5663" s="0" t="n">
        <v>0</v>
      </c>
      <c r="E5663" s="0" t="n">
        <f aca="false">VLOOKUP(B5663,'MSA-Lookup'!$H$2:$I$86,2)</f>
        <v>9999</v>
      </c>
      <c r="F5663" s="0" t="n">
        <f aca="false">IF(C5663&gt;1,IF(C5663&lt;99,VLOOKUP(C5663,'MSA-Lookup'!$H$1:$I$86,2),C5663),C5663)</f>
        <v>7480</v>
      </c>
      <c r="G5663" s="0" t="n">
        <f aca="false">VLOOKUP(E5663,'MSA-Lookup'!$AA$1:$AB$25,2)</f>
        <v>9999</v>
      </c>
      <c r="H5663" s="0" t="n">
        <f aca="false">IF(C5663&gt;1,IF(C5663&lt;99,VLOOKUP(F5663,'MSA-Lookup'!$AA$1:$AB$25,2),C5663),C5663)</f>
        <v>7480</v>
      </c>
    </row>
    <row r="5664" customFormat="false" ht="12.75" hidden="false" customHeight="false" outlineLevel="0" collapsed="false">
      <c r="A5664" s="0" t="n">
        <f aca="false">B5664*1000+C5664</f>
        <v>77033</v>
      </c>
      <c r="B5664" s="0" t="n">
        <v>77</v>
      </c>
      <c r="C5664" s="0" t="n">
        <v>33</v>
      </c>
      <c r="D5664" s="0" t="n">
        <v>143</v>
      </c>
      <c r="E5664" s="0" t="n">
        <f aca="false">VLOOKUP(B5664,'MSA-Lookup'!$H$2:$I$86,2)</f>
        <v>9999</v>
      </c>
      <c r="F5664" s="0" t="n">
        <f aca="false">IF(C5664&gt;1,IF(C5664&lt;99,VLOOKUP(C5664,'MSA-Lookup'!$H$1:$I$86,2),C5664),C5664)</f>
        <v>7320</v>
      </c>
      <c r="G5664" s="0" t="n">
        <f aca="false">VLOOKUP(E5664,'MSA-Lookup'!$AA$1:$AB$25,2)</f>
        <v>9999</v>
      </c>
      <c r="H5664" s="0" t="n">
        <f aca="false">IF(C5664&gt;1,IF(C5664&lt;99,VLOOKUP(F5664,'MSA-Lookup'!$AA$1:$AB$25,2),C5664),C5664)</f>
        <v>7320</v>
      </c>
    </row>
    <row r="5665" customFormat="false" ht="12.75" hidden="false" customHeight="false" outlineLevel="0" collapsed="false">
      <c r="A5665" s="0" t="n">
        <f aca="false">B5665*1000+C5665</f>
        <v>77034</v>
      </c>
      <c r="B5665" s="0" t="n">
        <v>77</v>
      </c>
      <c r="C5665" s="0" t="n">
        <v>34</v>
      </c>
      <c r="D5665" s="0" t="n">
        <v>0</v>
      </c>
      <c r="E5665" s="0" t="n">
        <f aca="false">VLOOKUP(B5665,'MSA-Lookup'!$H$2:$I$86,2)</f>
        <v>9999</v>
      </c>
      <c r="F5665" s="0" t="n">
        <f aca="false">IF(C5665&gt;1,IF(C5665&lt;99,VLOOKUP(C5665,'MSA-Lookup'!$H$1:$I$86,2),C5665),C5665)</f>
        <v>7320</v>
      </c>
      <c r="G5665" s="0" t="n">
        <f aca="false">VLOOKUP(E5665,'MSA-Lookup'!$AA$1:$AB$25,2)</f>
        <v>9999</v>
      </c>
      <c r="H5665" s="0" t="n">
        <f aca="false">IF(C5665&gt;1,IF(C5665&lt;99,VLOOKUP(F5665,'MSA-Lookup'!$AA$1:$AB$25,2),C5665),C5665)</f>
        <v>7320</v>
      </c>
    </row>
    <row r="5666" customFormat="false" ht="12.75" hidden="false" customHeight="false" outlineLevel="0" collapsed="false">
      <c r="A5666" s="0" t="n">
        <f aca="false">B5666*1000+C5666</f>
        <v>77035</v>
      </c>
      <c r="B5666" s="0" t="n">
        <v>77</v>
      </c>
      <c r="C5666" s="0" t="n">
        <v>35</v>
      </c>
      <c r="D5666" s="0" t="n">
        <v>0</v>
      </c>
      <c r="E5666" s="0" t="n">
        <f aca="false">VLOOKUP(B5666,'MSA-Lookup'!$H$2:$I$86,2)</f>
        <v>9999</v>
      </c>
      <c r="F5666" s="0" t="n">
        <f aca="false">IF(C5666&gt;1,IF(C5666&lt;99,VLOOKUP(C5666,'MSA-Lookup'!$H$1:$I$86,2),C5666),C5666)</f>
        <v>7320</v>
      </c>
      <c r="G5666" s="0" t="n">
        <f aca="false">VLOOKUP(E5666,'MSA-Lookup'!$AA$1:$AB$25,2)</f>
        <v>9999</v>
      </c>
      <c r="H5666" s="0" t="n">
        <f aca="false">IF(C5666&gt;1,IF(C5666&lt;99,VLOOKUP(F5666,'MSA-Lookup'!$AA$1:$AB$25,2),C5666),C5666)</f>
        <v>7320</v>
      </c>
    </row>
    <row r="5667" customFormat="false" ht="12.75" hidden="false" customHeight="false" outlineLevel="0" collapsed="false">
      <c r="A5667" s="0" t="n">
        <f aca="false">B5667*1000+C5667</f>
        <v>77036</v>
      </c>
      <c r="B5667" s="0" t="n">
        <v>77</v>
      </c>
      <c r="C5667" s="0" t="n">
        <v>36</v>
      </c>
      <c r="D5667" s="0" t="n">
        <v>0</v>
      </c>
      <c r="E5667" s="0" t="n">
        <f aca="false">VLOOKUP(B5667,'MSA-Lookup'!$H$2:$I$86,2)</f>
        <v>9999</v>
      </c>
      <c r="F5667" s="0" t="n">
        <f aca="false">IF(C5667&gt;1,IF(C5667&lt;99,VLOOKUP(C5667,'MSA-Lookup'!$H$1:$I$86,2),C5667),C5667)</f>
        <v>7320</v>
      </c>
      <c r="G5667" s="0" t="n">
        <f aca="false">VLOOKUP(E5667,'MSA-Lookup'!$AA$1:$AB$25,2)</f>
        <v>9999</v>
      </c>
      <c r="H5667" s="0" t="n">
        <f aca="false">IF(C5667&gt;1,IF(C5667&lt;99,VLOOKUP(F5667,'MSA-Lookup'!$AA$1:$AB$25,2),C5667),C5667)</f>
        <v>7320</v>
      </c>
    </row>
    <row r="5668" customFormat="false" ht="12.75" hidden="false" customHeight="false" outlineLevel="0" collapsed="false">
      <c r="A5668" s="0" t="n">
        <f aca="false">B5668*1000+C5668</f>
        <v>77037</v>
      </c>
      <c r="B5668" s="0" t="n">
        <v>77</v>
      </c>
      <c r="C5668" s="0" t="n">
        <v>37</v>
      </c>
      <c r="D5668" s="0" t="n">
        <v>52</v>
      </c>
      <c r="E5668" s="0" t="n">
        <f aca="false">VLOOKUP(B5668,'MSA-Lookup'!$H$2:$I$86,2)</f>
        <v>9999</v>
      </c>
      <c r="F5668" s="0" t="n">
        <f aca="false">IF(C5668&gt;1,IF(C5668&lt;99,VLOOKUP(C5668,'MSA-Lookup'!$H$1:$I$86,2),C5668),C5668)</f>
        <v>7320</v>
      </c>
      <c r="G5668" s="0" t="n">
        <f aca="false">VLOOKUP(E5668,'MSA-Lookup'!$AA$1:$AB$25,2)</f>
        <v>9999</v>
      </c>
      <c r="H5668" s="0" t="n">
        <f aca="false">IF(C5668&gt;1,IF(C5668&lt;99,VLOOKUP(F5668,'MSA-Lookup'!$AA$1:$AB$25,2),C5668),C5668)</f>
        <v>7320</v>
      </c>
    </row>
    <row r="5669" customFormat="false" ht="12.75" hidden="false" customHeight="false" outlineLevel="0" collapsed="false">
      <c r="A5669" s="0" t="n">
        <f aca="false">B5669*1000+C5669</f>
        <v>77038</v>
      </c>
      <c r="B5669" s="0" t="n">
        <v>77</v>
      </c>
      <c r="C5669" s="0" t="n">
        <v>38</v>
      </c>
      <c r="D5669" s="0" t="n">
        <v>0</v>
      </c>
      <c r="E5669" s="0" t="n">
        <f aca="false">VLOOKUP(B5669,'MSA-Lookup'!$H$2:$I$86,2)</f>
        <v>9999</v>
      </c>
      <c r="F5669" s="0" t="n">
        <f aca="false">IF(C5669&gt;1,IF(C5669&lt;99,VLOOKUP(C5669,'MSA-Lookup'!$H$1:$I$86,2),C5669),C5669)</f>
        <v>7120</v>
      </c>
      <c r="G5669" s="0" t="n">
        <f aca="false">VLOOKUP(E5669,'MSA-Lookup'!$AA$1:$AB$25,2)</f>
        <v>9999</v>
      </c>
      <c r="H5669" s="0" t="n">
        <f aca="false">IF(C5669&gt;1,IF(C5669&lt;99,VLOOKUP(F5669,'MSA-Lookup'!$AA$1:$AB$25,2),C5669),C5669)</f>
        <v>7120</v>
      </c>
    </row>
    <row r="5670" customFormat="false" ht="12.75" hidden="false" customHeight="false" outlineLevel="0" collapsed="false">
      <c r="A5670" s="0" t="n">
        <f aca="false">B5670*1000+C5670</f>
        <v>77039</v>
      </c>
      <c r="B5670" s="0" t="n">
        <v>77</v>
      </c>
      <c r="C5670" s="0" t="n">
        <v>39</v>
      </c>
      <c r="D5670" s="0" t="n">
        <v>0</v>
      </c>
      <c r="E5670" s="0" t="n">
        <f aca="false">VLOOKUP(B5670,'MSA-Lookup'!$H$2:$I$86,2)</f>
        <v>9999</v>
      </c>
      <c r="F5670" s="0" t="n">
        <f aca="false">IF(C5670&gt;1,IF(C5670&lt;99,VLOOKUP(C5670,'MSA-Lookup'!$H$1:$I$86,2),C5670),C5670)</f>
        <v>7120</v>
      </c>
      <c r="G5670" s="0" t="n">
        <f aca="false">VLOOKUP(E5670,'MSA-Lookup'!$AA$1:$AB$25,2)</f>
        <v>9999</v>
      </c>
      <c r="H5670" s="0" t="n">
        <f aca="false">IF(C5670&gt;1,IF(C5670&lt;99,VLOOKUP(F5670,'MSA-Lookup'!$AA$1:$AB$25,2),C5670),C5670)</f>
        <v>7120</v>
      </c>
    </row>
    <row r="5671" customFormat="false" ht="12.75" hidden="false" customHeight="false" outlineLevel="0" collapsed="false">
      <c r="A5671" s="0" t="n">
        <f aca="false">B5671*1000+C5671</f>
        <v>77040</v>
      </c>
      <c r="B5671" s="0" t="n">
        <v>77</v>
      </c>
      <c r="C5671" s="0" t="n">
        <v>40</v>
      </c>
      <c r="D5671" s="0" t="n">
        <v>0</v>
      </c>
      <c r="E5671" s="0" t="n">
        <f aca="false">VLOOKUP(B5671,'MSA-Lookup'!$H$2:$I$86,2)</f>
        <v>9999</v>
      </c>
      <c r="F5671" s="0" t="n">
        <f aca="false">IF(C5671&gt;1,IF(C5671&lt;99,VLOOKUP(C5671,'MSA-Lookup'!$H$1:$I$86,2),C5671),C5671)</f>
        <v>2840</v>
      </c>
      <c r="G5671" s="0" t="n">
        <f aca="false">VLOOKUP(E5671,'MSA-Lookup'!$AA$1:$AB$25,2)</f>
        <v>9999</v>
      </c>
      <c r="H5671" s="0" t="n">
        <f aca="false">IF(C5671&gt;1,IF(C5671&lt;99,VLOOKUP(F5671,'MSA-Lookup'!$AA$1:$AB$25,2),C5671),C5671)</f>
        <v>2840</v>
      </c>
    </row>
    <row r="5672" customFormat="false" ht="12.75" hidden="false" customHeight="false" outlineLevel="0" collapsed="false">
      <c r="A5672" s="0" t="n">
        <f aca="false">B5672*1000+C5672</f>
        <v>77041</v>
      </c>
      <c r="B5672" s="0" t="n">
        <v>77</v>
      </c>
      <c r="C5672" s="0" t="n">
        <v>41</v>
      </c>
      <c r="D5672" s="0" t="n">
        <v>0</v>
      </c>
      <c r="E5672" s="0" t="n">
        <f aca="false">VLOOKUP(B5672,'MSA-Lookup'!$H$2:$I$86,2)</f>
        <v>9999</v>
      </c>
      <c r="F5672" s="0" t="n">
        <f aca="false">IF(C5672&gt;1,IF(C5672&lt;99,VLOOKUP(C5672,'MSA-Lookup'!$H$1:$I$86,2),C5672),C5672)</f>
        <v>2840</v>
      </c>
      <c r="G5672" s="0" t="n">
        <f aca="false">VLOOKUP(E5672,'MSA-Lookup'!$AA$1:$AB$25,2)</f>
        <v>9999</v>
      </c>
      <c r="H5672" s="0" t="n">
        <f aca="false">IF(C5672&gt;1,IF(C5672&lt;99,VLOOKUP(F5672,'MSA-Lookup'!$AA$1:$AB$25,2),C5672),C5672)</f>
        <v>2840</v>
      </c>
    </row>
    <row r="5673" customFormat="false" ht="12.75" hidden="false" customHeight="false" outlineLevel="0" collapsed="false">
      <c r="A5673" s="0" t="n">
        <f aca="false">B5673*1000+C5673</f>
        <v>77042</v>
      </c>
      <c r="B5673" s="0" t="n">
        <v>77</v>
      </c>
      <c r="C5673" s="0" t="n">
        <v>42</v>
      </c>
      <c r="D5673" s="0" t="n">
        <v>0</v>
      </c>
      <c r="E5673" s="0" t="n">
        <f aca="false">VLOOKUP(B5673,'MSA-Lookup'!$H$2:$I$86,2)</f>
        <v>9999</v>
      </c>
      <c r="F5673" s="0" t="n">
        <f aca="false">IF(C5673&gt;1,IF(C5673&lt;99,VLOOKUP(C5673,'MSA-Lookup'!$H$1:$I$86,2),C5673),C5673)</f>
        <v>360</v>
      </c>
      <c r="G5673" s="0" t="n">
        <f aca="false">VLOOKUP(E5673,'MSA-Lookup'!$AA$1:$AB$25,2)</f>
        <v>9999</v>
      </c>
      <c r="H5673" s="0" t="n">
        <f aca="false">IF(C5673&gt;1,IF(C5673&lt;99,VLOOKUP(F5673,'MSA-Lookup'!$AA$1:$AB$25,2),C5673),C5673)</f>
        <v>4472</v>
      </c>
    </row>
    <row r="5674" customFormat="false" ht="12.75" hidden="false" customHeight="false" outlineLevel="0" collapsed="false">
      <c r="A5674" s="0" t="n">
        <f aca="false">B5674*1000+C5674</f>
        <v>77043</v>
      </c>
      <c r="B5674" s="0" t="n">
        <v>77</v>
      </c>
      <c r="C5674" s="0" t="n">
        <v>43</v>
      </c>
      <c r="D5674" s="0" t="n">
        <v>0</v>
      </c>
      <c r="E5674" s="0" t="n">
        <f aca="false">VLOOKUP(B5674,'MSA-Lookup'!$H$2:$I$86,2)</f>
        <v>9999</v>
      </c>
      <c r="F5674" s="0" t="n">
        <f aca="false">IF(C5674&gt;1,IF(C5674&lt;99,VLOOKUP(C5674,'MSA-Lookup'!$H$1:$I$86,2),C5674),C5674)</f>
        <v>360</v>
      </c>
      <c r="G5674" s="0" t="n">
        <f aca="false">VLOOKUP(E5674,'MSA-Lookup'!$AA$1:$AB$25,2)</f>
        <v>9999</v>
      </c>
      <c r="H5674" s="0" t="n">
        <f aca="false">IF(C5674&gt;1,IF(C5674&lt;99,VLOOKUP(F5674,'MSA-Lookup'!$AA$1:$AB$25,2),C5674),C5674)</f>
        <v>4472</v>
      </c>
    </row>
    <row r="5675" customFormat="false" ht="12.75" hidden="false" customHeight="false" outlineLevel="0" collapsed="false">
      <c r="A5675" s="0" t="n">
        <f aca="false">B5675*1000+C5675</f>
        <v>77044</v>
      </c>
      <c r="B5675" s="0" t="n">
        <v>77</v>
      </c>
      <c r="C5675" s="0" t="n">
        <v>44</v>
      </c>
      <c r="D5675" s="0" t="n">
        <v>0</v>
      </c>
      <c r="E5675" s="0" t="n">
        <f aca="false">VLOOKUP(B5675,'MSA-Lookup'!$H$2:$I$86,2)</f>
        <v>9999</v>
      </c>
      <c r="F5675" s="0" t="n">
        <f aca="false">IF(C5675&gt;1,IF(C5675&lt;99,VLOOKUP(C5675,'MSA-Lookup'!$H$1:$I$86,2),C5675),C5675)</f>
        <v>360</v>
      </c>
      <c r="G5675" s="0" t="n">
        <f aca="false">VLOOKUP(E5675,'MSA-Lookup'!$AA$1:$AB$25,2)</f>
        <v>9999</v>
      </c>
      <c r="H5675" s="0" t="n">
        <f aca="false">IF(C5675&gt;1,IF(C5675&lt;99,VLOOKUP(F5675,'MSA-Lookup'!$AA$1:$AB$25,2),C5675),C5675)</f>
        <v>4472</v>
      </c>
    </row>
    <row r="5676" customFormat="false" ht="12.75" hidden="false" customHeight="false" outlineLevel="0" collapsed="false">
      <c r="A5676" s="0" t="n">
        <f aca="false">B5676*1000+C5676</f>
        <v>77045</v>
      </c>
      <c r="B5676" s="0" t="n">
        <v>77</v>
      </c>
      <c r="C5676" s="0" t="n">
        <v>45</v>
      </c>
      <c r="D5676" s="0" t="n">
        <v>0</v>
      </c>
      <c r="E5676" s="0" t="n">
        <f aca="false">VLOOKUP(B5676,'MSA-Lookup'!$H$2:$I$86,2)</f>
        <v>9999</v>
      </c>
      <c r="F5676" s="0" t="n">
        <f aca="false">IF(C5676&gt;1,IF(C5676&lt;99,VLOOKUP(C5676,'MSA-Lookup'!$H$1:$I$86,2),C5676),C5676)</f>
        <v>360</v>
      </c>
      <c r="G5676" s="0" t="n">
        <f aca="false">VLOOKUP(E5676,'MSA-Lookup'!$AA$1:$AB$25,2)</f>
        <v>9999</v>
      </c>
      <c r="H5676" s="0" t="n">
        <f aca="false">IF(C5676&gt;1,IF(C5676&lt;99,VLOOKUP(F5676,'MSA-Lookup'!$AA$1:$AB$25,2),C5676),C5676)</f>
        <v>4472</v>
      </c>
    </row>
    <row r="5677" customFormat="false" ht="12.75" hidden="false" customHeight="false" outlineLevel="0" collapsed="false">
      <c r="A5677" s="0" t="n">
        <f aca="false">B5677*1000+C5677</f>
        <v>77046</v>
      </c>
      <c r="B5677" s="0" t="n">
        <v>77</v>
      </c>
      <c r="C5677" s="0" t="n">
        <v>46</v>
      </c>
      <c r="D5677" s="0" t="n">
        <v>0</v>
      </c>
      <c r="E5677" s="0" t="n">
        <f aca="false">VLOOKUP(B5677,'MSA-Lookup'!$H$2:$I$86,2)</f>
        <v>9999</v>
      </c>
      <c r="F5677" s="0" t="n">
        <f aca="false">IF(C5677&gt;1,IF(C5677&lt;99,VLOOKUP(C5677,'MSA-Lookup'!$H$1:$I$86,2),C5677),C5677)</f>
        <v>360</v>
      </c>
      <c r="G5677" s="0" t="n">
        <f aca="false">VLOOKUP(E5677,'MSA-Lookup'!$AA$1:$AB$25,2)</f>
        <v>9999</v>
      </c>
      <c r="H5677" s="0" t="n">
        <f aca="false">IF(C5677&gt;1,IF(C5677&lt;99,VLOOKUP(F5677,'MSA-Lookup'!$AA$1:$AB$25,2),C5677),C5677)</f>
        <v>4472</v>
      </c>
    </row>
    <row r="5678" customFormat="false" ht="12.75" hidden="false" customHeight="false" outlineLevel="0" collapsed="false">
      <c r="A5678" s="0" t="n">
        <f aca="false">B5678*1000+C5678</f>
        <v>77047</v>
      </c>
      <c r="B5678" s="0" t="n">
        <v>77</v>
      </c>
      <c r="C5678" s="0" t="n">
        <v>47</v>
      </c>
      <c r="D5678" s="0" t="n">
        <v>0</v>
      </c>
      <c r="E5678" s="0" t="n">
        <f aca="false">VLOOKUP(B5678,'MSA-Lookup'!$H$2:$I$86,2)</f>
        <v>9999</v>
      </c>
      <c r="F5678" s="0" t="n">
        <f aca="false">IF(C5678&gt;1,IF(C5678&lt;99,VLOOKUP(C5678,'MSA-Lookup'!$H$1:$I$86,2),C5678),C5678)</f>
        <v>360</v>
      </c>
      <c r="G5678" s="0" t="n">
        <f aca="false">VLOOKUP(E5678,'MSA-Lookup'!$AA$1:$AB$25,2)</f>
        <v>9999</v>
      </c>
      <c r="H5678" s="0" t="n">
        <f aca="false">IF(C5678&gt;1,IF(C5678&lt;99,VLOOKUP(F5678,'MSA-Lookup'!$AA$1:$AB$25,2),C5678),C5678)</f>
        <v>4472</v>
      </c>
    </row>
    <row r="5679" customFormat="false" ht="12.75" hidden="false" customHeight="false" outlineLevel="0" collapsed="false">
      <c r="A5679" s="0" t="n">
        <f aca="false">B5679*1000+C5679</f>
        <v>77048</v>
      </c>
      <c r="B5679" s="0" t="n">
        <v>77</v>
      </c>
      <c r="C5679" s="0" t="n">
        <v>48</v>
      </c>
      <c r="D5679" s="0" t="n">
        <v>0</v>
      </c>
      <c r="E5679" s="0" t="n">
        <f aca="false">VLOOKUP(B5679,'MSA-Lookup'!$H$2:$I$86,2)</f>
        <v>9999</v>
      </c>
      <c r="F5679" s="0" t="n">
        <f aca="false">IF(C5679&gt;1,IF(C5679&lt;99,VLOOKUP(C5679,'MSA-Lookup'!$H$1:$I$86,2),C5679),C5679)</f>
        <v>360</v>
      </c>
      <c r="G5679" s="0" t="n">
        <f aca="false">VLOOKUP(E5679,'MSA-Lookup'!$AA$1:$AB$25,2)</f>
        <v>9999</v>
      </c>
      <c r="H5679" s="0" t="n">
        <f aca="false">IF(C5679&gt;1,IF(C5679&lt;99,VLOOKUP(F5679,'MSA-Lookup'!$AA$1:$AB$25,2),C5679),C5679)</f>
        <v>4472</v>
      </c>
    </row>
    <row r="5680" customFormat="false" ht="12.75" hidden="false" customHeight="false" outlineLevel="0" collapsed="false">
      <c r="A5680" s="0" t="n">
        <f aca="false">B5680*1000+C5680</f>
        <v>77049</v>
      </c>
      <c r="B5680" s="0" t="n">
        <v>77</v>
      </c>
      <c r="C5680" s="0" t="n">
        <v>49</v>
      </c>
      <c r="D5680" s="0" t="n">
        <v>0</v>
      </c>
      <c r="E5680" s="0" t="n">
        <f aca="false">VLOOKUP(B5680,'MSA-Lookup'!$H$2:$I$86,2)</f>
        <v>9999</v>
      </c>
      <c r="F5680" s="0" t="n">
        <f aca="false">IF(C5680&gt;1,IF(C5680&lt;99,VLOOKUP(C5680,'MSA-Lookup'!$H$1:$I$86,2),C5680),C5680)</f>
        <v>7400</v>
      </c>
      <c r="G5680" s="0" t="n">
        <f aca="false">VLOOKUP(E5680,'MSA-Lookup'!$AA$1:$AB$25,2)</f>
        <v>9999</v>
      </c>
      <c r="H5680" s="0" t="n">
        <f aca="false">IF(C5680&gt;1,IF(C5680&lt;99,VLOOKUP(F5680,'MSA-Lookup'!$AA$1:$AB$25,2),C5680),C5680)</f>
        <v>7362</v>
      </c>
    </row>
    <row r="5681" customFormat="false" ht="12.75" hidden="false" customHeight="false" outlineLevel="0" collapsed="false">
      <c r="A5681" s="0" t="n">
        <f aca="false">B5681*1000+C5681</f>
        <v>77050</v>
      </c>
      <c r="B5681" s="0" t="n">
        <v>77</v>
      </c>
      <c r="C5681" s="0" t="n">
        <v>50</v>
      </c>
      <c r="D5681" s="0" t="n">
        <v>0</v>
      </c>
      <c r="E5681" s="0" t="n">
        <f aca="false">VLOOKUP(B5681,'MSA-Lookup'!$H$2:$I$86,2)</f>
        <v>9999</v>
      </c>
      <c r="F5681" s="0" t="n">
        <f aca="false">IF(C5681&gt;1,IF(C5681&lt;99,VLOOKUP(C5681,'MSA-Lookup'!$H$1:$I$86,2),C5681),C5681)</f>
        <v>7400</v>
      </c>
      <c r="G5681" s="0" t="n">
        <f aca="false">VLOOKUP(E5681,'MSA-Lookup'!$AA$1:$AB$25,2)</f>
        <v>9999</v>
      </c>
      <c r="H5681" s="0" t="n">
        <f aca="false">IF(C5681&gt;1,IF(C5681&lt;99,VLOOKUP(F5681,'MSA-Lookup'!$AA$1:$AB$25,2),C5681),C5681)</f>
        <v>7362</v>
      </c>
    </row>
    <row r="5682" customFormat="false" ht="12.75" hidden="false" customHeight="false" outlineLevel="0" collapsed="false">
      <c r="A5682" s="0" t="n">
        <f aca="false">B5682*1000+C5682</f>
        <v>77051</v>
      </c>
      <c r="B5682" s="0" t="n">
        <v>77</v>
      </c>
      <c r="C5682" s="0" t="n">
        <v>51</v>
      </c>
      <c r="D5682" s="0" t="n">
        <v>0</v>
      </c>
      <c r="E5682" s="0" t="n">
        <f aca="false">VLOOKUP(B5682,'MSA-Lookup'!$H$2:$I$86,2)</f>
        <v>9999</v>
      </c>
      <c r="F5682" s="0" t="n">
        <f aca="false">IF(C5682&gt;1,IF(C5682&lt;99,VLOOKUP(C5682,'MSA-Lookup'!$H$1:$I$86,2),C5682),C5682)</f>
        <v>7400</v>
      </c>
      <c r="G5682" s="0" t="n">
        <f aca="false">VLOOKUP(E5682,'MSA-Lookup'!$AA$1:$AB$25,2)</f>
        <v>9999</v>
      </c>
      <c r="H5682" s="0" t="n">
        <f aca="false">IF(C5682&gt;1,IF(C5682&lt;99,VLOOKUP(F5682,'MSA-Lookup'!$AA$1:$AB$25,2),C5682),C5682)</f>
        <v>7362</v>
      </c>
    </row>
    <row r="5683" customFormat="false" ht="12.75" hidden="false" customHeight="false" outlineLevel="0" collapsed="false">
      <c r="A5683" s="0" t="n">
        <f aca="false">B5683*1000+C5683</f>
        <v>77052</v>
      </c>
      <c r="B5683" s="0" t="n">
        <v>77</v>
      </c>
      <c r="C5683" s="0" t="n">
        <v>52</v>
      </c>
      <c r="D5683" s="0" t="n">
        <v>0</v>
      </c>
      <c r="E5683" s="0" t="n">
        <f aca="false">VLOOKUP(B5683,'MSA-Lookup'!$H$2:$I$86,2)</f>
        <v>9999</v>
      </c>
      <c r="F5683" s="0" t="n">
        <f aca="false">IF(C5683&gt;1,IF(C5683&lt;99,VLOOKUP(C5683,'MSA-Lookup'!$H$1:$I$86,2),C5683),C5683)</f>
        <v>4480</v>
      </c>
      <c r="G5683" s="0" t="n">
        <f aca="false">VLOOKUP(E5683,'MSA-Lookup'!$AA$1:$AB$25,2)</f>
        <v>9999</v>
      </c>
      <c r="H5683" s="0" t="n">
        <f aca="false">IF(C5683&gt;1,IF(C5683&lt;99,VLOOKUP(F5683,'MSA-Lookup'!$AA$1:$AB$25,2),C5683),C5683)</f>
        <v>4472</v>
      </c>
    </row>
    <row r="5684" customFormat="false" ht="12.75" hidden="false" customHeight="false" outlineLevel="0" collapsed="false">
      <c r="A5684" s="0" t="n">
        <f aca="false">B5684*1000+C5684</f>
        <v>77053</v>
      </c>
      <c r="B5684" s="0" t="n">
        <v>77</v>
      </c>
      <c r="C5684" s="0" t="n">
        <v>53</v>
      </c>
      <c r="D5684" s="0" t="n">
        <v>0</v>
      </c>
      <c r="E5684" s="0" t="n">
        <f aca="false">VLOOKUP(B5684,'MSA-Lookup'!$H$2:$I$86,2)</f>
        <v>9999</v>
      </c>
      <c r="F5684" s="0" t="n">
        <f aca="false">IF(C5684&gt;1,IF(C5684&lt;99,VLOOKUP(C5684,'MSA-Lookup'!$H$1:$I$86,2),C5684),C5684)</f>
        <v>4480</v>
      </c>
      <c r="G5684" s="0" t="n">
        <f aca="false">VLOOKUP(E5684,'MSA-Lookup'!$AA$1:$AB$25,2)</f>
        <v>9999</v>
      </c>
      <c r="H5684" s="0" t="n">
        <f aca="false">IF(C5684&gt;1,IF(C5684&lt;99,VLOOKUP(F5684,'MSA-Lookup'!$AA$1:$AB$25,2),C5684),C5684)</f>
        <v>4472</v>
      </c>
    </row>
    <row r="5685" customFormat="false" ht="12.75" hidden="false" customHeight="false" outlineLevel="0" collapsed="false">
      <c r="A5685" s="0" t="n">
        <f aca="false">B5685*1000+C5685</f>
        <v>77054</v>
      </c>
      <c r="B5685" s="0" t="n">
        <v>77</v>
      </c>
      <c r="C5685" s="0" t="n">
        <v>54</v>
      </c>
      <c r="D5685" s="0" t="n">
        <v>0</v>
      </c>
      <c r="E5685" s="0" t="n">
        <f aca="false">VLOOKUP(B5685,'MSA-Lookup'!$H$2:$I$86,2)</f>
        <v>9999</v>
      </c>
      <c r="F5685" s="0" t="n">
        <f aca="false">IF(C5685&gt;1,IF(C5685&lt;99,VLOOKUP(C5685,'MSA-Lookup'!$H$1:$I$86,2),C5685),C5685)</f>
        <v>4480</v>
      </c>
      <c r="G5685" s="0" t="n">
        <f aca="false">VLOOKUP(E5685,'MSA-Lookup'!$AA$1:$AB$25,2)</f>
        <v>9999</v>
      </c>
      <c r="H5685" s="0" t="n">
        <f aca="false">IF(C5685&gt;1,IF(C5685&lt;99,VLOOKUP(F5685,'MSA-Lookup'!$AA$1:$AB$25,2),C5685),C5685)</f>
        <v>4472</v>
      </c>
    </row>
    <row r="5686" customFormat="false" ht="12.75" hidden="false" customHeight="false" outlineLevel="0" collapsed="false">
      <c r="A5686" s="0" t="n">
        <f aca="false">B5686*1000+C5686</f>
        <v>77055</v>
      </c>
      <c r="B5686" s="0" t="n">
        <v>77</v>
      </c>
      <c r="C5686" s="0" t="n">
        <v>55</v>
      </c>
      <c r="D5686" s="0" t="n">
        <v>0</v>
      </c>
      <c r="E5686" s="0" t="n">
        <f aca="false">VLOOKUP(B5686,'MSA-Lookup'!$H$2:$I$86,2)</f>
        <v>9999</v>
      </c>
      <c r="F5686" s="0" t="n">
        <f aca="false">IF(C5686&gt;1,IF(C5686&lt;99,VLOOKUP(C5686,'MSA-Lookup'!$H$1:$I$86,2),C5686),C5686)</f>
        <v>4480</v>
      </c>
      <c r="G5686" s="0" t="n">
        <f aca="false">VLOOKUP(E5686,'MSA-Lookup'!$AA$1:$AB$25,2)</f>
        <v>9999</v>
      </c>
      <c r="H5686" s="0" t="n">
        <f aca="false">IF(C5686&gt;1,IF(C5686&lt;99,VLOOKUP(F5686,'MSA-Lookup'!$AA$1:$AB$25,2),C5686),C5686)</f>
        <v>4472</v>
      </c>
    </row>
    <row r="5687" customFormat="false" ht="12.75" hidden="false" customHeight="false" outlineLevel="0" collapsed="false">
      <c r="A5687" s="0" t="n">
        <f aca="false">B5687*1000+C5687</f>
        <v>77056</v>
      </c>
      <c r="B5687" s="0" t="n">
        <v>77</v>
      </c>
      <c r="C5687" s="0" t="n">
        <v>56</v>
      </c>
      <c r="D5687" s="0" t="n">
        <v>0</v>
      </c>
      <c r="E5687" s="0" t="n">
        <f aca="false">VLOOKUP(B5687,'MSA-Lookup'!$H$2:$I$86,2)</f>
        <v>9999</v>
      </c>
      <c r="F5687" s="0" t="n">
        <f aca="false">IF(C5687&gt;1,IF(C5687&lt;99,VLOOKUP(C5687,'MSA-Lookup'!$H$1:$I$86,2),C5687),C5687)</f>
        <v>4480</v>
      </c>
      <c r="G5687" s="0" t="n">
        <f aca="false">VLOOKUP(E5687,'MSA-Lookup'!$AA$1:$AB$25,2)</f>
        <v>9999</v>
      </c>
      <c r="H5687" s="0" t="n">
        <f aca="false">IF(C5687&gt;1,IF(C5687&lt;99,VLOOKUP(F5687,'MSA-Lookup'!$AA$1:$AB$25,2),C5687),C5687)</f>
        <v>4472</v>
      </c>
    </row>
    <row r="5688" customFormat="false" ht="12.75" hidden="false" customHeight="false" outlineLevel="0" collapsed="false">
      <c r="A5688" s="0" t="n">
        <f aca="false">B5688*1000+C5688</f>
        <v>77057</v>
      </c>
      <c r="B5688" s="0" t="n">
        <v>77</v>
      </c>
      <c r="C5688" s="0" t="n">
        <v>57</v>
      </c>
      <c r="D5688" s="0" t="n">
        <v>0</v>
      </c>
      <c r="E5688" s="0" t="n">
        <f aca="false">VLOOKUP(B5688,'MSA-Lookup'!$H$2:$I$86,2)</f>
        <v>9999</v>
      </c>
      <c r="F5688" s="0" t="n">
        <f aca="false">IF(C5688&gt;1,IF(C5688&lt;99,VLOOKUP(C5688,'MSA-Lookup'!$H$1:$I$86,2),C5688),C5688)</f>
        <v>4480</v>
      </c>
      <c r="G5688" s="0" t="n">
        <f aca="false">VLOOKUP(E5688,'MSA-Lookup'!$AA$1:$AB$25,2)</f>
        <v>9999</v>
      </c>
      <c r="H5688" s="0" t="n">
        <f aca="false">IF(C5688&gt;1,IF(C5688&lt;99,VLOOKUP(F5688,'MSA-Lookup'!$AA$1:$AB$25,2),C5688),C5688)</f>
        <v>4472</v>
      </c>
    </row>
    <row r="5689" customFormat="false" ht="12.75" hidden="false" customHeight="false" outlineLevel="0" collapsed="false">
      <c r="A5689" s="0" t="n">
        <f aca="false">B5689*1000+C5689</f>
        <v>77058</v>
      </c>
      <c r="B5689" s="0" t="n">
        <v>77</v>
      </c>
      <c r="C5689" s="0" t="n">
        <v>58</v>
      </c>
      <c r="D5689" s="0" t="n">
        <v>0</v>
      </c>
      <c r="E5689" s="0" t="n">
        <f aca="false">VLOOKUP(B5689,'MSA-Lookup'!$H$2:$I$86,2)</f>
        <v>9999</v>
      </c>
      <c r="F5689" s="0" t="n">
        <f aca="false">IF(C5689&gt;1,IF(C5689&lt;99,VLOOKUP(C5689,'MSA-Lookup'!$H$1:$I$86,2),C5689),C5689)</f>
        <v>4480</v>
      </c>
      <c r="G5689" s="0" t="n">
        <f aca="false">VLOOKUP(E5689,'MSA-Lookup'!$AA$1:$AB$25,2)</f>
        <v>9999</v>
      </c>
      <c r="H5689" s="0" t="n">
        <f aca="false">IF(C5689&gt;1,IF(C5689&lt;99,VLOOKUP(F5689,'MSA-Lookup'!$AA$1:$AB$25,2),C5689),C5689)</f>
        <v>4472</v>
      </c>
    </row>
    <row r="5690" customFormat="false" ht="12.75" hidden="false" customHeight="false" outlineLevel="0" collapsed="false">
      <c r="A5690" s="0" t="n">
        <f aca="false">B5690*1000+C5690</f>
        <v>77059</v>
      </c>
      <c r="B5690" s="0" t="n">
        <v>77</v>
      </c>
      <c r="C5690" s="0" t="n">
        <v>59</v>
      </c>
      <c r="D5690" s="0" t="n">
        <v>0</v>
      </c>
      <c r="E5690" s="0" t="n">
        <f aca="false">VLOOKUP(B5690,'MSA-Lookup'!$H$2:$I$86,2)</f>
        <v>9999</v>
      </c>
      <c r="F5690" s="0" t="n">
        <f aca="false">IF(C5690&gt;1,IF(C5690&lt;99,VLOOKUP(C5690,'MSA-Lookup'!$H$1:$I$86,2),C5690),C5690)</f>
        <v>4480</v>
      </c>
      <c r="G5690" s="0" t="n">
        <f aca="false">VLOOKUP(E5690,'MSA-Lookup'!$AA$1:$AB$25,2)</f>
        <v>9999</v>
      </c>
      <c r="H5690" s="0" t="n">
        <f aca="false">IF(C5690&gt;1,IF(C5690&lt;99,VLOOKUP(F5690,'MSA-Lookup'!$AA$1:$AB$25,2),C5690),C5690)</f>
        <v>4472</v>
      </c>
    </row>
    <row r="5691" customFormat="false" ht="12.75" hidden="false" customHeight="false" outlineLevel="0" collapsed="false">
      <c r="A5691" s="0" t="n">
        <f aca="false">B5691*1000+C5691</f>
        <v>77060</v>
      </c>
      <c r="B5691" s="0" t="n">
        <v>77</v>
      </c>
      <c r="C5691" s="0" t="n">
        <v>60</v>
      </c>
      <c r="D5691" s="0" t="n">
        <v>0</v>
      </c>
      <c r="E5691" s="0" t="n">
        <f aca="false">VLOOKUP(B5691,'MSA-Lookup'!$H$2:$I$86,2)</f>
        <v>9999</v>
      </c>
      <c r="F5691" s="0" t="n">
        <f aca="false">IF(C5691&gt;1,IF(C5691&lt;99,VLOOKUP(C5691,'MSA-Lookup'!$H$1:$I$86,2),C5691),C5691)</f>
        <v>4480</v>
      </c>
      <c r="G5691" s="0" t="n">
        <f aca="false">VLOOKUP(E5691,'MSA-Lookup'!$AA$1:$AB$25,2)</f>
        <v>9999</v>
      </c>
      <c r="H5691" s="0" t="n">
        <f aca="false">IF(C5691&gt;1,IF(C5691&lt;99,VLOOKUP(F5691,'MSA-Lookup'!$AA$1:$AB$25,2),C5691),C5691)</f>
        <v>4472</v>
      </c>
    </row>
    <row r="5692" customFormat="false" ht="12.75" hidden="false" customHeight="false" outlineLevel="0" collapsed="false">
      <c r="A5692" s="0" t="n">
        <f aca="false">B5692*1000+C5692</f>
        <v>77061</v>
      </c>
      <c r="B5692" s="0" t="n">
        <v>77</v>
      </c>
      <c r="C5692" s="0" t="n">
        <v>61</v>
      </c>
      <c r="D5692" s="0" t="n">
        <v>0</v>
      </c>
      <c r="E5692" s="0" t="n">
        <f aca="false">VLOOKUP(B5692,'MSA-Lookup'!$H$2:$I$86,2)</f>
        <v>9999</v>
      </c>
      <c r="F5692" s="0" t="n">
        <f aca="false">IF(C5692&gt;1,IF(C5692&lt;99,VLOOKUP(C5692,'MSA-Lookup'!$H$1:$I$86,2),C5692),C5692)</f>
        <v>4480</v>
      </c>
      <c r="G5692" s="0" t="n">
        <f aca="false">VLOOKUP(E5692,'MSA-Lookup'!$AA$1:$AB$25,2)</f>
        <v>9999</v>
      </c>
      <c r="H5692" s="0" t="n">
        <f aca="false">IF(C5692&gt;1,IF(C5692&lt;99,VLOOKUP(F5692,'MSA-Lookup'!$AA$1:$AB$25,2),C5692),C5692)</f>
        <v>4472</v>
      </c>
    </row>
    <row r="5693" customFormat="false" ht="12.75" hidden="false" customHeight="false" outlineLevel="0" collapsed="false">
      <c r="A5693" s="0" t="n">
        <f aca="false">B5693*1000+C5693</f>
        <v>77062</v>
      </c>
      <c r="B5693" s="0" t="n">
        <v>77</v>
      </c>
      <c r="C5693" s="0" t="n">
        <v>62</v>
      </c>
      <c r="D5693" s="0" t="n">
        <v>0</v>
      </c>
      <c r="E5693" s="0" t="n">
        <f aca="false">VLOOKUP(B5693,'MSA-Lookup'!$H$2:$I$86,2)</f>
        <v>9999</v>
      </c>
      <c r="F5693" s="0" t="n">
        <f aca="false">IF(C5693&gt;1,IF(C5693&lt;99,VLOOKUP(C5693,'MSA-Lookup'!$H$1:$I$86,2),C5693),C5693)</f>
        <v>4480</v>
      </c>
      <c r="G5693" s="0" t="n">
        <f aca="false">VLOOKUP(E5693,'MSA-Lookup'!$AA$1:$AB$25,2)</f>
        <v>9999</v>
      </c>
      <c r="H5693" s="0" t="n">
        <f aca="false">IF(C5693&gt;1,IF(C5693&lt;99,VLOOKUP(F5693,'MSA-Lookup'!$AA$1:$AB$25,2),C5693),C5693)</f>
        <v>4472</v>
      </c>
    </row>
    <row r="5694" customFormat="false" ht="12.75" hidden="false" customHeight="false" outlineLevel="0" collapsed="false">
      <c r="A5694" s="0" t="n">
        <f aca="false">B5694*1000+C5694</f>
        <v>77063</v>
      </c>
      <c r="B5694" s="0" t="n">
        <v>77</v>
      </c>
      <c r="C5694" s="0" t="n">
        <v>63</v>
      </c>
      <c r="D5694" s="0" t="n">
        <v>0</v>
      </c>
      <c r="E5694" s="0" t="n">
        <f aca="false">VLOOKUP(B5694,'MSA-Lookup'!$H$2:$I$86,2)</f>
        <v>9999</v>
      </c>
      <c r="F5694" s="0" t="n">
        <f aca="false">IF(C5694&gt;1,IF(C5694&lt;99,VLOOKUP(C5694,'MSA-Lookup'!$H$1:$I$86,2),C5694),C5694)</f>
        <v>4480</v>
      </c>
      <c r="G5694" s="0" t="n">
        <f aca="false">VLOOKUP(E5694,'MSA-Lookup'!$AA$1:$AB$25,2)</f>
        <v>9999</v>
      </c>
      <c r="H5694" s="0" t="n">
        <f aca="false">IF(C5694&gt;1,IF(C5694&lt;99,VLOOKUP(F5694,'MSA-Lookup'!$AA$1:$AB$25,2),C5694),C5694)</f>
        <v>4472</v>
      </c>
    </row>
    <row r="5695" customFormat="false" ht="12.75" hidden="false" customHeight="false" outlineLevel="0" collapsed="false">
      <c r="A5695" s="0" t="n">
        <f aca="false">B5695*1000+C5695</f>
        <v>77064</v>
      </c>
      <c r="B5695" s="0" t="n">
        <v>77</v>
      </c>
      <c r="C5695" s="0" t="n">
        <v>64</v>
      </c>
      <c r="D5695" s="0" t="n">
        <v>156</v>
      </c>
      <c r="E5695" s="0" t="n">
        <f aca="false">VLOOKUP(B5695,'MSA-Lookup'!$H$2:$I$86,2)</f>
        <v>9999</v>
      </c>
      <c r="F5695" s="0" t="n">
        <f aca="false">IF(C5695&gt;1,IF(C5695&lt;99,VLOOKUP(C5695,'MSA-Lookup'!$H$1:$I$86,2),C5695),C5695)</f>
        <v>4480</v>
      </c>
      <c r="G5695" s="0" t="n">
        <f aca="false">VLOOKUP(E5695,'MSA-Lookup'!$AA$1:$AB$25,2)</f>
        <v>9999</v>
      </c>
      <c r="H5695" s="0" t="n">
        <f aca="false">IF(C5695&gt;1,IF(C5695&lt;99,VLOOKUP(F5695,'MSA-Lookup'!$AA$1:$AB$25,2),C5695),C5695)</f>
        <v>4472</v>
      </c>
    </row>
    <row r="5696" customFormat="false" ht="12.75" hidden="false" customHeight="false" outlineLevel="0" collapsed="false">
      <c r="A5696" s="0" t="n">
        <f aca="false">B5696*1000+C5696</f>
        <v>77065</v>
      </c>
      <c r="B5696" s="0" t="n">
        <v>77</v>
      </c>
      <c r="C5696" s="0" t="n">
        <v>65</v>
      </c>
      <c r="D5696" s="0" t="n">
        <v>0</v>
      </c>
      <c r="E5696" s="0" t="n">
        <f aca="false">VLOOKUP(B5696,'MSA-Lookup'!$H$2:$I$86,2)</f>
        <v>9999</v>
      </c>
      <c r="F5696" s="0" t="n">
        <f aca="false">IF(C5696&gt;1,IF(C5696&lt;99,VLOOKUP(C5696,'MSA-Lookup'!$H$1:$I$86,2),C5696),C5696)</f>
        <v>4480</v>
      </c>
      <c r="G5696" s="0" t="n">
        <f aca="false">VLOOKUP(E5696,'MSA-Lookup'!$AA$1:$AB$25,2)</f>
        <v>9999</v>
      </c>
      <c r="H5696" s="0" t="n">
        <f aca="false">IF(C5696&gt;1,IF(C5696&lt;99,VLOOKUP(F5696,'MSA-Lookup'!$AA$1:$AB$25,2),C5696),C5696)</f>
        <v>4472</v>
      </c>
    </row>
    <row r="5697" customFormat="false" ht="12.75" hidden="false" customHeight="false" outlineLevel="0" collapsed="false">
      <c r="A5697" s="0" t="n">
        <f aca="false">B5697*1000+C5697</f>
        <v>77066</v>
      </c>
      <c r="B5697" s="0" t="n">
        <v>77</v>
      </c>
      <c r="C5697" s="0" t="n">
        <v>66</v>
      </c>
      <c r="D5697" s="0" t="n">
        <v>0</v>
      </c>
      <c r="E5697" s="0" t="n">
        <f aca="false">VLOOKUP(B5697,'MSA-Lookup'!$H$2:$I$86,2)</f>
        <v>9999</v>
      </c>
      <c r="F5697" s="0" t="n">
        <f aca="false">IF(C5697&gt;1,IF(C5697&lt;99,VLOOKUP(C5697,'MSA-Lookup'!$H$1:$I$86,2),C5697),C5697)</f>
        <v>4480</v>
      </c>
      <c r="G5697" s="0" t="n">
        <f aca="false">VLOOKUP(E5697,'MSA-Lookup'!$AA$1:$AB$25,2)</f>
        <v>9999</v>
      </c>
      <c r="H5697" s="0" t="n">
        <f aca="false">IF(C5697&gt;1,IF(C5697&lt;99,VLOOKUP(F5697,'MSA-Lookup'!$AA$1:$AB$25,2),C5697),C5697)</f>
        <v>4472</v>
      </c>
    </row>
    <row r="5698" customFormat="false" ht="12.75" hidden="false" customHeight="false" outlineLevel="0" collapsed="false">
      <c r="A5698" s="0" t="n">
        <f aca="false">B5698*1000+C5698</f>
        <v>77067</v>
      </c>
      <c r="B5698" s="0" t="n">
        <v>77</v>
      </c>
      <c r="C5698" s="0" t="n">
        <v>67</v>
      </c>
      <c r="D5698" s="0" t="n">
        <v>0</v>
      </c>
      <c r="E5698" s="0" t="n">
        <f aca="false">VLOOKUP(B5698,'MSA-Lookup'!$H$2:$I$86,2)</f>
        <v>9999</v>
      </c>
      <c r="F5698" s="0" t="n">
        <f aca="false">IF(C5698&gt;1,IF(C5698&lt;99,VLOOKUP(C5698,'MSA-Lookup'!$H$1:$I$86,2),C5698),C5698)</f>
        <v>6000</v>
      </c>
      <c r="G5698" s="0" t="n">
        <f aca="false">VLOOKUP(E5698,'MSA-Lookup'!$AA$1:$AB$25,2)</f>
        <v>9999</v>
      </c>
      <c r="H5698" s="0" t="n">
        <f aca="false">IF(C5698&gt;1,IF(C5698&lt;99,VLOOKUP(F5698,'MSA-Lookup'!$AA$1:$AB$25,2),C5698),C5698)</f>
        <v>4472</v>
      </c>
    </row>
    <row r="5699" customFormat="false" ht="12.75" hidden="false" customHeight="false" outlineLevel="0" collapsed="false">
      <c r="A5699" s="0" t="n">
        <f aca="false">B5699*1000+C5699</f>
        <v>77068</v>
      </c>
      <c r="B5699" s="0" t="n">
        <v>77</v>
      </c>
      <c r="C5699" s="0" t="n">
        <v>68</v>
      </c>
      <c r="D5699" s="0" t="n">
        <v>0</v>
      </c>
      <c r="E5699" s="0" t="n">
        <f aca="false">VLOOKUP(B5699,'MSA-Lookup'!$H$2:$I$86,2)</f>
        <v>9999</v>
      </c>
      <c r="F5699" s="0" t="n">
        <f aca="false">IF(C5699&gt;1,IF(C5699&lt;99,VLOOKUP(C5699,'MSA-Lookup'!$H$1:$I$86,2),C5699),C5699)</f>
        <v>6780</v>
      </c>
      <c r="G5699" s="0" t="n">
        <f aca="false">VLOOKUP(E5699,'MSA-Lookup'!$AA$1:$AB$25,2)</f>
        <v>9999</v>
      </c>
      <c r="H5699" s="0" t="n">
        <f aca="false">IF(C5699&gt;1,IF(C5699&lt;99,VLOOKUP(F5699,'MSA-Lookup'!$AA$1:$AB$25,2),C5699),C5699)</f>
        <v>4472</v>
      </c>
    </row>
    <row r="5700" customFormat="false" ht="12.75" hidden="false" customHeight="false" outlineLevel="0" collapsed="false">
      <c r="A5700" s="0" t="n">
        <f aca="false">B5700*1000+C5700</f>
        <v>77069</v>
      </c>
      <c r="B5700" s="0" t="n">
        <v>77</v>
      </c>
      <c r="C5700" s="0" t="n">
        <v>69</v>
      </c>
      <c r="D5700" s="0" t="n">
        <v>624</v>
      </c>
      <c r="E5700" s="0" t="n">
        <f aca="false">VLOOKUP(B5700,'MSA-Lookup'!$H$2:$I$86,2)</f>
        <v>9999</v>
      </c>
      <c r="F5700" s="0" t="n">
        <f aca="false">IF(C5700&gt;1,IF(C5700&lt;99,VLOOKUP(C5700,'MSA-Lookup'!$H$1:$I$86,2),C5700),C5700)</f>
        <v>6780</v>
      </c>
      <c r="G5700" s="0" t="n">
        <f aca="false">VLOOKUP(E5700,'MSA-Lookup'!$AA$1:$AB$25,2)</f>
        <v>9999</v>
      </c>
      <c r="H5700" s="0" t="n">
        <f aca="false">IF(C5700&gt;1,IF(C5700&lt;99,VLOOKUP(F5700,'MSA-Lookup'!$AA$1:$AB$25,2),C5700),C5700)</f>
        <v>4472</v>
      </c>
    </row>
    <row r="5701" customFormat="false" ht="12.75" hidden="false" customHeight="false" outlineLevel="0" collapsed="false">
      <c r="A5701" s="0" t="n">
        <f aca="false">B5701*1000+C5701</f>
        <v>77070</v>
      </c>
      <c r="B5701" s="0" t="n">
        <v>77</v>
      </c>
      <c r="C5701" s="0" t="n">
        <v>70</v>
      </c>
      <c r="D5701" s="0" t="n">
        <v>0</v>
      </c>
      <c r="E5701" s="0" t="n">
        <f aca="false">VLOOKUP(B5701,'MSA-Lookup'!$H$2:$I$86,2)</f>
        <v>9999</v>
      </c>
      <c r="F5701" s="0" t="n">
        <f aca="false">IF(C5701&gt;1,IF(C5701&lt;99,VLOOKUP(C5701,'MSA-Lookup'!$H$1:$I$86,2),C5701),C5701)</f>
        <v>6780</v>
      </c>
      <c r="G5701" s="0" t="n">
        <f aca="false">VLOOKUP(E5701,'MSA-Lookup'!$AA$1:$AB$25,2)</f>
        <v>9999</v>
      </c>
      <c r="H5701" s="0" t="n">
        <f aca="false">IF(C5701&gt;1,IF(C5701&lt;99,VLOOKUP(F5701,'MSA-Lookup'!$AA$1:$AB$25,2),C5701),C5701)</f>
        <v>4472</v>
      </c>
    </row>
    <row r="5702" customFormat="false" ht="12.75" hidden="false" customHeight="false" outlineLevel="0" collapsed="false">
      <c r="A5702" s="0" t="n">
        <f aca="false">B5702*1000+C5702</f>
        <v>77071</v>
      </c>
      <c r="B5702" s="0" t="n">
        <v>77</v>
      </c>
      <c r="C5702" s="0" t="n">
        <v>71</v>
      </c>
      <c r="D5702" s="0" t="n">
        <v>0</v>
      </c>
      <c r="E5702" s="0" t="n">
        <f aca="false">VLOOKUP(B5702,'MSA-Lookup'!$H$2:$I$86,2)</f>
        <v>9999</v>
      </c>
      <c r="F5702" s="0" t="n">
        <f aca="false">IF(C5702&gt;1,IF(C5702&lt;99,VLOOKUP(C5702,'MSA-Lookup'!$H$1:$I$86,2),C5702),C5702)</f>
        <v>6780</v>
      </c>
      <c r="G5702" s="0" t="n">
        <f aca="false">VLOOKUP(E5702,'MSA-Lookup'!$AA$1:$AB$25,2)</f>
        <v>9999</v>
      </c>
      <c r="H5702" s="0" t="n">
        <f aca="false">IF(C5702&gt;1,IF(C5702&lt;99,VLOOKUP(F5702,'MSA-Lookup'!$AA$1:$AB$25,2),C5702),C5702)</f>
        <v>4472</v>
      </c>
    </row>
    <row r="5703" customFormat="false" ht="12.75" hidden="false" customHeight="false" outlineLevel="0" collapsed="false">
      <c r="A5703" s="0" t="n">
        <f aca="false">B5703*1000+C5703</f>
        <v>77072</v>
      </c>
      <c r="B5703" s="0" t="n">
        <v>77</v>
      </c>
      <c r="C5703" s="0" t="n">
        <v>72</v>
      </c>
      <c r="D5703" s="0" t="n">
        <v>0</v>
      </c>
      <c r="E5703" s="0" t="n">
        <f aca="false">VLOOKUP(B5703,'MSA-Lookup'!$H$2:$I$86,2)</f>
        <v>9999</v>
      </c>
      <c r="F5703" s="0" t="n">
        <f aca="false">IF(C5703&gt;1,IF(C5703&lt;99,VLOOKUP(C5703,'MSA-Lookup'!$H$1:$I$86,2),C5703),C5703)</f>
        <v>6780</v>
      </c>
      <c r="G5703" s="0" t="n">
        <f aca="false">VLOOKUP(E5703,'MSA-Lookup'!$AA$1:$AB$25,2)</f>
        <v>9999</v>
      </c>
      <c r="H5703" s="0" t="n">
        <f aca="false">IF(C5703&gt;1,IF(C5703&lt;99,VLOOKUP(F5703,'MSA-Lookup'!$AA$1:$AB$25,2),C5703),C5703)</f>
        <v>4472</v>
      </c>
    </row>
    <row r="5704" customFormat="false" ht="12.75" hidden="false" customHeight="false" outlineLevel="0" collapsed="false">
      <c r="A5704" s="0" t="n">
        <f aca="false">B5704*1000+C5704</f>
        <v>77073</v>
      </c>
      <c r="B5704" s="0" t="n">
        <v>77</v>
      </c>
      <c r="C5704" s="0" t="n">
        <v>73</v>
      </c>
      <c r="D5704" s="0" t="n">
        <v>0</v>
      </c>
      <c r="E5704" s="0" t="n">
        <f aca="false">VLOOKUP(B5704,'MSA-Lookup'!$H$2:$I$86,2)</f>
        <v>9999</v>
      </c>
      <c r="F5704" s="0" t="n">
        <f aca="false">IF(C5704&gt;1,IF(C5704&lt;99,VLOOKUP(C5704,'MSA-Lookup'!$H$1:$I$86,2),C5704),C5704)</f>
        <v>8720</v>
      </c>
      <c r="G5704" s="0" t="n">
        <f aca="false">VLOOKUP(E5704,'MSA-Lookup'!$AA$1:$AB$25,2)</f>
        <v>9999</v>
      </c>
      <c r="H5704" s="0" t="n">
        <f aca="false">IF(C5704&gt;1,IF(C5704&lt;99,VLOOKUP(F5704,'MSA-Lookup'!$AA$1:$AB$25,2),C5704),C5704)</f>
        <v>7362</v>
      </c>
    </row>
    <row r="5705" customFormat="false" ht="12.75" hidden="false" customHeight="false" outlineLevel="0" collapsed="false">
      <c r="A5705" s="0" t="n">
        <f aca="false">B5705*1000+C5705</f>
        <v>77075</v>
      </c>
      <c r="B5705" s="0" t="n">
        <v>77</v>
      </c>
      <c r="C5705" s="0" t="n">
        <v>75</v>
      </c>
      <c r="D5705" s="0" t="n">
        <v>0</v>
      </c>
      <c r="E5705" s="0" t="n">
        <f aca="false">VLOOKUP(B5705,'MSA-Lookup'!$H$2:$I$86,2)</f>
        <v>9999</v>
      </c>
      <c r="F5705" s="0" t="n">
        <f aca="false">IF(C5705&gt;1,IF(C5705&lt;99,VLOOKUP(C5705,'MSA-Lookup'!$H$1:$I$86,2),C5705),C5705)</f>
        <v>8780</v>
      </c>
      <c r="G5705" s="0" t="n">
        <f aca="false">VLOOKUP(E5705,'MSA-Lookup'!$AA$1:$AB$25,2)</f>
        <v>9999</v>
      </c>
      <c r="H5705" s="0" t="n">
        <f aca="false">IF(C5705&gt;1,IF(C5705&lt;99,VLOOKUP(F5705,'MSA-Lookup'!$AA$1:$AB$25,2),C5705),C5705)</f>
        <v>8780</v>
      </c>
    </row>
    <row r="5706" customFormat="false" ht="12.75" hidden="false" customHeight="false" outlineLevel="0" collapsed="false">
      <c r="A5706" s="0" t="n">
        <f aca="false">B5706*1000+C5706</f>
        <v>77076</v>
      </c>
      <c r="B5706" s="0" t="n">
        <v>77</v>
      </c>
      <c r="C5706" s="0" t="n">
        <v>76</v>
      </c>
      <c r="D5706" s="0" t="n">
        <v>0</v>
      </c>
      <c r="E5706" s="0" t="n">
        <f aca="false">VLOOKUP(B5706,'MSA-Lookup'!$H$2:$I$86,2)</f>
        <v>9999</v>
      </c>
      <c r="F5706" s="0" t="n">
        <f aca="false">IF(C5706&gt;1,IF(C5706&lt;99,VLOOKUP(C5706,'MSA-Lookup'!$H$1:$I$86,2),C5706),C5706)</f>
        <v>7485</v>
      </c>
      <c r="G5706" s="0" t="n">
        <f aca="false">VLOOKUP(E5706,'MSA-Lookup'!$AA$1:$AB$25,2)</f>
        <v>9999</v>
      </c>
      <c r="H5706" s="0" t="n">
        <f aca="false">IF(C5706&gt;1,IF(C5706&lt;99,VLOOKUP(F5706,'MSA-Lookup'!$AA$1:$AB$25,2),C5706),C5706)</f>
        <v>7362</v>
      </c>
    </row>
    <row r="5707" customFormat="false" ht="12.75" hidden="false" customHeight="false" outlineLevel="0" collapsed="false">
      <c r="A5707" s="0" t="n">
        <f aca="false">B5707*1000+C5707</f>
        <v>77077</v>
      </c>
      <c r="B5707" s="0" t="n">
        <v>77</v>
      </c>
      <c r="C5707" s="0" t="n">
        <v>77</v>
      </c>
      <c r="D5707" s="0" t="n">
        <v>33397</v>
      </c>
      <c r="E5707" s="0" t="n">
        <f aca="false">VLOOKUP(B5707,'MSA-Lookup'!$H$2:$I$86,2)</f>
        <v>9999</v>
      </c>
      <c r="F5707" s="0" t="n">
        <f aca="false">IF(C5707&gt;1,IF(C5707&lt;99,VLOOKUP(C5707,'MSA-Lookup'!$H$1:$I$86,2),C5707),C5707)</f>
        <v>9999</v>
      </c>
      <c r="G5707" s="0" t="n">
        <f aca="false">VLOOKUP(E5707,'MSA-Lookup'!$AA$1:$AB$25,2)</f>
        <v>9999</v>
      </c>
      <c r="H5707" s="0" t="n">
        <f aca="false">IF(C5707&gt;1,IF(C5707&lt;99,VLOOKUP(F5707,'MSA-Lookup'!$AA$1:$AB$25,2),C5707),C5707)</f>
        <v>9999</v>
      </c>
    </row>
    <row r="5708" customFormat="false" ht="12.75" hidden="false" customHeight="false" outlineLevel="0" collapsed="false">
      <c r="A5708" s="0" t="n">
        <f aca="false">B5708*1000+C5708</f>
        <v>77078</v>
      </c>
      <c r="B5708" s="0" t="n">
        <v>77</v>
      </c>
      <c r="C5708" s="0" t="n">
        <v>78</v>
      </c>
      <c r="D5708" s="0" t="n">
        <v>0</v>
      </c>
      <c r="E5708" s="0" t="n">
        <f aca="false">VLOOKUP(B5708,'MSA-Lookup'!$H$2:$I$86,2)</f>
        <v>9999</v>
      </c>
      <c r="F5708" s="0" t="n">
        <f aca="false">IF(C5708&gt;1,IF(C5708&lt;99,VLOOKUP(C5708,'MSA-Lookup'!$H$1:$I$86,2),C5708),C5708)</f>
        <v>680</v>
      </c>
      <c r="G5708" s="0" t="n">
        <f aca="false">VLOOKUP(E5708,'MSA-Lookup'!$AA$1:$AB$25,2)</f>
        <v>9999</v>
      </c>
      <c r="H5708" s="0" t="n">
        <f aca="false">IF(C5708&gt;1,IF(C5708&lt;99,VLOOKUP(F5708,'MSA-Lookup'!$AA$1:$AB$25,2),C5708),C5708)</f>
        <v>680</v>
      </c>
    </row>
    <row r="5709" customFormat="false" ht="12.75" hidden="false" customHeight="false" outlineLevel="0" collapsed="false">
      <c r="A5709" s="0" t="n">
        <f aca="false">B5709*1000+C5709</f>
        <v>77079</v>
      </c>
      <c r="B5709" s="0" t="n">
        <v>77</v>
      </c>
      <c r="C5709" s="0" t="n">
        <v>79</v>
      </c>
      <c r="D5709" s="0" t="n">
        <v>0</v>
      </c>
      <c r="E5709" s="0" t="n">
        <f aca="false">VLOOKUP(B5709,'MSA-Lookup'!$H$2:$I$86,2)</f>
        <v>9999</v>
      </c>
      <c r="F5709" s="0" t="n">
        <f aca="false">IF(C5709&gt;1,IF(C5709&lt;99,VLOOKUP(C5709,'MSA-Lookup'!$H$1:$I$86,2),C5709),C5709)</f>
        <v>680</v>
      </c>
      <c r="G5709" s="0" t="n">
        <f aca="false">VLOOKUP(E5709,'MSA-Lookup'!$AA$1:$AB$25,2)</f>
        <v>9999</v>
      </c>
      <c r="H5709" s="0" t="n">
        <f aca="false">IF(C5709&gt;1,IF(C5709&lt;99,VLOOKUP(F5709,'MSA-Lookup'!$AA$1:$AB$25,2),C5709),C5709)</f>
        <v>680</v>
      </c>
    </row>
    <row r="5710" customFormat="false" ht="12.75" hidden="false" customHeight="false" outlineLevel="0" collapsed="false">
      <c r="A5710" s="0" t="n">
        <f aca="false">B5710*1000+C5710</f>
        <v>77080</v>
      </c>
      <c r="B5710" s="0" t="n">
        <v>77</v>
      </c>
      <c r="C5710" s="0" t="n">
        <v>80</v>
      </c>
      <c r="D5710" s="0" t="n">
        <v>0</v>
      </c>
      <c r="E5710" s="0" t="n">
        <f aca="false">VLOOKUP(B5710,'MSA-Lookup'!$H$2:$I$86,2)</f>
        <v>9999</v>
      </c>
      <c r="F5710" s="0" t="n">
        <f aca="false">IF(C5710&gt;1,IF(C5710&lt;99,VLOOKUP(C5710,'MSA-Lookup'!$H$1:$I$86,2),C5710),C5710)</f>
        <v>9999</v>
      </c>
      <c r="G5710" s="0" t="n">
        <f aca="false">VLOOKUP(E5710,'MSA-Lookup'!$AA$1:$AB$25,2)</f>
        <v>9999</v>
      </c>
      <c r="H5710" s="0" t="n">
        <f aca="false">IF(C5710&gt;1,IF(C5710&lt;99,VLOOKUP(F5710,'MSA-Lookup'!$AA$1:$AB$25,2),C5710),C5710)</f>
        <v>9999</v>
      </c>
    </row>
    <row r="5711" customFormat="false" ht="12.75" hidden="false" customHeight="false" outlineLevel="0" collapsed="false">
      <c r="A5711" s="0" t="n">
        <f aca="false">B5711*1000+C5711</f>
        <v>77081</v>
      </c>
      <c r="B5711" s="0" t="n">
        <v>77</v>
      </c>
      <c r="C5711" s="0" t="n">
        <v>81</v>
      </c>
      <c r="D5711" s="0" t="n">
        <v>0</v>
      </c>
      <c r="E5711" s="0" t="n">
        <f aca="false">VLOOKUP(B5711,'MSA-Lookup'!$H$2:$I$86,2)</f>
        <v>9999</v>
      </c>
      <c r="F5711" s="0" t="n">
        <f aca="false">IF(C5711&gt;1,IF(C5711&lt;99,VLOOKUP(C5711,'MSA-Lookup'!$H$1:$I$86,2),C5711),C5711)</f>
        <v>6780</v>
      </c>
      <c r="G5711" s="0" t="n">
        <f aca="false">VLOOKUP(E5711,'MSA-Lookup'!$AA$1:$AB$25,2)</f>
        <v>9999</v>
      </c>
      <c r="H5711" s="0" t="n">
        <f aca="false">IF(C5711&gt;1,IF(C5711&lt;99,VLOOKUP(F5711,'MSA-Lookup'!$AA$1:$AB$25,2),C5711),C5711)</f>
        <v>4472</v>
      </c>
    </row>
    <row r="5712" customFormat="false" ht="12.75" hidden="false" customHeight="false" outlineLevel="0" collapsed="false">
      <c r="A5712" s="0" t="n">
        <f aca="false">B5712*1000+C5712</f>
        <v>77082</v>
      </c>
      <c r="B5712" s="0" t="n">
        <v>77</v>
      </c>
      <c r="C5712" s="0" t="n">
        <v>82</v>
      </c>
      <c r="D5712" s="0" t="n">
        <v>0</v>
      </c>
      <c r="E5712" s="0" t="n">
        <f aca="false">VLOOKUP(B5712,'MSA-Lookup'!$H$2:$I$86,2)</f>
        <v>9999</v>
      </c>
      <c r="F5712" s="0" t="n">
        <f aca="false">IF(C5712&gt;1,IF(C5712&lt;99,VLOOKUP(C5712,'MSA-Lookup'!$H$1:$I$86,2),C5712),C5712)</f>
        <v>6780</v>
      </c>
      <c r="G5712" s="0" t="n">
        <f aca="false">VLOOKUP(E5712,'MSA-Lookup'!$AA$1:$AB$25,2)</f>
        <v>9999</v>
      </c>
      <c r="H5712" s="0" t="n">
        <f aca="false">IF(C5712&gt;1,IF(C5712&lt;99,VLOOKUP(F5712,'MSA-Lookup'!$AA$1:$AB$25,2),C5712),C5712)</f>
        <v>4472</v>
      </c>
    </row>
    <row r="5713" customFormat="false" ht="12.75" hidden="false" customHeight="false" outlineLevel="0" collapsed="false">
      <c r="A5713" s="0" t="n">
        <f aca="false">B5713*1000+C5713</f>
        <v>77083</v>
      </c>
      <c r="B5713" s="0" t="n">
        <v>77</v>
      </c>
      <c r="C5713" s="0" t="n">
        <v>83</v>
      </c>
      <c r="D5713" s="0" t="n">
        <v>0</v>
      </c>
      <c r="E5713" s="0" t="n">
        <f aca="false">VLOOKUP(B5713,'MSA-Lookup'!$H$2:$I$86,2)</f>
        <v>9999</v>
      </c>
      <c r="F5713" s="0" t="n">
        <f aca="false">IF(C5713&gt;1,IF(C5713&lt;99,VLOOKUP(C5713,'MSA-Lookup'!$H$1:$I$86,2),C5713),C5713)</f>
        <v>6000</v>
      </c>
      <c r="G5713" s="0" t="n">
        <f aca="false">VLOOKUP(E5713,'MSA-Lookup'!$AA$1:$AB$25,2)</f>
        <v>9999</v>
      </c>
      <c r="H5713" s="0" t="n">
        <f aca="false">IF(C5713&gt;1,IF(C5713&lt;99,VLOOKUP(F5713,'MSA-Lookup'!$AA$1:$AB$25,2),C5713),C5713)</f>
        <v>4472</v>
      </c>
    </row>
    <row r="5714" customFormat="false" ht="12.75" hidden="false" customHeight="false" outlineLevel="0" collapsed="false">
      <c r="A5714" s="0" t="n">
        <f aca="false">B5714*1000+C5714</f>
        <v>77084</v>
      </c>
      <c r="B5714" s="0" t="n">
        <v>77</v>
      </c>
      <c r="C5714" s="0" t="n">
        <v>84</v>
      </c>
      <c r="D5714" s="0" t="n">
        <v>0</v>
      </c>
      <c r="E5714" s="0" t="n">
        <f aca="false">VLOOKUP(B5714,'MSA-Lookup'!$H$2:$I$86,2)</f>
        <v>9999</v>
      </c>
      <c r="F5714" s="0" t="n">
        <f aca="false">IF(C5714&gt;1,IF(C5714&lt;99,VLOOKUP(C5714,'MSA-Lookup'!$H$1:$I$86,2),C5714),C5714)</f>
        <v>360</v>
      </c>
      <c r="G5714" s="0" t="n">
        <f aca="false">VLOOKUP(E5714,'MSA-Lookup'!$AA$1:$AB$25,2)</f>
        <v>9999</v>
      </c>
      <c r="H5714" s="0" t="n">
        <f aca="false">IF(C5714&gt;1,IF(C5714&lt;99,VLOOKUP(F5714,'MSA-Lookup'!$AA$1:$AB$25,2),C5714),C5714)</f>
        <v>4472</v>
      </c>
    </row>
    <row r="5715" customFormat="false" ht="12.75" hidden="false" customHeight="false" outlineLevel="0" collapsed="false">
      <c r="A5715" s="0" t="n">
        <f aca="false">B5715*1000+C5715</f>
        <v>77085</v>
      </c>
      <c r="B5715" s="0" t="n">
        <v>77</v>
      </c>
      <c r="C5715" s="0" t="n">
        <v>85</v>
      </c>
      <c r="D5715" s="0" t="n">
        <v>0</v>
      </c>
      <c r="E5715" s="0" t="n">
        <f aca="false">VLOOKUP(B5715,'MSA-Lookup'!$H$2:$I$86,2)</f>
        <v>9999</v>
      </c>
      <c r="F5715" s="0" t="n">
        <f aca="false">IF(C5715&gt;1,IF(C5715&lt;99,VLOOKUP(C5715,'MSA-Lookup'!$H$1:$I$86,2),C5715),C5715)</f>
        <v>8120</v>
      </c>
      <c r="G5715" s="0" t="n">
        <f aca="false">VLOOKUP(E5715,'MSA-Lookup'!$AA$1:$AB$25,2)</f>
        <v>9999</v>
      </c>
      <c r="H5715" s="0" t="n">
        <f aca="false">IF(C5715&gt;1,IF(C5715&lt;99,VLOOKUP(F5715,'MSA-Lookup'!$AA$1:$AB$25,2),C5715),C5715)</f>
        <v>8120</v>
      </c>
    </row>
    <row r="5716" customFormat="false" ht="12.75" hidden="false" customHeight="false" outlineLevel="0" collapsed="false">
      <c r="A5716" s="0" t="n">
        <f aca="false">B5716*1000+C5716</f>
        <v>77858</v>
      </c>
      <c r="B5716" s="0" t="n">
        <v>77</v>
      </c>
      <c r="C5716" s="0" t="n">
        <v>858</v>
      </c>
      <c r="D5716" s="0" t="n">
        <v>0</v>
      </c>
      <c r="E5716" s="0" t="n">
        <f aca="false">VLOOKUP(B5716,'MSA-Lookup'!$H$2:$I$86,2)</f>
        <v>9999</v>
      </c>
      <c r="F5716" s="0" t="n">
        <f aca="false">IF(C5716&gt;1,IF(C5716&lt;99,VLOOKUP(C5716,'MSA-Lookup'!$H$1:$I$86,2),C5716),C5716)</f>
        <v>858</v>
      </c>
      <c r="G5716" s="0" t="n">
        <f aca="false">VLOOKUP(E5716,'MSA-Lookup'!$AA$1:$AB$25,2)</f>
        <v>9999</v>
      </c>
      <c r="H5716" s="0" t="n">
        <f aca="false">IF(C5716&gt;1,IF(C5716&lt;99,VLOOKUP(F5716,'MSA-Lookup'!$AA$1:$AB$25,2),C5716),C5716)</f>
        <v>858</v>
      </c>
    </row>
    <row r="5717" customFormat="false" ht="12.75" hidden="false" customHeight="false" outlineLevel="0" collapsed="false">
      <c r="A5717" s="0" t="n">
        <f aca="false">B5717*1000+C5717</f>
        <v>77983</v>
      </c>
      <c r="B5717" s="0" t="n">
        <v>77</v>
      </c>
      <c r="C5717" s="0" t="n">
        <v>983</v>
      </c>
      <c r="D5717" s="0" t="n">
        <v>0</v>
      </c>
      <c r="E5717" s="0" t="n">
        <f aca="false">VLOOKUP(B5717,'MSA-Lookup'!$H$2:$I$86,2)</f>
        <v>9999</v>
      </c>
      <c r="F5717" s="0" t="n">
        <f aca="false">IF(C5717&gt;1,IF(C5717&lt;99,VLOOKUP(C5717,'MSA-Lookup'!$H$1:$I$86,2),C5717),C5717)</f>
        <v>983</v>
      </c>
      <c r="G5717" s="0" t="n">
        <f aca="false">VLOOKUP(E5717,'MSA-Lookup'!$AA$1:$AB$25,2)</f>
        <v>9999</v>
      </c>
      <c r="H5717" s="0" t="n">
        <f aca="false">IF(C5717&gt;1,IF(C5717&lt;99,VLOOKUP(F5717,'MSA-Lookup'!$AA$1:$AB$25,2),C5717),C5717)</f>
        <v>983</v>
      </c>
    </row>
    <row r="5718" customFormat="false" ht="12.75" hidden="false" customHeight="false" outlineLevel="0" collapsed="false">
      <c r="A5718" s="0" t="n">
        <f aca="false">B5718*1000+C5718</f>
        <v>77999</v>
      </c>
      <c r="B5718" s="0" t="n">
        <v>77</v>
      </c>
      <c r="C5718" s="0" t="n">
        <v>999</v>
      </c>
      <c r="D5718" s="0" t="n">
        <v>65</v>
      </c>
      <c r="E5718" s="0" t="n">
        <f aca="false">VLOOKUP(B5718,'MSA-Lookup'!$H$2:$I$86,2)</f>
        <v>9999</v>
      </c>
      <c r="F5718" s="0" t="n">
        <f aca="false">IF(C5718&gt;1,IF(C5718&lt;99,VLOOKUP(C5718,'MSA-Lookup'!$H$1:$I$86,2),C5718),C5718)</f>
        <v>999</v>
      </c>
      <c r="G5718" s="0" t="n">
        <f aca="false">VLOOKUP(E5718,'MSA-Lookup'!$AA$1:$AB$25,2)</f>
        <v>9999</v>
      </c>
      <c r="H5718" s="0" t="n">
        <f aca="false">IF(C5718&gt;1,IF(C5718&lt;99,VLOOKUP(F5718,'MSA-Lookup'!$AA$1:$AB$25,2),C5718),C5718)</f>
        <v>999</v>
      </c>
    </row>
    <row r="5719" customFormat="false" ht="12.75" hidden="false" customHeight="false" outlineLevel="0" collapsed="false">
      <c r="A5719" s="0" t="n">
        <f aca="false">B5719*1000+C5719</f>
        <v>78000</v>
      </c>
      <c r="B5719" s="0" t="n">
        <v>78</v>
      </c>
      <c r="C5719" s="0" t="n">
        <v>0</v>
      </c>
      <c r="D5719" s="0" t="n">
        <v>100061</v>
      </c>
      <c r="E5719" s="0" t="n">
        <f aca="false">VLOOKUP(B5719,'MSA-Lookup'!$H$2:$I$86,2)</f>
        <v>680</v>
      </c>
      <c r="F5719" s="0" t="n">
        <f aca="false">IF(C5719&gt;1,IF(C5719&lt;99,VLOOKUP(C5719,'MSA-Lookup'!$H$1:$I$86,2),C5719),C5719)</f>
        <v>0</v>
      </c>
      <c r="G5719" s="0" t="n">
        <f aca="false">VLOOKUP(E5719,'MSA-Lookup'!$AA$1:$AB$25,2)</f>
        <v>680</v>
      </c>
      <c r="H5719" s="0" t="n">
        <f aca="false">IF(C5719&gt;1,IF(C5719&lt;99,VLOOKUP(F5719,'MSA-Lookup'!$AA$1:$AB$25,2),C5719),C5719)</f>
        <v>0</v>
      </c>
    </row>
    <row r="5720" customFormat="false" ht="12.75" hidden="false" customHeight="false" outlineLevel="0" collapsed="false">
      <c r="A5720" s="0" t="n">
        <f aca="false">B5720*1000+C5720</f>
        <v>78001</v>
      </c>
      <c r="B5720" s="0" t="n">
        <v>78</v>
      </c>
      <c r="C5720" s="0" t="n">
        <v>1</v>
      </c>
      <c r="D5720" s="0" t="n">
        <v>104</v>
      </c>
      <c r="E5720" s="0" t="n">
        <f aca="false">VLOOKUP(B5720,'MSA-Lookup'!$H$2:$I$86,2)</f>
        <v>680</v>
      </c>
      <c r="F5720" s="0" t="n">
        <f aca="false">IF(C5720&gt;1,IF(C5720&lt;99,VLOOKUP(C5720,'MSA-Lookup'!$H$1:$I$86,2),C5720),C5720)</f>
        <v>1</v>
      </c>
      <c r="G5720" s="0" t="n">
        <f aca="false">VLOOKUP(E5720,'MSA-Lookup'!$AA$1:$AB$25,2)</f>
        <v>680</v>
      </c>
      <c r="H5720" s="0" t="n">
        <f aca="false">IF(C5720&gt;1,IF(C5720&lt;99,VLOOKUP(F5720,'MSA-Lookup'!$AA$1:$AB$25,2),C5720),C5720)</f>
        <v>1</v>
      </c>
    </row>
    <row r="5721" customFormat="false" ht="12.75" hidden="false" customHeight="false" outlineLevel="0" collapsed="false">
      <c r="A5721" s="0" t="n">
        <f aca="false">B5721*1000+C5721</f>
        <v>78002</v>
      </c>
      <c r="B5721" s="0" t="n">
        <v>78</v>
      </c>
      <c r="C5721" s="0" t="n">
        <v>2</v>
      </c>
      <c r="D5721" s="0" t="n">
        <v>0</v>
      </c>
      <c r="E5721" s="0" t="n">
        <f aca="false">VLOOKUP(B5721,'MSA-Lookup'!$H$2:$I$86,2)</f>
        <v>680</v>
      </c>
      <c r="F5721" s="0" t="n">
        <f aca="false">IF(C5721&gt;1,IF(C5721&lt;99,VLOOKUP(C5721,'MSA-Lookup'!$H$1:$I$86,2),C5721),C5721)</f>
        <v>9999</v>
      </c>
      <c r="G5721" s="0" t="n">
        <f aca="false">VLOOKUP(E5721,'MSA-Lookup'!$AA$1:$AB$25,2)</f>
        <v>680</v>
      </c>
      <c r="H5721" s="0" t="n">
        <f aca="false">IF(C5721&gt;1,IF(C5721&lt;99,VLOOKUP(F5721,'MSA-Lookup'!$AA$1:$AB$25,2),C5721),C5721)</f>
        <v>9999</v>
      </c>
    </row>
    <row r="5722" customFormat="false" ht="12.75" hidden="false" customHeight="false" outlineLevel="0" collapsed="false">
      <c r="A5722" s="0" t="n">
        <f aca="false">B5722*1000+C5722</f>
        <v>78003</v>
      </c>
      <c r="B5722" s="0" t="n">
        <v>78</v>
      </c>
      <c r="C5722" s="0" t="n">
        <v>3</v>
      </c>
      <c r="D5722" s="0" t="n">
        <v>0</v>
      </c>
      <c r="E5722" s="0" t="n">
        <f aca="false">VLOOKUP(B5722,'MSA-Lookup'!$H$2:$I$86,2)</f>
        <v>680</v>
      </c>
      <c r="F5722" s="0" t="n">
        <f aca="false">IF(C5722&gt;1,IF(C5722&lt;99,VLOOKUP(C5722,'MSA-Lookup'!$H$1:$I$86,2),C5722),C5722)</f>
        <v>6690</v>
      </c>
      <c r="G5722" s="0" t="n">
        <f aca="false">VLOOKUP(E5722,'MSA-Lookup'!$AA$1:$AB$25,2)</f>
        <v>680</v>
      </c>
      <c r="H5722" s="0" t="n">
        <f aca="false">IF(C5722&gt;1,IF(C5722&lt;99,VLOOKUP(F5722,'MSA-Lookup'!$AA$1:$AB$25,2),C5722),C5722)</f>
        <v>6690</v>
      </c>
    </row>
    <row r="5723" customFormat="false" ht="12.75" hidden="false" customHeight="false" outlineLevel="0" collapsed="false">
      <c r="A5723" s="0" t="n">
        <f aca="false">B5723*1000+C5723</f>
        <v>78004</v>
      </c>
      <c r="B5723" s="0" t="n">
        <v>78</v>
      </c>
      <c r="C5723" s="0" t="n">
        <v>4</v>
      </c>
      <c r="D5723" s="0" t="n">
        <v>0</v>
      </c>
      <c r="E5723" s="0" t="n">
        <f aca="false">VLOOKUP(B5723,'MSA-Lookup'!$H$2:$I$86,2)</f>
        <v>680</v>
      </c>
      <c r="F5723" s="0" t="n">
        <f aca="false">IF(C5723&gt;1,IF(C5723&lt;99,VLOOKUP(C5723,'MSA-Lookup'!$H$1:$I$86,2),C5723),C5723)</f>
        <v>9999</v>
      </c>
      <c r="G5723" s="0" t="n">
        <f aca="false">VLOOKUP(E5723,'MSA-Lookup'!$AA$1:$AB$25,2)</f>
        <v>680</v>
      </c>
      <c r="H5723" s="0" t="n">
        <f aca="false">IF(C5723&gt;1,IF(C5723&lt;99,VLOOKUP(F5723,'MSA-Lookup'!$AA$1:$AB$25,2),C5723),C5723)</f>
        <v>9999</v>
      </c>
    </row>
    <row r="5724" customFormat="false" ht="12.75" hidden="false" customHeight="false" outlineLevel="0" collapsed="false">
      <c r="A5724" s="0" t="n">
        <f aca="false">B5724*1000+C5724</f>
        <v>78005</v>
      </c>
      <c r="B5724" s="0" t="n">
        <v>78</v>
      </c>
      <c r="C5724" s="0" t="n">
        <v>5</v>
      </c>
      <c r="D5724" s="0" t="n">
        <v>0</v>
      </c>
      <c r="E5724" s="0" t="n">
        <f aca="false">VLOOKUP(B5724,'MSA-Lookup'!$H$2:$I$86,2)</f>
        <v>680</v>
      </c>
      <c r="F5724" s="0" t="n">
        <f aca="false">IF(C5724&gt;1,IF(C5724&lt;99,VLOOKUP(C5724,'MSA-Lookup'!$H$1:$I$86,2),C5724),C5724)</f>
        <v>9999</v>
      </c>
      <c r="G5724" s="0" t="n">
        <f aca="false">VLOOKUP(E5724,'MSA-Lookup'!$AA$1:$AB$25,2)</f>
        <v>680</v>
      </c>
      <c r="H5724" s="0" t="n">
        <f aca="false">IF(C5724&gt;1,IF(C5724&lt;99,VLOOKUP(F5724,'MSA-Lookup'!$AA$1:$AB$25,2),C5724),C5724)</f>
        <v>9999</v>
      </c>
    </row>
    <row r="5725" customFormat="false" ht="12.75" hidden="false" customHeight="false" outlineLevel="0" collapsed="false">
      <c r="A5725" s="0" t="n">
        <f aca="false">B5725*1000+C5725</f>
        <v>78006</v>
      </c>
      <c r="B5725" s="0" t="n">
        <v>78</v>
      </c>
      <c r="C5725" s="0" t="n">
        <v>6</v>
      </c>
      <c r="D5725" s="0" t="n">
        <v>0</v>
      </c>
      <c r="E5725" s="0" t="n">
        <f aca="false">VLOOKUP(B5725,'MSA-Lookup'!$H$2:$I$86,2)</f>
        <v>680</v>
      </c>
      <c r="F5725" s="0" t="n">
        <f aca="false">IF(C5725&gt;1,IF(C5725&lt;99,VLOOKUP(C5725,'MSA-Lookup'!$H$1:$I$86,2),C5725),C5725)</f>
        <v>1620</v>
      </c>
      <c r="G5725" s="0" t="n">
        <f aca="false">VLOOKUP(E5725,'MSA-Lookup'!$AA$1:$AB$25,2)</f>
        <v>680</v>
      </c>
      <c r="H5725" s="0" t="n">
        <f aca="false">IF(C5725&gt;1,IF(C5725&lt;99,VLOOKUP(F5725,'MSA-Lookup'!$AA$1:$AB$25,2),C5725),C5725)</f>
        <v>1620</v>
      </c>
    </row>
    <row r="5726" customFormat="false" ht="12.75" hidden="false" customHeight="false" outlineLevel="0" collapsed="false">
      <c r="A5726" s="0" t="n">
        <f aca="false">B5726*1000+C5726</f>
        <v>78007</v>
      </c>
      <c r="B5726" s="0" t="n">
        <v>78</v>
      </c>
      <c r="C5726" s="0" t="n">
        <v>7</v>
      </c>
      <c r="D5726" s="0" t="n">
        <v>0</v>
      </c>
      <c r="E5726" s="0" t="n">
        <f aca="false">VLOOKUP(B5726,'MSA-Lookup'!$H$2:$I$86,2)</f>
        <v>680</v>
      </c>
      <c r="F5726" s="0" t="n">
        <f aca="false">IF(C5726&gt;1,IF(C5726&lt;99,VLOOKUP(C5726,'MSA-Lookup'!$H$1:$I$86,2),C5726),C5726)</f>
        <v>9999</v>
      </c>
      <c r="G5726" s="0" t="n">
        <f aca="false">VLOOKUP(E5726,'MSA-Lookup'!$AA$1:$AB$25,2)</f>
        <v>680</v>
      </c>
      <c r="H5726" s="0" t="n">
        <f aca="false">IF(C5726&gt;1,IF(C5726&lt;99,VLOOKUP(F5726,'MSA-Lookup'!$AA$1:$AB$25,2),C5726),C5726)</f>
        <v>9999</v>
      </c>
    </row>
    <row r="5727" customFormat="false" ht="12.75" hidden="false" customHeight="false" outlineLevel="0" collapsed="false">
      <c r="A5727" s="0" t="n">
        <f aca="false">B5727*1000+C5727</f>
        <v>78008</v>
      </c>
      <c r="B5727" s="0" t="n">
        <v>78</v>
      </c>
      <c r="C5727" s="0" t="n">
        <v>8</v>
      </c>
      <c r="D5727" s="0" t="n">
        <v>0</v>
      </c>
      <c r="E5727" s="0" t="n">
        <f aca="false">VLOOKUP(B5727,'MSA-Lookup'!$H$2:$I$86,2)</f>
        <v>680</v>
      </c>
      <c r="F5727" s="0" t="n">
        <f aca="false">IF(C5727&gt;1,IF(C5727&lt;99,VLOOKUP(C5727,'MSA-Lookup'!$H$1:$I$86,2),C5727),C5727)</f>
        <v>9340</v>
      </c>
      <c r="G5727" s="0" t="n">
        <f aca="false">VLOOKUP(E5727,'MSA-Lookup'!$AA$1:$AB$25,2)</f>
        <v>680</v>
      </c>
      <c r="H5727" s="0" t="n">
        <f aca="false">IF(C5727&gt;1,IF(C5727&lt;99,VLOOKUP(F5727,'MSA-Lookup'!$AA$1:$AB$25,2),C5727),C5727)</f>
        <v>9340</v>
      </c>
    </row>
    <row r="5728" customFormat="false" ht="12.75" hidden="false" customHeight="false" outlineLevel="0" collapsed="false">
      <c r="A5728" s="0" t="n">
        <f aca="false">B5728*1000+C5728</f>
        <v>78009</v>
      </c>
      <c r="B5728" s="0" t="n">
        <v>78</v>
      </c>
      <c r="C5728" s="0" t="n">
        <v>9</v>
      </c>
      <c r="D5728" s="0" t="n">
        <v>0</v>
      </c>
      <c r="E5728" s="0" t="n">
        <f aca="false">VLOOKUP(B5728,'MSA-Lookup'!$H$2:$I$86,2)</f>
        <v>680</v>
      </c>
      <c r="F5728" s="0" t="n">
        <f aca="false">IF(C5728&gt;1,IF(C5728&lt;99,VLOOKUP(C5728,'MSA-Lookup'!$H$1:$I$86,2),C5728),C5728)</f>
        <v>8720</v>
      </c>
      <c r="G5728" s="0" t="n">
        <f aca="false">VLOOKUP(E5728,'MSA-Lookup'!$AA$1:$AB$25,2)</f>
        <v>680</v>
      </c>
      <c r="H5728" s="0" t="n">
        <f aca="false">IF(C5728&gt;1,IF(C5728&lt;99,VLOOKUP(F5728,'MSA-Lookup'!$AA$1:$AB$25,2),C5728),C5728)</f>
        <v>7362</v>
      </c>
    </row>
    <row r="5729" customFormat="false" ht="12.75" hidden="false" customHeight="false" outlineLevel="0" collapsed="false">
      <c r="A5729" s="0" t="n">
        <f aca="false">B5729*1000+C5729</f>
        <v>78010</v>
      </c>
      <c r="B5729" s="0" t="n">
        <v>78</v>
      </c>
      <c r="C5729" s="0" t="n">
        <v>10</v>
      </c>
      <c r="D5729" s="0" t="n">
        <v>0</v>
      </c>
      <c r="E5729" s="0" t="n">
        <f aca="false">VLOOKUP(B5729,'MSA-Lookup'!$H$2:$I$86,2)</f>
        <v>680</v>
      </c>
      <c r="F5729" s="0" t="n">
        <f aca="false">IF(C5729&gt;1,IF(C5729&lt;99,VLOOKUP(C5729,'MSA-Lookup'!$H$1:$I$86,2),C5729),C5729)</f>
        <v>6920</v>
      </c>
      <c r="G5729" s="0" t="n">
        <f aca="false">VLOOKUP(E5729,'MSA-Lookup'!$AA$1:$AB$25,2)</f>
        <v>680</v>
      </c>
      <c r="H5729" s="0" t="n">
        <f aca="false">IF(C5729&gt;1,IF(C5729&lt;99,VLOOKUP(F5729,'MSA-Lookup'!$AA$1:$AB$25,2),C5729),C5729)</f>
        <v>6920</v>
      </c>
    </row>
    <row r="5730" customFormat="false" ht="12.75" hidden="false" customHeight="false" outlineLevel="0" collapsed="false">
      <c r="A5730" s="0" t="n">
        <f aca="false">B5730*1000+C5730</f>
        <v>78011</v>
      </c>
      <c r="B5730" s="0" t="n">
        <v>78</v>
      </c>
      <c r="C5730" s="0" t="n">
        <v>11</v>
      </c>
      <c r="D5730" s="0" t="n">
        <v>0</v>
      </c>
      <c r="E5730" s="0" t="n">
        <f aca="false">VLOOKUP(B5730,'MSA-Lookup'!$H$2:$I$86,2)</f>
        <v>680</v>
      </c>
      <c r="F5730" s="0" t="n">
        <f aca="false">IF(C5730&gt;1,IF(C5730&lt;99,VLOOKUP(C5730,'MSA-Lookup'!$H$1:$I$86,2),C5730),C5730)</f>
        <v>6920</v>
      </c>
      <c r="G5730" s="0" t="n">
        <f aca="false">VLOOKUP(E5730,'MSA-Lookup'!$AA$1:$AB$25,2)</f>
        <v>680</v>
      </c>
      <c r="H5730" s="0" t="n">
        <f aca="false">IF(C5730&gt;1,IF(C5730&lt;99,VLOOKUP(F5730,'MSA-Lookup'!$AA$1:$AB$25,2),C5730),C5730)</f>
        <v>6920</v>
      </c>
    </row>
    <row r="5731" customFormat="false" ht="12.75" hidden="false" customHeight="false" outlineLevel="0" collapsed="false">
      <c r="A5731" s="0" t="n">
        <f aca="false">B5731*1000+C5731</f>
        <v>78012</v>
      </c>
      <c r="B5731" s="0" t="n">
        <v>78</v>
      </c>
      <c r="C5731" s="0" t="n">
        <v>12</v>
      </c>
      <c r="D5731" s="0" t="n">
        <v>0</v>
      </c>
      <c r="E5731" s="0" t="n">
        <f aca="false">VLOOKUP(B5731,'MSA-Lookup'!$H$2:$I$86,2)</f>
        <v>680</v>
      </c>
      <c r="F5731" s="0" t="n">
        <f aca="false">IF(C5731&gt;1,IF(C5731&lt;99,VLOOKUP(C5731,'MSA-Lookup'!$H$1:$I$86,2),C5731),C5731)</f>
        <v>6920</v>
      </c>
      <c r="G5731" s="0" t="n">
        <f aca="false">VLOOKUP(E5731,'MSA-Lookup'!$AA$1:$AB$25,2)</f>
        <v>680</v>
      </c>
      <c r="H5731" s="0" t="n">
        <f aca="false">IF(C5731&gt;1,IF(C5731&lt;99,VLOOKUP(F5731,'MSA-Lookup'!$AA$1:$AB$25,2),C5731),C5731)</f>
        <v>6920</v>
      </c>
    </row>
    <row r="5732" customFormat="false" ht="12.75" hidden="false" customHeight="false" outlineLevel="0" collapsed="false">
      <c r="A5732" s="0" t="n">
        <f aca="false">B5732*1000+C5732</f>
        <v>78013</v>
      </c>
      <c r="B5732" s="0" t="n">
        <v>78</v>
      </c>
      <c r="C5732" s="0" t="n">
        <v>13</v>
      </c>
      <c r="D5732" s="0" t="n">
        <v>0</v>
      </c>
      <c r="E5732" s="0" t="n">
        <f aca="false">VLOOKUP(B5732,'MSA-Lookup'!$H$2:$I$86,2)</f>
        <v>680</v>
      </c>
      <c r="F5732" s="0" t="n">
        <f aca="false">IF(C5732&gt;1,IF(C5732&lt;99,VLOOKUP(C5732,'MSA-Lookup'!$H$1:$I$86,2),C5732),C5732)</f>
        <v>7500</v>
      </c>
      <c r="G5732" s="0" t="n">
        <f aca="false">VLOOKUP(E5732,'MSA-Lookup'!$AA$1:$AB$25,2)</f>
        <v>680</v>
      </c>
      <c r="H5732" s="0" t="n">
        <f aca="false">IF(C5732&gt;1,IF(C5732&lt;99,VLOOKUP(F5732,'MSA-Lookup'!$AA$1:$AB$25,2),C5732),C5732)</f>
        <v>7362</v>
      </c>
    </row>
    <row r="5733" customFormat="false" ht="12.75" hidden="false" customHeight="false" outlineLevel="0" collapsed="false">
      <c r="A5733" s="0" t="n">
        <f aca="false">B5733*1000+C5733</f>
        <v>78014</v>
      </c>
      <c r="B5733" s="0" t="n">
        <v>78</v>
      </c>
      <c r="C5733" s="0" t="n">
        <v>14</v>
      </c>
      <c r="D5733" s="0" t="n">
        <v>0</v>
      </c>
      <c r="E5733" s="0" t="n">
        <f aca="false">VLOOKUP(B5733,'MSA-Lookup'!$H$2:$I$86,2)</f>
        <v>680</v>
      </c>
      <c r="F5733" s="0" t="n">
        <f aca="false">IF(C5733&gt;1,IF(C5733&lt;99,VLOOKUP(C5733,'MSA-Lookup'!$H$1:$I$86,2),C5733),C5733)</f>
        <v>7500</v>
      </c>
      <c r="G5733" s="0" t="n">
        <f aca="false">VLOOKUP(E5733,'MSA-Lookup'!$AA$1:$AB$25,2)</f>
        <v>680</v>
      </c>
      <c r="H5733" s="0" t="n">
        <f aca="false">IF(C5733&gt;1,IF(C5733&lt;99,VLOOKUP(F5733,'MSA-Lookup'!$AA$1:$AB$25,2),C5733),C5733)</f>
        <v>7362</v>
      </c>
    </row>
    <row r="5734" customFormat="false" ht="12.75" hidden="false" customHeight="false" outlineLevel="0" collapsed="false">
      <c r="A5734" s="0" t="n">
        <f aca="false">B5734*1000+C5734</f>
        <v>78015</v>
      </c>
      <c r="B5734" s="0" t="n">
        <v>78</v>
      </c>
      <c r="C5734" s="0" t="n">
        <v>15</v>
      </c>
      <c r="D5734" s="0" t="n">
        <v>91</v>
      </c>
      <c r="E5734" s="0" t="n">
        <f aca="false">VLOOKUP(B5734,'MSA-Lookup'!$H$2:$I$86,2)</f>
        <v>680</v>
      </c>
      <c r="F5734" s="0" t="n">
        <f aca="false">IF(C5734&gt;1,IF(C5734&lt;99,VLOOKUP(C5734,'MSA-Lookup'!$H$1:$I$86,2),C5734),C5734)</f>
        <v>7360</v>
      </c>
      <c r="G5734" s="0" t="n">
        <f aca="false">VLOOKUP(E5734,'MSA-Lookup'!$AA$1:$AB$25,2)</f>
        <v>680</v>
      </c>
      <c r="H5734" s="0" t="n">
        <f aca="false">IF(C5734&gt;1,IF(C5734&lt;99,VLOOKUP(F5734,'MSA-Lookup'!$AA$1:$AB$25,2),C5734),C5734)</f>
        <v>7362</v>
      </c>
    </row>
    <row r="5735" customFormat="false" ht="12.75" hidden="false" customHeight="false" outlineLevel="0" collapsed="false">
      <c r="A5735" s="0" t="n">
        <f aca="false">B5735*1000+C5735</f>
        <v>78016</v>
      </c>
      <c r="B5735" s="0" t="n">
        <v>78</v>
      </c>
      <c r="C5735" s="0" t="n">
        <v>16</v>
      </c>
      <c r="D5735" s="0" t="n">
        <v>0</v>
      </c>
      <c r="E5735" s="0" t="n">
        <f aca="false">VLOOKUP(B5735,'MSA-Lookup'!$H$2:$I$86,2)</f>
        <v>680</v>
      </c>
      <c r="F5735" s="0" t="n">
        <f aca="false">IF(C5735&gt;1,IF(C5735&lt;99,VLOOKUP(C5735,'MSA-Lookup'!$H$1:$I$86,2),C5735),C5735)</f>
        <v>8720</v>
      </c>
      <c r="G5735" s="0" t="n">
        <f aca="false">VLOOKUP(E5735,'MSA-Lookup'!$AA$1:$AB$25,2)</f>
        <v>680</v>
      </c>
      <c r="H5735" s="0" t="n">
        <f aca="false">IF(C5735&gt;1,IF(C5735&lt;99,VLOOKUP(F5735,'MSA-Lookup'!$AA$1:$AB$25,2),C5735),C5735)</f>
        <v>7362</v>
      </c>
    </row>
    <row r="5736" customFormat="false" ht="12.75" hidden="false" customHeight="false" outlineLevel="0" collapsed="false">
      <c r="A5736" s="0" t="n">
        <f aca="false">B5736*1000+C5736</f>
        <v>78017</v>
      </c>
      <c r="B5736" s="0" t="n">
        <v>78</v>
      </c>
      <c r="C5736" s="0" t="n">
        <v>17</v>
      </c>
      <c r="D5736" s="0" t="n">
        <v>0</v>
      </c>
      <c r="E5736" s="0" t="n">
        <f aca="false">VLOOKUP(B5736,'MSA-Lookup'!$H$2:$I$86,2)</f>
        <v>680</v>
      </c>
      <c r="F5736" s="0" t="n">
        <f aca="false">IF(C5736&gt;1,IF(C5736&lt;99,VLOOKUP(C5736,'MSA-Lookup'!$H$1:$I$86,2),C5736),C5736)</f>
        <v>5775</v>
      </c>
      <c r="G5736" s="0" t="n">
        <f aca="false">VLOOKUP(E5736,'MSA-Lookup'!$AA$1:$AB$25,2)</f>
        <v>680</v>
      </c>
      <c r="H5736" s="0" t="n">
        <f aca="false">IF(C5736&gt;1,IF(C5736&lt;99,VLOOKUP(F5736,'MSA-Lookup'!$AA$1:$AB$25,2),C5736),C5736)</f>
        <v>7362</v>
      </c>
    </row>
    <row r="5737" customFormat="false" ht="12.75" hidden="false" customHeight="false" outlineLevel="0" collapsed="false">
      <c r="A5737" s="0" t="n">
        <f aca="false">B5737*1000+C5737</f>
        <v>78018</v>
      </c>
      <c r="B5737" s="0" t="n">
        <v>78</v>
      </c>
      <c r="C5737" s="0" t="n">
        <v>18</v>
      </c>
      <c r="D5737" s="0" t="n">
        <v>0</v>
      </c>
      <c r="E5737" s="0" t="n">
        <f aca="false">VLOOKUP(B5737,'MSA-Lookup'!$H$2:$I$86,2)</f>
        <v>680</v>
      </c>
      <c r="F5737" s="0" t="n">
        <f aca="false">IF(C5737&gt;1,IF(C5737&lt;99,VLOOKUP(C5737,'MSA-Lookup'!$H$1:$I$86,2),C5737),C5737)</f>
        <v>5775</v>
      </c>
      <c r="G5737" s="0" t="n">
        <f aca="false">VLOOKUP(E5737,'MSA-Lookup'!$AA$1:$AB$25,2)</f>
        <v>680</v>
      </c>
      <c r="H5737" s="0" t="n">
        <f aca="false">IF(C5737&gt;1,IF(C5737&lt;99,VLOOKUP(F5737,'MSA-Lookup'!$AA$1:$AB$25,2),C5737),C5737)</f>
        <v>7362</v>
      </c>
    </row>
    <row r="5738" customFormat="false" ht="12.75" hidden="false" customHeight="false" outlineLevel="0" collapsed="false">
      <c r="A5738" s="0" t="n">
        <f aca="false">B5738*1000+C5738</f>
        <v>78019</v>
      </c>
      <c r="B5738" s="0" t="n">
        <v>78</v>
      </c>
      <c r="C5738" s="0" t="n">
        <v>19</v>
      </c>
      <c r="D5738" s="0" t="n">
        <v>0</v>
      </c>
      <c r="E5738" s="0" t="n">
        <f aca="false">VLOOKUP(B5738,'MSA-Lookup'!$H$2:$I$86,2)</f>
        <v>680</v>
      </c>
      <c r="F5738" s="0" t="n">
        <f aca="false">IF(C5738&gt;1,IF(C5738&lt;99,VLOOKUP(C5738,'MSA-Lookup'!$H$1:$I$86,2),C5738),C5738)</f>
        <v>7360</v>
      </c>
      <c r="G5738" s="0" t="n">
        <f aca="false">VLOOKUP(E5738,'MSA-Lookup'!$AA$1:$AB$25,2)</f>
        <v>680</v>
      </c>
      <c r="H5738" s="0" t="n">
        <f aca="false">IF(C5738&gt;1,IF(C5738&lt;99,VLOOKUP(F5738,'MSA-Lookup'!$AA$1:$AB$25,2),C5738),C5738)</f>
        <v>7362</v>
      </c>
    </row>
    <row r="5739" customFormat="false" ht="12.75" hidden="false" customHeight="false" outlineLevel="0" collapsed="false">
      <c r="A5739" s="0" t="n">
        <f aca="false">B5739*1000+C5739</f>
        <v>78020</v>
      </c>
      <c r="B5739" s="0" t="n">
        <v>78</v>
      </c>
      <c r="C5739" s="0" t="n">
        <v>20</v>
      </c>
      <c r="D5739" s="0" t="n">
        <v>104</v>
      </c>
      <c r="E5739" s="0" t="n">
        <f aca="false">VLOOKUP(B5739,'MSA-Lookup'!$H$2:$I$86,2)</f>
        <v>680</v>
      </c>
      <c r="F5739" s="0" t="n">
        <f aca="false">IF(C5739&gt;1,IF(C5739&lt;99,VLOOKUP(C5739,'MSA-Lookup'!$H$1:$I$86,2),C5739),C5739)</f>
        <v>5775</v>
      </c>
      <c r="G5739" s="0" t="n">
        <f aca="false">VLOOKUP(E5739,'MSA-Lookup'!$AA$1:$AB$25,2)</f>
        <v>680</v>
      </c>
      <c r="H5739" s="0" t="n">
        <f aca="false">IF(C5739&gt;1,IF(C5739&lt;99,VLOOKUP(F5739,'MSA-Lookup'!$AA$1:$AB$25,2),C5739),C5739)</f>
        <v>7362</v>
      </c>
    </row>
    <row r="5740" customFormat="false" ht="12.75" hidden="false" customHeight="false" outlineLevel="0" collapsed="false">
      <c r="A5740" s="0" t="n">
        <f aca="false">B5740*1000+C5740</f>
        <v>78021</v>
      </c>
      <c r="B5740" s="0" t="n">
        <v>78</v>
      </c>
      <c r="C5740" s="0" t="n">
        <v>21</v>
      </c>
      <c r="D5740" s="0" t="n">
        <v>0</v>
      </c>
      <c r="E5740" s="0" t="n">
        <f aca="false">VLOOKUP(B5740,'MSA-Lookup'!$H$2:$I$86,2)</f>
        <v>680</v>
      </c>
      <c r="F5740" s="0" t="n">
        <f aca="false">IF(C5740&gt;1,IF(C5740&lt;99,VLOOKUP(C5740,'MSA-Lookup'!$H$1:$I$86,2),C5740),C5740)</f>
        <v>5775</v>
      </c>
      <c r="G5740" s="0" t="n">
        <f aca="false">VLOOKUP(E5740,'MSA-Lookup'!$AA$1:$AB$25,2)</f>
        <v>680</v>
      </c>
      <c r="H5740" s="0" t="n">
        <f aca="false">IF(C5740&gt;1,IF(C5740&lt;99,VLOOKUP(F5740,'MSA-Lookup'!$AA$1:$AB$25,2),C5740),C5740)</f>
        <v>7362</v>
      </c>
    </row>
    <row r="5741" customFormat="false" ht="12.75" hidden="false" customHeight="false" outlineLevel="0" collapsed="false">
      <c r="A5741" s="0" t="n">
        <f aca="false">B5741*1000+C5741</f>
        <v>78022</v>
      </c>
      <c r="B5741" s="0" t="n">
        <v>78</v>
      </c>
      <c r="C5741" s="0" t="n">
        <v>22</v>
      </c>
      <c r="D5741" s="0" t="n">
        <v>0</v>
      </c>
      <c r="E5741" s="0" t="n">
        <f aca="false">VLOOKUP(B5741,'MSA-Lookup'!$H$2:$I$86,2)</f>
        <v>680</v>
      </c>
      <c r="F5741" s="0" t="n">
        <f aca="false">IF(C5741&gt;1,IF(C5741&lt;99,VLOOKUP(C5741,'MSA-Lookup'!$H$1:$I$86,2),C5741),C5741)</f>
        <v>7360</v>
      </c>
      <c r="G5741" s="0" t="n">
        <f aca="false">VLOOKUP(E5741,'MSA-Lookup'!$AA$1:$AB$25,2)</f>
        <v>680</v>
      </c>
      <c r="H5741" s="0" t="n">
        <f aca="false">IF(C5741&gt;1,IF(C5741&lt;99,VLOOKUP(F5741,'MSA-Lookup'!$AA$1:$AB$25,2),C5741),C5741)</f>
        <v>7362</v>
      </c>
    </row>
    <row r="5742" customFormat="false" ht="12.75" hidden="false" customHeight="false" outlineLevel="0" collapsed="false">
      <c r="A5742" s="0" t="n">
        <f aca="false">B5742*1000+C5742</f>
        <v>78023</v>
      </c>
      <c r="B5742" s="0" t="n">
        <v>78</v>
      </c>
      <c r="C5742" s="0" t="n">
        <v>23</v>
      </c>
      <c r="D5742" s="0" t="n">
        <v>91</v>
      </c>
      <c r="E5742" s="0" t="n">
        <f aca="false">VLOOKUP(B5742,'MSA-Lookup'!$H$2:$I$86,2)</f>
        <v>680</v>
      </c>
      <c r="F5742" s="0" t="n">
        <f aca="false">IF(C5742&gt;1,IF(C5742&lt;99,VLOOKUP(C5742,'MSA-Lookup'!$H$1:$I$86,2),C5742),C5742)</f>
        <v>8120</v>
      </c>
      <c r="G5742" s="0" t="n">
        <f aca="false">VLOOKUP(E5742,'MSA-Lookup'!$AA$1:$AB$25,2)</f>
        <v>680</v>
      </c>
      <c r="H5742" s="0" t="n">
        <f aca="false">IF(C5742&gt;1,IF(C5742&lt;99,VLOOKUP(F5742,'MSA-Lookup'!$AA$1:$AB$25,2),C5742),C5742)</f>
        <v>8120</v>
      </c>
    </row>
    <row r="5743" customFormat="false" ht="12.75" hidden="false" customHeight="false" outlineLevel="0" collapsed="false">
      <c r="A5743" s="0" t="n">
        <f aca="false">B5743*1000+C5743</f>
        <v>78024</v>
      </c>
      <c r="B5743" s="0" t="n">
        <v>78</v>
      </c>
      <c r="C5743" s="0" t="n">
        <v>24</v>
      </c>
      <c r="D5743" s="0" t="n">
        <v>0</v>
      </c>
      <c r="E5743" s="0" t="n">
        <f aca="false">VLOOKUP(B5743,'MSA-Lookup'!$H$2:$I$86,2)</f>
        <v>680</v>
      </c>
      <c r="F5743" s="0" t="n">
        <f aca="false">IF(C5743&gt;1,IF(C5743&lt;99,VLOOKUP(C5743,'MSA-Lookup'!$H$1:$I$86,2),C5743),C5743)</f>
        <v>5170</v>
      </c>
      <c r="G5743" s="0" t="n">
        <f aca="false">VLOOKUP(E5743,'MSA-Lookup'!$AA$1:$AB$25,2)</f>
        <v>680</v>
      </c>
      <c r="H5743" s="0" t="n">
        <f aca="false">IF(C5743&gt;1,IF(C5743&lt;99,VLOOKUP(F5743,'MSA-Lookup'!$AA$1:$AB$25,2),C5743),C5743)</f>
        <v>5170</v>
      </c>
    </row>
    <row r="5744" customFormat="false" ht="12.75" hidden="false" customHeight="false" outlineLevel="0" collapsed="false">
      <c r="A5744" s="0" t="n">
        <f aca="false">B5744*1000+C5744</f>
        <v>78025</v>
      </c>
      <c r="B5744" s="0" t="n">
        <v>78</v>
      </c>
      <c r="C5744" s="0" t="n">
        <v>25</v>
      </c>
      <c r="D5744" s="0" t="n">
        <v>0</v>
      </c>
      <c r="E5744" s="0" t="n">
        <f aca="false">VLOOKUP(B5744,'MSA-Lookup'!$H$2:$I$86,2)</f>
        <v>680</v>
      </c>
      <c r="F5744" s="0" t="n">
        <f aca="false">IF(C5744&gt;1,IF(C5744&lt;99,VLOOKUP(C5744,'MSA-Lookup'!$H$1:$I$86,2),C5744),C5744)</f>
        <v>5170</v>
      </c>
      <c r="G5744" s="0" t="n">
        <f aca="false">VLOOKUP(E5744,'MSA-Lookup'!$AA$1:$AB$25,2)</f>
        <v>680</v>
      </c>
      <c r="H5744" s="0" t="n">
        <f aca="false">IF(C5744&gt;1,IF(C5744&lt;99,VLOOKUP(F5744,'MSA-Lookup'!$AA$1:$AB$25,2),C5744),C5744)</f>
        <v>5170</v>
      </c>
    </row>
    <row r="5745" customFormat="false" ht="12.75" hidden="false" customHeight="false" outlineLevel="0" collapsed="false">
      <c r="A5745" s="0" t="n">
        <f aca="false">B5745*1000+C5745</f>
        <v>78026</v>
      </c>
      <c r="B5745" s="0" t="n">
        <v>78</v>
      </c>
      <c r="C5745" s="0" t="n">
        <v>26</v>
      </c>
      <c r="D5745" s="0" t="n">
        <v>0</v>
      </c>
      <c r="E5745" s="0" t="n">
        <f aca="false">VLOOKUP(B5745,'MSA-Lookup'!$H$2:$I$86,2)</f>
        <v>680</v>
      </c>
      <c r="F5745" s="0" t="n">
        <f aca="false">IF(C5745&gt;1,IF(C5745&lt;99,VLOOKUP(C5745,'MSA-Lookup'!$H$1:$I$86,2),C5745),C5745)</f>
        <v>9999</v>
      </c>
      <c r="G5745" s="0" t="n">
        <f aca="false">VLOOKUP(E5745,'MSA-Lookup'!$AA$1:$AB$25,2)</f>
        <v>680</v>
      </c>
      <c r="H5745" s="0" t="n">
        <f aca="false">IF(C5745&gt;1,IF(C5745&lt;99,VLOOKUP(F5745,'MSA-Lookup'!$AA$1:$AB$25,2),C5745),C5745)</f>
        <v>9999</v>
      </c>
    </row>
    <row r="5746" customFormat="false" ht="12.75" hidden="false" customHeight="false" outlineLevel="0" collapsed="false">
      <c r="A5746" s="0" t="n">
        <f aca="false">B5746*1000+C5746</f>
        <v>78027</v>
      </c>
      <c r="B5746" s="0" t="n">
        <v>78</v>
      </c>
      <c r="C5746" s="0" t="n">
        <v>27</v>
      </c>
      <c r="D5746" s="0" t="n">
        <v>0</v>
      </c>
      <c r="E5746" s="0" t="n">
        <f aca="false">VLOOKUP(B5746,'MSA-Lookup'!$H$2:$I$86,2)</f>
        <v>680</v>
      </c>
      <c r="F5746" s="0" t="n">
        <f aca="false">IF(C5746&gt;1,IF(C5746&lt;99,VLOOKUP(C5746,'MSA-Lookup'!$H$1:$I$86,2),C5746),C5746)</f>
        <v>9999</v>
      </c>
      <c r="G5746" s="0" t="n">
        <f aca="false">VLOOKUP(E5746,'MSA-Lookup'!$AA$1:$AB$25,2)</f>
        <v>680</v>
      </c>
      <c r="H5746" s="0" t="n">
        <f aca="false">IF(C5746&gt;1,IF(C5746&lt;99,VLOOKUP(F5746,'MSA-Lookup'!$AA$1:$AB$25,2),C5746),C5746)</f>
        <v>9999</v>
      </c>
    </row>
    <row r="5747" customFormat="false" ht="12.75" hidden="false" customHeight="false" outlineLevel="0" collapsed="false">
      <c r="A5747" s="0" t="n">
        <f aca="false">B5747*1000+C5747</f>
        <v>78028</v>
      </c>
      <c r="B5747" s="0" t="n">
        <v>78</v>
      </c>
      <c r="C5747" s="0" t="n">
        <v>28</v>
      </c>
      <c r="D5747" s="0" t="n">
        <v>0</v>
      </c>
      <c r="E5747" s="0" t="n">
        <f aca="false">VLOOKUP(B5747,'MSA-Lookup'!$H$2:$I$86,2)</f>
        <v>680</v>
      </c>
      <c r="F5747" s="0" t="n">
        <f aca="false">IF(C5747&gt;1,IF(C5747&lt;99,VLOOKUP(C5747,'MSA-Lookup'!$H$1:$I$86,2),C5747),C5747)</f>
        <v>6920</v>
      </c>
      <c r="G5747" s="0" t="n">
        <f aca="false">VLOOKUP(E5747,'MSA-Lookup'!$AA$1:$AB$25,2)</f>
        <v>680</v>
      </c>
      <c r="H5747" s="0" t="n">
        <f aca="false">IF(C5747&gt;1,IF(C5747&lt;99,VLOOKUP(F5747,'MSA-Lookup'!$AA$1:$AB$25,2),C5747),C5747)</f>
        <v>6920</v>
      </c>
    </row>
    <row r="5748" customFormat="false" ht="12.75" hidden="false" customHeight="false" outlineLevel="0" collapsed="false">
      <c r="A5748" s="0" t="n">
        <f aca="false">B5748*1000+C5748</f>
        <v>78029</v>
      </c>
      <c r="B5748" s="0" t="n">
        <v>78</v>
      </c>
      <c r="C5748" s="0" t="n">
        <v>29</v>
      </c>
      <c r="D5748" s="0" t="n">
        <v>0</v>
      </c>
      <c r="E5748" s="0" t="n">
        <f aca="false">VLOOKUP(B5748,'MSA-Lookup'!$H$2:$I$86,2)</f>
        <v>680</v>
      </c>
      <c r="F5748" s="0" t="n">
        <f aca="false">IF(C5748&gt;1,IF(C5748&lt;99,VLOOKUP(C5748,'MSA-Lookup'!$H$1:$I$86,2),C5748),C5748)</f>
        <v>6920</v>
      </c>
      <c r="G5748" s="0" t="n">
        <f aca="false">VLOOKUP(E5748,'MSA-Lookup'!$AA$1:$AB$25,2)</f>
        <v>680</v>
      </c>
      <c r="H5748" s="0" t="n">
        <f aca="false">IF(C5748&gt;1,IF(C5748&lt;99,VLOOKUP(F5748,'MSA-Lookup'!$AA$1:$AB$25,2),C5748),C5748)</f>
        <v>6920</v>
      </c>
    </row>
    <row r="5749" customFormat="false" ht="12.75" hidden="false" customHeight="false" outlineLevel="0" collapsed="false">
      <c r="A5749" s="0" t="n">
        <f aca="false">B5749*1000+C5749</f>
        <v>78030</v>
      </c>
      <c r="B5749" s="0" t="n">
        <v>78</v>
      </c>
      <c r="C5749" s="0" t="n">
        <v>30</v>
      </c>
      <c r="D5749" s="0" t="n">
        <v>0</v>
      </c>
      <c r="E5749" s="0" t="n">
        <f aca="false">VLOOKUP(B5749,'MSA-Lookup'!$H$2:$I$86,2)</f>
        <v>680</v>
      </c>
      <c r="F5749" s="0" t="n">
        <f aca="false">IF(C5749&gt;1,IF(C5749&lt;99,VLOOKUP(C5749,'MSA-Lookup'!$H$1:$I$86,2),C5749),C5749)</f>
        <v>4940</v>
      </c>
      <c r="G5749" s="0" t="n">
        <f aca="false">VLOOKUP(E5749,'MSA-Lookup'!$AA$1:$AB$25,2)</f>
        <v>680</v>
      </c>
      <c r="H5749" s="0" t="n">
        <f aca="false">IF(C5749&gt;1,IF(C5749&lt;99,VLOOKUP(F5749,'MSA-Lookup'!$AA$1:$AB$25,2),C5749),C5749)</f>
        <v>4940</v>
      </c>
    </row>
    <row r="5750" customFormat="false" ht="12.75" hidden="false" customHeight="false" outlineLevel="0" collapsed="false">
      <c r="A5750" s="0" t="n">
        <f aca="false">B5750*1000+C5750</f>
        <v>78031</v>
      </c>
      <c r="B5750" s="0" t="n">
        <v>78</v>
      </c>
      <c r="C5750" s="0" t="n">
        <v>31</v>
      </c>
      <c r="D5750" s="0" t="n">
        <v>104</v>
      </c>
      <c r="E5750" s="0" t="n">
        <f aca="false">VLOOKUP(B5750,'MSA-Lookup'!$H$2:$I$86,2)</f>
        <v>680</v>
      </c>
      <c r="F5750" s="0" t="n">
        <f aca="false">IF(C5750&gt;1,IF(C5750&lt;99,VLOOKUP(C5750,'MSA-Lookup'!$H$1:$I$86,2),C5750),C5750)</f>
        <v>9999</v>
      </c>
      <c r="G5750" s="0" t="n">
        <f aca="false">VLOOKUP(E5750,'MSA-Lookup'!$AA$1:$AB$25,2)</f>
        <v>680</v>
      </c>
      <c r="H5750" s="0" t="n">
        <f aca="false">IF(C5750&gt;1,IF(C5750&lt;99,VLOOKUP(F5750,'MSA-Lookup'!$AA$1:$AB$25,2),C5750),C5750)</f>
        <v>9999</v>
      </c>
    </row>
    <row r="5751" customFormat="false" ht="12.75" hidden="false" customHeight="false" outlineLevel="0" collapsed="false">
      <c r="A5751" s="0" t="n">
        <f aca="false">B5751*1000+C5751</f>
        <v>78032</v>
      </c>
      <c r="B5751" s="0" t="n">
        <v>78</v>
      </c>
      <c r="C5751" s="0" t="n">
        <v>32</v>
      </c>
      <c r="D5751" s="0" t="n">
        <v>143</v>
      </c>
      <c r="E5751" s="0" t="n">
        <f aca="false">VLOOKUP(B5751,'MSA-Lookup'!$H$2:$I$86,2)</f>
        <v>680</v>
      </c>
      <c r="F5751" s="0" t="n">
        <f aca="false">IF(C5751&gt;1,IF(C5751&lt;99,VLOOKUP(C5751,'MSA-Lookup'!$H$1:$I$86,2),C5751),C5751)</f>
        <v>7480</v>
      </c>
      <c r="G5751" s="0" t="n">
        <f aca="false">VLOOKUP(E5751,'MSA-Lookup'!$AA$1:$AB$25,2)</f>
        <v>680</v>
      </c>
      <c r="H5751" s="0" t="n">
        <f aca="false">IF(C5751&gt;1,IF(C5751&lt;99,VLOOKUP(F5751,'MSA-Lookup'!$AA$1:$AB$25,2),C5751),C5751)</f>
        <v>7480</v>
      </c>
    </row>
    <row r="5752" customFormat="false" ht="12.75" hidden="false" customHeight="false" outlineLevel="0" collapsed="false">
      <c r="A5752" s="0" t="n">
        <f aca="false">B5752*1000+C5752</f>
        <v>78033</v>
      </c>
      <c r="B5752" s="0" t="n">
        <v>78</v>
      </c>
      <c r="C5752" s="0" t="n">
        <v>33</v>
      </c>
      <c r="D5752" s="0" t="n">
        <v>0</v>
      </c>
      <c r="E5752" s="0" t="n">
        <f aca="false">VLOOKUP(B5752,'MSA-Lookup'!$H$2:$I$86,2)</f>
        <v>680</v>
      </c>
      <c r="F5752" s="0" t="n">
        <f aca="false">IF(C5752&gt;1,IF(C5752&lt;99,VLOOKUP(C5752,'MSA-Lookup'!$H$1:$I$86,2),C5752),C5752)</f>
        <v>7320</v>
      </c>
      <c r="G5752" s="0" t="n">
        <f aca="false">VLOOKUP(E5752,'MSA-Lookup'!$AA$1:$AB$25,2)</f>
        <v>680</v>
      </c>
      <c r="H5752" s="0" t="n">
        <f aca="false">IF(C5752&gt;1,IF(C5752&lt;99,VLOOKUP(F5752,'MSA-Lookup'!$AA$1:$AB$25,2),C5752),C5752)</f>
        <v>7320</v>
      </c>
    </row>
    <row r="5753" customFormat="false" ht="12.75" hidden="false" customHeight="false" outlineLevel="0" collapsed="false">
      <c r="A5753" s="0" t="n">
        <f aca="false">B5753*1000+C5753</f>
        <v>78034</v>
      </c>
      <c r="B5753" s="0" t="n">
        <v>78</v>
      </c>
      <c r="C5753" s="0" t="n">
        <v>34</v>
      </c>
      <c r="D5753" s="0" t="n">
        <v>0</v>
      </c>
      <c r="E5753" s="0" t="n">
        <f aca="false">VLOOKUP(B5753,'MSA-Lookup'!$H$2:$I$86,2)</f>
        <v>680</v>
      </c>
      <c r="F5753" s="0" t="n">
        <f aca="false">IF(C5753&gt;1,IF(C5753&lt;99,VLOOKUP(C5753,'MSA-Lookup'!$H$1:$I$86,2),C5753),C5753)</f>
        <v>7320</v>
      </c>
      <c r="G5753" s="0" t="n">
        <f aca="false">VLOOKUP(E5753,'MSA-Lookup'!$AA$1:$AB$25,2)</f>
        <v>680</v>
      </c>
      <c r="H5753" s="0" t="n">
        <f aca="false">IF(C5753&gt;1,IF(C5753&lt;99,VLOOKUP(F5753,'MSA-Lookup'!$AA$1:$AB$25,2),C5753),C5753)</f>
        <v>7320</v>
      </c>
    </row>
    <row r="5754" customFormat="false" ht="12.75" hidden="false" customHeight="false" outlineLevel="0" collapsed="false">
      <c r="A5754" s="0" t="n">
        <f aca="false">B5754*1000+C5754</f>
        <v>78035</v>
      </c>
      <c r="B5754" s="0" t="n">
        <v>78</v>
      </c>
      <c r="C5754" s="0" t="n">
        <v>35</v>
      </c>
      <c r="D5754" s="0" t="n">
        <v>0</v>
      </c>
      <c r="E5754" s="0" t="n">
        <f aca="false">VLOOKUP(B5754,'MSA-Lookup'!$H$2:$I$86,2)</f>
        <v>680</v>
      </c>
      <c r="F5754" s="0" t="n">
        <f aca="false">IF(C5754&gt;1,IF(C5754&lt;99,VLOOKUP(C5754,'MSA-Lookup'!$H$1:$I$86,2),C5754),C5754)</f>
        <v>7320</v>
      </c>
      <c r="G5754" s="0" t="n">
        <f aca="false">VLOOKUP(E5754,'MSA-Lookup'!$AA$1:$AB$25,2)</f>
        <v>680</v>
      </c>
      <c r="H5754" s="0" t="n">
        <f aca="false">IF(C5754&gt;1,IF(C5754&lt;99,VLOOKUP(F5754,'MSA-Lookup'!$AA$1:$AB$25,2),C5754),C5754)</f>
        <v>7320</v>
      </c>
    </row>
    <row r="5755" customFormat="false" ht="12.75" hidden="false" customHeight="false" outlineLevel="0" collapsed="false">
      <c r="A5755" s="0" t="n">
        <f aca="false">B5755*1000+C5755</f>
        <v>78036</v>
      </c>
      <c r="B5755" s="0" t="n">
        <v>78</v>
      </c>
      <c r="C5755" s="0" t="n">
        <v>36</v>
      </c>
      <c r="D5755" s="0" t="n">
        <v>0</v>
      </c>
      <c r="E5755" s="0" t="n">
        <f aca="false">VLOOKUP(B5755,'MSA-Lookup'!$H$2:$I$86,2)</f>
        <v>680</v>
      </c>
      <c r="F5755" s="0" t="n">
        <f aca="false">IF(C5755&gt;1,IF(C5755&lt;99,VLOOKUP(C5755,'MSA-Lookup'!$H$1:$I$86,2),C5755),C5755)</f>
        <v>7320</v>
      </c>
      <c r="G5755" s="0" t="n">
        <f aca="false">VLOOKUP(E5755,'MSA-Lookup'!$AA$1:$AB$25,2)</f>
        <v>680</v>
      </c>
      <c r="H5755" s="0" t="n">
        <f aca="false">IF(C5755&gt;1,IF(C5755&lt;99,VLOOKUP(F5755,'MSA-Lookup'!$AA$1:$AB$25,2),C5755),C5755)</f>
        <v>7320</v>
      </c>
    </row>
    <row r="5756" customFormat="false" ht="12.75" hidden="false" customHeight="false" outlineLevel="0" collapsed="false">
      <c r="A5756" s="0" t="n">
        <f aca="false">B5756*1000+C5756</f>
        <v>78037</v>
      </c>
      <c r="B5756" s="0" t="n">
        <v>78</v>
      </c>
      <c r="C5756" s="0" t="n">
        <v>37</v>
      </c>
      <c r="D5756" s="0" t="n">
        <v>0</v>
      </c>
      <c r="E5756" s="0" t="n">
        <f aca="false">VLOOKUP(B5756,'MSA-Lookup'!$H$2:$I$86,2)</f>
        <v>680</v>
      </c>
      <c r="F5756" s="0" t="n">
        <f aca="false">IF(C5756&gt;1,IF(C5756&lt;99,VLOOKUP(C5756,'MSA-Lookup'!$H$1:$I$86,2),C5756),C5756)</f>
        <v>7320</v>
      </c>
      <c r="G5756" s="0" t="n">
        <f aca="false">VLOOKUP(E5756,'MSA-Lookup'!$AA$1:$AB$25,2)</f>
        <v>680</v>
      </c>
      <c r="H5756" s="0" t="n">
        <f aca="false">IF(C5756&gt;1,IF(C5756&lt;99,VLOOKUP(F5756,'MSA-Lookup'!$AA$1:$AB$25,2),C5756),C5756)</f>
        <v>7320</v>
      </c>
    </row>
    <row r="5757" customFormat="false" ht="12.75" hidden="false" customHeight="false" outlineLevel="0" collapsed="false">
      <c r="A5757" s="0" t="n">
        <f aca="false">B5757*1000+C5757</f>
        <v>78038</v>
      </c>
      <c r="B5757" s="0" t="n">
        <v>78</v>
      </c>
      <c r="C5757" s="0" t="n">
        <v>38</v>
      </c>
      <c r="D5757" s="0" t="n">
        <v>0</v>
      </c>
      <c r="E5757" s="0" t="n">
        <f aca="false">VLOOKUP(B5757,'MSA-Lookup'!$H$2:$I$86,2)</f>
        <v>680</v>
      </c>
      <c r="F5757" s="0" t="n">
        <f aca="false">IF(C5757&gt;1,IF(C5757&lt;99,VLOOKUP(C5757,'MSA-Lookup'!$H$1:$I$86,2),C5757),C5757)</f>
        <v>7120</v>
      </c>
      <c r="G5757" s="0" t="n">
        <f aca="false">VLOOKUP(E5757,'MSA-Lookup'!$AA$1:$AB$25,2)</f>
        <v>680</v>
      </c>
      <c r="H5757" s="0" t="n">
        <f aca="false">IF(C5757&gt;1,IF(C5757&lt;99,VLOOKUP(F5757,'MSA-Lookup'!$AA$1:$AB$25,2),C5757),C5757)</f>
        <v>7120</v>
      </c>
    </row>
    <row r="5758" customFormat="false" ht="12.75" hidden="false" customHeight="false" outlineLevel="0" collapsed="false">
      <c r="A5758" s="0" t="n">
        <f aca="false">B5758*1000+C5758</f>
        <v>78039</v>
      </c>
      <c r="B5758" s="0" t="n">
        <v>78</v>
      </c>
      <c r="C5758" s="0" t="n">
        <v>39</v>
      </c>
      <c r="D5758" s="0" t="n">
        <v>0</v>
      </c>
      <c r="E5758" s="0" t="n">
        <f aca="false">VLOOKUP(B5758,'MSA-Lookup'!$H$2:$I$86,2)</f>
        <v>680</v>
      </c>
      <c r="F5758" s="0" t="n">
        <f aca="false">IF(C5758&gt;1,IF(C5758&lt;99,VLOOKUP(C5758,'MSA-Lookup'!$H$1:$I$86,2),C5758),C5758)</f>
        <v>7120</v>
      </c>
      <c r="G5758" s="0" t="n">
        <f aca="false">VLOOKUP(E5758,'MSA-Lookup'!$AA$1:$AB$25,2)</f>
        <v>680</v>
      </c>
      <c r="H5758" s="0" t="n">
        <f aca="false">IF(C5758&gt;1,IF(C5758&lt;99,VLOOKUP(F5758,'MSA-Lookup'!$AA$1:$AB$25,2),C5758),C5758)</f>
        <v>7120</v>
      </c>
    </row>
    <row r="5759" customFormat="false" ht="12.75" hidden="false" customHeight="false" outlineLevel="0" collapsed="false">
      <c r="A5759" s="0" t="n">
        <f aca="false">B5759*1000+C5759</f>
        <v>78040</v>
      </c>
      <c r="B5759" s="0" t="n">
        <v>78</v>
      </c>
      <c r="C5759" s="0" t="n">
        <v>40</v>
      </c>
      <c r="D5759" s="0" t="n">
        <v>91</v>
      </c>
      <c r="E5759" s="0" t="n">
        <f aca="false">VLOOKUP(B5759,'MSA-Lookup'!$H$2:$I$86,2)</f>
        <v>680</v>
      </c>
      <c r="F5759" s="0" t="n">
        <f aca="false">IF(C5759&gt;1,IF(C5759&lt;99,VLOOKUP(C5759,'MSA-Lookup'!$H$1:$I$86,2),C5759),C5759)</f>
        <v>2840</v>
      </c>
      <c r="G5759" s="0" t="n">
        <f aca="false">VLOOKUP(E5759,'MSA-Lookup'!$AA$1:$AB$25,2)</f>
        <v>680</v>
      </c>
      <c r="H5759" s="0" t="n">
        <f aca="false">IF(C5759&gt;1,IF(C5759&lt;99,VLOOKUP(F5759,'MSA-Lookup'!$AA$1:$AB$25,2),C5759),C5759)</f>
        <v>2840</v>
      </c>
    </row>
    <row r="5760" customFormat="false" ht="12.75" hidden="false" customHeight="false" outlineLevel="0" collapsed="false">
      <c r="A5760" s="0" t="n">
        <f aca="false">B5760*1000+C5760</f>
        <v>78041</v>
      </c>
      <c r="B5760" s="0" t="n">
        <v>78</v>
      </c>
      <c r="C5760" s="0" t="n">
        <v>41</v>
      </c>
      <c r="D5760" s="0" t="n">
        <v>0</v>
      </c>
      <c r="E5760" s="0" t="n">
        <f aca="false">VLOOKUP(B5760,'MSA-Lookup'!$H$2:$I$86,2)</f>
        <v>680</v>
      </c>
      <c r="F5760" s="0" t="n">
        <f aca="false">IF(C5760&gt;1,IF(C5760&lt;99,VLOOKUP(C5760,'MSA-Lookup'!$H$1:$I$86,2),C5760),C5760)</f>
        <v>2840</v>
      </c>
      <c r="G5760" s="0" t="n">
        <f aca="false">VLOOKUP(E5760,'MSA-Lookup'!$AA$1:$AB$25,2)</f>
        <v>680</v>
      </c>
      <c r="H5760" s="0" t="n">
        <f aca="false">IF(C5760&gt;1,IF(C5760&lt;99,VLOOKUP(F5760,'MSA-Lookup'!$AA$1:$AB$25,2),C5760),C5760)</f>
        <v>2840</v>
      </c>
    </row>
    <row r="5761" customFormat="false" ht="12.75" hidden="false" customHeight="false" outlineLevel="0" collapsed="false">
      <c r="A5761" s="0" t="n">
        <f aca="false">B5761*1000+C5761</f>
        <v>78042</v>
      </c>
      <c r="B5761" s="0" t="n">
        <v>78</v>
      </c>
      <c r="C5761" s="0" t="n">
        <v>42</v>
      </c>
      <c r="D5761" s="0" t="n">
        <v>0</v>
      </c>
      <c r="E5761" s="0" t="n">
        <f aca="false">VLOOKUP(B5761,'MSA-Lookup'!$H$2:$I$86,2)</f>
        <v>680</v>
      </c>
      <c r="F5761" s="0" t="n">
        <f aca="false">IF(C5761&gt;1,IF(C5761&lt;99,VLOOKUP(C5761,'MSA-Lookup'!$H$1:$I$86,2),C5761),C5761)</f>
        <v>360</v>
      </c>
      <c r="G5761" s="0" t="n">
        <f aca="false">VLOOKUP(E5761,'MSA-Lookup'!$AA$1:$AB$25,2)</f>
        <v>680</v>
      </c>
      <c r="H5761" s="0" t="n">
        <f aca="false">IF(C5761&gt;1,IF(C5761&lt;99,VLOOKUP(F5761,'MSA-Lookup'!$AA$1:$AB$25,2),C5761),C5761)</f>
        <v>4472</v>
      </c>
    </row>
    <row r="5762" customFormat="false" ht="12.75" hidden="false" customHeight="false" outlineLevel="0" collapsed="false">
      <c r="A5762" s="0" t="n">
        <f aca="false">B5762*1000+C5762</f>
        <v>78043</v>
      </c>
      <c r="B5762" s="0" t="n">
        <v>78</v>
      </c>
      <c r="C5762" s="0" t="n">
        <v>43</v>
      </c>
      <c r="D5762" s="0" t="n">
        <v>0</v>
      </c>
      <c r="E5762" s="0" t="n">
        <f aca="false">VLOOKUP(B5762,'MSA-Lookup'!$H$2:$I$86,2)</f>
        <v>680</v>
      </c>
      <c r="F5762" s="0" t="n">
        <f aca="false">IF(C5762&gt;1,IF(C5762&lt;99,VLOOKUP(C5762,'MSA-Lookup'!$H$1:$I$86,2),C5762),C5762)</f>
        <v>360</v>
      </c>
      <c r="G5762" s="0" t="n">
        <f aca="false">VLOOKUP(E5762,'MSA-Lookup'!$AA$1:$AB$25,2)</f>
        <v>680</v>
      </c>
      <c r="H5762" s="0" t="n">
        <f aca="false">IF(C5762&gt;1,IF(C5762&lt;99,VLOOKUP(F5762,'MSA-Lookup'!$AA$1:$AB$25,2),C5762),C5762)</f>
        <v>4472</v>
      </c>
    </row>
    <row r="5763" customFormat="false" ht="12.75" hidden="false" customHeight="false" outlineLevel="0" collapsed="false">
      <c r="A5763" s="0" t="n">
        <f aca="false">B5763*1000+C5763</f>
        <v>78044</v>
      </c>
      <c r="B5763" s="0" t="n">
        <v>78</v>
      </c>
      <c r="C5763" s="0" t="n">
        <v>44</v>
      </c>
      <c r="D5763" s="0" t="n">
        <v>0</v>
      </c>
      <c r="E5763" s="0" t="n">
        <f aca="false">VLOOKUP(B5763,'MSA-Lookup'!$H$2:$I$86,2)</f>
        <v>680</v>
      </c>
      <c r="F5763" s="0" t="n">
        <f aca="false">IF(C5763&gt;1,IF(C5763&lt;99,VLOOKUP(C5763,'MSA-Lookup'!$H$1:$I$86,2),C5763),C5763)</f>
        <v>360</v>
      </c>
      <c r="G5763" s="0" t="n">
        <f aca="false">VLOOKUP(E5763,'MSA-Lookup'!$AA$1:$AB$25,2)</f>
        <v>680</v>
      </c>
      <c r="H5763" s="0" t="n">
        <f aca="false">IF(C5763&gt;1,IF(C5763&lt;99,VLOOKUP(F5763,'MSA-Lookup'!$AA$1:$AB$25,2),C5763),C5763)</f>
        <v>4472</v>
      </c>
    </row>
    <row r="5764" customFormat="false" ht="12.75" hidden="false" customHeight="false" outlineLevel="0" collapsed="false">
      <c r="A5764" s="0" t="n">
        <f aca="false">B5764*1000+C5764</f>
        <v>78045</v>
      </c>
      <c r="B5764" s="0" t="n">
        <v>78</v>
      </c>
      <c r="C5764" s="0" t="n">
        <v>45</v>
      </c>
      <c r="D5764" s="0" t="n">
        <v>0</v>
      </c>
      <c r="E5764" s="0" t="n">
        <f aca="false">VLOOKUP(B5764,'MSA-Lookup'!$H$2:$I$86,2)</f>
        <v>680</v>
      </c>
      <c r="F5764" s="0" t="n">
        <f aca="false">IF(C5764&gt;1,IF(C5764&lt;99,VLOOKUP(C5764,'MSA-Lookup'!$H$1:$I$86,2),C5764),C5764)</f>
        <v>360</v>
      </c>
      <c r="G5764" s="0" t="n">
        <f aca="false">VLOOKUP(E5764,'MSA-Lookup'!$AA$1:$AB$25,2)</f>
        <v>680</v>
      </c>
      <c r="H5764" s="0" t="n">
        <f aca="false">IF(C5764&gt;1,IF(C5764&lt;99,VLOOKUP(F5764,'MSA-Lookup'!$AA$1:$AB$25,2),C5764),C5764)</f>
        <v>4472</v>
      </c>
    </row>
    <row r="5765" customFormat="false" ht="12.75" hidden="false" customHeight="false" outlineLevel="0" collapsed="false">
      <c r="A5765" s="0" t="n">
        <f aca="false">B5765*1000+C5765</f>
        <v>78046</v>
      </c>
      <c r="B5765" s="0" t="n">
        <v>78</v>
      </c>
      <c r="C5765" s="0" t="n">
        <v>46</v>
      </c>
      <c r="D5765" s="0" t="n">
        <v>0</v>
      </c>
      <c r="E5765" s="0" t="n">
        <f aca="false">VLOOKUP(B5765,'MSA-Lookup'!$H$2:$I$86,2)</f>
        <v>680</v>
      </c>
      <c r="F5765" s="0" t="n">
        <f aca="false">IF(C5765&gt;1,IF(C5765&lt;99,VLOOKUP(C5765,'MSA-Lookup'!$H$1:$I$86,2),C5765),C5765)</f>
        <v>360</v>
      </c>
      <c r="G5765" s="0" t="n">
        <f aca="false">VLOOKUP(E5765,'MSA-Lookup'!$AA$1:$AB$25,2)</f>
        <v>680</v>
      </c>
      <c r="H5765" s="0" t="n">
        <f aca="false">IF(C5765&gt;1,IF(C5765&lt;99,VLOOKUP(F5765,'MSA-Lookup'!$AA$1:$AB$25,2),C5765),C5765)</f>
        <v>4472</v>
      </c>
    </row>
    <row r="5766" customFormat="false" ht="12.75" hidden="false" customHeight="false" outlineLevel="0" collapsed="false">
      <c r="A5766" s="0" t="n">
        <f aca="false">B5766*1000+C5766</f>
        <v>78047</v>
      </c>
      <c r="B5766" s="0" t="n">
        <v>78</v>
      </c>
      <c r="C5766" s="0" t="n">
        <v>47</v>
      </c>
      <c r="D5766" s="0" t="n">
        <v>0</v>
      </c>
      <c r="E5766" s="0" t="n">
        <f aca="false">VLOOKUP(B5766,'MSA-Lookup'!$H$2:$I$86,2)</f>
        <v>680</v>
      </c>
      <c r="F5766" s="0" t="n">
        <f aca="false">IF(C5766&gt;1,IF(C5766&lt;99,VLOOKUP(C5766,'MSA-Lookup'!$H$1:$I$86,2),C5766),C5766)</f>
        <v>360</v>
      </c>
      <c r="G5766" s="0" t="n">
        <f aca="false">VLOOKUP(E5766,'MSA-Lookup'!$AA$1:$AB$25,2)</f>
        <v>680</v>
      </c>
      <c r="H5766" s="0" t="n">
        <f aca="false">IF(C5766&gt;1,IF(C5766&lt;99,VLOOKUP(F5766,'MSA-Lookup'!$AA$1:$AB$25,2),C5766),C5766)</f>
        <v>4472</v>
      </c>
    </row>
    <row r="5767" customFormat="false" ht="12.75" hidden="false" customHeight="false" outlineLevel="0" collapsed="false">
      <c r="A5767" s="0" t="n">
        <f aca="false">B5767*1000+C5767</f>
        <v>78048</v>
      </c>
      <c r="B5767" s="0" t="n">
        <v>78</v>
      </c>
      <c r="C5767" s="0" t="n">
        <v>48</v>
      </c>
      <c r="D5767" s="0" t="n">
        <v>0</v>
      </c>
      <c r="E5767" s="0" t="n">
        <f aca="false">VLOOKUP(B5767,'MSA-Lookup'!$H$2:$I$86,2)</f>
        <v>680</v>
      </c>
      <c r="F5767" s="0" t="n">
        <f aca="false">IF(C5767&gt;1,IF(C5767&lt;99,VLOOKUP(C5767,'MSA-Lookup'!$H$1:$I$86,2),C5767),C5767)</f>
        <v>360</v>
      </c>
      <c r="G5767" s="0" t="n">
        <f aca="false">VLOOKUP(E5767,'MSA-Lookup'!$AA$1:$AB$25,2)</f>
        <v>680</v>
      </c>
      <c r="H5767" s="0" t="n">
        <f aca="false">IF(C5767&gt;1,IF(C5767&lt;99,VLOOKUP(F5767,'MSA-Lookup'!$AA$1:$AB$25,2),C5767),C5767)</f>
        <v>4472</v>
      </c>
    </row>
    <row r="5768" customFormat="false" ht="12.75" hidden="false" customHeight="false" outlineLevel="0" collapsed="false">
      <c r="A5768" s="0" t="n">
        <f aca="false">B5768*1000+C5768</f>
        <v>78049</v>
      </c>
      <c r="B5768" s="0" t="n">
        <v>78</v>
      </c>
      <c r="C5768" s="0" t="n">
        <v>49</v>
      </c>
      <c r="D5768" s="0" t="n">
        <v>0</v>
      </c>
      <c r="E5768" s="0" t="n">
        <f aca="false">VLOOKUP(B5768,'MSA-Lookup'!$H$2:$I$86,2)</f>
        <v>680</v>
      </c>
      <c r="F5768" s="0" t="n">
        <f aca="false">IF(C5768&gt;1,IF(C5768&lt;99,VLOOKUP(C5768,'MSA-Lookup'!$H$1:$I$86,2),C5768),C5768)</f>
        <v>7400</v>
      </c>
      <c r="G5768" s="0" t="n">
        <f aca="false">VLOOKUP(E5768,'MSA-Lookup'!$AA$1:$AB$25,2)</f>
        <v>680</v>
      </c>
      <c r="H5768" s="0" t="n">
        <f aca="false">IF(C5768&gt;1,IF(C5768&lt;99,VLOOKUP(F5768,'MSA-Lookup'!$AA$1:$AB$25,2),C5768),C5768)</f>
        <v>7362</v>
      </c>
    </row>
    <row r="5769" customFormat="false" ht="12.75" hidden="false" customHeight="false" outlineLevel="0" collapsed="false">
      <c r="A5769" s="0" t="n">
        <f aca="false">B5769*1000+C5769</f>
        <v>78050</v>
      </c>
      <c r="B5769" s="0" t="n">
        <v>78</v>
      </c>
      <c r="C5769" s="0" t="n">
        <v>50</v>
      </c>
      <c r="D5769" s="0" t="n">
        <v>0</v>
      </c>
      <c r="E5769" s="0" t="n">
        <f aca="false">VLOOKUP(B5769,'MSA-Lookup'!$H$2:$I$86,2)</f>
        <v>680</v>
      </c>
      <c r="F5769" s="0" t="n">
        <f aca="false">IF(C5769&gt;1,IF(C5769&lt;99,VLOOKUP(C5769,'MSA-Lookup'!$H$1:$I$86,2),C5769),C5769)</f>
        <v>7400</v>
      </c>
      <c r="G5769" s="0" t="n">
        <f aca="false">VLOOKUP(E5769,'MSA-Lookup'!$AA$1:$AB$25,2)</f>
        <v>680</v>
      </c>
      <c r="H5769" s="0" t="n">
        <f aca="false">IF(C5769&gt;1,IF(C5769&lt;99,VLOOKUP(F5769,'MSA-Lookup'!$AA$1:$AB$25,2),C5769),C5769)</f>
        <v>7362</v>
      </c>
    </row>
    <row r="5770" customFormat="false" ht="12.75" hidden="false" customHeight="false" outlineLevel="0" collapsed="false">
      <c r="A5770" s="0" t="n">
        <f aca="false">B5770*1000+C5770</f>
        <v>78051</v>
      </c>
      <c r="B5770" s="0" t="n">
        <v>78</v>
      </c>
      <c r="C5770" s="0" t="n">
        <v>51</v>
      </c>
      <c r="D5770" s="0" t="n">
        <v>0</v>
      </c>
      <c r="E5770" s="0" t="n">
        <f aca="false">VLOOKUP(B5770,'MSA-Lookup'!$H$2:$I$86,2)</f>
        <v>680</v>
      </c>
      <c r="F5770" s="0" t="n">
        <f aca="false">IF(C5770&gt;1,IF(C5770&lt;99,VLOOKUP(C5770,'MSA-Lookup'!$H$1:$I$86,2),C5770),C5770)</f>
        <v>7400</v>
      </c>
      <c r="G5770" s="0" t="n">
        <f aca="false">VLOOKUP(E5770,'MSA-Lookup'!$AA$1:$AB$25,2)</f>
        <v>680</v>
      </c>
      <c r="H5770" s="0" t="n">
        <f aca="false">IF(C5770&gt;1,IF(C5770&lt;99,VLOOKUP(F5770,'MSA-Lookup'!$AA$1:$AB$25,2),C5770),C5770)</f>
        <v>7362</v>
      </c>
    </row>
    <row r="5771" customFormat="false" ht="12.75" hidden="false" customHeight="false" outlineLevel="0" collapsed="false">
      <c r="A5771" s="0" t="n">
        <f aca="false">B5771*1000+C5771</f>
        <v>78052</v>
      </c>
      <c r="B5771" s="0" t="n">
        <v>78</v>
      </c>
      <c r="C5771" s="0" t="n">
        <v>52</v>
      </c>
      <c r="D5771" s="0" t="n">
        <v>0</v>
      </c>
      <c r="E5771" s="0" t="n">
        <f aca="false">VLOOKUP(B5771,'MSA-Lookup'!$H$2:$I$86,2)</f>
        <v>680</v>
      </c>
      <c r="F5771" s="0" t="n">
        <f aca="false">IF(C5771&gt;1,IF(C5771&lt;99,VLOOKUP(C5771,'MSA-Lookup'!$H$1:$I$86,2),C5771),C5771)</f>
        <v>4480</v>
      </c>
      <c r="G5771" s="0" t="n">
        <f aca="false">VLOOKUP(E5771,'MSA-Lookup'!$AA$1:$AB$25,2)</f>
        <v>680</v>
      </c>
      <c r="H5771" s="0" t="n">
        <f aca="false">IF(C5771&gt;1,IF(C5771&lt;99,VLOOKUP(F5771,'MSA-Lookup'!$AA$1:$AB$25,2),C5771),C5771)</f>
        <v>4472</v>
      </c>
    </row>
    <row r="5772" customFormat="false" ht="12.75" hidden="false" customHeight="false" outlineLevel="0" collapsed="false">
      <c r="A5772" s="0" t="n">
        <f aca="false">B5772*1000+C5772</f>
        <v>78053</v>
      </c>
      <c r="B5772" s="0" t="n">
        <v>78</v>
      </c>
      <c r="C5772" s="0" t="n">
        <v>53</v>
      </c>
      <c r="D5772" s="0" t="n">
        <v>0</v>
      </c>
      <c r="E5772" s="0" t="n">
        <f aca="false">VLOOKUP(B5772,'MSA-Lookup'!$H$2:$I$86,2)</f>
        <v>680</v>
      </c>
      <c r="F5772" s="0" t="n">
        <f aca="false">IF(C5772&gt;1,IF(C5772&lt;99,VLOOKUP(C5772,'MSA-Lookup'!$H$1:$I$86,2),C5772),C5772)</f>
        <v>4480</v>
      </c>
      <c r="G5772" s="0" t="n">
        <f aca="false">VLOOKUP(E5772,'MSA-Lookup'!$AA$1:$AB$25,2)</f>
        <v>680</v>
      </c>
      <c r="H5772" s="0" t="n">
        <f aca="false">IF(C5772&gt;1,IF(C5772&lt;99,VLOOKUP(F5772,'MSA-Lookup'!$AA$1:$AB$25,2),C5772),C5772)</f>
        <v>4472</v>
      </c>
    </row>
    <row r="5773" customFormat="false" ht="12.75" hidden="false" customHeight="false" outlineLevel="0" collapsed="false">
      <c r="A5773" s="0" t="n">
        <f aca="false">B5773*1000+C5773</f>
        <v>78054</v>
      </c>
      <c r="B5773" s="0" t="n">
        <v>78</v>
      </c>
      <c r="C5773" s="0" t="n">
        <v>54</v>
      </c>
      <c r="D5773" s="0" t="n">
        <v>0</v>
      </c>
      <c r="E5773" s="0" t="n">
        <f aca="false">VLOOKUP(B5773,'MSA-Lookup'!$H$2:$I$86,2)</f>
        <v>680</v>
      </c>
      <c r="F5773" s="0" t="n">
        <f aca="false">IF(C5773&gt;1,IF(C5773&lt;99,VLOOKUP(C5773,'MSA-Lookup'!$H$1:$I$86,2),C5773),C5773)</f>
        <v>4480</v>
      </c>
      <c r="G5773" s="0" t="n">
        <f aca="false">VLOOKUP(E5773,'MSA-Lookup'!$AA$1:$AB$25,2)</f>
        <v>680</v>
      </c>
      <c r="H5773" s="0" t="n">
        <f aca="false">IF(C5773&gt;1,IF(C5773&lt;99,VLOOKUP(F5773,'MSA-Lookup'!$AA$1:$AB$25,2),C5773),C5773)</f>
        <v>4472</v>
      </c>
    </row>
    <row r="5774" customFormat="false" ht="12.75" hidden="false" customHeight="false" outlineLevel="0" collapsed="false">
      <c r="A5774" s="0" t="n">
        <f aca="false">B5774*1000+C5774</f>
        <v>78055</v>
      </c>
      <c r="B5774" s="0" t="n">
        <v>78</v>
      </c>
      <c r="C5774" s="0" t="n">
        <v>55</v>
      </c>
      <c r="D5774" s="0" t="n">
        <v>0</v>
      </c>
      <c r="E5774" s="0" t="n">
        <f aca="false">VLOOKUP(B5774,'MSA-Lookup'!$H$2:$I$86,2)</f>
        <v>680</v>
      </c>
      <c r="F5774" s="0" t="n">
        <f aca="false">IF(C5774&gt;1,IF(C5774&lt;99,VLOOKUP(C5774,'MSA-Lookup'!$H$1:$I$86,2),C5774),C5774)</f>
        <v>4480</v>
      </c>
      <c r="G5774" s="0" t="n">
        <f aca="false">VLOOKUP(E5774,'MSA-Lookup'!$AA$1:$AB$25,2)</f>
        <v>680</v>
      </c>
      <c r="H5774" s="0" t="n">
        <f aca="false">IF(C5774&gt;1,IF(C5774&lt;99,VLOOKUP(F5774,'MSA-Lookup'!$AA$1:$AB$25,2),C5774),C5774)</f>
        <v>4472</v>
      </c>
    </row>
    <row r="5775" customFormat="false" ht="12.75" hidden="false" customHeight="false" outlineLevel="0" collapsed="false">
      <c r="A5775" s="0" t="n">
        <f aca="false">B5775*1000+C5775</f>
        <v>78056</v>
      </c>
      <c r="B5775" s="0" t="n">
        <v>78</v>
      </c>
      <c r="C5775" s="0" t="n">
        <v>56</v>
      </c>
      <c r="D5775" s="0" t="n">
        <v>0</v>
      </c>
      <c r="E5775" s="0" t="n">
        <f aca="false">VLOOKUP(B5775,'MSA-Lookup'!$H$2:$I$86,2)</f>
        <v>680</v>
      </c>
      <c r="F5775" s="0" t="n">
        <f aca="false">IF(C5775&gt;1,IF(C5775&lt;99,VLOOKUP(C5775,'MSA-Lookup'!$H$1:$I$86,2),C5775),C5775)</f>
        <v>4480</v>
      </c>
      <c r="G5775" s="0" t="n">
        <f aca="false">VLOOKUP(E5775,'MSA-Lookup'!$AA$1:$AB$25,2)</f>
        <v>680</v>
      </c>
      <c r="H5775" s="0" t="n">
        <f aca="false">IF(C5775&gt;1,IF(C5775&lt;99,VLOOKUP(F5775,'MSA-Lookup'!$AA$1:$AB$25,2),C5775),C5775)</f>
        <v>4472</v>
      </c>
    </row>
    <row r="5776" customFormat="false" ht="12.75" hidden="false" customHeight="false" outlineLevel="0" collapsed="false">
      <c r="A5776" s="0" t="n">
        <f aca="false">B5776*1000+C5776</f>
        <v>78057</v>
      </c>
      <c r="B5776" s="0" t="n">
        <v>78</v>
      </c>
      <c r="C5776" s="0" t="n">
        <v>57</v>
      </c>
      <c r="D5776" s="0" t="n">
        <v>0</v>
      </c>
      <c r="E5776" s="0" t="n">
        <f aca="false">VLOOKUP(B5776,'MSA-Lookup'!$H$2:$I$86,2)</f>
        <v>680</v>
      </c>
      <c r="F5776" s="0" t="n">
        <f aca="false">IF(C5776&gt;1,IF(C5776&lt;99,VLOOKUP(C5776,'MSA-Lookup'!$H$1:$I$86,2),C5776),C5776)</f>
        <v>4480</v>
      </c>
      <c r="G5776" s="0" t="n">
        <f aca="false">VLOOKUP(E5776,'MSA-Lookup'!$AA$1:$AB$25,2)</f>
        <v>680</v>
      </c>
      <c r="H5776" s="0" t="n">
        <f aca="false">IF(C5776&gt;1,IF(C5776&lt;99,VLOOKUP(F5776,'MSA-Lookup'!$AA$1:$AB$25,2),C5776),C5776)</f>
        <v>4472</v>
      </c>
    </row>
    <row r="5777" customFormat="false" ht="12.75" hidden="false" customHeight="false" outlineLevel="0" collapsed="false">
      <c r="A5777" s="0" t="n">
        <f aca="false">B5777*1000+C5777</f>
        <v>78058</v>
      </c>
      <c r="B5777" s="0" t="n">
        <v>78</v>
      </c>
      <c r="C5777" s="0" t="n">
        <v>58</v>
      </c>
      <c r="D5777" s="0" t="n">
        <v>0</v>
      </c>
      <c r="E5777" s="0" t="n">
        <f aca="false">VLOOKUP(B5777,'MSA-Lookup'!$H$2:$I$86,2)</f>
        <v>680</v>
      </c>
      <c r="F5777" s="0" t="n">
        <f aca="false">IF(C5777&gt;1,IF(C5777&lt;99,VLOOKUP(C5777,'MSA-Lookup'!$H$1:$I$86,2),C5777),C5777)</f>
        <v>4480</v>
      </c>
      <c r="G5777" s="0" t="n">
        <f aca="false">VLOOKUP(E5777,'MSA-Lookup'!$AA$1:$AB$25,2)</f>
        <v>680</v>
      </c>
      <c r="H5777" s="0" t="n">
        <f aca="false">IF(C5777&gt;1,IF(C5777&lt;99,VLOOKUP(F5777,'MSA-Lookup'!$AA$1:$AB$25,2),C5777),C5777)</f>
        <v>4472</v>
      </c>
    </row>
    <row r="5778" customFormat="false" ht="12.75" hidden="false" customHeight="false" outlineLevel="0" collapsed="false">
      <c r="A5778" s="0" t="n">
        <f aca="false">B5778*1000+C5778</f>
        <v>78059</v>
      </c>
      <c r="B5778" s="0" t="n">
        <v>78</v>
      </c>
      <c r="C5778" s="0" t="n">
        <v>59</v>
      </c>
      <c r="D5778" s="0" t="n">
        <v>0</v>
      </c>
      <c r="E5778" s="0" t="n">
        <f aca="false">VLOOKUP(B5778,'MSA-Lookup'!$H$2:$I$86,2)</f>
        <v>680</v>
      </c>
      <c r="F5778" s="0" t="n">
        <f aca="false">IF(C5778&gt;1,IF(C5778&lt;99,VLOOKUP(C5778,'MSA-Lookup'!$H$1:$I$86,2),C5778),C5778)</f>
        <v>4480</v>
      </c>
      <c r="G5778" s="0" t="n">
        <f aca="false">VLOOKUP(E5778,'MSA-Lookup'!$AA$1:$AB$25,2)</f>
        <v>680</v>
      </c>
      <c r="H5778" s="0" t="n">
        <f aca="false">IF(C5778&gt;1,IF(C5778&lt;99,VLOOKUP(F5778,'MSA-Lookup'!$AA$1:$AB$25,2),C5778),C5778)</f>
        <v>4472</v>
      </c>
    </row>
    <row r="5779" customFormat="false" ht="12.75" hidden="false" customHeight="false" outlineLevel="0" collapsed="false">
      <c r="A5779" s="0" t="n">
        <f aca="false">B5779*1000+C5779</f>
        <v>78060</v>
      </c>
      <c r="B5779" s="0" t="n">
        <v>78</v>
      </c>
      <c r="C5779" s="0" t="n">
        <v>60</v>
      </c>
      <c r="D5779" s="0" t="n">
        <v>0</v>
      </c>
      <c r="E5779" s="0" t="n">
        <f aca="false">VLOOKUP(B5779,'MSA-Lookup'!$H$2:$I$86,2)</f>
        <v>680</v>
      </c>
      <c r="F5779" s="0" t="n">
        <f aca="false">IF(C5779&gt;1,IF(C5779&lt;99,VLOOKUP(C5779,'MSA-Lookup'!$H$1:$I$86,2),C5779),C5779)</f>
        <v>4480</v>
      </c>
      <c r="G5779" s="0" t="n">
        <f aca="false">VLOOKUP(E5779,'MSA-Lookup'!$AA$1:$AB$25,2)</f>
        <v>680</v>
      </c>
      <c r="H5779" s="0" t="n">
        <f aca="false">IF(C5779&gt;1,IF(C5779&lt;99,VLOOKUP(F5779,'MSA-Lookup'!$AA$1:$AB$25,2),C5779),C5779)</f>
        <v>4472</v>
      </c>
    </row>
    <row r="5780" customFormat="false" ht="12.75" hidden="false" customHeight="false" outlineLevel="0" collapsed="false">
      <c r="A5780" s="0" t="n">
        <f aca="false">B5780*1000+C5780</f>
        <v>78061</v>
      </c>
      <c r="B5780" s="0" t="n">
        <v>78</v>
      </c>
      <c r="C5780" s="0" t="n">
        <v>61</v>
      </c>
      <c r="D5780" s="0" t="n">
        <v>0</v>
      </c>
      <c r="E5780" s="0" t="n">
        <f aca="false">VLOOKUP(B5780,'MSA-Lookup'!$H$2:$I$86,2)</f>
        <v>680</v>
      </c>
      <c r="F5780" s="0" t="n">
        <f aca="false">IF(C5780&gt;1,IF(C5780&lt;99,VLOOKUP(C5780,'MSA-Lookup'!$H$1:$I$86,2),C5780),C5780)</f>
        <v>4480</v>
      </c>
      <c r="G5780" s="0" t="n">
        <f aca="false">VLOOKUP(E5780,'MSA-Lookup'!$AA$1:$AB$25,2)</f>
        <v>680</v>
      </c>
      <c r="H5780" s="0" t="n">
        <f aca="false">IF(C5780&gt;1,IF(C5780&lt;99,VLOOKUP(F5780,'MSA-Lookup'!$AA$1:$AB$25,2),C5780),C5780)</f>
        <v>4472</v>
      </c>
    </row>
    <row r="5781" customFormat="false" ht="12.75" hidden="false" customHeight="false" outlineLevel="0" collapsed="false">
      <c r="A5781" s="0" t="n">
        <f aca="false">B5781*1000+C5781</f>
        <v>78062</v>
      </c>
      <c r="B5781" s="0" t="n">
        <v>78</v>
      </c>
      <c r="C5781" s="0" t="n">
        <v>62</v>
      </c>
      <c r="D5781" s="0" t="n">
        <v>0</v>
      </c>
      <c r="E5781" s="0" t="n">
        <f aca="false">VLOOKUP(B5781,'MSA-Lookup'!$H$2:$I$86,2)</f>
        <v>680</v>
      </c>
      <c r="F5781" s="0" t="n">
        <f aca="false">IF(C5781&gt;1,IF(C5781&lt;99,VLOOKUP(C5781,'MSA-Lookup'!$H$1:$I$86,2),C5781),C5781)</f>
        <v>4480</v>
      </c>
      <c r="G5781" s="0" t="n">
        <f aca="false">VLOOKUP(E5781,'MSA-Lookup'!$AA$1:$AB$25,2)</f>
        <v>680</v>
      </c>
      <c r="H5781" s="0" t="n">
        <f aca="false">IF(C5781&gt;1,IF(C5781&lt;99,VLOOKUP(F5781,'MSA-Lookup'!$AA$1:$AB$25,2),C5781),C5781)</f>
        <v>4472</v>
      </c>
    </row>
    <row r="5782" customFormat="false" ht="12.75" hidden="false" customHeight="false" outlineLevel="0" collapsed="false">
      <c r="A5782" s="0" t="n">
        <f aca="false">B5782*1000+C5782</f>
        <v>78063</v>
      </c>
      <c r="B5782" s="0" t="n">
        <v>78</v>
      </c>
      <c r="C5782" s="0" t="n">
        <v>63</v>
      </c>
      <c r="D5782" s="0" t="n">
        <v>0</v>
      </c>
      <c r="E5782" s="0" t="n">
        <f aca="false">VLOOKUP(B5782,'MSA-Lookup'!$H$2:$I$86,2)</f>
        <v>680</v>
      </c>
      <c r="F5782" s="0" t="n">
        <f aca="false">IF(C5782&gt;1,IF(C5782&lt;99,VLOOKUP(C5782,'MSA-Lookup'!$H$1:$I$86,2),C5782),C5782)</f>
        <v>4480</v>
      </c>
      <c r="G5782" s="0" t="n">
        <f aca="false">VLOOKUP(E5782,'MSA-Lookup'!$AA$1:$AB$25,2)</f>
        <v>680</v>
      </c>
      <c r="H5782" s="0" t="n">
        <f aca="false">IF(C5782&gt;1,IF(C5782&lt;99,VLOOKUP(F5782,'MSA-Lookup'!$AA$1:$AB$25,2),C5782),C5782)</f>
        <v>4472</v>
      </c>
    </row>
    <row r="5783" customFormat="false" ht="12.75" hidden="false" customHeight="false" outlineLevel="0" collapsed="false">
      <c r="A5783" s="0" t="n">
        <f aca="false">B5783*1000+C5783</f>
        <v>78064</v>
      </c>
      <c r="B5783" s="0" t="n">
        <v>78</v>
      </c>
      <c r="C5783" s="0" t="n">
        <v>64</v>
      </c>
      <c r="D5783" s="0" t="n">
        <v>585</v>
      </c>
      <c r="E5783" s="0" t="n">
        <f aca="false">VLOOKUP(B5783,'MSA-Lookup'!$H$2:$I$86,2)</f>
        <v>680</v>
      </c>
      <c r="F5783" s="0" t="n">
        <f aca="false">IF(C5783&gt;1,IF(C5783&lt;99,VLOOKUP(C5783,'MSA-Lookup'!$H$1:$I$86,2),C5783),C5783)</f>
        <v>4480</v>
      </c>
      <c r="G5783" s="0" t="n">
        <f aca="false">VLOOKUP(E5783,'MSA-Lookup'!$AA$1:$AB$25,2)</f>
        <v>680</v>
      </c>
      <c r="H5783" s="0" t="n">
        <f aca="false">IF(C5783&gt;1,IF(C5783&lt;99,VLOOKUP(F5783,'MSA-Lookup'!$AA$1:$AB$25,2),C5783),C5783)</f>
        <v>4472</v>
      </c>
    </row>
    <row r="5784" customFormat="false" ht="12.75" hidden="false" customHeight="false" outlineLevel="0" collapsed="false">
      <c r="A5784" s="0" t="n">
        <f aca="false">B5784*1000+C5784</f>
        <v>78065</v>
      </c>
      <c r="B5784" s="0" t="n">
        <v>78</v>
      </c>
      <c r="C5784" s="0" t="n">
        <v>65</v>
      </c>
      <c r="D5784" s="0" t="n">
        <v>234</v>
      </c>
      <c r="E5784" s="0" t="n">
        <f aca="false">VLOOKUP(B5784,'MSA-Lookup'!$H$2:$I$86,2)</f>
        <v>680</v>
      </c>
      <c r="F5784" s="0" t="n">
        <f aca="false">IF(C5784&gt;1,IF(C5784&lt;99,VLOOKUP(C5784,'MSA-Lookup'!$H$1:$I$86,2),C5784),C5784)</f>
        <v>4480</v>
      </c>
      <c r="G5784" s="0" t="n">
        <f aca="false">VLOOKUP(E5784,'MSA-Lookup'!$AA$1:$AB$25,2)</f>
        <v>680</v>
      </c>
      <c r="H5784" s="0" t="n">
        <f aca="false">IF(C5784&gt;1,IF(C5784&lt;99,VLOOKUP(F5784,'MSA-Lookup'!$AA$1:$AB$25,2),C5784),C5784)</f>
        <v>4472</v>
      </c>
    </row>
    <row r="5785" customFormat="false" ht="12.75" hidden="false" customHeight="false" outlineLevel="0" collapsed="false">
      <c r="A5785" s="0" t="n">
        <f aca="false">B5785*1000+C5785</f>
        <v>78066</v>
      </c>
      <c r="B5785" s="0" t="n">
        <v>78</v>
      </c>
      <c r="C5785" s="0" t="n">
        <v>66</v>
      </c>
      <c r="D5785" s="0" t="n">
        <v>0</v>
      </c>
      <c r="E5785" s="0" t="n">
        <f aca="false">VLOOKUP(B5785,'MSA-Lookup'!$H$2:$I$86,2)</f>
        <v>680</v>
      </c>
      <c r="F5785" s="0" t="n">
        <f aca="false">IF(C5785&gt;1,IF(C5785&lt;99,VLOOKUP(C5785,'MSA-Lookup'!$H$1:$I$86,2),C5785),C5785)</f>
        <v>4480</v>
      </c>
      <c r="G5785" s="0" t="n">
        <f aca="false">VLOOKUP(E5785,'MSA-Lookup'!$AA$1:$AB$25,2)</f>
        <v>680</v>
      </c>
      <c r="H5785" s="0" t="n">
        <f aca="false">IF(C5785&gt;1,IF(C5785&lt;99,VLOOKUP(F5785,'MSA-Lookup'!$AA$1:$AB$25,2),C5785),C5785)</f>
        <v>4472</v>
      </c>
    </row>
    <row r="5786" customFormat="false" ht="12.75" hidden="false" customHeight="false" outlineLevel="0" collapsed="false">
      <c r="A5786" s="0" t="n">
        <f aca="false">B5786*1000+C5786</f>
        <v>78067</v>
      </c>
      <c r="B5786" s="0" t="n">
        <v>78</v>
      </c>
      <c r="C5786" s="0" t="n">
        <v>67</v>
      </c>
      <c r="D5786" s="0" t="n">
        <v>91</v>
      </c>
      <c r="E5786" s="0" t="n">
        <f aca="false">VLOOKUP(B5786,'MSA-Lookup'!$H$2:$I$86,2)</f>
        <v>680</v>
      </c>
      <c r="F5786" s="0" t="n">
        <f aca="false">IF(C5786&gt;1,IF(C5786&lt;99,VLOOKUP(C5786,'MSA-Lookup'!$H$1:$I$86,2),C5786),C5786)</f>
        <v>6000</v>
      </c>
      <c r="G5786" s="0" t="n">
        <f aca="false">VLOOKUP(E5786,'MSA-Lookup'!$AA$1:$AB$25,2)</f>
        <v>680</v>
      </c>
      <c r="H5786" s="0" t="n">
        <f aca="false">IF(C5786&gt;1,IF(C5786&lt;99,VLOOKUP(F5786,'MSA-Lookup'!$AA$1:$AB$25,2),C5786),C5786)</f>
        <v>4472</v>
      </c>
    </row>
    <row r="5787" customFormat="false" ht="12.75" hidden="false" customHeight="false" outlineLevel="0" collapsed="false">
      <c r="A5787" s="0" t="n">
        <f aca="false">B5787*1000+C5787</f>
        <v>78068</v>
      </c>
      <c r="B5787" s="0" t="n">
        <v>78</v>
      </c>
      <c r="C5787" s="0" t="n">
        <v>68</v>
      </c>
      <c r="D5787" s="0" t="n">
        <v>0</v>
      </c>
      <c r="E5787" s="0" t="n">
        <f aca="false">VLOOKUP(B5787,'MSA-Lookup'!$H$2:$I$86,2)</f>
        <v>680</v>
      </c>
      <c r="F5787" s="0" t="n">
        <f aca="false">IF(C5787&gt;1,IF(C5787&lt;99,VLOOKUP(C5787,'MSA-Lookup'!$H$1:$I$86,2),C5787),C5787)</f>
        <v>6780</v>
      </c>
      <c r="G5787" s="0" t="n">
        <f aca="false">VLOOKUP(E5787,'MSA-Lookup'!$AA$1:$AB$25,2)</f>
        <v>680</v>
      </c>
      <c r="H5787" s="0" t="n">
        <f aca="false">IF(C5787&gt;1,IF(C5787&lt;99,VLOOKUP(F5787,'MSA-Lookup'!$AA$1:$AB$25,2),C5787),C5787)</f>
        <v>4472</v>
      </c>
    </row>
    <row r="5788" customFormat="false" ht="12.75" hidden="false" customHeight="false" outlineLevel="0" collapsed="false">
      <c r="A5788" s="0" t="n">
        <f aca="false">B5788*1000+C5788</f>
        <v>78069</v>
      </c>
      <c r="B5788" s="0" t="n">
        <v>78</v>
      </c>
      <c r="C5788" s="0" t="n">
        <v>69</v>
      </c>
      <c r="D5788" s="0" t="n">
        <v>0</v>
      </c>
      <c r="E5788" s="0" t="n">
        <f aca="false">VLOOKUP(B5788,'MSA-Lookup'!$H$2:$I$86,2)</f>
        <v>680</v>
      </c>
      <c r="F5788" s="0" t="n">
        <f aca="false">IF(C5788&gt;1,IF(C5788&lt;99,VLOOKUP(C5788,'MSA-Lookup'!$H$1:$I$86,2),C5788),C5788)</f>
        <v>6780</v>
      </c>
      <c r="G5788" s="0" t="n">
        <f aca="false">VLOOKUP(E5788,'MSA-Lookup'!$AA$1:$AB$25,2)</f>
        <v>680</v>
      </c>
      <c r="H5788" s="0" t="n">
        <f aca="false">IF(C5788&gt;1,IF(C5788&lt;99,VLOOKUP(F5788,'MSA-Lookup'!$AA$1:$AB$25,2),C5788),C5788)</f>
        <v>4472</v>
      </c>
    </row>
    <row r="5789" customFormat="false" ht="12.75" hidden="false" customHeight="false" outlineLevel="0" collapsed="false">
      <c r="A5789" s="0" t="n">
        <f aca="false">B5789*1000+C5789</f>
        <v>78070</v>
      </c>
      <c r="B5789" s="0" t="n">
        <v>78</v>
      </c>
      <c r="C5789" s="0" t="n">
        <v>70</v>
      </c>
      <c r="D5789" s="0" t="n">
        <v>0</v>
      </c>
      <c r="E5789" s="0" t="n">
        <f aca="false">VLOOKUP(B5789,'MSA-Lookup'!$H$2:$I$86,2)</f>
        <v>680</v>
      </c>
      <c r="F5789" s="0" t="n">
        <f aca="false">IF(C5789&gt;1,IF(C5789&lt;99,VLOOKUP(C5789,'MSA-Lookup'!$H$1:$I$86,2),C5789),C5789)</f>
        <v>6780</v>
      </c>
      <c r="G5789" s="0" t="n">
        <f aca="false">VLOOKUP(E5789,'MSA-Lookup'!$AA$1:$AB$25,2)</f>
        <v>680</v>
      </c>
      <c r="H5789" s="0" t="n">
        <f aca="false">IF(C5789&gt;1,IF(C5789&lt;99,VLOOKUP(F5789,'MSA-Lookup'!$AA$1:$AB$25,2),C5789),C5789)</f>
        <v>4472</v>
      </c>
    </row>
    <row r="5790" customFormat="false" ht="12.75" hidden="false" customHeight="false" outlineLevel="0" collapsed="false">
      <c r="A5790" s="0" t="n">
        <f aca="false">B5790*1000+C5790</f>
        <v>78071</v>
      </c>
      <c r="B5790" s="0" t="n">
        <v>78</v>
      </c>
      <c r="C5790" s="0" t="n">
        <v>71</v>
      </c>
      <c r="D5790" s="0" t="n">
        <v>0</v>
      </c>
      <c r="E5790" s="0" t="n">
        <f aca="false">VLOOKUP(B5790,'MSA-Lookup'!$H$2:$I$86,2)</f>
        <v>680</v>
      </c>
      <c r="F5790" s="0" t="n">
        <f aca="false">IF(C5790&gt;1,IF(C5790&lt;99,VLOOKUP(C5790,'MSA-Lookup'!$H$1:$I$86,2),C5790),C5790)</f>
        <v>6780</v>
      </c>
      <c r="G5790" s="0" t="n">
        <f aca="false">VLOOKUP(E5790,'MSA-Lookup'!$AA$1:$AB$25,2)</f>
        <v>680</v>
      </c>
      <c r="H5790" s="0" t="n">
        <f aca="false">IF(C5790&gt;1,IF(C5790&lt;99,VLOOKUP(F5790,'MSA-Lookup'!$AA$1:$AB$25,2),C5790),C5790)</f>
        <v>4472</v>
      </c>
    </row>
    <row r="5791" customFormat="false" ht="12.75" hidden="false" customHeight="false" outlineLevel="0" collapsed="false">
      <c r="A5791" s="0" t="n">
        <f aca="false">B5791*1000+C5791</f>
        <v>78072</v>
      </c>
      <c r="B5791" s="0" t="n">
        <v>78</v>
      </c>
      <c r="C5791" s="0" t="n">
        <v>72</v>
      </c>
      <c r="D5791" s="0" t="n">
        <v>247</v>
      </c>
      <c r="E5791" s="0" t="n">
        <f aca="false">VLOOKUP(B5791,'MSA-Lookup'!$H$2:$I$86,2)</f>
        <v>680</v>
      </c>
      <c r="F5791" s="0" t="n">
        <f aca="false">IF(C5791&gt;1,IF(C5791&lt;99,VLOOKUP(C5791,'MSA-Lookup'!$H$1:$I$86,2),C5791),C5791)</f>
        <v>6780</v>
      </c>
      <c r="G5791" s="0" t="n">
        <f aca="false">VLOOKUP(E5791,'MSA-Lookup'!$AA$1:$AB$25,2)</f>
        <v>680</v>
      </c>
      <c r="H5791" s="0" t="n">
        <f aca="false">IF(C5791&gt;1,IF(C5791&lt;99,VLOOKUP(F5791,'MSA-Lookup'!$AA$1:$AB$25,2),C5791),C5791)</f>
        <v>4472</v>
      </c>
    </row>
    <row r="5792" customFormat="false" ht="12.75" hidden="false" customHeight="false" outlineLevel="0" collapsed="false">
      <c r="A5792" s="0" t="n">
        <f aca="false">B5792*1000+C5792</f>
        <v>78073</v>
      </c>
      <c r="B5792" s="0" t="n">
        <v>78</v>
      </c>
      <c r="C5792" s="0" t="n">
        <v>73</v>
      </c>
      <c r="D5792" s="0" t="n">
        <v>0</v>
      </c>
      <c r="E5792" s="0" t="n">
        <f aca="false">VLOOKUP(B5792,'MSA-Lookup'!$H$2:$I$86,2)</f>
        <v>680</v>
      </c>
      <c r="F5792" s="0" t="n">
        <f aca="false">IF(C5792&gt;1,IF(C5792&lt;99,VLOOKUP(C5792,'MSA-Lookup'!$H$1:$I$86,2),C5792),C5792)</f>
        <v>8720</v>
      </c>
      <c r="G5792" s="0" t="n">
        <f aca="false">VLOOKUP(E5792,'MSA-Lookup'!$AA$1:$AB$25,2)</f>
        <v>680</v>
      </c>
      <c r="H5792" s="0" t="n">
        <f aca="false">IF(C5792&gt;1,IF(C5792&lt;99,VLOOKUP(F5792,'MSA-Lookup'!$AA$1:$AB$25,2),C5792),C5792)</f>
        <v>7362</v>
      </c>
    </row>
    <row r="5793" customFormat="false" ht="12.75" hidden="false" customHeight="false" outlineLevel="0" collapsed="false">
      <c r="A5793" s="0" t="n">
        <f aca="false">B5793*1000+C5793</f>
        <v>78075</v>
      </c>
      <c r="B5793" s="0" t="n">
        <v>78</v>
      </c>
      <c r="C5793" s="0" t="n">
        <v>75</v>
      </c>
      <c r="D5793" s="0" t="n">
        <v>0</v>
      </c>
      <c r="E5793" s="0" t="n">
        <f aca="false">VLOOKUP(B5793,'MSA-Lookup'!$H$2:$I$86,2)</f>
        <v>680</v>
      </c>
      <c r="F5793" s="0" t="n">
        <f aca="false">IF(C5793&gt;1,IF(C5793&lt;99,VLOOKUP(C5793,'MSA-Lookup'!$H$1:$I$86,2),C5793),C5793)</f>
        <v>8780</v>
      </c>
      <c r="G5793" s="0" t="n">
        <f aca="false">VLOOKUP(E5793,'MSA-Lookup'!$AA$1:$AB$25,2)</f>
        <v>680</v>
      </c>
      <c r="H5793" s="0" t="n">
        <f aca="false">IF(C5793&gt;1,IF(C5793&lt;99,VLOOKUP(F5793,'MSA-Lookup'!$AA$1:$AB$25,2),C5793),C5793)</f>
        <v>8780</v>
      </c>
    </row>
    <row r="5794" customFormat="false" ht="12.75" hidden="false" customHeight="false" outlineLevel="0" collapsed="false">
      <c r="A5794" s="0" t="n">
        <f aca="false">B5794*1000+C5794</f>
        <v>78076</v>
      </c>
      <c r="B5794" s="0" t="n">
        <v>78</v>
      </c>
      <c r="C5794" s="0" t="n">
        <v>76</v>
      </c>
      <c r="D5794" s="0" t="n">
        <v>0</v>
      </c>
      <c r="E5794" s="0" t="n">
        <f aca="false">VLOOKUP(B5794,'MSA-Lookup'!$H$2:$I$86,2)</f>
        <v>680</v>
      </c>
      <c r="F5794" s="0" t="n">
        <f aca="false">IF(C5794&gt;1,IF(C5794&lt;99,VLOOKUP(C5794,'MSA-Lookup'!$H$1:$I$86,2),C5794),C5794)</f>
        <v>7485</v>
      </c>
      <c r="G5794" s="0" t="n">
        <f aca="false">VLOOKUP(E5794,'MSA-Lookup'!$AA$1:$AB$25,2)</f>
        <v>680</v>
      </c>
      <c r="H5794" s="0" t="n">
        <f aca="false">IF(C5794&gt;1,IF(C5794&lt;99,VLOOKUP(F5794,'MSA-Lookup'!$AA$1:$AB$25,2),C5794),C5794)</f>
        <v>7362</v>
      </c>
    </row>
    <row r="5795" customFormat="false" ht="12.75" hidden="false" customHeight="false" outlineLevel="0" collapsed="false">
      <c r="A5795" s="0" t="n">
        <f aca="false">B5795*1000+C5795</f>
        <v>78077</v>
      </c>
      <c r="B5795" s="0" t="n">
        <v>78</v>
      </c>
      <c r="C5795" s="0" t="n">
        <v>77</v>
      </c>
      <c r="D5795" s="0" t="n">
        <v>143</v>
      </c>
      <c r="E5795" s="0" t="n">
        <f aca="false">VLOOKUP(B5795,'MSA-Lookup'!$H$2:$I$86,2)</f>
        <v>680</v>
      </c>
      <c r="F5795" s="0" t="n">
        <f aca="false">IF(C5795&gt;1,IF(C5795&lt;99,VLOOKUP(C5795,'MSA-Lookup'!$H$1:$I$86,2),C5795),C5795)</f>
        <v>9999</v>
      </c>
      <c r="G5795" s="0" t="n">
        <f aca="false">VLOOKUP(E5795,'MSA-Lookup'!$AA$1:$AB$25,2)</f>
        <v>680</v>
      </c>
      <c r="H5795" s="0" t="n">
        <f aca="false">IF(C5795&gt;1,IF(C5795&lt;99,VLOOKUP(F5795,'MSA-Lookup'!$AA$1:$AB$25,2),C5795),C5795)</f>
        <v>9999</v>
      </c>
    </row>
    <row r="5796" customFormat="false" ht="12.75" hidden="false" customHeight="false" outlineLevel="0" collapsed="false">
      <c r="A5796" s="0" t="n">
        <f aca="false">B5796*1000+C5796</f>
        <v>78078</v>
      </c>
      <c r="B5796" s="0" t="n">
        <v>78</v>
      </c>
      <c r="C5796" s="0" t="n">
        <v>78</v>
      </c>
      <c r="D5796" s="0" t="n">
        <v>56394</v>
      </c>
      <c r="E5796" s="0" t="n">
        <f aca="false">VLOOKUP(B5796,'MSA-Lookup'!$H$2:$I$86,2)</f>
        <v>680</v>
      </c>
      <c r="F5796" s="0" t="n">
        <f aca="false">IF(C5796&gt;1,IF(C5796&lt;99,VLOOKUP(C5796,'MSA-Lookup'!$H$1:$I$86,2),C5796),C5796)</f>
        <v>680</v>
      </c>
      <c r="G5796" s="0" t="n">
        <f aca="false">VLOOKUP(E5796,'MSA-Lookup'!$AA$1:$AB$25,2)</f>
        <v>680</v>
      </c>
      <c r="H5796" s="0" t="n">
        <f aca="false">IF(C5796&gt;1,IF(C5796&lt;99,VLOOKUP(F5796,'MSA-Lookup'!$AA$1:$AB$25,2),C5796),C5796)</f>
        <v>680</v>
      </c>
    </row>
    <row r="5797" customFormat="false" ht="12.75" hidden="false" customHeight="false" outlineLevel="0" collapsed="false">
      <c r="A5797" s="0" t="n">
        <f aca="false">B5797*1000+C5797</f>
        <v>78079</v>
      </c>
      <c r="B5797" s="0" t="n">
        <v>78</v>
      </c>
      <c r="C5797" s="0" t="n">
        <v>79</v>
      </c>
      <c r="D5797" s="0" t="n">
        <v>19071</v>
      </c>
      <c r="E5797" s="0" t="n">
        <f aca="false">VLOOKUP(B5797,'MSA-Lookup'!$H$2:$I$86,2)</f>
        <v>680</v>
      </c>
      <c r="F5797" s="0" t="n">
        <f aca="false">IF(C5797&gt;1,IF(C5797&lt;99,VLOOKUP(C5797,'MSA-Lookup'!$H$1:$I$86,2),C5797),C5797)</f>
        <v>680</v>
      </c>
      <c r="G5797" s="0" t="n">
        <f aca="false">VLOOKUP(E5797,'MSA-Lookup'!$AA$1:$AB$25,2)</f>
        <v>680</v>
      </c>
      <c r="H5797" s="0" t="n">
        <f aca="false">IF(C5797&gt;1,IF(C5797&lt;99,VLOOKUP(F5797,'MSA-Lookup'!$AA$1:$AB$25,2),C5797),C5797)</f>
        <v>680</v>
      </c>
    </row>
    <row r="5798" customFormat="false" ht="12.75" hidden="false" customHeight="false" outlineLevel="0" collapsed="false">
      <c r="A5798" s="0" t="n">
        <f aca="false">B5798*1000+C5798</f>
        <v>78080</v>
      </c>
      <c r="B5798" s="0" t="n">
        <v>78</v>
      </c>
      <c r="C5798" s="0" t="n">
        <v>80</v>
      </c>
      <c r="D5798" s="0" t="n">
        <v>0</v>
      </c>
      <c r="E5798" s="0" t="n">
        <f aca="false">VLOOKUP(B5798,'MSA-Lookup'!$H$2:$I$86,2)</f>
        <v>680</v>
      </c>
      <c r="F5798" s="0" t="n">
        <f aca="false">IF(C5798&gt;1,IF(C5798&lt;99,VLOOKUP(C5798,'MSA-Lookup'!$H$1:$I$86,2),C5798),C5798)</f>
        <v>9999</v>
      </c>
      <c r="G5798" s="0" t="n">
        <f aca="false">VLOOKUP(E5798,'MSA-Lookup'!$AA$1:$AB$25,2)</f>
        <v>680</v>
      </c>
      <c r="H5798" s="0" t="n">
        <f aca="false">IF(C5798&gt;1,IF(C5798&lt;99,VLOOKUP(F5798,'MSA-Lookup'!$AA$1:$AB$25,2),C5798),C5798)</f>
        <v>9999</v>
      </c>
    </row>
    <row r="5799" customFormat="false" ht="12.75" hidden="false" customHeight="false" outlineLevel="0" collapsed="false">
      <c r="A5799" s="0" t="n">
        <f aca="false">B5799*1000+C5799</f>
        <v>78081</v>
      </c>
      <c r="B5799" s="0" t="n">
        <v>78</v>
      </c>
      <c r="C5799" s="0" t="n">
        <v>81</v>
      </c>
      <c r="D5799" s="0" t="n">
        <v>0</v>
      </c>
      <c r="E5799" s="0" t="n">
        <f aca="false">VLOOKUP(B5799,'MSA-Lookup'!$H$2:$I$86,2)</f>
        <v>680</v>
      </c>
      <c r="F5799" s="0" t="n">
        <f aca="false">IF(C5799&gt;1,IF(C5799&lt;99,VLOOKUP(C5799,'MSA-Lookup'!$H$1:$I$86,2),C5799),C5799)</f>
        <v>6780</v>
      </c>
      <c r="G5799" s="0" t="n">
        <f aca="false">VLOOKUP(E5799,'MSA-Lookup'!$AA$1:$AB$25,2)</f>
        <v>680</v>
      </c>
      <c r="H5799" s="0" t="n">
        <f aca="false">IF(C5799&gt;1,IF(C5799&lt;99,VLOOKUP(F5799,'MSA-Lookup'!$AA$1:$AB$25,2),C5799),C5799)</f>
        <v>4472</v>
      </c>
    </row>
    <row r="5800" customFormat="false" ht="12.75" hidden="false" customHeight="false" outlineLevel="0" collapsed="false">
      <c r="A5800" s="0" t="n">
        <f aca="false">B5800*1000+C5800</f>
        <v>78082</v>
      </c>
      <c r="B5800" s="0" t="n">
        <v>78</v>
      </c>
      <c r="C5800" s="0" t="n">
        <v>82</v>
      </c>
      <c r="D5800" s="0" t="n">
        <v>0</v>
      </c>
      <c r="E5800" s="0" t="n">
        <f aca="false">VLOOKUP(B5800,'MSA-Lookup'!$H$2:$I$86,2)</f>
        <v>680</v>
      </c>
      <c r="F5800" s="0" t="n">
        <f aca="false">IF(C5800&gt;1,IF(C5800&lt;99,VLOOKUP(C5800,'MSA-Lookup'!$H$1:$I$86,2),C5800),C5800)</f>
        <v>6780</v>
      </c>
      <c r="G5800" s="0" t="n">
        <f aca="false">VLOOKUP(E5800,'MSA-Lookup'!$AA$1:$AB$25,2)</f>
        <v>680</v>
      </c>
      <c r="H5800" s="0" t="n">
        <f aca="false">IF(C5800&gt;1,IF(C5800&lt;99,VLOOKUP(F5800,'MSA-Lookup'!$AA$1:$AB$25,2),C5800),C5800)</f>
        <v>4472</v>
      </c>
    </row>
    <row r="5801" customFormat="false" ht="12.75" hidden="false" customHeight="false" outlineLevel="0" collapsed="false">
      <c r="A5801" s="0" t="n">
        <f aca="false">B5801*1000+C5801</f>
        <v>78083</v>
      </c>
      <c r="B5801" s="0" t="n">
        <v>78</v>
      </c>
      <c r="C5801" s="0" t="n">
        <v>83</v>
      </c>
      <c r="D5801" s="0" t="n">
        <v>0</v>
      </c>
      <c r="E5801" s="0" t="n">
        <f aca="false">VLOOKUP(B5801,'MSA-Lookup'!$H$2:$I$86,2)</f>
        <v>680</v>
      </c>
      <c r="F5801" s="0" t="n">
        <f aca="false">IF(C5801&gt;1,IF(C5801&lt;99,VLOOKUP(C5801,'MSA-Lookup'!$H$1:$I$86,2),C5801),C5801)</f>
        <v>6000</v>
      </c>
      <c r="G5801" s="0" t="n">
        <f aca="false">VLOOKUP(E5801,'MSA-Lookup'!$AA$1:$AB$25,2)</f>
        <v>680</v>
      </c>
      <c r="H5801" s="0" t="n">
        <f aca="false">IF(C5801&gt;1,IF(C5801&lt;99,VLOOKUP(F5801,'MSA-Lookup'!$AA$1:$AB$25,2),C5801),C5801)</f>
        <v>4472</v>
      </c>
    </row>
    <row r="5802" customFormat="false" ht="12.75" hidden="false" customHeight="false" outlineLevel="0" collapsed="false">
      <c r="A5802" s="0" t="n">
        <f aca="false">B5802*1000+C5802</f>
        <v>78084</v>
      </c>
      <c r="B5802" s="0" t="n">
        <v>78</v>
      </c>
      <c r="C5802" s="0" t="n">
        <v>84</v>
      </c>
      <c r="D5802" s="0" t="n">
        <v>0</v>
      </c>
      <c r="E5802" s="0" t="n">
        <f aca="false">VLOOKUP(B5802,'MSA-Lookup'!$H$2:$I$86,2)</f>
        <v>680</v>
      </c>
      <c r="F5802" s="0" t="n">
        <f aca="false">IF(C5802&gt;1,IF(C5802&lt;99,VLOOKUP(C5802,'MSA-Lookup'!$H$1:$I$86,2),C5802),C5802)</f>
        <v>360</v>
      </c>
      <c r="G5802" s="0" t="n">
        <f aca="false">VLOOKUP(E5802,'MSA-Lookup'!$AA$1:$AB$25,2)</f>
        <v>680</v>
      </c>
      <c r="H5802" s="0" t="n">
        <f aca="false">IF(C5802&gt;1,IF(C5802&lt;99,VLOOKUP(F5802,'MSA-Lookup'!$AA$1:$AB$25,2),C5802),C5802)</f>
        <v>4472</v>
      </c>
    </row>
    <row r="5803" customFormat="false" ht="12.75" hidden="false" customHeight="false" outlineLevel="0" collapsed="false">
      <c r="A5803" s="0" t="n">
        <f aca="false">B5803*1000+C5803</f>
        <v>78085</v>
      </c>
      <c r="B5803" s="0" t="n">
        <v>78</v>
      </c>
      <c r="C5803" s="0" t="n">
        <v>85</v>
      </c>
      <c r="D5803" s="0" t="n">
        <v>0</v>
      </c>
      <c r="E5803" s="0" t="n">
        <f aca="false">VLOOKUP(B5803,'MSA-Lookup'!$H$2:$I$86,2)</f>
        <v>680</v>
      </c>
      <c r="F5803" s="0" t="n">
        <f aca="false">IF(C5803&gt;1,IF(C5803&lt;99,VLOOKUP(C5803,'MSA-Lookup'!$H$1:$I$86,2),C5803),C5803)</f>
        <v>8120</v>
      </c>
      <c r="G5803" s="0" t="n">
        <f aca="false">VLOOKUP(E5803,'MSA-Lookup'!$AA$1:$AB$25,2)</f>
        <v>680</v>
      </c>
      <c r="H5803" s="0" t="n">
        <f aca="false">IF(C5803&gt;1,IF(C5803&lt;99,VLOOKUP(F5803,'MSA-Lookup'!$AA$1:$AB$25,2),C5803),C5803)</f>
        <v>8120</v>
      </c>
    </row>
    <row r="5804" customFormat="false" ht="12.75" hidden="false" customHeight="false" outlineLevel="0" collapsed="false">
      <c r="A5804" s="0" t="n">
        <f aca="false">B5804*1000+C5804</f>
        <v>78858</v>
      </c>
      <c r="B5804" s="0" t="n">
        <v>78</v>
      </c>
      <c r="C5804" s="0" t="n">
        <v>858</v>
      </c>
      <c r="D5804" s="0" t="n">
        <v>0</v>
      </c>
      <c r="E5804" s="0" t="n">
        <f aca="false">VLOOKUP(B5804,'MSA-Lookup'!$H$2:$I$86,2)</f>
        <v>680</v>
      </c>
      <c r="F5804" s="0" t="n">
        <f aca="false">IF(C5804&gt;1,IF(C5804&lt;99,VLOOKUP(C5804,'MSA-Lookup'!$H$1:$I$86,2),C5804),C5804)</f>
        <v>858</v>
      </c>
      <c r="G5804" s="0" t="n">
        <f aca="false">VLOOKUP(E5804,'MSA-Lookup'!$AA$1:$AB$25,2)</f>
        <v>680</v>
      </c>
      <c r="H5804" s="0" t="n">
        <f aca="false">IF(C5804&gt;1,IF(C5804&lt;99,VLOOKUP(F5804,'MSA-Lookup'!$AA$1:$AB$25,2),C5804),C5804)</f>
        <v>858</v>
      </c>
    </row>
    <row r="5805" customFormat="false" ht="12.75" hidden="false" customHeight="false" outlineLevel="0" collapsed="false">
      <c r="A5805" s="0" t="n">
        <f aca="false">B5805*1000+C5805</f>
        <v>78983</v>
      </c>
      <c r="B5805" s="0" t="n">
        <v>78</v>
      </c>
      <c r="C5805" s="0" t="n">
        <v>983</v>
      </c>
      <c r="D5805" s="0" t="n">
        <v>0</v>
      </c>
      <c r="E5805" s="0" t="n">
        <f aca="false">VLOOKUP(B5805,'MSA-Lookup'!$H$2:$I$86,2)</f>
        <v>680</v>
      </c>
      <c r="F5805" s="0" t="n">
        <f aca="false">IF(C5805&gt;1,IF(C5805&lt;99,VLOOKUP(C5805,'MSA-Lookup'!$H$1:$I$86,2),C5805),C5805)</f>
        <v>983</v>
      </c>
      <c r="G5805" s="0" t="n">
        <f aca="false">VLOOKUP(E5805,'MSA-Lookup'!$AA$1:$AB$25,2)</f>
        <v>680</v>
      </c>
      <c r="H5805" s="0" t="n">
        <f aca="false">IF(C5805&gt;1,IF(C5805&lt;99,VLOOKUP(F5805,'MSA-Lookup'!$AA$1:$AB$25,2),C5805),C5805)</f>
        <v>983</v>
      </c>
    </row>
    <row r="5806" customFormat="false" ht="12.75" hidden="false" customHeight="false" outlineLevel="0" collapsed="false">
      <c r="A5806" s="0" t="n">
        <f aca="false">B5806*1000+C5806</f>
        <v>78999</v>
      </c>
      <c r="B5806" s="0" t="n">
        <v>78</v>
      </c>
      <c r="C5806" s="0" t="n">
        <v>999</v>
      </c>
      <c r="D5806" s="0" t="n">
        <v>0</v>
      </c>
      <c r="E5806" s="0" t="n">
        <f aca="false">VLOOKUP(B5806,'MSA-Lookup'!$H$2:$I$86,2)</f>
        <v>680</v>
      </c>
      <c r="F5806" s="0" t="n">
        <f aca="false">IF(C5806&gt;1,IF(C5806&lt;99,VLOOKUP(C5806,'MSA-Lookup'!$H$1:$I$86,2),C5806),C5806)</f>
        <v>999</v>
      </c>
      <c r="G5806" s="0" t="n">
        <f aca="false">VLOOKUP(E5806,'MSA-Lookup'!$AA$1:$AB$25,2)</f>
        <v>680</v>
      </c>
      <c r="H5806" s="0" t="n">
        <f aca="false">IF(C5806&gt;1,IF(C5806&lt;99,VLOOKUP(F5806,'MSA-Lookup'!$AA$1:$AB$25,2),C5806),C5806)</f>
        <v>999</v>
      </c>
    </row>
    <row r="5807" customFormat="false" ht="12.75" hidden="false" customHeight="false" outlineLevel="0" collapsed="false">
      <c r="A5807" s="0" t="n">
        <f aca="false">B5807*1000+C5807</f>
        <v>79000</v>
      </c>
      <c r="B5807" s="0" t="n">
        <v>79</v>
      </c>
      <c r="C5807" s="0" t="n">
        <v>0</v>
      </c>
      <c r="D5807" s="0" t="n">
        <v>220766</v>
      </c>
      <c r="E5807" s="0" t="n">
        <f aca="false">VLOOKUP(B5807,'MSA-Lookup'!$H$2:$I$86,2)</f>
        <v>680</v>
      </c>
      <c r="F5807" s="0" t="n">
        <f aca="false">IF(C5807&gt;1,IF(C5807&lt;99,VLOOKUP(C5807,'MSA-Lookup'!$H$1:$I$86,2),C5807),C5807)</f>
        <v>0</v>
      </c>
      <c r="G5807" s="0" t="n">
        <f aca="false">VLOOKUP(E5807,'MSA-Lookup'!$AA$1:$AB$25,2)</f>
        <v>680</v>
      </c>
      <c r="H5807" s="0" t="n">
        <f aca="false">IF(C5807&gt;1,IF(C5807&lt;99,VLOOKUP(F5807,'MSA-Lookup'!$AA$1:$AB$25,2),C5807),C5807)</f>
        <v>0</v>
      </c>
    </row>
    <row r="5808" customFormat="false" ht="12.75" hidden="false" customHeight="false" outlineLevel="0" collapsed="false">
      <c r="A5808" s="0" t="n">
        <f aca="false">B5808*1000+C5808</f>
        <v>79001</v>
      </c>
      <c r="B5808" s="0" t="n">
        <v>79</v>
      </c>
      <c r="C5808" s="0" t="n">
        <v>1</v>
      </c>
      <c r="D5808" s="0" t="n">
        <v>0</v>
      </c>
      <c r="E5808" s="0" t="n">
        <f aca="false">VLOOKUP(B5808,'MSA-Lookup'!$H$2:$I$86,2)</f>
        <v>680</v>
      </c>
      <c r="F5808" s="0" t="n">
        <f aca="false">IF(C5808&gt;1,IF(C5808&lt;99,VLOOKUP(C5808,'MSA-Lookup'!$H$1:$I$86,2),C5808),C5808)</f>
        <v>1</v>
      </c>
      <c r="G5808" s="0" t="n">
        <f aca="false">VLOOKUP(E5808,'MSA-Lookup'!$AA$1:$AB$25,2)</f>
        <v>680</v>
      </c>
      <c r="H5808" s="0" t="n">
        <f aca="false">IF(C5808&gt;1,IF(C5808&lt;99,VLOOKUP(F5808,'MSA-Lookup'!$AA$1:$AB$25,2),C5808),C5808)</f>
        <v>1</v>
      </c>
    </row>
    <row r="5809" customFormat="false" ht="12.75" hidden="false" customHeight="false" outlineLevel="0" collapsed="false">
      <c r="A5809" s="0" t="n">
        <f aca="false">B5809*1000+C5809</f>
        <v>79002</v>
      </c>
      <c r="B5809" s="0" t="n">
        <v>79</v>
      </c>
      <c r="C5809" s="0" t="n">
        <v>2</v>
      </c>
      <c r="D5809" s="0" t="n">
        <v>0</v>
      </c>
      <c r="E5809" s="0" t="n">
        <f aca="false">VLOOKUP(B5809,'MSA-Lookup'!$H$2:$I$86,2)</f>
        <v>680</v>
      </c>
      <c r="F5809" s="0" t="n">
        <f aca="false">IF(C5809&gt;1,IF(C5809&lt;99,VLOOKUP(C5809,'MSA-Lookup'!$H$1:$I$86,2),C5809),C5809)</f>
        <v>9999</v>
      </c>
      <c r="G5809" s="0" t="n">
        <f aca="false">VLOOKUP(E5809,'MSA-Lookup'!$AA$1:$AB$25,2)</f>
        <v>680</v>
      </c>
      <c r="H5809" s="0" t="n">
        <f aca="false">IF(C5809&gt;1,IF(C5809&lt;99,VLOOKUP(F5809,'MSA-Lookup'!$AA$1:$AB$25,2),C5809),C5809)</f>
        <v>9999</v>
      </c>
    </row>
    <row r="5810" customFormat="false" ht="12.75" hidden="false" customHeight="false" outlineLevel="0" collapsed="false">
      <c r="A5810" s="0" t="n">
        <f aca="false">B5810*1000+C5810</f>
        <v>79003</v>
      </c>
      <c r="B5810" s="0" t="n">
        <v>79</v>
      </c>
      <c r="C5810" s="0" t="n">
        <v>3</v>
      </c>
      <c r="D5810" s="0" t="n">
        <v>0</v>
      </c>
      <c r="E5810" s="0" t="n">
        <f aca="false">VLOOKUP(B5810,'MSA-Lookup'!$H$2:$I$86,2)</f>
        <v>680</v>
      </c>
      <c r="F5810" s="0" t="n">
        <f aca="false">IF(C5810&gt;1,IF(C5810&lt;99,VLOOKUP(C5810,'MSA-Lookup'!$H$1:$I$86,2),C5810),C5810)</f>
        <v>6690</v>
      </c>
      <c r="G5810" s="0" t="n">
        <f aca="false">VLOOKUP(E5810,'MSA-Lookup'!$AA$1:$AB$25,2)</f>
        <v>680</v>
      </c>
      <c r="H5810" s="0" t="n">
        <f aca="false">IF(C5810&gt;1,IF(C5810&lt;99,VLOOKUP(F5810,'MSA-Lookup'!$AA$1:$AB$25,2),C5810),C5810)</f>
        <v>6690</v>
      </c>
    </row>
    <row r="5811" customFormat="false" ht="12.75" hidden="false" customHeight="false" outlineLevel="0" collapsed="false">
      <c r="A5811" s="0" t="n">
        <f aca="false">B5811*1000+C5811</f>
        <v>79004</v>
      </c>
      <c r="B5811" s="0" t="n">
        <v>79</v>
      </c>
      <c r="C5811" s="0" t="n">
        <v>4</v>
      </c>
      <c r="D5811" s="0" t="n">
        <v>182</v>
      </c>
      <c r="E5811" s="0" t="n">
        <f aca="false">VLOOKUP(B5811,'MSA-Lookup'!$H$2:$I$86,2)</f>
        <v>680</v>
      </c>
      <c r="F5811" s="0" t="n">
        <f aca="false">IF(C5811&gt;1,IF(C5811&lt;99,VLOOKUP(C5811,'MSA-Lookup'!$H$1:$I$86,2),C5811),C5811)</f>
        <v>9999</v>
      </c>
      <c r="G5811" s="0" t="n">
        <f aca="false">VLOOKUP(E5811,'MSA-Lookup'!$AA$1:$AB$25,2)</f>
        <v>680</v>
      </c>
      <c r="H5811" s="0" t="n">
        <f aca="false">IF(C5811&gt;1,IF(C5811&lt;99,VLOOKUP(F5811,'MSA-Lookup'!$AA$1:$AB$25,2),C5811),C5811)</f>
        <v>9999</v>
      </c>
    </row>
    <row r="5812" customFormat="false" ht="12.75" hidden="false" customHeight="false" outlineLevel="0" collapsed="false">
      <c r="A5812" s="0" t="n">
        <f aca="false">B5812*1000+C5812</f>
        <v>79005</v>
      </c>
      <c r="B5812" s="0" t="n">
        <v>79</v>
      </c>
      <c r="C5812" s="0" t="n">
        <v>5</v>
      </c>
      <c r="D5812" s="0" t="n">
        <v>0</v>
      </c>
      <c r="E5812" s="0" t="n">
        <f aca="false">VLOOKUP(B5812,'MSA-Lookup'!$H$2:$I$86,2)</f>
        <v>680</v>
      </c>
      <c r="F5812" s="0" t="n">
        <f aca="false">IF(C5812&gt;1,IF(C5812&lt;99,VLOOKUP(C5812,'MSA-Lookup'!$H$1:$I$86,2),C5812),C5812)</f>
        <v>9999</v>
      </c>
      <c r="G5812" s="0" t="n">
        <f aca="false">VLOOKUP(E5812,'MSA-Lookup'!$AA$1:$AB$25,2)</f>
        <v>680</v>
      </c>
      <c r="H5812" s="0" t="n">
        <f aca="false">IF(C5812&gt;1,IF(C5812&lt;99,VLOOKUP(F5812,'MSA-Lookup'!$AA$1:$AB$25,2),C5812),C5812)</f>
        <v>9999</v>
      </c>
    </row>
    <row r="5813" customFormat="false" ht="12.75" hidden="false" customHeight="false" outlineLevel="0" collapsed="false">
      <c r="A5813" s="0" t="n">
        <f aca="false">B5813*1000+C5813</f>
        <v>79006</v>
      </c>
      <c r="B5813" s="0" t="n">
        <v>79</v>
      </c>
      <c r="C5813" s="0" t="n">
        <v>6</v>
      </c>
      <c r="D5813" s="0" t="n">
        <v>0</v>
      </c>
      <c r="E5813" s="0" t="n">
        <f aca="false">VLOOKUP(B5813,'MSA-Lookup'!$H$2:$I$86,2)</f>
        <v>680</v>
      </c>
      <c r="F5813" s="0" t="n">
        <f aca="false">IF(C5813&gt;1,IF(C5813&lt;99,VLOOKUP(C5813,'MSA-Lookup'!$H$1:$I$86,2),C5813),C5813)</f>
        <v>1620</v>
      </c>
      <c r="G5813" s="0" t="n">
        <f aca="false">VLOOKUP(E5813,'MSA-Lookup'!$AA$1:$AB$25,2)</f>
        <v>680</v>
      </c>
      <c r="H5813" s="0" t="n">
        <f aca="false">IF(C5813&gt;1,IF(C5813&lt;99,VLOOKUP(F5813,'MSA-Lookup'!$AA$1:$AB$25,2),C5813),C5813)</f>
        <v>1620</v>
      </c>
    </row>
    <row r="5814" customFormat="false" ht="12.75" hidden="false" customHeight="false" outlineLevel="0" collapsed="false">
      <c r="A5814" s="0" t="n">
        <f aca="false">B5814*1000+C5814</f>
        <v>79007</v>
      </c>
      <c r="B5814" s="0" t="n">
        <v>79</v>
      </c>
      <c r="C5814" s="0" t="n">
        <v>7</v>
      </c>
      <c r="D5814" s="0" t="n">
        <v>0</v>
      </c>
      <c r="E5814" s="0" t="n">
        <f aca="false">VLOOKUP(B5814,'MSA-Lookup'!$H$2:$I$86,2)</f>
        <v>680</v>
      </c>
      <c r="F5814" s="0" t="n">
        <f aca="false">IF(C5814&gt;1,IF(C5814&lt;99,VLOOKUP(C5814,'MSA-Lookup'!$H$1:$I$86,2),C5814),C5814)</f>
        <v>9999</v>
      </c>
      <c r="G5814" s="0" t="n">
        <f aca="false">VLOOKUP(E5814,'MSA-Lookup'!$AA$1:$AB$25,2)</f>
        <v>680</v>
      </c>
      <c r="H5814" s="0" t="n">
        <f aca="false">IF(C5814&gt;1,IF(C5814&lt;99,VLOOKUP(F5814,'MSA-Lookup'!$AA$1:$AB$25,2),C5814),C5814)</f>
        <v>9999</v>
      </c>
    </row>
    <row r="5815" customFormat="false" ht="12.75" hidden="false" customHeight="false" outlineLevel="0" collapsed="false">
      <c r="A5815" s="0" t="n">
        <f aca="false">B5815*1000+C5815</f>
        <v>79008</v>
      </c>
      <c r="B5815" s="0" t="n">
        <v>79</v>
      </c>
      <c r="C5815" s="0" t="n">
        <v>8</v>
      </c>
      <c r="D5815" s="0" t="n">
        <v>0</v>
      </c>
      <c r="E5815" s="0" t="n">
        <f aca="false">VLOOKUP(B5815,'MSA-Lookup'!$H$2:$I$86,2)</f>
        <v>680</v>
      </c>
      <c r="F5815" s="0" t="n">
        <f aca="false">IF(C5815&gt;1,IF(C5815&lt;99,VLOOKUP(C5815,'MSA-Lookup'!$H$1:$I$86,2),C5815),C5815)</f>
        <v>9340</v>
      </c>
      <c r="G5815" s="0" t="n">
        <f aca="false">VLOOKUP(E5815,'MSA-Lookup'!$AA$1:$AB$25,2)</f>
        <v>680</v>
      </c>
      <c r="H5815" s="0" t="n">
        <f aca="false">IF(C5815&gt;1,IF(C5815&lt;99,VLOOKUP(F5815,'MSA-Lookup'!$AA$1:$AB$25,2),C5815),C5815)</f>
        <v>9340</v>
      </c>
    </row>
    <row r="5816" customFormat="false" ht="12.75" hidden="false" customHeight="false" outlineLevel="0" collapsed="false">
      <c r="A5816" s="0" t="n">
        <f aca="false">B5816*1000+C5816</f>
        <v>79009</v>
      </c>
      <c r="B5816" s="0" t="n">
        <v>79</v>
      </c>
      <c r="C5816" s="0" t="n">
        <v>9</v>
      </c>
      <c r="D5816" s="0" t="n">
        <v>0</v>
      </c>
      <c r="E5816" s="0" t="n">
        <f aca="false">VLOOKUP(B5816,'MSA-Lookup'!$H$2:$I$86,2)</f>
        <v>680</v>
      </c>
      <c r="F5816" s="0" t="n">
        <f aca="false">IF(C5816&gt;1,IF(C5816&lt;99,VLOOKUP(C5816,'MSA-Lookup'!$H$1:$I$86,2),C5816),C5816)</f>
        <v>8720</v>
      </c>
      <c r="G5816" s="0" t="n">
        <f aca="false">VLOOKUP(E5816,'MSA-Lookup'!$AA$1:$AB$25,2)</f>
        <v>680</v>
      </c>
      <c r="H5816" s="0" t="n">
        <f aca="false">IF(C5816&gt;1,IF(C5816&lt;99,VLOOKUP(F5816,'MSA-Lookup'!$AA$1:$AB$25,2),C5816),C5816)</f>
        <v>7362</v>
      </c>
    </row>
    <row r="5817" customFormat="false" ht="12.75" hidden="false" customHeight="false" outlineLevel="0" collapsed="false">
      <c r="A5817" s="0" t="n">
        <f aca="false">B5817*1000+C5817</f>
        <v>79010</v>
      </c>
      <c r="B5817" s="0" t="n">
        <v>79</v>
      </c>
      <c r="C5817" s="0" t="n">
        <v>10</v>
      </c>
      <c r="D5817" s="0" t="n">
        <v>0</v>
      </c>
      <c r="E5817" s="0" t="n">
        <f aca="false">VLOOKUP(B5817,'MSA-Lookup'!$H$2:$I$86,2)</f>
        <v>680</v>
      </c>
      <c r="F5817" s="0" t="n">
        <f aca="false">IF(C5817&gt;1,IF(C5817&lt;99,VLOOKUP(C5817,'MSA-Lookup'!$H$1:$I$86,2),C5817),C5817)</f>
        <v>6920</v>
      </c>
      <c r="G5817" s="0" t="n">
        <f aca="false">VLOOKUP(E5817,'MSA-Lookup'!$AA$1:$AB$25,2)</f>
        <v>680</v>
      </c>
      <c r="H5817" s="0" t="n">
        <f aca="false">IF(C5817&gt;1,IF(C5817&lt;99,VLOOKUP(F5817,'MSA-Lookup'!$AA$1:$AB$25,2),C5817),C5817)</f>
        <v>6920</v>
      </c>
    </row>
    <row r="5818" customFormat="false" ht="12.75" hidden="false" customHeight="false" outlineLevel="0" collapsed="false">
      <c r="A5818" s="0" t="n">
        <f aca="false">B5818*1000+C5818</f>
        <v>79011</v>
      </c>
      <c r="B5818" s="0" t="n">
        <v>79</v>
      </c>
      <c r="C5818" s="0" t="n">
        <v>11</v>
      </c>
      <c r="D5818" s="0" t="n">
        <v>0</v>
      </c>
      <c r="E5818" s="0" t="n">
        <f aca="false">VLOOKUP(B5818,'MSA-Lookup'!$H$2:$I$86,2)</f>
        <v>680</v>
      </c>
      <c r="F5818" s="0" t="n">
        <f aca="false">IF(C5818&gt;1,IF(C5818&lt;99,VLOOKUP(C5818,'MSA-Lookup'!$H$1:$I$86,2),C5818),C5818)</f>
        <v>6920</v>
      </c>
      <c r="G5818" s="0" t="n">
        <f aca="false">VLOOKUP(E5818,'MSA-Lookup'!$AA$1:$AB$25,2)</f>
        <v>680</v>
      </c>
      <c r="H5818" s="0" t="n">
        <f aca="false">IF(C5818&gt;1,IF(C5818&lt;99,VLOOKUP(F5818,'MSA-Lookup'!$AA$1:$AB$25,2),C5818),C5818)</f>
        <v>6920</v>
      </c>
    </row>
    <row r="5819" customFormat="false" ht="12.75" hidden="false" customHeight="false" outlineLevel="0" collapsed="false">
      <c r="A5819" s="0" t="n">
        <f aca="false">B5819*1000+C5819</f>
        <v>79012</v>
      </c>
      <c r="B5819" s="0" t="n">
        <v>79</v>
      </c>
      <c r="C5819" s="0" t="n">
        <v>12</v>
      </c>
      <c r="D5819" s="0" t="n">
        <v>0</v>
      </c>
      <c r="E5819" s="0" t="n">
        <f aca="false">VLOOKUP(B5819,'MSA-Lookup'!$H$2:$I$86,2)</f>
        <v>680</v>
      </c>
      <c r="F5819" s="0" t="n">
        <f aca="false">IF(C5819&gt;1,IF(C5819&lt;99,VLOOKUP(C5819,'MSA-Lookup'!$H$1:$I$86,2),C5819),C5819)</f>
        <v>6920</v>
      </c>
      <c r="G5819" s="0" t="n">
        <f aca="false">VLOOKUP(E5819,'MSA-Lookup'!$AA$1:$AB$25,2)</f>
        <v>680</v>
      </c>
      <c r="H5819" s="0" t="n">
        <f aca="false">IF(C5819&gt;1,IF(C5819&lt;99,VLOOKUP(F5819,'MSA-Lookup'!$AA$1:$AB$25,2),C5819),C5819)</f>
        <v>6920</v>
      </c>
    </row>
    <row r="5820" customFormat="false" ht="12.75" hidden="false" customHeight="false" outlineLevel="0" collapsed="false">
      <c r="A5820" s="0" t="n">
        <f aca="false">B5820*1000+C5820</f>
        <v>79013</v>
      </c>
      <c r="B5820" s="0" t="n">
        <v>79</v>
      </c>
      <c r="C5820" s="0" t="n">
        <v>13</v>
      </c>
      <c r="D5820" s="0" t="n">
        <v>0</v>
      </c>
      <c r="E5820" s="0" t="n">
        <f aca="false">VLOOKUP(B5820,'MSA-Lookup'!$H$2:$I$86,2)</f>
        <v>680</v>
      </c>
      <c r="F5820" s="0" t="n">
        <f aca="false">IF(C5820&gt;1,IF(C5820&lt;99,VLOOKUP(C5820,'MSA-Lookup'!$H$1:$I$86,2),C5820),C5820)</f>
        <v>7500</v>
      </c>
      <c r="G5820" s="0" t="n">
        <f aca="false">VLOOKUP(E5820,'MSA-Lookup'!$AA$1:$AB$25,2)</f>
        <v>680</v>
      </c>
      <c r="H5820" s="0" t="n">
        <f aca="false">IF(C5820&gt;1,IF(C5820&lt;99,VLOOKUP(F5820,'MSA-Lookup'!$AA$1:$AB$25,2),C5820),C5820)</f>
        <v>7362</v>
      </c>
    </row>
    <row r="5821" customFormat="false" ht="12.75" hidden="false" customHeight="false" outlineLevel="0" collapsed="false">
      <c r="A5821" s="0" t="n">
        <f aca="false">B5821*1000+C5821</f>
        <v>79014</v>
      </c>
      <c r="B5821" s="0" t="n">
        <v>79</v>
      </c>
      <c r="C5821" s="0" t="n">
        <v>14</v>
      </c>
      <c r="D5821" s="0" t="n">
        <v>0</v>
      </c>
      <c r="E5821" s="0" t="n">
        <f aca="false">VLOOKUP(B5821,'MSA-Lookup'!$H$2:$I$86,2)</f>
        <v>680</v>
      </c>
      <c r="F5821" s="0" t="n">
        <f aca="false">IF(C5821&gt;1,IF(C5821&lt;99,VLOOKUP(C5821,'MSA-Lookup'!$H$1:$I$86,2),C5821),C5821)</f>
        <v>7500</v>
      </c>
      <c r="G5821" s="0" t="n">
        <f aca="false">VLOOKUP(E5821,'MSA-Lookup'!$AA$1:$AB$25,2)</f>
        <v>680</v>
      </c>
      <c r="H5821" s="0" t="n">
        <f aca="false">IF(C5821&gt;1,IF(C5821&lt;99,VLOOKUP(F5821,'MSA-Lookup'!$AA$1:$AB$25,2),C5821),C5821)</f>
        <v>7362</v>
      </c>
    </row>
    <row r="5822" customFormat="false" ht="12.75" hidden="false" customHeight="false" outlineLevel="0" collapsed="false">
      <c r="A5822" s="0" t="n">
        <f aca="false">B5822*1000+C5822</f>
        <v>79015</v>
      </c>
      <c r="B5822" s="0" t="n">
        <v>79</v>
      </c>
      <c r="C5822" s="0" t="n">
        <v>15</v>
      </c>
      <c r="D5822" s="0" t="n">
        <v>0</v>
      </c>
      <c r="E5822" s="0" t="n">
        <f aca="false">VLOOKUP(B5822,'MSA-Lookup'!$H$2:$I$86,2)</f>
        <v>680</v>
      </c>
      <c r="F5822" s="0" t="n">
        <f aca="false">IF(C5822&gt;1,IF(C5822&lt;99,VLOOKUP(C5822,'MSA-Lookup'!$H$1:$I$86,2),C5822),C5822)</f>
        <v>7360</v>
      </c>
      <c r="G5822" s="0" t="n">
        <f aca="false">VLOOKUP(E5822,'MSA-Lookup'!$AA$1:$AB$25,2)</f>
        <v>680</v>
      </c>
      <c r="H5822" s="0" t="n">
        <f aca="false">IF(C5822&gt;1,IF(C5822&lt;99,VLOOKUP(F5822,'MSA-Lookup'!$AA$1:$AB$25,2),C5822),C5822)</f>
        <v>7362</v>
      </c>
    </row>
    <row r="5823" customFormat="false" ht="12.75" hidden="false" customHeight="false" outlineLevel="0" collapsed="false">
      <c r="A5823" s="0" t="n">
        <f aca="false">B5823*1000+C5823</f>
        <v>79016</v>
      </c>
      <c r="B5823" s="0" t="n">
        <v>79</v>
      </c>
      <c r="C5823" s="0" t="n">
        <v>16</v>
      </c>
      <c r="D5823" s="0" t="n">
        <v>0</v>
      </c>
      <c r="E5823" s="0" t="n">
        <f aca="false">VLOOKUP(B5823,'MSA-Lookup'!$H$2:$I$86,2)</f>
        <v>680</v>
      </c>
      <c r="F5823" s="0" t="n">
        <f aca="false">IF(C5823&gt;1,IF(C5823&lt;99,VLOOKUP(C5823,'MSA-Lookup'!$H$1:$I$86,2),C5823),C5823)</f>
        <v>8720</v>
      </c>
      <c r="G5823" s="0" t="n">
        <f aca="false">VLOOKUP(E5823,'MSA-Lookup'!$AA$1:$AB$25,2)</f>
        <v>680</v>
      </c>
      <c r="H5823" s="0" t="n">
        <f aca="false">IF(C5823&gt;1,IF(C5823&lt;99,VLOOKUP(F5823,'MSA-Lookup'!$AA$1:$AB$25,2),C5823),C5823)</f>
        <v>7362</v>
      </c>
    </row>
    <row r="5824" customFormat="false" ht="12.75" hidden="false" customHeight="false" outlineLevel="0" collapsed="false">
      <c r="A5824" s="0" t="n">
        <f aca="false">B5824*1000+C5824</f>
        <v>79017</v>
      </c>
      <c r="B5824" s="0" t="n">
        <v>79</v>
      </c>
      <c r="C5824" s="0" t="n">
        <v>17</v>
      </c>
      <c r="D5824" s="0" t="n">
        <v>0</v>
      </c>
      <c r="E5824" s="0" t="n">
        <f aca="false">VLOOKUP(B5824,'MSA-Lookup'!$H$2:$I$86,2)</f>
        <v>680</v>
      </c>
      <c r="F5824" s="0" t="n">
        <f aca="false">IF(C5824&gt;1,IF(C5824&lt;99,VLOOKUP(C5824,'MSA-Lookup'!$H$1:$I$86,2),C5824),C5824)</f>
        <v>5775</v>
      </c>
      <c r="G5824" s="0" t="n">
        <f aca="false">VLOOKUP(E5824,'MSA-Lookup'!$AA$1:$AB$25,2)</f>
        <v>680</v>
      </c>
      <c r="H5824" s="0" t="n">
        <f aca="false">IF(C5824&gt;1,IF(C5824&lt;99,VLOOKUP(F5824,'MSA-Lookup'!$AA$1:$AB$25,2),C5824),C5824)</f>
        <v>7362</v>
      </c>
    </row>
    <row r="5825" customFormat="false" ht="12.75" hidden="false" customHeight="false" outlineLevel="0" collapsed="false">
      <c r="A5825" s="0" t="n">
        <f aca="false">B5825*1000+C5825</f>
        <v>79018</v>
      </c>
      <c r="B5825" s="0" t="n">
        <v>79</v>
      </c>
      <c r="C5825" s="0" t="n">
        <v>18</v>
      </c>
      <c r="D5825" s="0" t="n">
        <v>0</v>
      </c>
      <c r="E5825" s="0" t="n">
        <f aca="false">VLOOKUP(B5825,'MSA-Lookup'!$H$2:$I$86,2)</f>
        <v>680</v>
      </c>
      <c r="F5825" s="0" t="n">
        <f aca="false">IF(C5825&gt;1,IF(C5825&lt;99,VLOOKUP(C5825,'MSA-Lookup'!$H$1:$I$86,2),C5825),C5825)</f>
        <v>5775</v>
      </c>
      <c r="G5825" s="0" t="n">
        <f aca="false">VLOOKUP(E5825,'MSA-Lookup'!$AA$1:$AB$25,2)</f>
        <v>680</v>
      </c>
      <c r="H5825" s="0" t="n">
        <f aca="false">IF(C5825&gt;1,IF(C5825&lt;99,VLOOKUP(F5825,'MSA-Lookup'!$AA$1:$AB$25,2),C5825),C5825)</f>
        <v>7362</v>
      </c>
    </row>
    <row r="5826" customFormat="false" ht="12.75" hidden="false" customHeight="false" outlineLevel="0" collapsed="false">
      <c r="A5826" s="0" t="n">
        <f aca="false">B5826*1000+C5826</f>
        <v>79019</v>
      </c>
      <c r="B5826" s="0" t="n">
        <v>79</v>
      </c>
      <c r="C5826" s="0" t="n">
        <v>19</v>
      </c>
      <c r="D5826" s="0" t="n">
        <v>78</v>
      </c>
      <c r="E5826" s="0" t="n">
        <f aca="false">VLOOKUP(B5826,'MSA-Lookup'!$H$2:$I$86,2)</f>
        <v>680</v>
      </c>
      <c r="F5826" s="0" t="n">
        <f aca="false">IF(C5826&gt;1,IF(C5826&lt;99,VLOOKUP(C5826,'MSA-Lookup'!$H$1:$I$86,2),C5826),C5826)</f>
        <v>7360</v>
      </c>
      <c r="G5826" s="0" t="n">
        <f aca="false">VLOOKUP(E5826,'MSA-Lookup'!$AA$1:$AB$25,2)</f>
        <v>680</v>
      </c>
      <c r="H5826" s="0" t="n">
        <f aca="false">IF(C5826&gt;1,IF(C5826&lt;99,VLOOKUP(F5826,'MSA-Lookup'!$AA$1:$AB$25,2),C5826),C5826)</f>
        <v>7362</v>
      </c>
    </row>
    <row r="5827" customFormat="false" ht="12.75" hidden="false" customHeight="false" outlineLevel="0" collapsed="false">
      <c r="A5827" s="0" t="n">
        <f aca="false">B5827*1000+C5827</f>
        <v>79020</v>
      </c>
      <c r="B5827" s="0" t="n">
        <v>79</v>
      </c>
      <c r="C5827" s="0" t="n">
        <v>20</v>
      </c>
      <c r="D5827" s="0" t="n">
        <v>0</v>
      </c>
      <c r="E5827" s="0" t="n">
        <f aca="false">VLOOKUP(B5827,'MSA-Lookup'!$H$2:$I$86,2)</f>
        <v>680</v>
      </c>
      <c r="F5827" s="0" t="n">
        <f aca="false">IF(C5827&gt;1,IF(C5827&lt;99,VLOOKUP(C5827,'MSA-Lookup'!$H$1:$I$86,2),C5827),C5827)</f>
        <v>5775</v>
      </c>
      <c r="G5827" s="0" t="n">
        <f aca="false">VLOOKUP(E5827,'MSA-Lookup'!$AA$1:$AB$25,2)</f>
        <v>680</v>
      </c>
      <c r="H5827" s="0" t="n">
        <f aca="false">IF(C5827&gt;1,IF(C5827&lt;99,VLOOKUP(F5827,'MSA-Lookup'!$AA$1:$AB$25,2),C5827),C5827)</f>
        <v>7362</v>
      </c>
    </row>
    <row r="5828" customFormat="false" ht="12.75" hidden="false" customHeight="false" outlineLevel="0" collapsed="false">
      <c r="A5828" s="0" t="n">
        <f aca="false">B5828*1000+C5828</f>
        <v>79021</v>
      </c>
      <c r="B5828" s="0" t="n">
        <v>79</v>
      </c>
      <c r="C5828" s="0" t="n">
        <v>21</v>
      </c>
      <c r="D5828" s="0" t="n">
        <v>0</v>
      </c>
      <c r="E5828" s="0" t="n">
        <f aca="false">VLOOKUP(B5828,'MSA-Lookup'!$H$2:$I$86,2)</f>
        <v>680</v>
      </c>
      <c r="F5828" s="0" t="n">
        <f aca="false">IF(C5828&gt;1,IF(C5828&lt;99,VLOOKUP(C5828,'MSA-Lookup'!$H$1:$I$86,2),C5828),C5828)</f>
        <v>5775</v>
      </c>
      <c r="G5828" s="0" t="n">
        <f aca="false">VLOOKUP(E5828,'MSA-Lookup'!$AA$1:$AB$25,2)</f>
        <v>680</v>
      </c>
      <c r="H5828" s="0" t="n">
        <f aca="false">IF(C5828&gt;1,IF(C5828&lt;99,VLOOKUP(F5828,'MSA-Lookup'!$AA$1:$AB$25,2),C5828),C5828)</f>
        <v>7362</v>
      </c>
    </row>
    <row r="5829" customFormat="false" ht="12.75" hidden="false" customHeight="false" outlineLevel="0" collapsed="false">
      <c r="A5829" s="0" t="n">
        <f aca="false">B5829*1000+C5829</f>
        <v>79022</v>
      </c>
      <c r="B5829" s="0" t="n">
        <v>79</v>
      </c>
      <c r="C5829" s="0" t="n">
        <v>22</v>
      </c>
      <c r="D5829" s="0" t="n">
        <v>0</v>
      </c>
      <c r="E5829" s="0" t="n">
        <f aca="false">VLOOKUP(B5829,'MSA-Lookup'!$H$2:$I$86,2)</f>
        <v>680</v>
      </c>
      <c r="F5829" s="0" t="n">
        <f aca="false">IF(C5829&gt;1,IF(C5829&lt;99,VLOOKUP(C5829,'MSA-Lookup'!$H$1:$I$86,2),C5829),C5829)</f>
        <v>7360</v>
      </c>
      <c r="G5829" s="0" t="n">
        <f aca="false">VLOOKUP(E5829,'MSA-Lookup'!$AA$1:$AB$25,2)</f>
        <v>680</v>
      </c>
      <c r="H5829" s="0" t="n">
        <f aca="false">IF(C5829&gt;1,IF(C5829&lt;99,VLOOKUP(F5829,'MSA-Lookup'!$AA$1:$AB$25,2),C5829),C5829)</f>
        <v>7362</v>
      </c>
    </row>
    <row r="5830" customFormat="false" ht="12.75" hidden="false" customHeight="false" outlineLevel="0" collapsed="false">
      <c r="A5830" s="0" t="n">
        <f aca="false">B5830*1000+C5830</f>
        <v>79023</v>
      </c>
      <c r="B5830" s="0" t="n">
        <v>79</v>
      </c>
      <c r="C5830" s="0" t="n">
        <v>23</v>
      </c>
      <c r="D5830" s="0" t="n">
        <v>0</v>
      </c>
      <c r="E5830" s="0" t="n">
        <f aca="false">VLOOKUP(B5830,'MSA-Lookup'!$H$2:$I$86,2)</f>
        <v>680</v>
      </c>
      <c r="F5830" s="0" t="n">
        <f aca="false">IF(C5830&gt;1,IF(C5830&lt;99,VLOOKUP(C5830,'MSA-Lookup'!$H$1:$I$86,2),C5830),C5830)</f>
        <v>8120</v>
      </c>
      <c r="G5830" s="0" t="n">
        <f aca="false">VLOOKUP(E5830,'MSA-Lookup'!$AA$1:$AB$25,2)</f>
        <v>680</v>
      </c>
      <c r="H5830" s="0" t="n">
        <f aca="false">IF(C5830&gt;1,IF(C5830&lt;99,VLOOKUP(F5830,'MSA-Lookup'!$AA$1:$AB$25,2),C5830),C5830)</f>
        <v>8120</v>
      </c>
    </row>
    <row r="5831" customFormat="false" ht="12.75" hidden="false" customHeight="false" outlineLevel="0" collapsed="false">
      <c r="A5831" s="0" t="n">
        <f aca="false">B5831*1000+C5831</f>
        <v>79024</v>
      </c>
      <c r="B5831" s="0" t="n">
        <v>79</v>
      </c>
      <c r="C5831" s="0" t="n">
        <v>24</v>
      </c>
      <c r="D5831" s="0" t="n">
        <v>0</v>
      </c>
      <c r="E5831" s="0" t="n">
        <f aca="false">VLOOKUP(B5831,'MSA-Lookup'!$H$2:$I$86,2)</f>
        <v>680</v>
      </c>
      <c r="F5831" s="0" t="n">
        <f aca="false">IF(C5831&gt;1,IF(C5831&lt;99,VLOOKUP(C5831,'MSA-Lookup'!$H$1:$I$86,2),C5831),C5831)</f>
        <v>5170</v>
      </c>
      <c r="G5831" s="0" t="n">
        <f aca="false">VLOOKUP(E5831,'MSA-Lookup'!$AA$1:$AB$25,2)</f>
        <v>680</v>
      </c>
      <c r="H5831" s="0" t="n">
        <f aca="false">IF(C5831&gt;1,IF(C5831&lt;99,VLOOKUP(F5831,'MSA-Lookup'!$AA$1:$AB$25,2),C5831),C5831)</f>
        <v>5170</v>
      </c>
    </row>
    <row r="5832" customFormat="false" ht="12.75" hidden="false" customHeight="false" outlineLevel="0" collapsed="false">
      <c r="A5832" s="0" t="n">
        <f aca="false">B5832*1000+C5832</f>
        <v>79025</v>
      </c>
      <c r="B5832" s="0" t="n">
        <v>79</v>
      </c>
      <c r="C5832" s="0" t="n">
        <v>25</v>
      </c>
      <c r="D5832" s="0" t="n">
        <v>0</v>
      </c>
      <c r="E5832" s="0" t="n">
        <f aca="false">VLOOKUP(B5832,'MSA-Lookup'!$H$2:$I$86,2)</f>
        <v>680</v>
      </c>
      <c r="F5832" s="0" t="n">
        <f aca="false">IF(C5832&gt;1,IF(C5832&lt;99,VLOOKUP(C5832,'MSA-Lookup'!$H$1:$I$86,2),C5832),C5832)</f>
        <v>5170</v>
      </c>
      <c r="G5832" s="0" t="n">
        <f aca="false">VLOOKUP(E5832,'MSA-Lookup'!$AA$1:$AB$25,2)</f>
        <v>680</v>
      </c>
      <c r="H5832" s="0" t="n">
        <f aca="false">IF(C5832&gt;1,IF(C5832&lt;99,VLOOKUP(F5832,'MSA-Lookup'!$AA$1:$AB$25,2),C5832),C5832)</f>
        <v>5170</v>
      </c>
    </row>
    <row r="5833" customFormat="false" ht="12.75" hidden="false" customHeight="false" outlineLevel="0" collapsed="false">
      <c r="A5833" s="0" t="n">
        <f aca="false">B5833*1000+C5833</f>
        <v>79026</v>
      </c>
      <c r="B5833" s="0" t="n">
        <v>79</v>
      </c>
      <c r="C5833" s="0" t="n">
        <v>26</v>
      </c>
      <c r="D5833" s="0" t="n">
        <v>299</v>
      </c>
      <c r="E5833" s="0" t="n">
        <f aca="false">VLOOKUP(B5833,'MSA-Lookup'!$H$2:$I$86,2)</f>
        <v>680</v>
      </c>
      <c r="F5833" s="0" t="n">
        <f aca="false">IF(C5833&gt;1,IF(C5833&lt;99,VLOOKUP(C5833,'MSA-Lookup'!$H$1:$I$86,2),C5833),C5833)</f>
        <v>9999</v>
      </c>
      <c r="G5833" s="0" t="n">
        <f aca="false">VLOOKUP(E5833,'MSA-Lookup'!$AA$1:$AB$25,2)</f>
        <v>680</v>
      </c>
      <c r="H5833" s="0" t="n">
        <f aca="false">IF(C5833&gt;1,IF(C5833&lt;99,VLOOKUP(F5833,'MSA-Lookup'!$AA$1:$AB$25,2),C5833),C5833)</f>
        <v>9999</v>
      </c>
    </row>
    <row r="5834" customFormat="false" ht="12.75" hidden="false" customHeight="false" outlineLevel="0" collapsed="false">
      <c r="A5834" s="0" t="n">
        <f aca="false">B5834*1000+C5834</f>
        <v>79027</v>
      </c>
      <c r="B5834" s="0" t="n">
        <v>79</v>
      </c>
      <c r="C5834" s="0" t="n">
        <v>27</v>
      </c>
      <c r="D5834" s="0" t="n">
        <v>208</v>
      </c>
      <c r="E5834" s="0" t="n">
        <f aca="false">VLOOKUP(B5834,'MSA-Lookup'!$H$2:$I$86,2)</f>
        <v>680</v>
      </c>
      <c r="F5834" s="0" t="n">
        <f aca="false">IF(C5834&gt;1,IF(C5834&lt;99,VLOOKUP(C5834,'MSA-Lookup'!$H$1:$I$86,2),C5834),C5834)</f>
        <v>9999</v>
      </c>
      <c r="G5834" s="0" t="n">
        <f aca="false">VLOOKUP(E5834,'MSA-Lookup'!$AA$1:$AB$25,2)</f>
        <v>680</v>
      </c>
      <c r="H5834" s="0" t="n">
        <f aca="false">IF(C5834&gt;1,IF(C5834&lt;99,VLOOKUP(F5834,'MSA-Lookup'!$AA$1:$AB$25,2),C5834),C5834)</f>
        <v>9999</v>
      </c>
    </row>
    <row r="5835" customFormat="false" ht="12.75" hidden="false" customHeight="false" outlineLevel="0" collapsed="false">
      <c r="A5835" s="0" t="n">
        <f aca="false">B5835*1000+C5835</f>
        <v>79028</v>
      </c>
      <c r="B5835" s="0" t="n">
        <v>79</v>
      </c>
      <c r="C5835" s="0" t="n">
        <v>28</v>
      </c>
      <c r="D5835" s="0" t="n">
        <v>0</v>
      </c>
      <c r="E5835" s="0" t="n">
        <f aca="false">VLOOKUP(B5835,'MSA-Lookup'!$H$2:$I$86,2)</f>
        <v>680</v>
      </c>
      <c r="F5835" s="0" t="n">
        <f aca="false">IF(C5835&gt;1,IF(C5835&lt;99,VLOOKUP(C5835,'MSA-Lookup'!$H$1:$I$86,2),C5835),C5835)</f>
        <v>6920</v>
      </c>
      <c r="G5835" s="0" t="n">
        <f aca="false">VLOOKUP(E5835,'MSA-Lookup'!$AA$1:$AB$25,2)</f>
        <v>680</v>
      </c>
      <c r="H5835" s="0" t="n">
        <f aca="false">IF(C5835&gt;1,IF(C5835&lt;99,VLOOKUP(F5835,'MSA-Lookup'!$AA$1:$AB$25,2),C5835),C5835)</f>
        <v>6920</v>
      </c>
    </row>
    <row r="5836" customFormat="false" ht="12.75" hidden="false" customHeight="false" outlineLevel="0" collapsed="false">
      <c r="A5836" s="0" t="n">
        <f aca="false">B5836*1000+C5836</f>
        <v>79029</v>
      </c>
      <c r="B5836" s="0" t="n">
        <v>79</v>
      </c>
      <c r="C5836" s="0" t="n">
        <v>29</v>
      </c>
      <c r="D5836" s="0" t="n">
        <v>0</v>
      </c>
      <c r="E5836" s="0" t="n">
        <f aca="false">VLOOKUP(B5836,'MSA-Lookup'!$H$2:$I$86,2)</f>
        <v>680</v>
      </c>
      <c r="F5836" s="0" t="n">
        <f aca="false">IF(C5836&gt;1,IF(C5836&lt;99,VLOOKUP(C5836,'MSA-Lookup'!$H$1:$I$86,2),C5836),C5836)</f>
        <v>6920</v>
      </c>
      <c r="G5836" s="0" t="n">
        <f aca="false">VLOOKUP(E5836,'MSA-Lookup'!$AA$1:$AB$25,2)</f>
        <v>680</v>
      </c>
      <c r="H5836" s="0" t="n">
        <f aca="false">IF(C5836&gt;1,IF(C5836&lt;99,VLOOKUP(F5836,'MSA-Lookup'!$AA$1:$AB$25,2),C5836),C5836)</f>
        <v>6920</v>
      </c>
    </row>
    <row r="5837" customFormat="false" ht="12.75" hidden="false" customHeight="false" outlineLevel="0" collapsed="false">
      <c r="A5837" s="0" t="n">
        <f aca="false">B5837*1000+C5837</f>
        <v>79030</v>
      </c>
      <c r="B5837" s="0" t="n">
        <v>79</v>
      </c>
      <c r="C5837" s="0" t="n">
        <v>30</v>
      </c>
      <c r="D5837" s="0" t="n">
        <v>0</v>
      </c>
      <c r="E5837" s="0" t="n">
        <f aca="false">VLOOKUP(B5837,'MSA-Lookup'!$H$2:$I$86,2)</f>
        <v>680</v>
      </c>
      <c r="F5837" s="0" t="n">
        <f aca="false">IF(C5837&gt;1,IF(C5837&lt;99,VLOOKUP(C5837,'MSA-Lookup'!$H$1:$I$86,2),C5837),C5837)</f>
        <v>4940</v>
      </c>
      <c r="G5837" s="0" t="n">
        <f aca="false">VLOOKUP(E5837,'MSA-Lookup'!$AA$1:$AB$25,2)</f>
        <v>680</v>
      </c>
      <c r="H5837" s="0" t="n">
        <f aca="false">IF(C5837&gt;1,IF(C5837&lt;99,VLOOKUP(F5837,'MSA-Lookup'!$AA$1:$AB$25,2),C5837),C5837)</f>
        <v>4940</v>
      </c>
    </row>
    <row r="5838" customFormat="false" ht="12.75" hidden="false" customHeight="false" outlineLevel="0" collapsed="false">
      <c r="A5838" s="0" t="n">
        <f aca="false">B5838*1000+C5838</f>
        <v>79031</v>
      </c>
      <c r="B5838" s="0" t="n">
        <v>79</v>
      </c>
      <c r="C5838" s="0" t="n">
        <v>31</v>
      </c>
      <c r="D5838" s="0" t="n">
        <v>78</v>
      </c>
      <c r="E5838" s="0" t="n">
        <f aca="false">VLOOKUP(B5838,'MSA-Lookup'!$H$2:$I$86,2)</f>
        <v>680</v>
      </c>
      <c r="F5838" s="0" t="n">
        <f aca="false">IF(C5838&gt;1,IF(C5838&lt;99,VLOOKUP(C5838,'MSA-Lookup'!$H$1:$I$86,2),C5838),C5838)</f>
        <v>9999</v>
      </c>
      <c r="G5838" s="0" t="n">
        <f aca="false">VLOOKUP(E5838,'MSA-Lookup'!$AA$1:$AB$25,2)</f>
        <v>680</v>
      </c>
      <c r="H5838" s="0" t="n">
        <f aca="false">IF(C5838&gt;1,IF(C5838&lt;99,VLOOKUP(F5838,'MSA-Lookup'!$AA$1:$AB$25,2),C5838),C5838)</f>
        <v>9999</v>
      </c>
    </row>
    <row r="5839" customFormat="false" ht="12.75" hidden="false" customHeight="false" outlineLevel="0" collapsed="false">
      <c r="A5839" s="0" t="n">
        <f aca="false">B5839*1000+C5839</f>
        <v>79032</v>
      </c>
      <c r="B5839" s="0" t="n">
        <v>79</v>
      </c>
      <c r="C5839" s="0" t="n">
        <v>32</v>
      </c>
      <c r="D5839" s="0" t="n">
        <v>208</v>
      </c>
      <c r="E5839" s="0" t="n">
        <f aca="false">VLOOKUP(B5839,'MSA-Lookup'!$H$2:$I$86,2)</f>
        <v>680</v>
      </c>
      <c r="F5839" s="0" t="n">
        <f aca="false">IF(C5839&gt;1,IF(C5839&lt;99,VLOOKUP(C5839,'MSA-Lookup'!$H$1:$I$86,2),C5839),C5839)</f>
        <v>7480</v>
      </c>
      <c r="G5839" s="0" t="n">
        <f aca="false">VLOOKUP(E5839,'MSA-Lookup'!$AA$1:$AB$25,2)</f>
        <v>680</v>
      </c>
      <c r="H5839" s="0" t="n">
        <f aca="false">IF(C5839&gt;1,IF(C5839&lt;99,VLOOKUP(F5839,'MSA-Lookup'!$AA$1:$AB$25,2),C5839),C5839)</f>
        <v>7480</v>
      </c>
    </row>
    <row r="5840" customFormat="false" ht="12.75" hidden="false" customHeight="false" outlineLevel="0" collapsed="false">
      <c r="A5840" s="0" t="n">
        <f aca="false">B5840*1000+C5840</f>
        <v>79033</v>
      </c>
      <c r="B5840" s="0" t="n">
        <v>79</v>
      </c>
      <c r="C5840" s="0" t="n">
        <v>33</v>
      </c>
      <c r="D5840" s="0" t="n">
        <v>0</v>
      </c>
      <c r="E5840" s="0" t="n">
        <f aca="false">VLOOKUP(B5840,'MSA-Lookup'!$H$2:$I$86,2)</f>
        <v>680</v>
      </c>
      <c r="F5840" s="0" t="n">
        <f aca="false">IF(C5840&gt;1,IF(C5840&lt;99,VLOOKUP(C5840,'MSA-Lookup'!$H$1:$I$86,2),C5840),C5840)</f>
        <v>7320</v>
      </c>
      <c r="G5840" s="0" t="n">
        <f aca="false">VLOOKUP(E5840,'MSA-Lookup'!$AA$1:$AB$25,2)</f>
        <v>680</v>
      </c>
      <c r="H5840" s="0" t="n">
        <f aca="false">IF(C5840&gt;1,IF(C5840&lt;99,VLOOKUP(F5840,'MSA-Lookup'!$AA$1:$AB$25,2),C5840),C5840)</f>
        <v>7320</v>
      </c>
    </row>
    <row r="5841" customFormat="false" ht="12.75" hidden="false" customHeight="false" outlineLevel="0" collapsed="false">
      <c r="A5841" s="0" t="n">
        <f aca="false">B5841*1000+C5841</f>
        <v>79034</v>
      </c>
      <c r="B5841" s="0" t="n">
        <v>79</v>
      </c>
      <c r="C5841" s="0" t="n">
        <v>34</v>
      </c>
      <c r="D5841" s="0" t="n">
        <v>0</v>
      </c>
      <c r="E5841" s="0" t="n">
        <f aca="false">VLOOKUP(B5841,'MSA-Lookup'!$H$2:$I$86,2)</f>
        <v>680</v>
      </c>
      <c r="F5841" s="0" t="n">
        <f aca="false">IF(C5841&gt;1,IF(C5841&lt;99,VLOOKUP(C5841,'MSA-Lookup'!$H$1:$I$86,2),C5841),C5841)</f>
        <v>7320</v>
      </c>
      <c r="G5841" s="0" t="n">
        <f aca="false">VLOOKUP(E5841,'MSA-Lookup'!$AA$1:$AB$25,2)</f>
        <v>680</v>
      </c>
      <c r="H5841" s="0" t="n">
        <f aca="false">IF(C5841&gt;1,IF(C5841&lt;99,VLOOKUP(F5841,'MSA-Lookup'!$AA$1:$AB$25,2),C5841),C5841)</f>
        <v>7320</v>
      </c>
    </row>
    <row r="5842" customFormat="false" ht="12.75" hidden="false" customHeight="false" outlineLevel="0" collapsed="false">
      <c r="A5842" s="0" t="n">
        <f aca="false">B5842*1000+C5842</f>
        <v>79035</v>
      </c>
      <c r="B5842" s="0" t="n">
        <v>79</v>
      </c>
      <c r="C5842" s="0" t="n">
        <v>35</v>
      </c>
      <c r="D5842" s="0" t="n">
        <v>0</v>
      </c>
      <c r="E5842" s="0" t="n">
        <f aca="false">VLOOKUP(B5842,'MSA-Lookup'!$H$2:$I$86,2)</f>
        <v>680</v>
      </c>
      <c r="F5842" s="0" t="n">
        <f aca="false">IF(C5842&gt;1,IF(C5842&lt;99,VLOOKUP(C5842,'MSA-Lookup'!$H$1:$I$86,2),C5842),C5842)</f>
        <v>7320</v>
      </c>
      <c r="G5842" s="0" t="n">
        <f aca="false">VLOOKUP(E5842,'MSA-Lookup'!$AA$1:$AB$25,2)</f>
        <v>680</v>
      </c>
      <c r="H5842" s="0" t="n">
        <f aca="false">IF(C5842&gt;1,IF(C5842&lt;99,VLOOKUP(F5842,'MSA-Lookup'!$AA$1:$AB$25,2),C5842),C5842)</f>
        <v>7320</v>
      </c>
    </row>
    <row r="5843" customFormat="false" ht="12.75" hidden="false" customHeight="false" outlineLevel="0" collapsed="false">
      <c r="A5843" s="0" t="n">
        <f aca="false">B5843*1000+C5843</f>
        <v>79036</v>
      </c>
      <c r="B5843" s="0" t="n">
        <v>79</v>
      </c>
      <c r="C5843" s="0" t="n">
        <v>36</v>
      </c>
      <c r="D5843" s="0" t="n">
        <v>0</v>
      </c>
      <c r="E5843" s="0" t="n">
        <f aca="false">VLOOKUP(B5843,'MSA-Lookup'!$H$2:$I$86,2)</f>
        <v>680</v>
      </c>
      <c r="F5843" s="0" t="n">
        <f aca="false">IF(C5843&gt;1,IF(C5843&lt;99,VLOOKUP(C5843,'MSA-Lookup'!$H$1:$I$86,2),C5843),C5843)</f>
        <v>7320</v>
      </c>
      <c r="G5843" s="0" t="n">
        <f aca="false">VLOOKUP(E5843,'MSA-Lookup'!$AA$1:$AB$25,2)</f>
        <v>680</v>
      </c>
      <c r="H5843" s="0" t="n">
        <f aca="false">IF(C5843&gt;1,IF(C5843&lt;99,VLOOKUP(F5843,'MSA-Lookup'!$AA$1:$AB$25,2),C5843),C5843)</f>
        <v>7320</v>
      </c>
    </row>
    <row r="5844" customFormat="false" ht="12.75" hidden="false" customHeight="false" outlineLevel="0" collapsed="false">
      <c r="A5844" s="0" t="n">
        <f aca="false">B5844*1000+C5844</f>
        <v>79037</v>
      </c>
      <c r="B5844" s="0" t="n">
        <v>79</v>
      </c>
      <c r="C5844" s="0" t="n">
        <v>37</v>
      </c>
      <c r="D5844" s="0" t="n">
        <v>0</v>
      </c>
      <c r="E5844" s="0" t="n">
        <f aca="false">VLOOKUP(B5844,'MSA-Lookup'!$H$2:$I$86,2)</f>
        <v>680</v>
      </c>
      <c r="F5844" s="0" t="n">
        <f aca="false">IF(C5844&gt;1,IF(C5844&lt;99,VLOOKUP(C5844,'MSA-Lookup'!$H$1:$I$86,2),C5844),C5844)</f>
        <v>7320</v>
      </c>
      <c r="G5844" s="0" t="n">
        <f aca="false">VLOOKUP(E5844,'MSA-Lookup'!$AA$1:$AB$25,2)</f>
        <v>680</v>
      </c>
      <c r="H5844" s="0" t="n">
        <f aca="false">IF(C5844&gt;1,IF(C5844&lt;99,VLOOKUP(F5844,'MSA-Lookup'!$AA$1:$AB$25,2),C5844),C5844)</f>
        <v>7320</v>
      </c>
    </row>
    <row r="5845" customFormat="false" ht="12.75" hidden="false" customHeight="false" outlineLevel="0" collapsed="false">
      <c r="A5845" s="0" t="n">
        <f aca="false">B5845*1000+C5845</f>
        <v>79038</v>
      </c>
      <c r="B5845" s="0" t="n">
        <v>79</v>
      </c>
      <c r="C5845" s="0" t="n">
        <v>38</v>
      </c>
      <c r="D5845" s="0" t="n">
        <v>117</v>
      </c>
      <c r="E5845" s="0" t="n">
        <f aca="false">VLOOKUP(B5845,'MSA-Lookup'!$H$2:$I$86,2)</f>
        <v>680</v>
      </c>
      <c r="F5845" s="0" t="n">
        <f aca="false">IF(C5845&gt;1,IF(C5845&lt;99,VLOOKUP(C5845,'MSA-Lookup'!$H$1:$I$86,2),C5845),C5845)</f>
        <v>7120</v>
      </c>
      <c r="G5845" s="0" t="n">
        <f aca="false">VLOOKUP(E5845,'MSA-Lookup'!$AA$1:$AB$25,2)</f>
        <v>680</v>
      </c>
      <c r="H5845" s="0" t="n">
        <f aca="false">IF(C5845&gt;1,IF(C5845&lt;99,VLOOKUP(F5845,'MSA-Lookup'!$AA$1:$AB$25,2),C5845),C5845)</f>
        <v>7120</v>
      </c>
    </row>
    <row r="5846" customFormat="false" ht="12.75" hidden="false" customHeight="false" outlineLevel="0" collapsed="false">
      <c r="A5846" s="0" t="n">
        <f aca="false">B5846*1000+C5846</f>
        <v>79039</v>
      </c>
      <c r="B5846" s="0" t="n">
        <v>79</v>
      </c>
      <c r="C5846" s="0" t="n">
        <v>39</v>
      </c>
      <c r="D5846" s="0" t="n">
        <v>91</v>
      </c>
      <c r="E5846" s="0" t="n">
        <f aca="false">VLOOKUP(B5846,'MSA-Lookup'!$H$2:$I$86,2)</f>
        <v>680</v>
      </c>
      <c r="F5846" s="0" t="n">
        <f aca="false">IF(C5846&gt;1,IF(C5846&lt;99,VLOOKUP(C5846,'MSA-Lookup'!$H$1:$I$86,2),C5846),C5846)</f>
        <v>7120</v>
      </c>
      <c r="G5846" s="0" t="n">
        <f aca="false">VLOOKUP(E5846,'MSA-Lookup'!$AA$1:$AB$25,2)</f>
        <v>680</v>
      </c>
      <c r="H5846" s="0" t="n">
        <f aca="false">IF(C5846&gt;1,IF(C5846&lt;99,VLOOKUP(F5846,'MSA-Lookup'!$AA$1:$AB$25,2),C5846),C5846)</f>
        <v>7120</v>
      </c>
    </row>
    <row r="5847" customFormat="false" ht="12.75" hidden="false" customHeight="false" outlineLevel="0" collapsed="false">
      <c r="A5847" s="0" t="n">
        <f aca="false">B5847*1000+C5847</f>
        <v>79040</v>
      </c>
      <c r="B5847" s="0" t="n">
        <v>79</v>
      </c>
      <c r="C5847" s="0" t="n">
        <v>40</v>
      </c>
      <c r="D5847" s="0" t="n">
        <v>0</v>
      </c>
      <c r="E5847" s="0" t="n">
        <f aca="false">VLOOKUP(B5847,'MSA-Lookup'!$H$2:$I$86,2)</f>
        <v>680</v>
      </c>
      <c r="F5847" s="0" t="n">
        <f aca="false">IF(C5847&gt;1,IF(C5847&lt;99,VLOOKUP(C5847,'MSA-Lookup'!$H$1:$I$86,2),C5847),C5847)</f>
        <v>2840</v>
      </c>
      <c r="G5847" s="0" t="n">
        <f aca="false">VLOOKUP(E5847,'MSA-Lookup'!$AA$1:$AB$25,2)</f>
        <v>680</v>
      </c>
      <c r="H5847" s="0" t="n">
        <f aca="false">IF(C5847&gt;1,IF(C5847&lt;99,VLOOKUP(F5847,'MSA-Lookup'!$AA$1:$AB$25,2),C5847),C5847)</f>
        <v>2840</v>
      </c>
    </row>
    <row r="5848" customFormat="false" ht="12.75" hidden="false" customHeight="false" outlineLevel="0" collapsed="false">
      <c r="A5848" s="0" t="n">
        <f aca="false">B5848*1000+C5848</f>
        <v>79041</v>
      </c>
      <c r="B5848" s="0" t="n">
        <v>79</v>
      </c>
      <c r="C5848" s="0" t="n">
        <v>41</v>
      </c>
      <c r="D5848" s="0" t="n">
        <v>65</v>
      </c>
      <c r="E5848" s="0" t="n">
        <f aca="false">VLOOKUP(B5848,'MSA-Lookup'!$H$2:$I$86,2)</f>
        <v>680</v>
      </c>
      <c r="F5848" s="0" t="n">
        <f aca="false">IF(C5848&gt;1,IF(C5848&lt;99,VLOOKUP(C5848,'MSA-Lookup'!$H$1:$I$86,2),C5848),C5848)</f>
        <v>2840</v>
      </c>
      <c r="G5848" s="0" t="n">
        <f aca="false">VLOOKUP(E5848,'MSA-Lookup'!$AA$1:$AB$25,2)</f>
        <v>680</v>
      </c>
      <c r="H5848" s="0" t="n">
        <f aca="false">IF(C5848&gt;1,IF(C5848&lt;99,VLOOKUP(F5848,'MSA-Lookup'!$AA$1:$AB$25,2),C5848),C5848)</f>
        <v>2840</v>
      </c>
    </row>
    <row r="5849" customFormat="false" ht="12.75" hidden="false" customHeight="false" outlineLevel="0" collapsed="false">
      <c r="A5849" s="0" t="n">
        <f aca="false">B5849*1000+C5849</f>
        <v>79042</v>
      </c>
      <c r="B5849" s="0" t="n">
        <v>79</v>
      </c>
      <c r="C5849" s="0" t="n">
        <v>42</v>
      </c>
      <c r="D5849" s="0" t="n">
        <v>0</v>
      </c>
      <c r="E5849" s="0" t="n">
        <f aca="false">VLOOKUP(B5849,'MSA-Lookup'!$H$2:$I$86,2)</f>
        <v>680</v>
      </c>
      <c r="F5849" s="0" t="n">
        <f aca="false">IF(C5849&gt;1,IF(C5849&lt;99,VLOOKUP(C5849,'MSA-Lookup'!$H$1:$I$86,2),C5849),C5849)</f>
        <v>360</v>
      </c>
      <c r="G5849" s="0" t="n">
        <f aca="false">VLOOKUP(E5849,'MSA-Lookup'!$AA$1:$AB$25,2)</f>
        <v>680</v>
      </c>
      <c r="H5849" s="0" t="n">
        <f aca="false">IF(C5849&gt;1,IF(C5849&lt;99,VLOOKUP(F5849,'MSA-Lookup'!$AA$1:$AB$25,2),C5849),C5849)</f>
        <v>4472</v>
      </c>
    </row>
    <row r="5850" customFormat="false" ht="12.75" hidden="false" customHeight="false" outlineLevel="0" collapsed="false">
      <c r="A5850" s="0" t="n">
        <f aca="false">B5850*1000+C5850</f>
        <v>79043</v>
      </c>
      <c r="B5850" s="0" t="n">
        <v>79</v>
      </c>
      <c r="C5850" s="0" t="n">
        <v>43</v>
      </c>
      <c r="D5850" s="0" t="n">
        <v>0</v>
      </c>
      <c r="E5850" s="0" t="n">
        <f aca="false">VLOOKUP(B5850,'MSA-Lookup'!$H$2:$I$86,2)</f>
        <v>680</v>
      </c>
      <c r="F5850" s="0" t="n">
        <f aca="false">IF(C5850&gt;1,IF(C5850&lt;99,VLOOKUP(C5850,'MSA-Lookup'!$H$1:$I$86,2),C5850),C5850)</f>
        <v>360</v>
      </c>
      <c r="G5850" s="0" t="n">
        <f aca="false">VLOOKUP(E5850,'MSA-Lookup'!$AA$1:$AB$25,2)</f>
        <v>680</v>
      </c>
      <c r="H5850" s="0" t="n">
        <f aca="false">IF(C5850&gt;1,IF(C5850&lt;99,VLOOKUP(F5850,'MSA-Lookup'!$AA$1:$AB$25,2),C5850),C5850)</f>
        <v>4472</v>
      </c>
    </row>
    <row r="5851" customFormat="false" ht="12.75" hidden="false" customHeight="false" outlineLevel="0" collapsed="false">
      <c r="A5851" s="0" t="n">
        <f aca="false">B5851*1000+C5851</f>
        <v>79044</v>
      </c>
      <c r="B5851" s="0" t="n">
        <v>79</v>
      </c>
      <c r="C5851" s="0" t="n">
        <v>44</v>
      </c>
      <c r="D5851" s="0" t="n">
        <v>0</v>
      </c>
      <c r="E5851" s="0" t="n">
        <f aca="false">VLOOKUP(B5851,'MSA-Lookup'!$H$2:$I$86,2)</f>
        <v>680</v>
      </c>
      <c r="F5851" s="0" t="n">
        <f aca="false">IF(C5851&gt;1,IF(C5851&lt;99,VLOOKUP(C5851,'MSA-Lookup'!$H$1:$I$86,2),C5851),C5851)</f>
        <v>360</v>
      </c>
      <c r="G5851" s="0" t="n">
        <f aca="false">VLOOKUP(E5851,'MSA-Lookup'!$AA$1:$AB$25,2)</f>
        <v>680</v>
      </c>
      <c r="H5851" s="0" t="n">
        <f aca="false">IF(C5851&gt;1,IF(C5851&lt;99,VLOOKUP(F5851,'MSA-Lookup'!$AA$1:$AB$25,2),C5851),C5851)</f>
        <v>4472</v>
      </c>
    </row>
    <row r="5852" customFormat="false" ht="12.75" hidden="false" customHeight="false" outlineLevel="0" collapsed="false">
      <c r="A5852" s="0" t="n">
        <f aca="false">B5852*1000+C5852</f>
        <v>79045</v>
      </c>
      <c r="B5852" s="0" t="n">
        <v>79</v>
      </c>
      <c r="C5852" s="0" t="n">
        <v>45</v>
      </c>
      <c r="D5852" s="0" t="n">
        <v>0</v>
      </c>
      <c r="E5852" s="0" t="n">
        <f aca="false">VLOOKUP(B5852,'MSA-Lookup'!$H$2:$I$86,2)</f>
        <v>680</v>
      </c>
      <c r="F5852" s="0" t="n">
        <f aca="false">IF(C5852&gt;1,IF(C5852&lt;99,VLOOKUP(C5852,'MSA-Lookup'!$H$1:$I$86,2),C5852),C5852)</f>
        <v>360</v>
      </c>
      <c r="G5852" s="0" t="n">
        <f aca="false">VLOOKUP(E5852,'MSA-Lookup'!$AA$1:$AB$25,2)</f>
        <v>680</v>
      </c>
      <c r="H5852" s="0" t="n">
        <f aca="false">IF(C5852&gt;1,IF(C5852&lt;99,VLOOKUP(F5852,'MSA-Lookup'!$AA$1:$AB$25,2),C5852),C5852)</f>
        <v>4472</v>
      </c>
    </row>
    <row r="5853" customFormat="false" ht="12.75" hidden="false" customHeight="false" outlineLevel="0" collapsed="false">
      <c r="A5853" s="0" t="n">
        <f aca="false">B5853*1000+C5853</f>
        <v>79046</v>
      </c>
      <c r="B5853" s="0" t="n">
        <v>79</v>
      </c>
      <c r="C5853" s="0" t="n">
        <v>46</v>
      </c>
      <c r="D5853" s="0" t="n">
        <v>0</v>
      </c>
      <c r="E5853" s="0" t="n">
        <f aca="false">VLOOKUP(B5853,'MSA-Lookup'!$H$2:$I$86,2)</f>
        <v>680</v>
      </c>
      <c r="F5853" s="0" t="n">
        <f aca="false">IF(C5853&gt;1,IF(C5853&lt;99,VLOOKUP(C5853,'MSA-Lookup'!$H$1:$I$86,2),C5853),C5853)</f>
        <v>360</v>
      </c>
      <c r="G5853" s="0" t="n">
        <f aca="false">VLOOKUP(E5853,'MSA-Lookup'!$AA$1:$AB$25,2)</f>
        <v>680</v>
      </c>
      <c r="H5853" s="0" t="n">
        <f aca="false">IF(C5853&gt;1,IF(C5853&lt;99,VLOOKUP(F5853,'MSA-Lookup'!$AA$1:$AB$25,2),C5853),C5853)</f>
        <v>4472</v>
      </c>
    </row>
    <row r="5854" customFormat="false" ht="12.75" hidden="false" customHeight="false" outlineLevel="0" collapsed="false">
      <c r="A5854" s="0" t="n">
        <f aca="false">B5854*1000+C5854</f>
        <v>79047</v>
      </c>
      <c r="B5854" s="0" t="n">
        <v>79</v>
      </c>
      <c r="C5854" s="0" t="n">
        <v>47</v>
      </c>
      <c r="D5854" s="0" t="n">
        <v>0</v>
      </c>
      <c r="E5854" s="0" t="n">
        <f aca="false">VLOOKUP(B5854,'MSA-Lookup'!$H$2:$I$86,2)</f>
        <v>680</v>
      </c>
      <c r="F5854" s="0" t="n">
        <f aca="false">IF(C5854&gt;1,IF(C5854&lt;99,VLOOKUP(C5854,'MSA-Lookup'!$H$1:$I$86,2),C5854),C5854)</f>
        <v>360</v>
      </c>
      <c r="G5854" s="0" t="n">
        <f aca="false">VLOOKUP(E5854,'MSA-Lookup'!$AA$1:$AB$25,2)</f>
        <v>680</v>
      </c>
      <c r="H5854" s="0" t="n">
        <f aca="false">IF(C5854&gt;1,IF(C5854&lt;99,VLOOKUP(F5854,'MSA-Lookup'!$AA$1:$AB$25,2),C5854),C5854)</f>
        <v>4472</v>
      </c>
    </row>
    <row r="5855" customFormat="false" ht="12.75" hidden="false" customHeight="false" outlineLevel="0" collapsed="false">
      <c r="A5855" s="0" t="n">
        <f aca="false">B5855*1000+C5855</f>
        <v>79048</v>
      </c>
      <c r="B5855" s="0" t="n">
        <v>79</v>
      </c>
      <c r="C5855" s="0" t="n">
        <v>48</v>
      </c>
      <c r="D5855" s="0" t="n">
        <v>169</v>
      </c>
      <c r="E5855" s="0" t="n">
        <f aca="false">VLOOKUP(B5855,'MSA-Lookup'!$H$2:$I$86,2)</f>
        <v>680</v>
      </c>
      <c r="F5855" s="0" t="n">
        <f aca="false">IF(C5855&gt;1,IF(C5855&lt;99,VLOOKUP(C5855,'MSA-Lookup'!$H$1:$I$86,2),C5855),C5855)</f>
        <v>360</v>
      </c>
      <c r="G5855" s="0" t="n">
        <f aca="false">VLOOKUP(E5855,'MSA-Lookup'!$AA$1:$AB$25,2)</f>
        <v>680</v>
      </c>
      <c r="H5855" s="0" t="n">
        <f aca="false">IF(C5855&gt;1,IF(C5855&lt;99,VLOOKUP(F5855,'MSA-Lookup'!$AA$1:$AB$25,2),C5855),C5855)</f>
        <v>4472</v>
      </c>
    </row>
    <row r="5856" customFormat="false" ht="12.75" hidden="false" customHeight="false" outlineLevel="0" collapsed="false">
      <c r="A5856" s="0" t="n">
        <f aca="false">B5856*1000+C5856</f>
        <v>79049</v>
      </c>
      <c r="B5856" s="0" t="n">
        <v>79</v>
      </c>
      <c r="C5856" s="0" t="n">
        <v>49</v>
      </c>
      <c r="D5856" s="0" t="n">
        <v>0</v>
      </c>
      <c r="E5856" s="0" t="n">
        <f aca="false">VLOOKUP(B5856,'MSA-Lookup'!$H$2:$I$86,2)</f>
        <v>680</v>
      </c>
      <c r="F5856" s="0" t="n">
        <f aca="false">IF(C5856&gt;1,IF(C5856&lt;99,VLOOKUP(C5856,'MSA-Lookup'!$H$1:$I$86,2),C5856),C5856)</f>
        <v>7400</v>
      </c>
      <c r="G5856" s="0" t="n">
        <f aca="false">VLOOKUP(E5856,'MSA-Lookup'!$AA$1:$AB$25,2)</f>
        <v>680</v>
      </c>
      <c r="H5856" s="0" t="n">
        <f aca="false">IF(C5856&gt;1,IF(C5856&lt;99,VLOOKUP(F5856,'MSA-Lookup'!$AA$1:$AB$25,2),C5856),C5856)</f>
        <v>7362</v>
      </c>
    </row>
    <row r="5857" customFormat="false" ht="12.75" hidden="false" customHeight="false" outlineLevel="0" collapsed="false">
      <c r="A5857" s="0" t="n">
        <f aca="false">B5857*1000+C5857</f>
        <v>79050</v>
      </c>
      <c r="B5857" s="0" t="n">
        <v>79</v>
      </c>
      <c r="C5857" s="0" t="n">
        <v>50</v>
      </c>
      <c r="D5857" s="0" t="n">
        <v>0</v>
      </c>
      <c r="E5857" s="0" t="n">
        <f aca="false">VLOOKUP(B5857,'MSA-Lookup'!$H$2:$I$86,2)</f>
        <v>680</v>
      </c>
      <c r="F5857" s="0" t="n">
        <f aca="false">IF(C5857&gt;1,IF(C5857&lt;99,VLOOKUP(C5857,'MSA-Lookup'!$H$1:$I$86,2),C5857),C5857)</f>
        <v>7400</v>
      </c>
      <c r="G5857" s="0" t="n">
        <f aca="false">VLOOKUP(E5857,'MSA-Lookup'!$AA$1:$AB$25,2)</f>
        <v>680</v>
      </c>
      <c r="H5857" s="0" t="n">
        <f aca="false">IF(C5857&gt;1,IF(C5857&lt;99,VLOOKUP(F5857,'MSA-Lookup'!$AA$1:$AB$25,2),C5857),C5857)</f>
        <v>7362</v>
      </c>
    </row>
    <row r="5858" customFormat="false" ht="12.75" hidden="false" customHeight="false" outlineLevel="0" collapsed="false">
      <c r="A5858" s="0" t="n">
        <f aca="false">B5858*1000+C5858</f>
        <v>79051</v>
      </c>
      <c r="B5858" s="0" t="n">
        <v>79</v>
      </c>
      <c r="C5858" s="0" t="n">
        <v>51</v>
      </c>
      <c r="D5858" s="0" t="n">
        <v>0</v>
      </c>
      <c r="E5858" s="0" t="n">
        <f aca="false">VLOOKUP(B5858,'MSA-Lookup'!$H$2:$I$86,2)</f>
        <v>680</v>
      </c>
      <c r="F5858" s="0" t="n">
        <f aca="false">IF(C5858&gt;1,IF(C5858&lt;99,VLOOKUP(C5858,'MSA-Lookup'!$H$1:$I$86,2),C5858),C5858)</f>
        <v>7400</v>
      </c>
      <c r="G5858" s="0" t="n">
        <f aca="false">VLOOKUP(E5858,'MSA-Lookup'!$AA$1:$AB$25,2)</f>
        <v>680</v>
      </c>
      <c r="H5858" s="0" t="n">
        <f aca="false">IF(C5858&gt;1,IF(C5858&lt;99,VLOOKUP(F5858,'MSA-Lookup'!$AA$1:$AB$25,2),C5858),C5858)</f>
        <v>7362</v>
      </c>
    </row>
    <row r="5859" customFormat="false" ht="12.75" hidden="false" customHeight="false" outlineLevel="0" collapsed="false">
      <c r="A5859" s="0" t="n">
        <f aca="false">B5859*1000+C5859</f>
        <v>79052</v>
      </c>
      <c r="B5859" s="0" t="n">
        <v>79</v>
      </c>
      <c r="C5859" s="0" t="n">
        <v>52</v>
      </c>
      <c r="D5859" s="0" t="n">
        <v>650</v>
      </c>
      <c r="E5859" s="0" t="n">
        <f aca="false">VLOOKUP(B5859,'MSA-Lookup'!$H$2:$I$86,2)</f>
        <v>680</v>
      </c>
      <c r="F5859" s="0" t="n">
        <f aca="false">IF(C5859&gt;1,IF(C5859&lt;99,VLOOKUP(C5859,'MSA-Lookup'!$H$1:$I$86,2),C5859),C5859)</f>
        <v>4480</v>
      </c>
      <c r="G5859" s="0" t="n">
        <f aca="false">VLOOKUP(E5859,'MSA-Lookup'!$AA$1:$AB$25,2)</f>
        <v>680</v>
      </c>
      <c r="H5859" s="0" t="n">
        <f aca="false">IF(C5859&gt;1,IF(C5859&lt;99,VLOOKUP(F5859,'MSA-Lookup'!$AA$1:$AB$25,2),C5859),C5859)</f>
        <v>4472</v>
      </c>
    </row>
    <row r="5860" customFormat="false" ht="12.75" hidden="false" customHeight="false" outlineLevel="0" collapsed="false">
      <c r="A5860" s="0" t="n">
        <f aca="false">B5860*1000+C5860</f>
        <v>79053</v>
      </c>
      <c r="B5860" s="0" t="n">
        <v>79</v>
      </c>
      <c r="C5860" s="0" t="n">
        <v>53</v>
      </c>
      <c r="D5860" s="0" t="n">
        <v>0</v>
      </c>
      <c r="E5860" s="0" t="n">
        <f aca="false">VLOOKUP(B5860,'MSA-Lookup'!$H$2:$I$86,2)</f>
        <v>680</v>
      </c>
      <c r="F5860" s="0" t="n">
        <f aca="false">IF(C5860&gt;1,IF(C5860&lt;99,VLOOKUP(C5860,'MSA-Lookup'!$H$1:$I$86,2),C5860),C5860)</f>
        <v>4480</v>
      </c>
      <c r="G5860" s="0" t="n">
        <f aca="false">VLOOKUP(E5860,'MSA-Lookup'!$AA$1:$AB$25,2)</f>
        <v>680</v>
      </c>
      <c r="H5860" s="0" t="n">
        <f aca="false">IF(C5860&gt;1,IF(C5860&lt;99,VLOOKUP(F5860,'MSA-Lookup'!$AA$1:$AB$25,2),C5860),C5860)</f>
        <v>4472</v>
      </c>
    </row>
    <row r="5861" customFormat="false" ht="12.75" hidden="false" customHeight="false" outlineLevel="0" collapsed="false">
      <c r="A5861" s="0" t="n">
        <f aca="false">B5861*1000+C5861</f>
        <v>79054</v>
      </c>
      <c r="B5861" s="0" t="n">
        <v>79</v>
      </c>
      <c r="C5861" s="0" t="n">
        <v>54</v>
      </c>
      <c r="D5861" s="0" t="n">
        <v>0</v>
      </c>
      <c r="E5861" s="0" t="n">
        <f aca="false">VLOOKUP(B5861,'MSA-Lookup'!$H$2:$I$86,2)</f>
        <v>680</v>
      </c>
      <c r="F5861" s="0" t="n">
        <f aca="false">IF(C5861&gt;1,IF(C5861&lt;99,VLOOKUP(C5861,'MSA-Lookup'!$H$1:$I$86,2),C5861),C5861)</f>
        <v>4480</v>
      </c>
      <c r="G5861" s="0" t="n">
        <f aca="false">VLOOKUP(E5861,'MSA-Lookup'!$AA$1:$AB$25,2)</f>
        <v>680</v>
      </c>
      <c r="H5861" s="0" t="n">
        <f aca="false">IF(C5861&gt;1,IF(C5861&lt;99,VLOOKUP(F5861,'MSA-Lookup'!$AA$1:$AB$25,2),C5861),C5861)</f>
        <v>4472</v>
      </c>
    </row>
    <row r="5862" customFormat="false" ht="12.75" hidden="false" customHeight="false" outlineLevel="0" collapsed="false">
      <c r="A5862" s="0" t="n">
        <f aca="false">B5862*1000+C5862</f>
        <v>79055</v>
      </c>
      <c r="B5862" s="0" t="n">
        <v>79</v>
      </c>
      <c r="C5862" s="0" t="n">
        <v>55</v>
      </c>
      <c r="D5862" s="0" t="n">
        <v>0</v>
      </c>
      <c r="E5862" s="0" t="n">
        <f aca="false">VLOOKUP(B5862,'MSA-Lookup'!$H$2:$I$86,2)</f>
        <v>680</v>
      </c>
      <c r="F5862" s="0" t="n">
        <f aca="false">IF(C5862&gt;1,IF(C5862&lt;99,VLOOKUP(C5862,'MSA-Lookup'!$H$1:$I$86,2),C5862),C5862)</f>
        <v>4480</v>
      </c>
      <c r="G5862" s="0" t="n">
        <f aca="false">VLOOKUP(E5862,'MSA-Lookup'!$AA$1:$AB$25,2)</f>
        <v>680</v>
      </c>
      <c r="H5862" s="0" t="n">
        <f aca="false">IF(C5862&gt;1,IF(C5862&lt;99,VLOOKUP(F5862,'MSA-Lookup'!$AA$1:$AB$25,2),C5862),C5862)</f>
        <v>4472</v>
      </c>
    </row>
    <row r="5863" customFormat="false" ht="12.75" hidden="false" customHeight="false" outlineLevel="0" collapsed="false">
      <c r="A5863" s="0" t="n">
        <f aca="false">B5863*1000+C5863</f>
        <v>79056</v>
      </c>
      <c r="B5863" s="0" t="n">
        <v>79</v>
      </c>
      <c r="C5863" s="0" t="n">
        <v>56</v>
      </c>
      <c r="D5863" s="0" t="n">
        <v>0</v>
      </c>
      <c r="E5863" s="0" t="n">
        <f aca="false">VLOOKUP(B5863,'MSA-Lookup'!$H$2:$I$86,2)</f>
        <v>680</v>
      </c>
      <c r="F5863" s="0" t="n">
        <f aca="false">IF(C5863&gt;1,IF(C5863&lt;99,VLOOKUP(C5863,'MSA-Lookup'!$H$1:$I$86,2),C5863),C5863)</f>
        <v>4480</v>
      </c>
      <c r="G5863" s="0" t="n">
        <f aca="false">VLOOKUP(E5863,'MSA-Lookup'!$AA$1:$AB$25,2)</f>
        <v>680</v>
      </c>
      <c r="H5863" s="0" t="n">
        <f aca="false">IF(C5863&gt;1,IF(C5863&lt;99,VLOOKUP(F5863,'MSA-Lookup'!$AA$1:$AB$25,2),C5863),C5863)</f>
        <v>4472</v>
      </c>
    </row>
    <row r="5864" customFormat="false" ht="12.75" hidden="false" customHeight="false" outlineLevel="0" collapsed="false">
      <c r="A5864" s="0" t="n">
        <f aca="false">B5864*1000+C5864</f>
        <v>79057</v>
      </c>
      <c r="B5864" s="0" t="n">
        <v>79</v>
      </c>
      <c r="C5864" s="0" t="n">
        <v>57</v>
      </c>
      <c r="D5864" s="0" t="n">
        <v>0</v>
      </c>
      <c r="E5864" s="0" t="n">
        <f aca="false">VLOOKUP(B5864,'MSA-Lookup'!$H$2:$I$86,2)</f>
        <v>680</v>
      </c>
      <c r="F5864" s="0" t="n">
        <f aca="false">IF(C5864&gt;1,IF(C5864&lt;99,VLOOKUP(C5864,'MSA-Lookup'!$H$1:$I$86,2),C5864),C5864)</f>
        <v>4480</v>
      </c>
      <c r="G5864" s="0" t="n">
        <f aca="false">VLOOKUP(E5864,'MSA-Lookup'!$AA$1:$AB$25,2)</f>
        <v>680</v>
      </c>
      <c r="H5864" s="0" t="n">
        <f aca="false">IF(C5864&gt;1,IF(C5864&lt;99,VLOOKUP(F5864,'MSA-Lookup'!$AA$1:$AB$25,2),C5864),C5864)</f>
        <v>4472</v>
      </c>
    </row>
    <row r="5865" customFormat="false" ht="12.75" hidden="false" customHeight="false" outlineLevel="0" collapsed="false">
      <c r="A5865" s="0" t="n">
        <f aca="false">B5865*1000+C5865</f>
        <v>79058</v>
      </c>
      <c r="B5865" s="0" t="n">
        <v>79</v>
      </c>
      <c r="C5865" s="0" t="n">
        <v>58</v>
      </c>
      <c r="D5865" s="0" t="n">
        <v>0</v>
      </c>
      <c r="E5865" s="0" t="n">
        <f aca="false">VLOOKUP(B5865,'MSA-Lookup'!$H$2:$I$86,2)</f>
        <v>680</v>
      </c>
      <c r="F5865" s="0" t="n">
        <f aca="false">IF(C5865&gt;1,IF(C5865&lt;99,VLOOKUP(C5865,'MSA-Lookup'!$H$1:$I$86,2),C5865),C5865)</f>
        <v>4480</v>
      </c>
      <c r="G5865" s="0" t="n">
        <f aca="false">VLOOKUP(E5865,'MSA-Lookup'!$AA$1:$AB$25,2)</f>
        <v>680</v>
      </c>
      <c r="H5865" s="0" t="n">
        <f aca="false">IF(C5865&gt;1,IF(C5865&lt;99,VLOOKUP(F5865,'MSA-Lookup'!$AA$1:$AB$25,2),C5865),C5865)</f>
        <v>4472</v>
      </c>
    </row>
    <row r="5866" customFormat="false" ht="12.75" hidden="false" customHeight="false" outlineLevel="0" collapsed="false">
      <c r="A5866" s="0" t="n">
        <f aca="false">B5866*1000+C5866</f>
        <v>79059</v>
      </c>
      <c r="B5866" s="0" t="n">
        <v>79</v>
      </c>
      <c r="C5866" s="0" t="n">
        <v>59</v>
      </c>
      <c r="D5866" s="0" t="n">
        <v>0</v>
      </c>
      <c r="E5866" s="0" t="n">
        <f aca="false">VLOOKUP(B5866,'MSA-Lookup'!$H$2:$I$86,2)</f>
        <v>680</v>
      </c>
      <c r="F5866" s="0" t="n">
        <f aca="false">IF(C5866&gt;1,IF(C5866&lt;99,VLOOKUP(C5866,'MSA-Lookup'!$H$1:$I$86,2),C5866),C5866)</f>
        <v>4480</v>
      </c>
      <c r="G5866" s="0" t="n">
        <f aca="false">VLOOKUP(E5866,'MSA-Lookup'!$AA$1:$AB$25,2)</f>
        <v>680</v>
      </c>
      <c r="H5866" s="0" t="n">
        <f aca="false">IF(C5866&gt;1,IF(C5866&lt;99,VLOOKUP(F5866,'MSA-Lookup'!$AA$1:$AB$25,2),C5866),C5866)</f>
        <v>4472</v>
      </c>
    </row>
    <row r="5867" customFormat="false" ht="12.75" hidden="false" customHeight="false" outlineLevel="0" collapsed="false">
      <c r="A5867" s="0" t="n">
        <f aca="false">B5867*1000+C5867</f>
        <v>79060</v>
      </c>
      <c r="B5867" s="0" t="n">
        <v>79</v>
      </c>
      <c r="C5867" s="0" t="n">
        <v>60</v>
      </c>
      <c r="D5867" s="0" t="n">
        <v>0</v>
      </c>
      <c r="E5867" s="0" t="n">
        <f aca="false">VLOOKUP(B5867,'MSA-Lookup'!$H$2:$I$86,2)</f>
        <v>680</v>
      </c>
      <c r="F5867" s="0" t="n">
        <f aca="false">IF(C5867&gt;1,IF(C5867&lt;99,VLOOKUP(C5867,'MSA-Lookup'!$H$1:$I$86,2),C5867),C5867)</f>
        <v>4480</v>
      </c>
      <c r="G5867" s="0" t="n">
        <f aca="false">VLOOKUP(E5867,'MSA-Lookup'!$AA$1:$AB$25,2)</f>
        <v>680</v>
      </c>
      <c r="H5867" s="0" t="n">
        <f aca="false">IF(C5867&gt;1,IF(C5867&lt;99,VLOOKUP(F5867,'MSA-Lookup'!$AA$1:$AB$25,2),C5867),C5867)</f>
        <v>4472</v>
      </c>
    </row>
    <row r="5868" customFormat="false" ht="12.75" hidden="false" customHeight="false" outlineLevel="0" collapsed="false">
      <c r="A5868" s="0" t="n">
        <f aca="false">B5868*1000+C5868</f>
        <v>79061</v>
      </c>
      <c r="B5868" s="0" t="n">
        <v>79</v>
      </c>
      <c r="C5868" s="0" t="n">
        <v>61</v>
      </c>
      <c r="D5868" s="0" t="n">
        <v>0</v>
      </c>
      <c r="E5868" s="0" t="n">
        <f aca="false">VLOOKUP(B5868,'MSA-Lookup'!$H$2:$I$86,2)</f>
        <v>680</v>
      </c>
      <c r="F5868" s="0" t="n">
        <f aca="false">IF(C5868&gt;1,IF(C5868&lt;99,VLOOKUP(C5868,'MSA-Lookup'!$H$1:$I$86,2),C5868),C5868)</f>
        <v>4480</v>
      </c>
      <c r="G5868" s="0" t="n">
        <f aca="false">VLOOKUP(E5868,'MSA-Lookup'!$AA$1:$AB$25,2)</f>
        <v>680</v>
      </c>
      <c r="H5868" s="0" t="n">
        <f aca="false">IF(C5868&gt;1,IF(C5868&lt;99,VLOOKUP(F5868,'MSA-Lookup'!$AA$1:$AB$25,2),C5868),C5868)</f>
        <v>4472</v>
      </c>
    </row>
    <row r="5869" customFormat="false" ht="12.75" hidden="false" customHeight="false" outlineLevel="0" collapsed="false">
      <c r="A5869" s="0" t="n">
        <f aca="false">B5869*1000+C5869</f>
        <v>79062</v>
      </c>
      <c r="B5869" s="0" t="n">
        <v>79</v>
      </c>
      <c r="C5869" s="0" t="n">
        <v>62</v>
      </c>
      <c r="D5869" s="0" t="n">
        <v>0</v>
      </c>
      <c r="E5869" s="0" t="n">
        <f aca="false">VLOOKUP(B5869,'MSA-Lookup'!$H$2:$I$86,2)</f>
        <v>680</v>
      </c>
      <c r="F5869" s="0" t="n">
        <f aca="false">IF(C5869&gt;1,IF(C5869&lt;99,VLOOKUP(C5869,'MSA-Lookup'!$H$1:$I$86,2),C5869),C5869)</f>
        <v>4480</v>
      </c>
      <c r="G5869" s="0" t="n">
        <f aca="false">VLOOKUP(E5869,'MSA-Lookup'!$AA$1:$AB$25,2)</f>
        <v>680</v>
      </c>
      <c r="H5869" s="0" t="n">
        <f aca="false">IF(C5869&gt;1,IF(C5869&lt;99,VLOOKUP(F5869,'MSA-Lookup'!$AA$1:$AB$25,2),C5869),C5869)</f>
        <v>4472</v>
      </c>
    </row>
    <row r="5870" customFormat="false" ht="12.75" hidden="false" customHeight="false" outlineLevel="0" collapsed="false">
      <c r="A5870" s="0" t="n">
        <f aca="false">B5870*1000+C5870</f>
        <v>79063</v>
      </c>
      <c r="B5870" s="0" t="n">
        <v>79</v>
      </c>
      <c r="C5870" s="0" t="n">
        <v>63</v>
      </c>
      <c r="D5870" s="0" t="n">
        <v>0</v>
      </c>
      <c r="E5870" s="0" t="n">
        <f aca="false">VLOOKUP(B5870,'MSA-Lookup'!$H$2:$I$86,2)</f>
        <v>680</v>
      </c>
      <c r="F5870" s="0" t="n">
        <f aca="false">IF(C5870&gt;1,IF(C5870&lt;99,VLOOKUP(C5870,'MSA-Lookup'!$H$1:$I$86,2),C5870),C5870)</f>
        <v>4480</v>
      </c>
      <c r="G5870" s="0" t="n">
        <f aca="false">VLOOKUP(E5870,'MSA-Lookup'!$AA$1:$AB$25,2)</f>
        <v>680</v>
      </c>
      <c r="H5870" s="0" t="n">
        <f aca="false">IF(C5870&gt;1,IF(C5870&lt;99,VLOOKUP(F5870,'MSA-Lookup'!$AA$1:$AB$25,2),C5870),C5870)</f>
        <v>4472</v>
      </c>
    </row>
    <row r="5871" customFormat="false" ht="12.75" hidden="false" customHeight="false" outlineLevel="0" collapsed="false">
      <c r="A5871" s="0" t="n">
        <f aca="false">B5871*1000+C5871</f>
        <v>79064</v>
      </c>
      <c r="B5871" s="0" t="n">
        <v>79</v>
      </c>
      <c r="C5871" s="0" t="n">
        <v>64</v>
      </c>
      <c r="D5871" s="0" t="n">
        <v>5018</v>
      </c>
      <c r="E5871" s="0" t="n">
        <f aca="false">VLOOKUP(B5871,'MSA-Lookup'!$H$2:$I$86,2)</f>
        <v>680</v>
      </c>
      <c r="F5871" s="0" t="n">
        <f aca="false">IF(C5871&gt;1,IF(C5871&lt;99,VLOOKUP(C5871,'MSA-Lookup'!$H$1:$I$86,2),C5871),C5871)</f>
        <v>4480</v>
      </c>
      <c r="G5871" s="0" t="n">
        <f aca="false">VLOOKUP(E5871,'MSA-Lookup'!$AA$1:$AB$25,2)</f>
        <v>680</v>
      </c>
      <c r="H5871" s="0" t="n">
        <f aca="false">IF(C5871&gt;1,IF(C5871&lt;99,VLOOKUP(F5871,'MSA-Lookup'!$AA$1:$AB$25,2),C5871),C5871)</f>
        <v>4472</v>
      </c>
    </row>
    <row r="5872" customFormat="false" ht="12.75" hidden="false" customHeight="false" outlineLevel="0" collapsed="false">
      <c r="A5872" s="0" t="n">
        <f aca="false">B5872*1000+C5872</f>
        <v>79065</v>
      </c>
      <c r="B5872" s="0" t="n">
        <v>79</v>
      </c>
      <c r="C5872" s="0" t="n">
        <v>65</v>
      </c>
      <c r="D5872" s="0" t="n">
        <v>1131</v>
      </c>
      <c r="E5872" s="0" t="n">
        <f aca="false">VLOOKUP(B5872,'MSA-Lookup'!$H$2:$I$86,2)</f>
        <v>680</v>
      </c>
      <c r="F5872" s="0" t="n">
        <f aca="false">IF(C5872&gt;1,IF(C5872&lt;99,VLOOKUP(C5872,'MSA-Lookup'!$H$1:$I$86,2),C5872),C5872)</f>
        <v>4480</v>
      </c>
      <c r="G5872" s="0" t="n">
        <f aca="false">VLOOKUP(E5872,'MSA-Lookup'!$AA$1:$AB$25,2)</f>
        <v>680</v>
      </c>
      <c r="H5872" s="0" t="n">
        <f aca="false">IF(C5872&gt;1,IF(C5872&lt;99,VLOOKUP(F5872,'MSA-Lookup'!$AA$1:$AB$25,2),C5872),C5872)</f>
        <v>4472</v>
      </c>
    </row>
    <row r="5873" customFormat="false" ht="12.75" hidden="false" customHeight="false" outlineLevel="0" collapsed="false">
      <c r="A5873" s="0" t="n">
        <f aca="false">B5873*1000+C5873</f>
        <v>79066</v>
      </c>
      <c r="B5873" s="0" t="n">
        <v>79</v>
      </c>
      <c r="C5873" s="0" t="n">
        <v>66</v>
      </c>
      <c r="D5873" s="0" t="n">
        <v>0</v>
      </c>
      <c r="E5873" s="0" t="n">
        <f aca="false">VLOOKUP(B5873,'MSA-Lookup'!$H$2:$I$86,2)</f>
        <v>680</v>
      </c>
      <c r="F5873" s="0" t="n">
        <f aca="false">IF(C5873&gt;1,IF(C5873&lt;99,VLOOKUP(C5873,'MSA-Lookup'!$H$1:$I$86,2),C5873),C5873)</f>
        <v>4480</v>
      </c>
      <c r="G5873" s="0" t="n">
        <f aca="false">VLOOKUP(E5873,'MSA-Lookup'!$AA$1:$AB$25,2)</f>
        <v>680</v>
      </c>
      <c r="H5873" s="0" t="n">
        <f aca="false">IF(C5873&gt;1,IF(C5873&lt;99,VLOOKUP(F5873,'MSA-Lookup'!$AA$1:$AB$25,2),C5873),C5873)</f>
        <v>4472</v>
      </c>
    </row>
    <row r="5874" customFormat="false" ht="12.75" hidden="false" customHeight="false" outlineLevel="0" collapsed="false">
      <c r="A5874" s="0" t="n">
        <f aca="false">B5874*1000+C5874</f>
        <v>79067</v>
      </c>
      <c r="B5874" s="0" t="n">
        <v>79</v>
      </c>
      <c r="C5874" s="0" t="n">
        <v>67</v>
      </c>
      <c r="D5874" s="0" t="n">
        <v>117</v>
      </c>
      <c r="E5874" s="0" t="n">
        <f aca="false">VLOOKUP(B5874,'MSA-Lookup'!$H$2:$I$86,2)</f>
        <v>680</v>
      </c>
      <c r="F5874" s="0" t="n">
        <f aca="false">IF(C5874&gt;1,IF(C5874&lt;99,VLOOKUP(C5874,'MSA-Lookup'!$H$1:$I$86,2),C5874),C5874)</f>
        <v>6000</v>
      </c>
      <c r="G5874" s="0" t="n">
        <f aca="false">VLOOKUP(E5874,'MSA-Lookup'!$AA$1:$AB$25,2)</f>
        <v>680</v>
      </c>
      <c r="H5874" s="0" t="n">
        <f aca="false">IF(C5874&gt;1,IF(C5874&lt;99,VLOOKUP(F5874,'MSA-Lookup'!$AA$1:$AB$25,2),C5874),C5874)</f>
        <v>4472</v>
      </c>
    </row>
    <row r="5875" customFormat="false" ht="12.75" hidden="false" customHeight="false" outlineLevel="0" collapsed="false">
      <c r="A5875" s="0" t="n">
        <f aca="false">B5875*1000+C5875</f>
        <v>79068</v>
      </c>
      <c r="B5875" s="0" t="n">
        <v>79</v>
      </c>
      <c r="C5875" s="0" t="n">
        <v>68</v>
      </c>
      <c r="D5875" s="0" t="n">
        <v>0</v>
      </c>
      <c r="E5875" s="0" t="n">
        <f aca="false">VLOOKUP(B5875,'MSA-Lookup'!$H$2:$I$86,2)</f>
        <v>680</v>
      </c>
      <c r="F5875" s="0" t="n">
        <f aca="false">IF(C5875&gt;1,IF(C5875&lt;99,VLOOKUP(C5875,'MSA-Lookup'!$H$1:$I$86,2),C5875),C5875)</f>
        <v>6780</v>
      </c>
      <c r="G5875" s="0" t="n">
        <f aca="false">VLOOKUP(E5875,'MSA-Lookup'!$AA$1:$AB$25,2)</f>
        <v>680</v>
      </c>
      <c r="H5875" s="0" t="n">
        <f aca="false">IF(C5875&gt;1,IF(C5875&lt;99,VLOOKUP(F5875,'MSA-Lookup'!$AA$1:$AB$25,2),C5875),C5875)</f>
        <v>4472</v>
      </c>
    </row>
    <row r="5876" customFormat="false" ht="12.75" hidden="false" customHeight="false" outlineLevel="0" collapsed="false">
      <c r="A5876" s="0" t="n">
        <f aca="false">B5876*1000+C5876</f>
        <v>79069</v>
      </c>
      <c r="B5876" s="0" t="n">
        <v>79</v>
      </c>
      <c r="C5876" s="0" t="n">
        <v>69</v>
      </c>
      <c r="D5876" s="0" t="n">
        <v>91</v>
      </c>
      <c r="E5876" s="0" t="n">
        <f aca="false">VLOOKUP(B5876,'MSA-Lookup'!$H$2:$I$86,2)</f>
        <v>680</v>
      </c>
      <c r="F5876" s="0" t="n">
        <f aca="false">IF(C5876&gt;1,IF(C5876&lt;99,VLOOKUP(C5876,'MSA-Lookup'!$H$1:$I$86,2),C5876),C5876)</f>
        <v>6780</v>
      </c>
      <c r="G5876" s="0" t="n">
        <f aca="false">VLOOKUP(E5876,'MSA-Lookup'!$AA$1:$AB$25,2)</f>
        <v>680</v>
      </c>
      <c r="H5876" s="0" t="n">
        <f aca="false">IF(C5876&gt;1,IF(C5876&lt;99,VLOOKUP(F5876,'MSA-Lookup'!$AA$1:$AB$25,2),C5876),C5876)</f>
        <v>4472</v>
      </c>
    </row>
    <row r="5877" customFormat="false" ht="12.75" hidden="false" customHeight="false" outlineLevel="0" collapsed="false">
      <c r="A5877" s="0" t="n">
        <f aca="false">B5877*1000+C5877</f>
        <v>79070</v>
      </c>
      <c r="B5877" s="0" t="n">
        <v>79</v>
      </c>
      <c r="C5877" s="0" t="n">
        <v>70</v>
      </c>
      <c r="D5877" s="0" t="n">
        <v>0</v>
      </c>
      <c r="E5877" s="0" t="n">
        <f aca="false">VLOOKUP(B5877,'MSA-Lookup'!$H$2:$I$86,2)</f>
        <v>680</v>
      </c>
      <c r="F5877" s="0" t="n">
        <f aca="false">IF(C5877&gt;1,IF(C5877&lt;99,VLOOKUP(C5877,'MSA-Lookup'!$H$1:$I$86,2),C5877),C5877)</f>
        <v>6780</v>
      </c>
      <c r="G5877" s="0" t="n">
        <f aca="false">VLOOKUP(E5877,'MSA-Lookup'!$AA$1:$AB$25,2)</f>
        <v>680</v>
      </c>
      <c r="H5877" s="0" t="n">
        <f aca="false">IF(C5877&gt;1,IF(C5877&lt;99,VLOOKUP(F5877,'MSA-Lookup'!$AA$1:$AB$25,2),C5877),C5877)</f>
        <v>4472</v>
      </c>
    </row>
    <row r="5878" customFormat="false" ht="12.75" hidden="false" customHeight="false" outlineLevel="0" collapsed="false">
      <c r="A5878" s="0" t="n">
        <f aca="false">B5878*1000+C5878</f>
        <v>79071</v>
      </c>
      <c r="B5878" s="0" t="n">
        <v>79</v>
      </c>
      <c r="C5878" s="0" t="n">
        <v>71</v>
      </c>
      <c r="D5878" s="0" t="n">
        <v>0</v>
      </c>
      <c r="E5878" s="0" t="n">
        <f aca="false">VLOOKUP(B5878,'MSA-Lookup'!$H$2:$I$86,2)</f>
        <v>680</v>
      </c>
      <c r="F5878" s="0" t="n">
        <f aca="false">IF(C5878&gt;1,IF(C5878&lt;99,VLOOKUP(C5878,'MSA-Lookup'!$H$1:$I$86,2),C5878),C5878)</f>
        <v>6780</v>
      </c>
      <c r="G5878" s="0" t="n">
        <f aca="false">VLOOKUP(E5878,'MSA-Lookup'!$AA$1:$AB$25,2)</f>
        <v>680</v>
      </c>
      <c r="H5878" s="0" t="n">
        <f aca="false">IF(C5878&gt;1,IF(C5878&lt;99,VLOOKUP(F5878,'MSA-Lookup'!$AA$1:$AB$25,2),C5878),C5878)</f>
        <v>4472</v>
      </c>
    </row>
    <row r="5879" customFormat="false" ht="12.75" hidden="false" customHeight="false" outlineLevel="0" collapsed="false">
      <c r="A5879" s="0" t="n">
        <f aca="false">B5879*1000+C5879</f>
        <v>79072</v>
      </c>
      <c r="B5879" s="0" t="n">
        <v>79</v>
      </c>
      <c r="C5879" s="0" t="n">
        <v>72</v>
      </c>
      <c r="D5879" s="0" t="n">
        <v>1417</v>
      </c>
      <c r="E5879" s="0" t="n">
        <f aca="false">VLOOKUP(B5879,'MSA-Lookup'!$H$2:$I$86,2)</f>
        <v>680</v>
      </c>
      <c r="F5879" s="0" t="n">
        <f aca="false">IF(C5879&gt;1,IF(C5879&lt;99,VLOOKUP(C5879,'MSA-Lookup'!$H$1:$I$86,2),C5879),C5879)</f>
        <v>6780</v>
      </c>
      <c r="G5879" s="0" t="n">
        <f aca="false">VLOOKUP(E5879,'MSA-Lookup'!$AA$1:$AB$25,2)</f>
        <v>680</v>
      </c>
      <c r="H5879" s="0" t="n">
        <f aca="false">IF(C5879&gt;1,IF(C5879&lt;99,VLOOKUP(F5879,'MSA-Lookup'!$AA$1:$AB$25,2),C5879),C5879)</f>
        <v>4472</v>
      </c>
    </row>
    <row r="5880" customFormat="false" ht="12.75" hidden="false" customHeight="false" outlineLevel="0" collapsed="false">
      <c r="A5880" s="0" t="n">
        <f aca="false">B5880*1000+C5880</f>
        <v>79073</v>
      </c>
      <c r="B5880" s="0" t="n">
        <v>79</v>
      </c>
      <c r="C5880" s="0" t="n">
        <v>73</v>
      </c>
      <c r="D5880" s="0" t="n">
        <v>0</v>
      </c>
      <c r="E5880" s="0" t="n">
        <f aca="false">VLOOKUP(B5880,'MSA-Lookup'!$H$2:$I$86,2)</f>
        <v>680</v>
      </c>
      <c r="F5880" s="0" t="n">
        <f aca="false">IF(C5880&gt;1,IF(C5880&lt;99,VLOOKUP(C5880,'MSA-Lookup'!$H$1:$I$86,2),C5880),C5880)</f>
        <v>8720</v>
      </c>
      <c r="G5880" s="0" t="n">
        <f aca="false">VLOOKUP(E5880,'MSA-Lookup'!$AA$1:$AB$25,2)</f>
        <v>680</v>
      </c>
      <c r="H5880" s="0" t="n">
        <f aca="false">IF(C5880&gt;1,IF(C5880&lt;99,VLOOKUP(F5880,'MSA-Lookup'!$AA$1:$AB$25,2),C5880),C5880)</f>
        <v>7362</v>
      </c>
    </row>
    <row r="5881" customFormat="false" ht="12.75" hidden="false" customHeight="false" outlineLevel="0" collapsed="false">
      <c r="A5881" s="0" t="n">
        <f aca="false">B5881*1000+C5881</f>
        <v>79075</v>
      </c>
      <c r="B5881" s="0" t="n">
        <v>79</v>
      </c>
      <c r="C5881" s="0" t="n">
        <v>75</v>
      </c>
      <c r="D5881" s="0" t="n">
        <v>1469</v>
      </c>
      <c r="E5881" s="0" t="n">
        <f aca="false">VLOOKUP(B5881,'MSA-Lookup'!$H$2:$I$86,2)</f>
        <v>680</v>
      </c>
      <c r="F5881" s="0" t="n">
        <f aca="false">IF(C5881&gt;1,IF(C5881&lt;99,VLOOKUP(C5881,'MSA-Lookup'!$H$1:$I$86,2),C5881),C5881)</f>
        <v>8780</v>
      </c>
      <c r="G5881" s="0" t="n">
        <f aca="false">VLOOKUP(E5881,'MSA-Lookup'!$AA$1:$AB$25,2)</f>
        <v>680</v>
      </c>
      <c r="H5881" s="0" t="n">
        <f aca="false">IF(C5881&gt;1,IF(C5881&lt;99,VLOOKUP(F5881,'MSA-Lookup'!$AA$1:$AB$25,2),C5881),C5881)</f>
        <v>8780</v>
      </c>
    </row>
    <row r="5882" customFormat="false" ht="12.75" hidden="false" customHeight="false" outlineLevel="0" collapsed="false">
      <c r="A5882" s="0" t="n">
        <f aca="false">B5882*1000+C5882</f>
        <v>79076</v>
      </c>
      <c r="B5882" s="0" t="n">
        <v>79</v>
      </c>
      <c r="C5882" s="0" t="n">
        <v>76</v>
      </c>
      <c r="D5882" s="0" t="n">
        <v>0</v>
      </c>
      <c r="E5882" s="0" t="n">
        <f aca="false">VLOOKUP(B5882,'MSA-Lookup'!$H$2:$I$86,2)</f>
        <v>680</v>
      </c>
      <c r="F5882" s="0" t="n">
        <f aca="false">IF(C5882&gt;1,IF(C5882&lt;99,VLOOKUP(C5882,'MSA-Lookup'!$H$1:$I$86,2),C5882),C5882)</f>
        <v>7485</v>
      </c>
      <c r="G5882" s="0" t="n">
        <f aca="false">VLOOKUP(E5882,'MSA-Lookup'!$AA$1:$AB$25,2)</f>
        <v>680</v>
      </c>
      <c r="H5882" s="0" t="n">
        <f aca="false">IF(C5882&gt;1,IF(C5882&lt;99,VLOOKUP(F5882,'MSA-Lookup'!$AA$1:$AB$25,2),C5882),C5882)</f>
        <v>7362</v>
      </c>
    </row>
    <row r="5883" customFormat="false" ht="12.75" hidden="false" customHeight="false" outlineLevel="0" collapsed="false">
      <c r="A5883" s="0" t="n">
        <f aca="false">B5883*1000+C5883</f>
        <v>79077</v>
      </c>
      <c r="B5883" s="0" t="n">
        <v>79</v>
      </c>
      <c r="C5883" s="0" t="n">
        <v>77</v>
      </c>
      <c r="D5883" s="0" t="n">
        <v>0</v>
      </c>
      <c r="E5883" s="0" t="n">
        <f aca="false">VLOOKUP(B5883,'MSA-Lookup'!$H$2:$I$86,2)</f>
        <v>680</v>
      </c>
      <c r="F5883" s="0" t="n">
        <f aca="false">IF(C5883&gt;1,IF(C5883&lt;99,VLOOKUP(C5883,'MSA-Lookup'!$H$1:$I$86,2),C5883),C5883)</f>
        <v>9999</v>
      </c>
      <c r="G5883" s="0" t="n">
        <f aca="false">VLOOKUP(E5883,'MSA-Lookup'!$AA$1:$AB$25,2)</f>
        <v>680</v>
      </c>
      <c r="H5883" s="0" t="n">
        <f aca="false">IF(C5883&gt;1,IF(C5883&lt;99,VLOOKUP(F5883,'MSA-Lookup'!$AA$1:$AB$25,2),C5883),C5883)</f>
        <v>9999</v>
      </c>
    </row>
    <row r="5884" customFormat="false" ht="12.75" hidden="false" customHeight="false" outlineLevel="0" collapsed="false">
      <c r="A5884" s="0" t="n">
        <f aca="false">B5884*1000+C5884</f>
        <v>79078</v>
      </c>
      <c r="B5884" s="0" t="n">
        <v>79</v>
      </c>
      <c r="C5884" s="0" t="n">
        <v>78</v>
      </c>
      <c r="D5884" s="0" t="n">
        <v>36257</v>
      </c>
      <c r="E5884" s="0" t="n">
        <f aca="false">VLOOKUP(B5884,'MSA-Lookup'!$H$2:$I$86,2)</f>
        <v>680</v>
      </c>
      <c r="F5884" s="0" t="n">
        <f aca="false">IF(C5884&gt;1,IF(C5884&lt;99,VLOOKUP(C5884,'MSA-Lookup'!$H$1:$I$86,2),C5884),C5884)</f>
        <v>680</v>
      </c>
      <c r="G5884" s="0" t="n">
        <f aca="false">VLOOKUP(E5884,'MSA-Lookup'!$AA$1:$AB$25,2)</f>
        <v>680</v>
      </c>
      <c r="H5884" s="0" t="n">
        <f aca="false">IF(C5884&gt;1,IF(C5884&lt;99,VLOOKUP(F5884,'MSA-Lookup'!$AA$1:$AB$25,2),C5884),C5884)</f>
        <v>680</v>
      </c>
    </row>
    <row r="5885" customFormat="false" ht="12.75" hidden="false" customHeight="false" outlineLevel="0" collapsed="false">
      <c r="A5885" s="0" t="n">
        <f aca="false">B5885*1000+C5885</f>
        <v>79079</v>
      </c>
      <c r="B5885" s="0" t="n">
        <v>79</v>
      </c>
      <c r="C5885" s="0" t="n">
        <v>79</v>
      </c>
      <c r="D5885" s="0" t="n">
        <v>96213</v>
      </c>
      <c r="E5885" s="0" t="n">
        <f aca="false">VLOOKUP(B5885,'MSA-Lookup'!$H$2:$I$86,2)</f>
        <v>680</v>
      </c>
      <c r="F5885" s="0" t="n">
        <f aca="false">IF(C5885&gt;1,IF(C5885&lt;99,VLOOKUP(C5885,'MSA-Lookup'!$H$1:$I$86,2),C5885),C5885)</f>
        <v>680</v>
      </c>
      <c r="G5885" s="0" t="n">
        <f aca="false">VLOOKUP(E5885,'MSA-Lookup'!$AA$1:$AB$25,2)</f>
        <v>680</v>
      </c>
      <c r="H5885" s="0" t="n">
        <f aca="false">IF(C5885&gt;1,IF(C5885&lt;99,VLOOKUP(F5885,'MSA-Lookup'!$AA$1:$AB$25,2),C5885),C5885)</f>
        <v>680</v>
      </c>
    </row>
    <row r="5886" customFormat="false" ht="12.75" hidden="false" customHeight="false" outlineLevel="0" collapsed="false">
      <c r="A5886" s="0" t="n">
        <f aca="false">B5886*1000+C5886</f>
        <v>79080</v>
      </c>
      <c r="B5886" s="0" t="n">
        <v>79</v>
      </c>
      <c r="C5886" s="0" t="n">
        <v>80</v>
      </c>
      <c r="D5886" s="0" t="n">
        <v>208</v>
      </c>
      <c r="E5886" s="0" t="n">
        <f aca="false">VLOOKUP(B5886,'MSA-Lookup'!$H$2:$I$86,2)</f>
        <v>680</v>
      </c>
      <c r="F5886" s="0" t="n">
        <f aca="false">IF(C5886&gt;1,IF(C5886&lt;99,VLOOKUP(C5886,'MSA-Lookup'!$H$1:$I$86,2),C5886),C5886)</f>
        <v>9999</v>
      </c>
      <c r="G5886" s="0" t="n">
        <f aca="false">VLOOKUP(E5886,'MSA-Lookup'!$AA$1:$AB$25,2)</f>
        <v>680</v>
      </c>
      <c r="H5886" s="0" t="n">
        <f aca="false">IF(C5886&gt;1,IF(C5886&lt;99,VLOOKUP(F5886,'MSA-Lookup'!$AA$1:$AB$25,2),C5886),C5886)</f>
        <v>9999</v>
      </c>
    </row>
    <row r="5887" customFormat="false" ht="12.75" hidden="false" customHeight="false" outlineLevel="0" collapsed="false">
      <c r="A5887" s="0" t="n">
        <f aca="false">B5887*1000+C5887</f>
        <v>79081</v>
      </c>
      <c r="B5887" s="0" t="n">
        <v>79</v>
      </c>
      <c r="C5887" s="0" t="n">
        <v>81</v>
      </c>
      <c r="D5887" s="0" t="n">
        <v>0</v>
      </c>
      <c r="E5887" s="0" t="n">
        <f aca="false">VLOOKUP(B5887,'MSA-Lookup'!$H$2:$I$86,2)</f>
        <v>680</v>
      </c>
      <c r="F5887" s="0" t="n">
        <f aca="false">IF(C5887&gt;1,IF(C5887&lt;99,VLOOKUP(C5887,'MSA-Lookup'!$H$1:$I$86,2),C5887),C5887)</f>
        <v>6780</v>
      </c>
      <c r="G5887" s="0" t="n">
        <f aca="false">VLOOKUP(E5887,'MSA-Lookup'!$AA$1:$AB$25,2)</f>
        <v>680</v>
      </c>
      <c r="H5887" s="0" t="n">
        <f aca="false">IF(C5887&gt;1,IF(C5887&lt;99,VLOOKUP(F5887,'MSA-Lookup'!$AA$1:$AB$25,2),C5887),C5887)</f>
        <v>4472</v>
      </c>
    </row>
    <row r="5888" customFormat="false" ht="12.75" hidden="false" customHeight="false" outlineLevel="0" collapsed="false">
      <c r="A5888" s="0" t="n">
        <f aca="false">B5888*1000+C5888</f>
        <v>79082</v>
      </c>
      <c r="B5888" s="0" t="n">
        <v>79</v>
      </c>
      <c r="C5888" s="0" t="n">
        <v>82</v>
      </c>
      <c r="D5888" s="0" t="n">
        <v>0</v>
      </c>
      <c r="E5888" s="0" t="n">
        <f aca="false">VLOOKUP(B5888,'MSA-Lookup'!$H$2:$I$86,2)</f>
        <v>680</v>
      </c>
      <c r="F5888" s="0" t="n">
        <f aca="false">IF(C5888&gt;1,IF(C5888&lt;99,VLOOKUP(C5888,'MSA-Lookup'!$H$1:$I$86,2),C5888),C5888)</f>
        <v>6780</v>
      </c>
      <c r="G5888" s="0" t="n">
        <f aca="false">VLOOKUP(E5888,'MSA-Lookup'!$AA$1:$AB$25,2)</f>
        <v>680</v>
      </c>
      <c r="H5888" s="0" t="n">
        <f aca="false">IF(C5888&gt;1,IF(C5888&lt;99,VLOOKUP(F5888,'MSA-Lookup'!$AA$1:$AB$25,2),C5888),C5888)</f>
        <v>4472</v>
      </c>
    </row>
    <row r="5889" customFormat="false" ht="12.75" hidden="false" customHeight="false" outlineLevel="0" collapsed="false">
      <c r="A5889" s="0" t="n">
        <f aca="false">B5889*1000+C5889</f>
        <v>79083</v>
      </c>
      <c r="B5889" s="0" t="n">
        <v>79</v>
      </c>
      <c r="C5889" s="0" t="n">
        <v>83</v>
      </c>
      <c r="D5889" s="0" t="n">
        <v>0</v>
      </c>
      <c r="E5889" s="0" t="n">
        <f aca="false">VLOOKUP(B5889,'MSA-Lookup'!$H$2:$I$86,2)</f>
        <v>680</v>
      </c>
      <c r="F5889" s="0" t="n">
        <f aca="false">IF(C5889&gt;1,IF(C5889&lt;99,VLOOKUP(C5889,'MSA-Lookup'!$H$1:$I$86,2),C5889),C5889)</f>
        <v>6000</v>
      </c>
      <c r="G5889" s="0" t="n">
        <f aca="false">VLOOKUP(E5889,'MSA-Lookup'!$AA$1:$AB$25,2)</f>
        <v>680</v>
      </c>
      <c r="H5889" s="0" t="n">
        <f aca="false">IF(C5889&gt;1,IF(C5889&lt;99,VLOOKUP(F5889,'MSA-Lookup'!$AA$1:$AB$25,2),C5889),C5889)</f>
        <v>4472</v>
      </c>
    </row>
    <row r="5890" customFormat="false" ht="12.75" hidden="false" customHeight="false" outlineLevel="0" collapsed="false">
      <c r="A5890" s="0" t="n">
        <f aca="false">B5890*1000+C5890</f>
        <v>79084</v>
      </c>
      <c r="B5890" s="0" t="n">
        <v>79</v>
      </c>
      <c r="C5890" s="0" t="n">
        <v>84</v>
      </c>
      <c r="D5890" s="0" t="n">
        <v>0</v>
      </c>
      <c r="E5890" s="0" t="n">
        <f aca="false">VLOOKUP(B5890,'MSA-Lookup'!$H$2:$I$86,2)</f>
        <v>680</v>
      </c>
      <c r="F5890" s="0" t="n">
        <f aca="false">IF(C5890&gt;1,IF(C5890&lt;99,VLOOKUP(C5890,'MSA-Lookup'!$H$1:$I$86,2),C5890),C5890)</f>
        <v>360</v>
      </c>
      <c r="G5890" s="0" t="n">
        <f aca="false">VLOOKUP(E5890,'MSA-Lookup'!$AA$1:$AB$25,2)</f>
        <v>680</v>
      </c>
      <c r="H5890" s="0" t="n">
        <f aca="false">IF(C5890&gt;1,IF(C5890&lt;99,VLOOKUP(F5890,'MSA-Lookup'!$AA$1:$AB$25,2),C5890),C5890)</f>
        <v>4472</v>
      </c>
    </row>
    <row r="5891" customFormat="false" ht="12.75" hidden="false" customHeight="false" outlineLevel="0" collapsed="false">
      <c r="A5891" s="0" t="n">
        <f aca="false">B5891*1000+C5891</f>
        <v>79085</v>
      </c>
      <c r="B5891" s="0" t="n">
        <v>79</v>
      </c>
      <c r="C5891" s="0" t="n">
        <v>85</v>
      </c>
      <c r="D5891" s="0" t="n">
        <v>0</v>
      </c>
      <c r="E5891" s="0" t="n">
        <f aca="false">VLOOKUP(B5891,'MSA-Lookup'!$H$2:$I$86,2)</f>
        <v>680</v>
      </c>
      <c r="F5891" s="0" t="n">
        <f aca="false">IF(C5891&gt;1,IF(C5891&lt;99,VLOOKUP(C5891,'MSA-Lookup'!$H$1:$I$86,2),C5891),C5891)</f>
        <v>8120</v>
      </c>
      <c r="G5891" s="0" t="n">
        <f aca="false">VLOOKUP(E5891,'MSA-Lookup'!$AA$1:$AB$25,2)</f>
        <v>680</v>
      </c>
      <c r="H5891" s="0" t="n">
        <f aca="false">IF(C5891&gt;1,IF(C5891&lt;99,VLOOKUP(F5891,'MSA-Lookup'!$AA$1:$AB$25,2),C5891),C5891)</f>
        <v>8120</v>
      </c>
    </row>
    <row r="5892" customFormat="false" ht="12.75" hidden="false" customHeight="false" outlineLevel="0" collapsed="false">
      <c r="A5892" s="0" t="n">
        <f aca="false">B5892*1000+C5892</f>
        <v>79858</v>
      </c>
      <c r="B5892" s="0" t="n">
        <v>79</v>
      </c>
      <c r="C5892" s="0" t="n">
        <v>858</v>
      </c>
      <c r="D5892" s="0" t="n">
        <v>0</v>
      </c>
      <c r="E5892" s="0" t="n">
        <f aca="false">VLOOKUP(B5892,'MSA-Lookup'!$H$2:$I$86,2)</f>
        <v>680</v>
      </c>
      <c r="F5892" s="0" t="n">
        <f aca="false">IF(C5892&gt;1,IF(C5892&lt;99,VLOOKUP(C5892,'MSA-Lookup'!$H$1:$I$86,2),C5892),C5892)</f>
        <v>858</v>
      </c>
      <c r="G5892" s="0" t="n">
        <f aca="false">VLOOKUP(E5892,'MSA-Lookup'!$AA$1:$AB$25,2)</f>
        <v>680</v>
      </c>
      <c r="H5892" s="0" t="n">
        <f aca="false">IF(C5892&gt;1,IF(C5892&lt;99,VLOOKUP(F5892,'MSA-Lookup'!$AA$1:$AB$25,2),C5892),C5892)</f>
        <v>858</v>
      </c>
    </row>
    <row r="5893" customFormat="false" ht="12.75" hidden="false" customHeight="false" outlineLevel="0" collapsed="false">
      <c r="A5893" s="0" t="n">
        <f aca="false">B5893*1000+C5893</f>
        <v>79983</v>
      </c>
      <c r="B5893" s="0" t="n">
        <v>79</v>
      </c>
      <c r="C5893" s="0" t="n">
        <v>983</v>
      </c>
      <c r="D5893" s="0" t="n">
        <v>0</v>
      </c>
      <c r="E5893" s="0" t="n">
        <f aca="false">VLOOKUP(B5893,'MSA-Lookup'!$H$2:$I$86,2)</f>
        <v>680</v>
      </c>
      <c r="F5893" s="0" t="n">
        <f aca="false">IF(C5893&gt;1,IF(C5893&lt;99,VLOOKUP(C5893,'MSA-Lookup'!$H$1:$I$86,2),C5893),C5893)</f>
        <v>983</v>
      </c>
      <c r="G5893" s="0" t="n">
        <f aca="false">VLOOKUP(E5893,'MSA-Lookup'!$AA$1:$AB$25,2)</f>
        <v>680</v>
      </c>
      <c r="H5893" s="0" t="n">
        <f aca="false">IF(C5893&gt;1,IF(C5893&lt;99,VLOOKUP(F5893,'MSA-Lookup'!$AA$1:$AB$25,2),C5893),C5893)</f>
        <v>983</v>
      </c>
    </row>
    <row r="5894" customFormat="false" ht="12.75" hidden="false" customHeight="false" outlineLevel="0" collapsed="false">
      <c r="A5894" s="0" t="n">
        <f aca="false">B5894*1000+C5894</f>
        <v>79999</v>
      </c>
      <c r="B5894" s="0" t="n">
        <v>79</v>
      </c>
      <c r="C5894" s="0" t="n">
        <v>999</v>
      </c>
      <c r="D5894" s="0" t="n">
        <v>0</v>
      </c>
      <c r="E5894" s="0" t="n">
        <f aca="false">VLOOKUP(B5894,'MSA-Lookup'!$H$2:$I$86,2)</f>
        <v>680</v>
      </c>
      <c r="F5894" s="0" t="n">
        <f aca="false">IF(C5894&gt;1,IF(C5894&lt;99,VLOOKUP(C5894,'MSA-Lookup'!$H$1:$I$86,2),C5894),C5894)</f>
        <v>999</v>
      </c>
      <c r="G5894" s="0" t="n">
        <f aca="false">VLOOKUP(E5894,'MSA-Lookup'!$AA$1:$AB$25,2)</f>
        <v>680</v>
      </c>
      <c r="H5894" s="0" t="n">
        <f aca="false">IF(C5894&gt;1,IF(C5894&lt;99,VLOOKUP(F5894,'MSA-Lookup'!$AA$1:$AB$25,2),C5894),C5894)</f>
        <v>999</v>
      </c>
    </row>
    <row r="5895" customFormat="false" ht="12.75" hidden="false" customHeight="false" outlineLevel="0" collapsed="false">
      <c r="A5895" s="0" t="n">
        <f aca="false">B5895*1000+C5895</f>
        <v>80000</v>
      </c>
      <c r="B5895" s="0" t="n">
        <v>80</v>
      </c>
      <c r="C5895" s="0" t="n">
        <v>0</v>
      </c>
      <c r="D5895" s="0" t="n">
        <v>118885</v>
      </c>
      <c r="E5895" s="0" t="n">
        <f aca="false">VLOOKUP(B5895,'MSA-Lookup'!$H$2:$I$86,2)</f>
        <v>9999</v>
      </c>
      <c r="F5895" s="0" t="n">
        <f aca="false">IF(C5895&gt;1,IF(C5895&lt;99,VLOOKUP(C5895,'MSA-Lookup'!$H$1:$I$86,2),C5895),C5895)</f>
        <v>0</v>
      </c>
      <c r="G5895" s="0" t="n">
        <f aca="false">VLOOKUP(E5895,'MSA-Lookup'!$AA$1:$AB$25,2)</f>
        <v>9999</v>
      </c>
      <c r="H5895" s="0" t="n">
        <f aca="false">IF(C5895&gt;1,IF(C5895&lt;99,VLOOKUP(F5895,'MSA-Lookup'!$AA$1:$AB$25,2),C5895),C5895)</f>
        <v>0</v>
      </c>
    </row>
    <row r="5896" customFormat="false" ht="12.75" hidden="false" customHeight="false" outlineLevel="0" collapsed="false">
      <c r="A5896" s="0" t="n">
        <f aca="false">B5896*1000+C5896</f>
        <v>80001</v>
      </c>
      <c r="B5896" s="0" t="n">
        <v>80</v>
      </c>
      <c r="C5896" s="0" t="n">
        <v>1</v>
      </c>
      <c r="D5896" s="0" t="n">
        <v>0</v>
      </c>
      <c r="E5896" s="0" t="n">
        <f aca="false">VLOOKUP(B5896,'MSA-Lookup'!$H$2:$I$86,2)</f>
        <v>9999</v>
      </c>
      <c r="F5896" s="0" t="n">
        <f aca="false">IF(C5896&gt;1,IF(C5896&lt;99,VLOOKUP(C5896,'MSA-Lookup'!$H$1:$I$86,2),C5896),C5896)</f>
        <v>1</v>
      </c>
      <c r="G5896" s="0" t="n">
        <f aca="false">VLOOKUP(E5896,'MSA-Lookup'!$AA$1:$AB$25,2)</f>
        <v>9999</v>
      </c>
      <c r="H5896" s="0" t="n">
        <f aca="false">IF(C5896&gt;1,IF(C5896&lt;99,VLOOKUP(F5896,'MSA-Lookup'!$AA$1:$AB$25,2),C5896),C5896)</f>
        <v>1</v>
      </c>
    </row>
    <row r="5897" customFormat="false" ht="12.75" hidden="false" customHeight="false" outlineLevel="0" collapsed="false">
      <c r="A5897" s="0" t="n">
        <f aca="false">B5897*1000+C5897</f>
        <v>80002</v>
      </c>
      <c r="B5897" s="0" t="n">
        <v>80</v>
      </c>
      <c r="C5897" s="0" t="n">
        <v>2</v>
      </c>
      <c r="D5897" s="0" t="n">
        <v>247</v>
      </c>
      <c r="E5897" s="0" t="n">
        <f aca="false">VLOOKUP(B5897,'MSA-Lookup'!$H$2:$I$86,2)</f>
        <v>9999</v>
      </c>
      <c r="F5897" s="0" t="n">
        <f aca="false">IF(C5897&gt;1,IF(C5897&lt;99,VLOOKUP(C5897,'MSA-Lookup'!$H$1:$I$86,2),C5897),C5897)</f>
        <v>9999</v>
      </c>
      <c r="G5897" s="0" t="n">
        <f aca="false">VLOOKUP(E5897,'MSA-Lookup'!$AA$1:$AB$25,2)</f>
        <v>9999</v>
      </c>
      <c r="H5897" s="0" t="n">
        <f aca="false">IF(C5897&gt;1,IF(C5897&lt;99,VLOOKUP(F5897,'MSA-Lookup'!$AA$1:$AB$25,2),C5897),C5897)</f>
        <v>9999</v>
      </c>
    </row>
    <row r="5898" customFormat="false" ht="12.75" hidden="false" customHeight="false" outlineLevel="0" collapsed="false">
      <c r="A5898" s="0" t="n">
        <f aca="false">B5898*1000+C5898</f>
        <v>80003</v>
      </c>
      <c r="B5898" s="0" t="n">
        <v>80</v>
      </c>
      <c r="C5898" s="0" t="n">
        <v>3</v>
      </c>
      <c r="D5898" s="0" t="n">
        <v>0</v>
      </c>
      <c r="E5898" s="0" t="n">
        <f aca="false">VLOOKUP(B5898,'MSA-Lookup'!$H$2:$I$86,2)</f>
        <v>9999</v>
      </c>
      <c r="F5898" s="0" t="n">
        <f aca="false">IF(C5898&gt;1,IF(C5898&lt;99,VLOOKUP(C5898,'MSA-Lookup'!$H$1:$I$86,2),C5898),C5898)</f>
        <v>6690</v>
      </c>
      <c r="G5898" s="0" t="n">
        <f aca="false">VLOOKUP(E5898,'MSA-Lookup'!$AA$1:$AB$25,2)</f>
        <v>9999</v>
      </c>
      <c r="H5898" s="0" t="n">
        <f aca="false">IF(C5898&gt;1,IF(C5898&lt;99,VLOOKUP(F5898,'MSA-Lookup'!$AA$1:$AB$25,2),C5898),C5898)</f>
        <v>6690</v>
      </c>
    </row>
    <row r="5899" customFormat="false" ht="12.75" hidden="false" customHeight="false" outlineLevel="0" collapsed="false">
      <c r="A5899" s="0" t="n">
        <f aca="false">B5899*1000+C5899</f>
        <v>80004</v>
      </c>
      <c r="B5899" s="0" t="n">
        <v>80</v>
      </c>
      <c r="C5899" s="0" t="n">
        <v>4</v>
      </c>
      <c r="D5899" s="0" t="n">
        <v>0</v>
      </c>
      <c r="E5899" s="0" t="n">
        <f aca="false">VLOOKUP(B5899,'MSA-Lookup'!$H$2:$I$86,2)</f>
        <v>9999</v>
      </c>
      <c r="F5899" s="0" t="n">
        <f aca="false">IF(C5899&gt;1,IF(C5899&lt;99,VLOOKUP(C5899,'MSA-Lookup'!$H$1:$I$86,2),C5899),C5899)</f>
        <v>9999</v>
      </c>
      <c r="G5899" s="0" t="n">
        <f aca="false">VLOOKUP(E5899,'MSA-Lookup'!$AA$1:$AB$25,2)</f>
        <v>9999</v>
      </c>
      <c r="H5899" s="0" t="n">
        <f aca="false">IF(C5899&gt;1,IF(C5899&lt;99,VLOOKUP(F5899,'MSA-Lookup'!$AA$1:$AB$25,2),C5899),C5899)</f>
        <v>9999</v>
      </c>
    </row>
    <row r="5900" customFormat="false" ht="12.75" hidden="false" customHeight="false" outlineLevel="0" collapsed="false">
      <c r="A5900" s="0" t="n">
        <f aca="false">B5900*1000+C5900</f>
        <v>80005</v>
      </c>
      <c r="B5900" s="0" t="n">
        <v>80</v>
      </c>
      <c r="C5900" s="0" t="n">
        <v>5</v>
      </c>
      <c r="D5900" s="0" t="n">
        <v>0</v>
      </c>
      <c r="E5900" s="0" t="n">
        <f aca="false">VLOOKUP(B5900,'MSA-Lookup'!$H$2:$I$86,2)</f>
        <v>9999</v>
      </c>
      <c r="F5900" s="0" t="n">
        <f aca="false">IF(C5900&gt;1,IF(C5900&lt;99,VLOOKUP(C5900,'MSA-Lookup'!$H$1:$I$86,2),C5900),C5900)</f>
        <v>9999</v>
      </c>
      <c r="G5900" s="0" t="n">
        <f aca="false">VLOOKUP(E5900,'MSA-Lookup'!$AA$1:$AB$25,2)</f>
        <v>9999</v>
      </c>
      <c r="H5900" s="0" t="n">
        <f aca="false">IF(C5900&gt;1,IF(C5900&lt;99,VLOOKUP(F5900,'MSA-Lookup'!$AA$1:$AB$25,2),C5900),C5900)</f>
        <v>9999</v>
      </c>
    </row>
    <row r="5901" customFormat="false" ht="12.75" hidden="false" customHeight="false" outlineLevel="0" collapsed="false">
      <c r="A5901" s="0" t="n">
        <f aca="false">B5901*1000+C5901</f>
        <v>80006</v>
      </c>
      <c r="B5901" s="0" t="n">
        <v>80</v>
      </c>
      <c r="C5901" s="0" t="n">
        <v>6</v>
      </c>
      <c r="D5901" s="0" t="n">
        <v>0</v>
      </c>
      <c r="E5901" s="0" t="n">
        <f aca="false">VLOOKUP(B5901,'MSA-Lookup'!$H$2:$I$86,2)</f>
        <v>9999</v>
      </c>
      <c r="F5901" s="0" t="n">
        <f aca="false">IF(C5901&gt;1,IF(C5901&lt;99,VLOOKUP(C5901,'MSA-Lookup'!$H$1:$I$86,2),C5901),C5901)</f>
        <v>1620</v>
      </c>
      <c r="G5901" s="0" t="n">
        <f aca="false">VLOOKUP(E5901,'MSA-Lookup'!$AA$1:$AB$25,2)</f>
        <v>9999</v>
      </c>
      <c r="H5901" s="0" t="n">
        <f aca="false">IF(C5901&gt;1,IF(C5901&lt;99,VLOOKUP(F5901,'MSA-Lookup'!$AA$1:$AB$25,2),C5901),C5901)</f>
        <v>1620</v>
      </c>
    </row>
    <row r="5902" customFormat="false" ht="12.75" hidden="false" customHeight="false" outlineLevel="0" collapsed="false">
      <c r="A5902" s="0" t="n">
        <f aca="false">B5902*1000+C5902</f>
        <v>80007</v>
      </c>
      <c r="B5902" s="0" t="n">
        <v>80</v>
      </c>
      <c r="C5902" s="0" t="n">
        <v>7</v>
      </c>
      <c r="D5902" s="0" t="n">
        <v>0</v>
      </c>
      <c r="E5902" s="0" t="n">
        <f aca="false">VLOOKUP(B5902,'MSA-Lookup'!$H$2:$I$86,2)</f>
        <v>9999</v>
      </c>
      <c r="F5902" s="0" t="n">
        <f aca="false">IF(C5902&gt;1,IF(C5902&lt;99,VLOOKUP(C5902,'MSA-Lookup'!$H$1:$I$86,2),C5902),C5902)</f>
        <v>9999</v>
      </c>
      <c r="G5902" s="0" t="n">
        <f aca="false">VLOOKUP(E5902,'MSA-Lookup'!$AA$1:$AB$25,2)</f>
        <v>9999</v>
      </c>
      <c r="H5902" s="0" t="n">
        <f aca="false">IF(C5902&gt;1,IF(C5902&lt;99,VLOOKUP(F5902,'MSA-Lookup'!$AA$1:$AB$25,2),C5902),C5902)</f>
        <v>9999</v>
      </c>
    </row>
    <row r="5903" customFormat="false" ht="12.75" hidden="false" customHeight="false" outlineLevel="0" collapsed="false">
      <c r="A5903" s="0" t="n">
        <f aca="false">B5903*1000+C5903</f>
        <v>80008</v>
      </c>
      <c r="B5903" s="0" t="n">
        <v>80</v>
      </c>
      <c r="C5903" s="0" t="n">
        <v>8</v>
      </c>
      <c r="D5903" s="0" t="n">
        <v>0</v>
      </c>
      <c r="E5903" s="0" t="n">
        <f aca="false">VLOOKUP(B5903,'MSA-Lookup'!$H$2:$I$86,2)</f>
        <v>9999</v>
      </c>
      <c r="F5903" s="0" t="n">
        <f aca="false">IF(C5903&gt;1,IF(C5903&lt;99,VLOOKUP(C5903,'MSA-Lookup'!$H$1:$I$86,2),C5903),C5903)</f>
        <v>9340</v>
      </c>
      <c r="G5903" s="0" t="n">
        <f aca="false">VLOOKUP(E5903,'MSA-Lookup'!$AA$1:$AB$25,2)</f>
        <v>9999</v>
      </c>
      <c r="H5903" s="0" t="n">
        <f aca="false">IF(C5903&gt;1,IF(C5903&lt;99,VLOOKUP(F5903,'MSA-Lookup'!$AA$1:$AB$25,2),C5903),C5903)</f>
        <v>9340</v>
      </c>
    </row>
    <row r="5904" customFormat="false" ht="12.75" hidden="false" customHeight="false" outlineLevel="0" collapsed="false">
      <c r="A5904" s="0" t="n">
        <f aca="false">B5904*1000+C5904</f>
        <v>80009</v>
      </c>
      <c r="B5904" s="0" t="n">
        <v>80</v>
      </c>
      <c r="C5904" s="0" t="n">
        <v>9</v>
      </c>
      <c r="D5904" s="0" t="n">
        <v>0</v>
      </c>
      <c r="E5904" s="0" t="n">
        <f aca="false">VLOOKUP(B5904,'MSA-Lookup'!$H$2:$I$86,2)</f>
        <v>9999</v>
      </c>
      <c r="F5904" s="0" t="n">
        <f aca="false">IF(C5904&gt;1,IF(C5904&lt;99,VLOOKUP(C5904,'MSA-Lookup'!$H$1:$I$86,2),C5904),C5904)</f>
        <v>8720</v>
      </c>
      <c r="G5904" s="0" t="n">
        <f aca="false">VLOOKUP(E5904,'MSA-Lookup'!$AA$1:$AB$25,2)</f>
        <v>9999</v>
      </c>
      <c r="H5904" s="0" t="n">
        <f aca="false">IF(C5904&gt;1,IF(C5904&lt;99,VLOOKUP(F5904,'MSA-Lookup'!$AA$1:$AB$25,2),C5904),C5904)</f>
        <v>7362</v>
      </c>
    </row>
    <row r="5905" customFormat="false" ht="12.75" hidden="false" customHeight="false" outlineLevel="0" collapsed="false">
      <c r="A5905" s="0" t="n">
        <f aca="false">B5905*1000+C5905</f>
        <v>80010</v>
      </c>
      <c r="B5905" s="0" t="n">
        <v>80</v>
      </c>
      <c r="C5905" s="0" t="n">
        <v>10</v>
      </c>
      <c r="D5905" s="0" t="n">
        <v>0</v>
      </c>
      <c r="E5905" s="0" t="n">
        <f aca="false">VLOOKUP(B5905,'MSA-Lookup'!$H$2:$I$86,2)</f>
        <v>9999</v>
      </c>
      <c r="F5905" s="0" t="n">
        <f aca="false">IF(C5905&gt;1,IF(C5905&lt;99,VLOOKUP(C5905,'MSA-Lookup'!$H$1:$I$86,2),C5905),C5905)</f>
        <v>6920</v>
      </c>
      <c r="G5905" s="0" t="n">
        <f aca="false">VLOOKUP(E5905,'MSA-Lookup'!$AA$1:$AB$25,2)</f>
        <v>9999</v>
      </c>
      <c r="H5905" s="0" t="n">
        <f aca="false">IF(C5905&gt;1,IF(C5905&lt;99,VLOOKUP(F5905,'MSA-Lookup'!$AA$1:$AB$25,2),C5905),C5905)</f>
        <v>6920</v>
      </c>
    </row>
    <row r="5906" customFormat="false" ht="12.75" hidden="false" customHeight="false" outlineLevel="0" collapsed="false">
      <c r="A5906" s="0" t="n">
        <f aca="false">B5906*1000+C5906</f>
        <v>80011</v>
      </c>
      <c r="B5906" s="0" t="n">
        <v>80</v>
      </c>
      <c r="C5906" s="0" t="n">
        <v>11</v>
      </c>
      <c r="D5906" s="0" t="n">
        <v>0</v>
      </c>
      <c r="E5906" s="0" t="n">
        <f aca="false">VLOOKUP(B5906,'MSA-Lookup'!$H$2:$I$86,2)</f>
        <v>9999</v>
      </c>
      <c r="F5906" s="0" t="n">
        <f aca="false">IF(C5906&gt;1,IF(C5906&lt;99,VLOOKUP(C5906,'MSA-Lookup'!$H$1:$I$86,2),C5906),C5906)</f>
        <v>6920</v>
      </c>
      <c r="G5906" s="0" t="n">
        <f aca="false">VLOOKUP(E5906,'MSA-Lookup'!$AA$1:$AB$25,2)</f>
        <v>9999</v>
      </c>
      <c r="H5906" s="0" t="n">
        <f aca="false">IF(C5906&gt;1,IF(C5906&lt;99,VLOOKUP(F5906,'MSA-Lookup'!$AA$1:$AB$25,2),C5906),C5906)</f>
        <v>6920</v>
      </c>
    </row>
    <row r="5907" customFormat="false" ht="12.75" hidden="false" customHeight="false" outlineLevel="0" collapsed="false">
      <c r="A5907" s="0" t="n">
        <f aca="false">B5907*1000+C5907</f>
        <v>80012</v>
      </c>
      <c r="B5907" s="0" t="n">
        <v>80</v>
      </c>
      <c r="C5907" s="0" t="n">
        <v>12</v>
      </c>
      <c r="D5907" s="0" t="n">
        <v>0</v>
      </c>
      <c r="E5907" s="0" t="n">
        <f aca="false">VLOOKUP(B5907,'MSA-Lookup'!$H$2:$I$86,2)</f>
        <v>9999</v>
      </c>
      <c r="F5907" s="0" t="n">
        <f aca="false">IF(C5907&gt;1,IF(C5907&lt;99,VLOOKUP(C5907,'MSA-Lookup'!$H$1:$I$86,2),C5907),C5907)</f>
        <v>6920</v>
      </c>
      <c r="G5907" s="0" t="n">
        <f aca="false">VLOOKUP(E5907,'MSA-Lookup'!$AA$1:$AB$25,2)</f>
        <v>9999</v>
      </c>
      <c r="H5907" s="0" t="n">
        <f aca="false">IF(C5907&gt;1,IF(C5907&lt;99,VLOOKUP(F5907,'MSA-Lookup'!$AA$1:$AB$25,2),C5907),C5907)</f>
        <v>6920</v>
      </c>
    </row>
    <row r="5908" customFormat="false" ht="12.75" hidden="false" customHeight="false" outlineLevel="0" collapsed="false">
      <c r="A5908" s="0" t="n">
        <f aca="false">B5908*1000+C5908</f>
        <v>80013</v>
      </c>
      <c r="B5908" s="0" t="n">
        <v>80</v>
      </c>
      <c r="C5908" s="0" t="n">
        <v>13</v>
      </c>
      <c r="D5908" s="0" t="n">
        <v>0</v>
      </c>
      <c r="E5908" s="0" t="n">
        <f aca="false">VLOOKUP(B5908,'MSA-Lookup'!$H$2:$I$86,2)</f>
        <v>9999</v>
      </c>
      <c r="F5908" s="0" t="n">
        <f aca="false">IF(C5908&gt;1,IF(C5908&lt;99,VLOOKUP(C5908,'MSA-Lookup'!$H$1:$I$86,2),C5908),C5908)</f>
        <v>7500</v>
      </c>
      <c r="G5908" s="0" t="n">
        <f aca="false">VLOOKUP(E5908,'MSA-Lookup'!$AA$1:$AB$25,2)</f>
        <v>9999</v>
      </c>
      <c r="H5908" s="0" t="n">
        <f aca="false">IF(C5908&gt;1,IF(C5908&lt;99,VLOOKUP(F5908,'MSA-Lookup'!$AA$1:$AB$25,2),C5908),C5908)</f>
        <v>7362</v>
      </c>
    </row>
    <row r="5909" customFormat="false" ht="12.75" hidden="false" customHeight="false" outlineLevel="0" collapsed="false">
      <c r="A5909" s="0" t="n">
        <f aca="false">B5909*1000+C5909</f>
        <v>80014</v>
      </c>
      <c r="B5909" s="0" t="n">
        <v>80</v>
      </c>
      <c r="C5909" s="0" t="n">
        <v>14</v>
      </c>
      <c r="D5909" s="0" t="n">
        <v>0</v>
      </c>
      <c r="E5909" s="0" t="n">
        <f aca="false">VLOOKUP(B5909,'MSA-Lookup'!$H$2:$I$86,2)</f>
        <v>9999</v>
      </c>
      <c r="F5909" s="0" t="n">
        <f aca="false">IF(C5909&gt;1,IF(C5909&lt;99,VLOOKUP(C5909,'MSA-Lookup'!$H$1:$I$86,2),C5909),C5909)</f>
        <v>7500</v>
      </c>
      <c r="G5909" s="0" t="n">
        <f aca="false">VLOOKUP(E5909,'MSA-Lookup'!$AA$1:$AB$25,2)</f>
        <v>9999</v>
      </c>
      <c r="H5909" s="0" t="n">
        <f aca="false">IF(C5909&gt;1,IF(C5909&lt;99,VLOOKUP(F5909,'MSA-Lookup'!$AA$1:$AB$25,2),C5909),C5909)</f>
        <v>7362</v>
      </c>
    </row>
    <row r="5910" customFormat="false" ht="12.75" hidden="false" customHeight="false" outlineLevel="0" collapsed="false">
      <c r="A5910" s="0" t="n">
        <f aca="false">B5910*1000+C5910</f>
        <v>80015</v>
      </c>
      <c r="B5910" s="0" t="n">
        <v>80</v>
      </c>
      <c r="C5910" s="0" t="n">
        <v>15</v>
      </c>
      <c r="D5910" s="0" t="n">
        <v>0</v>
      </c>
      <c r="E5910" s="0" t="n">
        <f aca="false">VLOOKUP(B5910,'MSA-Lookup'!$H$2:$I$86,2)</f>
        <v>9999</v>
      </c>
      <c r="F5910" s="0" t="n">
        <f aca="false">IF(C5910&gt;1,IF(C5910&lt;99,VLOOKUP(C5910,'MSA-Lookup'!$H$1:$I$86,2),C5910),C5910)</f>
        <v>7360</v>
      </c>
      <c r="G5910" s="0" t="n">
        <f aca="false">VLOOKUP(E5910,'MSA-Lookup'!$AA$1:$AB$25,2)</f>
        <v>9999</v>
      </c>
      <c r="H5910" s="0" t="n">
        <f aca="false">IF(C5910&gt;1,IF(C5910&lt;99,VLOOKUP(F5910,'MSA-Lookup'!$AA$1:$AB$25,2),C5910),C5910)</f>
        <v>7362</v>
      </c>
    </row>
    <row r="5911" customFormat="false" ht="12.75" hidden="false" customHeight="false" outlineLevel="0" collapsed="false">
      <c r="A5911" s="0" t="n">
        <f aca="false">B5911*1000+C5911</f>
        <v>80016</v>
      </c>
      <c r="B5911" s="0" t="n">
        <v>80</v>
      </c>
      <c r="C5911" s="0" t="n">
        <v>16</v>
      </c>
      <c r="D5911" s="0" t="n">
        <v>0</v>
      </c>
      <c r="E5911" s="0" t="n">
        <f aca="false">VLOOKUP(B5911,'MSA-Lookup'!$H$2:$I$86,2)</f>
        <v>9999</v>
      </c>
      <c r="F5911" s="0" t="n">
        <f aca="false">IF(C5911&gt;1,IF(C5911&lt;99,VLOOKUP(C5911,'MSA-Lookup'!$H$1:$I$86,2),C5911),C5911)</f>
        <v>8720</v>
      </c>
      <c r="G5911" s="0" t="n">
        <f aca="false">VLOOKUP(E5911,'MSA-Lookup'!$AA$1:$AB$25,2)</f>
        <v>9999</v>
      </c>
      <c r="H5911" s="0" t="n">
        <f aca="false">IF(C5911&gt;1,IF(C5911&lt;99,VLOOKUP(F5911,'MSA-Lookup'!$AA$1:$AB$25,2),C5911),C5911)</f>
        <v>7362</v>
      </c>
    </row>
    <row r="5912" customFormat="false" ht="12.75" hidden="false" customHeight="false" outlineLevel="0" collapsed="false">
      <c r="A5912" s="0" t="n">
        <f aca="false">B5912*1000+C5912</f>
        <v>80017</v>
      </c>
      <c r="B5912" s="0" t="n">
        <v>80</v>
      </c>
      <c r="C5912" s="0" t="n">
        <v>17</v>
      </c>
      <c r="D5912" s="0" t="n">
        <v>0</v>
      </c>
      <c r="E5912" s="0" t="n">
        <f aca="false">VLOOKUP(B5912,'MSA-Lookup'!$H$2:$I$86,2)</f>
        <v>9999</v>
      </c>
      <c r="F5912" s="0" t="n">
        <f aca="false">IF(C5912&gt;1,IF(C5912&lt;99,VLOOKUP(C5912,'MSA-Lookup'!$H$1:$I$86,2),C5912),C5912)</f>
        <v>5775</v>
      </c>
      <c r="G5912" s="0" t="n">
        <f aca="false">VLOOKUP(E5912,'MSA-Lookup'!$AA$1:$AB$25,2)</f>
        <v>9999</v>
      </c>
      <c r="H5912" s="0" t="n">
        <f aca="false">IF(C5912&gt;1,IF(C5912&lt;99,VLOOKUP(F5912,'MSA-Lookup'!$AA$1:$AB$25,2),C5912),C5912)</f>
        <v>7362</v>
      </c>
    </row>
    <row r="5913" customFormat="false" ht="12.75" hidden="false" customHeight="false" outlineLevel="0" collapsed="false">
      <c r="A5913" s="0" t="n">
        <f aca="false">B5913*1000+C5913</f>
        <v>80018</v>
      </c>
      <c r="B5913" s="0" t="n">
        <v>80</v>
      </c>
      <c r="C5913" s="0" t="n">
        <v>18</v>
      </c>
      <c r="D5913" s="0" t="n">
        <v>78</v>
      </c>
      <c r="E5913" s="0" t="n">
        <f aca="false">VLOOKUP(B5913,'MSA-Lookup'!$H$2:$I$86,2)</f>
        <v>9999</v>
      </c>
      <c r="F5913" s="0" t="n">
        <f aca="false">IF(C5913&gt;1,IF(C5913&lt;99,VLOOKUP(C5913,'MSA-Lookup'!$H$1:$I$86,2),C5913),C5913)</f>
        <v>5775</v>
      </c>
      <c r="G5913" s="0" t="n">
        <f aca="false">VLOOKUP(E5913,'MSA-Lookup'!$AA$1:$AB$25,2)</f>
        <v>9999</v>
      </c>
      <c r="H5913" s="0" t="n">
        <f aca="false">IF(C5913&gt;1,IF(C5913&lt;99,VLOOKUP(F5913,'MSA-Lookup'!$AA$1:$AB$25,2),C5913),C5913)</f>
        <v>7362</v>
      </c>
    </row>
    <row r="5914" customFormat="false" ht="12.75" hidden="false" customHeight="false" outlineLevel="0" collapsed="false">
      <c r="A5914" s="0" t="n">
        <f aca="false">B5914*1000+C5914</f>
        <v>80019</v>
      </c>
      <c r="B5914" s="0" t="n">
        <v>80</v>
      </c>
      <c r="C5914" s="0" t="n">
        <v>19</v>
      </c>
      <c r="D5914" s="0" t="n">
        <v>104</v>
      </c>
      <c r="E5914" s="0" t="n">
        <f aca="false">VLOOKUP(B5914,'MSA-Lookup'!$H$2:$I$86,2)</f>
        <v>9999</v>
      </c>
      <c r="F5914" s="0" t="n">
        <f aca="false">IF(C5914&gt;1,IF(C5914&lt;99,VLOOKUP(C5914,'MSA-Lookup'!$H$1:$I$86,2),C5914),C5914)</f>
        <v>7360</v>
      </c>
      <c r="G5914" s="0" t="n">
        <f aca="false">VLOOKUP(E5914,'MSA-Lookup'!$AA$1:$AB$25,2)</f>
        <v>9999</v>
      </c>
      <c r="H5914" s="0" t="n">
        <f aca="false">IF(C5914&gt;1,IF(C5914&lt;99,VLOOKUP(F5914,'MSA-Lookup'!$AA$1:$AB$25,2),C5914),C5914)</f>
        <v>7362</v>
      </c>
    </row>
    <row r="5915" customFormat="false" ht="12.75" hidden="false" customHeight="false" outlineLevel="0" collapsed="false">
      <c r="A5915" s="0" t="n">
        <f aca="false">B5915*1000+C5915</f>
        <v>80020</v>
      </c>
      <c r="B5915" s="0" t="n">
        <v>80</v>
      </c>
      <c r="C5915" s="0" t="n">
        <v>20</v>
      </c>
      <c r="D5915" s="0" t="n">
        <v>0</v>
      </c>
      <c r="E5915" s="0" t="n">
        <f aca="false">VLOOKUP(B5915,'MSA-Lookup'!$H$2:$I$86,2)</f>
        <v>9999</v>
      </c>
      <c r="F5915" s="0" t="n">
        <f aca="false">IF(C5915&gt;1,IF(C5915&lt;99,VLOOKUP(C5915,'MSA-Lookup'!$H$1:$I$86,2),C5915),C5915)</f>
        <v>5775</v>
      </c>
      <c r="G5915" s="0" t="n">
        <f aca="false">VLOOKUP(E5915,'MSA-Lookup'!$AA$1:$AB$25,2)</f>
        <v>9999</v>
      </c>
      <c r="H5915" s="0" t="n">
        <f aca="false">IF(C5915&gt;1,IF(C5915&lt;99,VLOOKUP(F5915,'MSA-Lookup'!$AA$1:$AB$25,2),C5915),C5915)</f>
        <v>7362</v>
      </c>
    </row>
    <row r="5916" customFormat="false" ht="12.75" hidden="false" customHeight="false" outlineLevel="0" collapsed="false">
      <c r="A5916" s="0" t="n">
        <f aca="false">B5916*1000+C5916</f>
        <v>80021</v>
      </c>
      <c r="B5916" s="0" t="n">
        <v>80</v>
      </c>
      <c r="C5916" s="0" t="n">
        <v>21</v>
      </c>
      <c r="D5916" s="0" t="n">
        <v>0</v>
      </c>
      <c r="E5916" s="0" t="n">
        <f aca="false">VLOOKUP(B5916,'MSA-Lookup'!$H$2:$I$86,2)</f>
        <v>9999</v>
      </c>
      <c r="F5916" s="0" t="n">
        <f aca="false">IF(C5916&gt;1,IF(C5916&lt;99,VLOOKUP(C5916,'MSA-Lookup'!$H$1:$I$86,2),C5916),C5916)</f>
        <v>5775</v>
      </c>
      <c r="G5916" s="0" t="n">
        <f aca="false">VLOOKUP(E5916,'MSA-Lookup'!$AA$1:$AB$25,2)</f>
        <v>9999</v>
      </c>
      <c r="H5916" s="0" t="n">
        <f aca="false">IF(C5916&gt;1,IF(C5916&lt;99,VLOOKUP(F5916,'MSA-Lookup'!$AA$1:$AB$25,2),C5916),C5916)</f>
        <v>7362</v>
      </c>
    </row>
    <row r="5917" customFormat="false" ht="12.75" hidden="false" customHeight="false" outlineLevel="0" collapsed="false">
      <c r="A5917" s="0" t="n">
        <f aca="false">B5917*1000+C5917</f>
        <v>80022</v>
      </c>
      <c r="B5917" s="0" t="n">
        <v>80</v>
      </c>
      <c r="C5917" s="0" t="n">
        <v>22</v>
      </c>
      <c r="D5917" s="0" t="n">
        <v>91</v>
      </c>
      <c r="E5917" s="0" t="n">
        <f aca="false">VLOOKUP(B5917,'MSA-Lookup'!$H$2:$I$86,2)</f>
        <v>9999</v>
      </c>
      <c r="F5917" s="0" t="n">
        <f aca="false">IF(C5917&gt;1,IF(C5917&lt;99,VLOOKUP(C5917,'MSA-Lookup'!$H$1:$I$86,2),C5917),C5917)</f>
        <v>7360</v>
      </c>
      <c r="G5917" s="0" t="n">
        <f aca="false">VLOOKUP(E5917,'MSA-Lookup'!$AA$1:$AB$25,2)</f>
        <v>9999</v>
      </c>
      <c r="H5917" s="0" t="n">
        <f aca="false">IF(C5917&gt;1,IF(C5917&lt;99,VLOOKUP(F5917,'MSA-Lookup'!$AA$1:$AB$25,2),C5917),C5917)</f>
        <v>7362</v>
      </c>
    </row>
    <row r="5918" customFormat="false" ht="12.75" hidden="false" customHeight="false" outlineLevel="0" collapsed="false">
      <c r="A5918" s="0" t="n">
        <f aca="false">B5918*1000+C5918</f>
        <v>80023</v>
      </c>
      <c r="B5918" s="0" t="n">
        <v>80</v>
      </c>
      <c r="C5918" s="0" t="n">
        <v>23</v>
      </c>
      <c r="D5918" s="0" t="n">
        <v>0</v>
      </c>
      <c r="E5918" s="0" t="n">
        <f aca="false">VLOOKUP(B5918,'MSA-Lookup'!$H$2:$I$86,2)</f>
        <v>9999</v>
      </c>
      <c r="F5918" s="0" t="n">
        <f aca="false">IF(C5918&gt;1,IF(C5918&lt;99,VLOOKUP(C5918,'MSA-Lookup'!$H$1:$I$86,2),C5918),C5918)</f>
        <v>8120</v>
      </c>
      <c r="G5918" s="0" t="n">
        <f aca="false">VLOOKUP(E5918,'MSA-Lookup'!$AA$1:$AB$25,2)</f>
        <v>9999</v>
      </c>
      <c r="H5918" s="0" t="n">
        <f aca="false">IF(C5918&gt;1,IF(C5918&lt;99,VLOOKUP(F5918,'MSA-Lookup'!$AA$1:$AB$25,2),C5918),C5918)</f>
        <v>8120</v>
      </c>
    </row>
    <row r="5919" customFormat="false" ht="12.75" hidden="false" customHeight="false" outlineLevel="0" collapsed="false">
      <c r="A5919" s="0" t="n">
        <f aca="false">B5919*1000+C5919</f>
        <v>80024</v>
      </c>
      <c r="B5919" s="0" t="n">
        <v>80</v>
      </c>
      <c r="C5919" s="0" t="n">
        <v>24</v>
      </c>
      <c r="D5919" s="0" t="n">
        <v>0</v>
      </c>
      <c r="E5919" s="0" t="n">
        <f aca="false">VLOOKUP(B5919,'MSA-Lookup'!$H$2:$I$86,2)</f>
        <v>9999</v>
      </c>
      <c r="F5919" s="0" t="n">
        <f aca="false">IF(C5919&gt;1,IF(C5919&lt;99,VLOOKUP(C5919,'MSA-Lookup'!$H$1:$I$86,2),C5919),C5919)</f>
        <v>5170</v>
      </c>
      <c r="G5919" s="0" t="n">
        <f aca="false">VLOOKUP(E5919,'MSA-Lookup'!$AA$1:$AB$25,2)</f>
        <v>9999</v>
      </c>
      <c r="H5919" s="0" t="n">
        <f aca="false">IF(C5919&gt;1,IF(C5919&lt;99,VLOOKUP(F5919,'MSA-Lookup'!$AA$1:$AB$25,2),C5919),C5919)</f>
        <v>5170</v>
      </c>
    </row>
    <row r="5920" customFormat="false" ht="12.75" hidden="false" customHeight="false" outlineLevel="0" collapsed="false">
      <c r="A5920" s="0" t="n">
        <f aca="false">B5920*1000+C5920</f>
        <v>80025</v>
      </c>
      <c r="B5920" s="0" t="n">
        <v>80</v>
      </c>
      <c r="C5920" s="0" t="n">
        <v>25</v>
      </c>
      <c r="D5920" s="0" t="n">
        <v>91</v>
      </c>
      <c r="E5920" s="0" t="n">
        <f aca="false">VLOOKUP(B5920,'MSA-Lookup'!$H$2:$I$86,2)</f>
        <v>9999</v>
      </c>
      <c r="F5920" s="0" t="n">
        <f aca="false">IF(C5920&gt;1,IF(C5920&lt;99,VLOOKUP(C5920,'MSA-Lookup'!$H$1:$I$86,2),C5920),C5920)</f>
        <v>5170</v>
      </c>
      <c r="G5920" s="0" t="n">
        <f aca="false">VLOOKUP(E5920,'MSA-Lookup'!$AA$1:$AB$25,2)</f>
        <v>9999</v>
      </c>
      <c r="H5920" s="0" t="n">
        <f aca="false">IF(C5920&gt;1,IF(C5920&lt;99,VLOOKUP(F5920,'MSA-Lookup'!$AA$1:$AB$25,2),C5920),C5920)</f>
        <v>5170</v>
      </c>
    </row>
    <row r="5921" customFormat="false" ht="12.75" hidden="false" customHeight="false" outlineLevel="0" collapsed="false">
      <c r="A5921" s="0" t="n">
        <f aca="false">B5921*1000+C5921</f>
        <v>80026</v>
      </c>
      <c r="B5921" s="0" t="n">
        <v>80</v>
      </c>
      <c r="C5921" s="0" t="n">
        <v>26</v>
      </c>
      <c r="D5921" s="0" t="n">
        <v>0</v>
      </c>
      <c r="E5921" s="0" t="n">
        <f aca="false">VLOOKUP(B5921,'MSA-Lookup'!$H$2:$I$86,2)</f>
        <v>9999</v>
      </c>
      <c r="F5921" s="0" t="n">
        <f aca="false">IF(C5921&gt;1,IF(C5921&lt;99,VLOOKUP(C5921,'MSA-Lookup'!$H$1:$I$86,2),C5921),C5921)</f>
        <v>9999</v>
      </c>
      <c r="G5921" s="0" t="n">
        <f aca="false">VLOOKUP(E5921,'MSA-Lookup'!$AA$1:$AB$25,2)</f>
        <v>9999</v>
      </c>
      <c r="H5921" s="0" t="n">
        <f aca="false">IF(C5921&gt;1,IF(C5921&lt;99,VLOOKUP(F5921,'MSA-Lookup'!$AA$1:$AB$25,2),C5921),C5921)</f>
        <v>9999</v>
      </c>
    </row>
    <row r="5922" customFormat="false" ht="12.75" hidden="false" customHeight="false" outlineLevel="0" collapsed="false">
      <c r="A5922" s="0" t="n">
        <f aca="false">B5922*1000+C5922</f>
        <v>80027</v>
      </c>
      <c r="B5922" s="0" t="n">
        <v>80</v>
      </c>
      <c r="C5922" s="0" t="n">
        <v>27</v>
      </c>
      <c r="D5922" s="0" t="n">
        <v>0</v>
      </c>
      <c r="E5922" s="0" t="n">
        <f aca="false">VLOOKUP(B5922,'MSA-Lookup'!$H$2:$I$86,2)</f>
        <v>9999</v>
      </c>
      <c r="F5922" s="0" t="n">
        <f aca="false">IF(C5922&gt;1,IF(C5922&lt;99,VLOOKUP(C5922,'MSA-Lookup'!$H$1:$I$86,2),C5922),C5922)</f>
        <v>9999</v>
      </c>
      <c r="G5922" s="0" t="n">
        <f aca="false">VLOOKUP(E5922,'MSA-Lookup'!$AA$1:$AB$25,2)</f>
        <v>9999</v>
      </c>
      <c r="H5922" s="0" t="n">
        <f aca="false">IF(C5922&gt;1,IF(C5922&lt;99,VLOOKUP(F5922,'MSA-Lookup'!$AA$1:$AB$25,2),C5922),C5922)</f>
        <v>9999</v>
      </c>
    </row>
    <row r="5923" customFormat="false" ht="12.75" hidden="false" customHeight="false" outlineLevel="0" collapsed="false">
      <c r="A5923" s="0" t="n">
        <f aca="false">B5923*1000+C5923</f>
        <v>80028</v>
      </c>
      <c r="B5923" s="0" t="n">
        <v>80</v>
      </c>
      <c r="C5923" s="0" t="n">
        <v>28</v>
      </c>
      <c r="D5923" s="0" t="n">
        <v>104</v>
      </c>
      <c r="E5923" s="0" t="n">
        <f aca="false">VLOOKUP(B5923,'MSA-Lookup'!$H$2:$I$86,2)</f>
        <v>9999</v>
      </c>
      <c r="F5923" s="0" t="n">
        <f aca="false">IF(C5923&gt;1,IF(C5923&lt;99,VLOOKUP(C5923,'MSA-Lookup'!$H$1:$I$86,2),C5923),C5923)</f>
        <v>6920</v>
      </c>
      <c r="G5923" s="0" t="n">
        <f aca="false">VLOOKUP(E5923,'MSA-Lookup'!$AA$1:$AB$25,2)</f>
        <v>9999</v>
      </c>
      <c r="H5923" s="0" t="n">
        <f aca="false">IF(C5923&gt;1,IF(C5923&lt;99,VLOOKUP(F5923,'MSA-Lookup'!$AA$1:$AB$25,2),C5923),C5923)</f>
        <v>6920</v>
      </c>
    </row>
    <row r="5924" customFormat="false" ht="12.75" hidden="false" customHeight="false" outlineLevel="0" collapsed="false">
      <c r="A5924" s="0" t="n">
        <f aca="false">B5924*1000+C5924</f>
        <v>80029</v>
      </c>
      <c r="B5924" s="0" t="n">
        <v>80</v>
      </c>
      <c r="C5924" s="0" t="n">
        <v>29</v>
      </c>
      <c r="D5924" s="0" t="n">
        <v>117</v>
      </c>
      <c r="E5924" s="0" t="n">
        <f aca="false">VLOOKUP(B5924,'MSA-Lookup'!$H$2:$I$86,2)</f>
        <v>9999</v>
      </c>
      <c r="F5924" s="0" t="n">
        <f aca="false">IF(C5924&gt;1,IF(C5924&lt;99,VLOOKUP(C5924,'MSA-Lookup'!$H$1:$I$86,2),C5924),C5924)</f>
        <v>6920</v>
      </c>
      <c r="G5924" s="0" t="n">
        <f aca="false">VLOOKUP(E5924,'MSA-Lookup'!$AA$1:$AB$25,2)</f>
        <v>9999</v>
      </c>
      <c r="H5924" s="0" t="n">
        <f aca="false">IF(C5924&gt;1,IF(C5924&lt;99,VLOOKUP(F5924,'MSA-Lookup'!$AA$1:$AB$25,2),C5924),C5924)</f>
        <v>6920</v>
      </c>
    </row>
    <row r="5925" customFormat="false" ht="12.75" hidden="false" customHeight="false" outlineLevel="0" collapsed="false">
      <c r="A5925" s="0" t="n">
        <f aca="false">B5925*1000+C5925</f>
        <v>80030</v>
      </c>
      <c r="B5925" s="0" t="n">
        <v>80</v>
      </c>
      <c r="C5925" s="0" t="n">
        <v>30</v>
      </c>
      <c r="D5925" s="0" t="n">
        <v>0</v>
      </c>
      <c r="E5925" s="0" t="n">
        <f aca="false">VLOOKUP(B5925,'MSA-Lookup'!$H$2:$I$86,2)</f>
        <v>9999</v>
      </c>
      <c r="F5925" s="0" t="n">
        <f aca="false">IF(C5925&gt;1,IF(C5925&lt;99,VLOOKUP(C5925,'MSA-Lookup'!$H$1:$I$86,2),C5925),C5925)</f>
        <v>4940</v>
      </c>
      <c r="G5925" s="0" t="n">
        <f aca="false">VLOOKUP(E5925,'MSA-Lookup'!$AA$1:$AB$25,2)</f>
        <v>9999</v>
      </c>
      <c r="H5925" s="0" t="n">
        <f aca="false">IF(C5925&gt;1,IF(C5925&lt;99,VLOOKUP(F5925,'MSA-Lookup'!$AA$1:$AB$25,2),C5925),C5925)</f>
        <v>4940</v>
      </c>
    </row>
    <row r="5926" customFormat="false" ht="12.75" hidden="false" customHeight="false" outlineLevel="0" collapsed="false">
      <c r="A5926" s="0" t="n">
        <f aca="false">B5926*1000+C5926</f>
        <v>80031</v>
      </c>
      <c r="B5926" s="0" t="n">
        <v>80</v>
      </c>
      <c r="C5926" s="0" t="n">
        <v>31</v>
      </c>
      <c r="D5926" s="0" t="n">
        <v>169</v>
      </c>
      <c r="E5926" s="0" t="n">
        <f aca="false">VLOOKUP(B5926,'MSA-Lookup'!$H$2:$I$86,2)</f>
        <v>9999</v>
      </c>
      <c r="F5926" s="0" t="n">
        <f aca="false">IF(C5926&gt;1,IF(C5926&lt;99,VLOOKUP(C5926,'MSA-Lookup'!$H$1:$I$86,2),C5926),C5926)</f>
        <v>9999</v>
      </c>
      <c r="G5926" s="0" t="n">
        <f aca="false">VLOOKUP(E5926,'MSA-Lookup'!$AA$1:$AB$25,2)</f>
        <v>9999</v>
      </c>
      <c r="H5926" s="0" t="n">
        <f aca="false">IF(C5926&gt;1,IF(C5926&lt;99,VLOOKUP(F5926,'MSA-Lookup'!$AA$1:$AB$25,2),C5926),C5926)</f>
        <v>9999</v>
      </c>
    </row>
    <row r="5927" customFormat="false" ht="12.75" hidden="false" customHeight="false" outlineLevel="0" collapsed="false">
      <c r="A5927" s="0" t="n">
        <f aca="false">B5927*1000+C5927</f>
        <v>80032</v>
      </c>
      <c r="B5927" s="0" t="n">
        <v>80</v>
      </c>
      <c r="C5927" s="0" t="n">
        <v>32</v>
      </c>
      <c r="D5927" s="0" t="n">
        <v>5980</v>
      </c>
      <c r="E5927" s="0" t="n">
        <f aca="false">VLOOKUP(B5927,'MSA-Lookup'!$H$2:$I$86,2)</f>
        <v>9999</v>
      </c>
      <c r="F5927" s="0" t="n">
        <f aca="false">IF(C5927&gt;1,IF(C5927&lt;99,VLOOKUP(C5927,'MSA-Lookup'!$H$1:$I$86,2),C5927),C5927)</f>
        <v>7480</v>
      </c>
      <c r="G5927" s="0" t="n">
        <f aca="false">VLOOKUP(E5927,'MSA-Lookup'!$AA$1:$AB$25,2)</f>
        <v>9999</v>
      </c>
      <c r="H5927" s="0" t="n">
        <f aca="false">IF(C5927&gt;1,IF(C5927&lt;99,VLOOKUP(F5927,'MSA-Lookup'!$AA$1:$AB$25,2),C5927),C5927)</f>
        <v>7480</v>
      </c>
    </row>
    <row r="5928" customFormat="false" ht="12.75" hidden="false" customHeight="false" outlineLevel="0" collapsed="false">
      <c r="A5928" s="0" t="n">
        <f aca="false">B5928*1000+C5928</f>
        <v>80033</v>
      </c>
      <c r="B5928" s="0" t="n">
        <v>80</v>
      </c>
      <c r="C5928" s="0" t="n">
        <v>33</v>
      </c>
      <c r="D5928" s="0" t="n">
        <v>0</v>
      </c>
      <c r="E5928" s="0" t="n">
        <f aca="false">VLOOKUP(B5928,'MSA-Lookup'!$H$2:$I$86,2)</f>
        <v>9999</v>
      </c>
      <c r="F5928" s="0" t="n">
        <f aca="false">IF(C5928&gt;1,IF(C5928&lt;99,VLOOKUP(C5928,'MSA-Lookup'!$H$1:$I$86,2),C5928),C5928)</f>
        <v>7320</v>
      </c>
      <c r="G5928" s="0" t="n">
        <f aca="false">VLOOKUP(E5928,'MSA-Lookup'!$AA$1:$AB$25,2)</f>
        <v>9999</v>
      </c>
      <c r="H5928" s="0" t="n">
        <f aca="false">IF(C5928&gt;1,IF(C5928&lt;99,VLOOKUP(F5928,'MSA-Lookup'!$AA$1:$AB$25,2),C5928),C5928)</f>
        <v>7320</v>
      </c>
    </row>
    <row r="5929" customFormat="false" ht="12.75" hidden="false" customHeight="false" outlineLevel="0" collapsed="false">
      <c r="A5929" s="0" t="n">
        <f aca="false">B5929*1000+C5929</f>
        <v>80034</v>
      </c>
      <c r="B5929" s="0" t="n">
        <v>80</v>
      </c>
      <c r="C5929" s="0" t="n">
        <v>34</v>
      </c>
      <c r="D5929" s="0" t="n">
        <v>0</v>
      </c>
      <c r="E5929" s="0" t="n">
        <f aca="false">VLOOKUP(B5929,'MSA-Lookup'!$H$2:$I$86,2)</f>
        <v>9999</v>
      </c>
      <c r="F5929" s="0" t="n">
        <f aca="false">IF(C5929&gt;1,IF(C5929&lt;99,VLOOKUP(C5929,'MSA-Lookup'!$H$1:$I$86,2),C5929),C5929)</f>
        <v>7320</v>
      </c>
      <c r="G5929" s="0" t="n">
        <f aca="false">VLOOKUP(E5929,'MSA-Lookup'!$AA$1:$AB$25,2)</f>
        <v>9999</v>
      </c>
      <c r="H5929" s="0" t="n">
        <f aca="false">IF(C5929&gt;1,IF(C5929&lt;99,VLOOKUP(F5929,'MSA-Lookup'!$AA$1:$AB$25,2),C5929),C5929)</f>
        <v>7320</v>
      </c>
    </row>
    <row r="5930" customFormat="false" ht="12.75" hidden="false" customHeight="false" outlineLevel="0" collapsed="false">
      <c r="A5930" s="0" t="n">
        <f aca="false">B5930*1000+C5930</f>
        <v>80035</v>
      </c>
      <c r="B5930" s="0" t="n">
        <v>80</v>
      </c>
      <c r="C5930" s="0" t="n">
        <v>35</v>
      </c>
      <c r="D5930" s="0" t="n">
        <v>0</v>
      </c>
      <c r="E5930" s="0" t="n">
        <f aca="false">VLOOKUP(B5930,'MSA-Lookup'!$H$2:$I$86,2)</f>
        <v>9999</v>
      </c>
      <c r="F5930" s="0" t="n">
        <f aca="false">IF(C5930&gt;1,IF(C5930&lt;99,VLOOKUP(C5930,'MSA-Lookup'!$H$1:$I$86,2),C5930),C5930)</f>
        <v>7320</v>
      </c>
      <c r="G5930" s="0" t="n">
        <f aca="false">VLOOKUP(E5930,'MSA-Lookup'!$AA$1:$AB$25,2)</f>
        <v>9999</v>
      </c>
      <c r="H5930" s="0" t="n">
        <f aca="false">IF(C5930&gt;1,IF(C5930&lt;99,VLOOKUP(F5930,'MSA-Lookup'!$AA$1:$AB$25,2),C5930),C5930)</f>
        <v>7320</v>
      </c>
    </row>
    <row r="5931" customFormat="false" ht="12.75" hidden="false" customHeight="false" outlineLevel="0" collapsed="false">
      <c r="A5931" s="0" t="n">
        <f aca="false">B5931*1000+C5931</f>
        <v>80036</v>
      </c>
      <c r="B5931" s="0" t="n">
        <v>80</v>
      </c>
      <c r="C5931" s="0" t="n">
        <v>36</v>
      </c>
      <c r="D5931" s="0" t="n">
        <v>0</v>
      </c>
      <c r="E5931" s="0" t="n">
        <f aca="false">VLOOKUP(B5931,'MSA-Lookup'!$H$2:$I$86,2)</f>
        <v>9999</v>
      </c>
      <c r="F5931" s="0" t="n">
        <f aca="false">IF(C5931&gt;1,IF(C5931&lt;99,VLOOKUP(C5931,'MSA-Lookup'!$H$1:$I$86,2),C5931),C5931)</f>
        <v>7320</v>
      </c>
      <c r="G5931" s="0" t="n">
        <f aca="false">VLOOKUP(E5931,'MSA-Lookup'!$AA$1:$AB$25,2)</f>
        <v>9999</v>
      </c>
      <c r="H5931" s="0" t="n">
        <f aca="false">IF(C5931&gt;1,IF(C5931&lt;99,VLOOKUP(F5931,'MSA-Lookup'!$AA$1:$AB$25,2),C5931),C5931)</f>
        <v>7320</v>
      </c>
    </row>
    <row r="5932" customFormat="false" ht="12.75" hidden="false" customHeight="false" outlineLevel="0" collapsed="false">
      <c r="A5932" s="0" t="n">
        <f aca="false">B5932*1000+C5932</f>
        <v>80037</v>
      </c>
      <c r="B5932" s="0" t="n">
        <v>80</v>
      </c>
      <c r="C5932" s="0" t="n">
        <v>37</v>
      </c>
      <c r="D5932" s="0" t="n">
        <v>169</v>
      </c>
      <c r="E5932" s="0" t="n">
        <f aca="false">VLOOKUP(B5932,'MSA-Lookup'!$H$2:$I$86,2)</f>
        <v>9999</v>
      </c>
      <c r="F5932" s="0" t="n">
        <f aca="false">IF(C5932&gt;1,IF(C5932&lt;99,VLOOKUP(C5932,'MSA-Lookup'!$H$1:$I$86,2),C5932),C5932)</f>
        <v>7320</v>
      </c>
      <c r="G5932" s="0" t="n">
        <f aca="false">VLOOKUP(E5932,'MSA-Lookup'!$AA$1:$AB$25,2)</f>
        <v>9999</v>
      </c>
      <c r="H5932" s="0" t="n">
        <f aca="false">IF(C5932&gt;1,IF(C5932&lt;99,VLOOKUP(F5932,'MSA-Lookup'!$AA$1:$AB$25,2),C5932),C5932)</f>
        <v>7320</v>
      </c>
    </row>
    <row r="5933" customFormat="false" ht="12.75" hidden="false" customHeight="false" outlineLevel="0" collapsed="false">
      <c r="A5933" s="0" t="n">
        <f aca="false">B5933*1000+C5933</f>
        <v>80038</v>
      </c>
      <c r="B5933" s="0" t="n">
        <v>80</v>
      </c>
      <c r="C5933" s="0" t="n">
        <v>38</v>
      </c>
      <c r="D5933" s="0" t="n">
        <v>104</v>
      </c>
      <c r="E5933" s="0" t="n">
        <f aca="false">VLOOKUP(B5933,'MSA-Lookup'!$H$2:$I$86,2)</f>
        <v>9999</v>
      </c>
      <c r="F5933" s="0" t="n">
        <f aca="false">IF(C5933&gt;1,IF(C5933&lt;99,VLOOKUP(C5933,'MSA-Lookup'!$H$1:$I$86,2),C5933),C5933)</f>
        <v>7120</v>
      </c>
      <c r="G5933" s="0" t="n">
        <f aca="false">VLOOKUP(E5933,'MSA-Lookup'!$AA$1:$AB$25,2)</f>
        <v>9999</v>
      </c>
      <c r="H5933" s="0" t="n">
        <f aca="false">IF(C5933&gt;1,IF(C5933&lt;99,VLOOKUP(F5933,'MSA-Lookup'!$AA$1:$AB$25,2),C5933),C5933)</f>
        <v>7120</v>
      </c>
    </row>
    <row r="5934" customFormat="false" ht="12.75" hidden="false" customHeight="false" outlineLevel="0" collapsed="false">
      <c r="A5934" s="0" t="n">
        <f aca="false">B5934*1000+C5934</f>
        <v>80039</v>
      </c>
      <c r="B5934" s="0" t="n">
        <v>80</v>
      </c>
      <c r="C5934" s="0" t="n">
        <v>39</v>
      </c>
      <c r="D5934" s="0" t="n">
        <v>0</v>
      </c>
      <c r="E5934" s="0" t="n">
        <f aca="false">VLOOKUP(B5934,'MSA-Lookup'!$H$2:$I$86,2)</f>
        <v>9999</v>
      </c>
      <c r="F5934" s="0" t="n">
        <f aca="false">IF(C5934&gt;1,IF(C5934&lt;99,VLOOKUP(C5934,'MSA-Lookup'!$H$1:$I$86,2),C5934),C5934)</f>
        <v>7120</v>
      </c>
      <c r="G5934" s="0" t="n">
        <f aca="false">VLOOKUP(E5934,'MSA-Lookup'!$AA$1:$AB$25,2)</f>
        <v>9999</v>
      </c>
      <c r="H5934" s="0" t="n">
        <f aca="false">IF(C5934&gt;1,IF(C5934&lt;99,VLOOKUP(F5934,'MSA-Lookup'!$AA$1:$AB$25,2),C5934),C5934)</f>
        <v>7120</v>
      </c>
    </row>
    <row r="5935" customFormat="false" ht="12.75" hidden="false" customHeight="false" outlineLevel="0" collapsed="false">
      <c r="A5935" s="0" t="n">
        <f aca="false">B5935*1000+C5935</f>
        <v>80040</v>
      </c>
      <c r="B5935" s="0" t="n">
        <v>80</v>
      </c>
      <c r="C5935" s="0" t="n">
        <v>40</v>
      </c>
      <c r="D5935" s="0" t="n">
        <v>0</v>
      </c>
      <c r="E5935" s="0" t="n">
        <f aca="false">VLOOKUP(B5935,'MSA-Lookup'!$H$2:$I$86,2)</f>
        <v>9999</v>
      </c>
      <c r="F5935" s="0" t="n">
        <f aca="false">IF(C5935&gt;1,IF(C5935&lt;99,VLOOKUP(C5935,'MSA-Lookup'!$H$1:$I$86,2),C5935),C5935)</f>
        <v>2840</v>
      </c>
      <c r="G5935" s="0" t="n">
        <f aca="false">VLOOKUP(E5935,'MSA-Lookup'!$AA$1:$AB$25,2)</f>
        <v>9999</v>
      </c>
      <c r="H5935" s="0" t="n">
        <f aca="false">IF(C5935&gt;1,IF(C5935&lt;99,VLOOKUP(F5935,'MSA-Lookup'!$AA$1:$AB$25,2),C5935),C5935)</f>
        <v>2840</v>
      </c>
    </row>
    <row r="5936" customFormat="false" ht="12.75" hidden="false" customHeight="false" outlineLevel="0" collapsed="false">
      <c r="A5936" s="0" t="n">
        <f aca="false">B5936*1000+C5936</f>
        <v>80041</v>
      </c>
      <c r="B5936" s="0" t="n">
        <v>80</v>
      </c>
      <c r="C5936" s="0" t="n">
        <v>41</v>
      </c>
      <c r="D5936" s="0" t="n">
        <v>0</v>
      </c>
      <c r="E5936" s="0" t="n">
        <f aca="false">VLOOKUP(B5936,'MSA-Lookup'!$H$2:$I$86,2)</f>
        <v>9999</v>
      </c>
      <c r="F5936" s="0" t="n">
        <f aca="false">IF(C5936&gt;1,IF(C5936&lt;99,VLOOKUP(C5936,'MSA-Lookup'!$H$1:$I$86,2),C5936),C5936)</f>
        <v>2840</v>
      </c>
      <c r="G5936" s="0" t="n">
        <f aca="false">VLOOKUP(E5936,'MSA-Lookup'!$AA$1:$AB$25,2)</f>
        <v>9999</v>
      </c>
      <c r="H5936" s="0" t="n">
        <f aca="false">IF(C5936&gt;1,IF(C5936&lt;99,VLOOKUP(F5936,'MSA-Lookup'!$AA$1:$AB$25,2),C5936),C5936)</f>
        <v>2840</v>
      </c>
    </row>
    <row r="5937" customFormat="false" ht="12.75" hidden="false" customHeight="false" outlineLevel="0" collapsed="false">
      <c r="A5937" s="0" t="n">
        <f aca="false">B5937*1000+C5937</f>
        <v>80042</v>
      </c>
      <c r="B5937" s="0" t="n">
        <v>80</v>
      </c>
      <c r="C5937" s="0" t="n">
        <v>42</v>
      </c>
      <c r="D5937" s="0" t="n">
        <v>0</v>
      </c>
      <c r="E5937" s="0" t="n">
        <f aca="false">VLOOKUP(B5937,'MSA-Lookup'!$H$2:$I$86,2)</f>
        <v>9999</v>
      </c>
      <c r="F5937" s="0" t="n">
        <f aca="false">IF(C5937&gt;1,IF(C5937&lt;99,VLOOKUP(C5937,'MSA-Lookup'!$H$1:$I$86,2),C5937),C5937)</f>
        <v>360</v>
      </c>
      <c r="G5937" s="0" t="n">
        <f aca="false">VLOOKUP(E5937,'MSA-Lookup'!$AA$1:$AB$25,2)</f>
        <v>9999</v>
      </c>
      <c r="H5937" s="0" t="n">
        <f aca="false">IF(C5937&gt;1,IF(C5937&lt;99,VLOOKUP(F5937,'MSA-Lookup'!$AA$1:$AB$25,2),C5937),C5937)</f>
        <v>4472</v>
      </c>
    </row>
    <row r="5938" customFormat="false" ht="12.75" hidden="false" customHeight="false" outlineLevel="0" collapsed="false">
      <c r="A5938" s="0" t="n">
        <f aca="false">B5938*1000+C5938</f>
        <v>80043</v>
      </c>
      <c r="B5938" s="0" t="n">
        <v>80</v>
      </c>
      <c r="C5938" s="0" t="n">
        <v>43</v>
      </c>
      <c r="D5938" s="0" t="n">
        <v>0</v>
      </c>
      <c r="E5938" s="0" t="n">
        <f aca="false">VLOOKUP(B5938,'MSA-Lookup'!$H$2:$I$86,2)</f>
        <v>9999</v>
      </c>
      <c r="F5938" s="0" t="n">
        <f aca="false">IF(C5938&gt;1,IF(C5938&lt;99,VLOOKUP(C5938,'MSA-Lookup'!$H$1:$I$86,2),C5938),C5938)</f>
        <v>360</v>
      </c>
      <c r="G5938" s="0" t="n">
        <f aca="false">VLOOKUP(E5938,'MSA-Lookup'!$AA$1:$AB$25,2)</f>
        <v>9999</v>
      </c>
      <c r="H5938" s="0" t="n">
        <f aca="false">IF(C5938&gt;1,IF(C5938&lt;99,VLOOKUP(F5938,'MSA-Lookup'!$AA$1:$AB$25,2),C5938),C5938)</f>
        <v>4472</v>
      </c>
    </row>
    <row r="5939" customFormat="false" ht="12.75" hidden="false" customHeight="false" outlineLevel="0" collapsed="false">
      <c r="A5939" s="0" t="n">
        <f aca="false">B5939*1000+C5939</f>
        <v>80044</v>
      </c>
      <c r="B5939" s="0" t="n">
        <v>80</v>
      </c>
      <c r="C5939" s="0" t="n">
        <v>44</v>
      </c>
      <c r="D5939" s="0" t="n">
        <v>0</v>
      </c>
      <c r="E5939" s="0" t="n">
        <f aca="false">VLOOKUP(B5939,'MSA-Lookup'!$H$2:$I$86,2)</f>
        <v>9999</v>
      </c>
      <c r="F5939" s="0" t="n">
        <f aca="false">IF(C5939&gt;1,IF(C5939&lt;99,VLOOKUP(C5939,'MSA-Lookup'!$H$1:$I$86,2),C5939),C5939)</f>
        <v>360</v>
      </c>
      <c r="G5939" s="0" t="n">
        <f aca="false">VLOOKUP(E5939,'MSA-Lookup'!$AA$1:$AB$25,2)</f>
        <v>9999</v>
      </c>
      <c r="H5939" s="0" t="n">
        <f aca="false">IF(C5939&gt;1,IF(C5939&lt;99,VLOOKUP(F5939,'MSA-Lookup'!$AA$1:$AB$25,2),C5939),C5939)</f>
        <v>4472</v>
      </c>
    </row>
    <row r="5940" customFormat="false" ht="12.75" hidden="false" customHeight="false" outlineLevel="0" collapsed="false">
      <c r="A5940" s="0" t="n">
        <f aca="false">B5940*1000+C5940</f>
        <v>80045</v>
      </c>
      <c r="B5940" s="0" t="n">
        <v>80</v>
      </c>
      <c r="C5940" s="0" t="n">
        <v>45</v>
      </c>
      <c r="D5940" s="0" t="n">
        <v>0</v>
      </c>
      <c r="E5940" s="0" t="n">
        <f aca="false">VLOOKUP(B5940,'MSA-Lookup'!$H$2:$I$86,2)</f>
        <v>9999</v>
      </c>
      <c r="F5940" s="0" t="n">
        <f aca="false">IF(C5940&gt;1,IF(C5940&lt;99,VLOOKUP(C5940,'MSA-Lookup'!$H$1:$I$86,2),C5940),C5940)</f>
        <v>360</v>
      </c>
      <c r="G5940" s="0" t="n">
        <f aca="false">VLOOKUP(E5940,'MSA-Lookup'!$AA$1:$AB$25,2)</f>
        <v>9999</v>
      </c>
      <c r="H5940" s="0" t="n">
        <f aca="false">IF(C5940&gt;1,IF(C5940&lt;99,VLOOKUP(F5940,'MSA-Lookup'!$AA$1:$AB$25,2),C5940),C5940)</f>
        <v>4472</v>
      </c>
    </row>
    <row r="5941" customFormat="false" ht="12.75" hidden="false" customHeight="false" outlineLevel="0" collapsed="false">
      <c r="A5941" s="0" t="n">
        <f aca="false">B5941*1000+C5941</f>
        <v>80046</v>
      </c>
      <c r="B5941" s="0" t="n">
        <v>80</v>
      </c>
      <c r="C5941" s="0" t="n">
        <v>46</v>
      </c>
      <c r="D5941" s="0" t="n">
        <v>0</v>
      </c>
      <c r="E5941" s="0" t="n">
        <f aca="false">VLOOKUP(B5941,'MSA-Lookup'!$H$2:$I$86,2)</f>
        <v>9999</v>
      </c>
      <c r="F5941" s="0" t="n">
        <f aca="false">IF(C5941&gt;1,IF(C5941&lt;99,VLOOKUP(C5941,'MSA-Lookup'!$H$1:$I$86,2),C5941),C5941)</f>
        <v>360</v>
      </c>
      <c r="G5941" s="0" t="n">
        <f aca="false">VLOOKUP(E5941,'MSA-Lookup'!$AA$1:$AB$25,2)</f>
        <v>9999</v>
      </c>
      <c r="H5941" s="0" t="n">
        <f aca="false">IF(C5941&gt;1,IF(C5941&lt;99,VLOOKUP(F5941,'MSA-Lookup'!$AA$1:$AB$25,2),C5941),C5941)</f>
        <v>4472</v>
      </c>
    </row>
    <row r="5942" customFormat="false" ht="12.75" hidden="false" customHeight="false" outlineLevel="0" collapsed="false">
      <c r="A5942" s="0" t="n">
        <f aca="false">B5942*1000+C5942</f>
        <v>80047</v>
      </c>
      <c r="B5942" s="0" t="n">
        <v>80</v>
      </c>
      <c r="C5942" s="0" t="n">
        <v>47</v>
      </c>
      <c r="D5942" s="0" t="n">
        <v>0</v>
      </c>
      <c r="E5942" s="0" t="n">
        <f aca="false">VLOOKUP(B5942,'MSA-Lookup'!$H$2:$I$86,2)</f>
        <v>9999</v>
      </c>
      <c r="F5942" s="0" t="n">
        <f aca="false">IF(C5942&gt;1,IF(C5942&lt;99,VLOOKUP(C5942,'MSA-Lookup'!$H$1:$I$86,2),C5942),C5942)</f>
        <v>360</v>
      </c>
      <c r="G5942" s="0" t="n">
        <f aca="false">VLOOKUP(E5942,'MSA-Lookup'!$AA$1:$AB$25,2)</f>
        <v>9999</v>
      </c>
      <c r="H5942" s="0" t="n">
        <f aca="false">IF(C5942&gt;1,IF(C5942&lt;99,VLOOKUP(F5942,'MSA-Lookup'!$AA$1:$AB$25,2),C5942),C5942)</f>
        <v>4472</v>
      </c>
    </row>
    <row r="5943" customFormat="false" ht="12.75" hidden="false" customHeight="false" outlineLevel="0" collapsed="false">
      <c r="A5943" s="0" t="n">
        <f aca="false">B5943*1000+C5943</f>
        <v>80048</v>
      </c>
      <c r="B5943" s="0" t="n">
        <v>80</v>
      </c>
      <c r="C5943" s="0" t="n">
        <v>48</v>
      </c>
      <c r="D5943" s="0" t="n">
        <v>0</v>
      </c>
      <c r="E5943" s="0" t="n">
        <f aca="false">VLOOKUP(B5943,'MSA-Lookup'!$H$2:$I$86,2)</f>
        <v>9999</v>
      </c>
      <c r="F5943" s="0" t="n">
        <f aca="false">IF(C5943&gt;1,IF(C5943&lt;99,VLOOKUP(C5943,'MSA-Lookup'!$H$1:$I$86,2),C5943),C5943)</f>
        <v>360</v>
      </c>
      <c r="G5943" s="0" t="n">
        <f aca="false">VLOOKUP(E5943,'MSA-Lookup'!$AA$1:$AB$25,2)</f>
        <v>9999</v>
      </c>
      <c r="H5943" s="0" t="n">
        <f aca="false">IF(C5943&gt;1,IF(C5943&lt;99,VLOOKUP(F5943,'MSA-Lookup'!$AA$1:$AB$25,2),C5943),C5943)</f>
        <v>4472</v>
      </c>
    </row>
    <row r="5944" customFormat="false" ht="12.75" hidden="false" customHeight="false" outlineLevel="0" collapsed="false">
      <c r="A5944" s="0" t="n">
        <f aca="false">B5944*1000+C5944</f>
        <v>80049</v>
      </c>
      <c r="B5944" s="0" t="n">
        <v>80</v>
      </c>
      <c r="C5944" s="0" t="n">
        <v>49</v>
      </c>
      <c r="D5944" s="0" t="n">
        <v>0</v>
      </c>
      <c r="E5944" s="0" t="n">
        <f aca="false">VLOOKUP(B5944,'MSA-Lookup'!$H$2:$I$86,2)</f>
        <v>9999</v>
      </c>
      <c r="F5944" s="0" t="n">
        <f aca="false">IF(C5944&gt;1,IF(C5944&lt;99,VLOOKUP(C5944,'MSA-Lookup'!$H$1:$I$86,2),C5944),C5944)</f>
        <v>7400</v>
      </c>
      <c r="G5944" s="0" t="n">
        <f aca="false">VLOOKUP(E5944,'MSA-Lookup'!$AA$1:$AB$25,2)</f>
        <v>9999</v>
      </c>
      <c r="H5944" s="0" t="n">
        <f aca="false">IF(C5944&gt;1,IF(C5944&lt;99,VLOOKUP(F5944,'MSA-Lookup'!$AA$1:$AB$25,2),C5944),C5944)</f>
        <v>7362</v>
      </c>
    </row>
    <row r="5945" customFormat="false" ht="12.75" hidden="false" customHeight="false" outlineLevel="0" collapsed="false">
      <c r="A5945" s="0" t="n">
        <f aca="false">B5945*1000+C5945</f>
        <v>80050</v>
      </c>
      <c r="B5945" s="0" t="n">
        <v>80</v>
      </c>
      <c r="C5945" s="0" t="n">
        <v>50</v>
      </c>
      <c r="D5945" s="0" t="n">
        <v>0</v>
      </c>
      <c r="E5945" s="0" t="n">
        <f aca="false">VLOOKUP(B5945,'MSA-Lookup'!$H$2:$I$86,2)</f>
        <v>9999</v>
      </c>
      <c r="F5945" s="0" t="n">
        <f aca="false">IF(C5945&gt;1,IF(C5945&lt;99,VLOOKUP(C5945,'MSA-Lookup'!$H$1:$I$86,2),C5945),C5945)</f>
        <v>7400</v>
      </c>
      <c r="G5945" s="0" t="n">
        <f aca="false">VLOOKUP(E5945,'MSA-Lookup'!$AA$1:$AB$25,2)</f>
        <v>9999</v>
      </c>
      <c r="H5945" s="0" t="n">
        <f aca="false">IF(C5945&gt;1,IF(C5945&lt;99,VLOOKUP(F5945,'MSA-Lookup'!$AA$1:$AB$25,2),C5945),C5945)</f>
        <v>7362</v>
      </c>
    </row>
    <row r="5946" customFormat="false" ht="12.75" hidden="false" customHeight="false" outlineLevel="0" collapsed="false">
      <c r="A5946" s="0" t="n">
        <f aca="false">B5946*1000+C5946</f>
        <v>80051</v>
      </c>
      <c r="B5946" s="0" t="n">
        <v>80</v>
      </c>
      <c r="C5946" s="0" t="n">
        <v>51</v>
      </c>
      <c r="D5946" s="0" t="n">
        <v>247</v>
      </c>
      <c r="E5946" s="0" t="n">
        <f aca="false">VLOOKUP(B5946,'MSA-Lookup'!$H$2:$I$86,2)</f>
        <v>9999</v>
      </c>
      <c r="F5946" s="0" t="n">
        <f aca="false">IF(C5946&gt;1,IF(C5946&lt;99,VLOOKUP(C5946,'MSA-Lookup'!$H$1:$I$86,2),C5946),C5946)</f>
        <v>7400</v>
      </c>
      <c r="G5946" s="0" t="n">
        <f aca="false">VLOOKUP(E5946,'MSA-Lookup'!$AA$1:$AB$25,2)</f>
        <v>9999</v>
      </c>
      <c r="H5946" s="0" t="n">
        <f aca="false">IF(C5946&gt;1,IF(C5946&lt;99,VLOOKUP(F5946,'MSA-Lookup'!$AA$1:$AB$25,2),C5946),C5946)</f>
        <v>7362</v>
      </c>
    </row>
    <row r="5947" customFormat="false" ht="12.75" hidden="false" customHeight="false" outlineLevel="0" collapsed="false">
      <c r="A5947" s="0" t="n">
        <f aca="false">B5947*1000+C5947</f>
        <v>80052</v>
      </c>
      <c r="B5947" s="0" t="n">
        <v>80</v>
      </c>
      <c r="C5947" s="0" t="n">
        <v>52</v>
      </c>
      <c r="D5947" s="0" t="n">
        <v>0</v>
      </c>
      <c r="E5947" s="0" t="n">
        <f aca="false">VLOOKUP(B5947,'MSA-Lookup'!$H$2:$I$86,2)</f>
        <v>9999</v>
      </c>
      <c r="F5947" s="0" t="n">
        <f aca="false">IF(C5947&gt;1,IF(C5947&lt;99,VLOOKUP(C5947,'MSA-Lookup'!$H$1:$I$86,2),C5947),C5947)</f>
        <v>4480</v>
      </c>
      <c r="G5947" s="0" t="n">
        <f aca="false">VLOOKUP(E5947,'MSA-Lookup'!$AA$1:$AB$25,2)</f>
        <v>9999</v>
      </c>
      <c r="H5947" s="0" t="n">
        <f aca="false">IF(C5947&gt;1,IF(C5947&lt;99,VLOOKUP(F5947,'MSA-Lookup'!$AA$1:$AB$25,2),C5947),C5947)</f>
        <v>4472</v>
      </c>
    </row>
    <row r="5948" customFormat="false" ht="12.75" hidden="false" customHeight="false" outlineLevel="0" collapsed="false">
      <c r="A5948" s="0" t="n">
        <f aca="false">B5948*1000+C5948</f>
        <v>80053</v>
      </c>
      <c r="B5948" s="0" t="n">
        <v>80</v>
      </c>
      <c r="C5948" s="0" t="n">
        <v>53</v>
      </c>
      <c r="D5948" s="0" t="n">
        <v>0</v>
      </c>
      <c r="E5948" s="0" t="n">
        <f aca="false">VLOOKUP(B5948,'MSA-Lookup'!$H$2:$I$86,2)</f>
        <v>9999</v>
      </c>
      <c r="F5948" s="0" t="n">
        <f aca="false">IF(C5948&gt;1,IF(C5948&lt;99,VLOOKUP(C5948,'MSA-Lookup'!$H$1:$I$86,2),C5948),C5948)</f>
        <v>4480</v>
      </c>
      <c r="G5948" s="0" t="n">
        <f aca="false">VLOOKUP(E5948,'MSA-Lookup'!$AA$1:$AB$25,2)</f>
        <v>9999</v>
      </c>
      <c r="H5948" s="0" t="n">
        <f aca="false">IF(C5948&gt;1,IF(C5948&lt;99,VLOOKUP(F5948,'MSA-Lookup'!$AA$1:$AB$25,2),C5948),C5948)</f>
        <v>4472</v>
      </c>
    </row>
    <row r="5949" customFormat="false" ht="12.75" hidden="false" customHeight="false" outlineLevel="0" collapsed="false">
      <c r="A5949" s="0" t="n">
        <f aca="false">B5949*1000+C5949</f>
        <v>80054</v>
      </c>
      <c r="B5949" s="0" t="n">
        <v>80</v>
      </c>
      <c r="C5949" s="0" t="n">
        <v>54</v>
      </c>
      <c r="D5949" s="0" t="n">
        <v>0</v>
      </c>
      <c r="E5949" s="0" t="n">
        <f aca="false">VLOOKUP(B5949,'MSA-Lookup'!$H$2:$I$86,2)</f>
        <v>9999</v>
      </c>
      <c r="F5949" s="0" t="n">
        <f aca="false">IF(C5949&gt;1,IF(C5949&lt;99,VLOOKUP(C5949,'MSA-Lookup'!$H$1:$I$86,2),C5949),C5949)</f>
        <v>4480</v>
      </c>
      <c r="G5949" s="0" t="n">
        <f aca="false">VLOOKUP(E5949,'MSA-Lookup'!$AA$1:$AB$25,2)</f>
        <v>9999</v>
      </c>
      <c r="H5949" s="0" t="n">
        <f aca="false">IF(C5949&gt;1,IF(C5949&lt;99,VLOOKUP(F5949,'MSA-Lookup'!$AA$1:$AB$25,2),C5949),C5949)</f>
        <v>4472</v>
      </c>
    </row>
    <row r="5950" customFormat="false" ht="12.75" hidden="false" customHeight="false" outlineLevel="0" collapsed="false">
      <c r="A5950" s="0" t="n">
        <f aca="false">B5950*1000+C5950</f>
        <v>80055</v>
      </c>
      <c r="B5950" s="0" t="n">
        <v>80</v>
      </c>
      <c r="C5950" s="0" t="n">
        <v>55</v>
      </c>
      <c r="D5950" s="0" t="n">
        <v>0</v>
      </c>
      <c r="E5950" s="0" t="n">
        <f aca="false">VLOOKUP(B5950,'MSA-Lookup'!$H$2:$I$86,2)</f>
        <v>9999</v>
      </c>
      <c r="F5950" s="0" t="n">
        <f aca="false">IF(C5950&gt;1,IF(C5950&lt;99,VLOOKUP(C5950,'MSA-Lookup'!$H$1:$I$86,2),C5950),C5950)</f>
        <v>4480</v>
      </c>
      <c r="G5950" s="0" t="n">
        <f aca="false">VLOOKUP(E5950,'MSA-Lookup'!$AA$1:$AB$25,2)</f>
        <v>9999</v>
      </c>
      <c r="H5950" s="0" t="n">
        <f aca="false">IF(C5950&gt;1,IF(C5950&lt;99,VLOOKUP(F5950,'MSA-Lookup'!$AA$1:$AB$25,2),C5950),C5950)</f>
        <v>4472</v>
      </c>
    </row>
    <row r="5951" customFormat="false" ht="12.75" hidden="false" customHeight="false" outlineLevel="0" collapsed="false">
      <c r="A5951" s="0" t="n">
        <f aca="false">B5951*1000+C5951</f>
        <v>80056</v>
      </c>
      <c r="B5951" s="0" t="n">
        <v>80</v>
      </c>
      <c r="C5951" s="0" t="n">
        <v>56</v>
      </c>
      <c r="D5951" s="0" t="n">
        <v>0</v>
      </c>
      <c r="E5951" s="0" t="n">
        <f aca="false">VLOOKUP(B5951,'MSA-Lookup'!$H$2:$I$86,2)</f>
        <v>9999</v>
      </c>
      <c r="F5951" s="0" t="n">
        <f aca="false">IF(C5951&gt;1,IF(C5951&lt;99,VLOOKUP(C5951,'MSA-Lookup'!$H$1:$I$86,2),C5951),C5951)</f>
        <v>4480</v>
      </c>
      <c r="G5951" s="0" t="n">
        <f aca="false">VLOOKUP(E5951,'MSA-Lookup'!$AA$1:$AB$25,2)</f>
        <v>9999</v>
      </c>
      <c r="H5951" s="0" t="n">
        <f aca="false">IF(C5951&gt;1,IF(C5951&lt;99,VLOOKUP(F5951,'MSA-Lookup'!$AA$1:$AB$25,2),C5951),C5951)</f>
        <v>4472</v>
      </c>
    </row>
    <row r="5952" customFormat="false" ht="12.75" hidden="false" customHeight="false" outlineLevel="0" collapsed="false">
      <c r="A5952" s="0" t="n">
        <f aca="false">B5952*1000+C5952</f>
        <v>80057</v>
      </c>
      <c r="B5952" s="0" t="n">
        <v>80</v>
      </c>
      <c r="C5952" s="0" t="n">
        <v>57</v>
      </c>
      <c r="D5952" s="0" t="n">
        <v>0</v>
      </c>
      <c r="E5952" s="0" t="n">
        <f aca="false">VLOOKUP(B5952,'MSA-Lookup'!$H$2:$I$86,2)</f>
        <v>9999</v>
      </c>
      <c r="F5952" s="0" t="n">
        <f aca="false">IF(C5952&gt;1,IF(C5952&lt;99,VLOOKUP(C5952,'MSA-Lookup'!$H$1:$I$86,2),C5952),C5952)</f>
        <v>4480</v>
      </c>
      <c r="G5952" s="0" t="n">
        <f aca="false">VLOOKUP(E5952,'MSA-Lookup'!$AA$1:$AB$25,2)</f>
        <v>9999</v>
      </c>
      <c r="H5952" s="0" t="n">
        <f aca="false">IF(C5952&gt;1,IF(C5952&lt;99,VLOOKUP(F5952,'MSA-Lookup'!$AA$1:$AB$25,2),C5952),C5952)</f>
        <v>4472</v>
      </c>
    </row>
    <row r="5953" customFormat="false" ht="12.75" hidden="false" customHeight="false" outlineLevel="0" collapsed="false">
      <c r="A5953" s="0" t="n">
        <f aca="false">B5953*1000+C5953</f>
        <v>80058</v>
      </c>
      <c r="B5953" s="0" t="n">
        <v>80</v>
      </c>
      <c r="C5953" s="0" t="n">
        <v>58</v>
      </c>
      <c r="D5953" s="0" t="n">
        <v>0</v>
      </c>
      <c r="E5953" s="0" t="n">
        <f aca="false">VLOOKUP(B5953,'MSA-Lookup'!$H$2:$I$86,2)</f>
        <v>9999</v>
      </c>
      <c r="F5953" s="0" t="n">
        <f aca="false">IF(C5953&gt;1,IF(C5953&lt;99,VLOOKUP(C5953,'MSA-Lookup'!$H$1:$I$86,2),C5953),C5953)</f>
        <v>4480</v>
      </c>
      <c r="G5953" s="0" t="n">
        <f aca="false">VLOOKUP(E5953,'MSA-Lookup'!$AA$1:$AB$25,2)</f>
        <v>9999</v>
      </c>
      <c r="H5953" s="0" t="n">
        <f aca="false">IF(C5953&gt;1,IF(C5953&lt;99,VLOOKUP(F5953,'MSA-Lookup'!$AA$1:$AB$25,2),C5953),C5953)</f>
        <v>4472</v>
      </c>
    </row>
    <row r="5954" customFormat="false" ht="12.75" hidden="false" customHeight="false" outlineLevel="0" collapsed="false">
      <c r="A5954" s="0" t="n">
        <f aca="false">B5954*1000+C5954</f>
        <v>80059</v>
      </c>
      <c r="B5954" s="0" t="n">
        <v>80</v>
      </c>
      <c r="C5954" s="0" t="n">
        <v>59</v>
      </c>
      <c r="D5954" s="0" t="n">
        <v>0</v>
      </c>
      <c r="E5954" s="0" t="n">
        <f aca="false">VLOOKUP(B5954,'MSA-Lookup'!$H$2:$I$86,2)</f>
        <v>9999</v>
      </c>
      <c r="F5954" s="0" t="n">
        <f aca="false">IF(C5954&gt;1,IF(C5954&lt;99,VLOOKUP(C5954,'MSA-Lookup'!$H$1:$I$86,2),C5954),C5954)</f>
        <v>4480</v>
      </c>
      <c r="G5954" s="0" t="n">
        <f aca="false">VLOOKUP(E5954,'MSA-Lookup'!$AA$1:$AB$25,2)</f>
        <v>9999</v>
      </c>
      <c r="H5954" s="0" t="n">
        <f aca="false">IF(C5954&gt;1,IF(C5954&lt;99,VLOOKUP(F5954,'MSA-Lookup'!$AA$1:$AB$25,2),C5954),C5954)</f>
        <v>4472</v>
      </c>
    </row>
    <row r="5955" customFormat="false" ht="12.75" hidden="false" customHeight="false" outlineLevel="0" collapsed="false">
      <c r="A5955" s="0" t="n">
        <f aca="false">B5955*1000+C5955</f>
        <v>80060</v>
      </c>
      <c r="B5955" s="0" t="n">
        <v>80</v>
      </c>
      <c r="C5955" s="0" t="n">
        <v>60</v>
      </c>
      <c r="D5955" s="0" t="n">
        <v>0</v>
      </c>
      <c r="E5955" s="0" t="n">
        <f aca="false">VLOOKUP(B5955,'MSA-Lookup'!$H$2:$I$86,2)</f>
        <v>9999</v>
      </c>
      <c r="F5955" s="0" t="n">
        <f aca="false">IF(C5955&gt;1,IF(C5955&lt;99,VLOOKUP(C5955,'MSA-Lookup'!$H$1:$I$86,2),C5955),C5955)</f>
        <v>4480</v>
      </c>
      <c r="G5955" s="0" t="n">
        <f aca="false">VLOOKUP(E5955,'MSA-Lookup'!$AA$1:$AB$25,2)</f>
        <v>9999</v>
      </c>
      <c r="H5955" s="0" t="n">
        <f aca="false">IF(C5955&gt;1,IF(C5955&lt;99,VLOOKUP(F5955,'MSA-Lookup'!$AA$1:$AB$25,2),C5955),C5955)</f>
        <v>4472</v>
      </c>
    </row>
    <row r="5956" customFormat="false" ht="12.75" hidden="false" customHeight="false" outlineLevel="0" collapsed="false">
      <c r="A5956" s="0" t="n">
        <f aca="false">B5956*1000+C5956</f>
        <v>80061</v>
      </c>
      <c r="B5956" s="0" t="n">
        <v>80</v>
      </c>
      <c r="C5956" s="0" t="n">
        <v>61</v>
      </c>
      <c r="D5956" s="0" t="n">
        <v>0</v>
      </c>
      <c r="E5956" s="0" t="n">
        <f aca="false">VLOOKUP(B5956,'MSA-Lookup'!$H$2:$I$86,2)</f>
        <v>9999</v>
      </c>
      <c r="F5956" s="0" t="n">
        <f aca="false">IF(C5956&gt;1,IF(C5956&lt;99,VLOOKUP(C5956,'MSA-Lookup'!$H$1:$I$86,2),C5956),C5956)</f>
        <v>4480</v>
      </c>
      <c r="G5956" s="0" t="n">
        <f aca="false">VLOOKUP(E5956,'MSA-Lookup'!$AA$1:$AB$25,2)</f>
        <v>9999</v>
      </c>
      <c r="H5956" s="0" t="n">
        <f aca="false">IF(C5956&gt;1,IF(C5956&lt;99,VLOOKUP(F5956,'MSA-Lookup'!$AA$1:$AB$25,2),C5956),C5956)</f>
        <v>4472</v>
      </c>
    </row>
    <row r="5957" customFormat="false" ht="12.75" hidden="false" customHeight="false" outlineLevel="0" collapsed="false">
      <c r="A5957" s="0" t="n">
        <f aca="false">B5957*1000+C5957</f>
        <v>80062</v>
      </c>
      <c r="B5957" s="0" t="n">
        <v>80</v>
      </c>
      <c r="C5957" s="0" t="n">
        <v>62</v>
      </c>
      <c r="D5957" s="0" t="n">
        <v>0</v>
      </c>
      <c r="E5957" s="0" t="n">
        <f aca="false">VLOOKUP(B5957,'MSA-Lookup'!$H$2:$I$86,2)</f>
        <v>9999</v>
      </c>
      <c r="F5957" s="0" t="n">
        <f aca="false">IF(C5957&gt;1,IF(C5957&lt;99,VLOOKUP(C5957,'MSA-Lookup'!$H$1:$I$86,2),C5957),C5957)</f>
        <v>4480</v>
      </c>
      <c r="G5957" s="0" t="n">
        <f aca="false">VLOOKUP(E5957,'MSA-Lookup'!$AA$1:$AB$25,2)</f>
        <v>9999</v>
      </c>
      <c r="H5957" s="0" t="n">
        <f aca="false">IF(C5957&gt;1,IF(C5957&lt;99,VLOOKUP(F5957,'MSA-Lookup'!$AA$1:$AB$25,2),C5957),C5957)</f>
        <v>4472</v>
      </c>
    </row>
    <row r="5958" customFormat="false" ht="12.75" hidden="false" customHeight="false" outlineLevel="0" collapsed="false">
      <c r="A5958" s="0" t="n">
        <f aca="false">B5958*1000+C5958</f>
        <v>80063</v>
      </c>
      <c r="B5958" s="0" t="n">
        <v>80</v>
      </c>
      <c r="C5958" s="0" t="n">
        <v>63</v>
      </c>
      <c r="D5958" s="0" t="n">
        <v>0</v>
      </c>
      <c r="E5958" s="0" t="n">
        <f aca="false">VLOOKUP(B5958,'MSA-Lookup'!$H$2:$I$86,2)</f>
        <v>9999</v>
      </c>
      <c r="F5958" s="0" t="n">
        <f aca="false">IF(C5958&gt;1,IF(C5958&lt;99,VLOOKUP(C5958,'MSA-Lookup'!$H$1:$I$86,2),C5958),C5958)</f>
        <v>4480</v>
      </c>
      <c r="G5958" s="0" t="n">
        <f aca="false">VLOOKUP(E5958,'MSA-Lookup'!$AA$1:$AB$25,2)</f>
        <v>9999</v>
      </c>
      <c r="H5958" s="0" t="n">
        <f aca="false">IF(C5958&gt;1,IF(C5958&lt;99,VLOOKUP(F5958,'MSA-Lookup'!$AA$1:$AB$25,2),C5958),C5958)</f>
        <v>4472</v>
      </c>
    </row>
    <row r="5959" customFormat="false" ht="12.75" hidden="false" customHeight="false" outlineLevel="0" collapsed="false">
      <c r="A5959" s="0" t="n">
        <f aca="false">B5959*1000+C5959</f>
        <v>80064</v>
      </c>
      <c r="B5959" s="0" t="n">
        <v>80</v>
      </c>
      <c r="C5959" s="0" t="n">
        <v>64</v>
      </c>
      <c r="D5959" s="0" t="n">
        <v>494</v>
      </c>
      <c r="E5959" s="0" t="n">
        <f aca="false">VLOOKUP(B5959,'MSA-Lookup'!$H$2:$I$86,2)</f>
        <v>9999</v>
      </c>
      <c r="F5959" s="0" t="n">
        <f aca="false">IF(C5959&gt;1,IF(C5959&lt;99,VLOOKUP(C5959,'MSA-Lookup'!$H$1:$I$86,2),C5959),C5959)</f>
        <v>4480</v>
      </c>
      <c r="G5959" s="0" t="n">
        <f aca="false">VLOOKUP(E5959,'MSA-Lookup'!$AA$1:$AB$25,2)</f>
        <v>9999</v>
      </c>
      <c r="H5959" s="0" t="n">
        <f aca="false">IF(C5959&gt;1,IF(C5959&lt;99,VLOOKUP(F5959,'MSA-Lookup'!$AA$1:$AB$25,2),C5959),C5959)</f>
        <v>4472</v>
      </c>
    </row>
    <row r="5960" customFormat="false" ht="12.75" hidden="false" customHeight="false" outlineLevel="0" collapsed="false">
      <c r="A5960" s="0" t="n">
        <f aca="false">B5960*1000+C5960</f>
        <v>80065</v>
      </c>
      <c r="B5960" s="0" t="n">
        <v>80</v>
      </c>
      <c r="C5960" s="0" t="n">
        <v>65</v>
      </c>
      <c r="D5960" s="0" t="n">
        <v>104</v>
      </c>
      <c r="E5960" s="0" t="n">
        <f aca="false">VLOOKUP(B5960,'MSA-Lookup'!$H$2:$I$86,2)</f>
        <v>9999</v>
      </c>
      <c r="F5960" s="0" t="n">
        <f aca="false">IF(C5960&gt;1,IF(C5960&lt;99,VLOOKUP(C5960,'MSA-Lookup'!$H$1:$I$86,2),C5960),C5960)</f>
        <v>4480</v>
      </c>
      <c r="G5960" s="0" t="n">
        <f aca="false">VLOOKUP(E5960,'MSA-Lookup'!$AA$1:$AB$25,2)</f>
        <v>9999</v>
      </c>
      <c r="H5960" s="0" t="n">
        <f aca="false">IF(C5960&gt;1,IF(C5960&lt;99,VLOOKUP(F5960,'MSA-Lookup'!$AA$1:$AB$25,2),C5960),C5960)</f>
        <v>4472</v>
      </c>
    </row>
    <row r="5961" customFormat="false" ht="12.75" hidden="false" customHeight="false" outlineLevel="0" collapsed="false">
      <c r="A5961" s="0" t="n">
        <f aca="false">B5961*1000+C5961</f>
        <v>80066</v>
      </c>
      <c r="B5961" s="0" t="n">
        <v>80</v>
      </c>
      <c r="C5961" s="0" t="n">
        <v>66</v>
      </c>
      <c r="D5961" s="0" t="n">
        <v>0</v>
      </c>
      <c r="E5961" s="0" t="n">
        <f aca="false">VLOOKUP(B5961,'MSA-Lookup'!$H$2:$I$86,2)</f>
        <v>9999</v>
      </c>
      <c r="F5961" s="0" t="n">
        <f aca="false">IF(C5961&gt;1,IF(C5961&lt;99,VLOOKUP(C5961,'MSA-Lookup'!$H$1:$I$86,2),C5961),C5961)</f>
        <v>4480</v>
      </c>
      <c r="G5961" s="0" t="n">
        <f aca="false">VLOOKUP(E5961,'MSA-Lookup'!$AA$1:$AB$25,2)</f>
        <v>9999</v>
      </c>
      <c r="H5961" s="0" t="n">
        <f aca="false">IF(C5961&gt;1,IF(C5961&lt;99,VLOOKUP(F5961,'MSA-Lookup'!$AA$1:$AB$25,2),C5961),C5961)</f>
        <v>4472</v>
      </c>
    </row>
    <row r="5962" customFormat="false" ht="12.75" hidden="false" customHeight="false" outlineLevel="0" collapsed="false">
      <c r="A5962" s="0" t="n">
        <f aca="false">B5962*1000+C5962</f>
        <v>80067</v>
      </c>
      <c r="B5962" s="0" t="n">
        <v>80</v>
      </c>
      <c r="C5962" s="0" t="n">
        <v>67</v>
      </c>
      <c r="D5962" s="0" t="n">
        <v>182</v>
      </c>
      <c r="E5962" s="0" t="n">
        <f aca="false">VLOOKUP(B5962,'MSA-Lookup'!$H$2:$I$86,2)</f>
        <v>9999</v>
      </c>
      <c r="F5962" s="0" t="n">
        <f aca="false">IF(C5962&gt;1,IF(C5962&lt;99,VLOOKUP(C5962,'MSA-Lookup'!$H$1:$I$86,2),C5962),C5962)</f>
        <v>6000</v>
      </c>
      <c r="G5962" s="0" t="n">
        <f aca="false">VLOOKUP(E5962,'MSA-Lookup'!$AA$1:$AB$25,2)</f>
        <v>9999</v>
      </c>
      <c r="H5962" s="0" t="n">
        <f aca="false">IF(C5962&gt;1,IF(C5962&lt;99,VLOOKUP(F5962,'MSA-Lookup'!$AA$1:$AB$25,2),C5962),C5962)</f>
        <v>4472</v>
      </c>
    </row>
    <row r="5963" customFormat="false" ht="12.75" hidden="false" customHeight="false" outlineLevel="0" collapsed="false">
      <c r="A5963" s="0" t="n">
        <f aca="false">B5963*1000+C5963</f>
        <v>80068</v>
      </c>
      <c r="B5963" s="0" t="n">
        <v>80</v>
      </c>
      <c r="C5963" s="0" t="n">
        <v>68</v>
      </c>
      <c r="D5963" s="0" t="n">
        <v>0</v>
      </c>
      <c r="E5963" s="0" t="n">
        <f aca="false">VLOOKUP(B5963,'MSA-Lookup'!$H$2:$I$86,2)</f>
        <v>9999</v>
      </c>
      <c r="F5963" s="0" t="n">
        <f aca="false">IF(C5963&gt;1,IF(C5963&lt;99,VLOOKUP(C5963,'MSA-Lookup'!$H$1:$I$86,2),C5963),C5963)</f>
        <v>6780</v>
      </c>
      <c r="G5963" s="0" t="n">
        <f aca="false">VLOOKUP(E5963,'MSA-Lookup'!$AA$1:$AB$25,2)</f>
        <v>9999</v>
      </c>
      <c r="H5963" s="0" t="n">
        <f aca="false">IF(C5963&gt;1,IF(C5963&lt;99,VLOOKUP(F5963,'MSA-Lookup'!$AA$1:$AB$25,2),C5963),C5963)</f>
        <v>4472</v>
      </c>
    </row>
    <row r="5964" customFormat="false" ht="12.75" hidden="false" customHeight="false" outlineLevel="0" collapsed="false">
      <c r="A5964" s="0" t="n">
        <f aca="false">B5964*1000+C5964</f>
        <v>80069</v>
      </c>
      <c r="B5964" s="0" t="n">
        <v>80</v>
      </c>
      <c r="C5964" s="0" t="n">
        <v>69</v>
      </c>
      <c r="D5964" s="0" t="n">
        <v>0</v>
      </c>
      <c r="E5964" s="0" t="n">
        <f aca="false">VLOOKUP(B5964,'MSA-Lookup'!$H$2:$I$86,2)</f>
        <v>9999</v>
      </c>
      <c r="F5964" s="0" t="n">
        <f aca="false">IF(C5964&gt;1,IF(C5964&lt;99,VLOOKUP(C5964,'MSA-Lookup'!$H$1:$I$86,2),C5964),C5964)</f>
        <v>6780</v>
      </c>
      <c r="G5964" s="0" t="n">
        <f aca="false">VLOOKUP(E5964,'MSA-Lookup'!$AA$1:$AB$25,2)</f>
        <v>9999</v>
      </c>
      <c r="H5964" s="0" t="n">
        <f aca="false">IF(C5964&gt;1,IF(C5964&lt;99,VLOOKUP(F5964,'MSA-Lookup'!$AA$1:$AB$25,2),C5964),C5964)</f>
        <v>4472</v>
      </c>
    </row>
    <row r="5965" customFormat="false" ht="12.75" hidden="false" customHeight="false" outlineLevel="0" collapsed="false">
      <c r="A5965" s="0" t="n">
        <f aca="false">B5965*1000+C5965</f>
        <v>80070</v>
      </c>
      <c r="B5965" s="0" t="n">
        <v>80</v>
      </c>
      <c r="C5965" s="0" t="n">
        <v>70</v>
      </c>
      <c r="D5965" s="0" t="n">
        <v>0</v>
      </c>
      <c r="E5965" s="0" t="n">
        <f aca="false">VLOOKUP(B5965,'MSA-Lookup'!$H$2:$I$86,2)</f>
        <v>9999</v>
      </c>
      <c r="F5965" s="0" t="n">
        <f aca="false">IF(C5965&gt;1,IF(C5965&lt;99,VLOOKUP(C5965,'MSA-Lookup'!$H$1:$I$86,2),C5965),C5965)</f>
        <v>6780</v>
      </c>
      <c r="G5965" s="0" t="n">
        <f aca="false">VLOOKUP(E5965,'MSA-Lookup'!$AA$1:$AB$25,2)</f>
        <v>9999</v>
      </c>
      <c r="H5965" s="0" t="n">
        <f aca="false">IF(C5965&gt;1,IF(C5965&lt;99,VLOOKUP(F5965,'MSA-Lookup'!$AA$1:$AB$25,2),C5965),C5965)</f>
        <v>4472</v>
      </c>
    </row>
    <row r="5966" customFormat="false" ht="12.75" hidden="false" customHeight="false" outlineLevel="0" collapsed="false">
      <c r="A5966" s="0" t="n">
        <f aca="false">B5966*1000+C5966</f>
        <v>80071</v>
      </c>
      <c r="B5966" s="0" t="n">
        <v>80</v>
      </c>
      <c r="C5966" s="0" t="n">
        <v>71</v>
      </c>
      <c r="D5966" s="0" t="n">
        <v>0</v>
      </c>
      <c r="E5966" s="0" t="n">
        <f aca="false">VLOOKUP(B5966,'MSA-Lookup'!$H$2:$I$86,2)</f>
        <v>9999</v>
      </c>
      <c r="F5966" s="0" t="n">
        <f aca="false">IF(C5966&gt;1,IF(C5966&lt;99,VLOOKUP(C5966,'MSA-Lookup'!$H$1:$I$86,2),C5966),C5966)</f>
        <v>6780</v>
      </c>
      <c r="G5966" s="0" t="n">
        <f aca="false">VLOOKUP(E5966,'MSA-Lookup'!$AA$1:$AB$25,2)</f>
        <v>9999</v>
      </c>
      <c r="H5966" s="0" t="n">
        <f aca="false">IF(C5966&gt;1,IF(C5966&lt;99,VLOOKUP(F5966,'MSA-Lookup'!$AA$1:$AB$25,2),C5966),C5966)</f>
        <v>4472</v>
      </c>
    </row>
    <row r="5967" customFormat="false" ht="12.75" hidden="false" customHeight="false" outlineLevel="0" collapsed="false">
      <c r="A5967" s="0" t="n">
        <f aca="false">B5967*1000+C5967</f>
        <v>80072</v>
      </c>
      <c r="B5967" s="0" t="n">
        <v>80</v>
      </c>
      <c r="C5967" s="0" t="n">
        <v>72</v>
      </c>
      <c r="D5967" s="0" t="n">
        <v>0</v>
      </c>
      <c r="E5967" s="0" t="n">
        <f aca="false">VLOOKUP(B5967,'MSA-Lookup'!$H$2:$I$86,2)</f>
        <v>9999</v>
      </c>
      <c r="F5967" s="0" t="n">
        <f aca="false">IF(C5967&gt;1,IF(C5967&lt;99,VLOOKUP(C5967,'MSA-Lookup'!$H$1:$I$86,2),C5967),C5967)</f>
        <v>6780</v>
      </c>
      <c r="G5967" s="0" t="n">
        <f aca="false">VLOOKUP(E5967,'MSA-Lookup'!$AA$1:$AB$25,2)</f>
        <v>9999</v>
      </c>
      <c r="H5967" s="0" t="n">
        <f aca="false">IF(C5967&gt;1,IF(C5967&lt;99,VLOOKUP(F5967,'MSA-Lookup'!$AA$1:$AB$25,2),C5967),C5967)</f>
        <v>4472</v>
      </c>
    </row>
    <row r="5968" customFormat="false" ht="12.75" hidden="false" customHeight="false" outlineLevel="0" collapsed="false">
      <c r="A5968" s="0" t="n">
        <f aca="false">B5968*1000+C5968</f>
        <v>80073</v>
      </c>
      <c r="B5968" s="0" t="n">
        <v>80</v>
      </c>
      <c r="C5968" s="0" t="n">
        <v>73</v>
      </c>
      <c r="D5968" s="0" t="n">
        <v>0</v>
      </c>
      <c r="E5968" s="0" t="n">
        <f aca="false">VLOOKUP(B5968,'MSA-Lookup'!$H$2:$I$86,2)</f>
        <v>9999</v>
      </c>
      <c r="F5968" s="0" t="n">
        <f aca="false">IF(C5968&gt;1,IF(C5968&lt;99,VLOOKUP(C5968,'MSA-Lookup'!$H$1:$I$86,2),C5968),C5968)</f>
        <v>8720</v>
      </c>
      <c r="G5968" s="0" t="n">
        <f aca="false">VLOOKUP(E5968,'MSA-Lookup'!$AA$1:$AB$25,2)</f>
        <v>9999</v>
      </c>
      <c r="H5968" s="0" t="n">
        <f aca="false">IF(C5968&gt;1,IF(C5968&lt;99,VLOOKUP(F5968,'MSA-Lookup'!$AA$1:$AB$25,2),C5968),C5968)</f>
        <v>7362</v>
      </c>
    </row>
    <row r="5969" customFormat="false" ht="12.75" hidden="false" customHeight="false" outlineLevel="0" collapsed="false">
      <c r="A5969" s="0" t="n">
        <f aca="false">B5969*1000+C5969</f>
        <v>80075</v>
      </c>
      <c r="B5969" s="0" t="n">
        <v>80</v>
      </c>
      <c r="C5969" s="0" t="n">
        <v>75</v>
      </c>
      <c r="D5969" s="0" t="n">
        <v>0</v>
      </c>
      <c r="E5969" s="0" t="n">
        <f aca="false">VLOOKUP(B5969,'MSA-Lookup'!$H$2:$I$86,2)</f>
        <v>9999</v>
      </c>
      <c r="F5969" s="0" t="n">
        <f aca="false">IF(C5969&gt;1,IF(C5969&lt;99,VLOOKUP(C5969,'MSA-Lookup'!$H$1:$I$86,2),C5969),C5969)</f>
        <v>8780</v>
      </c>
      <c r="G5969" s="0" t="n">
        <f aca="false">VLOOKUP(E5969,'MSA-Lookup'!$AA$1:$AB$25,2)</f>
        <v>9999</v>
      </c>
      <c r="H5969" s="0" t="n">
        <f aca="false">IF(C5969&gt;1,IF(C5969&lt;99,VLOOKUP(F5969,'MSA-Lookup'!$AA$1:$AB$25,2),C5969),C5969)</f>
        <v>8780</v>
      </c>
    </row>
    <row r="5970" customFormat="false" ht="12.75" hidden="false" customHeight="false" outlineLevel="0" collapsed="false">
      <c r="A5970" s="0" t="n">
        <f aca="false">B5970*1000+C5970</f>
        <v>80076</v>
      </c>
      <c r="B5970" s="0" t="n">
        <v>80</v>
      </c>
      <c r="C5970" s="0" t="n">
        <v>76</v>
      </c>
      <c r="D5970" s="0" t="n">
        <v>0</v>
      </c>
      <c r="E5970" s="0" t="n">
        <f aca="false">VLOOKUP(B5970,'MSA-Lookup'!$H$2:$I$86,2)</f>
        <v>9999</v>
      </c>
      <c r="F5970" s="0" t="n">
        <f aca="false">IF(C5970&gt;1,IF(C5970&lt;99,VLOOKUP(C5970,'MSA-Lookup'!$H$1:$I$86,2),C5970),C5970)</f>
        <v>7485</v>
      </c>
      <c r="G5970" s="0" t="n">
        <f aca="false">VLOOKUP(E5970,'MSA-Lookup'!$AA$1:$AB$25,2)</f>
        <v>9999</v>
      </c>
      <c r="H5970" s="0" t="n">
        <f aca="false">IF(C5970&gt;1,IF(C5970&lt;99,VLOOKUP(F5970,'MSA-Lookup'!$AA$1:$AB$25,2),C5970),C5970)</f>
        <v>7362</v>
      </c>
    </row>
    <row r="5971" customFormat="false" ht="12.75" hidden="false" customHeight="false" outlineLevel="0" collapsed="false">
      <c r="A5971" s="0" t="n">
        <f aca="false">B5971*1000+C5971</f>
        <v>80077</v>
      </c>
      <c r="B5971" s="0" t="n">
        <v>80</v>
      </c>
      <c r="C5971" s="0" t="n">
        <v>77</v>
      </c>
      <c r="D5971" s="0" t="n">
        <v>0</v>
      </c>
      <c r="E5971" s="0" t="n">
        <f aca="false">VLOOKUP(B5971,'MSA-Lookup'!$H$2:$I$86,2)</f>
        <v>9999</v>
      </c>
      <c r="F5971" s="0" t="n">
        <f aca="false">IF(C5971&gt;1,IF(C5971&lt;99,VLOOKUP(C5971,'MSA-Lookup'!$H$1:$I$86,2),C5971),C5971)</f>
        <v>9999</v>
      </c>
      <c r="G5971" s="0" t="n">
        <f aca="false">VLOOKUP(E5971,'MSA-Lookup'!$AA$1:$AB$25,2)</f>
        <v>9999</v>
      </c>
      <c r="H5971" s="0" t="n">
        <f aca="false">IF(C5971&gt;1,IF(C5971&lt;99,VLOOKUP(F5971,'MSA-Lookup'!$AA$1:$AB$25,2),C5971),C5971)</f>
        <v>9999</v>
      </c>
    </row>
    <row r="5972" customFormat="false" ht="12.75" hidden="false" customHeight="false" outlineLevel="0" collapsed="false">
      <c r="A5972" s="0" t="n">
        <f aca="false">B5972*1000+C5972</f>
        <v>80078</v>
      </c>
      <c r="B5972" s="0" t="n">
        <v>80</v>
      </c>
      <c r="C5972" s="0" t="n">
        <v>78</v>
      </c>
      <c r="D5972" s="0" t="n">
        <v>91</v>
      </c>
      <c r="E5972" s="0" t="n">
        <f aca="false">VLOOKUP(B5972,'MSA-Lookup'!$H$2:$I$86,2)</f>
        <v>9999</v>
      </c>
      <c r="F5972" s="0" t="n">
        <f aca="false">IF(C5972&gt;1,IF(C5972&lt;99,VLOOKUP(C5972,'MSA-Lookup'!$H$1:$I$86,2),C5972),C5972)</f>
        <v>680</v>
      </c>
      <c r="G5972" s="0" t="n">
        <f aca="false">VLOOKUP(E5972,'MSA-Lookup'!$AA$1:$AB$25,2)</f>
        <v>9999</v>
      </c>
      <c r="H5972" s="0" t="n">
        <f aca="false">IF(C5972&gt;1,IF(C5972&lt;99,VLOOKUP(F5972,'MSA-Lookup'!$AA$1:$AB$25,2),C5972),C5972)</f>
        <v>680</v>
      </c>
    </row>
    <row r="5973" customFormat="false" ht="12.75" hidden="false" customHeight="false" outlineLevel="0" collapsed="false">
      <c r="A5973" s="0" t="n">
        <f aca="false">B5973*1000+C5973</f>
        <v>80079</v>
      </c>
      <c r="B5973" s="0" t="n">
        <v>80</v>
      </c>
      <c r="C5973" s="0" t="n">
        <v>79</v>
      </c>
      <c r="D5973" s="0" t="n">
        <v>169</v>
      </c>
      <c r="E5973" s="0" t="n">
        <f aca="false">VLOOKUP(B5973,'MSA-Lookup'!$H$2:$I$86,2)</f>
        <v>9999</v>
      </c>
      <c r="F5973" s="0" t="n">
        <f aca="false">IF(C5973&gt;1,IF(C5973&lt;99,VLOOKUP(C5973,'MSA-Lookup'!$H$1:$I$86,2),C5973),C5973)</f>
        <v>680</v>
      </c>
      <c r="G5973" s="0" t="n">
        <f aca="false">VLOOKUP(E5973,'MSA-Lookup'!$AA$1:$AB$25,2)</f>
        <v>9999</v>
      </c>
      <c r="H5973" s="0" t="n">
        <f aca="false">IF(C5973&gt;1,IF(C5973&lt;99,VLOOKUP(F5973,'MSA-Lookup'!$AA$1:$AB$25,2),C5973),C5973)</f>
        <v>680</v>
      </c>
    </row>
    <row r="5974" customFormat="false" ht="12.75" hidden="false" customHeight="false" outlineLevel="0" collapsed="false">
      <c r="A5974" s="0" t="n">
        <f aca="false">B5974*1000+C5974</f>
        <v>80080</v>
      </c>
      <c r="B5974" s="0" t="n">
        <v>80</v>
      </c>
      <c r="C5974" s="0" t="n">
        <v>80</v>
      </c>
      <c r="D5974" s="0" t="n">
        <v>82537</v>
      </c>
      <c r="E5974" s="0" t="n">
        <f aca="false">VLOOKUP(B5974,'MSA-Lookup'!$H$2:$I$86,2)</f>
        <v>9999</v>
      </c>
      <c r="F5974" s="0" t="n">
        <f aca="false">IF(C5974&gt;1,IF(C5974&lt;99,VLOOKUP(C5974,'MSA-Lookup'!$H$1:$I$86,2),C5974),C5974)</f>
        <v>9999</v>
      </c>
      <c r="G5974" s="0" t="n">
        <f aca="false">VLOOKUP(E5974,'MSA-Lookup'!$AA$1:$AB$25,2)</f>
        <v>9999</v>
      </c>
      <c r="H5974" s="0" t="n">
        <f aca="false">IF(C5974&gt;1,IF(C5974&lt;99,VLOOKUP(F5974,'MSA-Lookup'!$AA$1:$AB$25,2),C5974),C5974)</f>
        <v>9999</v>
      </c>
    </row>
    <row r="5975" customFormat="false" ht="12.75" hidden="false" customHeight="false" outlineLevel="0" collapsed="false">
      <c r="A5975" s="0" t="n">
        <f aca="false">B5975*1000+C5975</f>
        <v>80081</v>
      </c>
      <c r="B5975" s="0" t="n">
        <v>80</v>
      </c>
      <c r="C5975" s="0" t="n">
        <v>81</v>
      </c>
      <c r="D5975" s="0" t="n">
        <v>0</v>
      </c>
      <c r="E5975" s="0" t="n">
        <f aca="false">VLOOKUP(B5975,'MSA-Lookup'!$H$2:$I$86,2)</f>
        <v>9999</v>
      </c>
      <c r="F5975" s="0" t="n">
        <f aca="false">IF(C5975&gt;1,IF(C5975&lt;99,VLOOKUP(C5975,'MSA-Lookup'!$H$1:$I$86,2),C5975),C5975)</f>
        <v>6780</v>
      </c>
      <c r="G5975" s="0" t="n">
        <f aca="false">VLOOKUP(E5975,'MSA-Lookup'!$AA$1:$AB$25,2)</f>
        <v>9999</v>
      </c>
      <c r="H5975" s="0" t="n">
        <f aca="false">IF(C5975&gt;1,IF(C5975&lt;99,VLOOKUP(F5975,'MSA-Lookup'!$AA$1:$AB$25,2),C5975),C5975)</f>
        <v>4472</v>
      </c>
    </row>
    <row r="5976" customFormat="false" ht="12.75" hidden="false" customHeight="false" outlineLevel="0" collapsed="false">
      <c r="A5976" s="0" t="n">
        <f aca="false">B5976*1000+C5976</f>
        <v>80082</v>
      </c>
      <c r="B5976" s="0" t="n">
        <v>80</v>
      </c>
      <c r="C5976" s="0" t="n">
        <v>82</v>
      </c>
      <c r="D5976" s="0" t="n">
        <v>0</v>
      </c>
      <c r="E5976" s="0" t="n">
        <f aca="false">VLOOKUP(B5976,'MSA-Lookup'!$H$2:$I$86,2)</f>
        <v>9999</v>
      </c>
      <c r="F5976" s="0" t="n">
        <f aca="false">IF(C5976&gt;1,IF(C5976&lt;99,VLOOKUP(C5976,'MSA-Lookup'!$H$1:$I$86,2),C5976),C5976)</f>
        <v>6780</v>
      </c>
      <c r="G5976" s="0" t="n">
        <f aca="false">VLOOKUP(E5976,'MSA-Lookup'!$AA$1:$AB$25,2)</f>
        <v>9999</v>
      </c>
      <c r="H5976" s="0" t="n">
        <f aca="false">IF(C5976&gt;1,IF(C5976&lt;99,VLOOKUP(F5976,'MSA-Lookup'!$AA$1:$AB$25,2),C5976),C5976)</f>
        <v>4472</v>
      </c>
    </row>
    <row r="5977" customFormat="false" ht="12.75" hidden="false" customHeight="false" outlineLevel="0" collapsed="false">
      <c r="A5977" s="0" t="n">
        <f aca="false">B5977*1000+C5977</f>
        <v>80083</v>
      </c>
      <c r="B5977" s="0" t="n">
        <v>80</v>
      </c>
      <c r="C5977" s="0" t="n">
        <v>83</v>
      </c>
      <c r="D5977" s="0" t="n">
        <v>130</v>
      </c>
      <c r="E5977" s="0" t="n">
        <f aca="false">VLOOKUP(B5977,'MSA-Lookup'!$H$2:$I$86,2)</f>
        <v>9999</v>
      </c>
      <c r="F5977" s="0" t="n">
        <f aca="false">IF(C5977&gt;1,IF(C5977&lt;99,VLOOKUP(C5977,'MSA-Lookup'!$H$1:$I$86,2),C5977),C5977)</f>
        <v>6000</v>
      </c>
      <c r="G5977" s="0" t="n">
        <f aca="false">VLOOKUP(E5977,'MSA-Lookup'!$AA$1:$AB$25,2)</f>
        <v>9999</v>
      </c>
      <c r="H5977" s="0" t="n">
        <f aca="false">IF(C5977&gt;1,IF(C5977&lt;99,VLOOKUP(F5977,'MSA-Lookup'!$AA$1:$AB$25,2),C5977),C5977)</f>
        <v>4472</v>
      </c>
    </row>
    <row r="5978" customFormat="false" ht="12.75" hidden="false" customHeight="false" outlineLevel="0" collapsed="false">
      <c r="A5978" s="0" t="n">
        <f aca="false">B5978*1000+C5978</f>
        <v>80084</v>
      </c>
      <c r="B5978" s="0" t="n">
        <v>80</v>
      </c>
      <c r="C5978" s="0" t="n">
        <v>84</v>
      </c>
      <c r="D5978" s="0" t="n">
        <v>0</v>
      </c>
      <c r="E5978" s="0" t="n">
        <f aca="false">VLOOKUP(B5978,'MSA-Lookup'!$H$2:$I$86,2)</f>
        <v>9999</v>
      </c>
      <c r="F5978" s="0" t="n">
        <f aca="false">IF(C5978&gt;1,IF(C5978&lt;99,VLOOKUP(C5978,'MSA-Lookup'!$H$1:$I$86,2),C5978),C5978)</f>
        <v>360</v>
      </c>
      <c r="G5978" s="0" t="n">
        <f aca="false">VLOOKUP(E5978,'MSA-Lookup'!$AA$1:$AB$25,2)</f>
        <v>9999</v>
      </c>
      <c r="H5978" s="0" t="n">
        <f aca="false">IF(C5978&gt;1,IF(C5978&lt;99,VLOOKUP(F5978,'MSA-Lookup'!$AA$1:$AB$25,2),C5978),C5978)</f>
        <v>4472</v>
      </c>
    </row>
    <row r="5979" customFormat="false" ht="12.75" hidden="false" customHeight="false" outlineLevel="0" collapsed="false">
      <c r="A5979" s="0" t="n">
        <f aca="false">B5979*1000+C5979</f>
        <v>80085</v>
      </c>
      <c r="B5979" s="0" t="n">
        <v>80</v>
      </c>
      <c r="C5979" s="0" t="n">
        <v>85</v>
      </c>
      <c r="D5979" s="0" t="n">
        <v>0</v>
      </c>
      <c r="E5979" s="0" t="n">
        <f aca="false">VLOOKUP(B5979,'MSA-Lookup'!$H$2:$I$86,2)</f>
        <v>9999</v>
      </c>
      <c r="F5979" s="0" t="n">
        <f aca="false">IF(C5979&gt;1,IF(C5979&lt;99,VLOOKUP(C5979,'MSA-Lookup'!$H$1:$I$86,2),C5979),C5979)</f>
        <v>8120</v>
      </c>
      <c r="G5979" s="0" t="n">
        <f aca="false">VLOOKUP(E5979,'MSA-Lookup'!$AA$1:$AB$25,2)</f>
        <v>9999</v>
      </c>
      <c r="H5979" s="0" t="n">
        <f aca="false">IF(C5979&gt;1,IF(C5979&lt;99,VLOOKUP(F5979,'MSA-Lookup'!$AA$1:$AB$25,2),C5979),C5979)</f>
        <v>8120</v>
      </c>
    </row>
    <row r="5980" customFormat="false" ht="12.75" hidden="false" customHeight="false" outlineLevel="0" collapsed="false">
      <c r="A5980" s="0" t="n">
        <f aca="false">B5980*1000+C5980</f>
        <v>80858</v>
      </c>
      <c r="B5980" s="0" t="n">
        <v>80</v>
      </c>
      <c r="C5980" s="0" t="n">
        <v>858</v>
      </c>
      <c r="D5980" s="0" t="n">
        <v>0</v>
      </c>
      <c r="E5980" s="0" t="n">
        <f aca="false">VLOOKUP(B5980,'MSA-Lookup'!$H$2:$I$86,2)</f>
        <v>9999</v>
      </c>
      <c r="F5980" s="0" t="n">
        <f aca="false">IF(C5980&gt;1,IF(C5980&lt;99,VLOOKUP(C5980,'MSA-Lookup'!$H$1:$I$86,2),C5980),C5980)</f>
        <v>858</v>
      </c>
      <c r="G5980" s="0" t="n">
        <f aca="false">VLOOKUP(E5980,'MSA-Lookup'!$AA$1:$AB$25,2)</f>
        <v>9999</v>
      </c>
      <c r="H5980" s="0" t="n">
        <f aca="false">IF(C5980&gt;1,IF(C5980&lt;99,VLOOKUP(F5980,'MSA-Lookup'!$AA$1:$AB$25,2),C5980),C5980)</f>
        <v>858</v>
      </c>
    </row>
    <row r="5981" customFormat="false" ht="12.75" hidden="false" customHeight="false" outlineLevel="0" collapsed="false">
      <c r="A5981" s="0" t="n">
        <f aca="false">B5981*1000+C5981</f>
        <v>80983</v>
      </c>
      <c r="B5981" s="0" t="n">
        <v>80</v>
      </c>
      <c r="C5981" s="0" t="n">
        <v>983</v>
      </c>
      <c r="D5981" s="0" t="n">
        <v>0</v>
      </c>
      <c r="E5981" s="0" t="n">
        <f aca="false">VLOOKUP(B5981,'MSA-Lookup'!$H$2:$I$86,2)</f>
        <v>9999</v>
      </c>
      <c r="F5981" s="0" t="n">
        <f aca="false">IF(C5981&gt;1,IF(C5981&lt;99,VLOOKUP(C5981,'MSA-Lookup'!$H$1:$I$86,2),C5981),C5981)</f>
        <v>983</v>
      </c>
      <c r="G5981" s="0" t="n">
        <f aca="false">VLOOKUP(E5981,'MSA-Lookup'!$AA$1:$AB$25,2)</f>
        <v>9999</v>
      </c>
      <c r="H5981" s="0" t="n">
        <f aca="false">IF(C5981&gt;1,IF(C5981&lt;99,VLOOKUP(F5981,'MSA-Lookup'!$AA$1:$AB$25,2),C5981),C5981)</f>
        <v>983</v>
      </c>
    </row>
    <row r="5982" customFormat="false" ht="12.75" hidden="false" customHeight="false" outlineLevel="0" collapsed="false">
      <c r="A5982" s="0" t="n">
        <f aca="false">B5982*1000+C5982</f>
        <v>80999</v>
      </c>
      <c r="B5982" s="0" t="n">
        <v>80</v>
      </c>
      <c r="C5982" s="0" t="n">
        <v>999</v>
      </c>
      <c r="D5982" s="0" t="n">
        <v>0</v>
      </c>
      <c r="E5982" s="0" t="n">
        <f aca="false">VLOOKUP(B5982,'MSA-Lookup'!$H$2:$I$86,2)</f>
        <v>9999</v>
      </c>
      <c r="F5982" s="0" t="n">
        <f aca="false">IF(C5982&gt;1,IF(C5982&lt;99,VLOOKUP(C5982,'MSA-Lookup'!$H$1:$I$86,2),C5982),C5982)</f>
        <v>999</v>
      </c>
      <c r="G5982" s="0" t="n">
        <f aca="false">VLOOKUP(E5982,'MSA-Lookup'!$AA$1:$AB$25,2)</f>
        <v>9999</v>
      </c>
      <c r="H5982" s="0" t="n">
        <f aca="false">IF(C5982&gt;1,IF(C5982&lt;99,VLOOKUP(F5982,'MSA-Lookup'!$AA$1:$AB$25,2),C5982),C5982)</f>
        <v>999</v>
      </c>
    </row>
    <row r="5983" customFormat="false" ht="12.75" hidden="false" customHeight="false" outlineLevel="0" collapsed="false">
      <c r="A5983" s="0" t="n">
        <f aca="false">B5983*1000+C5983</f>
        <v>81000</v>
      </c>
      <c r="B5983" s="0" t="n">
        <v>81</v>
      </c>
      <c r="C5983" s="0" t="n">
        <v>0</v>
      </c>
      <c r="D5983" s="0" t="n">
        <v>122642</v>
      </c>
      <c r="E5983" s="0" t="n">
        <f aca="false">VLOOKUP(B5983,'MSA-Lookup'!$H$2:$I$86,2)</f>
        <v>6780</v>
      </c>
      <c r="F5983" s="0" t="n">
        <f aca="false">IF(C5983&gt;1,IF(C5983&lt;99,VLOOKUP(C5983,'MSA-Lookup'!$H$1:$I$86,2),C5983),C5983)</f>
        <v>0</v>
      </c>
      <c r="G5983" s="0" t="n">
        <f aca="false">VLOOKUP(E5983,'MSA-Lookup'!$AA$1:$AB$25,2)</f>
        <v>4472</v>
      </c>
      <c r="H5983" s="0" t="n">
        <f aca="false">IF(C5983&gt;1,IF(C5983&lt;99,VLOOKUP(F5983,'MSA-Lookup'!$AA$1:$AB$25,2),C5983),C5983)</f>
        <v>0</v>
      </c>
    </row>
    <row r="5984" customFormat="false" ht="12.75" hidden="false" customHeight="false" outlineLevel="0" collapsed="false">
      <c r="A5984" s="0" t="n">
        <f aca="false">B5984*1000+C5984</f>
        <v>81001</v>
      </c>
      <c r="B5984" s="0" t="n">
        <v>81</v>
      </c>
      <c r="C5984" s="0" t="n">
        <v>1</v>
      </c>
      <c r="D5984" s="0" t="n">
        <v>117</v>
      </c>
      <c r="E5984" s="0" t="n">
        <f aca="false">VLOOKUP(B5984,'MSA-Lookup'!$H$2:$I$86,2)</f>
        <v>6780</v>
      </c>
      <c r="F5984" s="0" t="n">
        <f aca="false">IF(C5984&gt;1,IF(C5984&lt;99,VLOOKUP(C5984,'MSA-Lookup'!$H$1:$I$86,2),C5984),C5984)</f>
        <v>1</v>
      </c>
      <c r="G5984" s="0" t="n">
        <f aca="false">VLOOKUP(E5984,'MSA-Lookup'!$AA$1:$AB$25,2)</f>
        <v>4472</v>
      </c>
      <c r="H5984" s="0" t="n">
        <f aca="false">IF(C5984&gt;1,IF(C5984&lt;99,VLOOKUP(F5984,'MSA-Lookup'!$AA$1:$AB$25,2),C5984),C5984)</f>
        <v>1</v>
      </c>
    </row>
    <row r="5985" customFormat="false" ht="12.75" hidden="false" customHeight="false" outlineLevel="0" collapsed="false">
      <c r="A5985" s="0" t="n">
        <f aca="false">B5985*1000+C5985</f>
        <v>81002</v>
      </c>
      <c r="B5985" s="0" t="n">
        <v>81</v>
      </c>
      <c r="C5985" s="0" t="n">
        <v>2</v>
      </c>
      <c r="D5985" s="0" t="n">
        <v>104</v>
      </c>
      <c r="E5985" s="0" t="n">
        <f aca="false">VLOOKUP(B5985,'MSA-Lookup'!$H$2:$I$86,2)</f>
        <v>6780</v>
      </c>
      <c r="F5985" s="0" t="n">
        <f aca="false">IF(C5985&gt;1,IF(C5985&lt;99,VLOOKUP(C5985,'MSA-Lookup'!$H$1:$I$86,2),C5985),C5985)</f>
        <v>9999</v>
      </c>
      <c r="G5985" s="0" t="n">
        <f aca="false">VLOOKUP(E5985,'MSA-Lookup'!$AA$1:$AB$25,2)</f>
        <v>4472</v>
      </c>
      <c r="H5985" s="0" t="n">
        <f aca="false">IF(C5985&gt;1,IF(C5985&lt;99,VLOOKUP(F5985,'MSA-Lookup'!$AA$1:$AB$25,2),C5985),C5985)</f>
        <v>9999</v>
      </c>
    </row>
    <row r="5986" customFormat="false" ht="12.75" hidden="false" customHeight="false" outlineLevel="0" collapsed="false">
      <c r="A5986" s="0" t="n">
        <f aca="false">B5986*1000+C5986</f>
        <v>81003</v>
      </c>
      <c r="B5986" s="0" t="n">
        <v>81</v>
      </c>
      <c r="C5986" s="0" t="n">
        <v>3</v>
      </c>
      <c r="D5986" s="0" t="n">
        <v>0</v>
      </c>
      <c r="E5986" s="0" t="n">
        <f aca="false">VLOOKUP(B5986,'MSA-Lookup'!$H$2:$I$86,2)</f>
        <v>6780</v>
      </c>
      <c r="F5986" s="0" t="n">
        <f aca="false">IF(C5986&gt;1,IF(C5986&lt;99,VLOOKUP(C5986,'MSA-Lookup'!$H$1:$I$86,2),C5986),C5986)</f>
        <v>6690</v>
      </c>
      <c r="G5986" s="0" t="n">
        <f aca="false">VLOOKUP(E5986,'MSA-Lookup'!$AA$1:$AB$25,2)</f>
        <v>4472</v>
      </c>
      <c r="H5986" s="0" t="n">
        <f aca="false">IF(C5986&gt;1,IF(C5986&lt;99,VLOOKUP(F5986,'MSA-Lookup'!$AA$1:$AB$25,2),C5986),C5986)</f>
        <v>6690</v>
      </c>
    </row>
    <row r="5987" customFormat="false" ht="12.75" hidden="false" customHeight="false" outlineLevel="0" collapsed="false">
      <c r="A5987" s="0" t="n">
        <f aca="false">B5987*1000+C5987</f>
        <v>81004</v>
      </c>
      <c r="B5987" s="0" t="n">
        <v>81</v>
      </c>
      <c r="C5987" s="0" t="n">
        <v>4</v>
      </c>
      <c r="D5987" s="0" t="n">
        <v>0</v>
      </c>
      <c r="E5987" s="0" t="n">
        <f aca="false">VLOOKUP(B5987,'MSA-Lookup'!$H$2:$I$86,2)</f>
        <v>6780</v>
      </c>
      <c r="F5987" s="0" t="n">
        <f aca="false">IF(C5987&gt;1,IF(C5987&lt;99,VLOOKUP(C5987,'MSA-Lookup'!$H$1:$I$86,2),C5987),C5987)</f>
        <v>9999</v>
      </c>
      <c r="G5987" s="0" t="n">
        <f aca="false">VLOOKUP(E5987,'MSA-Lookup'!$AA$1:$AB$25,2)</f>
        <v>4472</v>
      </c>
      <c r="H5987" s="0" t="n">
        <f aca="false">IF(C5987&gt;1,IF(C5987&lt;99,VLOOKUP(F5987,'MSA-Lookup'!$AA$1:$AB$25,2),C5987),C5987)</f>
        <v>9999</v>
      </c>
    </row>
    <row r="5988" customFormat="false" ht="12.75" hidden="false" customHeight="false" outlineLevel="0" collapsed="false">
      <c r="A5988" s="0" t="n">
        <f aca="false">B5988*1000+C5988</f>
        <v>81005</v>
      </c>
      <c r="B5988" s="0" t="n">
        <v>81</v>
      </c>
      <c r="C5988" s="0" t="n">
        <v>5</v>
      </c>
      <c r="D5988" s="0" t="n">
        <v>0</v>
      </c>
      <c r="E5988" s="0" t="n">
        <f aca="false">VLOOKUP(B5988,'MSA-Lookup'!$H$2:$I$86,2)</f>
        <v>6780</v>
      </c>
      <c r="F5988" s="0" t="n">
        <f aca="false">IF(C5988&gt;1,IF(C5988&lt;99,VLOOKUP(C5988,'MSA-Lookup'!$H$1:$I$86,2),C5988),C5988)</f>
        <v>9999</v>
      </c>
      <c r="G5988" s="0" t="n">
        <f aca="false">VLOOKUP(E5988,'MSA-Lookup'!$AA$1:$AB$25,2)</f>
        <v>4472</v>
      </c>
      <c r="H5988" s="0" t="n">
        <f aca="false">IF(C5988&gt;1,IF(C5988&lt;99,VLOOKUP(F5988,'MSA-Lookup'!$AA$1:$AB$25,2),C5988),C5988)</f>
        <v>9999</v>
      </c>
    </row>
    <row r="5989" customFormat="false" ht="12.75" hidden="false" customHeight="false" outlineLevel="0" collapsed="false">
      <c r="A5989" s="0" t="n">
        <f aca="false">B5989*1000+C5989</f>
        <v>81006</v>
      </c>
      <c r="B5989" s="0" t="n">
        <v>81</v>
      </c>
      <c r="C5989" s="0" t="n">
        <v>6</v>
      </c>
      <c r="D5989" s="0" t="n">
        <v>117</v>
      </c>
      <c r="E5989" s="0" t="n">
        <f aca="false">VLOOKUP(B5989,'MSA-Lookup'!$H$2:$I$86,2)</f>
        <v>6780</v>
      </c>
      <c r="F5989" s="0" t="n">
        <f aca="false">IF(C5989&gt;1,IF(C5989&lt;99,VLOOKUP(C5989,'MSA-Lookup'!$H$1:$I$86,2),C5989),C5989)</f>
        <v>1620</v>
      </c>
      <c r="G5989" s="0" t="n">
        <f aca="false">VLOOKUP(E5989,'MSA-Lookup'!$AA$1:$AB$25,2)</f>
        <v>4472</v>
      </c>
      <c r="H5989" s="0" t="n">
        <f aca="false">IF(C5989&gt;1,IF(C5989&lt;99,VLOOKUP(F5989,'MSA-Lookup'!$AA$1:$AB$25,2),C5989),C5989)</f>
        <v>1620</v>
      </c>
    </row>
    <row r="5990" customFormat="false" ht="12.75" hidden="false" customHeight="false" outlineLevel="0" collapsed="false">
      <c r="A5990" s="0" t="n">
        <f aca="false">B5990*1000+C5990</f>
        <v>81007</v>
      </c>
      <c r="B5990" s="0" t="n">
        <v>81</v>
      </c>
      <c r="C5990" s="0" t="n">
        <v>7</v>
      </c>
      <c r="D5990" s="0" t="n">
        <v>0</v>
      </c>
      <c r="E5990" s="0" t="n">
        <f aca="false">VLOOKUP(B5990,'MSA-Lookup'!$H$2:$I$86,2)</f>
        <v>6780</v>
      </c>
      <c r="F5990" s="0" t="n">
        <f aca="false">IF(C5990&gt;1,IF(C5990&lt;99,VLOOKUP(C5990,'MSA-Lookup'!$H$1:$I$86,2),C5990),C5990)</f>
        <v>9999</v>
      </c>
      <c r="G5990" s="0" t="n">
        <f aca="false">VLOOKUP(E5990,'MSA-Lookup'!$AA$1:$AB$25,2)</f>
        <v>4472</v>
      </c>
      <c r="H5990" s="0" t="n">
        <f aca="false">IF(C5990&gt;1,IF(C5990&lt;99,VLOOKUP(F5990,'MSA-Lookup'!$AA$1:$AB$25,2),C5990),C5990)</f>
        <v>9999</v>
      </c>
    </row>
    <row r="5991" customFormat="false" ht="12.75" hidden="false" customHeight="false" outlineLevel="0" collapsed="false">
      <c r="A5991" s="0" t="n">
        <f aca="false">B5991*1000+C5991</f>
        <v>81008</v>
      </c>
      <c r="B5991" s="0" t="n">
        <v>81</v>
      </c>
      <c r="C5991" s="0" t="n">
        <v>8</v>
      </c>
      <c r="D5991" s="0" t="n">
        <v>0</v>
      </c>
      <c r="E5991" s="0" t="n">
        <f aca="false">VLOOKUP(B5991,'MSA-Lookup'!$H$2:$I$86,2)</f>
        <v>6780</v>
      </c>
      <c r="F5991" s="0" t="n">
        <f aca="false">IF(C5991&gt;1,IF(C5991&lt;99,VLOOKUP(C5991,'MSA-Lookup'!$H$1:$I$86,2),C5991),C5991)</f>
        <v>9340</v>
      </c>
      <c r="G5991" s="0" t="n">
        <f aca="false">VLOOKUP(E5991,'MSA-Lookup'!$AA$1:$AB$25,2)</f>
        <v>4472</v>
      </c>
      <c r="H5991" s="0" t="n">
        <f aca="false">IF(C5991&gt;1,IF(C5991&lt;99,VLOOKUP(F5991,'MSA-Lookup'!$AA$1:$AB$25,2),C5991),C5991)</f>
        <v>9340</v>
      </c>
    </row>
    <row r="5992" customFormat="false" ht="12.75" hidden="false" customHeight="false" outlineLevel="0" collapsed="false">
      <c r="A5992" s="0" t="n">
        <f aca="false">B5992*1000+C5992</f>
        <v>81009</v>
      </c>
      <c r="B5992" s="0" t="n">
        <v>81</v>
      </c>
      <c r="C5992" s="0" t="n">
        <v>9</v>
      </c>
      <c r="D5992" s="0" t="n">
        <v>0</v>
      </c>
      <c r="E5992" s="0" t="n">
        <f aca="false">VLOOKUP(B5992,'MSA-Lookup'!$H$2:$I$86,2)</f>
        <v>6780</v>
      </c>
      <c r="F5992" s="0" t="n">
        <f aca="false">IF(C5992&gt;1,IF(C5992&lt;99,VLOOKUP(C5992,'MSA-Lookup'!$H$1:$I$86,2),C5992),C5992)</f>
        <v>8720</v>
      </c>
      <c r="G5992" s="0" t="n">
        <f aca="false">VLOOKUP(E5992,'MSA-Lookup'!$AA$1:$AB$25,2)</f>
        <v>4472</v>
      </c>
      <c r="H5992" s="0" t="n">
        <f aca="false">IF(C5992&gt;1,IF(C5992&lt;99,VLOOKUP(F5992,'MSA-Lookup'!$AA$1:$AB$25,2),C5992),C5992)</f>
        <v>7362</v>
      </c>
    </row>
    <row r="5993" customFormat="false" ht="12.75" hidden="false" customHeight="false" outlineLevel="0" collapsed="false">
      <c r="A5993" s="0" t="n">
        <f aca="false">B5993*1000+C5993</f>
        <v>81010</v>
      </c>
      <c r="B5993" s="0" t="n">
        <v>81</v>
      </c>
      <c r="C5993" s="0" t="n">
        <v>10</v>
      </c>
      <c r="D5993" s="0" t="n">
        <v>0</v>
      </c>
      <c r="E5993" s="0" t="n">
        <f aca="false">VLOOKUP(B5993,'MSA-Lookup'!$H$2:$I$86,2)</f>
        <v>6780</v>
      </c>
      <c r="F5993" s="0" t="n">
        <f aca="false">IF(C5993&gt;1,IF(C5993&lt;99,VLOOKUP(C5993,'MSA-Lookup'!$H$1:$I$86,2),C5993),C5993)</f>
        <v>6920</v>
      </c>
      <c r="G5993" s="0" t="n">
        <f aca="false">VLOOKUP(E5993,'MSA-Lookup'!$AA$1:$AB$25,2)</f>
        <v>4472</v>
      </c>
      <c r="H5993" s="0" t="n">
        <f aca="false">IF(C5993&gt;1,IF(C5993&lt;99,VLOOKUP(F5993,'MSA-Lookup'!$AA$1:$AB$25,2),C5993),C5993)</f>
        <v>6920</v>
      </c>
    </row>
    <row r="5994" customFormat="false" ht="12.75" hidden="false" customHeight="false" outlineLevel="0" collapsed="false">
      <c r="A5994" s="0" t="n">
        <f aca="false">B5994*1000+C5994</f>
        <v>81011</v>
      </c>
      <c r="B5994" s="0" t="n">
        <v>81</v>
      </c>
      <c r="C5994" s="0" t="n">
        <v>11</v>
      </c>
      <c r="D5994" s="0" t="n">
        <v>0</v>
      </c>
      <c r="E5994" s="0" t="n">
        <f aca="false">VLOOKUP(B5994,'MSA-Lookup'!$H$2:$I$86,2)</f>
        <v>6780</v>
      </c>
      <c r="F5994" s="0" t="n">
        <f aca="false">IF(C5994&gt;1,IF(C5994&lt;99,VLOOKUP(C5994,'MSA-Lookup'!$H$1:$I$86,2),C5994),C5994)</f>
        <v>6920</v>
      </c>
      <c r="G5994" s="0" t="n">
        <f aca="false">VLOOKUP(E5994,'MSA-Lookup'!$AA$1:$AB$25,2)</f>
        <v>4472</v>
      </c>
      <c r="H5994" s="0" t="n">
        <f aca="false">IF(C5994&gt;1,IF(C5994&lt;99,VLOOKUP(F5994,'MSA-Lookup'!$AA$1:$AB$25,2),C5994),C5994)</f>
        <v>6920</v>
      </c>
    </row>
    <row r="5995" customFormat="false" ht="12.75" hidden="false" customHeight="false" outlineLevel="0" collapsed="false">
      <c r="A5995" s="0" t="n">
        <f aca="false">B5995*1000+C5995</f>
        <v>81012</v>
      </c>
      <c r="B5995" s="0" t="n">
        <v>81</v>
      </c>
      <c r="C5995" s="0" t="n">
        <v>12</v>
      </c>
      <c r="D5995" s="0" t="n">
        <v>0</v>
      </c>
      <c r="E5995" s="0" t="n">
        <f aca="false">VLOOKUP(B5995,'MSA-Lookup'!$H$2:$I$86,2)</f>
        <v>6780</v>
      </c>
      <c r="F5995" s="0" t="n">
        <f aca="false">IF(C5995&gt;1,IF(C5995&lt;99,VLOOKUP(C5995,'MSA-Lookup'!$H$1:$I$86,2),C5995),C5995)</f>
        <v>6920</v>
      </c>
      <c r="G5995" s="0" t="n">
        <f aca="false">VLOOKUP(E5995,'MSA-Lookup'!$AA$1:$AB$25,2)</f>
        <v>4472</v>
      </c>
      <c r="H5995" s="0" t="n">
        <f aca="false">IF(C5995&gt;1,IF(C5995&lt;99,VLOOKUP(F5995,'MSA-Lookup'!$AA$1:$AB$25,2),C5995),C5995)</f>
        <v>6920</v>
      </c>
    </row>
    <row r="5996" customFormat="false" ht="12.75" hidden="false" customHeight="false" outlineLevel="0" collapsed="false">
      <c r="A5996" s="0" t="n">
        <f aca="false">B5996*1000+C5996</f>
        <v>81013</v>
      </c>
      <c r="B5996" s="0" t="n">
        <v>81</v>
      </c>
      <c r="C5996" s="0" t="n">
        <v>13</v>
      </c>
      <c r="D5996" s="0" t="n">
        <v>0</v>
      </c>
      <c r="E5996" s="0" t="n">
        <f aca="false">VLOOKUP(B5996,'MSA-Lookup'!$H$2:$I$86,2)</f>
        <v>6780</v>
      </c>
      <c r="F5996" s="0" t="n">
        <f aca="false">IF(C5996&gt;1,IF(C5996&lt;99,VLOOKUP(C5996,'MSA-Lookup'!$H$1:$I$86,2),C5996),C5996)</f>
        <v>7500</v>
      </c>
      <c r="G5996" s="0" t="n">
        <f aca="false">VLOOKUP(E5996,'MSA-Lookup'!$AA$1:$AB$25,2)</f>
        <v>4472</v>
      </c>
      <c r="H5996" s="0" t="n">
        <f aca="false">IF(C5996&gt;1,IF(C5996&lt;99,VLOOKUP(F5996,'MSA-Lookup'!$AA$1:$AB$25,2),C5996),C5996)</f>
        <v>7362</v>
      </c>
    </row>
    <row r="5997" customFormat="false" ht="12.75" hidden="false" customHeight="false" outlineLevel="0" collapsed="false">
      <c r="A5997" s="0" t="n">
        <f aca="false">B5997*1000+C5997</f>
        <v>81014</v>
      </c>
      <c r="B5997" s="0" t="n">
        <v>81</v>
      </c>
      <c r="C5997" s="0" t="n">
        <v>14</v>
      </c>
      <c r="D5997" s="0" t="n">
        <v>0</v>
      </c>
      <c r="E5997" s="0" t="n">
        <f aca="false">VLOOKUP(B5997,'MSA-Lookup'!$H$2:$I$86,2)</f>
        <v>6780</v>
      </c>
      <c r="F5997" s="0" t="n">
        <f aca="false">IF(C5997&gt;1,IF(C5997&lt;99,VLOOKUP(C5997,'MSA-Lookup'!$H$1:$I$86,2),C5997),C5997)</f>
        <v>7500</v>
      </c>
      <c r="G5997" s="0" t="n">
        <f aca="false">VLOOKUP(E5997,'MSA-Lookup'!$AA$1:$AB$25,2)</f>
        <v>4472</v>
      </c>
      <c r="H5997" s="0" t="n">
        <f aca="false">IF(C5997&gt;1,IF(C5997&lt;99,VLOOKUP(F5997,'MSA-Lookup'!$AA$1:$AB$25,2),C5997),C5997)</f>
        <v>7362</v>
      </c>
    </row>
    <row r="5998" customFormat="false" ht="12.75" hidden="false" customHeight="false" outlineLevel="0" collapsed="false">
      <c r="A5998" s="0" t="n">
        <f aca="false">B5998*1000+C5998</f>
        <v>81015</v>
      </c>
      <c r="B5998" s="0" t="n">
        <v>81</v>
      </c>
      <c r="C5998" s="0" t="n">
        <v>15</v>
      </c>
      <c r="D5998" s="0" t="n">
        <v>0</v>
      </c>
      <c r="E5998" s="0" t="n">
        <f aca="false">VLOOKUP(B5998,'MSA-Lookup'!$H$2:$I$86,2)</f>
        <v>6780</v>
      </c>
      <c r="F5998" s="0" t="n">
        <f aca="false">IF(C5998&gt;1,IF(C5998&lt;99,VLOOKUP(C5998,'MSA-Lookup'!$H$1:$I$86,2),C5998),C5998)</f>
        <v>7360</v>
      </c>
      <c r="G5998" s="0" t="n">
        <f aca="false">VLOOKUP(E5998,'MSA-Lookup'!$AA$1:$AB$25,2)</f>
        <v>4472</v>
      </c>
      <c r="H5998" s="0" t="n">
        <f aca="false">IF(C5998&gt;1,IF(C5998&lt;99,VLOOKUP(F5998,'MSA-Lookup'!$AA$1:$AB$25,2),C5998),C5998)</f>
        <v>7362</v>
      </c>
    </row>
    <row r="5999" customFormat="false" ht="12.75" hidden="false" customHeight="false" outlineLevel="0" collapsed="false">
      <c r="A5999" s="0" t="n">
        <f aca="false">B5999*1000+C5999</f>
        <v>81016</v>
      </c>
      <c r="B5999" s="0" t="n">
        <v>81</v>
      </c>
      <c r="C5999" s="0" t="n">
        <v>16</v>
      </c>
      <c r="D5999" s="0" t="n">
        <v>0</v>
      </c>
      <c r="E5999" s="0" t="n">
        <f aca="false">VLOOKUP(B5999,'MSA-Lookup'!$H$2:$I$86,2)</f>
        <v>6780</v>
      </c>
      <c r="F5999" s="0" t="n">
        <f aca="false">IF(C5999&gt;1,IF(C5999&lt;99,VLOOKUP(C5999,'MSA-Lookup'!$H$1:$I$86,2),C5999),C5999)</f>
        <v>8720</v>
      </c>
      <c r="G5999" s="0" t="n">
        <f aca="false">VLOOKUP(E5999,'MSA-Lookup'!$AA$1:$AB$25,2)</f>
        <v>4472</v>
      </c>
      <c r="H5999" s="0" t="n">
        <f aca="false">IF(C5999&gt;1,IF(C5999&lt;99,VLOOKUP(F5999,'MSA-Lookup'!$AA$1:$AB$25,2),C5999),C5999)</f>
        <v>7362</v>
      </c>
    </row>
    <row r="6000" customFormat="false" ht="12.75" hidden="false" customHeight="false" outlineLevel="0" collapsed="false">
      <c r="A6000" s="0" t="n">
        <f aca="false">B6000*1000+C6000</f>
        <v>81017</v>
      </c>
      <c r="B6000" s="0" t="n">
        <v>81</v>
      </c>
      <c r="C6000" s="0" t="n">
        <v>17</v>
      </c>
      <c r="D6000" s="0" t="n">
        <v>0</v>
      </c>
      <c r="E6000" s="0" t="n">
        <f aca="false">VLOOKUP(B6000,'MSA-Lookup'!$H$2:$I$86,2)</f>
        <v>6780</v>
      </c>
      <c r="F6000" s="0" t="n">
        <f aca="false">IF(C6000&gt;1,IF(C6000&lt;99,VLOOKUP(C6000,'MSA-Lookup'!$H$1:$I$86,2),C6000),C6000)</f>
        <v>5775</v>
      </c>
      <c r="G6000" s="0" t="n">
        <f aca="false">VLOOKUP(E6000,'MSA-Lookup'!$AA$1:$AB$25,2)</f>
        <v>4472</v>
      </c>
      <c r="H6000" s="0" t="n">
        <f aca="false">IF(C6000&gt;1,IF(C6000&lt;99,VLOOKUP(F6000,'MSA-Lookup'!$AA$1:$AB$25,2),C6000),C6000)</f>
        <v>7362</v>
      </c>
    </row>
    <row r="6001" customFormat="false" ht="12.75" hidden="false" customHeight="false" outlineLevel="0" collapsed="false">
      <c r="A6001" s="0" t="n">
        <f aca="false">B6001*1000+C6001</f>
        <v>81018</v>
      </c>
      <c r="B6001" s="0" t="n">
        <v>81</v>
      </c>
      <c r="C6001" s="0" t="n">
        <v>18</v>
      </c>
      <c r="D6001" s="0" t="n">
        <v>0</v>
      </c>
      <c r="E6001" s="0" t="n">
        <f aca="false">VLOOKUP(B6001,'MSA-Lookup'!$H$2:$I$86,2)</f>
        <v>6780</v>
      </c>
      <c r="F6001" s="0" t="n">
        <f aca="false">IF(C6001&gt;1,IF(C6001&lt;99,VLOOKUP(C6001,'MSA-Lookup'!$H$1:$I$86,2),C6001),C6001)</f>
        <v>5775</v>
      </c>
      <c r="G6001" s="0" t="n">
        <f aca="false">VLOOKUP(E6001,'MSA-Lookup'!$AA$1:$AB$25,2)</f>
        <v>4472</v>
      </c>
      <c r="H6001" s="0" t="n">
        <f aca="false">IF(C6001&gt;1,IF(C6001&lt;99,VLOOKUP(F6001,'MSA-Lookup'!$AA$1:$AB$25,2),C6001),C6001)</f>
        <v>7362</v>
      </c>
    </row>
    <row r="6002" customFormat="false" ht="12.75" hidden="false" customHeight="false" outlineLevel="0" collapsed="false">
      <c r="A6002" s="0" t="n">
        <f aca="false">B6002*1000+C6002</f>
        <v>81019</v>
      </c>
      <c r="B6002" s="0" t="n">
        <v>81</v>
      </c>
      <c r="C6002" s="0" t="n">
        <v>19</v>
      </c>
      <c r="D6002" s="0" t="n">
        <v>130</v>
      </c>
      <c r="E6002" s="0" t="n">
        <f aca="false">VLOOKUP(B6002,'MSA-Lookup'!$H$2:$I$86,2)</f>
        <v>6780</v>
      </c>
      <c r="F6002" s="0" t="n">
        <f aca="false">IF(C6002&gt;1,IF(C6002&lt;99,VLOOKUP(C6002,'MSA-Lookup'!$H$1:$I$86,2),C6002),C6002)</f>
        <v>7360</v>
      </c>
      <c r="G6002" s="0" t="n">
        <f aca="false">VLOOKUP(E6002,'MSA-Lookup'!$AA$1:$AB$25,2)</f>
        <v>4472</v>
      </c>
      <c r="H6002" s="0" t="n">
        <f aca="false">IF(C6002&gt;1,IF(C6002&lt;99,VLOOKUP(F6002,'MSA-Lookup'!$AA$1:$AB$25,2),C6002),C6002)</f>
        <v>7362</v>
      </c>
    </row>
    <row r="6003" customFormat="false" ht="12.75" hidden="false" customHeight="false" outlineLevel="0" collapsed="false">
      <c r="A6003" s="0" t="n">
        <f aca="false">B6003*1000+C6003</f>
        <v>81020</v>
      </c>
      <c r="B6003" s="0" t="n">
        <v>81</v>
      </c>
      <c r="C6003" s="0" t="n">
        <v>20</v>
      </c>
      <c r="D6003" s="0" t="n">
        <v>0</v>
      </c>
      <c r="E6003" s="0" t="n">
        <f aca="false">VLOOKUP(B6003,'MSA-Lookup'!$H$2:$I$86,2)</f>
        <v>6780</v>
      </c>
      <c r="F6003" s="0" t="n">
        <f aca="false">IF(C6003&gt;1,IF(C6003&lt;99,VLOOKUP(C6003,'MSA-Lookup'!$H$1:$I$86,2),C6003),C6003)</f>
        <v>5775</v>
      </c>
      <c r="G6003" s="0" t="n">
        <f aca="false">VLOOKUP(E6003,'MSA-Lookup'!$AA$1:$AB$25,2)</f>
        <v>4472</v>
      </c>
      <c r="H6003" s="0" t="n">
        <f aca="false">IF(C6003&gt;1,IF(C6003&lt;99,VLOOKUP(F6003,'MSA-Lookup'!$AA$1:$AB$25,2),C6003),C6003)</f>
        <v>7362</v>
      </c>
    </row>
    <row r="6004" customFormat="false" ht="12.75" hidden="false" customHeight="false" outlineLevel="0" collapsed="false">
      <c r="A6004" s="0" t="n">
        <f aca="false">B6004*1000+C6004</f>
        <v>81021</v>
      </c>
      <c r="B6004" s="0" t="n">
        <v>81</v>
      </c>
      <c r="C6004" s="0" t="n">
        <v>21</v>
      </c>
      <c r="D6004" s="0" t="n">
        <v>104</v>
      </c>
      <c r="E6004" s="0" t="n">
        <f aca="false">VLOOKUP(B6004,'MSA-Lookup'!$H$2:$I$86,2)</f>
        <v>6780</v>
      </c>
      <c r="F6004" s="0" t="n">
        <f aca="false">IF(C6004&gt;1,IF(C6004&lt;99,VLOOKUP(C6004,'MSA-Lookup'!$H$1:$I$86,2),C6004),C6004)</f>
        <v>5775</v>
      </c>
      <c r="G6004" s="0" t="n">
        <f aca="false">VLOOKUP(E6004,'MSA-Lookup'!$AA$1:$AB$25,2)</f>
        <v>4472</v>
      </c>
      <c r="H6004" s="0" t="n">
        <f aca="false">IF(C6004&gt;1,IF(C6004&lt;99,VLOOKUP(F6004,'MSA-Lookup'!$AA$1:$AB$25,2),C6004),C6004)</f>
        <v>7362</v>
      </c>
    </row>
    <row r="6005" customFormat="false" ht="12.75" hidden="false" customHeight="false" outlineLevel="0" collapsed="false">
      <c r="A6005" s="0" t="n">
        <f aca="false">B6005*1000+C6005</f>
        <v>81022</v>
      </c>
      <c r="B6005" s="0" t="n">
        <v>81</v>
      </c>
      <c r="C6005" s="0" t="n">
        <v>22</v>
      </c>
      <c r="D6005" s="0" t="n">
        <v>0</v>
      </c>
      <c r="E6005" s="0" t="n">
        <f aca="false">VLOOKUP(B6005,'MSA-Lookup'!$H$2:$I$86,2)</f>
        <v>6780</v>
      </c>
      <c r="F6005" s="0" t="n">
        <f aca="false">IF(C6005&gt;1,IF(C6005&lt;99,VLOOKUP(C6005,'MSA-Lookup'!$H$1:$I$86,2),C6005),C6005)</f>
        <v>7360</v>
      </c>
      <c r="G6005" s="0" t="n">
        <f aca="false">VLOOKUP(E6005,'MSA-Lookup'!$AA$1:$AB$25,2)</f>
        <v>4472</v>
      </c>
      <c r="H6005" s="0" t="n">
        <f aca="false">IF(C6005&gt;1,IF(C6005&lt;99,VLOOKUP(F6005,'MSA-Lookup'!$AA$1:$AB$25,2),C6005),C6005)</f>
        <v>7362</v>
      </c>
    </row>
    <row r="6006" customFormat="false" ht="12.75" hidden="false" customHeight="false" outlineLevel="0" collapsed="false">
      <c r="A6006" s="0" t="n">
        <f aca="false">B6006*1000+C6006</f>
        <v>81023</v>
      </c>
      <c r="B6006" s="0" t="n">
        <v>81</v>
      </c>
      <c r="C6006" s="0" t="n">
        <v>23</v>
      </c>
      <c r="D6006" s="0" t="n">
        <v>0</v>
      </c>
      <c r="E6006" s="0" t="n">
        <f aca="false">VLOOKUP(B6006,'MSA-Lookup'!$H$2:$I$86,2)</f>
        <v>6780</v>
      </c>
      <c r="F6006" s="0" t="n">
        <f aca="false">IF(C6006&gt;1,IF(C6006&lt;99,VLOOKUP(C6006,'MSA-Lookup'!$H$1:$I$86,2),C6006),C6006)</f>
        <v>8120</v>
      </c>
      <c r="G6006" s="0" t="n">
        <f aca="false">VLOOKUP(E6006,'MSA-Lookup'!$AA$1:$AB$25,2)</f>
        <v>4472</v>
      </c>
      <c r="H6006" s="0" t="n">
        <f aca="false">IF(C6006&gt;1,IF(C6006&lt;99,VLOOKUP(F6006,'MSA-Lookup'!$AA$1:$AB$25,2),C6006),C6006)</f>
        <v>8120</v>
      </c>
    </row>
    <row r="6007" customFormat="false" ht="12.75" hidden="false" customHeight="false" outlineLevel="0" collapsed="false">
      <c r="A6007" s="0" t="n">
        <f aca="false">B6007*1000+C6007</f>
        <v>81024</v>
      </c>
      <c r="B6007" s="0" t="n">
        <v>81</v>
      </c>
      <c r="C6007" s="0" t="n">
        <v>24</v>
      </c>
      <c r="D6007" s="0" t="n">
        <v>0</v>
      </c>
      <c r="E6007" s="0" t="n">
        <f aca="false">VLOOKUP(B6007,'MSA-Lookup'!$H$2:$I$86,2)</f>
        <v>6780</v>
      </c>
      <c r="F6007" s="0" t="n">
        <f aca="false">IF(C6007&gt;1,IF(C6007&lt;99,VLOOKUP(C6007,'MSA-Lookup'!$H$1:$I$86,2),C6007),C6007)</f>
        <v>5170</v>
      </c>
      <c r="G6007" s="0" t="n">
        <f aca="false">VLOOKUP(E6007,'MSA-Lookup'!$AA$1:$AB$25,2)</f>
        <v>4472</v>
      </c>
      <c r="H6007" s="0" t="n">
        <f aca="false">IF(C6007&gt;1,IF(C6007&lt;99,VLOOKUP(F6007,'MSA-Lookup'!$AA$1:$AB$25,2),C6007),C6007)</f>
        <v>5170</v>
      </c>
    </row>
    <row r="6008" customFormat="false" ht="12.75" hidden="false" customHeight="false" outlineLevel="0" collapsed="false">
      <c r="A6008" s="0" t="n">
        <f aca="false">B6008*1000+C6008</f>
        <v>81025</v>
      </c>
      <c r="B6008" s="0" t="n">
        <v>81</v>
      </c>
      <c r="C6008" s="0" t="n">
        <v>25</v>
      </c>
      <c r="D6008" s="0" t="n">
        <v>0</v>
      </c>
      <c r="E6008" s="0" t="n">
        <f aca="false">VLOOKUP(B6008,'MSA-Lookup'!$H$2:$I$86,2)</f>
        <v>6780</v>
      </c>
      <c r="F6008" s="0" t="n">
        <f aca="false">IF(C6008&gt;1,IF(C6008&lt;99,VLOOKUP(C6008,'MSA-Lookup'!$H$1:$I$86,2),C6008),C6008)</f>
        <v>5170</v>
      </c>
      <c r="G6008" s="0" t="n">
        <f aca="false">VLOOKUP(E6008,'MSA-Lookup'!$AA$1:$AB$25,2)</f>
        <v>4472</v>
      </c>
      <c r="H6008" s="0" t="n">
        <f aca="false">IF(C6008&gt;1,IF(C6008&lt;99,VLOOKUP(F6008,'MSA-Lookup'!$AA$1:$AB$25,2),C6008),C6008)</f>
        <v>5170</v>
      </c>
    </row>
    <row r="6009" customFormat="false" ht="12.75" hidden="false" customHeight="false" outlineLevel="0" collapsed="false">
      <c r="A6009" s="0" t="n">
        <f aca="false">B6009*1000+C6009</f>
        <v>81026</v>
      </c>
      <c r="B6009" s="0" t="n">
        <v>81</v>
      </c>
      <c r="C6009" s="0" t="n">
        <v>26</v>
      </c>
      <c r="D6009" s="0" t="n">
        <v>0</v>
      </c>
      <c r="E6009" s="0" t="n">
        <f aca="false">VLOOKUP(B6009,'MSA-Lookup'!$H$2:$I$86,2)</f>
        <v>6780</v>
      </c>
      <c r="F6009" s="0" t="n">
        <f aca="false">IF(C6009&gt;1,IF(C6009&lt;99,VLOOKUP(C6009,'MSA-Lookup'!$H$1:$I$86,2),C6009),C6009)</f>
        <v>9999</v>
      </c>
      <c r="G6009" s="0" t="n">
        <f aca="false">VLOOKUP(E6009,'MSA-Lookup'!$AA$1:$AB$25,2)</f>
        <v>4472</v>
      </c>
      <c r="H6009" s="0" t="n">
        <f aca="false">IF(C6009&gt;1,IF(C6009&lt;99,VLOOKUP(F6009,'MSA-Lookup'!$AA$1:$AB$25,2),C6009),C6009)</f>
        <v>9999</v>
      </c>
    </row>
    <row r="6010" customFormat="false" ht="12.75" hidden="false" customHeight="false" outlineLevel="0" collapsed="false">
      <c r="A6010" s="0" t="n">
        <f aca="false">B6010*1000+C6010</f>
        <v>81027</v>
      </c>
      <c r="B6010" s="0" t="n">
        <v>81</v>
      </c>
      <c r="C6010" s="0" t="n">
        <v>27</v>
      </c>
      <c r="D6010" s="0" t="n">
        <v>0</v>
      </c>
      <c r="E6010" s="0" t="n">
        <f aca="false">VLOOKUP(B6010,'MSA-Lookup'!$H$2:$I$86,2)</f>
        <v>6780</v>
      </c>
      <c r="F6010" s="0" t="n">
        <f aca="false">IF(C6010&gt;1,IF(C6010&lt;99,VLOOKUP(C6010,'MSA-Lookup'!$H$1:$I$86,2),C6010),C6010)</f>
        <v>9999</v>
      </c>
      <c r="G6010" s="0" t="n">
        <f aca="false">VLOOKUP(E6010,'MSA-Lookup'!$AA$1:$AB$25,2)</f>
        <v>4472</v>
      </c>
      <c r="H6010" s="0" t="n">
        <f aca="false">IF(C6010&gt;1,IF(C6010&lt;99,VLOOKUP(F6010,'MSA-Lookup'!$AA$1:$AB$25,2),C6010),C6010)</f>
        <v>9999</v>
      </c>
    </row>
    <row r="6011" customFormat="false" ht="12.75" hidden="false" customHeight="false" outlineLevel="0" collapsed="false">
      <c r="A6011" s="0" t="n">
        <f aca="false">B6011*1000+C6011</f>
        <v>81028</v>
      </c>
      <c r="B6011" s="0" t="n">
        <v>81</v>
      </c>
      <c r="C6011" s="0" t="n">
        <v>28</v>
      </c>
      <c r="D6011" s="0" t="n">
        <v>0</v>
      </c>
      <c r="E6011" s="0" t="n">
        <f aca="false">VLOOKUP(B6011,'MSA-Lookup'!$H$2:$I$86,2)</f>
        <v>6780</v>
      </c>
      <c r="F6011" s="0" t="n">
        <f aca="false">IF(C6011&gt;1,IF(C6011&lt;99,VLOOKUP(C6011,'MSA-Lookup'!$H$1:$I$86,2),C6011),C6011)</f>
        <v>6920</v>
      </c>
      <c r="G6011" s="0" t="n">
        <f aca="false">VLOOKUP(E6011,'MSA-Lookup'!$AA$1:$AB$25,2)</f>
        <v>4472</v>
      </c>
      <c r="H6011" s="0" t="n">
        <f aca="false">IF(C6011&gt;1,IF(C6011&lt;99,VLOOKUP(F6011,'MSA-Lookup'!$AA$1:$AB$25,2),C6011),C6011)</f>
        <v>6920</v>
      </c>
    </row>
    <row r="6012" customFormat="false" ht="12.75" hidden="false" customHeight="false" outlineLevel="0" collapsed="false">
      <c r="A6012" s="0" t="n">
        <f aca="false">B6012*1000+C6012</f>
        <v>81029</v>
      </c>
      <c r="B6012" s="0" t="n">
        <v>81</v>
      </c>
      <c r="C6012" s="0" t="n">
        <v>29</v>
      </c>
      <c r="D6012" s="0" t="n">
        <v>0</v>
      </c>
      <c r="E6012" s="0" t="n">
        <f aca="false">VLOOKUP(B6012,'MSA-Lookup'!$H$2:$I$86,2)</f>
        <v>6780</v>
      </c>
      <c r="F6012" s="0" t="n">
        <f aca="false">IF(C6012&gt;1,IF(C6012&lt;99,VLOOKUP(C6012,'MSA-Lookup'!$H$1:$I$86,2),C6012),C6012)</f>
        <v>6920</v>
      </c>
      <c r="G6012" s="0" t="n">
        <f aca="false">VLOOKUP(E6012,'MSA-Lookup'!$AA$1:$AB$25,2)</f>
        <v>4472</v>
      </c>
      <c r="H6012" s="0" t="n">
        <f aca="false">IF(C6012&gt;1,IF(C6012&lt;99,VLOOKUP(F6012,'MSA-Lookup'!$AA$1:$AB$25,2),C6012),C6012)</f>
        <v>6920</v>
      </c>
    </row>
    <row r="6013" customFormat="false" ht="12.75" hidden="false" customHeight="false" outlineLevel="0" collapsed="false">
      <c r="A6013" s="0" t="n">
        <f aca="false">B6013*1000+C6013</f>
        <v>81030</v>
      </c>
      <c r="B6013" s="0" t="n">
        <v>81</v>
      </c>
      <c r="C6013" s="0" t="n">
        <v>30</v>
      </c>
      <c r="D6013" s="0" t="n">
        <v>0</v>
      </c>
      <c r="E6013" s="0" t="n">
        <f aca="false">VLOOKUP(B6013,'MSA-Lookup'!$H$2:$I$86,2)</f>
        <v>6780</v>
      </c>
      <c r="F6013" s="0" t="n">
        <f aca="false">IF(C6013&gt;1,IF(C6013&lt;99,VLOOKUP(C6013,'MSA-Lookup'!$H$1:$I$86,2),C6013),C6013)</f>
        <v>4940</v>
      </c>
      <c r="G6013" s="0" t="n">
        <f aca="false">VLOOKUP(E6013,'MSA-Lookup'!$AA$1:$AB$25,2)</f>
        <v>4472</v>
      </c>
      <c r="H6013" s="0" t="n">
        <f aca="false">IF(C6013&gt;1,IF(C6013&lt;99,VLOOKUP(F6013,'MSA-Lookup'!$AA$1:$AB$25,2),C6013),C6013)</f>
        <v>4940</v>
      </c>
    </row>
    <row r="6014" customFormat="false" ht="12.75" hidden="false" customHeight="false" outlineLevel="0" collapsed="false">
      <c r="A6014" s="0" t="n">
        <f aca="false">B6014*1000+C6014</f>
        <v>81031</v>
      </c>
      <c r="B6014" s="0" t="n">
        <v>81</v>
      </c>
      <c r="C6014" s="0" t="n">
        <v>31</v>
      </c>
      <c r="D6014" s="0" t="n">
        <v>0</v>
      </c>
      <c r="E6014" s="0" t="n">
        <f aca="false">VLOOKUP(B6014,'MSA-Lookup'!$H$2:$I$86,2)</f>
        <v>6780</v>
      </c>
      <c r="F6014" s="0" t="n">
        <f aca="false">IF(C6014&gt;1,IF(C6014&lt;99,VLOOKUP(C6014,'MSA-Lookup'!$H$1:$I$86,2),C6014),C6014)</f>
        <v>9999</v>
      </c>
      <c r="G6014" s="0" t="n">
        <f aca="false">VLOOKUP(E6014,'MSA-Lookup'!$AA$1:$AB$25,2)</f>
        <v>4472</v>
      </c>
      <c r="H6014" s="0" t="n">
        <f aca="false">IF(C6014&gt;1,IF(C6014&lt;99,VLOOKUP(F6014,'MSA-Lookup'!$AA$1:$AB$25,2),C6014),C6014)</f>
        <v>9999</v>
      </c>
    </row>
    <row r="6015" customFormat="false" ht="12.75" hidden="false" customHeight="false" outlineLevel="0" collapsed="false">
      <c r="A6015" s="0" t="n">
        <f aca="false">B6015*1000+C6015</f>
        <v>81032</v>
      </c>
      <c r="B6015" s="0" t="n">
        <v>81</v>
      </c>
      <c r="C6015" s="0" t="n">
        <v>32</v>
      </c>
      <c r="D6015" s="0" t="n">
        <v>0</v>
      </c>
      <c r="E6015" s="0" t="n">
        <f aca="false">VLOOKUP(B6015,'MSA-Lookup'!$H$2:$I$86,2)</f>
        <v>6780</v>
      </c>
      <c r="F6015" s="0" t="n">
        <f aca="false">IF(C6015&gt;1,IF(C6015&lt;99,VLOOKUP(C6015,'MSA-Lookup'!$H$1:$I$86,2),C6015),C6015)</f>
        <v>7480</v>
      </c>
      <c r="G6015" s="0" t="n">
        <f aca="false">VLOOKUP(E6015,'MSA-Lookup'!$AA$1:$AB$25,2)</f>
        <v>4472</v>
      </c>
      <c r="H6015" s="0" t="n">
        <f aca="false">IF(C6015&gt;1,IF(C6015&lt;99,VLOOKUP(F6015,'MSA-Lookup'!$AA$1:$AB$25,2),C6015),C6015)</f>
        <v>7480</v>
      </c>
    </row>
    <row r="6016" customFormat="false" ht="12.75" hidden="false" customHeight="false" outlineLevel="0" collapsed="false">
      <c r="A6016" s="0" t="n">
        <f aca="false">B6016*1000+C6016</f>
        <v>81033</v>
      </c>
      <c r="B6016" s="0" t="n">
        <v>81</v>
      </c>
      <c r="C6016" s="0" t="n">
        <v>33</v>
      </c>
      <c r="D6016" s="0" t="n">
        <v>0</v>
      </c>
      <c r="E6016" s="0" t="n">
        <f aca="false">VLOOKUP(B6016,'MSA-Lookup'!$H$2:$I$86,2)</f>
        <v>6780</v>
      </c>
      <c r="F6016" s="0" t="n">
        <f aca="false">IF(C6016&gt;1,IF(C6016&lt;99,VLOOKUP(C6016,'MSA-Lookup'!$H$1:$I$86,2),C6016),C6016)</f>
        <v>7320</v>
      </c>
      <c r="G6016" s="0" t="n">
        <f aca="false">VLOOKUP(E6016,'MSA-Lookup'!$AA$1:$AB$25,2)</f>
        <v>4472</v>
      </c>
      <c r="H6016" s="0" t="n">
        <f aca="false">IF(C6016&gt;1,IF(C6016&lt;99,VLOOKUP(F6016,'MSA-Lookup'!$AA$1:$AB$25,2),C6016),C6016)</f>
        <v>7320</v>
      </c>
    </row>
    <row r="6017" customFormat="false" ht="12.75" hidden="false" customHeight="false" outlineLevel="0" collapsed="false">
      <c r="A6017" s="0" t="n">
        <f aca="false">B6017*1000+C6017</f>
        <v>81034</v>
      </c>
      <c r="B6017" s="0" t="n">
        <v>81</v>
      </c>
      <c r="C6017" s="0" t="n">
        <v>34</v>
      </c>
      <c r="D6017" s="0" t="n">
        <v>143</v>
      </c>
      <c r="E6017" s="0" t="n">
        <f aca="false">VLOOKUP(B6017,'MSA-Lookup'!$H$2:$I$86,2)</f>
        <v>6780</v>
      </c>
      <c r="F6017" s="0" t="n">
        <f aca="false">IF(C6017&gt;1,IF(C6017&lt;99,VLOOKUP(C6017,'MSA-Lookup'!$H$1:$I$86,2),C6017),C6017)</f>
        <v>7320</v>
      </c>
      <c r="G6017" s="0" t="n">
        <f aca="false">VLOOKUP(E6017,'MSA-Lookup'!$AA$1:$AB$25,2)</f>
        <v>4472</v>
      </c>
      <c r="H6017" s="0" t="n">
        <f aca="false">IF(C6017&gt;1,IF(C6017&lt;99,VLOOKUP(F6017,'MSA-Lookup'!$AA$1:$AB$25,2),C6017),C6017)</f>
        <v>7320</v>
      </c>
    </row>
    <row r="6018" customFormat="false" ht="12.75" hidden="false" customHeight="false" outlineLevel="0" collapsed="false">
      <c r="A6018" s="0" t="n">
        <f aca="false">B6018*1000+C6018</f>
        <v>81035</v>
      </c>
      <c r="B6018" s="0" t="n">
        <v>81</v>
      </c>
      <c r="C6018" s="0" t="n">
        <v>35</v>
      </c>
      <c r="D6018" s="0" t="n">
        <v>0</v>
      </c>
      <c r="E6018" s="0" t="n">
        <f aca="false">VLOOKUP(B6018,'MSA-Lookup'!$H$2:$I$86,2)</f>
        <v>6780</v>
      </c>
      <c r="F6018" s="0" t="n">
        <f aca="false">IF(C6018&gt;1,IF(C6018&lt;99,VLOOKUP(C6018,'MSA-Lookup'!$H$1:$I$86,2),C6018),C6018)</f>
        <v>7320</v>
      </c>
      <c r="G6018" s="0" t="n">
        <f aca="false">VLOOKUP(E6018,'MSA-Lookup'!$AA$1:$AB$25,2)</f>
        <v>4472</v>
      </c>
      <c r="H6018" s="0" t="n">
        <f aca="false">IF(C6018&gt;1,IF(C6018&lt;99,VLOOKUP(F6018,'MSA-Lookup'!$AA$1:$AB$25,2),C6018),C6018)</f>
        <v>7320</v>
      </c>
    </row>
    <row r="6019" customFormat="false" ht="12.75" hidden="false" customHeight="false" outlineLevel="0" collapsed="false">
      <c r="A6019" s="0" t="n">
        <f aca="false">B6019*1000+C6019</f>
        <v>81036</v>
      </c>
      <c r="B6019" s="0" t="n">
        <v>81</v>
      </c>
      <c r="C6019" s="0" t="n">
        <v>36</v>
      </c>
      <c r="D6019" s="0" t="n">
        <v>0</v>
      </c>
      <c r="E6019" s="0" t="n">
        <f aca="false">VLOOKUP(B6019,'MSA-Lookup'!$H$2:$I$86,2)</f>
        <v>6780</v>
      </c>
      <c r="F6019" s="0" t="n">
        <f aca="false">IF(C6019&gt;1,IF(C6019&lt;99,VLOOKUP(C6019,'MSA-Lookup'!$H$1:$I$86,2),C6019),C6019)</f>
        <v>7320</v>
      </c>
      <c r="G6019" s="0" t="n">
        <f aca="false">VLOOKUP(E6019,'MSA-Lookup'!$AA$1:$AB$25,2)</f>
        <v>4472</v>
      </c>
      <c r="H6019" s="0" t="n">
        <f aca="false">IF(C6019&gt;1,IF(C6019&lt;99,VLOOKUP(F6019,'MSA-Lookup'!$AA$1:$AB$25,2),C6019),C6019)</f>
        <v>7320</v>
      </c>
    </row>
    <row r="6020" customFormat="false" ht="12.75" hidden="false" customHeight="false" outlineLevel="0" collapsed="false">
      <c r="A6020" s="0" t="n">
        <f aca="false">B6020*1000+C6020</f>
        <v>81037</v>
      </c>
      <c r="B6020" s="0" t="n">
        <v>81</v>
      </c>
      <c r="C6020" s="0" t="n">
        <v>37</v>
      </c>
      <c r="D6020" s="0" t="n">
        <v>0</v>
      </c>
      <c r="E6020" s="0" t="n">
        <f aca="false">VLOOKUP(B6020,'MSA-Lookup'!$H$2:$I$86,2)</f>
        <v>6780</v>
      </c>
      <c r="F6020" s="0" t="n">
        <f aca="false">IF(C6020&gt;1,IF(C6020&lt;99,VLOOKUP(C6020,'MSA-Lookup'!$H$1:$I$86,2),C6020),C6020)</f>
        <v>7320</v>
      </c>
      <c r="G6020" s="0" t="n">
        <f aca="false">VLOOKUP(E6020,'MSA-Lookup'!$AA$1:$AB$25,2)</f>
        <v>4472</v>
      </c>
      <c r="H6020" s="0" t="n">
        <f aca="false">IF(C6020&gt;1,IF(C6020&lt;99,VLOOKUP(F6020,'MSA-Lookup'!$AA$1:$AB$25,2),C6020),C6020)</f>
        <v>7320</v>
      </c>
    </row>
    <row r="6021" customFormat="false" ht="12.75" hidden="false" customHeight="false" outlineLevel="0" collapsed="false">
      <c r="A6021" s="0" t="n">
        <f aca="false">B6021*1000+C6021</f>
        <v>81038</v>
      </c>
      <c r="B6021" s="0" t="n">
        <v>81</v>
      </c>
      <c r="C6021" s="0" t="n">
        <v>38</v>
      </c>
      <c r="D6021" s="0" t="n">
        <v>78</v>
      </c>
      <c r="E6021" s="0" t="n">
        <f aca="false">VLOOKUP(B6021,'MSA-Lookup'!$H$2:$I$86,2)</f>
        <v>6780</v>
      </c>
      <c r="F6021" s="0" t="n">
        <f aca="false">IF(C6021&gt;1,IF(C6021&lt;99,VLOOKUP(C6021,'MSA-Lookup'!$H$1:$I$86,2),C6021),C6021)</f>
        <v>7120</v>
      </c>
      <c r="G6021" s="0" t="n">
        <f aca="false">VLOOKUP(E6021,'MSA-Lookup'!$AA$1:$AB$25,2)</f>
        <v>4472</v>
      </c>
      <c r="H6021" s="0" t="n">
        <f aca="false">IF(C6021&gt;1,IF(C6021&lt;99,VLOOKUP(F6021,'MSA-Lookup'!$AA$1:$AB$25,2),C6021),C6021)</f>
        <v>7120</v>
      </c>
    </row>
    <row r="6022" customFormat="false" ht="12.75" hidden="false" customHeight="false" outlineLevel="0" collapsed="false">
      <c r="A6022" s="0" t="n">
        <f aca="false">B6022*1000+C6022</f>
        <v>81039</v>
      </c>
      <c r="B6022" s="0" t="n">
        <v>81</v>
      </c>
      <c r="C6022" s="0" t="n">
        <v>39</v>
      </c>
      <c r="D6022" s="0" t="n">
        <v>0</v>
      </c>
      <c r="E6022" s="0" t="n">
        <f aca="false">VLOOKUP(B6022,'MSA-Lookup'!$H$2:$I$86,2)</f>
        <v>6780</v>
      </c>
      <c r="F6022" s="0" t="n">
        <f aca="false">IF(C6022&gt;1,IF(C6022&lt;99,VLOOKUP(C6022,'MSA-Lookup'!$H$1:$I$86,2),C6022),C6022)</f>
        <v>7120</v>
      </c>
      <c r="G6022" s="0" t="n">
        <f aca="false">VLOOKUP(E6022,'MSA-Lookup'!$AA$1:$AB$25,2)</f>
        <v>4472</v>
      </c>
      <c r="H6022" s="0" t="n">
        <f aca="false">IF(C6022&gt;1,IF(C6022&lt;99,VLOOKUP(F6022,'MSA-Lookup'!$AA$1:$AB$25,2),C6022),C6022)</f>
        <v>7120</v>
      </c>
    </row>
    <row r="6023" customFormat="false" ht="12.75" hidden="false" customHeight="false" outlineLevel="0" collapsed="false">
      <c r="A6023" s="0" t="n">
        <f aca="false">B6023*1000+C6023</f>
        <v>81040</v>
      </c>
      <c r="B6023" s="0" t="n">
        <v>81</v>
      </c>
      <c r="C6023" s="0" t="n">
        <v>40</v>
      </c>
      <c r="D6023" s="0" t="n">
        <v>0</v>
      </c>
      <c r="E6023" s="0" t="n">
        <f aca="false">VLOOKUP(B6023,'MSA-Lookup'!$H$2:$I$86,2)</f>
        <v>6780</v>
      </c>
      <c r="F6023" s="0" t="n">
        <f aca="false">IF(C6023&gt;1,IF(C6023&lt;99,VLOOKUP(C6023,'MSA-Lookup'!$H$1:$I$86,2),C6023),C6023)</f>
        <v>2840</v>
      </c>
      <c r="G6023" s="0" t="n">
        <f aca="false">VLOOKUP(E6023,'MSA-Lookup'!$AA$1:$AB$25,2)</f>
        <v>4472</v>
      </c>
      <c r="H6023" s="0" t="n">
        <f aca="false">IF(C6023&gt;1,IF(C6023&lt;99,VLOOKUP(F6023,'MSA-Lookup'!$AA$1:$AB$25,2),C6023),C6023)</f>
        <v>2840</v>
      </c>
    </row>
    <row r="6024" customFormat="false" ht="12.75" hidden="false" customHeight="false" outlineLevel="0" collapsed="false">
      <c r="A6024" s="0" t="n">
        <f aca="false">B6024*1000+C6024</f>
        <v>81041</v>
      </c>
      <c r="B6024" s="0" t="n">
        <v>81</v>
      </c>
      <c r="C6024" s="0" t="n">
        <v>41</v>
      </c>
      <c r="D6024" s="0" t="n">
        <v>0</v>
      </c>
      <c r="E6024" s="0" t="n">
        <f aca="false">VLOOKUP(B6024,'MSA-Lookup'!$H$2:$I$86,2)</f>
        <v>6780</v>
      </c>
      <c r="F6024" s="0" t="n">
        <f aca="false">IF(C6024&gt;1,IF(C6024&lt;99,VLOOKUP(C6024,'MSA-Lookup'!$H$1:$I$86,2),C6024),C6024)</f>
        <v>2840</v>
      </c>
      <c r="G6024" s="0" t="n">
        <f aca="false">VLOOKUP(E6024,'MSA-Lookup'!$AA$1:$AB$25,2)</f>
        <v>4472</v>
      </c>
      <c r="H6024" s="0" t="n">
        <f aca="false">IF(C6024&gt;1,IF(C6024&lt;99,VLOOKUP(F6024,'MSA-Lookup'!$AA$1:$AB$25,2),C6024),C6024)</f>
        <v>2840</v>
      </c>
    </row>
    <row r="6025" customFormat="false" ht="12.75" hidden="false" customHeight="false" outlineLevel="0" collapsed="false">
      <c r="A6025" s="0" t="n">
        <f aca="false">B6025*1000+C6025</f>
        <v>81042</v>
      </c>
      <c r="B6025" s="0" t="n">
        <v>81</v>
      </c>
      <c r="C6025" s="0" t="n">
        <v>42</v>
      </c>
      <c r="D6025" s="0" t="n">
        <v>1469</v>
      </c>
      <c r="E6025" s="0" t="n">
        <f aca="false">VLOOKUP(B6025,'MSA-Lookup'!$H$2:$I$86,2)</f>
        <v>6780</v>
      </c>
      <c r="F6025" s="0" t="n">
        <f aca="false">IF(C6025&gt;1,IF(C6025&lt;99,VLOOKUP(C6025,'MSA-Lookup'!$H$1:$I$86,2),C6025),C6025)</f>
        <v>360</v>
      </c>
      <c r="G6025" s="0" t="n">
        <f aca="false">VLOOKUP(E6025,'MSA-Lookup'!$AA$1:$AB$25,2)</f>
        <v>4472</v>
      </c>
      <c r="H6025" s="0" t="n">
        <f aca="false">IF(C6025&gt;1,IF(C6025&lt;99,VLOOKUP(F6025,'MSA-Lookup'!$AA$1:$AB$25,2),C6025),C6025)</f>
        <v>4472</v>
      </c>
    </row>
    <row r="6026" customFormat="false" ht="12.75" hidden="false" customHeight="false" outlineLevel="0" collapsed="false">
      <c r="A6026" s="0" t="n">
        <f aca="false">B6026*1000+C6026</f>
        <v>81043</v>
      </c>
      <c r="B6026" s="0" t="n">
        <v>81</v>
      </c>
      <c r="C6026" s="0" t="n">
        <v>43</v>
      </c>
      <c r="D6026" s="0" t="n">
        <v>156</v>
      </c>
      <c r="E6026" s="0" t="n">
        <f aca="false">VLOOKUP(B6026,'MSA-Lookup'!$H$2:$I$86,2)</f>
        <v>6780</v>
      </c>
      <c r="F6026" s="0" t="n">
        <f aca="false">IF(C6026&gt;1,IF(C6026&lt;99,VLOOKUP(C6026,'MSA-Lookup'!$H$1:$I$86,2),C6026),C6026)</f>
        <v>360</v>
      </c>
      <c r="G6026" s="0" t="n">
        <f aca="false">VLOOKUP(E6026,'MSA-Lookup'!$AA$1:$AB$25,2)</f>
        <v>4472</v>
      </c>
      <c r="H6026" s="0" t="n">
        <f aca="false">IF(C6026&gt;1,IF(C6026&lt;99,VLOOKUP(F6026,'MSA-Lookup'!$AA$1:$AB$25,2),C6026),C6026)</f>
        <v>4472</v>
      </c>
    </row>
    <row r="6027" customFormat="false" ht="12.75" hidden="false" customHeight="false" outlineLevel="0" collapsed="false">
      <c r="A6027" s="0" t="n">
        <f aca="false">B6027*1000+C6027</f>
        <v>81044</v>
      </c>
      <c r="B6027" s="0" t="n">
        <v>81</v>
      </c>
      <c r="C6027" s="0" t="n">
        <v>44</v>
      </c>
      <c r="D6027" s="0" t="n">
        <v>0</v>
      </c>
      <c r="E6027" s="0" t="n">
        <f aca="false">VLOOKUP(B6027,'MSA-Lookup'!$H$2:$I$86,2)</f>
        <v>6780</v>
      </c>
      <c r="F6027" s="0" t="n">
        <f aca="false">IF(C6027&gt;1,IF(C6027&lt;99,VLOOKUP(C6027,'MSA-Lookup'!$H$1:$I$86,2),C6027),C6027)</f>
        <v>360</v>
      </c>
      <c r="G6027" s="0" t="n">
        <f aca="false">VLOOKUP(E6027,'MSA-Lookup'!$AA$1:$AB$25,2)</f>
        <v>4472</v>
      </c>
      <c r="H6027" s="0" t="n">
        <f aca="false">IF(C6027&gt;1,IF(C6027&lt;99,VLOOKUP(F6027,'MSA-Lookup'!$AA$1:$AB$25,2),C6027),C6027)</f>
        <v>4472</v>
      </c>
    </row>
    <row r="6028" customFormat="false" ht="12.75" hidden="false" customHeight="false" outlineLevel="0" collapsed="false">
      <c r="A6028" s="0" t="n">
        <f aca="false">B6028*1000+C6028</f>
        <v>81045</v>
      </c>
      <c r="B6028" s="0" t="n">
        <v>81</v>
      </c>
      <c r="C6028" s="0" t="n">
        <v>45</v>
      </c>
      <c r="D6028" s="0" t="n">
        <v>143</v>
      </c>
      <c r="E6028" s="0" t="n">
        <f aca="false">VLOOKUP(B6028,'MSA-Lookup'!$H$2:$I$86,2)</f>
        <v>6780</v>
      </c>
      <c r="F6028" s="0" t="n">
        <f aca="false">IF(C6028&gt;1,IF(C6028&lt;99,VLOOKUP(C6028,'MSA-Lookup'!$H$1:$I$86,2),C6028),C6028)</f>
        <v>360</v>
      </c>
      <c r="G6028" s="0" t="n">
        <f aca="false">VLOOKUP(E6028,'MSA-Lookup'!$AA$1:$AB$25,2)</f>
        <v>4472</v>
      </c>
      <c r="H6028" s="0" t="n">
        <f aca="false">IF(C6028&gt;1,IF(C6028&lt;99,VLOOKUP(F6028,'MSA-Lookup'!$AA$1:$AB$25,2),C6028),C6028)</f>
        <v>4472</v>
      </c>
    </row>
    <row r="6029" customFormat="false" ht="12.75" hidden="false" customHeight="false" outlineLevel="0" collapsed="false">
      <c r="A6029" s="0" t="n">
        <f aca="false">B6029*1000+C6029</f>
        <v>81046</v>
      </c>
      <c r="B6029" s="0" t="n">
        <v>81</v>
      </c>
      <c r="C6029" s="0" t="n">
        <v>46</v>
      </c>
      <c r="D6029" s="0" t="n">
        <v>325</v>
      </c>
      <c r="E6029" s="0" t="n">
        <f aca="false">VLOOKUP(B6029,'MSA-Lookup'!$H$2:$I$86,2)</f>
        <v>6780</v>
      </c>
      <c r="F6029" s="0" t="n">
        <f aca="false">IF(C6029&gt;1,IF(C6029&lt;99,VLOOKUP(C6029,'MSA-Lookup'!$H$1:$I$86,2),C6029),C6029)</f>
        <v>360</v>
      </c>
      <c r="G6029" s="0" t="n">
        <f aca="false">VLOOKUP(E6029,'MSA-Lookup'!$AA$1:$AB$25,2)</f>
        <v>4472</v>
      </c>
      <c r="H6029" s="0" t="n">
        <f aca="false">IF(C6029&gt;1,IF(C6029&lt;99,VLOOKUP(F6029,'MSA-Lookup'!$AA$1:$AB$25,2),C6029),C6029)</f>
        <v>4472</v>
      </c>
    </row>
    <row r="6030" customFormat="false" ht="12.75" hidden="false" customHeight="false" outlineLevel="0" collapsed="false">
      <c r="A6030" s="0" t="n">
        <f aca="false">B6030*1000+C6030</f>
        <v>81047</v>
      </c>
      <c r="B6030" s="0" t="n">
        <v>81</v>
      </c>
      <c r="C6030" s="0" t="n">
        <v>47</v>
      </c>
      <c r="D6030" s="0" t="n">
        <v>637</v>
      </c>
      <c r="E6030" s="0" t="n">
        <f aca="false">VLOOKUP(B6030,'MSA-Lookup'!$H$2:$I$86,2)</f>
        <v>6780</v>
      </c>
      <c r="F6030" s="0" t="n">
        <f aca="false">IF(C6030&gt;1,IF(C6030&lt;99,VLOOKUP(C6030,'MSA-Lookup'!$H$1:$I$86,2),C6030),C6030)</f>
        <v>360</v>
      </c>
      <c r="G6030" s="0" t="n">
        <f aca="false">VLOOKUP(E6030,'MSA-Lookup'!$AA$1:$AB$25,2)</f>
        <v>4472</v>
      </c>
      <c r="H6030" s="0" t="n">
        <f aca="false">IF(C6030&gt;1,IF(C6030&lt;99,VLOOKUP(F6030,'MSA-Lookup'!$AA$1:$AB$25,2),C6030),C6030)</f>
        <v>4472</v>
      </c>
    </row>
    <row r="6031" customFormat="false" ht="12.75" hidden="false" customHeight="false" outlineLevel="0" collapsed="false">
      <c r="A6031" s="0" t="n">
        <f aca="false">B6031*1000+C6031</f>
        <v>81048</v>
      </c>
      <c r="B6031" s="0" t="n">
        <v>81</v>
      </c>
      <c r="C6031" s="0" t="n">
        <v>48</v>
      </c>
      <c r="D6031" s="0" t="n">
        <v>4225</v>
      </c>
      <c r="E6031" s="0" t="n">
        <f aca="false">VLOOKUP(B6031,'MSA-Lookup'!$H$2:$I$86,2)</f>
        <v>6780</v>
      </c>
      <c r="F6031" s="0" t="n">
        <f aca="false">IF(C6031&gt;1,IF(C6031&lt;99,VLOOKUP(C6031,'MSA-Lookup'!$H$1:$I$86,2),C6031),C6031)</f>
        <v>360</v>
      </c>
      <c r="G6031" s="0" t="n">
        <f aca="false">VLOOKUP(E6031,'MSA-Lookup'!$AA$1:$AB$25,2)</f>
        <v>4472</v>
      </c>
      <c r="H6031" s="0" t="n">
        <f aca="false">IF(C6031&gt;1,IF(C6031&lt;99,VLOOKUP(F6031,'MSA-Lookup'!$AA$1:$AB$25,2),C6031),C6031)</f>
        <v>4472</v>
      </c>
    </row>
    <row r="6032" customFormat="false" ht="12.75" hidden="false" customHeight="false" outlineLevel="0" collapsed="false">
      <c r="A6032" s="0" t="n">
        <f aca="false">B6032*1000+C6032</f>
        <v>81049</v>
      </c>
      <c r="B6032" s="0" t="n">
        <v>81</v>
      </c>
      <c r="C6032" s="0" t="n">
        <v>49</v>
      </c>
      <c r="D6032" s="0" t="n">
        <v>0</v>
      </c>
      <c r="E6032" s="0" t="n">
        <f aca="false">VLOOKUP(B6032,'MSA-Lookup'!$H$2:$I$86,2)</f>
        <v>6780</v>
      </c>
      <c r="F6032" s="0" t="n">
        <f aca="false">IF(C6032&gt;1,IF(C6032&lt;99,VLOOKUP(C6032,'MSA-Lookup'!$H$1:$I$86,2),C6032),C6032)</f>
        <v>7400</v>
      </c>
      <c r="G6032" s="0" t="n">
        <f aca="false">VLOOKUP(E6032,'MSA-Lookup'!$AA$1:$AB$25,2)</f>
        <v>4472</v>
      </c>
      <c r="H6032" s="0" t="n">
        <f aca="false">IF(C6032&gt;1,IF(C6032&lt;99,VLOOKUP(F6032,'MSA-Lookup'!$AA$1:$AB$25,2),C6032),C6032)</f>
        <v>7362</v>
      </c>
    </row>
    <row r="6033" customFormat="false" ht="12.75" hidden="false" customHeight="false" outlineLevel="0" collapsed="false">
      <c r="A6033" s="0" t="n">
        <f aca="false">B6033*1000+C6033</f>
        <v>81050</v>
      </c>
      <c r="B6033" s="0" t="n">
        <v>81</v>
      </c>
      <c r="C6033" s="0" t="n">
        <v>50</v>
      </c>
      <c r="D6033" s="0" t="n">
        <v>0</v>
      </c>
      <c r="E6033" s="0" t="n">
        <f aca="false">VLOOKUP(B6033,'MSA-Lookup'!$H$2:$I$86,2)</f>
        <v>6780</v>
      </c>
      <c r="F6033" s="0" t="n">
        <f aca="false">IF(C6033&gt;1,IF(C6033&lt;99,VLOOKUP(C6033,'MSA-Lookup'!$H$1:$I$86,2),C6033),C6033)</f>
        <v>7400</v>
      </c>
      <c r="G6033" s="0" t="n">
        <f aca="false">VLOOKUP(E6033,'MSA-Lookup'!$AA$1:$AB$25,2)</f>
        <v>4472</v>
      </c>
      <c r="H6033" s="0" t="n">
        <f aca="false">IF(C6033&gt;1,IF(C6033&lt;99,VLOOKUP(F6033,'MSA-Lookup'!$AA$1:$AB$25,2),C6033),C6033)</f>
        <v>7362</v>
      </c>
    </row>
    <row r="6034" customFormat="false" ht="12.75" hidden="false" customHeight="false" outlineLevel="0" collapsed="false">
      <c r="A6034" s="0" t="n">
        <f aca="false">B6034*1000+C6034</f>
        <v>81051</v>
      </c>
      <c r="B6034" s="0" t="n">
        <v>81</v>
      </c>
      <c r="C6034" s="0" t="n">
        <v>51</v>
      </c>
      <c r="D6034" s="0" t="n">
        <v>0</v>
      </c>
      <c r="E6034" s="0" t="n">
        <f aca="false">VLOOKUP(B6034,'MSA-Lookup'!$H$2:$I$86,2)</f>
        <v>6780</v>
      </c>
      <c r="F6034" s="0" t="n">
        <f aca="false">IF(C6034&gt;1,IF(C6034&lt;99,VLOOKUP(C6034,'MSA-Lookup'!$H$1:$I$86,2),C6034),C6034)</f>
        <v>7400</v>
      </c>
      <c r="G6034" s="0" t="n">
        <f aca="false">VLOOKUP(E6034,'MSA-Lookup'!$AA$1:$AB$25,2)</f>
        <v>4472</v>
      </c>
      <c r="H6034" s="0" t="n">
        <f aca="false">IF(C6034&gt;1,IF(C6034&lt;99,VLOOKUP(F6034,'MSA-Lookup'!$AA$1:$AB$25,2),C6034),C6034)</f>
        <v>7362</v>
      </c>
    </row>
    <row r="6035" customFormat="false" ht="12.75" hidden="false" customHeight="false" outlineLevel="0" collapsed="false">
      <c r="A6035" s="0" t="n">
        <f aca="false">B6035*1000+C6035</f>
        <v>81052</v>
      </c>
      <c r="B6035" s="0" t="n">
        <v>81</v>
      </c>
      <c r="C6035" s="0" t="n">
        <v>52</v>
      </c>
      <c r="D6035" s="0" t="n">
        <v>104</v>
      </c>
      <c r="E6035" s="0" t="n">
        <f aca="false">VLOOKUP(B6035,'MSA-Lookup'!$H$2:$I$86,2)</f>
        <v>6780</v>
      </c>
      <c r="F6035" s="0" t="n">
        <f aca="false">IF(C6035&gt;1,IF(C6035&lt;99,VLOOKUP(C6035,'MSA-Lookup'!$H$1:$I$86,2),C6035),C6035)</f>
        <v>4480</v>
      </c>
      <c r="G6035" s="0" t="n">
        <f aca="false">VLOOKUP(E6035,'MSA-Lookup'!$AA$1:$AB$25,2)</f>
        <v>4472</v>
      </c>
      <c r="H6035" s="0" t="n">
        <f aca="false">IF(C6035&gt;1,IF(C6035&lt;99,VLOOKUP(F6035,'MSA-Lookup'!$AA$1:$AB$25,2),C6035),C6035)</f>
        <v>4472</v>
      </c>
    </row>
    <row r="6036" customFormat="false" ht="12.75" hidden="false" customHeight="false" outlineLevel="0" collapsed="false">
      <c r="A6036" s="0" t="n">
        <f aca="false">B6036*1000+C6036</f>
        <v>81053</v>
      </c>
      <c r="B6036" s="0" t="n">
        <v>81</v>
      </c>
      <c r="C6036" s="0" t="n">
        <v>53</v>
      </c>
      <c r="D6036" s="0" t="n">
        <v>130</v>
      </c>
      <c r="E6036" s="0" t="n">
        <f aca="false">VLOOKUP(B6036,'MSA-Lookup'!$H$2:$I$86,2)</f>
        <v>6780</v>
      </c>
      <c r="F6036" s="0" t="n">
        <f aca="false">IF(C6036&gt;1,IF(C6036&lt;99,VLOOKUP(C6036,'MSA-Lookup'!$H$1:$I$86,2),C6036),C6036)</f>
        <v>4480</v>
      </c>
      <c r="G6036" s="0" t="n">
        <f aca="false">VLOOKUP(E6036,'MSA-Lookup'!$AA$1:$AB$25,2)</f>
        <v>4472</v>
      </c>
      <c r="H6036" s="0" t="n">
        <f aca="false">IF(C6036&gt;1,IF(C6036&lt;99,VLOOKUP(F6036,'MSA-Lookup'!$AA$1:$AB$25,2),C6036),C6036)</f>
        <v>4472</v>
      </c>
    </row>
    <row r="6037" customFormat="false" ht="12.75" hidden="false" customHeight="false" outlineLevel="0" collapsed="false">
      <c r="A6037" s="0" t="n">
        <f aca="false">B6037*1000+C6037</f>
        <v>81054</v>
      </c>
      <c r="B6037" s="0" t="n">
        <v>81</v>
      </c>
      <c r="C6037" s="0" t="n">
        <v>54</v>
      </c>
      <c r="D6037" s="0" t="n">
        <v>0</v>
      </c>
      <c r="E6037" s="0" t="n">
        <f aca="false">VLOOKUP(B6037,'MSA-Lookup'!$H$2:$I$86,2)</f>
        <v>6780</v>
      </c>
      <c r="F6037" s="0" t="n">
        <f aca="false">IF(C6037&gt;1,IF(C6037&lt;99,VLOOKUP(C6037,'MSA-Lookup'!$H$1:$I$86,2),C6037),C6037)</f>
        <v>4480</v>
      </c>
      <c r="G6037" s="0" t="n">
        <f aca="false">VLOOKUP(E6037,'MSA-Lookup'!$AA$1:$AB$25,2)</f>
        <v>4472</v>
      </c>
      <c r="H6037" s="0" t="n">
        <f aca="false">IF(C6037&gt;1,IF(C6037&lt;99,VLOOKUP(F6037,'MSA-Lookup'!$AA$1:$AB$25,2),C6037),C6037)</f>
        <v>4472</v>
      </c>
    </row>
    <row r="6038" customFormat="false" ht="12.75" hidden="false" customHeight="false" outlineLevel="0" collapsed="false">
      <c r="A6038" s="0" t="n">
        <f aca="false">B6038*1000+C6038</f>
        <v>81055</v>
      </c>
      <c r="B6038" s="0" t="n">
        <v>81</v>
      </c>
      <c r="C6038" s="0" t="n">
        <v>55</v>
      </c>
      <c r="D6038" s="0" t="n">
        <v>0</v>
      </c>
      <c r="E6038" s="0" t="n">
        <f aca="false">VLOOKUP(B6038,'MSA-Lookup'!$H$2:$I$86,2)</f>
        <v>6780</v>
      </c>
      <c r="F6038" s="0" t="n">
        <f aca="false">IF(C6038&gt;1,IF(C6038&lt;99,VLOOKUP(C6038,'MSA-Lookup'!$H$1:$I$86,2),C6038),C6038)</f>
        <v>4480</v>
      </c>
      <c r="G6038" s="0" t="n">
        <f aca="false">VLOOKUP(E6038,'MSA-Lookup'!$AA$1:$AB$25,2)</f>
        <v>4472</v>
      </c>
      <c r="H6038" s="0" t="n">
        <f aca="false">IF(C6038&gt;1,IF(C6038&lt;99,VLOOKUP(F6038,'MSA-Lookup'!$AA$1:$AB$25,2),C6038),C6038)</f>
        <v>4472</v>
      </c>
    </row>
    <row r="6039" customFormat="false" ht="12.75" hidden="false" customHeight="false" outlineLevel="0" collapsed="false">
      <c r="A6039" s="0" t="n">
        <f aca="false">B6039*1000+C6039</f>
        <v>81056</v>
      </c>
      <c r="B6039" s="0" t="n">
        <v>81</v>
      </c>
      <c r="C6039" s="0" t="n">
        <v>56</v>
      </c>
      <c r="D6039" s="0" t="n">
        <v>0</v>
      </c>
      <c r="E6039" s="0" t="n">
        <f aca="false">VLOOKUP(B6039,'MSA-Lookup'!$H$2:$I$86,2)</f>
        <v>6780</v>
      </c>
      <c r="F6039" s="0" t="n">
        <f aca="false">IF(C6039&gt;1,IF(C6039&lt;99,VLOOKUP(C6039,'MSA-Lookup'!$H$1:$I$86,2),C6039),C6039)</f>
        <v>4480</v>
      </c>
      <c r="G6039" s="0" t="n">
        <f aca="false">VLOOKUP(E6039,'MSA-Lookup'!$AA$1:$AB$25,2)</f>
        <v>4472</v>
      </c>
      <c r="H6039" s="0" t="n">
        <f aca="false">IF(C6039&gt;1,IF(C6039&lt;99,VLOOKUP(F6039,'MSA-Lookup'!$AA$1:$AB$25,2),C6039),C6039)</f>
        <v>4472</v>
      </c>
    </row>
    <row r="6040" customFormat="false" ht="12.75" hidden="false" customHeight="false" outlineLevel="0" collapsed="false">
      <c r="A6040" s="0" t="n">
        <f aca="false">B6040*1000+C6040</f>
        <v>81057</v>
      </c>
      <c r="B6040" s="0" t="n">
        <v>81</v>
      </c>
      <c r="C6040" s="0" t="n">
        <v>57</v>
      </c>
      <c r="D6040" s="0" t="n">
        <v>0</v>
      </c>
      <c r="E6040" s="0" t="n">
        <f aca="false">VLOOKUP(B6040,'MSA-Lookup'!$H$2:$I$86,2)</f>
        <v>6780</v>
      </c>
      <c r="F6040" s="0" t="n">
        <f aca="false">IF(C6040&gt;1,IF(C6040&lt;99,VLOOKUP(C6040,'MSA-Lookup'!$H$1:$I$86,2),C6040),C6040)</f>
        <v>4480</v>
      </c>
      <c r="G6040" s="0" t="n">
        <f aca="false">VLOOKUP(E6040,'MSA-Lookup'!$AA$1:$AB$25,2)</f>
        <v>4472</v>
      </c>
      <c r="H6040" s="0" t="n">
        <f aca="false">IF(C6040&gt;1,IF(C6040&lt;99,VLOOKUP(F6040,'MSA-Lookup'!$AA$1:$AB$25,2),C6040),C6040)</f>
        <v>4472</v>
      </c>
    </row>
    <row r="6041" customFormat="false" ht="12.75" hidden="false" customHeight="false" outlineLevel="0" collapsed="false">
      <c r="A6041" s="0" t="n">
        <f aca="false">B6041*1000+C6041</f>
        <v>81058</v>
      </c>
      <c r="B6041" s="0" t="n">
        <v>81</v>
      </c>
      <c r="C6041" s="0" t="n">
        <v>58</v>
      </c>
      <c r="D6041" s="0" t="n">
        <v>0</v>
      </c>
      <c r="E6041" s="0" t="n">
        <f aca="false">VLOOKUP(B6041,'MSA-Lookup'!$H$2:$I$86,2)</f>
        <v>6780</v>
      </c>
      <c r="F6041" s="0" t="n">
        <f aca="false">IF(C6041&gt;1,IF(C6041&lt;99,VLOOKUP(C6041,'MSA-Lookup'!$H$1:$I$86,2),C6041),C6041)</f>
        <v>4480</v>
      </c>
      <c r="G6041" s="0" t="n">
        <f aca="false">VLOOKUP(E6041,'MSA-Lookup'!$AA$1:$AB$25,2)</f>
        <v>4472</v>
      </c>
      <c r="H6041" s="0" t="n">
        <f aca="false">IF(C6041&gt;1,IF(C6041&lt;99,VLOOKUP(F6041,'MSA-Lookup'!$AA$1:$AB$25,2),C6041),C6041)</f>
        <v>4472</v>
      </c>
    </row>
    <row r="6042" customFormat="false" ht="12.75" hidden="false" customHeight="false" outlineLevel="0" collapsed="false">
      <c r="A6042" s="0" t="n">
        <f aca="false">B6042*1000+C6042</f>
        <v>81059</v>
      </c>
      <c r="B6042" s="0" t="n">
        <v>81</v>
      </c>
      <c r="C6042" s="0" t="n">
        <v>59</v>
      </c>
      <c r="D6042" s="0" t="n">
        <v>91</v>
      </c>
      <c r="E6042" s="0" t="n">
        <f aca="false">VLOOKUP(B6042,'MSA-Lookup'!$H$2:$I$86,2)</f>
        <v>6780</v>
      </c>
      <c r="F6042" s="0" t="n">
        <f aca="false">IF(C6042&gt;1,IF(C6042&lt;99,VLOOKUP(C6042,'MSA-Lookup'!$H$1:$I$86,2),C6042),C6042)</f>
        <v>4480</v>
      </c>
      <c r="G6042" s="0" t="n">
        <f aca="false">VLOOKUP(E6042,'MSA-Lookup'!$AA$1:$AB$25,2)</f>
        <v>4472</v>
      </c>
      <c r="H6042" s="0" t="n">
        <f aca="false">IF(C6042&gt;1,IF(C6042&lt;99,VLOOKUP(F6042,'MSA-Lookup'!$AA$1:$AB$25,2),C6042),C6042)</f>
        <v>4472</v>
      </c>
    </row>
    <row r="6043" customFormat="false" ht="12.75" hidden="false" customHeight="false" outlineLevel="0" collapsed="false">
      <c r="A6043" s="0" t="n">
        <f aca="false">B6043*1000+C6043</f>
        <v>81060</v>
      </c>
      <c r="B6043" s="0" t="n">
        <v>81</v>
      </c>
      <c r="C6043" s="0" t="n">
        <v>60</v>
      </c>
      <c r="D6043" s="0" t="n">
        <v>0</v>
      </c>
      <c r="E6043" s="0" t="n">
        <f aca="false">VLOOKUP(B6043,'MSA-Lookup'!$H$2:$I$86,2)</f>
        <v>6780</v>
      </c>
      <c r="F6043" s="0" t="n">
        <f aca="false">IF(C6043&gt;1,IF(C6043&lt;99,VLOOKUP(C6043,'MSA-Lookup'!$H$1:$I$86,2),C6043),C6043)</f>
        <v>4480</v>
      </c>
      <c r="G6043" s="0" t="n">
        <f aca="false">VLOOKUP(E6043,'MSA-Lookup'!$AA$1:$AB$25,2)</f>
        <v>4472</v>
      </c>
      <c r="H6043" s="0" t="n">
        <f aca="false">IF(C6043&gt;1,IF(C6043&lt;99,VLOOKUP(F6043,'MSA-Lookup'!$AA$1:$AB$25,2),C6043),C6043)</f>
        <v>4472</v>
      </c>
    </row>
    <row r="6044" customFormat="false" ht="12.75" hidden="false" customHeight="false" outlineLevel="0" collapsed="false">
      <c r="A6044" s="0" t="n">
        <f aca="false">B6044*1000+C6044</f>
        <v>81061</v>
      </c>
      <c r="B6044" s="0" t="n">
        <v>81</v>
      </c>
      <c r="C6044" s="0" t="n">
        <v>61</v>
      </c>
      <c r="D6044" s="0" t="n">
        <v>0</v>
      </c>
      <c r="E6044" s="0" t="n">
        <f aca="false">VLOOKUP(B6044,'MSA-Lookup'!$H$2:$I$86,2)</f>
        <v>6780</v>
      </c>
      <c r="F6044" s="0" t="n">
        <f aca="false">IF(C6044&gt;1,IF(C6044&lt;99,VLOOKUP(C6044,'MSA-Lookup'!$H$1:$I$86,2),C6044),C6044)</f>
        <v>4480</v>
      </c>
      <c r="G6044" s="0" t="n">
        <f aca="false">VLOOKUP(E6044,'MSA-Lookup'!$AA$1:$AB$25,2)</f>
        <v>4472</v>
      </c>
      <c r="H6044" s="0" t="n">
        <f aca="false">IF(C6044&gt;1,IF(C6044&lt;99,VLOOKUP(F6044,'MSA-Lookup'!$AA$1:$AB$25,2),C6044),C6044)</f>
        <v>4472</v>
      </c>
    </row>
    <row r="6045" customFormat="false" ht="12.75" hidden="false" customHeight="false" outlineLevel="0" collapsed="false">
      <c r="A6045" s="0" t="n">
        <f aca="false">B6045*1000+C6045</f>
        <v>81062</v>
      </c>
      <c r="B6045" s="0" t="n">
        <v>81</v>
      </c>
      <c r="C6045" s="0" t="n">
        <v>62</v>
      </c>
      <c r="D6045" s="0" t="n">
        <v>0</v>
      </c>
      <c r="E6045" s="0" t="n">
        <f aca="false">VLOOKUP(B6045,'MSA-Lookup'!$H$2:$I$86,2)</f>
        <v>6780</v>
      </c>
      <c r="F6045" s="0" t="n">
        <f aca="false">IF(C6045&gt;1,IF(C6045&lt;99,VLOOKUP(C6045,'MSA-Lookup'!$H$1:$I$86,2),C6045),C6045)</f>
        <v>4480</v>
      </c>
      <c r="G6045" s="0" t="n">
        <f aca="false">VLOOKUP(E6045,'MSA-Lookup'!$AA$1:$AB$25,2)</f>
        <v>4472</v>
      </c>
      <c r="H6045" s="0" t="n">
        <f aca="false">IF(C6045&gt;1,IF(C6045&lt;99,VLOOKUP(F6045,'MSA-Lookup'!$AA$1:$AB$25,2),C6045),C6045)</f>
        <v>4472</v>
      </c>
    </row>
    <row r="6046" customFormat="false" ht="12.75" hidden="false" customHeight="false" outlineLevel="0" collapsed="false">
      <c r="A6046" s="0" t="n">
        <f aca="false">B6046*1000+C6046</f>
        <v>81063</v>
      </c>
      <c r="B6046" s="0" t="n">
        <v>81</v>
      </c>
      <c r="C6046" s="0" t="n">
        <v>63</v>
      </c>
      <c r="D6046" s="0" t="n">
        <v>143</v>
      </c>
      <c r="E6046" s="0" t="n">
        <f aca="false">VLOOKUP(B6046,'MSA-Lookup'!$H$2:$I$86,2)</f>
        <v>6780</v>
      </c>
      <c r="F6046" s="0" t="n">
        <f aca="false">IF(C6046&gt;1,IF(C6046&lt;99,VLOOKUP(C6046,'MSA-Lookup'!$H$1:$I$86,2),C6046),C6046)</f>
        <v>4480</v>
      </c>
      <c r="G6046" s="0" t="n">
        <f aca="false">VLOOKUP(E6046,'MSA-Lookup'!$AA$1:$AB$25,2)</f>
        <v>4472</v>
      </c>
      <c r="H6046" s="0" t="n">
        <f aca="false">IF(C6046&gt;1,IF(C6046&lt;99,VLOOKUP(F6046,'MSA-Lookup'!$AA$1:$AB$25,2),C6046),C6046)</f>
        <v>4472</v>
      </c>
    </row>
    <row r="6047" customFormat="false" ht="12.75" hidden="false" customHeight="false" outlineLevel="0" collapsed="false">
      <c r="A6047" s="0" t="n">
        <f aca="false">B6047*1000+C6047</f>
        <v>81064</v>
      </c>
      <c r="B6047" s="0" t="n">
        <v>81</v>
      </c>
      <c r="C6047" s="0" t="n">
        <v>64</v>
      </c>
      <c r="D6047" s="0" t="n">
        <v>4238</v>
      </c>
      <c r="E6047" s="0" t="n">
        <f aca="false">VLOOKUP(B6047,'MSA-Lookup'!$H$2:$I$86,2)</f>
        <v>6780</v>
      </c>
      <c r="F6047" s="0" t="n">
        <f aca="false">IF(C6047&gt;1,IF(C6047&lt;99,VLOOKUP(C6047,'MSA-Lookup'!$H$1:$I$86,2),C6047),C6047)</f>
        <v>4480</v>
      </c>
      <c r="G6047" s="0" t="n">
        <f aca="false">VLOOKUP(E6047,'MSA-Lookup'!$AA$1:$AB$25,2)</f>
        <v>4472</v>
      </c>
      <c r="H6047" s="0" t="n">
        <f aca="false">IF(C6047&gt;1,IF(C6047&lt;99,VLOOKUP(F6047,'MSA-Lookup'!$AA$1:$AB$25,2),C6047),C6047)</f>
        <v>4472</v>
      </c>
    </row>
    <row r="6048" customFormat="false" ht="12.75" hidden="false" customHeight="false" outlineLevel="0" collapsed="false">
      <c r="A6048" s="0" t="n">
        <f aca="false">B6048*1000+C6048</f>
        <v>81065</v>
      </c>
      <c r="B6048" s="0" t="n">
        <v>81</v>
      </c>
      <c r="C6048" s="0" t="n">
        <v>65</v>
      </c>
      <c r="D6048" s="0" t="n">
        <v>975</v>
      </c>
      <c r="E6048" s="0" t="n">
        <f aca="false">VLOOKUP(B6048,'MSA-Lookup'!$H$2:$I$86,2)</f>
        <v>6780</v>
      </c>
      <c r="F6048" s="0" t="n">
        <f aca="false">IF(C6048&gt;1,IF(C6048&lt;99,VLOOKUP(C6048,'MSA-Lookup'!$H$1:$I$86,2),C6048),C6048)</f>
        <v>4480</v>
      </c>
      <c r="G6048" s="0" t="n">
        <f aca="false">VLOOKUP(E6048,'MSA-Lookup'!$AA$1:$AB$25,2)</f>
        <v>4472</v>
      </c>
      <c r="H6048" s="0" t="n">
        <f aca="false">IF(C6048&gt;1,IF(C6048&lt;99,VLOOKUP(F6048,'MSA-Lookup'!$AA$1:$AB$25,2),C6048),C6048)</f>
        <v>4472</v>
      </c>
    </row>
    <row r="6049" customFormat="false" ht="12.75" hidden="false" customHeight="false" outlineLevel="0" collapsed="false">
      <c r="A6049" s="0" t="n">
        <f aca="false">B6049*1000+C6049</f>
        <v>81066</v>
      </c>
      <c r="B6049" s="0" t="n">
        <v>81</v>
      </c>
      <c r="C6049" s="0" t="n">
        <v>66</v>
      </c>
      <c r="D6049" s="0" t="n">
        <v>416</v>
      </c>
      <c r="E6049" s="0" t="n">
        <f aca="false">VLOOKUP(B6049,'MSA-Lookup'!$H$2:$I$86,2)</f>
        <v>6780</v>
      </c>
      <c r="F6049" s="0" t="n">
        <f aca="false">IF(C6049&gt;1,IF(C6049&lt;99,VLOOKUP(C6049,'MSA-Lookup'!$H$1:$I$86,2),C6049),C6049)</f>
        <v>4480</v>
      </c>
      <c r="G6049" s="0" t="n">
        <f aca="false">VLOOKUP(E6049,'MSA-Lookup'!$AA$1:$AB$25,2)</f>
        <v>4472</v>
      </c>
      <c r="H6049" s="0" t="n">
        <f aca="false">IF(C6049&gt;1,IF(C6049&lt;99,VLOOKUP(F6049,'MSA-Lookup'!$AA$1:$AB$25,2),C6049),C6049)</f>
        <v>4472</v>
      </c>
    </row>
    <row r="6050" customFormat="false" ht="12.75" hidden="false" customHeight="false" outlineLevel="0" collapsed="false">
      <c r="A6050" s="0" t="n">
        <f aca="false">B6050*1000+C6050</f>
        <v>81067</v>
      </c>
      <c r="B6050" s="0" t="n">
        <v>81</v>
      </c>
      <c r="C6050" s="0" t="n">
        <v>67</v>
      </c>
      <c r="D6050" s="0" t="n">
        <v>0</v>
      </c>
      <c r="E6050" s="0" t="n">
        <f aca="false">VLOOKUP(B6050,'MSA-Lookup'!$H$2:$I$86,2)</f>
        <v>6780</v>
      </c>
      <c r="F6050" s="0" t="n">
        <f aca="false">IF(C6050&gt;1,IF(C6050&lt;99,VLOOKUP(C6050,'MSA-Lookup'!$H$1:$I$86,2),C6050),C6050)</f>
        <v>6000</v>
      </c>
      <c r="G6050" s="0" t="n">
        <f aca="false">VLOOKUP(E6050,'MSA-Lookup'!$AA$1:$AB$25,2)</f>
        <v>4472</v>
      </c>
      <c r="H6050" s="0" t="n">
        <f aca="false">IF(C6050&gt;1,IF(C6050&lt;99,VLOOKUP(F6050,'MSA-Lookup'!$AA$1:$AB$25,2),C6050),C6050)</f>
        <v>4472</v>
      </c>
    </row>
    <row r="6051" customFormat="false" ht="12.75" hidden="false" customHeight="false" outlineLevel="0" collapsed="false">
      <c r="A6051" s="0" t="n">
        <f aca="false">B6051*1000+C6051</f>
        <v>81068</v>
      </c>
      <c r="B6051" s="0" t="n">
        <v>81</v>
      </c>
      <c r="C6051" s="0" t="n">
        <v>68</v>
      </c>
      <c r="D6051" s="0" t="n">
        <v>2444</v>
      </c>
      <c r="E6051" s="0" t="n">
        <f aca="false">VLOOKUP(B6051,'MSA-Lookup'!$H$2:$I$86,2)</f>
        <v>6780</v>
      </c>
      <c r="F6051" s="0" t="n">
        <f aca="false">IF(C6051&gt;1,IF(C6051&lt;99,VLOOKUP(C6051,'MSA-Lookup'!$H$1:$I$86,2),C6051),C6051)</f>
        <v>6780</v>
      </c>
      <c r="G6051" s="0" t="n">
        <f aca="false">VLOOKUP(E6051,'MSA-Lookup'!$AA$1:$AB$25,2)</f>
        <v>4472</v>
      </c>
      <c r="H6051" s="0" t="n">
        <f aca="false">IF(C6051&gt;1,IF(C6051&lt;99,VLOOKUP(F6051,'MSA-Lookup'!$AA$1:$AB$25,2),C6051),C6051)</f>
        <v>4472</v>
      </c>
    </row>
    <row r="6052" customFormat="false" ht="12.75" hidden="false" customHeight="false" outlineLevel="0" collapsed="false">
      <c r="A6052" s="0" t="n">
        <f aca="false">B6052*1000+C6052</f>
        <v>81069</v>
      </c>
      <c r="B6052" s="0" t="n">
        <v>81</v>
      </c>
      <c r="C6052" s="0" t="n">
        <v>69</v>
      </c>
      <c r="D6052" s="0" t="n">
        <v>16055</v>
      </c>
      <c r="E6052" s="0" t="n">
        <f aca="false">VLOOKUP(B6052,'MSA-Lookup'!$H$2:$I$86,2)</f>
        <v>6780</v>
      </c>
      <c r="F6052" s="0" t="n">
        <f aca="false">IF(C6052&gt;1,IF(C6052&lt;99,VLOOKUP(C6052,'MSA-Lookup'!$H$1:$I$86,2),C6052),C6052)</f>
        <v>6780</v>
      </c>
      <c r="G6052" s="0" t="n">
        <f aca="false">VLOOKUP(E6052,'MSA-Lookup'!$AA$1:$AB$25,2)</f>
        <v>4472</v>
      </c>
      <c r="H6052" s="0" t="n">
        <f aca="false">IF(C6052&gt;1,IF(C6052&lt;99,VLOOKUP(F6052,'MSA-Lookup'!$AA$1:$AB$25,2),C6052),C6052)</f>
        <v>4472</v>
      </c>
    </row>
    <row r="6053" customFormat="false" ht="12.75" hidden="false" customHeight="false" outlineLevel="0" collapsed="false">
      <c r="A6053" s="0" t="n">
        <f aca="false">B6053*1000+C6053</f>
        <v>81070</v>
      </c>
      <c r="B6053" s="0" t="n">
        <v>81</v>
      </c>
      <c r="C6053" s="0" t="n">
        <v>70</v>
      </c>
      <c r="D6053" s="0" t="n">
        <v>416</v>
      </c>
      <c r="E6053" s="0" t="n">
        <f aca="false">VLOOKUP(B6053,'MSA-Lookup'!$H$2:$I$86,2)</f>
        <v>6780</v>
      </c>
      <c r="F6053" s="0" t="n">
        <f aca="false">IF(C6053&gt;1,IF(C6053&lt;99,VLOOKUP(C6053,'MSA-Lookup'!$H$1:$I$86,2),C6053),C6053)</f>
        <v>6780</v>
      </c>
      <c r="G6053" s="0" t="n">
        <f aca="false">VLOOKUP(E6053,'MSA-Lookup'!$AA$1:$AB$25,2)</f>
        <v>4472</v>
      </c>
      <c r="H6053" s="0" t="n">
        <f aca="false">IF(C6053&gt;1,IF(C6053&lt;99,VLOOKUP(F6053,'MSA-Lookup'!$AA$1:$AB$25,2),C6053),C6053)</f>
        <v>4472</v>
      </c>
    </row>
    <row r="6054" customFormat="false" ht="12.75" hidden="false" customHeight="false" outlineLevel="0" collapsed="false">
      <c r="A6054" s="0" t="n">
        <f aca="false">B6054*1000+C6054</f>
        <v>81071</v>
      </c>
      <c r="B6054" s="0" t="n">
        <v>81</v>
      </c>
      <c r="C6054" s="0" t="n">
        <v>71</v>
      </c>
      <c r="D6054" s="0" t="n">
        <v>1586</v>
      </c>
      <c r="E6054" s="0" t="n">
        <f aca="false">VLOOKUP(B6054,'MSA-Lookup'!$H$2:$I$86,2)</f>
        <v>6780</v>
      </c>
      <c r="F6054" s="0" t="n">
        <f aca="false">IF(C6054&gt;1,IF(C6054&lt;99,VLOOKUP(C6054,'MSA-Lookup'!$H$1:$I$86,2),C6054),C6054)</f>
        <v>6780</v>
      </c>
      <c r="G6054" s="0" t="n">
        <f aca="false">VLOOKUP(E6054,'MSA-Lookup'!$AA$1:$AB$25,2)</f>
        <v>4472</v>
      </c>
      <c r="H6054" s="0" t="n">
        <f aca="false">IF(C6054&gt;1,IF(C6054&lt;99,VLOOKUP(F6054,'MSA-Lookup'!$AA$1:$AB$25,2),C6054),C6054)</f>
        <v>4472</v>
      </c>
    </row>
    <row r="6055" customFormat="false" ht="12.75" hidden="false" customHeight="false" outlineLevel="0" collapsed="false">
      <c r="A6055" s="0" t="n">
        <f aca="false">B6055*1000+C6055</f>
        <v>81072</v>
      </c>
      <c r="B6055" s="0" t="n">
        <v>81</v>
      </c>
      <c r="C6055" s="0" t="n">
        <v>72</v>
      </c>
      <c r="D6055" s="0" t="n">
        <v>5980</v>
      </c>
      <c r="E6055" s="0" t="n">
        <f aca="false">VLOOKUP(B6055,'MSA-Lookup'!$H$2:$I$86,2)</f>
        <v>6780</v>
      </c>
      <c r="F6055" s="0" t="n">
        <f aca="false">IF(C6055&gt;1,IF(C6055&lt;99,VLOOKUP(C6055,'MSA-Lookup'!$H$1:$I$86,2),C6055),C6055)</f>
        <v>6780</v>
      </c>
      <c r="G6055" s="0" t="n">
        <f aca="false">VLOOKUP(E6055,'MSA-Lookup'!$AA$1:$AB$25,2)</f>
        <v>4472</v>
      </c>
      <c r="H6055" s="0" t="n">
        <f aca="false">IF(C6055&gt;1,IF(C6055&lt;99,VLOOKUP(F6055,'MSA-Lookup'!$AA$1:$AB$25,2),C6055),C6055)</f>
        <v>4472</v>
      </c>
    </row>
    <row r="6056" customFormat="false" ht="12.75" hidden="false" customHeight="false" outlineLevel="0" collapsed="false">
      <c r="A6056" s="0" t="n">
        <f aca="false">B6056*1000+C6056</f>
        <v>81073</v>
      </c>
      <c r="B6056" s="0" t="n">
        <v>81</v>
      </c>
      <c r="C6056" s="0" t="n">
        <v>73</v>
      </c>
      <c r="D6056" s="0" t="n">
        <v>0</v>
      </c>
      <c r="E6056" s="0" t="n">
        <f aca="false">VLOOKUP(B6056,'MSA-Lookup'!$H$2:$I$86,2)</f>
        <v>6780</v>
      </c>
      <c r="F6056" s="0" t="n">
        <f aca="false">IF(C6056&gt;1,IF(C6056&lt;99,VLOOKUP(C6056,'MSA-Lookup'!$H$1:$I$86,2),C6056),C6056)</f>
        <v>8720</v>
      </c>
      <c r="G6056" s="0" t="n">
        <f aca="false">VLOOKUP(E6056,'MSA-Lookup'!$AA$1:$AB$25,2)</f>
        <v>4472</v>
      </c>
      <c r="H6056" s="0" t="n">
        <f aca="false">IF(C6056&gt;1,IF(C6056&lt;99,VLOOKUP(F6056,'MSA-Lookup'!$AA$1:$AB$25,2),C6056),C6056)</f>
        <v>7362</v>
      </c>
    </row>
    <row r="6057" customFormat="false" ht="12.75" hidden="false" customHeight="false" outlineLevel="0" collapsed="false">
      <c r="A6057" s="0" t="n">
        <f aca="false">B6057*1000+C6057</f>
        <v>81075</v>
      </c>
      <c r="B6057" s="0" t="n">
        <v>81</v>
      </c>
      <c r="C6057" s="0" t="n">
        <v>75</v>
      </c>
      <c r="D6057" s="0" t="n">
        <v>0</v>
      </c>
      <c r="E6057" s="0" t="n">
        <f aca="false">VLOOKUP(B6057,'MSA-Lookup'!$H$2:$I$86,2)</f>
        <v>6780</v>
      </c>
      <c r="F6057" s="0" t="n">
        <f aca="false">IF(C6057&gt;1,IF(C6057&lt;99,VLOOKUP(C6057,'MSA-Lookup'!$H$1:$I$86,2),C6057),C6057)</f>
        <v>8780</v>
      </c>
      <c r="G6057" s="0" t="n">
        <f aca="false">VLOOKUP(E6057,'MSA-Lookup'!$AA$1:$AB$25,2)</f>
        <v>4472</v>
      </c>
      <c r="H6057" s="0" t="n">
        <f aca="false">IF(C6057&gt;1,IF(C6057&lt;99,VLOOKUP(F6057,'MSA-Lookup'!$AA$1:$AB$25,2),C6057),C6057)</f>
        <v>8780</v>
      </c>
    </row>
    <row r="6058" customFormat="false" ht="12.75" hidden="false" customHeight="false" outlineLevel="0" collapsed="false">
      <c r="A6058" s="0" t="n">
        <f aca="false">B6058*1000+C6058</f>
        <v>81076</v>
      </c>
      <c r="B6058" s="0" t="n">
        <v>81</v>
      </c>
      <c r="C6058" s="0" t="n">
        <v>76</v>
      </c>
      <c r="D6058" s="0" t="n">
        <v>0</v>
      </c>
      <c r="E6058" s="0" t="n">
        <f aca="false">VLOOKUP(B6058,'MSA-Lookup'!$H$2:$I$86,2)</f>
        <v>6780</v>
      </c>
      <c r="F6058" s="0" t="n">
        <f aca="false">IF(C6058&gt;1,IF(C6058&lt;99,VLOOKUP(C6058,'MSA-Lookup'!$H$1:$I$86,2),C6058),C6058)</f>
        <v>7485</v>
      </c>
      <c r="G6058" s="0" t="n">
        <f aca="false">VLOOKUP(E6058,'MSA-Lookup'!$AA$1:$AB$25,2)</f>
        <v>4472</v>
      </c>
      <c r="H6058" s="0" t="n">
        <f aca="false">IF(C6058&gt;1,IF(C6058&lt;99,VLOOKUP(F6058,'MSA-Lookup'!$AA$1:$AB$25,2),C6058),C6058)</f>
        <v>7362</v>
      </c>
    </row>
    <row r="6059" customFormat="false" ht="12.75" hidden="false" customHeight="false" outlineLevel="0" collapsed="false">
      <c r="A6059" s="0" t="n">
        <f aca="false">B6059*1000+C6059</f>
        <v>81077</v>
      </c>
      <c r="B6059" s="0" t="n">
        <v>81</v>
      </c>
      <c r="C6059" s="0" t="n">
        <v>77</v>
      </c>
      <c r="D6059" s="0" t="n">
        <v>0</v>
      </c>
      <c r="E6059" s="0" t="n">
        <f aca="false">VLOOKUP(B6059,'MSA-Lookup'!$H$2:$I$86,2)</f>
        <v>6780</v>
      </c>
      <c r="F6059" s="0" t="n">
        <f aca="false">IF(C6059&gt;1,IF(C6059&lt;99,VLOOKUP(C6059,'MSA-Lookup'!$H$1:$I$86,2),C6059),C6059)</f>
        <v>9999</v>
      </c>
      <c r="G6059" s="0" t="n">
        <f aca="false">VLOOKUP(E6059,'MSA-Lookup'!$AA$1:$AB$25,2)</f>
        <v>4472</v>
      </c>
      <c r="H6059" s="0" t="n">
        <f aca="false">IF(C6059&gt;1,IF(C6059&lt;99,VLOOKUP(F6059,'MSA-Lookup'!$AA$1:$AB$25,2),C6059),C6059)</f>
        <v>9999</v>
      </c>
    </row>
    <row r="6060" customFormat="false" ht="12.75" hidden="false" customHeight="false" outlineLevel="0" collapsed="false">
      <c r="A6060" s="0" t="n">
        <f aca="false">B6060*1000+C6060</f>
        <v>81078</v>
      </c>
      <c r="B6060" s="0" t="n">
        <v>81</v>
      </c>
      <c r="C6060" s="0" t="n">
        <v>78</v>
      </c>
      <c r="D6060" s="0" t="n">
        <v>0</v>
      </c>
      <c r="E6060" s="0" t="n">
        <f aca="false">VLOOKUP(B6060,'MSA-Lookup'!$H$2:$I$86,2)</f>
        <v>6780</v>
      </c>
      <c r="F6060" s="0" t="n">
        <f aca="false">IF(C6060&gt;1,IF(C6060&lt;99,VLOOKUP(C6060,'MSA-Lookup'!$H$1:$I$86,2),C6060),C6060)</f>
        <v>680</v>
      </c>
      <c r="G6060" s="0" t="n">
        <f aca="false">VLOOKUP(E6060,'MSA-Lookup'!$AA$1:$AB$25,2)</f>
        <v>4472</v>
      </c>
      <c r="H6060" s="0" t="n">
        <f aca="false">IF(C6060&gt;1,IF(C6060&lt;99,VLOOKUP(F6060,'MSA-Lookup'!$AA$1:$AB$25,2),C6060),C6060)</f>
        <v>680</v>
      </c>
    </row>
    <row r="6061" customFormat="false" ht="12.75" hidden="false" customHeight="false" outlineLevel="0" collapsed="false">
      <c r="A6061" s="0" t="n">
        <f aca="false">B6061*1000+C6061</f>
        <v>81079</v>
      </c>
      <c r="B6061" s="0" t="n">
        <v>81</v>
      </c>
      <c r="C6061" s="0" t="n">
        <v>79</v>
      </c>
      <c r="D6061" s="0" t="n">
        <v>0</v>
      </c>
      <c r="E6061" s="0" t="n">
        <f aca="false">VLOOKUP(B6061,'MSA-Lookup'!$H$2:$I$86,2)</f>
        <v>6780</v>
      </c>
      <c r="F6061" s="0" t="n">
        <f aca="false">IF(C6061&gt;1,IF(C6061&lt;99,VLOOKUP(C6061,'MSA-Lookup'!$H$1:$I$86,2),C6061),C6061)</f>
        <v>680</v>
      </c>
      <c r="G6061" s="0" t="n">
        <f aca="false">VLOOKUP(E6061,'MSA-Lookup'!$AA$1:$AB$25,2)</f>
        <v>4472</v>
      </c>
      <c r="H6061" s="0" t="n">
        <f aca="false">IF(C6061&gt;1,IF(C6061&lt;99,VLOOKUP(F6061,'MSA-Lookup'!$AA$1:$AB$25,2),C6061),C6061)</f>
        <v>680</v>
      </c>
    </row>
    <row r="6062" customFormat="false" ht="12.75" hidden="false" customHeight="false" outlineLevel="0" collapsed="false">
      <c r="A6062" s="0" t="n">
        <f aca="false">B6062*1000+C6062</f>
        <v>81080</v>
      </c>
      <c r="B6062" s="0" t="n">
        <v>81</v>
      </c>
      <c r="C6062" s="0" t="n">
        <v>80</v>
      </c>
      <c r="D6062" s="0" t="n">
        <v>104</v>
      </c>
      <c r="E6062" s="0" t="n">
        <f aca="false">VLOOKUP(B6062,'MSA-Lookup'!$H$2:$I$86,2)</f>
        <v>6780</v>
      </c>
      <c r="F6062" s="0" t="n">
        <f aca="false">IF(C6062&gt;1,IF(C6062&lt;99,VLOOKUP(C6062,'MSA-Lookup'!$H$1:$I$86,2),C6062),C6062)</f>
        <v>9999</v>
      </c>
      <c r="G6062" s="0" t="n">
        <f aca="false">VLOOKUP(E6062,'MSA-Lookup'!$AA$1:$AB$25,2)</f>
        <v>4472</v>
      </c>
      <c r="H6062" s="0" t="n">
        <f aca="false">IF(C6062&gt;1,IF(C6062&lt;99,VLOOKUP(F6062,'MSA-Lookup'!$AA$1:$AB$25,2),C6062),C6062)</f>
        <v>9999</v>
      </c>
    </row>
    <row r="6063" customFormat="false" ht="12.75" hidden="false" customHeight="false" outlineLevel="0" collapsed="false">
      <c r="A6063" s="0" t="n">
        <f aca="false">B6063*1000+C6063</f>
        <v>81081</v>
      </c>
      <c r="B6063" s="0" t="n">
        <v>81</v>
      </c>
      <c r="C6063" s="0" t="n">
        <v>81</v>
      </c>
      <c r="D6063" s="0" t="n">
        <v>53495</v>
      </c>
      <c r="E6063" s="0" t="n">
        <f aca="false">VLOOKUP(B6063,'MSA-Lookup'!$H$2:$I$86,2)</f>
        <v>6780</v>
      </c>
      <c r="F6063" s="0" t="n">
        <f aca="false">IF(C6063&gt;1,IF(C6063&lt;99,VLOOKUP(C6063,'MSA-Lookup'!$H$1:$I$86,2),C6063),C6063)</f>
        <v>6780</v>
      </c>
      <c r="G6063" s="0" t="n">
        <f aca="false">VLOOKUP(E6063,'MSA-Lookup'!$AA$1:$AB$25,2)</f>
        <v>4472</v>
      </c>
      <c r="H6063" s="0" t="n">
        <f aca="false">IF(C6063&gt;1,IF(C6063&lt;99,VLOOKUP(F6063,'MSA-Lookup'!$AA$1:$AB$25,2),C6063),C6063)</f>
        <v>4472</v>
      </c>
    </row>
    <row r="6064" customFormat="false" ht="12.75" hidden="false" customHeight="false" outlineLevel="0" collapsed="false">
      <c r="A6064" s="0" t="n">
        <f aca="false">B6064*1000+C6064</f>
        <v>81082</v>
      </c>
      <c r="B6064" s="0" t="n">
        <v>81</v>
      </c>
      <c r="C6064" s="0" t="n">
        <v>82</v>
      </c>
      <c r="D6064" s="0" t="n">
        <v>3835</v>
      </c>
      <c r="E6064" s="0" t="n">
        <f aca="false">VLOOKUP(B6064,'MSA-Lookup'!$H$2:$I$86,2)</f>
        <v>6780</v>
      </c>
      <c r="F6064" s="0" t="n">
        <f aca="false">IF(C6064&gt;1,IF(C6064&lt;99,VLOOKUP(C6064,'MSA-Lookup'!$H$1:$I$86,2),C6064),C6064)</f>
        <v>6780</v>
      </c>
      <c r="G6064" s="0" t="n">
        <f aca="false">VLOOKUP(E6064,'MSA-Lookup'!$AA$1:$AB$25,2)</f>
        <v>4472</v>
      </c>
      <c r="H6064" s="0" t="n">
        <f aca="false">IF(C6064&gt;1,IF(C6064&lt;99,VLOOKUP(F6064,'MSA-Lookup'!$AA$1:$AB$25,2),C6064),C6064)</f>
        <v>4472</v>
      </c>
    </row>
    <row r="6065" customFormat="false" ht="12.75" hidden="false" customHeight="false" outlineLevel="0" collapsed="false">
      <c r="A6065" s="0" t="n">
        <f aca="false">B6065*1000+C6065</f>
        <v>81083</v>
      </c>
      <c r="B6065" s="0" t="n">
        <v>81</v>
      </c>
      <c r="C6065" s="0" t="n">
        <v>83</v>
      </c>
      <c r="D6065" s="0" t="n">
        <v>0</v>
      </c>
      <c r="E6065" s="0" t="n">
        <f aca="false">VLOOKUP(B6065,'MSA-Lookup'!$H$2:$I$86,2)</f>
        <v>6780</v>
      </c>
      <c r="F6065" s="0" t="n">
        <f aca="false">IF(C6065&gt;1,IF(C6065&lt;99,VLOOKUP(C6065,'MSA-Lookup'!$H$1:$I$86,2),C6065),C6065)</f>
        <v>6000</v>
      </c>
      <c r="G6065" s="0" t="n">
        <f aca="false">VLOOKUP(E6065,'MSA-Lookup'!$AA$1:$AB$25,2)</f>
        <v>4472</v>
      </c>
      <c r="H6065" s="0" t="n">
        <f aca="false">IF(C6065&gt;1,IF(C6065&lt;99,VLOOKUP(F6065,'MSA-Lookup'!$AA$1:$AB$25,2),C6065),C6065)</f>
        <v>4472</v>
      </c>
    </row>
    <row r="6066" customFormat="false" ht="12.75" hidden="false" customHeight="false" outlineLevel="0" collapsed="false">
      <c r="A6066" s="0" t="n">
        <f aca="false">B6066*1000+C6066</f>
        <v>81084</v>
      </c>
      <c r="B6066" s="0" t="n">
        <v>81</v>
      </c>
      <c r="C6066" s="0" t="n">
        <v>84</v>
      </c>
      <c r="D6066" s="0" t="n">
        <v>3289</v>
      </c>
      <c r="E6066" s="0" t="n">
        <f aca="false">VLOOKUP(B6066,'MSA-Lookup'!$H$2:$I$86,2)</f>
        <v>6780</v>
      </c>
      <c r="F6066" s="0" t="n">
        <f aca="false">IF(C6066&gt;1,IF(C6066&lt;99,VLOOKUP(C6066,'MSA-Lookup'!$H$1:$I$86,2),C6066),C6066)</f>
        <v>360</v>
      </c>
      <c r="G6066" s="0" t="n">
        <f aca="false">VLOOKUP(E6066,'MSA-Lookup'!$AA$1:$AB$25,2)</f>
        <v>4472</v>
      </c>
      <c r="H6066" s="0" t="n">
        <f aca="false">IF(C6066&gt;1,IF(C6066&lt;99,VLOOKUP(F6066,'MSA-Lookup'!$AA$1:$AB$25,2),C6066),C6066)</f>
        <v>4472</v>
      </c>
    </row>
    <row r="6067" customFormat="false" ht="12.75" hidden="false" customHeight="false" outlineLevel="0" collapsed="false">
      <c r="A6067" s="0" t="n">
        <f aca="false">B6067*1000+C6067</f>
        <v>81085</v>
      </c>
      <c r="B6067" s="0" t="n">
        <v>81</v>
      </c>
      <c r="C6067" s="0" t="n">
        <v>85</v>
      </c>
      <c r="D6067" s="0" t="n">
        <v>0</v>
      </c>
      <c r="E6067" s="0" t="n">
        <f aca="false">VLOOKUP(B6067,'MSA-Lookup'!$H$2:$I$86,2)</f>
        <v>6780</v>
      </c>
      <c r="F6067" s="0" t="n">
        <f aca="false">IF(C6067&gt;1,IF(C6067&lt;99,VLOOKUP(C6067,'MSA-Lookup'!$H$1:$I$86,2),C6067),C6067)</f>
        <v>8120</v>
      </c>
      <c r="G6067" s="0" t="n">
        <f aca="false">VLOOKUP(E6067,'MSA-Lookup'!$AA$1:$AB$25,2)</f>
        <v>4472</v>
      </c>
      <c r="H6067" s="0" t="n">
        <f aca="false">IF(C6067&gt;1,IF(C6067&lt;99,VLOOKUP(F6067,'MSA-Lookup'!$AA$1:$AB$25,2),C6067),C6067)</f>
        <v>8120</v>
      </c>
    </row>
    <row r="6068" customFormat="false" ht="12.75" hidden="false" customHeight="false" outlineLevel="0" collapsed="false">
      <c r="A6068" s="0" t="n">
        <f aca="false">B6068*1000+C6068</f>
        <v>81858</v>
      </c>
      <c r="B6068" s="0" t="n">
        <v>81</v>
      </c>
      <c r="C6068" s="0" t="n">
        <v>858</v>
      </c>
      <c r="D6068" s="0" t="n">
        <v>0</v>
      </c>
      <c r="E6068" s="0" t="n">
        <f aca="false">VLOOKUP(B6068,'MSA-Lookup'!$H$2:$I$86,2)</f>
        <v>6780</v>
      </c>
      <c r="F6068" s="0" t="n">
        <f aca="false">IF(C6068&gt;1,IF(C6068&lt;99,VLOOKUP(C6068,'MSA-Lookup'!$H$1:$I$86,2),C6068),C6068)</f>
        <v>858</v>
      </c>
      <c r="G6068" s="0" t="n">
        <f aca="false">VLOOKUP(E6068,'MSA-Lookup'!$AA$1:$AB$25,2)</f>
        <v>4472</v>
      </c>
      <c r="H6068" s="0" t="n">
        <f aca="false">IF(C6068&gt;1,IF(C6068&lt;99,VLOOKUP(F6068,'MSA-Lookup'!$AA$1:$AB$25,2),C6068),C6068)</f>
        <v>858</v>
      </c>
    </row>
    <row r="6069" customFormat="false" ht="12.75" hidden="false" customHeight="false" outlineLevel="0" collapsed="false">
      <c r="A6069" s="0" t="n">
        <f aca="false">B6069*1000+C6069</f>
        <v>81983</v>
      </c>
      <c r="B6069" s="0" t="n">
        <v>81</v>
      </c>
      <c r="C6069" s="0" t="n">
        <v>983</v>
      </c>
      <c r="D6069" s="0" t="n">
        <v>0</v>
      </c>
      <c r="E6069" s="0" t="n">
        <f aca="false">VLOOKUP(B6069,'MSA-Lookup'!$H$2:$I$86,2)</f>
        <v>6780</v>
      </c>
      <c r="F6069" s="0" t="n">
        <f aca="false">IF(C6069&gt;1,IF(C6069&lt;99,VLOOKUP(C6069,'MSA-Lookup'!$H$1:$I$86,2),C6069),C6069)</f>
        <v>983</v>
      </c>
      <c r="G6069" s="0" t="n">
        <f aca="false">VLOOKUP(E6069,'MSA-Lookup'!$AA$1:$AB$25,2)</f>
        <v>4472</v>
      </c>
      <c r="H6069" s="0" t="n">
        <f aca="false">IF(C6069&gt;1,IF(C6069&lt;99,VLOOKUP(F6069,'MSA-Lookup'!$AA$1:$AB$25,2),C6069),C6069)</f>
        <v>983</v>
      </c>
    </row>
    <row r="6070" customFormat="false" ht="12.75" hidden="false" customHeight="false" outlineLevel="0" collapsed="false">
      <c r="A6070" s="0" t="n">
        <f aca="false">B6070*1000+C6070</f>
        <v>81999</v>
      </c>
      <c r="B6070" s="0" t="n">
        <v>81</v>
      </c>
      <c r="C6070" s="0" t="n">
        <v>999</v>
      </c>
      <c r="D6070" s="0" t="n">
        <v>0</v>
      </c>
      <c r="E6070" s="0" t="n">
        <f aca="false">VLOOKUP(B6070,'MSA-Lookup'!$H$2:$I$86,2)</f>
        <v>6780</v>
      </c>
      <c r="F6070" s="0" t="n">
        <f aca="false">IF(C6070&gt;1,IF(C6070&lt;99,VLOOKUP(C6070,'MSA-Lookup'!$H$1:$I$86,2),C6070),C6070)</f>
        <v>999</v>
      </c>
      <c r="G6070" s="0" t="n">
        <f aca="false">VLOOKUP(E6070,'MSA-Lookup'!$AA$1:$AB$25,2)</f>
        <v>4472</v>
      </c>
      <c r="H6070" s="0" t="n">
        <f aca="false">IF(C6070&gt;1,IF(C6070&lt;99,VLOOKUP(F6070,'MSA-Lookup'!$AA$1:$AB$25,2),C6070),C6070)</f>
        <v>999</v>
      </c>
    </row>
    <row r="6071" customFormat="false" ht="12.75" hidden="false" customHeight="false" outlineLevel="0" collapsed="false">
      <c r="A6071" s="0" t="n">
        <f aca="false">B6071*1000+C6071</f>
        <v>82000</v>
      </c>
      <c r="B6071" s="0" t="n">
        <v>82</v>
      </c>
      <c r="C6071" s="0" t="n">
        <v>0</v>
      </c>
      <c r="D6071" s="0" t="n">
        <v>97097</v>
      </c>
      <c r="E6071" s="0" t="n">
        <f aca="false">VLOOKUP(B6071,'MSA-Lookup'!$H$2:$I$86,2)</f>
        <v>6780</v>
      </c>
      <c r="F6071" s="0" t="n">
        <f aca="false">IF(C6071&gt;1,IF(C6071&lt;99,VLOOKUP(C6071,'MSA-Lookup'!$H$1:$I$86,2),C6071),C6071)</f>
        <v>0</v>
      </c>
      <c r="G6071" s="0" t="n">
        <f aca="false">VLOOKUP(E6071,'MSA-Lookup'!$AA$1:$AB$25,2)</f>
        <v>4472</v>
      </c>
      <c r="H6071" s="0" t="n">
        <f aca="false">IF(C6071&gt;1,IF(C6071&lt;99,VLOOKUP(F6071,'MSA-Lookup'!$AA$1:$AB$25,2),C6071),C6071)</f>
        <v>0</v>
      </c>
    </row>
    <row r="6072" customFormat="false" ht="12.75" hidden="false" customHeight="false" outlineLevel="0" collapsed="false">
      <c r="A6072" s="0" t="n">
        <f aca="false">B6072*1000+C6072</f>
        <v>82001</v>
      </c>
      <c r="B6072" s="0" t="n">
        <v>82</v>
      </c>
      <c r="C6072" s="0" t="n">
        <v>1</v>
      </c>
      <c r="D6072" s="0" t="n">
        <v>195</v>
      </c>
      <c r="E6072" s="0" t="n">
        <f aca="false">VLOOKUP(B6072,'MSA-Lookup'!$H$2:$I$86,2)</f>
        <v>6780</v>
      </c>
      <c r="F6072" s="0" t="n">
        <f aca="false">IF(C6072&gt;1,IF(C6072&lt;99,VLOOKUP(C6072,'MSA-Lookup'!$H$1:$I$86,2),C6072),C6072)</f>
        <v>1</v>
      </c>
      <c r="G6072" s="0" t="n">
        <f aca="false">VLOOKUP(E6072,'MSA-Lookup'!$AA$1:$AB$25,2)</f>
        <v>4472</v>
      </c>
      <c r="H6072" s="0" t="n">
        <f aca="false">IF(C6072&gt;1,IF(C6072&lt;99,VLOOKUP(F6072,'MSA-Lookup'!$AA$1:$AB$25,2),C6072),C6072)</f>
        <v>1</v>
      </c>
    </row>
    <row r="6073" customFormat="false" ht="12.75" hidden="false" customHeight="false" outlineLevel="0" collapsed="false">
      <c r="A6073" s="0" t="n">
        <f aca="false">B6073*1000+C6073</f>
        <v>82002</v>
      </c>
      <c r="B6073" s="0" t="n">
        <v>82</v>
      </c>
      <c r="C6073" s="0" t="n">
        <v>2</v>
      </c>
      <c r="D6073" s="0" t="n">
        <v>130</v>
      </c>
      <c r="E6073" s="0" t="n">
        <f aca="false">VLOOKUP(B6073,'MSA-Lookup'!$H$2:$I$86,2)</f>
        <v>6780</v>
      </c>
      <c r="F6073" s="0" t="n">
        <f aca="false">IF(C6073&gt;1,IF(C6073&lt;99,VLOOKUP(C6073,'MSA-Lookup'!$H$1:$I$86,2),C6073),C6073)</f>
        <v>9999</v>
      </c>
      <c r="G6073" s="0" t="n">
        <f aca="false">VLOOKUP(E6073,'MSA-Lookup'!$AA$1:$AB$25,2)</f>
        <v>4472</v>
      </c>
      <c r="H6073" s="0" t="n">
        <f aca="false">IF(C6073&gt;1,IF(C6073&lt;99,VLOOKUP(F6073,'MSA-Lookup'!$AA$1:$AB$25,2),C6073),C6073)</f>
        <v>9999</v>
      </c>
    </row>
    <row r="6074" customFormat="false" ht="12.75" hidden="false" customHeight="false" outlineLevel="0" collapsed="false">
      <c r="A6074" s="0" t="n">
        <f aca="false">B6074*1000+C6074</f>
        <v>82003</v>
      </c>
      <c r="B6074" s="0" t="n">
        <v>82</v>
      </c>
      <c r="C6074" s="0" t="n">
        <v>3</v>
      </c>
      <c r="D6074" s="0" t="n">
        <v>91</v>
      </c>
      <c r="E6074" s="0" t="n">
        <f aca="false">VLOOKUP(B6074,'MSA-Lookup'!$H$2:$I$86,2)</f>
        <v>6780</v>
      </c>
      <c r="F6074" s="0" t="n">
        <f aca="false">IF(C6074&gt;1,IF(C6074&lt;99,VLOOKUP(C6074,'MSA-Lookup'!$H$1:$I$86,2),C6074),C6074)</f>
        <v>6690</v>
      </c>
      <c r="G6074" s="0" t="n">
        <f aca="false">VLOOKUP(E6074,'MSA-Lookup'!$AA$1:$AB$25,2)</f>
        <v>4472</v>
      </c>
      <c r="H6074" s="0" t="n">
        <f aca="false">IF(C6074&gt;1,IF(C6074&lt;99,VLOOKUP(F6074,'MSA-Lookup'!$AA$1:$AB$25,2),C6074),C6074)</f>
        <v>6690</v>
      </c>
    </row>
    <row r="6075" customFormat="false" ht="12.75" hidden="false" customHeight="false" outlineLevel="0" collapsed="false">
      <c r="A6075" s="0" t="n">
        <f aca="false">B6075*1000+C6075</f>
        <v>82004</v>
      </c>
      <c r="B6075" s="0" t="n">
        <v>82</v>
      </c>
      <c r="C6075" s="0" t="n">
        <v>4</v>
      </c>
      <c r="D6075" s="0" t="n">
        <v>0</v>
      </c>
      <c r="E6075" s="0" t="n">
        <f aca="false">VLOOKUP(B6075,'MSA-Lookup'!$H$2:$I$86,2)</f>
        <v>6780</v>
      </c>
      <c r="F6075" s="0" t="n">
        <f aca="false">IF(C6075&gt;1,IF(C6075&lt;99,VLOOKUP(C6075,'MSA-Lookup'!$H$1:$I$86,2),C6075),C6075)</f>
        <v>9999</v>
      </c>
      <c r="G6075" s="0" t="n">
        <f aca="false">VLOOKUP(E6075,'MSA-Lookup'!$AA$1:$AB$25,2)</f>
        <v>4472</v>
      </c>
      <c r="H6075" s="0" t="n">
        <f aca="false">IF(C6075&gt;1,IF(C6075&lt;99,VLOOKUP(F6075,'MSA-Lookup'!$AA$1:$AB$25,2),C6075),C6075)</f>
        <v>9999</v>
      </c>
    </row>
    <row r="6076" customFormat="false" ht="12.75" hidden="false" customHeight="false" outlineLevel="0" collapsed="false">
      <c r="A6076" s="0" t="n">
        <f aca="false">B6076*1000+C6076</f>
        <v>82005</v>
      </c>
      <c r="B6076" s="0" t="n">
        <v>82</v>
      </c>
      <c r="C6076" s="0" t="n">
        <v>5</v>
      </c>
      <c r="D6076" s="0" t="n">
        <v>0</v>
      </c>
      <c r="E6076" s="0" t="n">
        <f aca="false">VLOOKUP(B6076,'MSA-Lookup'!$H$2:$I$86,2)</f>
        <v>6780</v>
      </c>
      <c r="F6076" s="0" t="n">
        <f aca="false">IF(C6076&gt;1,IF(C6076&lt;99,VLOOKUP(C6076,'MSA-Lookup'!$H$1:$I$86,2),C6076),C6076)</f>
        <v>9999</v>
      </c>
      <c r="G6076" s="0" t="n">
        <f aca="false">VLOOKUP(E6076,'MSA-Lookup'!$AA$1:$AB$25,2)</f>
        <v>4472</v>
      </c>
      <c r="H6076" s="0" t="n">
        <f aca="false">IF(C6076&gt;1,IF(C6076&lt;99,VLOOKUP(F6076,'MSA-Lookup'!$AA$1:$AB$25,2),C6076),C6076)</f>
        <v>9999</v>
      </c>
    </row>
    <row r="6077" customFormat="false" ht="12.75" hidden="false" customHeight="false" outlineLevel="0" collapsed="false">
      <c r="A6077" s="0" t="n">
        <f aca="false">B6077*1000+C6077</f>
        <v>82006</v>
      </c>
      <c r="B6077" s="0" t="n">
        <v>82</v>
      </c>
      <c r="C6077" s="0" t="n">
        <v>6</v>
      </c>
      <c r="D6077" s="0" t="n">
        <v>0</v>
      </c>
      <c r="E6077" s="0" t="n">
        <f aca="false">VLOOKUP(B6077,'MSA-Lookup'!$H$2:$I$86,2)</f>
        <v>6780</v>
      </c>
      <c r="F6077" s="0" t="n">
        <f aca="false">IF(C6077&gt;1,IF(C6077&lt;99,VLOOKUP(C6077,'MSA-Lookup'!$H$1:$I$86,2),C6077),C6077)</f>
        <v>1620</v>
      </c>
      <c r="G6077" s="0" t="n">
        <f aca="false">VLOOKUP(E6077,'MSA-Lookup'!$AA$1:$AB$25,2)</f>
        <v>4472</v>
      </c>
      <c r="H6077" s="0" t="n">
        <f aca="false">IF(C6077&gt;1,IF(C6077&lt;99,VLOOKUP(F6077,'MSA-Lookup'!$AA$1:$AB$25,2),C6077),C6077)</f>
        <v>1620</v>
      </c>
    </row>
    <row r="6078" customFormat="false" ht="12.75" hidden="false" customHeight="false" outlineLevel="0" collapsed="false">
      <c r="A6078" s="0" t="n">
        <f aca="false">B6078*1000+C6078</f>
        <v>82007</v>
      </c>
      <c r="B6078" s="0" t="n">
        <v>82</v>
      </c>
      <c r="C6078" s="0" t="n">
        <v>7</v>
      </c>
      <c r="D6078" s="0" t="n">
        <v>0</v>
      </c>
      <c r="E6078" s="0" t="n">
        <f aca="false">VLOOKUP(B6078,'MSA-Lookup'!$H$2:$I$86,2)</f>
        <v>6780</v>
      </c>
      <c r="F6078" s="0" t="n">
        <f aca="false">IF(C6078&gt;1,IF(C6078&lt;99,VLOOKUP(C6078,'MSA-Lookup'!$H$1:$I$86,2),C6078),C6078)</f>
        <v>9999</v>
      </c>
      <c r="G6078" s="0" t="n">
        <f aca="false">VLOOKUP(E6078,'MSA-Lookup'!$AA$1:$AB$25,2)</f>
        <v>4472</v>
      </c>
      <c r="H6078" s="0" t="n">
        <f aca="false">IF(C6078&gt;1,IF(C6078&lt;99,VLOOKUP(F6078,'MSA-Lookup'!$AA$1:$AB$25,2),C6078),C6078)</f>
        <v>9999</v>
      </c>
    </row>
    <row r="6079" customFormat="false" ht="12.75" hidden="false" customHeight="false" outlineLevel="0" collapsed="false">
      <c r="A6079" s="0" t="n">
        <f aca="false">B6079*1000+C6079</f>
        <v>82008</v>
      </c>
      <c r="B6079" s="0" t="n">
        <v>82</v>
      </c>
      <c r="C6079" s="0" t="n">
        <v>8</v>
      </c>
      <c r="D6079" s="0" t="n">
        <v>0</v>
      </c>
      <c r="E6079" s="0" t="n">
        <f aca="false">VLOOKUP(B6079,'MSA-Lookup'!$H$2:$I$86,2)</f>
        <v>6780</v>
      </c>
      <c r="F6079" s="0" t="n">
        <f aca="false">IF(C6079&gt;1,IF(C6079&lt;99,VLOOKUP(C6079,'MSA-Lookup'!$H$1:$I$86,2),C6079),C6079)</f>
        <v>9340</v>
      </c>
      <c r="G6079" s="0" t="n">
        <f aca="false">VLOOKUP(E6079,'MSA-Lookup'!$AA$1:$AB$25,2)</f>
        <v>4472</v>
      </c>
      <c r="H6079" s="0" t="n">
        <f aca="false">IF(C6079&gt;1,IF(C6079&lt;99,VLOOKUP(F6079,'MSA-Lookup'!$AA$1:$AB$25,2),C6079),C6079)</f>
        <v>9340</v>
      </c>
    </row>
    <row r="6080" customFormat="false" ht="12.75" hidden="false" customHeight="false" outlineLevel="0" collapsed="false">
      <c r="A6080" s="0" t="n">
        <f aca="false">B6080*1000+C6080</f>
        <v>82009</v>
      </c>
      <c r="B6080" s="0" t="n">
        <v>82</v>
      </c>
      <c r="C6080" s="0" t="n">
        <v>9</v>
      </c>
      <c r="D6080" s="0" t="n">
        <v>0</v>
      </c>
      <c r="E6080" s="0" t="n">
        <f aca="false">VLOOKUP(B6080,'MSA-Lookup'!$H$2:$I$86,2)</f>
        <v>6780</v>
      </c>
      <c r="F6080" s="0" t="n">
        <f aca="false">IF(C6080&gt;1,IF(C6080&lt;99,VLOOKUP(C6080,'MSA-Lookup'!$H$1:$I$86,2),C6080),C6080)</f>
        <v>8720</v>
      </c>
      <c r="G6080" s="0" t="n">
        <f aca="false">VLOOKUP(E6080,'MSA-Lookup'!$AA$1:$AB$25,2)</f>
        <v>4472</v>
      </c>
      <c r="H6080" s="0" t="n">
        <f aca="false">IF(C6080&gt;1,IF(C6080&lt;99,VLOOKUP(F6080,'MSA-Lookup'!$AA$1:$AB$25,2),C6080),C6080)</f>
        <v>7362</v>
      </c>
    </row>
    <row r="6081" customFormat="false" ht="12.75" hidden="false" customHeight="false" outlineLevel="0" collapsed="false">
      <c r="A6081" s="0" t="n">
        <f aca="false">B6081*1000+C6081</f>
        <v>82010</v>
      </c>
      <c r="B6081" s="0" t="n">
        <v>82</v>
      </c>
      <c r="C6081" s="0" t="n">
        <v>10</v>
      </c>
      <c r="D6081" s="0" t="n">
        <v>0</v>
      </c>
      <c r="E6081" s="0" t="n">
        <f aca="false">VLOOKUP(B6081,'MSA-Lookup'!$H$2:$I$86,2)</f>
        <v>6780</v>
      </c>
      <c r="F6081" s="0" t="n">
        <f aca="false">IF(C6081&gt;1,IF(C6081&lt;99,VLOOKUP(C6081,'MSA-Lookup'!$H$1:$I$86,2),C6081),C6081)</f>
        <v>6920</v>
      </c>
      <c r="G6081" s="0" t="n">
        <f aca="false">VLOOKUP(E6081,'MSA-Lookup'!$AA$1:$AB$25,2)</f>
        <v>4472</v>
      </c>
      <c r="H6081" s="0" t="n">
        <f aca="false">IF(C6081&gt;1,IF(C6081&lt;99,VLOOKUP(F6081,'MSA-Lookup'!$AA$1:$AB$25,2),C6081),C6081)</f>
        <v>6920</v>
      </c>
    </row>
    <row r="6082" customFormat="false" ht="12.75" hidden="false" customHeight="false" outlineLevel="0" collapsed="false">
      <c r="A6082" s="0" t="n">
        <f aca="false">B6082*1000+C6082</f>
        <v>82011</v>
      </c>
      <c r="B6082" s="0" t="n">
        <v>82</v>
      </c>
      <c r="C6082" s="0" t="n">
        <v>11</v>
      </c>
      <c r="D6082" s="0" t="n">
        <v>0</v>
      </c>
      <c r="E6082" s="0" t="n">
        <f aca="false">VLOOKUP(B6082,'MSA-Lookup'!$H$2:$I$86,2)</f>
        <v>6780</v>
      </c>
      <c r="F6082" s="0" t="n">
        <f aca="false">IF(C6082&gt;1,IF(C6082&lt;99,VLOOKUP(C6082,'MSA-Lookup'!$H$1:$I$86,2),C6082),C6082)</f>
        <v>6920</v>
      </c>
      <c r="G6082" s="0" t="n">
        <f aca="false">VLOOKUP(E6082,'MSA-Lookup'!$AA$1:$AB$25,2)</f>
        <v>4472</v>
      </c>
      <c r="H6082" s="0" t="n">
        <f aca="false">IF(C6082&gt;1,IF(C6082&lt;99,VLOOKUP(F6082,'MSA-Lookup'!$AA$1:$AB$25,2),C6082),C6082)</f>
        <v>6920</v>
      </c>
    </row>
    <row r="6083" customFormat="false" ht="12.75" hidden="false" customHeight="false" outlineLevel="0" collapsed="false">
      <c r="A6083" s="0" t="n">
        <f aca="false">B6083*1000+C6083</f>
        <v>82012</v>
      </c>
      <c r="B6083" s="0" t="n">
        <v>82</v>
      </c>
      <c r="C6083" s="0" t="n">
        <v>12</v>
      </c>
      <c r="D6083" s="0" t="n">
        <v>0</v>
      </c>
      <c r="E6083" s="0" t="n">
        <f aca="false">VLOOKUP(B6083,'MSA-Lookup'!$H$2:$I$86,2)</f>
        <v>6780</v>
      </c>
      <c r="F6083" s="0" t="n">
        <f aca="false">IF(C6083&gt;1,IF(C6083&lt;99,VLOOKUP(C6083,'MSA-Lookup'!$H$1:$I$86,2),C6083),C6083)</f>
        <v>6920</v>
      </c>
      <c r="G6083" s="0" t="n">
        <f aca="false">VLOOKUP(E6083,'MSA-Lookup'!$AA$1:$AB$25,2)</f>
        <v>4472</v>
      </c>
      <c r="H6083" s="0" t="n">
        <f aca="false">IF(C6083&gt;1,IF(C6083&lt;99,VLOOKUP(F6083,'MSA-Lookup'!$AA$1:$AB$25,2),C6083),C6083)</f>
        <v>6920</v>
      </c>
    </row>
    <row r="6084" customFormat="false" ht="12.75" hidden="false" customHeight="false" outlineLevel="0" collapsed="false">
      <c r="A6084" s="0" t="n">
        <f aca="false">B6084*1000+C6084</f>
        <v>82013</v>
      </c>
      <c r="B6084" s="0" t="n">
        <v>82</v>
      </c>
      <c r="C6084" s="0" t="n">
        <v>13</v>
      </c>
      <c r="D6084" s="0" t="n">
        <v>0</v>
      </c>
      <c r="E6084" s="0" t="n">
        <f aca="false">VLOOKUP(B6084,'MSA-Lookup'!$H$2:$I$86,2)</f>
        <v>6780</v>
      </c>
      <c r="F6084" s="0" t="n">
        <f aca="false">IF(C6084&gt;1,IF(C6084&lt;99,VLOOKUP(C6084,'MSA-Lookup'!$H$1:$I$86,2),C6084),C6084)</f>
        <v>7500</v>
      </c>
      <c r="G6084" s="0" t="n">
        <f aca="false">VLOOKUP(E6084,'MSA-Lookup'!$AA$1:$AB$25,2)</f>
        <v>4472</v>
      </c>
      <c r="H6084" s="0" t="n">
        <f aca="false">IF(C6084&gt;1,IF(C6084&lt;99,VLOOKUP(F6084,'MSA-Lookup'!$AA$1:$AB$25,2),C6084),C6084)</f>
        <v>7362</v>
      </c>
    </row>
    <row r="6085" customFormat="false" ht="12.75" hidden="false" customHeight="false" outlineLevel="0" collapsed="false">
      <c r="A6085" s="0" t="n">
        <f aca="false">B6085*1000+C6085</f>
        <v>82014</v>
      </c>
      <c r="B6085" s="0" t="n">
        <v>82</v>
      </c>
      <c r="C6085" s="0" t="n">
        <v>14</v>
      </c>
      <c r="D6085" s="0" t="n">
        <v>0</v>
      </c>
      <c r="E6085" s="0" t="n">
        <f aca="false">VLOOKUP(B6085,'MSA-Lookup'!$H$2:$I$86,2)</f>
        <v>6780</v>
      </c>
      <c r="F6085" s="0" t="n">
        <f aca="false">IF(C6085&gt;1,IF(C6085&lt;99,VLOOKUP(C6085,'MSA-Lookup'!$H$1:$I$86,2),C6085),C6085)</f>
        <v>7500</v>
      </c>
      <c r="G6085" s="0" t="n">
        <f aca="false">VLOOKUP(E6085,'MSA-Lookup'!$AA$1:$AB$25,2)</f>
        <v>4472</v>
      </c>
      <c r="H6085" s="0" t="n">
        <f aca="false">IF(C6085&gt;1,IF(C6085&lt;99,VLOOKUP(F6085,'MSA-Lookup'!$AA$1:$AB$25,2),C6085),C6085)</f>
        <v>7362</v>
      </c>
    </row>
    <row r="6086" customFormat="false" ht="12.75" hidden="false" customHeight="false" outlineLevel="0" collapsed="false">
      <c r="A6086" s="0" t="n">
        <f aca="false">B6086*1000+C6086</f>
        <v>82015</v>
      </c>
      <c r="B6086" s="0" t="n">
        <v>82</v>
      </c>
      <c r="C6086" s="0" t="n">
        <v>15</v>
      </c>
      <c r="D6086" s="0" t="n">
        <v>0</v>
      </c>
      <c r="E6086" s="0" t="n">
        <f aca="false">VLOOKUP(B6086,'MSA-Lookup'!$H$2:$I$86,2)</f>
        <v>6780</v>
      </c>
      <c r="F6086" s="0" t="n">
        <f aca="false">IF(C6086&gt;1,IF(C6086&lt;99,VLOOKUP(C6086,'MSA-Lookup'!$H$1:$I$86,2),C6086),C6086)</f>
        <v>7360</v>
      </c>
      <c r="G6086" s="0" t="n">
        <f aca="false">VLOOKUP(E6086,'MSA-Lookup'!$AA$1:$AB$25,2)</f>
        <v>4472</v>
      </c>
      <c r="H6086" s="0" t="n">
        <f aca="false">IF(C6086&gt;1,IF(C6086&lt;99,VLOOKUP(F6086,'MSA-Lookup'!$AA$1:$AB$25,2),C6086),C6086)</f>
        <v>7362</v>
      </c>
    </row>
    <row r="6087" customFormat="false" ht="12.75" hidden="false" customHeight="false" outlineLevel="0" collapsed="false">
      <c r="A6087" s="0" t="n">
        <f aca="false">B6087*1000+C6087</f>
        <v>82016</v>
      </c>
      <c r="B6087" s="0" t="n">
        <v>82</v>
      </c>
      <c r="C6087" s="0" t="n">
        <v>16</v>
      </c>
      <c r="D6087" s="0" t="n">
        <v>0</v>
      </c>
      <c r="E6087" s="0" t="n">
        <f aca="false">VLOOKUP(B6087,'MSA-Lookup'!$H$2:$I$86,2)</f>
        <v>6780</v>
      </c>
      <c r="F6087" s="0" t="n">
        <f aca="false">IF(C6087&gt;1,IF(C6087&lt;99,VLOOKUP(C6087,'MSA-Lookup'!$H$1:$I$86,2),C6087),C6087)</f>
        <v>8720</v>
      </c>
      <c r="G6087" s="0" t="n">
        <f aca="false">VLOOKUP(E6087,'MSA-Lookup'!$AA$1:$AB$25,2)</f>
        <v>4472</v>
      </c>
      <c r="H6087" s="0" t="n">
        <f aca="false">IF(C6087&gt;1,IF(C6087&lt;99,VLOOKUP(F6087,'MSA-Lookup'!$AA$1:$AB$25,2),C6087),C6087)</f>
        <v>7362</v>
      </c>
    </row>
    <row r="6088" customFormat="false" ht="12.75" hidden="false" customHeight="false" outlineLevel="0" collapsed="false">
      <c r="A6088" s="0" t="n">
        <f aca="false">B6088*1000+C6088</f>
        <v>82017</v>
      </c>
      <c r="B6088" s="0" t="n">
        <v>82</v>
      </c>
      <c r="C6088" s="0" t="n">
        <v>17</v>
      </c>
      <c r="D6088" s="0" t="n">
        <v>0</v>
      </c>
      <c r="E6088" s="0" t="n">
        <f aca="false">VLOOKUP(B6088,'MSA-Lookup'!$H$2:$I$86,2)</f>
        <v>6780</v>
      </c>
      <c r="F6088" s="0" t="n">
        <f aca="false">IF(C6088&gt;1,IF(C6088&lt;99,VLOOKUP(C6088,'MSA-Lookup'!$H$1:$I$86,2),C6088),C6088)</f>
        <v>5775</v>
      </c>
      <c r="G6088" s="0" t="n">
        <f aca="false">VLOOKUP(E6088,'MSA-Lookup'!$AA$1:$AB$25,2)</f>
        <v>4472</v>
      </c>
      <c r="H6088" s="0" t="n">
        <f aca="false">IF(C6088&gt;1,IF(C6088&lt;99,VLOOKUP(F6088,'MSA-Lookup'!$AA$1:$AB$25,2),C6088),C6088)</f>
        <v>7362</v>
      </c>
    </row>
    <row r="6089" customFormat="false" ht="12.75" hidden="false" customHeight="false" outlineLevel="0" collapsed="false">
      <c r="A6089" s="0" t="n">
        <f aca="false">B6089*1000+C6089</f>
        <v>82018</v>
      </c>
      <c r="B6089" s="0" t="n">
        <v>82</v>
      </c>
      <c r="C6089" s="0" t="n">
        <v>18</v>
      </c>
      <c r="D6089" s="0" t="n">
        <v>0</v>
      </c>
      <c r="E6089" s="0" t="n">
        <f aca="false">VLOOKUP(B6089,'MSA-Lookup'!$H$2:$I$86,2)</f>
        <v>6780</v>
      </c>
      <c r="F6089" s="0" t="n">
        <f aca="false">IF(C6089&gt;1,IF(C6089&lt;99,VLOOKUP(C6089,'MSA-Lookup'!$H$1:$I$86,2),C6089),C6089)</f>
        <v>5775</v>
      </c>
      <c r="G6089" s="0" t="n">
        <f aca="false">VLOOKUP(E6089,'MSA-Lookup'!$AA$1:$AB$25,2)</f>
        <v>4472</v>
      </c>
      <c r="H6089" s="0" t="n">
        <f aca="false">IF(C6089&gt;1,IF(C6089&lt;99,VLOOKUP(F6089,'MSA-Lookup'!$AA$1:$AB$25,2),C6089),C6089)</f>
        <v>7362</v>
      </c>
    </row>
    <row r="6090" customFormat="false" ht="12.75" hidden="false" customHeight="false" outlineLevel="0" collapsed="false">
      <c r="A6090" s="0" t="n">
        <f aca="false">B6090*1000+C6090</f>
        <v>82019</v>
      </c>
      <c r="B6090" s="0" t="n">
        <v>82</v>
      </c>
      <c r="C6090" s="0" t="n">
        <v>19</v>
      </c>
      <c r="D6090" s="0" t="n">
        <v>0</v>
      </c>
      <c r="E6090" s="0" t="n">
        <f aca="false">VLOOKUP(B6090,'MSA-Lookup'!$H$2:$I$86,2)</f>
        <v>6780</v>
      </c>
      <c r="F6090" s="0" t="n">
        <f aca="false">IF(C6090&gt;1,IF(C6090&lt;99,VLOOKUP(C6090,'MSA-Lookup'!$H$1:$I$86,2),C6090),C6090)</f>
        <v>7360</v>
      </c>
      <c r="G6090" s="0" t="n">
        <f aca="false">VLOOKUP(E6090,'MSA-Lookup'!$AA$1:$AB$25,2)</f>
        <v>4472</v>
      </c>
      <c r="H6090" s="0" t="n">
        <f aca="false">IF(C6090&gt;1,IF(C6090&lt;99,VLOOKUP(F6090,'MSA-Lookup'!$AA$1:$AB$25,2),C6090),C6090)</f>
        <v>7362</v>
      </c>
    </row>
    <row r="6091" customFormat="false" ht="12.75" hidden="false" customHeight="false" outlineLevel="0" collapsed="false">
      <c r="A6091" s="0" t="n">
        <f aca="false">B6091*1000+C6091</f>
        <v>82020</v>
      </c>
      <c r="B6091" s="0" t="n">
        <v>82</v>
      </c>
      <c r="C6091" s="0" t="n">
        <v>20</v>
      </c>
      <c r="D6091" s="0" t="n">
        <v>0</v>
      </c>
      <c r="E6091" s="0" t="n">
        <f aca="false">VLOOKUP(B6091,'MSA-Lookup'!$H$2:$I$86,2)</f>
        <v>6780</v>
      </c>
      <c r="F6091" s="0" t="n">
        <f aca="false">IF(C6091&gt;1,IF(C6091&lt;99,VLOOKUP(C6091,'MSA-Lookup'!$H$1:$I$86,2),C6091),C6091)</f>
        <v>5775</v>
      </c>
      <c r="G6091" s="0" t="n">
        <f aca="false">VLOOKUP(E6091,'MSA-Lookup'!$AA$1:$AB$25,2)</f>
        <v>4472</v>
      </c>
      <c r="H6091" s="0" t="n">
        <f aca="false">IF(C6091&gt;1,IF(C6091&lt;99,VLOOKUP(F6091,'MSA-Lookup'!$AA$1:$AB$25,2),C6091),C6091)</f>
        <v>7362</v>
      </c>
    </row>
    <row r="6092" customFormat="false" ht="12.75" hidden="false" customHeight="false" outlineLevel="0" collapsed="false">
      <c r="A6092" s="0" t="n">
        <f aca="false">B6092*1000+C6092</f>
        <v>82021</v>
      </c>
      <c r="B6092" s="0" t="n">
        <v>82</v>
      </c>
      <c r="C6092" s="0" t="n">
        <v>21</v>
      </c>
      <c r="D6092" s="0" t="n">
        <v>0</v>
      </c>
      <c r="E6092" s="0" t="n">
        <f aca="false">VLOOKUP(B6092,'MSA-Lookup'!$H$2:$I$86,2)</f>
        <v>6780</v>
      </c>
      <c r="F6092" s="0" t="n">
        <f aca="false">IF(C6092&gt;1,IF(C6092&lt;99,VLOOKUP(C6092,'MSA-Lookup'!$H$1:$I$86,2),C6092),C6092)</f>
        <v>5775</v>
      </c>
      <c r="G6092" s="0" t="n">
        <f aca="false">VLOOKUP(E6092,'MSA-Lookup'!$AA$1:$AB$25,2)</f>
        <v>4472</v>
      </c>
      <c r="H6092" s="0" t="n">
        <f aca="false">IF(C6092&gt;1,IF(C6092&lt;99,VLOOKUP(F6092,'MSA-Lookup'!$AA$1:$AB$25,2),C6092),C6092)</f>
        <v>7362</v>
      </c>
    </row>
    <row r="6093" customFormat="false" ht="12.75" hidden="false" customHeight="false" outlineLevel="0" collapsed="false">
      <c r="A6093" s="0" t="n">
        <f aca="false">B6093*1000+C6093</f>
        <v>82022</v>
      </c>
      <c r="B6093" s="0" t="n">
        <v>82</v>
      </c>
      <c r="C6093" s="0" t="n">
        <v>22</v>
      </c>
      <c r="D6093" s="0" t="n">
        <v>0</v>
      </c>
      <c r="E6093" s="0" t="n">
        <f aca="false">VLOOKUP(B6093,'MSA-Lookup'!$H$2:$I$86,2)</f>
        <v>6780</v>
      </c>
      <c r="F6093" s="0" t="n">
        <f aca="false">IF(C6093&gt;1,IF(C6093&lt;99,VLOOKUP(C6093,'MSA-Lookup'!$H$1:$I$86,2),C6093),C6093)</f>
        <v>7360</v>
      </c>
      <c r="G6093" s="0" t="n">
        <f aca="false">VLOOKUP(E6093,'MSA-Lookup'!$AA$1:$AB$25,2)</f>
        <v>4472</v>
      </c>
      <c r="H6093" s="0" t="n">
        <f aca="false">IF(C6093&gt;1,IF(C6093&lt;99,VLOOKUP(F6093,'MSA-Lookup'!$AA$1:$AB$25,2),C6093),C6093)</f>
        <v>7362</v>
      </c>
    </row>
    <row r="6094" customFormat="false" ht="12.75" hidden="false" customHeight="false" outlineLevel="0" collapsed="false">
      <c r="A6094" s="0" t="n">
        <f aca="false">B6094*1000+C6094</f>
        <v>82023</v>
      </c>
      <c r="B6094" s="0" t="n">
        <v>82</v>
      </c>
      <c r="C6094" s="0" t="n">
        <v>23</v>
      </c>
      <c r="D6094" s="0" t="n">
        <v>0</v>
      </c>
      <c r="E6094" s="0" t="n">
        <f aca="false">VLOOKUP(B6094,'MSA-Lookup'!$H$2:$I$86,2)</f>
        <v>6780</v>
      </c>
      <c r="F6094" s="0" t="n">
        <f aca="false">IF(C6094&gt;1,IF(C6094&lt;99,VLOOKUP(C6094,'MSA-Lookup'!$H$1:$I$86,2),C6094),C6094)</f>
        <v>8120</v>
      </c>
      <c r="G6094" s="0" t="n">
        <f aca="false">VLOOKUP(E6094,'MSA-Lookup'!$AA$1:$AB$25,2)</f>
        <v>4472</v>
      </c>
      <c r="H6094" s="0" t="n">
        <f aca="false">IF(C6094&gt;1,IF(C6094&lt;99,VLOOKUP(F6094,'MSA-Lookup'!$AA$1:$AB$25,2),C6094),C6094)</f>
        <v>8120</v>
      </c>
    </row>
    <row r="6095" customFormat="false" ht="12.75" hidden="false" customHeight="false" outlineLevel="0" collapsed="false">
      <c r="A6095" s="0" t="n">
        <f aca="false">B6095*1000+C6095</f>
        <v>82024</v>
      </c>
      <c r="B6095" s="0" t="n">
        <v>82</v>
      </c>
      <c r="C6095" s="0" t="n">
        <v>24</v>
      </c>
      <c r="D6095" s="0" t="n">
        <v>0</v>
      </c>
      <c r="E6095" s="0" t="n">
        <f aca="false">VLOOKUP(B6095,'MSA-Lookup'!$H$2:$I$86,2)</f>
        <v>6780</v>
      </c>
      <c r="F6095" s="0" t="n">
        <f aca="false">IF(C6095&gt;1,IF(C6095&lt;99,VLOOKUP(C6095,'MSA-Lookup'!$H$1:$I$86,2),C6095),C6095)</f>
        <v>5170</v>
      </c>
      <c r="G6095" s="0" t="n">
        <f aca="false">VLOOKUP(E6095,'MSA-Lookup'!$AA$1:$AB$25,2)</f>
        <v>4472</v>
      </c>
      <c r="H6095" s="0" t="n">
        <f aca="false">IF(C6095&gt;1,IF(C6095&lt;99,VLOOKUP(F6095,'MSA-Lookup'!$AA$1:$AB$25,2),C6095),C6095)</f>
        <v>5170</v>
      </c>
    </row>
    <row r="6096" customFormat="false" ht="12.75" hidden="false" customHeight="false" outlineLevel="0" collapsed="false">
      <c r="A6096" s="0" t="n">
        <f aca="false">B6096*1000+C6096</f>
        <v>82025</v>
      </c>
      <c r="B6096" s="0" t="n">
        <v>82</v>
      </c>
      <c r="C6096" s="0" t="n">
        <v>25</v>
      </c>
      <c r="D6096" s="0" t="n">
        <v>0</v>
      </c>
      <c r="E6096" s="0" t="n">
        <f aca="false">VLOOKUP(B6096,'MSA-Lookup'!$H$2:$I$86,2)</f>
        <v>6780</v>
      </c>
      <c r="F6096" s="0" t="n">
        <f aca="false">IF(C6096&gt;1,IF(C6096&lt;99,VLOOKUP(C6096,'MSA-Lookup'!$H$1:$I$86,2),C6096),C6096)</f>
        <v>5170</v>
      </c>
      <c r="G6096" s="0" t="n">
        <f aca="false">VLOOKUP(E6096,'MSA-Lookup'!$AA$1:$AB$25,2)</f>
        <v>4472</v>
      </c>
      <c r="H6096" s="0" t="n">
        <f aca="false">IF(C6096&gt;1,IF(C6096&lt;99,VLOOKUP(F6096,'MSA-Lookup'!$AA$1:$AB$25,2),C6096),C6096)</f>
        <v>5170</v>
      </c>
    </row>
    <row r="6097" customFormat="false" ht="12.75" hidden="false" customHeight="false" outlineLevel="0" collapsed="false">
      <c r="A6097" s="0" t="n">
        <f aca="false">B6097*1000+C6097</f>
        <v>82026</v>
      </c>
      <c r="B6097" s="0" t="n">
        <v>82</v>
      </c>
      <c r="C6097" s="0" t="n">
        <v>26</v>
      </c>
      <c r="D6097" s="0" t="n">
        <v>0</v>
      </c>
      <c r="E6097" s="0" t="n">
        <f aca="false">VLOOKUP(B6097,'MSA-Lookup'!$H$2:$I$86,2)</f>
        <v>6780</v>
      </c>
      <c r="F6097" s="0" t="n">
        <f aca="false">IF(C6097&gt;1,IF(C6097&lt;99,VLOOKUP(C6097,'MSA-Lookup'!$H$1:$I$86,2),C6097),C6097)</f>
        <v>9999</v>
      </c>
      <c r="G6097" s="0" t="n">
        <f aca="false">VLOOKUP(E6097,'MSA-Lookup'!$AA$1:$AB$25,2)</f>
        <v>4472</v>
      </c>
      <c r="H6097" s="0" t="n">
        <f aca="false">IF(C6097&gt;1,IF(C6097&lt;99,VLOOKUP(F6097,'MSA-Lookup'!$AA$1:$AB$25,2),C6097),C6097)</f>
        <v>9999</v>
      </c>
    </row>
    <row r="6098" customFormat="false" ht="12.75" hidden="false" customHeight="false" outlineLevel="0" collapsed="false">
      <c r="A6098" s="0" t="n">
        <f aca="false">B6098*1000+C6098</f>
        <v>82027</v>
      </c>
      <c r="B6098" s="0" t="n">
        <v>82</v>
      </c>
      <c r="C6098" s="0" t="n">
        <v>27</v>
      </c>
      <c r="D6098" s="0" t="n">
        <v>0</v>
      </c>
      <c r="E6098" s="0" t="n">
        <f aca="false">VLOOKUP(B6098,'MSA-Lookup'!$H$2:$I$86,2)</f>
        <v>6780</v>
      </c>
      <c r="F6098" s="0" t="n">
        <f aca="false">IF(C6098&gt;1,IF(C6098&lt;99,VLOOKUP(C6098,'MSA-Lookup'!$H$1:$I$86,2),C6098),C6098)</f>
        <v>9999</v>
      </c>
      <c r="G6098" s="0" t="n">
        <f aca="false">VLOOKUP(E6098,'MSA-Lookup'!$AA$1:$AB$25,2)</f>
        <v>4472</v>
      </c>
      <c r="H6098" s="0" t="n">
        <f aca="false">IF(C6098&gt;1,IF(C6098&lt;99,VLOOKUP(F6098,'MSA-Lookup'!$AA$1:$AB$25,2),C6098),C6098)</f>
        <v>9999</v>
      </c>
    </row>
    <row r="6099" customFormat="false" ht="12.75" hidden="false" customHeight="false" outlineLevel="0" collapsed="false">
      <c r="A6099" s="0" t="n">
        <f aca="false">B6099*1000+C6099</f>
        <v>82028</v>
      </c>
      <c r="B6099" s="0" t="n">
        <v>82</v>
      </c>
      <c r="C6099" s="0" t="n">
        <v>28</v>
      </c>
      <c r="D6099" s="0" t="n">
        <v>0</v>
      </c>
      <c r="E6099" s="0" t="n">
        <f aca="false">VLOOKUP(B6099,'MSA-Lookup'!$H$2:$I$86,2)</f>
        <v>6780</v>
      </c>
      <c r="F6099" s="0" t="n">
        <f aca="false">IF(C6099&gt;1,IF(C6099&lt;99,VLOOKUP(C6099,'MSA-Lookup'!$H$1:$I$86,2),C6099),C6099)</f>
        <v>6920</v>
      </c>
      <c r="G6099" s="0" t="n">
        <f aca="false">VLOOKUP(E6099,'MSA-Lookup'!$AA$1:$AB$25,2)</f>
        <v>4472</v>
      </c>
      <c r="H6099" s="0" t="n">
        <f aca="false">IF(C6099&gt;1,IF(C6099&lt;99,VLOOKUP(F6099,'MSA-Lookup'!$AA$1:$AB$25,2),C6099),C6099)</f>
        <v>6920</v>
      </c>
    </row>
    <row r="6100" customFormat="false" ht="12.75" hidden="false" customHeight="false" outlineLevel="0" collapsed="false">
      <c r="A6100" s="0" t="n">
        <f aca="false">B6100*1000+C6100</f>
        <v>82029</v>
      </c>
      <c r="B6100" s="0" t="n">
        <v>82</v>
      </c>
      <c r="C6100" s="0" t="n">
        <v>29</v>
      </c>
      <c r="D6100" s="0" t="n">
        <v>0</v>
      </c>
      <c r="E6100" s="0" t="n">
        <f aca="false">VLOOKUP(B6100,'MSA-Lookup'!$H$2:$I$86,2)</f>
        <v>6780</v>
      </c>
      <c r="F6100" s="0" t="n">
        <f aca="false">IF(C6100&gt;1,IF(C6100&lt;99,VLOOKUP(C6100,'MSA-Lookup'!$H$1:$I$86,2),C6100),C6100)</f>
        <v>6920</v>
      </c>
      <c r="G6100" s="0" t="n">
        <f aca="false">VLOOKUP(E6100,'MSA-Lookup'!$AA$1:$AB$25,2)</f>
        <v>4472</v>
      </c>
      <c r="H6100" s="0" t="n">
        <f aca="false">IF(C6100&gt;1,IF(C6100&lt;99,VLOOKUP(F6100,'MSA-Lookup'!$AA$1:$AB$25,2),C6100),C6100)</f>
        <v>6920</v>
      </c>
    </row>
    <row r="6101" customFormat="false" ht="12.75" hidden="false" customHeight="false" outlineLevel="0" collapsed="false">
      <c r="A6101" s="0" t="n">
        <f aca="false">B6101*1000+C6101</f>
        <v>82030</v>
      </c>
      <c r="B6101" s="0" t="n">
        <v>82</v>
      </c>
      <c r="C6101" s="0" t="n">
        <v>30</v>
      </c>
      <c r="D6101" s="0" t="n">
        <v>0</v>
      </c>
      <c r="E6101" s="0" t="n">
        <f aca="false">VLOOKUP(B6101,'MSA-Lookup'!$H$2:$I$86,2)</f>
        <v>6780</v>
      </c>
      <c r="F6101" s="0" t="n">
        <f aca="false">IF(C6101&gt;1,IF(C6101&lt;99,VLOOKUP(C6101,'MSA-Lookup'!$H$1:$I$86,2),C6101),C6101)</f>
        <v>4940</v>
      </c>
      <c r="G6101" s="0" t="n">
        <f aca="false">VLOOKUP(E6101,'MSA-Lookup'!$AA$1:$AB$25,2)</f>
        <v>4472</v>
      </c>
      <c r="H6101" s="0" t="n">
        <f aca="false">IF(C6101&gt;1,IF(C6101&lt;99,VLOOKUP(F6101,'MSA-Lookup'!$AA$1:$AB$25,2),C6101),C6101)</f>
        <v>4940</v>
      </c>
    </row>
    <row r="6102" customFormat="false" ht="12.75" hidden="false" customHeight="false" outlineLevel="0" collapsed="false">
      <c r="A6102" s="0" t="n">
        <f aca="false">B6102*1000+C6102</f>
        <v>82031</v>
      </c>
      <c r="B6102" s="0" t="n">
        <v>82</v>
      </c>
      <c r="C6102" s="0" t="n">
        <v>31</v>
      </c>
      <c r="D6102" s="0" t="n">
        <v>0</v>
      </c>
      <c r="E6102" s="0" t="n">
        <f aca="false">VLOOKUP(B6102,'MSA-Lookup'!$H$2:$I$86,2)</f>
        <v>6780</v>
      </c>
      <c r="F6102" s="0" t="n">
        <f aca="false">IF(C6102&gt;1,IF(C6102&lt;99,VLOOKUP(C6102,'MSA-Lookup'!$H$1:$I$86,2),C6102),C6102)</f>
        <v>9999</v>
      </c>
      <c r="G6102" s="0" t="n">
        <f aca="false">VLOOKUP(E6102,'MSA-Lookup'!$AA$1:$AB$25,2)</f>
        <v>4472</v>
      </c>
      <c r="H6102" s="0" t="n">
        <f aca="false">IF(C6102&gt;1,IF(C6102&lt;99,VLOOKUP(F6102,'MSA-Lookup'!$AA$1:$AB$25,2),C6102),C6102)</f>
        <v>9999</v>
      </c>
    </row>
    <row r="6103" customFormat="false" ht="12.75" hidden="false" customHeight="false" outlineLevel="0" collapsed="false">
      <c r="A6103" s="0" t="n">
        <f aca="false">B6103*1000+C6103</f>
        <v>82032</v>
      </c>
      <c r="B6103" s="0" t="n">
        <v>82</v>
      </c>
      <c r="C6103" s="0" t="n">
        <v>32</v>
      </c>
      <c r="D6103" s="0" t="n">
        <v>0</v>
      </c>
      <c r="E6103" s="0" t="n">
        <f aca="false">VLOOKUP(B6103,'MSA-Lookup'!$H$2:$I$86,2)</f>
        <v>6780</v>
      </c>
      <c r="F6103" s="0" t="n">
        <f aca="false">IF(C6103&gt;1,IF(C6103&lt;99,VLOOKUP(C6103,'MSA-Lookup'!$H$1:$I$86,2),C6103),C6103)</f>
        <v>7480</v>
      </c>
      <c r="G6103" s="0" t="n">
        <f aca="false">VLOOKUP(E6103,'MSA-Lookup'!$AA$1:$AB$25,2)</f>
        <v>4472</v>
      </c>
      <c r="H6103" s="0" t="n">
        <f aca="false">IF(C6103&gt;1,IF(C6103&lt;99,VLOOKUP(F6103,'MSA-Lookup'!$AA$1:$AB$25,2),C6103),C6103)</f>
        <v>7480</v>
      </c>
    </row>
    <row r="6104" customFormat="false" ht="12.75" hidden="false" customHeight="false" outlineLevel="0" collapsed="false">
      <c r="A6104" s="0" t="n">
        <f aca="false">B6104*1000+C6104</f>
        <v>82033</v>
      </c>
      <c r="B6104" s="0" t="n">
        <v>82</v>
      </c>
      <c r="C6104" s="0" t="n">
        <v>33</v>
      </c>
      <c r="D6104" s="0" t="n">
        <v>0</v>
      </c>
      <c r="E6104" s="0" t="n">
        <f aca="false">VLOOKUP(B6104,'MSA-Lookup'!$H$2:$I$86,2)</f>
        <v>6780</v>
      </c>
      <c r="F6104" s="0" t="n">
        <f aca="false">IF(C6104&gt;1,IF(C6104&lt;99,VLOOKUP(C6104,'MSA-Lookup'!$H$1:$I$86,2),C6104),C6104)</f>
        <v>7320</v>
      </c>
      <c r="G6104" s="0" t="n">
        <f aca="false">VLOOKUP(E6104,'MSA-Lookup'!$AA$1:$AB$25,2)</f>
        <v>4472</v>
      </c>
      <c r="H6104" s="0" t="n">
        <f aca="false">IF(C6104&gt;1,IF(C6104&lt;99,VLOOKUP(F6104,'MSA-Lookup'!$AA$1:$AB$25,2),C6104),C6104)</f>
        <v>7320</v>
      </c>
    </row>
    <row r="6105" customFormat="false" ht="12.75" hidden="false" customHeight="false" outlineLevel="0" collapsed="false">
      <c r="A6105" s="0" t="n">
        <f aca="false">B6105*1000+C6105</f>
        <v>82034</v>
      </c>
      <c r="B6105" s="0" t="n">
        <v>82</v>
      </c>
      <c r="C6105" s="0" t="n">
        <v>34</v>
      </c>
      <c r="D6105" s="0" t="n">
        <v>0</v>
      </c>
      <c r="E6105" s="0" t="n">
        <f aca="false">VLOOKUP(B6105,'MSA-Lookup'!$H$2:$I$86,2)</f>
        <v>6780</v>
      </c>
      <c r="F6105" s="0" t="n">
        <f aca="false">IF(C6105&gt;1,IF(C6105&lt;99,VLOOKUP(C6105,'MSA-Lookup'!$H$1:$I$86,2),C6105),C6105)</f>
        <v>7320</v>
      </c>
      <c r="G6105" s="0" t="n">
        <f aca="false">VLOOKUP(E6105,'MSA-Lookup'!$AA$1:$AB$25,2)</f>
        <v>4472</v>
      </c>
      <c r="H6105" s="0" t="n">
        <f aca="false">IF(C6105&gt;1,IF(C6105&lt;99,VLOOKUP(F6105,'MSA-Lookup'!$AA$1:$AB$25,2),C6105),C6105)</f>
        <v>7320</v>
      </c>
    </row>
    <row r="6106" customFormat="false" ht="12.75" hidden="false" customHeight="false" outlineLevel="0" collapsed="false">
      <c r="A6106" s="0" t="n">
        <f aca="false">B6106*1000+C6106</f>
        <v>82035</v>
      </c>
      <c r="B6106" s="0" t="n">
        <v>82</v>
      </c>
      <c r="C6106" s="0" t="n">
        <v>35</v>
      </c>
      <c r="D6106" s="0" t="n">
        <v>0</v>
      </c>
      <c r="E6106" s="0" t="n">
        <f aca="false">VLOOKUP(B6106,'MSA-Lookup'!$H$2:$I$86,2)</f>
        <v>6780</v>
      </c>
      <c r="F6106" s="0" t="n">
        <f aca="false">IF(C6106&gt;1,IF(C6106&lt;99,VLOOKUP(C6106,'MSA-Lookup'!$H$1:$I$86,2),C6106),C6106)</f>
        <v>7320</v>
      </c>
      <c r="G6106" s="0" t="n">
        <f aca="false">VLOOKUP(E6106,'MSA-Lookup'!$AA$1:$AB$25,2)</f>
        <v>4472</v>
      </c>
      <c r="H6106" s="0" t="n">
        <f aca="false">IF(C6106&gt;1,IF(C6106&lt;99,VLOOKUP(F6106,'MSA-Lookup'!$AA$1:$AB$25,2),C6106),C6106)</f>
        <v>7320</v>
      </c>
    </row>
    <row r="6107" customFormat="false" ht="12.75" hidden="false" customHeight="false" outlineLevel="0" collapsed="false">
      <c r="A6107" s="0" t="n">
        <f aca="false">B6107*1000+C6107</f>
        <v>82036</v>
      </c>
      <c r="B6107" s="0" t="n">
        <v>82</v>
      </c>
      <c r="C6107" s="0" t="n">
        <v>36</v>
      </c>
      <c r="D6107" s="0" t="n">
        <v>0</v>
      </c>
      <c r="E6107" s="0" t="n">
        <f aca="false">VLOOKUP(B6107,'MSA-Lookup'!$H$2:$I$86,2)</f>
        <v>6780</v>
      </c>
      <c r="F6107" s="0" t="n">
        <f aca="false">IF(C6107&gt;1,IF(C6107&lt;99,VLOOKUP(C6107,'MSA-Lookup'!$H$1:$I$86,2),C6107),C6107)</f>
        <v>7320</v>
      </c>
      <c r="G6107" s="0" t="n">
        <f aca="false">VLOOKUP(E6107,'MSA-Lookup'!$AA$1:$AB$25,2)</f>
        <v>4472</v>
      </c>
      <c r="H6107" s="0" t="n">
        <f aca="false">IF(C6107&gt;1,IF(C6107&lt;99,VLOOKUP(F6107,'MSA-Lookup'!$AA$1:$AB$25,2),C6107),C6107)</f>
        <v>7320</v>
      </c>
    </row>
    <row r="6108" customFormat="false" ht="12.75" hidden="false" customHeight="false" outlineLevel="0" collapsed="false">
      <c r="A6108" s="0" t="n">
        <f aca="false">B6108*1000+C6108</f>
        <v>82037</v>
      </c>
      <c r="B6108" s="0" t="n">
        <v>82</v>
      </c>
      <c r="C6108" s="0" t="n">
        <v>37</v>
      </c>
      <c r="D6108" s="0" t="n">
        <v>0</v>
      </c>
      <c r="E6108" s="0" t="n">
        <f aca="false">VLOOKUP(B6108,'MSA-Lookup'!$H$2:$I$86,2)</f>
        <v>6780</v>
      </c>
      <c r="F6108" s="0" t="n">
        <f aca="false">IF(C6108&gt;1,IF(C6108&lt;99,VLOOKUP(C6108,'MSA-Lookup'!$H$1:$I$86,2),C6108),C6108)</f>
        <v>7320</v>
      </c>
      <c r="G6108" s="0" t="n">
        <f aca="false">VLOOKUP(E6108,'MSA-Lookup'!$AA$1:$AB$25,2)</f>
        <v>4472</v>
      </c>
      <c r="H6108" s="0" t="n">
        <f aca="false">IF(C6108&gt;1,IF(C6108&lt;99,VLOOKUP(F6108,'MSA-Lookup'!$AA$1:$AB$25,2),C6108),C6108)</f>
        <v>7320</v>
      </c>
    </row>
    <row r="6109" customFormat="false" ht="12.75" hidden="false" customHeight="false" outlineLevel="0" collapsed="false">
      <c r="A6109" s="0" t="n">
        <f aca="false">B6109*1000+C6109</f>
        <v>82038</v>
      </c>
      <c r="B6109" s="0" t="n">
        <v>82</v>
      </c>
      <c r="C6109" s="0" t="n">
        <v>38</v>
      </c>
      <c r="D6109" s="0" t="n">
        <v>0</v>
      </c>
      <c r="E6109" s="0" t="n">
        <f aca="false">VLOOKUP(B6109,'MSA-Lookup'!$H$2:$I$86,2)</f>
        <v>6780</v>
      </c>
      <c r="F6109" s="0" t="n">
        <f aca="false">IF(C6109&gt;1,IF(C6109&lt;99,VLOOKUP(C6109,'MSA-Lookup'!$H$1:$I$86,2),C6109),C6109)</f>
        <v>7120</v>
      </c>
      <c r="G6109" s="0" t="n">
        <f aca="false">VLOOKUP(E6109,'MSA-Lookup'!$AA$1:$AB$25,2)</f>
        <v>4472</v>
      </c>
      <c r="H6109" s="0" t="n">
        <f aca="false">IF(C6109&gt;1,IF(C6109&lt;99,VLOOKUP(F6109,'MSA-Lookup'!$AA$1:$AB$25,2),C6109),C6109)</f>
        <v>7120</v>
      </c>
    </row>
    <row r="6110" customFormat="false" ht="12.75" hidden="false" customHeight="false" outlineLevel="0" collapsed="false">
      <c r="A6110" s="0" t="n">
        <f aca="false">B6110*1000+C6110</f>
        <v>82039</v>
      </c>
      <c r="B6110" s="0" t="n">
        <v>82</v>
      </c>
      <c r="C6110" s="0" t="n">
        <v>39</v>
      </c>
      <c r="D6110" s="0" t="n">
        <v>91</v>
      </c>
      <c r="E6110" s="0" t="n">
        <f aca="false">VLOOKUP(B6110,'MSA-Lookup'!$H$2:$I$86,2)</f>
        <v>6780</v>
      </c>
      <c r="F6110" s="0" t="n">
        <f aca="false">IF(C6110&gt;1,IF(C6110&lt;99,VLOOKUP(C6110,'MSA-Lookup'!$H$1:$I$86,2),C6110),C6110)</f>
        <v>7120</v>
      </c>
      <c r="G6110" s="0" t="n">
        <f aca="false">VLOOKUP(E6110,'MSA-Lookup'!$AA$1:$AB$25,2)</f>
        <v>4472</v>
      </c>
      <c r="H6110" s="0" t="n">
        <f aca="false">IF(C6110&gt;1,IF(C6110&lt;99,VLOOKUP(F6110,'MSA-Lookup'!$AA$1:$AB$25,2),C6110),C6110)</f>
        <v>7120</v>
      </c>
    </row>
    <row r="6111" customFormat="false" ht="12.75" hidden="false" customHeight="false" outlineLevel="0" collapsed="false">
      <c r="A6111" s="0" t="n">
        <f aca="false">B6111*1000+C6111</f>
        <v>82040</v>
      </c>
      <c r="B6111" s="0" t="n">
        <v>82</v>
      </c>
      <c r="C6111" s="0" t="n">
        <v>40</v>
      </c>
      <c r="D6111" s="0" t="n">
        <v>0</v>
      </c>
      <c r="E6111" s="0" t="n">
        <f aca="false">VLOOKUP(B6111,'MSA-Lookup'!$H$2:$I$86,2)</f>
        <v>6780</v>
      </c>
      <c r="F6111" s="0" t="n">
        <f aca="false">IF(C6111&gt;1,IF(C6111&lt;99,VLOOKUP(C6111,'MSA-Lookup'!$H$1:$I$86,2),C6111),C6111)</f>
        <v>2840</v>
      </c>
      <c r="G6111" s="0" t="n">
        <f aca="false">VLOOKUP(E6111,'MSA-Lookup'!$AA$1:$AB$25,2)</f>
        <v>4472</v>
      </c>
      <c r="H6111" s="0" t="n">
        <f aca="false">IF(C6111&gt;1,IF(C6111&lt;99,VLOOKUP(F6111,'MSA-Lookup'!$AA$1:$AB$25,2),C6111),C6111)</f>
        <v>2840</v>
      </c>
    </row>
    <row r="6112" customFormat="false" ht="12.75" hidden="false" customHeight="false" outlineLevel="0" collapsed="false">
      <c r="A6112" s="0" t="n">
        <f aca="false">B6112*1000+C6112</f>
        <v>82041</v>
      </c>
      <c r="B6112" s="0" t="n">
        <v>82</v>
      </c>
      <c r="C6112" s="0" t="n">
        <v>41</v>
      </c>
      <c r="D6112" s="0" t="n">
        <v>0</v>
      </c>
      <c r="E6112" s="0" t="n">
        <f aca="false">VLOOKUP(B6112,'MSA-Lookup'!$H$2:$I$86,2)</f>
        <v>6780</v>
      </c>
      <c r="F6112" s="0" t="n">
        <f aca="false">IF(C6112&gt;1,IF(C6112&lt;99,VLOOKUP(C6112,'MSA-Lookup'!$H$1:$I$86,2),C6112),C6112)</f>
        <v>2840</v>
      </c>
      <c r="G6112" s="0" t="n">
        <f aca="false">VLOOKUP(E6112,'MSA-Lookup'!$AA$1:$AB$25,2)</f>
        <v>4472</v>
      </c>
      <c r="H6112" s="0" t="n">
        <f aca="false">IF(C6112&gt;1,IF(C6112&lt;99,VLOOKUP(F6112,'MSA-Lookup'!$AA$1:$AB$25,2),C6112),C6112)</f>
        <v>2840</v>
      </c>
    </row>
    <row r="6113" customFormat="false" ht="12.75" hidden="false" customHeight="false" outlineLevel="0" collapsed="false">
      <c r="A6113" s="0" t="n">
        <f aca="false">B6113*1000+C6113</f>
        <v>82042</v>
      </c>
      <c r="B6113" s="0" t="n">
        <v>82</v>
      </c>
      <c r="C6113" s="0" t="n">
        <v>42</v>
      </c>
      <c r="D6113" s="0" t="n">
        <v>299</v>
      </c>
      <c r="E6113" s="0" t="n">
        <f aca="false">VLOOKUP(B6113,'MSA-Lookup'!$H$2:$I$86,2)</f>
        <v>6780</v>
      </c>
      <c r="F6113" s="0" t="n">
        <f aca="false">IF(C6113&gt;1,IF(C6113&lt;99,VLOOKUP(C6113,'MSA-Lookup'!$H$1:$I$86,2),C6113),C6113)</f>
        <v>360</v>
      </c>
      <c r="G6113" s="0" t="n">
        <f aca="false">VLOOKUP(E6113,'MSA-Lookup'!$AA$1:$AB$25,2)</f>
        <v>4472</v>
      </c>
      <c r="H6113" s="0" t="n">
        <f aca="false">IF(C6113&gt;1,IF(C6113&lt;99,VLOOKUP(F6113,'MSA-Lookup'!$AA$1:$AB$25,2),C6113),C6113)</f>
        <v>4472</v>
      </c>
    </row>
    <row r="6114" customFormat="false" ht="12.75" hidden="false" customHeight="false" outlineLevel="0" collapsed="false">
      <c r="A6114" s="0" t="n">
        <f aca="false">B6114*1000+C6114</f>
        <v>82043</v>
      </c>
      <c r="B6114" s="0" t="n">
        <v>82</v>
      </c>
      <c r="C6114" s="0" t="n">
        <v>43</v>
      </c>
      <c r="D6114" s="0" t="n">
        <v>0</v>
      </c>
      <c r="E6114" s="0" t="n">
        <f aca="false">VLOOKUP(B6114,'MSA-Lookup'!$H$2:$I$86,2)</f>
        <v>6780</v>
      </c>
      <c r="F6114" s="0" t="n">
        <f aca="false">IF(C6114&gt;1,IF(C6114&lt;99,VLOOKUP(C6114,'MSA-Lookup'!$H$1:$I$86,2),C6114),C6114)</f>
        <v>360</v>
      </c>
      <c r="G6114" s="0" t="n">
        <f aca="false">VLOOKUP(E6114,'MSA-Lookup'!$AA$1:$AB$25,2)</f>
        <v>4472</v>
      </c>
      <c r="H6114" s="0" t="n">
        <f aca="false">IF(C6114&gt;1,IF(C6114&lt;99,VLOOKUP(F6114,'MSA-Lookup'!$AA$1:$AB$25,2),C6114),C6114)</f>
        <v>4472</v>
      </c>
    </row>
    <row r="6115" customFormat="false" ht="12.75" hidden="false" customHeight="false" outlineLevel="0" collapsed="false">
      <c r="A6115" s="0" t="n">
        <f aca="false">B6115*1000+C6115</f>
        <v>82044</v>
      </c>
      <c r="B6115" s="0" t="n">
        <v>82</v>
      </c>
      <c r="C6115" s="0" t="n">
        <v>44</v>
      </c>
      <c r="D6115" s="0" t="n">
        <v>0</v>
      </c>
      <c r="E6115" s="0" t="n">
        <f aca="false">VLOOKUP(B6115,'MSA-Lookup'!$H$2:$I$86,2)</f>
        <v>6780</v>
      </c>
      <c r="F6115" s="0" t="n">
        <f aca="false">IF(C6115&gt;1,IF(C6115&lt;99,VLOOKUP(C6115,'MSA-Lookup'!$H$1:$I$86,2),C6115),C6115)</f>
        <v>360</v>
      </c>
      <c r="G6115" s="0" t="n">
        <f aca="false">VLOOKUP(E6115,'MSA-Lookup'!$AA$1:$AB$25,2)</f>
        <v>4472</v>
      </c>
      <c r="H6115" s="0" t="n">
        <f aca="false">IF(C6115&gt;1,IF(C6115&lt;99,VLOOKUP(F6115,'MSA-Lookup'!$AA$1:$AB$25,2),C6115),C6115)</f>
        <v>4472</v>
      </c>
    </row>
    <row r="6116" customFormat="false" ht="12.75" hidden="false" customHeight="false" outlineLevel="0" collapsed="false">
      <c r="A6116" s="0" t="n">
        <f aca="false">B6116*1000+C6116</f>
        <v>82045</v>
      </c>
      <c r="B6116" s="0" t="n">
        <v>82</v>
      </c>
      <c r="C6116" s="0" t="n">
        <v>45</v>
      </c>
      <c r="D6116" s="0" t="n">
        <v>0</v>
      </c>
      <c r="E6116" s="0" t="n">
        <f aca="false">VLOOKUP(B6116,'MSA-Lookup'!$H$2:$I$86,2)</f>
        <v>6780</v>
      </c>
      <c r="F6116" s="0" t="n">
        <f aca="false">IF(C6116&gt;1,IF(C6116&lt;99,VLOOKUP(C6116,'MSA-Lookup'!$H$1:$I$86,2),C6116),C6116)</f>
        <v>360</v>
      </c>
      <c r="G6116" s="0" t="n">
        <f aca="false">VLOOKUP(E6116,'MSA-Lookup'!$AA$1:$AB$25,2)</f>
        <v>4472</v>
      </c>
      <c r="H6116" s="0" t="n">
        <f aca="false">IF(C6116&gt;1,IF(C6116&lt;99,VLOOKUP(F6116,'MSA-Lookup'!$AA$1:$AB$25,2),C6116),C6116)</f>
        <v>4472</v>
      </c>
    </row>
    <row r="6117" customFormat="false" ht="12.75" hidden="false" customHeight="false" outlineLevel="0" collapsed="false">
      <c r="A6117" s="0" t="n">
        <f aca="false">B6117*1000+C6117</f>
        <v>82046</v>
      </c>
      <c r="B6117" s="0" t="n">
        <v>82</v>
      </c>
      <c r="C6117" s="0" t="n">
        <v>46</v>
      </c>
      <c r="D6117" s="0" t="n">
        <v>0</v>
      </c>
      <c r="E6117" s="0" t="n">
        <f aca="false">VLOOKUP(B6117,'MSA-Lookup'!$H$2:$I$86,2)</f>
        <v>6780</v>
      </c>
      <c r="F6117" s="0" t="n">
        <f aca="false">IF(C6117&gt;1,IF(C6117&lt;99,VLOOKUP(C6117,'MSA-Lookup'!$H$1:$I$86,2),C6117),C6117)</f>
        <v>360</v>
      </c>
      <c r="G6117" s="0" t="n">
        <f aca="false">VLOOKUP(E6117,'MSA-Lookup'!$AA$1:$AB$25,2)</f>
        <v>4472</v>
      </c>
      <c r="H6117" s="0" t="n">
        <f aca="false">IF(C6117&gt;1,IF(C6117&lt;99,VLOOKUP(F6117,'MSA-Lookup'!$AA$1:$AB$25,2),C6117),C6117)</f>
        <v>4472</v>
      </c>
    </row>
    <row r="6118" customFormat="false" ht="12.75" hidden="false" customHeight="false" outlineLevel="0" collapsed="false">
      <c r="A6118" s="0" t="n">
        <f aca="false">B6118*1000+C6118</f>
        <v>82047</v>
      </c>
      <c r="B6118" s="0" t="n">
        <v>82</v>
      </c>
      <c r="C6118" s="0" t="n">
        <v>47</v>
      </c>
      <c r="D6118" s="0" t="n">
        <v>104</v>
      </c>
      <c r="E6118" s="0" t="n">
        <f aca="false">VLOOKUP(B6118,'MSA-Lookup'!$H$2:$I$86,2)</f>
        <v>6780</v>
      </c>
      <c r="F6118" s="0" t="n">
        <f aca="false">IF(C6118&gt;1,IF(C6118&lt;99,VLOOKUP(C6118,'MSA-Lookup'!$H$1:$I$86,2),C6118),C6118)</f>
        <v>360</v>
      </c>
      <c r="G6118" s="0" t="n">
        <f aca="false">VLOOKUP(E6118,'MSA-Lookup'!$AA$1:$AB$25,2)</f>
        <v>4472</v>
      </c>
      <c r="H6118" s="0" t="n">
        <f aca="false">IF(C6118&gt;1,IF(C6118&lt;99,VLOOKUP(F6118,'MSA-Lookup'!$AA$1:$AB$25,2),C6118),C6118)</f>
        <v>4472</v>
      </c>
    </row>
    <row r="6119" customFormat="false" ht="12.75" hidden="false" customHeight="false" outlineLevel="0" collapsed="false">
      <c r="A6119" s="0" t="n">
        <f aca="false">B6119*1000+C6119</f>
        <v>82048</v>
      </c>
      <c r="B6119" s="0" t="n">
        <v>82</v>
      </c>
      <c r="C6119" s="0" t="n">
        <v>48</v>
      </c>
      <c r="D6119" s="0" t="n">
        <v>1287</v>
      </c>
      <c r="E6119" s="0" t="n">
        <f aca="false">VLOOKUP(B6119,'MSA-Lookup'!$H$2:$I$86,2)</f>
        <v>6780</v>
      </c>
      <c r="F6119" s="0" t="n">
        <f aca="false">IF(C6119&gt;1,IF(C6119&lt;99,VLOOKUP(C6119,'MSA-Lookup'!$H$1:$I$86,2),C6119),C6119)</f>
        <v>360</v>
      </c>
      <c r="G6119" s="0" t="n">
        <f aca="false">VLOOKUP(E6119,'MSA-Lookup'!$AA$1:$AB$25,2)</f>
        <v>4472</v>
      </c>
      <c r="H6119" s="0" t="n">
        <f aca="false">IF(C6119&gt;1,IF(C6119&lt;99,VLOOKUP(F6119,'MSA-Lookup'!$AA$1:$AB$25,2),C6119),C6119)</f>
        <v>4472</v>
      </c>
    </row>
    <row r="6120" customFormat="false" ht="12.75" hidden="false" customHeight="false" outlineLevel="0" collapsed="false">
      <c r="A6120" s="0" t="n">
        <f aca="false">B6120*1000+C6120</f>
        <v>82049</v>
      </c>
      <c r="B6120" s="0" t="n">
        <v>82</v>
      </c>
      <c r="C6120" s="0" t="n">
        <v>49</v>
      </c>
      <c r="D6120" s="0" t="n">
        <v>156</v>
      </c>
      <c r="E6120" s="0" t="n">
        <f aca="false">VLOOKUP(B6120,'MSA-Lookup'!$H$2:$I$86,2)</f>
        <v>6780</v>
      </c>
      <c r="F6120" s="0" t="n">
        <f aca="false">IF(C6120&gt;1,IF(C6120&lt;99,VLOOKUP(C6120,'MSA-Lookup'!$H$1:$I$86,2),C6120),C6120)</f>
        <v>7400</v>
      </c>
      <c r="G6120" s="0" t="n">
        <f aca="false">VLOOKUP(E6120,'MSA-Lookup'!$AA$1:$AB$25,2)</f>
        <v>4472</v>
      </c>
      <c r="H6120" s="0" t="n">
        <f aca="false">IF(C6120&gt;1,IF(C6120&lt;99,VLOOKUP(F6120,'MSA-Lookup'!$AA$1:$AB$25,2),C6120),C6120)</f>
        <v>7362</v>
      </c>
    </row>
    <row r="6121" customFormat="false" ht="12.75" hidden="false" customHeight="false" outlineLevel="0" collapsed="false">
      <c r="A6121" s="0" t="n">
        <f aca="false">B6121*1000+C6121</f>
        <v>82050</v>
      </c>
      <c r="B6121" s="0" t="n">
        <v>82</v>
      </c>
      <c r="C6121" s="0" t="n">
        <v>50</v>
      </c>
      <c r="D6121" s="0" t="n">
        <v>0</v>
      </c>
      <c r="E6121" s="0" t="n">
        <f aca="false">VLOOKUP(B6121,'MSA-Lookup'!$H$2:$I$86,2)</f>
        <v>6780</v>
      </c>
      <c r="F6121" s="0" t="n">
        <f aca="false">IF(C6121&gt;1,IF(C6121&lt;99,VLOOKUP(C6121,'MSA-Lookup'!$H$1:$I$86,2),C6121),C6121)</f>
        <v>7400</v>
      </c>
      <c r="G6121" s="0" t="n">
        <f aca="false">VLOOKUP(E6121,'MSA-Lookup'!$AA$1:$AB$25,2)</f>
        <v>4472</v>
      </c>
      <c r="H6121" s="0" t="n">
        <f aca="false">IF(C6121&gt;1,IF(C6121&lt;99,VLOOKUP(F6121,'MSA-Lookup'!$AA$1:$AB$25,2),C6121),C6121)</f>
        <v>7362</v>
      </c>
    </row>
    <row r="6122" customFormat="false" ht="12.75" hidden="false" customHeight="false" outlineLevel="0" collapsed="false">
      <c r="A6122" s="0" t="n">
        <f aca="false">B6122*1000+C6122</f>
        <v>82051</v>
      </c>
      <c r="B6122" s="0" t="n">
        <v>82</v>
      </c>
      <c r="C6122" s="0" t="n">
        <v>51</v>
      </c>
      <c r="D6122" s="0" t="n">
        <v>0</v>
      </c>
      <c r="E6122" s="0" t="n">
        <f aca="false">VLOOKUP(B6122,'MSA-Lookup'!$H$2:$I$86,2)</f>
        <v>6780</v>
      </c>
      <c r="F6122" s="0" t="n">
        <f aca="false">IF(C6122&gt;1,IF(C6122&lt;99,VLOOKUP(C6122,'MSA-Lookup'!$H$1:$I$86,2),C6122),C6122)</f>
        <v>7400</v>
      </c>
      <c r="G6122" s="0" t="n">
        <f aca="false">VLOOKUP(E6122,'MSA-Lookup'!$AA$1:$AB$25,2)</f>
        <v>4472</v>
      </c>
      <c r="H6122" s="0" t="n">
        <f aca="false">IF(C6122&gt;1,IF(C6122&lt;99,VLOOKUP(F6122,'MSA-Lookup'!$AA$1:$AB$25,2),C6122),C6122)</f>
        <v>7362</v>
      </c>
    </row>
    <row r="6123" customFormat="false" ht="12.75" hidden="false" customHeight="false" outlineLevel="0" collapsed="false">
      <c r="A6123" s="0" t="n">
        <f aca="false">B6123*1000+C6123</f>
        <v>82052</v>
      </c>
      <c r="B6123" s="0" t="n">
        <v>82</v>
      </c>
      <c r="C6123" s="0" t="n">
        <v>52</v>
      </c>
      <c r="D6123" s="0" t="n">
        <v>364</v>
      </c>
      <c r="E6123" s="0" t="n">
        <f aca="false">VLOOKUP(B6123,'MSA-Lookup'!$H$2:$I$86,2)</f>
        <v>6780</v>
      </c>
      <c r="F6123" s="0" t="n">
        <f aca="false">IF(C6123&gt;1,IF(C6123&lt;99,VLOOKUP(C6123,'MSA-Lookup'!$H$1:$I$86,2),C6123),C6123)</f>
        <v>4480</v>
      </c>
      <c r="G6123" s="0" t="n">
        <f aca="false">VLOOKUP(E6123,'MSA-Lookup'!$AA$1:$AB$25,2)</f>
        <v>4472</v>
      </c>
      <c r="H6123" s="0" t="n">
        <f aca="false">IF(C6123&gt;1,IF(C6123&lt;99,VLOOKUP(F6123,'MSA-Lookup'!$AA$1:$AB$25,2),C6123),C6123)</f>
        <v>4472</v>
      </c>
    </row>
    <row r="6124" customFormat="false" ht="12.75" hidden="false" customHeight="false" outlineLevel="0" collapsed="false">
      <c r="A6124" s="0" t="n">
        <f aca="false">B6124*1000+C6124</f>
        <v>82053</v>
      </c>
      <c r="B6124" s="0" t="n">
        <v>82</v>
      </c>
      <c r="C6124" s="0" t="n">
        <v>53</v>
      </c>
      <c r="D6124" s="0" t="n">
        <v>143</v>
      </c>
      <c r="E6124" s="0" t="n">
        <f aca="false">VLOOKUP(B6124,'MSA-Lookup'!$H$2:$I$86,2)</f>
        <v>6780</v>
      </c>
      <c r="F6124" s="0" t="n">
        <f aca="false">IF(C6124&gt;1,IF(C6124&lt;99,VLOOKUP(C6124,'MSA-Lookup'!$H$1:$I$86,2),C6124),C6124)</f>
        <v>4480</v>
      </c>
      <c r="G6124" s="0" t="n">
        <f aca="false">VLOOKUP(E6124,'MSA-Lookup'!$AA$1:$AB$25,2)</f>
        <v>4472</v>
      </c>
      <c r="H6124" s="0" t="n">
        <f aca="false">IF(C6124&gt;1,IF(C6124&lt;99,VLOOKUP(F6124,'MSA-Lookup'!$AA$1:$AB$25,2),C6124),C6124)</f>
        <v>4472</v>
      </c>
    </row>
    <row r="6125" customFormat="false" ht="12.75" hidden="false" customHeight="false" outlineLevel="0" collapsed="false">
      <c r="A6125" s="0" t="n">
        <f aca="false">B6125*1000+C6125</f>
        <v>82054</v>
      </c>
      <c r="B6125" s="0" t="n">
        <v>82</v>
      </c>
      <c r="C6125" s="0" t="n">
        <v>54</v>
      </c>
      <c r="D6125" s="0" t="n">
        <v>0</v>
      </c>
      <c r="E6125" s="0" t="n">
        <f aca="false">VLOOKUP(B6125,'MSA-Lookup'!$H$2:$I$86,2)</f>
        <v>6780</v>
      </c>
      <c r="F6125" s="0" t="n">
        <f aca="false">IF(C6125&gt;1,IF(C6125&lt;99,VLOOKUP(C6125,'MSA-Lookup'!$H$1:$I$86,2),C6125),C6125)</f>
        <v>4480</v>
      </c>
      <c r="G6125" s="0" t="n">
        <f aca="false">VLOOKUP(E6125,'MSA-Lookup'!$AA$1:$AB$25,2)</f>
        <v>4472</v>
      </c>
      <c r="H6125" s="0" t="n">
        <f aca="false">IF(C6125&gt;1,IF(C6125&lt;99,VLOOKUP(F6125,'MSA-Lookup'!$AA$1:$AB$25,2),C6125),C6125)</f>
        <v>4472</v>
      </c>
    </row>
    <row r="6126" customFormat="false" ht="12.75" hidden="false" customHeight="false" outlineLevel="0" collapsed="false">
      <c r="A6126" s="0" t="n">
        <f aca="false">B6126*1000+C6126</f>
        <v>82055</v>
      </c>
      <c r="B6126" s="0" t="n">
        <v>82</v>
      </c>
      <c r="C6126" s="0" t="n">
        <v>55</v>
      </c>
      <c r="D6126" s="0" t="n">
        <v>143</v>
      </c>
      <c r="E6126" s="0" t="n">
        <f aca="false">VLOOKUP(B6126,'MSA-Lookup'!$H$2:$I$86,2)</f>
        <v>6780</v>
      </c>
      <c r="F6126" s="0" t="n">
        <f aca="false">IF(C6126&gt;1,IF(C6126&lt;99,VLOOKUP(C6126,'MSA-Lookup'!$H$1:$I$86,2),C6126),C6126)</f>
        <v>4480</v>
      </c>
      <c r="G6126" s="0" t="n">
        <f aca="false">VLOOKUP(E6126,'MSA-Lookup'!$AA$1:$AB$25,2)</f>
        <v>4472</v>
      </c>
      <c r="H6126" s="0" t="n">
        <f aca="false">IF(C6126&gt;1,IF(C6126&lt;99,VLOOKUP(F6126,'MSA-Lookup'!$AA$1:$AB$25,2),C6126),C6126)</f>
        <v>4472</v>
      </c>
    </row>
    <row r="6127" customFormat="false" ht="12.75" hidden="false" customHeight="false" outlineLevel="0" collapsed="false">
      <c r="A6127" s="0" t="n">
        <f aca="false">B6127*1000+C6127</f>
        <v>82056</v>
      </c>
      <c r="B6127" s="0" t="n">
        <v>82</v>
      </c>
      <c r="C6127" s="0" t="n">
        <v>56</v>
      </c>
      <c r="D6127" s="0" t="n">
        <v>0</v>
      </c>
      <c r="E6127" s="0" t="n">
        <f aca="false">VLOOKUP(B6127,'MSA-Lookup'!$H$2:$I$86,2)</f>
        <v>6780</v>
      </c>
      <c r="F6127" s="0" t="n">
        <f aca="false">IF(C6127&gt;1,IF(C6127&lt;99,VLOOKUP(C6127,'MSA-Lookup'!$H$1:$I$86,2),C6127),C6127)</f>
        <v>4480</v>
      </c>
      <c r="G6127" s="0" t="n">
        <f aca="false">VLOOKUP(E6127,'MSA-Lookup'!$AA$1:$AB$25,2)</f>
        <v>4472</v>
      </c>
      <c r="H6127" s="0" t="n">
        <f aca="false">IF(C6127&gt;1,IF(C6127&lt;99,VLOOKUP(F6127,'MSA-Lookup'!$AA$1:$AB$25,2),C6127),C6127)</f>
        <v>4472</v>
      </c>
    </row>
    <row r="6128" customFormat="false" ht="12.75" hidden="false" customHeight="false" outlineLevel="0" collapsed="false">
      <c r="A6128" s="0" t="n">
        <f aca="false">B6128*1000+C6128</f>
        <v>82057</v>
      </c>
      <c r="B6128" s="0" t="n">
        <v>82</v>
      </c>
      <c r="C6128" s="0" t="n">
        <v>57</v>
      </c>
      <c r="D6128" s="0" t="n">
        <v>0</v>
      </c>
      <c r="E6128" s="0" t="n">
        <f aca="false">VLOOKUP(B6128,'MSA-Lookup'!$H$2:$I$86,2)</f>
        <v>6780</v>
      </c>
      <c r="F6128" s="0" t="n">
        <f aca="false">IF(C6128&gt;1,IF(C6128&lt;99,VLOOKUP(C6128,'MSA-Lookup'!$H$1:$I$86,2),C6128),C6128)</f>
        <v>4480</v>
      </c>
      <c r="G6128" s="0" t="n">
        <f aca="false">VLOOKUP(E6128,'MSA-Lookup'!$AA$1:$AB$25,2)</f>
        <v>4472</v>
      </c>
      <c r="H6128" s="0" t="n">
        <f aca="false">IF(C6128&gt;1,IF(C6128&lt;99,VLOOKUP(F6128,'MSA-Lookup'!$AA$1:$AB$25,2),C6128),C6128)</f>
        <v>4472</v>
      </c>
    </row>
    <row r="6129" customFormat="false" ht="12.75" hidden="false" customHeight="false" outlineLevel="0" collapsed="false">
      <c r="A6129" s="0" t="n">
        <f aca="false">B6129*1000+C6129</f>
        <v>82058</v>
      </c>
      <c r="B6129" s="0" t="n">
        <v>82</v>
      </c>
      <c r="C6129" s="0" t="n">
        <v>58</v>
      </c>
      <c r="D6129" s="0" t="n">
        <v>0</v>
      </c>
      <c r="E6129" s="0" t="n">
        <f aca="false">VLOOKUP(B6129,'MSA-Lookup'!$H$2:$I$86,2)</f>
        <v>6780</v>
      </c>
      <c r="F6129" s="0" t="n">
        <f aca="false">IF(C6129&gt;1,IF(C6129&lt;99,VLOOKUP(C6129,'MSA-Lookup'!$H$1:$I$86,2),C6129),C6129)</f>
        <v>4480</v>
      </c>
      <c r="G6129" s="0" t="n">
        <f aca="false">VLOOKUP(E6129,'MSA-Lookup'!$AA$1:$AB$25,2)</f>
        <v>4472</v>
      </c>
      <c r="H6129" s="0" t="n">
        <f aca="false">IF(C6129&gt;1,IF(C6129&lt;99,VLOOKUP(F6129,'MSA-Lookup'!$AA$1:$AB$25,2),C6129),C6129)</f>
        <v>4472</v>
      </c>
    </row>
    <row r="6130" customFormat="false" ht="12.75" hidden="false" customHeight="false" outlineLevel="0" collapsed="false">
      <c r="A6130" s="0" t="n">
        <f aca="false">B6130*1000+C6130</f>
        <v>82059</v>
      </c>
      <c r="B6130" s="0" t="n">
        <v>82</v>
      </c>
      <c r="C6130" s="0" t="n">
        <v>59</v>
      </c>
      <c r="D6130" s="0" t="n">
        <v>585</v>
      </c>
      <c r="E6130" s="0" t="n">
        <f aca="false">VLOOKUP(B6130,'MSA-Lookup'!$H$2:$I$86,2)</f>
        <v>6780</v>
      </c>
      <c r="F6130" s="0" t="n">
        <f aca="false">IF(C6130&gt;1,IF(C6130&lt;99,VLOOKUP(C6130,'MSA-Lookup'!$H$1:$I$86,2),C6130),C6130)</f>
        <v>4480</v>
      </c>
      <c r="G6130" s="0" t="n">
        <f aca="false">VLOOKUP(E6130,'MSA-Lookup'!$AA$1:$AB$25,2)</f>
        <v>4472</v>
      </c>
      <c r="H6130" s="0" t="n">
        <f aca="false">IF(C6130&gt;1,IF(C6130&lt;99,VLOOKUP(F6130,'MSA-Lookup'!$AA$1:$AB$25,2),C6130),C6130)</f>
        <v>4472</v>
      </c>
    </row>
    <row r="6131" customFormat="false" ht="12.75" hidden="false" customHeight="false" outlineLevel="0" collapsed="false">
      <c r="A6131" s="0" t="n">
        <f aca="false">B6131*1000+C6131</f>
        <v>82060</v>
      </c>
      <c r="B6131" s="0" t="n">
        <v>82</v>
      </c>
      <c r="C6131" s="0" t="n">
        <v>60</v>
      </c>
      <c r="D6131" s="0" t="n">
        <v>0</v>
      </c>
      <c r="E6131" s="0" t="n">
        <f aca="false">VLOOKUP(B6131,'MSA-Lookup'!$H$2:$I$86,2)</f>
        <v>6780</v>
      </c>
      <c r="F6131" s="0" t="n">
        <f aca="false">IF(C6131&gt;1,IF(C6131&lt;99,VLOOKUP(C6131,'MSA-Lookup'!$H$1:$I$86,2),C6131),C6131)</f>
        <v>4480</v>
      </c>
      <c r="G6131" s="0" t="n">
        <f aca="false">VLOOKUP(E6131,'MSA-Lookup'!$AA$1:$AB$25,2)</f>
        <v>4472</v>
      </c>
      <c r="H6131" s="0" t="n">
        <f aca="false">IF(C6131&gt;1,IF(C6131&lt;99,VLOOKUP(F6131,'MSA-Lookup'!$AA$1:$AB$25,2),C6131),C6131)</f>
        <v>4472</v>
      </c>
    </row>
    <row r="6132" customFormat="false" ht="12.75" hidden="false" customHeight="false" outlineLevel="0" collapsed="false">
      <c r="A6132" s="0" t="n">
        <f aca="false">B6132*1000+C6132</f>
        <v>82061</v>
      </c>
      <c r="B6132" s="0" t="n">
        <v>82</v>
      </c>
      <c r="C6132" s="0" t="n">
        <v>61</v>
      </c>
      <c r="D6132" s="0" t="n">
        <v>0</v>
      </c>
      <c r="E6132" s="0" t="n">
        <f aca="false">VLOOKUP(B6132,'MSA-Lookup'!$H$2:$I$86,2)</f>
        <v>6780</v>
      </c>
      <c r="F6132" s="0" t="n">
        <f aca="false">IF(C6132&gt;1,IF(C6132&lt;99,VLOOKUP(C6132,'MSA-Lookup'!$H$1:$I$86,2),C6132),C6132)</f>
        <v>4480</v>
      </c>
      <c r="G6132" s="0" t="n">
        <f aca="false">VLOOKUP(E6132,'MSA-Lookup'!$AA$1:$AB$25,2)</f>
        <v>4472</v>
      </c>
      <c r="H6132" s="0" t="n">
        <f aca="false">IF(C6132&gt;1,IF(C6132&lt;99,VLOOKUP(F6132,'MSA-Lookup'!$AA$1:$AB$25,2),C6132),C6132)</f>
        <v>4472</v>
      </c>
    </row>
    <row r="6133" customFormat="false" ht="12.75" hidden="false" customHeight="false" outlineLevel="0" collapsed="false">
      <c r="A6133" s="0" t="n">
        <f aca="false">B6133*1000+C6133</f>
        <v>82062</v>
      </c>
      <c r="B6133" s="0" t="n">
        <v>82</v>
      </c>
      <c r="C6133" s="0" t="n">
        <v>62</v>
      </c>
      <c r="D6133" s="0" t="n">
        <v>78</v>
      </c>
      <c r="E6133" s="0" t="n">
        <f aca="false">VLOOKUP(B6133,'MSA-Lookup'!$H$2:$I$86,2)</f>
        <v>6780</v>
      </c>
      <c r="F6133" s="0" t="n">
        <f aca="false">IF(C6133&gt;1,IF(C6133&lt;99,VLOOKUP(C6133,'MSA-Lookup'!$H$1:$I$86,2),C6133),C6133)</f>
        <v>4480</v>
      </c>
      <c r="G6133" s="0" t="n">
        <f aca="false">VLOOKUP(E6133,'MSA-Lookup'!$AA$1:$AB$25,2)</f>
        <v>4472</v>
      </c>
      <c r="H6133" s="0" t="n">
        <f aca="false">IF(C6133&gt;1,IF(C6133&lt;99,VLOOKUP(F6133,'MSA-Lookup'!$AA$1:$AB$25,2),C6133),C6133)</f>
        <v>4472</v>
      </c>
    </row>
    <row r="6134" customFormat="false" ht="12.75" hidden="false" customHeight="false" outlineLevel="0" collapsed="false">
      <c r="A6134" s="0" t="n">
        <f aca="false">B6134*1000+C6134</f>
        <v>82063</v>
      </c>
      <c r="B6134" s="0" t="n">
        <v>82</v>
      </c>
      <c r="C6134" s="0" t="n">
        <v>63</v>
      </c>
      <c r="D6134" s="0" t="n">
        <v>208</v>
      </c>
      <c r="E6134" s="0" t="n">
        <f aca="false">VLOOKUP(B6134,'MSA-Lookup'!$H$2:$I$86,2)</f>
        <v>6780</v>
      </c>
      <c r="F6134" s="0" t="n">
        <f aca="false">IF(C6134&gt;1,IF(C6134&lt;99,VLOOKUP(C6134,'MSA-Lookup'!$H$1:$I$86,2),C6134),C6134)</f>
        <v>4480</v>
      </c>
      <c r="G6134" s="0" t="n">
        <f aca="false">VLOOKUP(E6134,'MSA-Lookup'!$AA$1:$AB$25,2)</f>
        <v>4472</v>
      </c>
      <c r="H6134" s="0" t="n">
        <f aca="false">IF(C6134&gt;1,IF(C6134&lt;99,VLOOKUP(F6134,'MSA-Lookup'!$AA$1:$AB$25,2),C6134),C6134)</f>
        <v>4472</v>
      </c>
    </row>
    <row r="6135" customFormat="false" ht="12.75" hidden="false" customHeight="false" outlineLevel="0" collapsed="false">
      <c r="A6135" s="0" t="n">
        <f aca="false">B6135*1000+C6135</f>
        <v>82064</v>
      </c>
      <c r="B6135" s="0" t="n">
        <v>82</v>
      </c>
      <c r="C6135" s="0" t="n">
        <v>64</v>
      </c>
      <c r="D6135" s="0" t="n">
        <v>1521</v>
      </c>
      <c r="E6135" s="0" t="n">
        <f aca="false">VLOOKUP(B6135,'MSA-Lookup'!$H$2:$I$86,2)</f>
        <v>6780</v>
      </c>
      <c r="F6135" s="0" t="n">
        <f aca="false">IF(C6135&gt;1,IF(C6135&lt;99,VLOOKUP(C6135,'MSA-Lookup'!$H$1:$I$86,2),C6135),C6135)</f>
        <v>4480</v>
      </c>
      <c r="G6135" s="0" t="n">
        <f aca="false">VLOOKUP(E6135,'MSA-Lookup'!$AA$1:$AB$25,2)</f>
        <v>4472</v>
      </c>
      <c r="H6135" s="0" t="n">
        <f aca="false">IF(C6135&gt;1,IF(C6135&lt;99,VLOOKUP(F6135,'MSA-Lookup'!$AA$1:$AB$25,2),C6135),C6135)</f>
        <v>4472</v>
      </c>
    </row>
    <row r="6136" customFormat="false" ht="12.75" hidden="false" customHeight="false" outlineLevel="0" collapsed="false">
      <c r="A6136" s="0" t="n">
        <f aca="false">B6136*1000+C6136</f>
        <v>82065</v>
      </c>
      <c r="B6136" s="0" t="n">
        <v>82</v>
      </c>
      <c r="C6136" s="0" t="n">
        <v>65</v>
      </c>
      <c r="D6136" s="0" t="n">
        <v>949</v>
      </c>
      <c r="E6136" s="0" t="n">
        <f aca="false">VLOOKUP(B6136,'MSA-Lookup'!$H$2:$I$86,2)</f>
        <v>6780</v>
      </c>
      <c r="F6136" s="0" t="n">
        <f aca="false">IF(C6136&gt;1,IF(C6136&lt;99,VLOOKUP(C6136,'MSA-Lookup'!$H$1:$I$86,2),C6136),C6136)</f>
        <v>4480</v>
      </c>
      <c r="G6136" s="0" t="n">
        <f aca="false">VLOOKUP(E6136,'MSA-Lookup'!$AA$1:$AB$25,2)</f>
        <v>4472</v>
      </c>
      <c r="H6136" s="0" t="n">
        <f aca="false">IF(C6136&gt;1,IF(C6136&lt;99,VLOOKUP(F6136,'MSA-Lookup'!$AA$1:$AB$25,2),C6136),C6136)</f>
        <v>4472</v>
      </c>
    </row>
    <row r="6137" customFormat="false" ht="12.75" hidden="false" customHeight="false" outlineLevel="0" collapsed="false">
      <c r="A6137" s="0" t="n">
        <f aca="false">B6137*1000+C6137</f>
        <v>82066</v>
      </c>
      <c r="B6137" s="0" t="n">
        <v>82</v>
      </c>
      <c r="C6137" s="0" t="n">
        <v>66</v>
      </c>
      <c r="D6137" s="0" t="n">
        <v>208</v>
      </c>
      <c r="E6137" s="0" t="n">
        <f aca="false">VLOOKUP(B6137,'MSA-Lookup'!$H$2:$I$86,2)</f>
        <v>6780</v>
      </c>
      <c r="F6137" s="0" t="n">
        <f aca="false">IF(C6137&gt;1,IF(C6137&lt;99,VLOOKUP(C6137,'MSA-Lookup'!$H$1:$I$86,2),C6137),C6137)</f>
        <v>4480</v>
      </c>
      <c r="G6137" s="0" t="n">
        <f aca="false">VLOOKUP(E6137,'MSA-Lookup'!$AA$1:$AB$25,2)</f>
        <v>4472</v>
      </c>
      <c r="H6137" s="0" t="n">
        <f aca="false">IF(C6137&gt;1,IF(C6137&lt;99,VLOOKUP(F6137,'MSA-Lookup'!$AA$1:$AB$25,2),C6137),C6137)</f>
        <v>4472</v>
      </c>
    </row>
    <row r="6138" customFormat="false" ht="12.75" hidden="false" customHeight="false" outlineLevel="0" collapsed="false">
      <c r="A6138" s="0" t="n">
        <f aca="false">B6138*1000+C6138</f>
        <v>82067</v>
      </c>
      <c r="B6138" s="0" t="n">
        <v>82</v>
      </c>
      <c r="C6138" s="0" t="n">
        <v>67</v>
      </c>
      <c r="D6138" s="0" t="n">
        <v>0</v>
      </c>
      <c r="E6138" s="0" t="n">
        <f aca="false">VLOOKUP(B6138,'MSA-Lookup'!$H$2:$I$86,2)</f>
        <v>6780</v>
      </c>
      <c r="F6138" s="0" t="n">
        <f aca="false">IF(C6138&gt;1,IF(C6138&lt;99,VLOOKUP(C6138,'MSA-Lookup'!$H$1:$I$86,2),C6138),C6138)</f>
        <v>6000</v>
      </c>
      <c r="G6138" s="0" t="n">
        <f aca="false">VLOOKUP(E6138,'MSA-Lookup'!$AA$1:$AB$25,2)</f>
        <v>4472</v>
      </c>
      <c r="H6138" s="0" t="n">
        <f aca="false">IF(C6138&gt;1,IF(C6138&lt;99,VLOOKUP(F6138,'MSA-Lookup'!$AA$1:$AB$25,2),C6138),C6138)</f>
        <v>4472</v>
      </c>
    </row>
    <row r="6139" customFormat="false" ht="12.75" hidden="false" customHeight="false" outlineLevel="0" collapsed="false">
      <c r="A6139" s="0" t="n">
        <f aca="false">B6139*1000+C6139</f>
        <v>82068</v>
      </c>
      <c r="B6139" s="0" t="n">
        <v>82</v>
      </c>
      <c r="C6139" s="0" t="n">
        <v>68</v>
      </c>
      <c r="D6139" s="0" t="n">
        <v>468</v>
      </c>
      <c r="E6139" s="0" t="n">
        <f aca="false">VLOOKUP(B6139,'MSA-Lookup'!$H$2:$I$86,2)</f>
        <v>6780</v>
      </c>
      <c r="F6139" s="0" t="n">
        <f aca="false">IF(C6139&gt;1,IF(C6139&lt;99,VLOOKUP(C6139,'MSA-Lookup'!$H$1:$I$86,2),C6139),C6139)</f>
        <v>6780</v>
      </c>
      <c r="G6139" s="0" t="n">
        <f aca="false">VLOOKUP(E6139,'MSA-Lookup'!$AA$1:$AB$25,2)</f>
        <v>4472</v>
      </c>
      <c r="H6139" s="0" t="n">
        <f aca="false">IF(C6139&gt;1,IF(C6139&lt;99,VLOOKUP(F6139,'MSA-Lookup'!$AA$1:$AB$25,2),C6139),C6139)</f>
        <v>4472</v>
      </c>
    </row>
    <row r="6140" customFormat="false" ht="12.75" hidden="false" customHeight="false" outlineLevel="0" collapsed="false">
      <c r="A6140" s="0" t="n">
        <f aca="false">B6140*1000+C6140</f>
        <v>82069</v>
      </c>
      <c r="B6140" s="0" t="n">
        <v>82</v>
      </c>
      <c r="C6140" s="0" t="n">
        <v>69</v>
      </c>
      <c r="D6140" s="0" t="n">
        <v>1742</v>
      </c>
      <c r="E6140" s="0" t="n">
        <f aca="false">VLOOKUP(B6140,'MSA-Lookup'!$H$2:$I$86,2)</f>
        <v>6780</v>
      </c>
      <c r="F6140" s="0" t="n">
        <f aca="false">IF(C6140&gt;1,IF(C6140&lt;99,VLOOKUP(C6140,'MSA-Lookup'!$H$1:$I$86,2),C6140),C6140)</f>
        <v>6780</v>
      </c>
      <c r="G6140" s="0" t="n">
        <f aca="false">VLOOKUP(E6140,'MSA-Lookup'!$AA$1:$AB$25,2)</f>
        <v>4472</v>
      </c>
      <c r="H6140" s="0" t="n">
        <f aca="false">IF(C6140&gt;1,IF(C6140&lt;99,VLOOKUP(F6140,'MSA-Lookup'!$AA$1:$AB$25,2),C6140),C6140)</f>
        <v>4472</v>
      </c>
    </row>
    <row r="6141" customFormat="false" ht="12.75" hidden="false" customHeight="false" outlineLevel="0" collapsed="false">
      <c r="A6141" s="0" t="n">
        <f aca="false">B6141*1000+C6141</f>
        <v>82070</v>
      </c>
      <c r="B6141" s="0" t="n">
        <v>82</v>
      </c>
      <c r="C6141" s="0" t="n">
        <v>70</v>
      </c>
      <c r="D6141" s="0" t="n">
        <v>1105</v>
      </c>
      <c r="E6141" s="0" t="n">
        <f aca="false">VLOOKUP(B6141,'MSA-Lookup'!$H$2:$I$86,2)</f>
        <v>6780</v>
      </c>
      <c r="F6141" s="0" t="n">
        <f aca="false">IF(C6141&gt;1,IF(C6141&lt;99,VLOOKUP(C6141,'MSA-Lookup'!$H$1:$I$86,2),C6141),C6141)</f>
        <v>6780</v>
      </c>
      <c r="G6141" s="0" t="n">
        <f aca="false">VLOOKUP(E6141,'MSA-Lookup'!$AA$1:$AB$25,2)</f>
        <v>4472</v>
      </c>
      <c r="H6141" s="0" t="n">
        <f aca="false">IF(C6141&gt;1,IF(C6141&lt;99,VLOOKUP(F6141,'MSA-Lookup'!$AA$1:$AB$25,2),C6141),C6141)</f>
        <v>4472</v>
      </c>
    </row>
    <row r="6142" customFormat="false" ht="12.75" hidden="false" customHeight="false" outlineLevel="0" collapsed="false">
      <c r="A6142" s="0" t="n">
        <f aca="false">B6142*1000+C6142</f>
        <v>82071</v>
      </c>
      <c r="B6142" s="0" t="n">
        <v>82</v>
      </c>
      <c r="C6142" s="0" t="n">
        <v>71</v>
      </c>
      <c r="D6142" s="0" t="n">
        <v>1742</v>
      </c>
      <c r="E6142" s="0" t="n">
        <f aca="false">VLOOKUP(B6142,'MSA-Lookup'!$H$2:$I$86,2)</f>
        <v>6780</v>
      </c>
      <c r="F6142" s="0" t="n">
        <f aca="false">IF(C6142&gt;1,IF(C6142&lt;99,VLOOKUP(C6142,'MSA-Lookup'!$H$1:$I$86,2),C6142),C6142)</f>
        <v>6780</v>
      </c>
      <c r="G6142" s="0" t="n">
        <f aca="false">VLOOKUP(E6142,'MSA-Lookup'!$AA$1:$AB$25,2)</f>
        <v>4472</v>
      </c>
      <c r="H6142" s="0" t="n">
        <f aca="false">IF(C6142&gt;1,IF(C6142&lt;99,VLOOKUP(F6142,'MSA-Lookup'!$AA$1:$AB$25,2),C6142),C6142)</f>
        <v>4472</v>
      </c>
    </row>
    <row r="6143" customFormat="false" ht="12.75" hidden="false" customHeight="false" outlineLevel="0" collapsed="false">
      <c r="A6143" s="0" t="n">
        <f aca="false">B6143*1000+C6143</f>
        <v>82072</v>
      </c>
      <c r="B6143" s="0" t="n">
        <v>82</v>
      </c>
      <c r="C6143" s="0" t="n">
        <v>72</v>
      </c>
      <c r="D6143" s="0" t="n">
        <v>16406</v>
      </c>
      <c r="E6143" s="0" t="n">
        <f aca="false">VLOOKUP(B6143,'MSA-Lookup'!$H$2:$I$86,2)</f>
        <v>6780</v>
      </c>
      <c r="F6143" s="0" t="n">
        <f aca="false">IF(C6143&gt;1,IF(C6143&lt;99,VLOOKUP(C6143,'MSA-Lookup'!$H$1:$I$86,2),C6143),C6143)</f>
        <v>6780</v>
      </c>
      <c r="G6143" s="0" t="n">
        <f aca="false">VLOOKUP(E6143,'MSA-Lookup'!$AA$1:$AB$25,2)</f>
        <v>4472</v>
      </c>
      <c r="H6143" s="0" t="n">
        <f aca="false">IF(C6143&gt;1,IF(C6143&lt;99,VLOOKUP(F6143,'MSA-Lookup'!$AA$1:$AB$25,2),C6143),C6143)</f>
        <v>4472</v>
      </c>
    </row>
    <row r="6144" customFormat="false" ht="12.75" hidden="false" customHeight="false" outlineLevel="0" collapsed="false">
      <c r="A6144" s="0" t="n">
        <f aca="false">B6144*1000+C6144</f>
        <v>82073</v>
      </c>
      <c r="B6144" s="0" t="n">
        <v>82</v>
      </c>
      <c r="C6144" s="0" t="n">
        <v>73</v>
      </c>
      <c r="D6144" s="0" t="n">
        <v>0</v>
      </c>
      <c r="E6144" s="0" t="n">
        <f aca="false">VLOOKUP(B6144,'MSA-Lookup'!$H$2:$I$86,2)</f>
        <v>6780</v>
      </c>
      <c r="F6144" s="0" t="n">
        <f aca="false">IF(C6144&gt;1,IF(C6144&lt;99,VLOOKUP(C6144,'MSA-Lookup'!$H$1:$I$86,2),C6144),C6144)</f>
        <v>8720</v>
      </c>
      <c r="G6144" s="0" t="n">
        <f aca="false">VLOOKUP(E6144,'MSA-Lookup'!$AA$1:$AB$25,2)</f>
        <v>4472</v>
      </c>
      <c r="H6144" s="0" t="n">
        <f aca="false">IF(C6144&gt;1,IF(C6144&lt;99,VLOOKUP(F6144,'MSA-Lookup'!$AA$1:$AB$25,2),C6144),C6144)</f>
        <v>7362</v>
      </c>
    </row>
    <row r="6145" customFormat="false" ht="12.75" hidden="false" customHeight="false" outlineLevel="0" collapsed="false">
      <c r="A6145" s="0" t="n">
        <f aca="false">B6145*1000+C6145</f>
        <v>82075</v>
      </c>
      <c r="B6145" s="0" t="n">
        <v>82</v>
      </c>
      <c r="C6145" s="0" t="n">
        <v>75</v>
      </c>
      <c r="D6145" s="0" t="n">
        <v>0</v>
      </c>
      <c r="E6145" s="0" t="n">
        <f aca="false">VLOOKUP(B6145,'MSA-Lookup'!$H$2:$I$86,2)</f>
        <v>6780</v>
      </c>
      <c r="F6145" s="0" t="n">
        <f aca="false">IF(C6145&gt;1,IF(C6145&lt;99,VLOOKUP(C6145,'MSA-Lookup'!$H$1:$I$86,2),C6145),C6145)</f>
        <v>8780</v>
      </c>
      <c r="G6145" s="0" t="n">
        <f aca="false">VLOOKUP(E6145,'MSA-Lookup'!$AA$1:$AB$25,2)</f>
        <v>4472</v>
      </c>
      <c r="H6145" s="0" t="n">
        <f aca="false">IF(C6145&gt;1,IF(C6145&lt;99,VLOOKUP(F6145,'MSA-Lookup'!$AA$1:$AB$25,2),C6145),C6145)</f>
        <v>8780</v>
      </c>
    </row>
    <row r="6146" customFormat="false" ht="12.75" hidden="false" customHeight="false" outlineLevel="0" collapsed="false">
      <c r="A6146" s="0" t="n">
        <f aca="false">B6146*1000+C6146</f>
        <v>82076</v>
      </c>
      <c r="B6146" s="0" t="n">
        <v>82</v>
      </c>
      <c r="C6146" s="0" t="n">
        <v>76</v>
      </c>
      <c r="D6146" s="0" t="n">
        <v>0</v>
      </c>
      <c r="E6146" s="0" t="n">
        <f aca="false">VLOOKUP(B6146,'MSA-Lookup'!$H$2:$I$86,2)</f>
        <v>6780</v>
      </c>
      <c r="F6146" s="0" t="n">
        <f aca="false">IF(C6146&gt;1,IF(C6146&lt;99,VLOOKUP(C6146,'MSA-Lookup'!$H$1:$I$86,2),C6146),C6146)</f>
        <v>7485</v>
      </c>
      <c r="G6146" s="0" t="n">
        <f aca="false">VLOOKUP(E6146,'MSA-Lookup'!$AA$1:$AB$25,2)</f>
        <v>4472</v>
      </c>
      <c r="H6146" s="0" t="n">
        <f aca="false">IF(C6146&gt;1,IF(C6146&lt;99,VLOOKUP(F6146,'MSA-Lookup'!$AA$1:$AB$25,2),C6146),C6146)</f>
        <v>7362</v>
      </c>
    </row>
    <row r="6147" customFormat="false" ht="12.75" hidden="false" customHeight="false" outlineLevel="0" collapsed="false">
      <c r="A6147" s="0" t="n">
        <f aca="false">B6147*1000+C6147</f>
        <v>82077</v>
      </c>
      <c r="B6147" s="0" t="n">
        <v>82</v>
      </c>
      <c r="C6147" s="0" t="n">
        <v>77</v>
      </c>
      <c r="D6147" s="0" t="n">
        <v>0</v>
      </c>
      <c r="E6147" s="0" t="n">
        <f aca="false">VLOOKUP(B6147,'MSA-Lookup'!$H$2:$I$86,2)</f>
        <v>6780</v>
      </c>
      <c r="F6147" s="0" t="n">
        <f aca="false">IF(C6147&gt;1,IF(C6147&lt;99,VLOOKUP(C6147,'MSA-Lookup'!$H$1:$I$86,2),C6147),C6147)</f>
        <v>9999</v>
      </c>
      <c r="G6147" s="0" t="n">
        <f aca="false">VLOOKUP(E6147,'MSA-Lookup'!$AA$1:$AB$25,2)</f>
        <v>4472</v>
      </c>
      <c r="H6147" s="0" t="n">
        <f aca="false">IF(C6147&gt;1,IF(C6147&lt;99,VLOOKUP(F6147,'MSA-Lookup'!$AA$1:$AB$25,2),C6147),C6147)</f>
        <v>9999</v>
      </c>
    </row>
    <row r="6148" customFormat="false" ht="12.75" hidden="false" customHeight="false" outlineLevel="0" collapsed="false">
      <c r="A6148" s="0" t="n">
        <f aca="false">B6148*1000+C6148</f>
        <v>82078</v>
      </c>
      <c r="B6148" s="0" t="n">
        <v>82</v>
      </c>
      <c r="C6148" s="0" t="n">
        <v>78</v>
      </c>
      <c r="D6148" s="0" t="n">
        <v>0</v>
      </c>
      <c r="E6148" s="0" t="n">
        <f aca="false">VLOOKUP(B6148,'MSA-Lookup'!$H$2:$I$86,2)</f>
        <v>6780</v>
      </c>
      <c r="F6148" s="0" t="n">
        <f aca="false">IF(C6148&gt;1,IF(C6148&lt;99,VLOOKUP(C6148,'MSA-Lookup'!$H$1:$I$86,2),C6148),C6148)</f>
        <v>680</v>
      </c>
      <c r="G6148" s="0" t="n">
        <f aca="false">VLOOKUP(E6148,'MSA-Lookup'!$AA$1:$AB$25,2)</f>
        <v>4472</v>
      </c>
      <c r="H6148" s="0" t="n">
        <f aca="false">IF(C6148&gt;1,IF(C6148&lt;99,VLOOKUP(F6148,'MSA-Lookup'!$AA$1:$AB$25,2),C6148),C6148)</f>
        <v>680</v>
      </c>
    </row>
    <row r="6149" customFormat="false" ht="12.75" hidden="false" customHeight="false" outlineLevel="0" collapsed="false">
      <c r="A6149" s="0" t="n">
        <f aca="false">B6149*1000+C6149</f>
        <v>82079</v>
      </c>
      <c r="B6149" s="0" t="n">
        <v>82</v>
      </c>
      <c r="C6149" s="0" t="n">
        <v>79</v>
      </c>
      <c r="D6149" s="0" t="n">
        <v>0</v>
      </c>
      <c r="E6149" s="0" t="n">
        <f aca="false">VLOOKUP(B6149,'MSA-Lookup'!$H$2:$I$86,2)</f>
        <v>6780</v>
      </c>
      <c r="F6149" s="0" t="n">
        <f aca="false">IF(C6149&gt;1,IF(C6149&lt;99,VLOOKUP(C6149,'MSA-Lookup'!$H$1:$I$86,2),C6149),C6149)</f>
        <v>680</v>
      </c>
      <c r="G6149" s="0" t="n">
        <f aca="false">VLOOKUP(E6149,'MSA-Lookup'!$AA$1:$AB$25,2)</f>
        <v>4472</v>
      </c>
      <c r="H6149" s="0" t="n">
        <f aca="false">IF(C6149&gt;1,IF(C6149&lt;99,VLOOKUP(F6149,'MSA-Lookup'!$AA$1:$AB$25,2),C6149),C6149)</f>
        <v>680</v>
      </c>
    </row>
    <row r="6150" customFormat="false" ht="12.75" hidden="false" customHeight="false" outlineLevel="0" collapsed="false">
      <c r="A6150" s="0" t="n">
        <f aca="false">B6150*1000+C6150</f>
        <v>82080</v>
      </c>
      <c r="B6150" s="0" t="n">
        <v>82</v>
      </c>
      <c r="C6150" s="0" t="n">
        <v>80</v>
      </c>
      <c r="D6150" s="0" t="n">
        <v>0</v>
      </c>
      <c r="E6150" s="0" t="n">
        <f aca="false">VLOOKUP(B6150,'MSA-Lookup'!$H$2:$I$86,2)</f>
        <v>6780</v>
      </c>
      <c r="F6150" s="0" t="n">
        <f aca="false">IF(C6150&gt;1,IF(C6150&lt;99,VLOOKUP(C6150,'MSA-Lookup'!$H$1:$I$86,2),C6150),C6150)</f>
        <v>9999</v>
      </c>
      <c r="G6150" s="0" t="n">
        <f aca="false">VLOOKUP(E6150,'MSA-Lookup'!$AA$1:$AB$25,2)</f>
        <v>4472</v>
      </c>
      <c r="H6150" s="0" t="n">
        <f aca="false">IF(C6150&gt;1,IF(C6150&lt;99,VLOOKUP(F6150,'MSA-Lookup'!$AA$1:$AB$25,2),C6150),C6150)</f>
        <v>9999</v>
      </c>
    </row>
    <row r="6151" customFormat="false" ht="12.75" hidden="false" customHeight="false" outlineLevel="0" collapsed="false">
      <c r="A6151" s="0" t="n">
        <f aca="false">B6151*1000+C6151</f>
        <v>82081</v>
      </c>
      <c r="B6151" s="0" t="n">
        <v>82</v>
      </c>
      <c r="C6151" s="0" t="n">
        <v>81</v>
      </c>
      <c r="D6151" s="0" t="n">
        <v>2886</v>
      </c>
      <c r="E6151" s="0" t="n">
        <f aca="false">VLOOKUP(B6151,'MSA-Lookup'!$H$2:$I$86,2)</f>
        <v>6780</v>
      </c>
      <c r="F6151" s="0" t="n">
        <f aca="false">IF(C6151&gt;1,IF(C6151&lt;99,VLOOKUP(C6151,'MSA-Lookup'!$H$1:$I$86,2),C6151),C6151)</f>
        <v>6780</v>
      </c>
      <c r="G6151" s="0" t="n">
        <f aca="false">VLOOKUP(E6151,'MSA-Lookup'!$AA$1:$AB$25,2)</f>
        <v>4472</v>
      </c>
      <c r="H6151" s="0" t="n">
        <f aca="false">IF(C6151&gt;1,IF(C6151&lt;99,VLOOKUP(F6151,'MSA-Lookup'!$AA$1:$AB$25,2),C6151),C6151)</f>
        <v>4472</v>
      </c>
    </row>
    <row r="6152" customFormat="false" ht="12.75" hidden="false" customHeight="false" outlineLevel="0" collapsed="false">
      <c r="A6152" s="0" t="n">
        <f aca="false">B6152*1000+C6152</f>
        <v>82082</v>
      </c>
      <c r="B6152" s="0" t="n">
        <v>82</v>
      </c>
      <c r="C6152" s="0" t="n">
        <v>82</v>
      </c>
      <c r="D6152" s="0" t="n">
        <v>33917</v>
      </c>
      <c r="E6152" s="0" t="n">
        <f aca="false">VLOOKUP(B6152,'MSA-Lookup'!$H$2:$I$86,2)</f>
        <v>6780</v>
      </c>
      <c r="F6152" s="0" t="n">
        <f aca="false">IF(C6152&gt;1,IF(C6152&lt;99,VLOOKUP(C6152,'MSA-Lookup'!$H$1:$I$86,2),C6152),C6152)</f>
        <v>6780</v>
      </c>
      <c r="G6152" s="0" t="n">
        <f aca="false">VLOOKUP(E6152,'MSA-Lookup'!$AA$1:$AB$25,2)</f>
        <v>4472</v>
      </c>
      <c r="H6152" s="0" t="n">
        <f aca="false">IF(C6152&gt;1,IF(C6152&lt;99,VLOOKUP(F6152,'MSA-Lookup'!$AA$1:$AB$25,2),C6152),C6152)</f>
        <v>4472</v>
      </c>
    </row>
    <row r="6153" customFormat="false" ht="12.75" hidden="false" customHeight="false" outlineLevel="0" collapsed="false">
      <c r="A6153" s="0" t="n">
        <f aca="false">B6153*1000+C6153</f>
        <v>82083</v>
      </c>
      <c r="B6153" s="0" t="n">
        <v>82</v>
      </c>
      <c r="C6153" s="0" t="n">
        <v>83</v>
      </c>
      <c r="D6153" s="0" t="n">
        <v>0</v>
      </c>
      <c r="E6153" s="0" t="n">
        <f aca="false">VLOOKUP(B6153,'MSA-Lookup'!$H$2:$I$86,2)</f>
        <v>6780</v>
      </c>
      <c r="F6153" s="0" t="n">
        <f aca="false">IF(C6153&gt;1,IF(C6153&lt;99,VLOOKUP(C6153,'MSA-Lookup'!$H$1:$I$86,2),C6153),C6153)</f>
        <v>6000</v>
      </c>
      <c r="G6153" s="0" t="n">
        <f aca="false">VLOOKUP(E6153,'MSA-Lookup'!$AA$1:$AB$25,2)</f>
        <v>4472</v>
      </c>
      <c r="H6153" s="0" t="n">
        <f aca="false">IF(C6153&gt;1,IF(C6153&lt;99,VLOOKUP(F6153,'MSA-Lookup'!$AA$1:$AB$25,2),C6153),C6153)</f>
        <v>4472</v>
      </c>
    </row>
    <row r="6154" customFormat="false" ht="12.75" hidden="false" customHeight="false" outlineLevel="0" collapsed="false">
      <c r="A6154" s="0" t="n">
        <f aca="false">B6154*1000+C6154</f>
        <v>82084</v>
      </c>
      <c r="B6154" s="0" t="n">
        <v>82</v>
      </c>
      <c r="C6154" s="0" t="n">
        <v>84</v>
      </c>
      <c r="D6154" s="0" t="n">
        <v>455</v>
      </c>
      <c r="E6154" s="0" t="n">
        <f aca="false">VLOOKUP(B6154,'MSA-Lookup'!$H$2:$I$86,2)</f>
        <v>6780</v>
      </c>
      <c r="F6154" s="0" t="n">
        <f aca="false">IF(C6154&gt;1,IF(C6154&lt;99,VLOOKUP(C6154,'MSA-Lookup'!$H$1:$I$86,2),C6154),C6154)</f>
        <v>360</v>
      </c>
      <c r="G6154" s="0" t="n">
        <f aca="false">VLOOKUP(E6154,'MSA-Lookup'!$AA$1:$AB$25,2)</f>
        <v>4472</v>
      </c>
      <c r="H6154" s="0" t="n">
        <f aca="false">IF(C6154&gt;1,IF(C6154&lt;99,VLOOKUP(F6154,'MSA-Lookup'!$AA$1:$AB$25,2),C6154),C6154)</f>
        <v>4472</v>
      </c>
    </row>
    <row r="6155" customFormat="false" ht="12.75" hidden="false" customHeight="false" outlineLevel="0" collapsed="false">
      <c r="A6155" s="0" t="n">
        <f aca="false">B6155*1000+C6155</f>
        <v>82085</v>
      </c>
      <c r="B6155" s="0" t="n">
        <v>82</v>
      </c>
      <c r="C6155" s="0" t="n">
        <v>85</v>
      </c>
      <c r="D6155" s="0" t="n">
        <v>0</v>
      </c>
      <c r="E6155" s="0" t="n">
        <f aca="false">VLOOKUP(B6155,'MSA-Lookup'!$H$2:$I$86,2)</f>
        <v>6780</v>
      </c>
      <c r="F6155" s="0" t="n">
        <f aca="false">IF(C6155&gt;1,IF(C6155&lt;99,VLOOKUP(C6155,'MSA-Lookup'!$H$1:$I$86,2),C6155),C6155)</f>
        <v>8120</v>
      </c>
      <c r="G6155" s="0" t="n">
        <f aca="false">VLOOKUP(E6155,'MSA-Lookup'!$AA$1:$AB$25,2)</f>
        <v>4472</v>
      </c>
      <c r="H6155" s="0" t="n">
        <f aca="false">IF(C6155&gt;1,IF(C6155&lt;99,VLOOKUP(F6155,'MSA-Lookup'!$AA$1:$AB$25,2),C6155),C6155)</f>
        <v>8120</v>
      </c>
    </row>
    <row r="6156" customFormat="false" ht="12.75" hidden="false" customHeight="false" outlineLevel="0" collapsed="false">
      <c r="A6156" s="0" t="n">
        <f aca="false">B6156*1000+C6156</f>
        <v>82858</v>
      </c>
      <c r="B6156" s="0" t="n">
        <v>82</v>
      </c>
      <c r="C6156" s="0" t="n">
        <v>858</v>
      </c>
      <c r="D6156" s="0" t="n">
        <v>0</v>
      </c>
      <c r="E6156" s="0" t="n">
        <f aca="false">VLOOKUP(B6156,'MSA-Lookup'!$H$2:$I$86,2)</f>
        <v>6780</v>
      </c>
      <c r="F6156" s="0" t="n">
        <f aca="false">IF(C6156&gt;1,IF(C6156&lt;99,VLOOKUP(C6156,'MSA-Lookup'!$H$1:$I$86,2),C6156),C6156)</f>
        <v>858</v>
      </c>
      <c r="G6156" s="0" t="n">
        <f aca="false">VLOOKUP(E6156,'MSA-Lookup'!$AA$1:$AB$25,2)</f>
        <v>4472</v>
      </c>
      <c r="H6156" s="0" t="n">
        <f aca="false">IF(C6156&gt;1,IF(C6156&lt;99,VLOOKUP(F6156,'MSA-Lookup'!$AA$1:$AB$25,2),C6156),C6156)</f>
        <v>858</v>
      </c>
    </row>
    <row r="6157" customFormat="false" ht="12.75" hidden="false" customHeight="false" outlineLevel="0" collapsed="false">
      <c r="A6157" s="0" t="n">
        <f aca="false">B6157*1000+C6157</f>
        <v>82983</v>
      </c>
      <c r="B6157" s="0" t="n">
        <v>82</v>
      </c>
      <c r="C6157" s="0" t="n">
        <v>983</v>
      </c>
      <c r="D6157" s="0" t="n">
        <v>0</v>
      </c>
      <c r="E6157" s="0" t="n">
        <f aca="false">VLOOKUP(B6157,'MSA-Lookup'!$H$2:$I$86,2)</f>
        <v>6780</v>
      </c>
      <c r="F6157" s="0" t="n">
        <f aca="false">IF(C6157&gt;1,IF(C6157&lt;99,VLOOKUP(C6157,'MSA-Lookup'!$H$1:$I$86,2),C6157),C6157)</f>
        <v>983</v>
      </c>
      <c r="G6157" s="0" t="n">
        <f aca="false">VLOOKUP(E6157,'MSA-Lookup'!$AA$1:$AB$25,2)</f>
        <v>4472</v>
      </c>
      <c r="H6157" s="0" t="n">
        <f aca="false">IF(C6157&gt;1,IF(C6157&lt;99,VLOOKUP(F6157,'MSA-Lookup'!$AA$1:$AB$25,2),C6157),C6157)</f>
        <v>983</v>
      </c>
    </row>
    <row r="6158" customFormat="false" ht="12.75" hidden="false" customHeight="false" outlineLevel="0" collapsed="false">
      <c r="A6158" s="0" t="n">
        <f aca="false">B6158*1000+C6158</f>
        <v>82999</v>
      </c>
      <c r="B6158" s="0" t="n">
        <v>82</v>
      </c>
      <c r="C6158" s="0" t="n">
        <v>999</v>
      </c>
      <c r="D6158" s="0" t="n">
        <v>117</v>
      </c>
      <c r="E6158" s="0" t="n">
        <f aca="false">VLOOKUP(B6158,'MSA-Lookup'!$H$2:$I$86,2)</f>
        <v>6780</v>
      </c>
      <c r="F6158" s="0" t="n">
        <f aca="false">IF(C6158&gt;1,IF(C6158&lt;99,VLOOKUP(C6158,'MSA-Lookup'!$H$1:$I$86,2),C6158),C6158)</f>
        <v>999</v>
      </c>
      <c r="G6158" s="0" t="n">
        <f aca="false">VLOOKUP(E6158,'MSA-Lookup'!$AA$1:$AB$25,2)</f>
        <v>4472</v>
      </c>
      <c r="H6158" s="0" t="n">
        <f aca="false">IF(C6158&gt;1,IF(C6158&lt;99,VLOOKUP(F6158,'MSA-Lookup'!$AA$1:$AB$25,2),C6158),C6158)</f>
        <v>999</v>
      </c>
    </row>
    <row r="6159" customFormat="false" ht="12.75" hidden="false" customHeight="false" outlineLevel="0" collapsed="false">
      <c r="A6159" s="0" t="n">
        <f aca="false">B6159*1000+C6159</f>
        <v>83000</v>
      </c>
      <c r="B6159" s="0" t="n">
        <v>83</v>
      </c>
      <c r="C6159" s="0" t="n">
        <v>0</v>
      </c>
      <c r="D6159" s="0" t="n">
        <v>77454</v>
      </c>
      <c r="E6159" s="0" t="n">
        <f aca="false">VLOOKUP(B6159,'MSA-Lookup'!$H$2:$I$86,2)</f>
        <v>6000</v>
      </c>
      <c r="F6159" s="0" t="n">
        <f aca="false">IF(C6159&gt;1,IF(C6159&lt;99,VLOOKUP(C6159,'MSA-Lookup'!$H$1:$I$86,2),C6159),C6159)</f>
        <v>0</v>
      </c>
      <c r="G6159" s="0" t="n">
        <f aca="false">VLOOKUP(E6159,'MSA-Lookup'!$AA$1:$AB$25,2)</f>
        <v>4472</v>
      </c>
      <c r="H6159" s="0" t="n">
        <f aca="false">IF(C6159&gt;1,IF(C6159&lt;99,VLOOKUP(F6159,'MSA-Lookup'!$AA$1:$AB$25,2),C6159),C6159)</f>
        <v>0</v>
      </c>
    </row>
    <row r="6160" customFormat="false" ht="12.75" hidden="false" customHeight="false" outlineLevel="0" collapsed="false">
      <c r="A6160" s="0" t="n">
        <f aca="false">B6160*1000+C6160</f>
        <v>83001</v>
      </c>
      <c r="B6160" s="0" t="n">
        <v>83</v>
      </c>
      <c r="C6160" s="0" t="n">
        <v>1</v>
      </c>
      <c r="D6160" s="0" t="n">
        <v>0</v>
      </c>
      <c r="E6160" s="0" t="n">
        <f aca="false">VLOOKUP(B6160,'MSA-Lookup'!$H$2:$I$86,2)</f>
        <v>6000</v>
      </c>
      <c r="F6160" s="0" t="n">
        <f aca="false">IF(C6160&gt;1,IF(C6160&lt;99,VLOOKUP(C6160,'MSA-Lookup'!$H$1:$I$86,2),C6160),C6160)</f>
        <v>1</v>
      </c>
      <c r="G6160" s="0" t="n">
        <f aca="false">VLOOKUP(E6160,'MSA-Lookup'!$AA$1:$AB$25,2)</f>
        <v>4472</v>
      </c>
      <c r="H6160" s="0" t="n">
        <f aca="false">IF(C6160&gt;1,IF(C6160&lt;99,VLOOKUP(F6160,'MSA-Lookup'!$AA$1:$AB$25,2),C6160),C6160)</f>
        <v>1</v>
      </c>
    </row>
    <row r="6161" customFormat="false" ht="12.75" hidden="false" customHeight="false" outlineLevel="0" collapsed="false">
      <c r="A6161" s="0" t="n">
        <f aca="false">B6161*1000+C6161</f>
        <v>83002</v>
      </c>
      <c r="B6161" s="0" t="n">
        <v>83</v>
      </c>
      <c r="C6161" s="0" t="n">
        <v>2</v>
      </c>
      <c r="D6161" s="0" t="n">
        <v>117</v>
      </c>
      <c r="E6161" s="0" t="n">
        <f aca="false">VLOOKUP(B6161,'MSA-Lookup'!$H$2:$I$86,2)</f>
        <v>6000</v>
      </c>
      <c r="F6161" s="0" t="n">
        <f aca="false">IF(C6161&gt;1,IF(C6161&lt;99,VLOOKUP(C6161,'MSA-Lookup'!$H$1:$I$86,2),C6161),C6161)</f>
        <v>9999</v>
      </c>
      <c r="G6161" s="0" t="n">
        <f aca="false">VLOOKUP(E6161,'MSA-Lookup'!$AA$1:$AB$25,2)</f>
        <v>4472</v>
      </c>
      <c r="H6161" s="0" t="n">
        <f aca="false">IF(C6161&gt;1,IF(C6161&lt;99,VLOOKUP(F6161,'MSA-Lookup'!$AA$1:$AB$25,2),C6161),C6161)</f>
        <v>9999</v>
      </c>
    </row>
    <row r="6162" customFormat="false" ht="12.75" hidden="false" customHeight="false" outlineLevel="0" collapsed="false">
      <c r="A6162" s="0" t="n">
        <f aca="false">B6162*1000+C6162</f>
        <v>83003</v>
      </c>
      <c r="B6162" s="0" t="n">
        <v>83</v>
      </c>
      <c r="C6162" s="0" t="n">
        <v>3</v>
      </c>
      <c r="D6162" s="0" t="n">
        <v>0</v>
      </c>
      <c r="E6162" s="0" t="n">
        <f aca="false">VLOOKUP(B6162,'MSA-Lookup'!$H$2:$I$86,2)</f>
        <v>6000</v>
      </c>
      <c r="F6162" s="0" t="n">
        <f aca="false">IF(C6162&gt;1,IF(C6162&lt;99,VLOOKUP(C6162,'MSA-Lookup'!$H$1:$I$86,2),C6162),C6162)</f>
        <v>6690</v>
      </c>
      <c r="G6162" s="0" t="n">
        <f aca="false">VLOOKUP(E6162,'MSA-Lookup'!$AA$1:$AB$25,2)</f>
        <v>4472</v>
      </c>
      <c r="H6162" s="0" t="n">
        <f aca="false">IF(C6162&gt;1,IF(C6162&lt;99,VLOOKUP(F6162,'MSA-Lookup'!$AA$1:$AB$25,2),C6162),C6162)</f>
        <v>6690</v>
      </c>
    </row>
    <row r="6163" customFormat="false" ht="12.75" hidden="false" customHeight="false" outlineLevel="0" collapsed="false">
      <c r="A6163" s="0" t="n">
        <f aca="false">B6163*1000+C6163</f>
        <v>83004</v>
      </c>
      <c r="B6163" s="0" t="n">
        <v>83</v>
      </c>
      <c r="C6163" s="0" t="n">
        <v>4</v>
      </c>
      <c r="D6163" s="0" t="n">
        <v>0</v>
      </c>
      <c r="E6163" s="0" t="n">
        <f aca="false">VLOOKUP(B6163,'MSA-Lookup'!$H$2:$I$86,2)</f>
        <v>6000</v>
      </c>
      <c r="F6163" s="0" t="n">
        <f aca="false">IF(C6163&gt;1,IF(C6163&lt;99,VLOOKUP(C6163,'MSA-Lookup'!$H$1:$I$86,2),C6163),C6163)</f>
        <v>9999</v>
      </c>
      <c r="G6163" s="0" t="n">
        <f aca="false">VLOOKUP(E6163,'MSA-Lookup'!$AA$1:$AB$25,2)</f>
        <v>4472</v>
      </c>
      <c r="H6163" s="0" t="n">
        <f aca="false">IF(C6163&gt;1,IF(C6163&lt;99,VLOOKUP(F6163,'MSA-Lookup'!$AA$1:$AB$25,2),C6163),C6163)</f>
        <v>9999</v>
      </c>
    </row>
    <row r="6164" customFormat="false" ht="12.75" hidden="false" customHeight="false" outlineLevel="0" collapsed="false">
      <c r="A6164" s="0" t="n">
        <f aca="false">B6164*1000+C6164</f>
        <v>83005</v>
      </c>
      <c r="B6164" s="0" t="n">
        <v>83</v>
      </c>
      <c r="C6164" s="0" t="n">
        <v>5</v>
      </c>
      <c r="D6164" s="0" t="n">
        <v>0</v>
      </c>
      <c r="E6164" s="0" t="n">
        <f aca="false">VLOOKUP(B6164,'MSA-Lookup'!$H$2:$I$86,2)</f>
        <v>6000</v>
      </c>
      <c r="F6164" s="0" t="n">
        <f aca="false">IF(C6164&gt;1,IF(C6164&lt;99,VLOOKUP(C6164,'MSA-Lookup'!$H$1:$I$86,2),C6164),C6164)</f>
        <v>9999</v>
      </c>
      <c r="G6164" s="0" t="n">
        <f aca="false">VLOOKUP(E6164,'MSA-Lookup'!$AA$1:$AB$25,2)</f>
        <v>4472</v>
      </c>
      <c r="H6164" s="0" t="n">
        <f aca="false">IF(C6164&gt;1,IF(C6164&lt;99,VLOOKUP(F6164,'MSA-Lookup'!$AA$1:$AB$25,2),C6164),C6164)</f>
        <v>9999</v>
      </c>
    </row>
    <row r="6165" customFormat="false" ht="12.75" hidden="false" customHeight="false" outlineLevel="0" collapsed="false">
      <c r="A6165" s="0" t="n">
        <f aca="false">B6165*1000+C6165</f>
        <v>83006</v>
      </c>
      <c r="B6165" s="0" t="n">
        <v>83</v>
      </c>
      <c r="C6165" s="0" t="n">
        <v>6</v>
      </c>
      <c r="D6165" s="0" t="n">
        <v>0</v>
      </c>
      <c r="E6165" s="0" t="n">
        <f aca="false">VLOOKUP(B6165,'MSA-Lookup'!$H$2:$I$86,2)</f>
        <v>6000</v>
      </c>
      <c r="F6165" s="0" t="n">
        <f aca="false">IF(C6165&gt;1,IF(C6165&lt;99,VLOOKUP(C6165,'MSA-Lookup'!$H$1:$I$86,2),C6165),C6165)</f>
        <v>1620</v>
      </c>
      <c r="G6165" s="0" t="n">
        <f aca="false">VLOOKUP(E6165,'MSA-Lookup'!$AA$1:$AB$25,2)</f>
        <v>4472</v>
      </c>
      <c r="H6165" s="0" t="n">
        <f aca="false">IF(C6165&gt;1,IF(C6165&lt;99,VLOOKUP(F6165,'MSA-Lookup'!$AA$1:$AB$25,2),C6165),C6165)</f>
        <v>1620</v>
      </c>
    </row>
    <row r="6166" customFormat="false" ht="12.75" hidden="false" customHeight="false" outlineLevel="0" collapsed="false">
      <c r="A6166" s="0" t="n">
        <f aca="false">B6166*1000+C6166</f>
        <v>83007</v>
      </c>
      <c r="B6166" s="0" t="n">
        <v>83</v>
      </c>
      <c r="C6166" s="0" t="n">
        <v>7</v>
      </c>
      <c r="D6166" s="0" t="n">
        <v>0</v>
      </c>
      <c r="E6166" s="0" t="n">
        <f aca="false">VLOOKUP(B6166,'MSA-Lookup'!$H$2:$I$86,2)</f>
        <v>6000</v>
      </c>
      <c r="F6166" s="0" t="n">
        <f aca="false">IF(C6166&gt;1,IF(C6166&lt;99,VLOOKUP(C6166,'MSA-Lookup'!$H$1:$I$86,2),C6166),C6166)</f>
        <v>9999</v>
      </c>
      <c r="G6166" s="0" t="n">
        <f aca="false">VLOOKUP(E6166,'MSA-Lookup'!$AA$1:$AB$25,2)</f>
        <v>4472</v>
      </c>
      <c r="H6166" s="0" t="n">
        <f aca="false">IF(C6166&gt;1,IF(C6166&lt;99,VLOOKUP(F6166,'MSA-Lookup'!$AA$1:$AB$25,2),C6166),C6166)</f>
        <v>9999</v>
      </c>
    </row>
    <row r="6167" customFormat="false" ht="12.75" hidden="false" customHeight="false" outlineLevel="0" collapsed="false">
      <c r="A6167" s="0" t="n">
        <f aca="false">B6167*1000+C6167</f>
        <v>83008</v>
      </c>
      <c r="B6167" s="0" t="n">
        <v>83</v>
      </c>
      <c r="C6167" s="0" t="n">
        <v>8</v>
      </c>
      <c r="D6167" s="0" t="n">
        <v>0</v>
      </c>
      <c r="E6167" s="0" t="n">
        <f aca="false">VLOOKUP(B6167,'MSA-Lookup'!$H$2:$I$86,2)</f>
        <v>6000</v>
      </c>
      <c r="F6167" s="0" t="n">
        <f aca="false">IF(C6167&gt;1,IF(C6167&lt;99,VLOOKUP(C6167,'MSA-Lookup'!$H$1:$I$86,2),C6167),C6167)</f>
        <v>9340</v>
      </c>
      <c r="G6167" s="0" t="n">
        <f aca="false">VLOOKUP(E6167,'MSA-Lookup'!$AA$1:$AB$25,2)</f>
        <v>4472</v>
      </c>
      <c r="H6167" s="0" t="n">
        <f aca="false">IF(C6167&gt;1,IF(C6167&lt;99,VLOOKUP(F6167,'MSA-Lookup'!$AA$1:$AB$25,2),C6167),C6167)</f>
        <v>9340</v>
      </c>
    </row>
    <row r="6168" customFormat="false" ht="12.75" hidden="false" customHeight="false" outlineLevel="0" collapsed="false">
      <c r="A6168" s="0" t="n">
        <f aca="false">B6168*1000+C6168</f>
        <v>83009</v>
      </c>
      <c r="B6168" s="0" t="n">
        <v>83</v>
      </c>
      <c r="C6168" s="0" t="n">
        <v>9</v>
      </c>
      <c r="D6168" s="0" t="n">
        <v>0</v>
      </c>
      <c r="E6168" s="0" t="n">
        <f aca="false">VLOOKUP(B6168,'MSA-Lookup'!$H$2:$I$86,2)</f>
        <v>6000</v>
      </c>
      <c r="F6168" s="0" t="n">
        <f aca="false">IF(C6168&gt;1,IF(C6168&lt;99,VLOOKUP(C6168,'MSA-Lookup'!$H$1:$I$86,2),C6168),C6168)</f>
        <v>8720</v>
      </c>
      <c r="G6168" s="0" t="n">
        <f aca="false">VLOOKUP(E6168,'MSA-Lookup'!$AA$1:$AB$25,2)</f>
        <v>4472</v>
      </c>
      <c r="H6168" s="0" t="n">
        <f aca="false">IF(C6168&gt;1,IF(C6168&lt;99,VLOOKUP(F6168,'MSA-Lookup'!$AA$1:$AB$25,2),C6168),C6168)</f>
        <v>7362</v>
      </c>
    </row>
    <row r="6169" customFormat="false" ht="12.75" hidden="false" customHeight="false" outlineLevel="0" collapsed="false">
      <c r="A6169" s="0" t="n">
        <f aca="false">B6169*1000+C6169</f>
        <v>83010</v>
      </c>
      <c r="B6169" s="0" t="n">
        <v>83</v>
      </c>
      <c r="C6169" s="0" t="n">
        <v>10</v>
      </c>
      <c r="D6169" s="0" t="n">
        <v>0</v>
      </c>
      <c r="E6169" s="0" t="n">
        <f aca="false">VLOOKUP(B6169,'MSA-Lookup'!$H$2:$I$86,2)</f>
        <v>6000</v>
      </c>
      <c r="F6169" s="0" t="n">
        <f aca="false">IF(C6169&gt;1,IF(C6169&lt;99,VLOOKUP(C6169,'MSA-Lookup'!$H$1:$I$86,2),C6169),C6169)</f>
        <v>6920</v>
      </c>
      <c r="G6169" s="0" t="n">
        <f aca="false">VLOOKUP(E6169,'MSA-Lookup'!$AA$1:$AB$25,2)</f>
        <v>4472</v>
      </c>
      <c r="H6169" s="0" t="n">
        <f aca="false">IF(C6169&gt;1,IF(C6169&lt;99,VLOOKUP(F6169,'MSA-Lookup'!$AA$1:$AB$25,2),C6169),C6169)</f>
        <v>6920</v>
      </c>
    </row>
    <row r="6170" customFormat="false" ht="12.75" hidden="false" customHeight="false" outlineLevel="0" collapsed="false">
      <c r="A6170" s="0" t="n">
        <f aca="false">B6170*1000+C6170</f>
        <v>83011</v>
      </c>
      <c r="B6170" s="0" t="n">
        <v>83</v>
      </c>
      <c r="C6170" s="0" t="n">
        <v>11</v>
      </c>
      <c r="D6170" s="0" t="n">
        <v>0</v>
      </c>
      <c r="E6170" s="0" t="n">
        <f aca="false">VLOOKUP(B6170,'MSA-Lookup'!$H$2:$I$86,2)</f>
        <v>6000</v>
      </c>
      <c r="F6170" s="0" t="n">
        <f aca="false">IF(C6170&gt;1,IF(C6170&lt;99,VLOOKUP(C6170,'MSA-Lookup'!$H$1:$I$86,2),C6170),C6170)</f>
        <v>6920</v>
      </c>
      <c r="G6170" s="0" t="n">
        <f aca="false">VLOOKUP(E6170,'MSA-Lookup'!$AA$1:$AB$25,2)</f>
        <v>4472</v>
      </c>
      <c r="H6170" s="0" t="n">
        <f aca="false">IF(C6170&gt;1,IF(C6170&lt;99,VLOOKUP(F6170,'MSA-Lookup'!$AA$1:$AB$25,2),C6170),C6170)</f>
        <v>6920</v>
      </c>
    </row>
    <row r="6171" customFormat="false" ht="12.75" hidden="false" customHeight="false" outlineLevel="0" collapsed="false">
      <c r="A6171" s="0" t="n">
        <f aca="false">B6171*1000+C6171</f>
        <v>83012</v>
      </c>
      <c r="B6171" s="0" t="n">
        <v>83</v>
      </c>
      <c r="C6171" s="0" t="n">
        <v>12</v>
      </c>
      <c r="D6171" s="0" t="n">
        <v>0</v>
      </c>
      <c r="E6171" s="0" t="n">
        <f aca="false">VLOOKUP(B6171,'MSA-Lookup'!$H$2:$I$86,2)</f>
        <v>6000</v>
      </c>
      <c r="F6171" s="0" t="n">
        <f aca="false">IF(C6171&gt;1,IF(C6171&lt;99,VLOOKUP(C6171,'MSA-Lookup'!$H$1:$I$86,2),C6171),C6171)</f>
        <v>6920</v>
      </c>
      <c r="G6171" s="0" t="n">
        <f aca="false">VLOOKUP(E6171,'MSA-Lookup'!$AA$1:$AB$25,2)</f>
        <v>4472</v>
      </c>
      <c r="H6171" s="0" t="n">
        <f aca="false">IF(C6171&gt;1,IF(C6171&lt;99,VLOOKUP(F6171,'MSA-Lookup'!$AA$1:$AB$25,2),C6171),C6171)</f>
        <v>6920</v>
      </c>
    </row>
    <row r="6172" customFormat="false" ht="12.75" hidden="false" customHeight="false" outlineLevel="0" collapsed="false">
      <c r="A6172" s="0" t="n">
        <f aca="false">B6172*1000+C6172</f>
        <v>83013</v>
      </c>
      <c r="B6172" s="0" t="n">
        <v>83</v>
      </c>
      <c r="C6172" s="0" t="n">
        <v>13</v>
      </c>
      <c r="D6172" s="0" t="n">
        <v>0</v>
      </c>
      <c r="E6172" s="0" t="n">
        <f aca="false">VLOOKUP(B6172,'MSA-Lookup'!$H$2:$I$86,2)</f>
        <v>6000</v>
      </c>
      <c r="F6172" s="0" t="n">
        <f aca="false">IF(C6172&gt;1,IF(C6172&lt;99,VLOOKUP(C6172,'MSA-Lookup'!$H$1:$I$86,2),C6172),C6172)</f>
        <v>7500</v>
      </c>
      <c r="G6172" s="0" t="n">
        <f aca="false">VLOOKUP(E6172,'MSA-Lookup'!$AA$1:$AB$25,2)</f>
        <v>4472</v>
      </c>
      <c r="H6172" s="0" t="n">
        <f aca="false">IF(C6172&gt;1,IF(C6172&lt;99,VLOOKUP(F6172,'MSA-Lookup'!$AA$1:$AB$25,2),C6172),C6172)</f>
        <v>7362</v>
      </c>
    </row>
    <row r="6173" customFormat="false" ht="12.75" hidden="false" customHeight="false" outlineLevel="0" collapsed="false">
      <c r="A6173" s="0" t="n">
        <f aca="false">B6173*1000+C6173</f>
        <v>83014</v>
      </c>
      <c r="B6173" s="0" t="n">
        <v>83</v>
      </c>
      <c r="C6173" s="0" t="n">
        <v>14</v>
      </c>
      <c r="D6173" s="0" t="n">
        <v>0</v>
      </c>
      <c r="E6173" s="0" t="n">
        <f aca="false">VLOOKUP(B6173,'MSA-Lookup'!$H$2:$I$86,2)</f>
        <v>6000</v>
      </c>
      <c r="F6173" s="0" t="n">
        <f aca="false">IF(C6173&gt;1,IF(C6173&lt;99,VLOOKUP(C6173,'MSA-Lookup'!$H$1:$I$86,2),C6173),C6173)</f>
        <v>7500</v>
      </c>
      <c r="G6173" s="0" t="n">
        <f aca="false">VLOOKUP(E6173,'MSA-Lookup'!$AA$1:$AB$25,2)</f>
        <v>4472</v>
      </c>
      <c r="H6173" s="0" t="n">
        <f aca="false">IF(C6173&gt;1,IF(C6173&lt;99,VLOOKUP(F6173,'MSA-Lookup'!$AA$1:$AB$25,2),C6173),C6173)</f>
        <v>7362</v>
      </c>
    </row>
    <row r="6174" customFormat="false" ht="12.75" hidden="false" customHeight="false" outlineLevel="0" collapsed="false">
      <c r="A6174" s="0" t="n">
        <f aca="false">B6174*1000+C6174</f>
        <v>83015</v>
      </c>
      <c r="B6174" s="0" t="n">
        <v>83</v>
      </c>
      <c r="C6174" s="0" t="n">
        <v>15</v>
      </c>
      <c r="D6174" s="0" t="n">
        <v>0</v>
      </c>
      <c r="E6174" s="0" t="n">
        <f aca="false">VLOOKUP(B6174,'MSA-Lookup'!$H$2:$I$86,2)</f>
        <v>6000</v>
      </c>
      <c r="F6174" s="0" t="n">
        <f aca="false">IF(C6174&gt;1,IF(C6174&lt;99,VLOOKUP(C6174,'MSA-Lookup'!$H$1:$I$86,2),C6174),C6174)</f>
        <v>7360</v>
      </c>
      <c r="G6174" s="0" t="n">
        <f aca="false">VLOOKUP(E6174,'MSA-Lookup'!$AA$1:$AB$25,2)</f>
        <v>4472</v>
      </c>
      <c r="H6174" s="0" t="n">
        <f aca="false">IF(C6174&gt;1,IF(C6174&lt;99,VLOOKUP(F6174,'MSA-Lookup'!$AA$1:$AB$25,2),C6174),C6174)</f>
        <v>7362</v>
      </c>
    </row>
    <row r="6175" customFormat="false" ht="12.75" hidden="false" customHeight="false" outlineLevel="0" collapsed="false">
      <c r="A6175" s="0" t="n">
        <f aca="false">B6175*1000+C6175</f>
        <v>83016</v>
      </c>
      <c r="B6175" s="0" t="n">
        <v>83</v>
      </c>
      <c r="C6175" s="0" t="n">
        <v>16</v>
      </c>
      <c r="D6175" s="0" t="n">
        <v>0</v>
      </c>
      <c r="E6175" s="0" t="n">
        <f aca="false">VLOOKUP(B6175,'MSA-Lookup'!$H$2:$I$86,2)</f>
        <v>6000</v>
      </c>
      <c r="F6175" s="0" t="n">
        <f aca="false">IF(C6175&gt;1,IF(C6175&lt;99,VLOOKUP(C6175,'MSA-Lookup'!$H$1:$I$86,2),C6175),C6175)</f>
        <v>8720</v>
      </c>
      <c r="G6175" s="0" t="n">
        <f aca="false">VLOOKUP(E6175,'MSA-Lookup'!$AA$1:$AB$25,2)</f>
        <v>4472</v>
      </c>
      <c r="H6175" s="0" t="n">
        <f aca="false">IF(C6175&gt;1,IF(C6175&lt;99,VLOOKUP(F6175,'MSA-Lookup'!$AA$1:$AB$25,2),C6175),C6175)</f>
        <v>7362</v>
      </c>
    </row>
    <row r="6176" customFormat="false" ht="12.75" hidden="false" customHeight="false" outlineLevel="0" collapsed="false">
      <c r="A6176" s="0" t="n">
        <f aca="false">B6176*1000+C6176</f>
        <v>83017</v>
      </c>
      <c r="B6176" s="0" t="n">
        <v>83</v>
      </c>
      <c r="C6176" s="0" t="n">
        <v>17</v>
      </c>
      <c r="D6176" s="0" t="n">
        <v>0</v>
      </c>
      <c r="E6176" s="0" t="n">
        <f aca="false">VLOOKUP(B6176,'MSA-Lookup'!$H$2:$I$86,2)</f>
        <v>6000</v>
      </c>
      <c r="F6176" s="0" t="n">
        <f aca="false">IF(C6176&gt;1,IF(C6176&lt;99,VLOOKUP(C6176,'MSA-Lookup'!$H$1:$I$86,2),C6176),C6176)</f>
        <v>5775</v>
      </c>
      <c r="G6176" s="0" t="n">
        <f aca="false">VLOOKUP(E6176,'MSA-Lookup'!$AA$1:$AB$25,2)</f>
        <v>4472</v>
      </c>
      <c r="H6176" s="0" t="n">
        <f aca="false">IF(C6176&gt;1,IF(C6176&lt;99,VLOOKUP(F6176,'MSA-Lookup'!$AA$1:$AB$25,2),C6176),C6176)</f>
        <v>7362</v>
      </c>
    </row>
    <row r="6177" customFormat="false" ht="12.75" hidden="false" customHeight="false" outlineLevel="0" collapsed="false">
      <c r="A6177" s="0" t="n">
        <f aca="false">B6177*1000+C6177</f>
        <v>83018</v>
      </c>
      <c r="B6177" s="0" t="n">
        <v>83</v>
      </c>
      <c r="C6177" s="0" t="n">
        <v>18</v>
      </c>
      <c r="D6177" s="0" t="n">
        <v>0</v>
      </c>
      <c r="E6177" s="0" t="n">
        <f aca="false">VLOOKUP(B6177,'MSA-Lookup'!$H$2:$I$86,2)</f>
        <v>6000</v>
      </c>
      <c r="F6177" s="0" t="n">
        <f aca="false">IF(C6177&gt;1,IF(C6177&lt;99,VLOOKUP(C6177,'MSA-Lookup'!$H$1:$I$86,2),C6177),C6177)</f>
        <v>5775</v>
      </c>
      <c r="G6177" s="0" t="n">
        <f aca="false">VLOOKUP(E6177,'MSA-Lookup'!$AA$1:$AB$25,2)</f>
        <v>4472</v>
      </c>
      <c r="H6177" s="0" t="n">
        <f aca="false">IF(C6177&gt;1,IF(C6177&lt;99,VLOOKUP(F6177,'MSA-Lookup'!$AA$1:$AB$25,2),C6177),C6177)</f>
        <v>7362</v>
      </c>
    </row>
    <row r="6178" customFormat="false" ht="12.75" hidden="false" customHeight="false" outlineLevel="0" collapsed="false">
      <c r="A6178" s="0" t="n">
        <f aca="false">B6178*1000+C6178</f>
        <v>83019</v>
      </c>
      <c r="B6178" s="0" t="n">
        <v>83</v>
      </c>
      <c r="C6178" s="0" t="n">
        <v>19</v>
      </c>
      <c r="D6178" s="0" t="n">
        <v>0</v>
      </c>
      <c r="E6178" s="0" t="n">
        <f aca="false">VLOOKUP(B6178,'MSA-Lookup'!$H$2:$I$86,2)</f>
        <v>6000</v>
      </c>
      <c r="F6178" s="0" t="n">
        <f aca="false">IF(C6178&gt;1,IF(C6178&lt;99,VLOOKUP(C6178,'MSA-Lookup'!$H$1:$I$86,2),C6178),C6178)</f>
        <v>7360</v>
      </c>
      <c r="G6178" s="0" t="n">
        <f aca="false">VLOOKUP(E6178,'MSA-Lookup'!$AA$1:$AB$25,2)</f>
        <v>4472</v>
      </c>
      <c r="H6178" s="0" t="n">
        <f aca="false">IF(C6178&gt;1,IF(C6178&lt;99,VLOOKUP(F6178,'MSA-Lookup'!$AA$1:$AB$25,2),C6178),C6178)</f>
        <v>7362</v>
      </c>
    </row>
    <row r="6179" customFormat="false" ht="12.75" hidden="false" customHeight="false" outlineLevel="0" collapsed="false">
      <c r="A6179" s="0" t="n">
        <f aca="false">B6179*1000+C6179</f>
        <v>83020</v>
      </c>
      <c r="B6179" s="0" t="n">
        <v>83</v>
      </c>
      <c r="C6179" s="0" t="n">
        <v>20</v>
      </c>
      <c r="D6179" s="0" t="n">
        <v>0</v>
      </c>
      <c r="E6179" s="0" t="n">
        <f aca="false">VLOOKUP(B6179,'MSA-Lookup'!$H$2:$I$86,2)</f>
        <v>6000</v>
      </c>
      <c r="F6179" s="0" t="n">
        <f aca="false">IF(C6179&gt;1,IF(C6179&lt;99,VLOOKUP(C6179,'MSA-Lookup'!$H$1:$I$86,2),C6179),C6179)</f>
        <v>5775</v>
      </c>
      <c r="G6179" s="0" t="n">
        <f aca="false">VLOOKUP(E6179,'MSA-Lookup'!$AA$1:$AB$25,2)</f>
        <v>4472</v>
      </c>
      <c r="H6179" s="0" t="n">
        <f aca="false">IF(C6179&gt;1,IF(C6179&lt;99,VLOOKUP(F6179,'MSA-Lookup'!$AA$1:$AB$25,2),C6179),C6179)</f>
        <v>7362</v>
      </c>
    </row>
    <row r="6180" customFormat="false" ht="12.75" hidden="false" customHeight="false" outlineLevel="0" collapsed="false">
      <c r="A6180" s="0" t="n">
        <f aca="false">B6180*1000+C6180</f>
        <v>83021</v>
      </c>
      <c r="B6180" s="0" t="n">
        <v>83</v>
      </c>
      <c r="C6180" s="0" t="n">
        <v>21</v>
      </c>
      <c r="D6180" s="0" t="n">
        <v>0</v>
      </c>
      <c r="E6180" s="0" t="n">
        <f aca="false">VLOOKUP(B6180,'MSA-Lookup'!$H$2:$I$86,2)</f>
        <v>6000</v>
      </c>
      <c r="F6180" s="0" t="n">
        <f aca="false">IF(C6180&gt;1,IF(C6180&lt;99,VLOOKUP(C6180,'MSA-Lookup'!$H$1:$I$86,2),C6180),C6180)</f>
        <v>5775</v>
      </c>
      <c r="G6180" s="0" t="n">
        <f aca="false">VLOOKUP(E6180,'MSA-Lookup'!$AA$1:$AB$25,2)</f>
        <v>4472</v>
      </c>
      <c r="H6180" s="0" t="n">
        <f aca="false">IF(C6180&gt;1,IF(C6180&lt;99,VLOOKUP(F6180,'MSA-Lookup'!$AA$1:$AB$25,2),C6180),C6180)</f>
        <v>7362</v>
      </c>
    </row>
    <row r="6181" customFormat="false" ht="12.75" hidden="false" customHeight="false" outlineLevel="0" collapsed="false">
      <c r="A6181" s="0" t="n">
        <f aca="false">B6181*1000+C6181</f>
        <v>83022</v>
      </c>
      <c r="B6181" s="0" t="n">
        <v>83</v>
      </c>
      <c r="C6181" s="0" t="n">
        <v>22</v>
      </c>
      <c r="D6181" s="0" t="n">
        <v>78</v>
      </c>
      <c r="E6181" s="0" t="n">
        <f aca="false">VLOOKUP(B6181,'MSA-Lookup'!$H$2:$I$86,2)</f>
        <v>6000</v>
      </c>
      <c r="F6181" s="0" t="n">
        <f aca="false">IF(C6181&gt;1,IF(C6181&lt;99,VLOOKUP(C6181,'MSA-Lookup'!$H$1:$I$86,2),C6181),C6181)</f>
        <v>7360</v>
      </c>
      <c r="G6181" s="0" t="n">
        <f aca="false">VLOOKUP(E6181,'MSA-Lookup'!$AA$1:$AB$25,2)</f>
        <v>4472</v>
      </c>
      <c r="H6181" s="0" t="n">
        <f aca="false">IF(C6181&gt;1,IF(C6181&lt;99,VLOOKUP(F6181,'MSA-Lookup'!$AA$1:$AB$25,2),C6181),C6181)</f>
        <v>7362</v>
      </c>
    </row>
    <row r="6182" customFormat="false" ht="12.75" hidden="false" customHeight="false" outlineLevel="0" collapsed="false">
      <c r="A6182" s="0" t="n">
        <f aca="false">B6182*1000+C6182</f>
        <v>83023</v>
      </c>
      <c r="B6182" s="0" t="n">
        <v>83</v>
      </c>
      <c r="C6182" s="0" t="n">
        <v>23</v>
      </c>
      <c r="D6182" s="0" t="n">
        <v>0</v>
      </c>
      <c r="E6182" s="0" t="n">
        <f aca="false">VLOOKUP(B6182,'MSA-Lookup'!$H$2:$I$86,2)</f>
        <v>6000</v>
      </c>
      <c r="F6182" s="0" t="n">
        <f aca="false">IF(C6182&gt;1,IF(C6182&lt;99,VLOOKUP(C6182,'MSA-Lookup'!$H$1:$I$86,2),C6182),C6182)</f>
        <v>8120</v>
      </c>
      <c r="G6182" s="0" t="n">
        <f aca="false">VLOOKUP(E6182,'MSA-Lookup'!$AA$1:$AB$25,2)</f>
        <v>4472</v>
      </c>
      <c r="H6182" s="0" t="n">
        <f aca="false">IF(C6182&gt;1,IF(C6182&lt;99,VLOOKUP(F6182,'MSA-Lookup'!$AA$1:$AB$25,2),C6182),C6182)</f>
        <v>8120</v>
      </c>
    </row>
    <row r="6183" customFormat="false" ht="12.75" hidden="false" customHeight="false" outlineLevel="0" collapsed="false">
      <c r="A6183" s="0" t="n">
        <f aca="false">B6183*1000+C6183</f>
        <v>83024</v>
      </c>
      <c r="B6183" s="0" t="n">
        <v>83</v>
      </c>
      <c r="C6183" s="0" t="n">
        <v>24</v>
      </c>
      <c r="D6183" s="0" t="n">
        <v>0</v>
      </c>
      <c r="E6183" s="0" t="n">
        <f aca="false">VLOOKUP(B6183,'MSA-Lookup'!$H$2:$I$86,2)</f>
        <v>6000</v>
      </c>
      <c r="F6183" s="0" t="n">
        <f aca="false">IF(C6183&gt;1,IF(C6183&lt;99,VLOOKUP(C6183,'MSA-Lookup'!$H$1:$I$86,2),C6183),C6183)</f>
        <v>5170</v>
      </c>
      <c r="G6183" s="0" t="n">
        <f aca="false">VLOOKUP(E6183,'MSA-Lookup'!$AA$1:$AB$25,2)</f>
        <v>4472</v>
      </c>
      <c r="H6183" s="0" t="n">
        <f aca="false">IF(C6183&gt;1,IF(C6183&lt;99,VLOOKUP(F6183,'MSA-Lookup'!$AA$1:$AB$25,2),C6183),C6183)</f>
        <v>5170</v>
      </c>
    </row>
    <row r="6184" customFormat="false" ht="12.75" hidden="false" customHeight="false" outlineLevel="0" collapsed="false">
      <c r="A6184" s="0" t="n">
        <f aca="false">B6184*1000+C6184</f>
        <v>83025</v>
      </c>
      <c r="B6184" s="0" t="n">
        <v>83</v>
      </c>
      <c r="C6184" s="0" t="n">
        <v>25</v>
      </c>
      <c r="D6184" s="0" t="n">
        <v>0</v>
      </c>
      <c r="E6184" s="0" t="n">
        <f aca="false">VLOOKUP(B6184,'MSA-Lookup'!$H$2:$I$86,2)</f>
        <v>6000</v>
      </c>
      <c r="F6184" s="0" t="n">
        <f aca="false">IF(C6184&gt;1,IF(C6184&lt;99,VLOOKUP(C6184,'MSA-Lookup'!$H$1:$I$86,2),C6184),C6184)</f>
        <v>5170</v>
      </c>
      <c r="G6184" s="0" t="n">
        <f aca="false">VLOOKUP(E6184,'MSA-Lookup'!$AA$1:$AB$25,2)</f>
        <v>4472</v>
      </c>
      <c r="H6184" s="0" t="n">
        <f aca="false">IF(C6184&gt;1,IF(C6184&lt;99,VLOOKUP(F6184,'MSA-Lookup'!$AA$1:$AB$25,2),C6184),C6184)</f>
        <v>5170</v>
      </c>
    </row>
    <row r="6185" customFormat="false" ht="12.75" hidden="false" customHeight="false" outlineLevel="0" collapsed="false">
      <c r="A6185" s="0" t="n">
        <f aca="false">B6185*1000+C6185</f>
        <v>83026</v>
      </c>
      <c r="B6185" s="0" t="n">
        <v>83</v>
      </c>
      <c r="C6185" s="0" t="n">
        <v>26</v>
      </c>
      <c r="D6185" s="0" t="n">
        <v>0</v>
      </c>
      <c r="E6185" s="0" t="n">
        <f aca="false">VLOOKUP(B6185,'MSA-Lookup'!$H$2:$I$86,2)</f>
        <v>6000</v>
      </c>
      <c r="F6185" s="0" t="n">
        <f aca="false">IF(C6185&gt;1,IF(C6185&lt;99,VLOOKUP(C6185,'MSA-Lookup'!$H$1:$I$86,2),C6185),C6185)</f>
        <v>9999</v>
      </c>
      <c r="G6185" s="0" t="n">
        <f aca="false">VLOOKUP(E6185,'MSA-Lookup'!$AA$1:$AB$25,2)</f>
        <v>4472</v>
      </c>
      <c r="H6185" s="0" t="n">
        <f aca="false">IF(C6185&gt;1,IF(C6185&lt;99,VLOOKUP(F6185,'MSA-Lookup'!$AA$1:$AB$25,2),C6185),C6185)</f>
        <v>9999</v>
      </c>
    </row>
    <row r="6186" customFormat="false" ht="12.75" hidden="false" customHeight="false" outlineLevel="0" collapsed="false">
      <c r="A6186" s="0" t="n">
        <f aca="false">B6186*1000+C6186</f>
        <v>83027</v>
      </c>
      <c r="B6186" s="0" t="n">
        <v>83</v>
      </c>
      <c r="C6186" s="0" t="n">
        <v>27</v>
      </c>
      <c r="D6186" s="0" t="n">
        <v>0</v>
      </c>
      <c r="E6186" s="0" t="n">
        <f aca="false">VLOOKUP(B6186,'MSA-Lookup'!$H$2:$I$86,2)</f>
        <v>6000</v>
      </c>
      <c r="F6186" s="0" t="n">
        <f aca="false">IF(C6186&gt;1,IF(C6186&lt;99,VLOOKUP(C6186,'MSA-Lookup'!$H$1:$I$86,2),C6186),C6186)</f>
        <v>9999</v>
      </c>
      <c r="G6186" s="0" t="n">
        <f aca="false">VLOOKUP(E6186,'MSA-Lookup'!$AA$1:$AB$25,2)</f>
        <v>4472</v>
      </c>
      <c r="H6186" s="0" t="n">
        <f aca="false">IF(C6186&gt;1,IF(C6186&lt;99,VLOOKUP(F6186,'MSA-Lookup'!$AA$1:$AB$25,2),C6186),C6186)</f>
        <v>9999</v>
      </c>
    </row>
    <row r="6187" customFormat="false" ht="12.75" hidden="false" customHeight="false" outlineLevel="0" collapsed="false">
      <c r="A6187" s="0" t="n">
        <f aca="false">B6187*1000+C6187</f>
        <v>83028</v>
      </c>
      <c r="B6187" s="0" t="n">
        <v>83</v>
      </c>
      <c r="C6187" s="0" t="n">
        <v>28</v>
      </c>
      <c r="D6187" s="0" t="n">
        <v>0</v>
      </c>
      <c r="E6187" s="0" t="n">
        <f aca="false">VLOOKUP(B6187,'MSA-Lookup'!$H$2:$I$86,2)</f>
        <v>6000</v>
      </c>
      <c r="F6187" s="0" t="n">
        <f aca="false">IF(C6187&gt;1,IF(C6187&lt;99,VLOOKUP(C6187,'MSA-Lookup'!$H$1:$I$86,2),C6187),C6187)</f>
        <v>6920</v>
      </c>
      <c r="G6187" s="0" t="n">
        <f aca="false">VLOOKUP(E6187,'MSA-Lookup'!$AA$1:$AB$25,2)</f>
        <v>4472</v>
      </c>
      <c r="H6187" s="0" t="n">
        <f aca="false">IF(C6187&gt;1,IF(C6187&lt;99,VLOOKUP(F6187,'MSA-Lookup'!$AA$1:$AB$25,2),C6187),C6187)</f>
        <v>6920</v>
      </c>
    </row>
    <row r="6188" customFormat="false" ht="12.75" hidden="false" customHeight="false" outlineLevel="0" collapsed="false">
      <c r="A6188" s="0" t="n">
        <f aca="false">B6188*1000+C6188</f>
        <v>83029</v>
      </c>
      <c r="B6188" s="0" t="n">
        <v>83</v>
      </c>
      <c r="C6188" s="0" t="n">
        <v>29</v>
      </c>
      <c r="D6188" s="0" t="n">
        <v>0</v>
      </c>
      <c r="E6188" s="0" t="n">
        <f aca="false">VLOOKUP(B6188,'MSA-Lookup'!$H$2:$I$86,2)</f>
        <v>6000</v>
      </c>
      <c r="F6188" s="0" t="n">
        <f aca="false">IF(C6188&gt;1,IF(C6188&lt;99,VLOOKUP(C6188,'MSA-Lookup'!$H$1:$I$86,2),C6188),C6188)</f>
        <v>6920</v>
      </c>
      <c r="G6188" s="0" t="n">
        <f aca="false">VLOOKUP(E6188,'MSA-Lookup'!$AA$1:$AB$25,2)</f>
        <v>4472</v>
      </c>
      <c r="H6188" s="0" t="n">
        <f aca="false">IF(C6188&gt;1,IF(C6188&lt;99,VLOOKUP(F6188,'MSA-Lookup'!$AA$1:$AB$25,2),C6188),C6188)</f>
        <v>6920</v>
      </c>
    </row>
    <row r="6189" customFormat="false" ht="12.75" hidden="false" customHeight="false" outlineLevel="0" collapsed="false">
      <c r="A6189" s="0" t="n">
        <f aca="false">B6189*1000+C6189</f>
        <v>83030</v>
      </c>
      <c r="B6189" s="0" t="n">
        <v>83</v>
      </c>
      <c r="C6189" s="0" t="n">
        <v>30</v>
      </c>
      <c r="D6189" s="0" t="n">
        <v>0</v>
      </c>
      <c r="E6189" s="0" t="n">
        <f aca="false">VLOOKUP(B6189,'MSA-Lookup'!$H$2:$I$86,2)</f>
        <v>6000</v>
      </c>
      <c r="F6189" s="0" t="n">
        <f aca="false">IF(C6189&gt;1,IF(C6189&lt;99,VLOOKUP(C6189,'MSA-Lookup'!$H$1:$I$86,2),C6189),C6189)</f>
        <v>4940</v>
      </c>
      <c r="G6189" s="0" t="n">
        <f aca="false">VLOOKUP(E6189,'MSA-Lookup'!$AA$1:$AB$25,2)</f>
        <v>4472</v>
      </c>
      <c r="H6189" s="0" t="n">
        <f aca="false">IF(C6189&gt;1,IF(C6189&lt;99,VLOOKUP(F6189,'MSA-Lookup'!$AA$1:$AB$25,2),C6189),C6189)</f>
        <v>4940</v>
      </c>
    </row>
    <row r="6190" customFormat="false" ht="12.75" hidden="false" customHeight="false" outlineLevel="0" collapsed="false">
      <c r="A6190" s="0" t="n">
        <f aca="false">B6190*1000+C6190</f>
        <v>83031</v>
      </c>
      <c r="B6190" s="0" t="n">
        <v>83</v>
      </c>
      <c r="C6190" s="0" t="n">
        <v>31</v>
      </c>
      <c r="D6190" s="0" t="n">
        <v>0</v>
      </c>
      <c r="E6190" s="0" t="n">
        <f aca="false">VLOOKUP(B6190,'MSA-Lookup'!$H$2:$I$86,2)</f>
        <v>6000</v>
      </c>
      <c r="F6190" s="0" t="n">
        <f aca="false">IF(C6190&gt;1,IF(C6190&lt;99,VLOOKUP(C6190,'MSA-Lookup'!$H$1:$I$86,2),C6190),C6190)</f>
        <v>9999</v>
      </c>
      <c r="G6190" s="0" t="n">
        <f aca="false">VLOOKUP(E6190,'MSA-Lookup'!$AA$1:$AB$25,2)</f>
        <v>4472</v>
      </c>
      <c r="H6190" s="0" t="n">
        <f aca="false">IF(C6190&gt;1,IF(C6190&lt;99,VLOOKUP(F6190,'MSA-Lookup'!$AA$1:$AB$25,2),C6190),C6190)</f>
        <v>9999</v>
      </c>
    </row>
    <row r="6191" customFormat="false" ht="12.75" hidden="false" customHeight="false" outlineLevel="0" collapsed="false">
      <c r="A6191" s="0" t="n">
        <f aca="false">B6191*1000+C6191</f>
        <v>83032</v>
      </c>
      <c r="B6191" s="0" t="n">
        <v>83</v>
      </c>
      <c r="C6191" s="0" t="n">
        <v>32</v>
      </c>
      <c r="D6191" s="0" t="n">
        <v>520</v>
      </c>
      <c r="E6191" s="0" t="n">
        <f aca="false">VLOOKUP(B6191,'MSA-Lookup'!$H$2:$I$86,2)</f>
        <v>6000</v>
      </c>
      <c r="F6191" s="0" t="n">
        <f aca="false">IF(C6191&gt;1,IF(C6191&lt;99,VLOOKUP(C6191,'MSA-Lookup'!$H$1:$I$86,2),C6191),C6191)</f>
        <v>7480</v>
      </c>
      <c r="G6191" s="0" t="n">
        <f aca="false">VLOOKUP(E6191,'MSA-Lookup'!$AA$1:$AB$25,2)</f>
        <v>4472</v>
      </c>
      <c r="H6191" s="0" t="n">
        <f aca="false">IF(C6191&gt;1,IF(C6191&lt;99,VLOOKUP(F6191,'MSA-Lookup'!$AA$1:$AB$25,2),C6191),C6191)</f>
        <v>7480</v>
      </c>
    </row>
    <row r="6192" customFormat="false" ht="12.75" hidden="false" customHeight="false" outlineLevel="0" collapsed="false">
      <c r="A6192" s="0" t="n">
        <f aca="false">B6192*1000+C6192</f>
        <v>83033</v>
      </c>
      <c r="B6192" s="0" t="n">
        <v>83</v>
      </c>
      <c r="C6192" s="0" t="n">
        <v>33</v>
      </c>
      <c r="D6192" s="0" t="n">
        <v>91</v>
      </c>
      <c r="E6192" s="0" t="n">
        <f aca="false">VLOOKUP(B6192,'MSA-Lookup'!$H$2:$I$86,2)</f>
        <v>6000</v>
      </c>
      <c r="F6192" s="0" t="n">
        <f aca="false">IF(C6192&gt;1,IF(C6192&lt;99,VLOOKUP(C6192,'MSA-Lookup'!$H$1:$I$86,2),C6192),C6192)</f>
        <v>7320</v>
      </c>
      <c r="G6192" s="0" t="n">
        <f aca="false">VLOOKUP(E6192,'MSA-Lookup'!$AA$1:$AB$25,2)</f>
        <v>4472</v>
      </c>
      <c r="H6192" s="0" t="n">
        <f aca="false">IF(C6192&gt;1,IF(C6192&lt;99,VLOOKUP(F6192,'MSA-Lookup'!$AA$1:$AB$25,2),C6192),C6192)</f>
        <v>7320</v>
      </c>
    </row>
    <row r="6193" customFormat="false" ht="12.75" hidden="false" customHeight="false" outlineLevel="0" collapsed="false">
      <c r="A6193" s="0" t="n">
        <f aca="false">B6193*1000+C6193</f>
        <v>83034</v>
      </c>
      <c r="B6193" s="0" t="n">
        <v>83</v>
      </c>
      <c r="C6193" s="0" t="n">
        <v>34</v>
      </c>
      <c r="D6193" s="0" t="n">
        <v>0</v>
      </c>
      <c r="E6193" s="0" t="n">
        <f aca="false">VLOOKUP(B6193,'MSA-Lookup'!$H$2:$I$86,2)</f>
        <v>6000</v>
      </c>
      <c r="F6193" s="0" t="n">
        <f aca="false">IF(C6193&gt;1,IF(C6193&lt;99,VLOOKUP(C6193,'MSA-Lookup'!$H$1:$I$86,2),C6193),C6193)</f>
        <v>7320</v>
      </c>
      <c r="G6193" s="0" t="n">
        <f aca="false">VLOOKUP(E6193,'MSA-Lookup'!$AA$1:$AB$25,2)</f>
        <v>4472</v>
      </c>
      <c r="H6193" s="0" t="n">
        <f aca="false">IF(C6193&gt;1,IF(C6193&lt;99,VLOOKUP(F6193,'MSA-Lookup'!$AA$1:$AB$25,2),C6193),C6193)</f>
        <v>7320</v>
      </c>
    </row>
    <row r="6194" customFormat="false" ht="12.75" hidden="false" customHeight="false" outlineLevel="0" collapsed="false">
      <c r="A6194" s="0" t="n">
        <f aca="false">B6194*1000+C6194</f>
        <v>83035</v>
      </c>
      <c r="B6194" s="0" t="n">
        <v>83</v>
      </c>
      <c r="C6194" s="0" t="n">
        <v>35</v>
      </c>
      <c r="D6194" s="0" t="n">
        <v>0</v>
      </c>
      <c r="E6194" s="0" t="n">
        <f aca="false">VLOOKUP(B6194,'MSA-Lookup'!$H$2:$I$86,2)</f>
        <v>6000</v>
      </c>
      <c r="F6194" s="0" t="n">
        <f aca="false">IF(C6194&gt;1,IF(C6194&lt;99,VLOOKUP(C6194,'MSA-Lookup'!$H$1:$I$86,2),C6194),C6194)</f>
        <v>7320</v>
      </c>
      <c r="G6194" s="0" t="n">
        <f aca="false">VLOOKUP(E6194,'MSA-Lookup'!$AA$1:$AB$25,2)</f>
        <v>4472</v>
      </c>
      <c r="H6194" s="0" t="n">
        <f aca="false">IF(C6194&gt;1,IF(C6194&lt;99,VLOOKUP(F6194,'MSA-Lookup'!$AA$1:$AB$25,2),C6194),C6194)</f>
        <v>7320</v>
      </c>
    </row>
    <row r="6195" customFormat="false" ht="12.75" hidden="false" customHeight="false" outlineLevel="0" collapsed="false">
      <c r="A6195" s="0" t="n">
        <f aca="false">B6195*1000+C6195</f>
        <v>83036</v>
      </c>
      <c r="B6195" s="0" t="n">
        <v>83</v>
      </c>
      <c r="C6195" s="0" t="n">
        <v>36</v>
      </c>
      <c r="D6195" s="0" t="n">
        <v>0</v>
      </c>
      <c r="E6195" s="0" t="n">
        <f aca="false">VLOOKUP(B6195,'MSA-Lookup'!$H$2:$I$86,2)</f>
        <v>6000</v>
      </c>
      <c r="F6195" s="0" t="n">
        <f aca="false">IF(C6195&gt;1,IF(C6195&lt;99,VLOOKUP(C6195,'MSA-Lookup'!$H$1:$I$86,2),C6195),C6195)</f>
        <v>7320</v>
      </c>
      <c r="G6195" s="0" t="n">
        <f aca="false">VLOOKUP(E6195,'MSA-Lookup'!$AA$1:$AB$25,2)</f>
        <v>4472</v>
      </c>
      <c r="H6195" s="0" t="n">
        <f aca="false">IF(C6195&gt;1,IF(C6195&lt;99,VLOOKUP(F6195,'MSA-Lookup'!$AA$1:$AB$25,2),C6195),C6195)</f>
        <v>7320</v>
      </c>
    </row>
    <row r="6196" customFormat="false" ht="12.75" hidden="false" customHeight="false" outlineLevel="0" collapsed="false">
      <c r="A6196" s="0" t="n">
        <f aca="false">B6196*1000+C6196</f>
        <v>83037</v>
      </c>
      <c r="B6196" s="0" t="n">
        <v>83</v>
      </c>
      <c r="C6196" s="0" t="n">
        <v>37</v>
      </c>
      <c r="D6196" s="0" t="n">
        <v>0</v>
      </c>
      <c r="E6196" s="0" t="n">
        <f aca="false">VLOOKUP(B6196,'MSA-Lookup'!$H$2:$I$86,2)</f>
        <v>6000</v>
      </c>
      <c r="F6196" s="0" t="n">
        <f aca="false">IF(C6196&gt;1,IF(C6196&lt;99,VLOOKUP(C6196,'MSA-Lookup'!$H$1:$I$86,2),C6196),C6196)</f>
        <v>7320</v>
      </c>
      <c r="G6196" s="0" t="n">
        <f aca="false">VLOOKUP(E6196,'MSA-Lookup'!$AA$1:$AB$25,2)</f>
        <v>4472</v>
      </c>
      <c r="H6196" s="0" t="n">
        <f aca="false">IF(C6196&gt;1,IF(C6196&lt;99,VLOOKUP(F6196,'MSA-Lookup'!$AA$1:$AB$25,2),C6196),C6196)</f>
        <v>7320</v>
      </c>
    </row>
    <row r="6197" customFormat="false" ht="12.75" hidden="false" customHeight="false" outlineLevel="0" collapsed="false">
      <c r="A6197" s="0" t="n">
        <f aca="false">B6197*1000+C6197</f>
        <v>83038</v>
      </c>
      <c r="B6197" s="0" t="n">
        <v>83</v>
      </c>
      <c r="C6197" s="0" t="n">
        <v>38</v>
      </c>
      <c r="D6197" s="0" t="n">
        <v>0</v>
      </c>
      <c r="E6197" s="0" t="n">
        <f aca="false">VLOOKUP(B6197,'MSA-Lookup'!$H$2:$I$86,2)</f>
        <v>6000</v>
      </c>
      <c r="F6197" s="0" t="n">
        <f aca="false">IF(C6197&gt;1,IF(C6197&lt;99,VLOOKUP(C6197,'MSA-Lookup'!$H$1:$I$86,2),C6197),C6197)</f>
        <v>7120</v>
      </c>
      <c r="G6197" s="0" t="n">
        <f aca="false">VLOOKUP(E6197,'MSA-Lookup'!$AA$1:$AB$25,2)</f>
        <v>4472</v>
      </c>
      <c r="H6197" s="0" t="n">
        <f aca="false">IF(C6197&gt;1,IF(C6197&lt;99,VLOOKUP(F6197,'MSA-Lookup'!$AA$1:$AB$25,2),C6197),C6197)</f>
        <v>7120</v>
      </c>
    </row>
    <row r="6198" customFormat="false" ht="12.75" hidden="false" customHeight="false" outlineLevel="0" collapsed="false">
      <c r="A6198" s="0" t="n">
        <f aca="false">B6198*1000+C6198</f>
        <v>83039</v>
      </c>
      <c r="B6198" s="0" t="n">
        <v>83</v>
      </c>
      <c r="C6198" s="0" t="n">
        <v>39</v>
      </c>
      <c r="D6198" s="0" t="n">
        <v>0</v>
      </c>
      <c r="E6198" s="0" t="n">
        <f aca="false">VLOOKUP(B6198,'MSA-Lookup'!$H$2:$I$86,2)</f>
        <v>6000</v>
      </c>
      <c r="F6198" s="0" t="n">
        <f aca="false">IF(C6198&gt;1,IF(C6198&lt;99,VLOOKUP(C6198,'MSA-Lookup'!$H$1:$I$86,2),C6198),C6198)</f>
        <v>7120</v>
      </c>
      <c r="G6198" s="0" t="n">
        <f aca="false">VLOOKUP(E6198,'MSA-Lookup'!$AA$1:$AB$25,2)</f>
        <v>4472</v>
      </c>
      <c r="H6198" s="0" t="n">
        <f aca="false">IF(C6198&gt;1,IF(C6198&lt;99,VLOOKUP(F6198,'MSA-Lookup'!$AA$1:$AB$25,2),C6198),C6198)</f>
        <v>7120</v>
      </c>
    </row>
    <row r="6199" customFormat="false" ht="12.75" hidden="false" customHeight="false" outlineLevel="0" collapsed="false">
      <c r="A6199" s="0" t="n">
        <f aca="false">B6199*1000+C6199</f>
        <v>83040</v>
      </c>
      <c r="B6199" s="0" t="n">
        <v>83</v>
      </c>
      <c r="C6199" s="0" t="n">
        <v>40</v>
      </c>
      <c r="D6199" s="0" t="n">
        <v>0</v>
      </c>
      <c r="E6199" s="0" t="n">
        <f aca="false">VLOOKUP(B6199,'MSA-Lookup'!$H$2:$I$86,2)</f>
        <v>6000</v>
      </c>
      <c r="F6199" s="0" t="n">
        <f aca="false">IF(C6199&gt;1,IF(C6199&lt;99,VLOOKUP(C6199,'MSA-Lookup'!$H$1:$I$86,2),C6199),C6199)</f>
        <v>2840</v>
      </c>
      <c r="G6199" s="0" t="n">
        <f aca="false">VLOOKUP(E6199,'MSA-Lookup'!$AA$1:$AB$25,2)</f>
        <v>4472</v>
      </c>
      <c r="H6199" s="0" t="n">
        <f aca="false">IF(C6199&gt;1,IF(C6199&lt;99,VLOOKUP(F6199,'MSA-Lookup'!$AA$1:$AB$25,2),C6199),C6199)</f>
        <v>2840</v>
      </c>
    </row>
    <row r="6200" customFormat="false" ht="12.75" hidden="false" customHeight="false" outlineLevel="0" collapsed="false">
      <c r="A6200" s="0" t="n">
        <f aca="false">B6200*1000+C6200</f>
        <v>83041</v>
      </c>
      <c r="B6200" s="0" t="n">
        <v>83</v>
      </c>
      <c r="C6200" s="0" t="n">
        <v>41</v>
      </c>
      <c r="D6200" s="0" t="n">
        <v>0</v>
      </c>
      <c r="E6200" s="0" t="n">
        <f aca="false">VLOOKUP(B6200,'MSA-Lookup'!$H$2:$I$86,2)</f>
        <v>6000</v>
      </c>
      <c r="F6200" s="0" t="n">
        <f aca="false">IF(C6200&gt;1,IF(C6200&lt;99,VLOOKUP(C6200,'MSA-Lookup'!$H$1:$I$86,2),C6200),C6200)</f>
        <v>2840</v>
      </c>
      <c r="G6200" s="0" t="n">
        <f aca="false">VLOOKUP(E6200,'MSA-Lookup'!$AA$1:$AB$25,2)</f>
        <v>4472</v>
      </c>
      <c r="H6200" s="0" t="n">
        <f aca="false">IF(C6200&gt;1,IF(C6200&lt;99,VLOOKUP(F6200,'MSA-Lookup'!$AA$1:$AB$25,2),C6200),C6200)</f>
        <v>2840</v>
      </c>
    </row>
    <row r="6201" customFormat="false" ht="12.75" hidden="false" customHeight="false" outlineLevel="0" collapsed="false">
      <c r="A6201" s="0" t="n">
        <f aca="false">B6201*1000+C6201</f>
        <v>83042</v>
      </c>
      <c r="B6201" s="0" t="n">
        <v>83</v>
      </c>
      <c r="C6201" s="0" t="n">
        <v>42</v>
      </c>
      <c r="D6201" s="0" t="n">
        <v>0</v>
      </c>
      <c r="E6201" s="0" t="n">
        <f aca="false">VLOOKUP(B6201,'MSA-Lookup'!$H$2:$I$86,2)</f>
        <v>6000</v>
      </c>
      <c r="F6201" s="0" t="n">
        <f aca="false">IF(C6201&gt;1,IF(C6201&lt;99,VLOOKUP(C6201,'MSA-Lookup'!$H$1:$I$86,2),C6201),C6201)</f>
        <v>360</v>
      </c>
      <c r="G6201" s="0" t="n">
        <f aca="false">VLOOKUP(E6201,'MSA-Lookup'!$AA$1:$AB$25,2)</f>
        <v>4472</v>
      </c>
      <c r="H6201" s="0" t="n">
        <f aca="false">IF(C6201&gt;1,IF(C6201&lt;99,VLOOKUP(F6201,'MSA-Lookup'!$AA$1:$AB$25,2),C6201),C6201)</f>
        <v>4472</v>
      </c>
    </row>
    <row r="6202" customFormat="false" ht="12.75" hidden="false" customHeight="false" outlineLevel="0" collapsed="false">
      <c r="A6202" s="0" t="n">
        <f aca="false">B6202*1000+C6202</f>
        <v>83043</v>
      </c>
      <c r="B6202" s="0" t="n">
        <v>83</v>
      </c>
      <c r="C6202" s="0" t="n">
        <v>43</v>
      </c>
      <c r="D6202" s="0" t="n">
        <v>0</v>
      </c>
      <c r="E6202" s="0" t="n">
        <f aca="false">VLOOKUP(B6202,'MSA-Lookup'!$H$2:$I$86,2)</f>
        <v>6000</v>
      </c>
      <c r="F6202" s="0" t="n">
        <f aca="false">IF(C6202&gt;1,IF(C6202&lt;99,VLOOKUP(C6202,'MSA-Lookup'!$H$1:$I$86,2),C6202),C6202)</f>
        <v>360</v>
      </c>
      <c r="G6202" s="0" t="n">
        <f aca="false">VLOOKUP(E6202,'MSA-Lookup'!$AA$1:$AB$25,2)</f>
        <v>4472</v>
      </c>
      <c r="H6202" s="0" t="n">
        <f aca="false">IF(C6202&gt;1,IF(C6202&lt;99,VLOOKUP(F6202,'MSA-Lookup'!$AA$1:$AB$25,2),C6202),C6202)</f>
        <v>4472</v>
      </c>
    </row>
    <row r="6203" customFormat="false" ht="12.75" hidden="false" customHeight="false" outlineLevel="0" collapsed="false">
      <c r="A6203" s="0" t="n">
        <f aca="false">B6203*1000+C6203</f>
        <v>83044</v>
      </c>
      <c r="B6203" s="0" t="n">
        <v>83</v>
      </c>
      <c r="C6203" s="0" t="n">
        <v>44</v>
      </c>
      <c r="D6203" s="0" t="n">
        <v>0</v>
      </c>
      <c r="E6203" s="0" t="n">
        <f aca="false">VLOOKUP(B6203,'MSA-Lookup'!$H$2:$I$86,2)</f>
        <v>6000</v>
      </c>
      <c r="F6203" s="0" t="n">
        <f aca="false">IF(C6203&gt;1,IF(C6203&lt;99,VLOOKUP(C6203,'MSA-Lookup'!$H$1:$I$86,2),C6203),C6203)</f>
        <v>360</v>
      </c>
      <c r="G6203" s="0" t="n">
        <f aca="false">VLOOKUP(E6203,'MSA-Lookup'!$AA$1:$AB$25,2)</f>
        <v>4472</v>
      </c>
      <c r="H6203" s="0" t="n">
        <f aca="false">IF(C6203&gt;1,IF(C6203&lt;99,VLOOKUP(F6203,'MSA-Lookup'!$AA$1:$AB$25,2),C6203),C6203)</f>
        <v>4472</v>
      </c>
    </row>
    <row r="6204" customFormat="false" ht="12.75" hidden="false" customHeight="false" outlineLevel="0" collapsed="false">
      <c r="A6204" s="0" t="n">
        <f aca="false">B6204*1000+C6204</f>
        <v>83045</v>
      </c>
      <c r="B6204" s="0" t="n">
        <v>83</v>
      </c>
      <c r="C6204" s="0" t="n">
        <v>45</v>
      </c>
      <c r="D6204" s="0" t="n">
        <v>0</v>
      </c>
      <c r="E6204" s="0" t="n">
        <f aca="false">VLOOKUP(B6204,'MSA-Lookup'!$H$2:$I$86,2)</f>
        <v>6000</v>
      </c>
      <c r="F6204" s="0" t="n">
        <f aca="false">IF(C6204&gt;1,IF(C6204&lt;99,VLOOKUP(C6204,'MSA-Lookup'!$H$1:$I$86,2),C6204),C6204)</f>
        <v>360</v>
      </c>
      <c r="G6204" s="0" t="n">
        <f aca="false">VLOOKUP(E6204,'MSA-Lookup'!$AA$1:$AB$25,2)</f>
        <v>4472</v>
      </c>
      <c r="H6204" s="0" t="n">
        <f aca="false">IF(C6204&gt;1,IF(C6204&lt;99,VLOOKUP(F6204,'MSA-Lookup'!$AA$1:$AB$25,2),C6204),C6204)</f>
        <v>4472</v>
      </c>
    </row>
    <row r="6205" customFormat="false" ht="12.75" hidden="false" customHeight="false" outlineLevel="0" collapsed="false">
      <c r="A6205" s="0" t="n">
        <f aca="false">B6205*1000+C6205</f>
        <v>83046</v>
      </c>
      <c r="B6205" s="0" t="n">
        <v>83</v>
      </c>
      <c r="C6205" s="0" t="n">
        <v>46</v>
      </c>
      <c r="D6205" s="0" t="n">
        <v>0</v>
      </c>
      <c r="E6205" s="0" t="n">
        <f aca="false">VLOOKUP(B6205,'MSA-Lookup'!$H$2:$I$86,2)</f>
        <v>6000</v>
      </c>
      <c r="F6205" s="0" t="n">
        <f aca="false">IF(C6205&gt;1,IF(C6205&lt;99,VLOOKUP(C6205,'MSA-Lookup'!$H$1:$I$86,2),C6205),C6205)</f>
        <v>360</v>
      </c>
      <c r="G6205" s="0" t="n">
        <f aca="false">VLOOKUP(E6205,'MSA-Lookup'!$AA$1:$AB$25,2)</f>
        <v>4472</v>
      </c>
      <c r="H6205" s="0" t="n">
        <f aca="false">IF(C6205&gt;1,IF(C6205&lt;99,VLOOKUP(F6205,'MSA-Lookup'!$AA$1:$AB$25,2),C6205),C6205)</f>
        <v>4472</v>
      </c>
    </row>
    <row r="6206" customFormat="false" ht="12.75" hidden="false" customHeight="false" outlineLevel="0" collapsed="false">
      <c r="A6206" s="0" t="n">
        <f aca="false">B6206*1000+C6206</f>
        <v>83047</v>
      </c>
      <c r="B6206" s="0" t="n">
        <v>83</v>
      </c>
      <c r="C6206" s="0" t="n">
        <v>47</v>
      </c>
      <c r="D6206" s="0" t="n">
        <v>0</v>
      </c>
      <c r="E6206" s="0" t="n">
        <f aca="false">VLOOKUP(B6206,'MSA-Lookup'!$H$2:$I$86,2)</f>
        <v>6000</v>
      </c>
      <c r="F6206" s="0" t="n">
        <f aca="false">IF(C6206&gt;1,IF(C6206&lt;99,VLOOKUP(C6206,'MSA-Lookup'!$H$1:$I$86,2),C6206),C6206)</f>
        <v>360</v>
      </c>
      <c r="G6206" s="0" t="n">
        <f aca="false">VLOOKUP(E6206,'MSA-Lookup'!$AA$1:$AB$25,2)</f>
        <v>4472</v>
      </c>
      <c r="H6206" s="0" t="n">
        <f aca="false">IF(C6206&gt;1,IF(C6206&lt;99,VLOOKUP(F6206,'MSA-Lookup'!$AA$1:$AB$25,2),C6206),C6206)</f>
        <v>4472</v>
      </c>
    </row>
    <row r="6207" customFormat="false" ht="12.75" hidden="false" customHeight="false" outlineLevel="0" collapsed="false">
      <c r="A6207" s="0" t="n">
        <f aca="false">B6207*1000+C6207</f>
        <v>83048</v>
      </c>
      <c r="B6207" s="0" t="n">
        <v>83</v>
      </c>
      <c r="C6207" s="0" t="n">
        <v>48</v>
      </c>
      <c r="D6207" s="0" t="n">
        <v>0</v>
      </c>
      <c r="E6207" s="0" t="n">
        <f aca="false">VLOOKUP(B6207,'MSA-Lookup'!$H$2:$I$86,2)</f>
        <v>6000</v>
      </c>
      <c r="F6207" s="0" t="n">
        <f aca="false">IF(C6207&gt;1,IF(C6207&lt;99,VLOOKUP(C6207,'MSA-Lookup'!$H$1:$I$86,2),C6207),C6207)</f>
        <v>360</v>
      </c>
      <c r="G6207" s="0" t="n">
        <f aca="false">VLOOKUP(E6207,'MSA-Lookup'!$AA$1:$AB$25,2)</f>
        <v>4472</v>
      </c>
      <c r="H6207" s="0" t="n">
        <f aca="false">IF(C6207&gt;1,IF(C6207&lt;99,VLOOKUP(F6207,'MSA-Lookup'!$AA$1:$AB$25,2),C6207),C6207)</f>
        <v>4472</v>
      </c>
    </row>
    <row r="6208" customFormat="false" ht="12.75" hidden="false" customHeight="false" outlineLevel="0" collapsed="false">
      <c r="A6208" s="0" t="n">
        <f aca="false">B6208*1000+C6208</f>
        <v>83049</v>
      </c>
      <c r="B6208" s="0" t="n">
        <v>83</v>
      </c>
      <c r="C6208" s="0" t="n">
        <v>49</v>
      </c>
      <c r="D6208" s="0" t="n">
        <v>0</v>
      </c>
      <c r="E6208" s="0" t="n">
        <f aca="false">VLOOKUP(B6208,'MSA-Lookup'!$H$2:$I$86,2)</f>
        <v>6000</v>
      </c>
      <c r="F6208" s="0" t="n">
        <f aca="false">IF(C6208&gt;1,IF(C6208&lt;99,VLOOKUP(C6208,'MSA-Lookup'!$H$1:$I$86,2),C6208),C6208)</f>
        <v>7400</v>
      </c>
      <c r="G6208" s="0" t="n">
        <f aca="false">VLOOKUP(E6208,'MSA-Lookup'!$AA$1:$AB$25,2)</f>
        <v>4472</v>
      </c>
      <c r="H6208" s="0" t="n">
        <f aca="false">IF(C6208&gt;1,IF(C6208&lt;99,VLOOKUP(F6208,'MSA-Lookup'!$AA$1:$AB$25,2),C6208),C6208)</f>
        <v>7362</v>
      </c>
    </row>
    <row r="6209" customFormat="false" ht="12.75" hidden="false" customHeight="false" outlineLevel="0" collapsed="false">
      <c r="A6209" s="0" t="n">
        <f aca="false">B6209*1000+C6209</f>
        <v>83050</v>
      </c>
      <c r="B6209" s="0" t="n">
        <v>83</v>
      </c>
      <c r="C6209" s="0" t="n">
        <v>50</v>
      </c>
      <c r="D6209" s="0" t="n">
        <v>0</v>
      </c>
      <c r="E6209" s="0" t="n">
        <f aca="false">VLOOKUP(B6209,'MSA-Lookup'!$H$2:$I$86,2)</f>
        <v>6000</v>
      </c>
      <c r="F6209" s="0" t="n">
        <f aca="false">IF(C6209&gt;1,IF(C6209&lt;99,VLOOKUP(C6209,'MSA-Lookup'!$H$1:$I$86,2),C6209),C6209)</f>
        <v>7400</v>
      </c>
      <c r="G6209" s="0" t="n">
        <f aca="false">VLOOKUP(E6209,'MSA-Lookup'!$AA$1:$AB$25,2)</f>
        <v>4472</v>
      </c>
      <c r="H6209" s="0" t="n">
        <f aca="false">IF(C6209&gt;1,IF(C6209&lt;99,VLOOKUP(F6209,'MSA-Lookup'!$AA$1:$AB$25,2),C6209),C6209)</f>
        <v>7362</v>
      </c>
    </row>
    <row r="6210" customFormat="false" ht="12.75" hidden="false" customHeight="false" outlineLevel="0" collapsed="false">
      <c r="A6210" s="0" t="n">
        <f aca="false">B6210*1000+C6210</f>
        <v>83051</v>
      </c>
      <c r="B6210" s="0" t="n">
        <v>83</v>
      </c>
      <c r="C6210" s="0" t="n">
        <v>51</v>
      </c>
      <c r="D6210" s="0" t="n">
        <v>0</v>
      </c>
      <c r="E6210" s="0" t="n">
        <f aca="false">VLOOKUP(B6210,'MSA-Lookup'!$H$2:$I$86,2)</f>
        <v>6000</v>
      </c>
      <c r="F6210" s="0" t="n">
        <f aca="false">IF(C6210&gt;1,IF(C6210&lt;99,VLOOKUP(C6210,'MSA-Lookup'!$H$1:$I$86,2),C6210),C6210)</f>
        <v>7400</v>
      </c>
      <c r="G6210" s="0" t="n">
        <f aca="false">VLOOKUP(E6210,'MSA-Lookup'!$AA$1:$AB$25,2)</f>
        <v>4472</v>
      </c>
      <c r="H6210" s="0" t="n">
        <f aca="false">IF(C6210&gt;1,IF(C6210&lt;99,VLOOKUP(F6210,'MSA-Lookup'!$AA$1:$AB$25,2),C6210),C6210)</f>
        <v>7362</v>
      </c>
    </row>
    <row r="6211" customFormat="false" ht="12.75" hidden="false" customHeight="false" outlineLevel="0" collapsed="false">
      <c r="A6211" s="0" t="n">
        <f aca="false">B6211*1000+C6211</f>
        <v>83052</v>
      </c>
      <c r="B6211" s="0" t="n">
        <v>83</v>
      </c>
      <c r="C6211" s="0" t="n">
        <v>52</v>
      </c>
      <c r="D6211" s="0" t="n">
        <v>0</v>
      </c>
      <c r="E6211" s="0" t="n">
        <f aca="false">VLOOKUP(B6211,'MSA-Lookup'!$H$2:$I$86,2)</f>
        <v>6000</v>
      </c>
      <c r="F6211" s="0" t="n">
        <f aca="false">IF(C6211&gt;1,IF(C6211&lt;99,VLOOKUP(C6211,'MSA-Lookup'!$H$1:$I$86,2),C6211),C6211)</f>
        <v>4480</v>
      </c>
      <c r="G6211" s="0" t="n">
        <f aca="false">VLOOKUP(E6211,'MSA-Lookup'!$AA$1:$AB$25,2)</f>
        <v>4472</v>
      </c>
      <c r="H6211" s="0" t="n">
        <f aca="false">IF(C6211&gt;1,IF(C6211&lt;99,VLOOKUP(F6211,'MSA-Lookup'!$AA$1:$AB$25,2),C6211),C6211)</f>
        <v>4472</v>
      </c>
    </row>
    <row r="6212" customFormat="false" ht="12.75" hidden="false" customHeight="false" outlineLevel="0" collapsed="false">
      <c r="A6212" s="0" t="n">
        <f aca="false">B6212*1000+C6212</f>
        <v>83053</v>
      </c>
      <c r="B6212" s="0" t="n">
        <v>83</v>
      </c>
      <c r="C6212" s="0" t="n">
        <v>53</v>
      </c>
      <c r="D6212" s="0" t="n">
        <v>0</v>
      </c>
      <c r="E6212" s="0" t="n">
        <f aca="false">VLOOKUP(B6212,'MSA-Lookup'!$H$2:$I$86,2)</f>
        <v>6000</v>
      </c>
      <c r="F6212" s="0" t="n">
        <f aca="false">IF(C6212&gt;1,IF(C6212&lt;99,VLOOKUP(C6212,'MSA-Lookup'!$H$1:$I$86,2),C6212),C6212)</f>
        <v>4480</v>
      </c>
      <c r="G6212" s="0" t="n">
        <f aca="false">VLOOKUP(E6212,'MSA-Lookup'!$AA$1:$AB$25,2)</f>
        <v>4472</v>
      </c>
      <c r="H6212" s="0" t="n">
        <f aca="false">IF(C6212&gt;1,IF(C6212&lt;99,VLOOKUP(F6212,'MSA-Lookup'!$AA$1:$AB$25,2),C6212),C6212)</f>
        <v>4472</v>
      </c>
    </row>
    <row r="6213" customFormat="false" ht="12.75" hidden="false" customHeight="false" outlineLevel="0" collapsed="false">
      <c r="A6213" s="0" t="n">
        <f aca="false">B6213*1000+C6213</f>
        <v>83054</v>
      </c>
      <c r="B6213" s="0" t="n">
        <v>83</v>
      </c>
      <c r="C6213" s="0" t="n">
        <v>54</v>
      </c>
      <c r="D6213" s="0" t="n">
        <v>0</v>
      </c>
      <c r="E6213" s="0" t="n">
        <f aca="false">VLOOKUP(B6213,'MSA-Lookup'!$H$2:$I$86,2)</f>
        <v>6000</v>
      </c>
      <c r="F6213" s="0" t="n">
        <f aca="false">IF(C6213&gt;1,IF(C6213&lt;99,VLOOKUP(C6213,'MSA-Lookup'!$H$1:$I$86,2),C6213),C6213)</f>
        <v>4480</v>
      </c>
      <c r="G6213" s="0" t="n">
        <f aca="false">VLOOKUP(E6213,'MSA-Lookup'!$AA$1:$AB$25,2)</f>
        <v>4472</v>
      </c>
      <c r="H6213" s="0" t="n">
        <f aca="false">IF(C6213&gt;1,IF(C6213&lt;99,VLOOKUP(F6213,'MSA-Lookup'!$AA$1:$AB$25,2),C6213),C6213)</f>
        <v>4472</v>
      </c>
    </row>
    <row r="6214" customFormat="false" ht="12.75" hidden="false" customHeight="false" outlineLevel="0" collapsed="false">
      <c r="A6214" s="0" t="n">
        <f aca="false">B6214*1000+C6214</f>
        <v>83055</v>
      </c>
      <c r="B6214" s="0" t="n">
        <v>83</v>
      </c>
      <c r="C6214" s="0" t="n">
        <v>55</v>
      </c>
      <c r="D6214" s="0" t="n">
        <v>0</v>
      </c>
      <c r="E6214" s="0" t="n">
        <f aca="false">VLOOKUP(B6214,'MSA-Lookup'!$H$2:$I$86,2)</f>
        <v>6000</v>
      </c>
      <c r="F6214" s="0" t="n">
        <f aca="false">IF(C6214&gt;1,IF(C6214&lt;99,VLOOKUP(C6214,'MSA-Lookup'!$H$1:$I$86,2),C6214),C6214)</f>
        <v>4480</v>
      </c>
      <c r="G6214" s="0" t="n">
        <f aca="false">VLOOKUP(E6214,'MSA-Lookup'!$AA$1:$AB$25,2)</f>
        <v>4472</v>
      </c>
      <c r="H6214" s="0" t="n">
        <f aca="false">IF(C6214&gt;1,IF(C6214&lt;99,VLOOKUP(F6214,'MSA-Lookup'!$AA$1:$AB$25,2),C6214),C6214)</f>
        <v>4472</v>
      </c>
    </row>
    <row r="6215" customFormat="false" ht="12.75" hidden="false" customHeight="false" outlineLevel="0" collapsed="false">
      <c r="A6215" s="0" t="n">
        <f aca="false">B6215*1000+C6215</f>
        <v>83056</v>
      </c>
      <c r="B6215" s="0" t="n">
        <v>83</v>
      </c>
      <c r="C6215" s="0" t="n">
        <v>56</v>
      </c>
      <c r="D6215" s="0" t="n">
        <v>0</v>
      </c>
      <c r="E6215" s="0" t="n">
        <f aca="false">VLOOKUP(B6215,'MSA-Lookup'!$H$2:$I$86,2)</f>
        <v>6000</v>
      </c>
      <c r="F6215" s="0" t="n">
        <f aca="false">IF(C6215&gt;1,IF(C6215&lt;99,VLOOKUP(C6215,'MSA-Lookup'!$H$1:$I$86,2),C6215),C6215)</f>
        <v>4480</v>
      </c>
      <c r="G6215" s="0" t="n">
        <f aca="false">VLOOKUP(E6215,'MSA-Lookup'!$AA$1:$AB$25,2)</f>
        <v>4472</v>
      </c>
      <c r="H6215" s="0" t="n">
        <f aca="false">IF(C6215&gt;1,IF(C6215&lt;99,VLOOKUP(F6215,'MSA-Lookup'!$AA$1:$AB$25,2),C6215),C6215)</f>
        <v>4472</v>
      </c>
    </row>
    <row r="6216" customFormat="false" ht="12.75" hidden="false" customHeight="false" outlineLevel="0" collapsed="false">
      <c r="A6216" s="0" t="n">
        <f aca="false">B6216*1000+C6216</f>
        <v>83057</v>
      </c>
      <c r="B6216" s="0" t="n">
        <v>83</v>
      </c>
      <c r="C6216" s="0" t="n">
        <v>57</v>
      </c>
      <c r="D6216" s="0" t="n">
        <v>0</v>
      </c>
      <c r="E6216" s="0" t="n">
        <f aca="false">VLOOKUP(B6216,'MSA-Lookup'!$H$2:$I$86,2)</f>
        <v>6000</v>
      </c>
      <c r="F6216" s="0" t="n">
        <f aca="false">IF(C6216&gt;1,IF(C6216&lt;99,VLOOKUP(C6216,'MSA-Lookup'!$H$1:$I$86,2),C6216),C6216)</f>
        <v>4480</v>
      </c>
      <c r="G6216" s="0" t="n">
        <f aca="false">VLOOKUP(E6216,'MSA-Lookup'!$AA$1:$AB$25,2)</f>
        <v>4472</v>
      </c>
      <c r="H6216" s="0" t="n">
        <f aca="false">IF(C6216&gt;1,IF(C6216&lt;99,VLOOKUP(F6216,'MSA-Lookup'!$AA$1:$AB$25,2),C6216),C6216)</f>
        <v>4472</v>
      </c>
    </row>
    <row r="6217" customFormat="false" ht="12.75" hidden="false" customHeight="false" outlineLevel="0" collapsed="false">
      <c r="A6217" s="0" t="n">
        <f aca="false">B6217*1000+C6217</f>
        <v>83058</v>
      </c>
      <c r="B6217" s="0" t="n">
        <v>83</v>
      </c>
      <c r="C6217" s="0" t="n">
        <v>58</v>
      </c>
      <c r="D6217" s="0" t="n">
        <v>0</v>
      </c>
      <c r="E6217" s="0" t="n">
        <f aca="false">VLOOKUP(B6217,'MSA-Lookup'!$H$2:$I$86,2)</f>
        <v>6000</v>
      </c>
      <c r="F6217" s="0" t="n">
        <f aca="false">IF(C6217&gt;1,IF(C6217&lt;99,VLOOKUP(C6217,'MSA-Lookup'!$H$1:$I$86,2),C6217),C6217)</f>
        <v>4480</v>
      </c>
      <c r="G6217" s="0" t="n">
        <f aca="false">VLOOKUP(E6217,'MSA-Lookup'!$AA$1:$AB$25,2)</f>
        <v>4472</v>
      </c>
      <c r="H6217" s="0" t="n">
        <f aca="false">IF(C6217&gt;1,IF(C6217&lt;99,VLOOKUP(F6217,'MSA-Lookup'!$AA$1:$AB$25,2),C6217),C6217)</f>
        <v>4472</v>
      </c>
    </row>
    <row r="6218" customFormat="false" ht="12.75" hidden="false" customHeight="false" outlineLevel="0" collapsed="false">
      <c r="A6218" s="0" t="n">
        <f aca="false">B6218*1000+C6218</f>
        <v>83059</v>
      </c>
      <c r="B6218" s="0" t="n">
        <v>83</v>
      </c>
      <c r="C6218" s="0" t="n">
        <v>59</v>
      </c>
      <c r="D6218" s="0" t="n">
        <v>0</v>
      </c>
      <c r="E6218" s="0" t="n">
        <f aca="false">VLOOKUP(B6218,'MSA-Lookup'!$H$2:$I$86,2)</f>
        <v>6000</v>
      </c>
      <c r="F6218" s="0" t="n">
        <f aca="false">IF(C6218&gt;1,IF(C6218&lt;99,VLOOKUP(C6218,'MSA-Lookup'!$H$1:$I$86,2),C6218),C6218)</f>
        <v>4480</v>
      </c>
      <c r="G6218" s="0" t="n">
        <f aca="false">VLOOKUP(E6218,'MSA-Lookup'!$AA$1:$AB$25,2)</f>
        <v>4472</v>
      </c>
      <c r="H6218" s="0" t="n">
        <f aca="false">IF(C6218&gt;1,IF(C6218&lt;99,VLOOKUP(F6218,'MSA-Lookup'!$AA$1:$AB$25,2),C6218),C6218)</f>
        <v>4472</v>
      </c>
    </row>
    <row r="6219" customFormat="false" ht="12.75" hidden="false" customHeight="false" outlineLevel="0" collapsed="false">
      <c r="A6219" s="0" t="n">
        <f aca="false">B6219*1000+C6219</f>
        <v>83060</v>
      </c>
      <c r="B6219" s="0" t="n">
        <v>83</v>
      </c>
      <c r="C6219" s="0" t="n">
        <v>60</v>
      </c>
      <c r="D6219" s="0" t="n">
        <v>0</v>
      </c>
      <c r="E6219" s="0" t="n">
        <f aca="false">VLOOKUP(B6219,'MSA-Lookup'!$H$2:$I$86,2)</f>
        <v>6000</v>
      </c>
      <c r="F6219" s="0" t="n">
        <f aca="false">IF(C6219&gt;1,IF(C6219&lt;99,VLOOKUP(C6219,'MSA-Lookup'!$H$1:$I$86,2),C6219),C6219)</f>
        <v>4480</v>
      </c>
      <c r="G6219" s="0" t="n">
        <f aca="false">VLOOKUP(E6219,'MSA-Lookup'!$AA$1:$AB$25,2)</f>
        <v>4472</v>
      </c>
      <c r="H6219" s="0" t="n">
        <f aca="false">IF(C6219&gt;1,IF(C6219&lt;99,VLOOKUP(F6219,'MSA-Lookup'!$AA$1:$AB$25,2),C6219),C6219)</f>
        <v>4472</v>
      </c>
    </row>
    <row r="6220" customFormat="false" ht="12.75" hidden="false" customHeight="false" outlineLevel="0" collapsed="false">
      <c r="A6220" s="0" t="n">
        <f aca="false">B6220*1000+C6220</f>
        <v>83061</v>
      </c>
      <c r="B6220" s="0" t="n">
        <v>83</v>
      </c>
      <c r="C6220" s="0" t="n">
        <v>61</v>
      </c>
      <c r="D6220" s="0" t="n">
        <v>0</v>
      </c>
      <c r="E6220" s="0" t="n">
        <f aca="false">VLOOKUP(B6220,'MSA-Lookup'!$H$2:$I$86,2)</f>
        <v>6000</v>
      </c>
      <c r="F6220" s="0" t="n">
        <f aca="false">IF(C6220&gt;1,IF(C6220&lt;99,VLOOKUP(C6220,'MSA-Lookup'!$H$1:$I$86,2),C6220),C6220)</f>
        <v>4480</v>
      </c>
      <c r="G6220" s="0" t="n">
        <f aca="false">VLOOKUP(E6220,'MSA-Lookup'!$AA$1:$AB$25,2)</f>
        <v>4472</v>
      </c>
      <c r="H6220" s="0" t="n">
        <f aca="false">IF(C6220&gt;1,IF(C6220&lt;99,VLOOKUP(F6220,'MSA-Lookup'!$AA$1:$AB$25,2),C6220),C6220)</f>
        <v>4472</v>
      </c>
    </row>
    <row r="6221" customFormat="false" ht="12.75" hidden="false" customHeight="false" outlineLevel="0" collapsed="false">
      <c r="A6221" s="0" t="n">
        <f aca="false">B6221*1000+C6221</f>
        <v>83062</v>
      </c>
      <c r="B6221" s="0" t="n">
        <v>83</v>
      </c>
      <c r="C6221" s="0" t="n">
        <v>62</v>
      </c>
      <c r="D6221" s="0" t="n">
        <v>0</v>
      </c>
      <c r="E6221" s="0" t="n">
        <f aca="false">VLOOKUP(B6221,'MSA-Lookup'!$H$2:$I$86,2)</f>
        <v>6000</v>
      </c>
      <c r="F6221" s="0" t="n">
        <f aca="false">IF(C6221&gt;1,IF(C6221&lt;99,VLOOKUP(C6221,'MSA-Lookup'!$H$1:$I$86,2),C6221),C6221)</f>
        <v>4480</v>
      </c>
      <c r="G6221" s="0" t="n">
        <f aca="false">VLOOKUP(E6221,'MSA-Lookup'!$AA$1:$AB$25,2)</f>
        <v>4472</v>
      </c>
      <c r="H6221" s="0" t="n">
        <f aca="false">IF(C6221&gt;1,IF(C6221&lt;99,VLOOKUP(F6221,'MSA-Lookup'!$AA$1:$AB$25,2),C6221),C6221)</f>
        <v>4472</v>
      </c>
    </row>
    <row r="6222" customFormat="false" ht="12.75" hidden="false" customHeight="false" outlineLevel="0" collapsed="false">
      <c r="A6222" s="0" t="n">
        <f aca="false">B6222*1000+C6222</f>
        <v>83063</v>
      </c>
      <c r="B6222" s="0" t="n">
        <v>83</v>
      </c>
      <c r="C6222" s="0" t="n">
        <v>63</v>
      </c>
      <c r="D6222" s="0" t="n">
        <v>65</v>
      </c>
      <c r="E6222" s="0" t="n">
        <f aca="false">VLOOKUP(B6222,'MSA-Lookup'!$H$2:$I$86,2)</f>
        <v>6000</v>
      </c>
      <c r="F6222" s="0" t="n">
        <f aca="false">IF(C6222&gt;1,IF(C6222&lt;99,VLOOKUP(C6222,'MSA-Lookup'!$H$1:$I$86,2),C6222),C6222)</f>
        <v>4480</v>
      </c>
      <c r="G6222" s="0" t="n">
        <f aca="false">VLOOKUP(E6222,'MSA-Lookup'!$AA$1:$AB$25,2)</f>
        <v>4472</v>
      </c>
      <c r="H6222" s="0" t="n">
        <f aca="false">IF(C6222&gt;1,IF(C6222&lt;99,VLOOKUP(F6222,'MSA-Lookup'!$AA$1:$AB$25,2),C6222),C6222)</f>
        <v>4472</v>
      </c>
    </row>
    <row r="6223" customFormat="false" ht="12.75" hidden="false" customHeight="false" outlineLevel="0" collapsed="false">
      <c r="A6223" s="0" t="n">
        <f aca="false">B6223*1000+C6223</f>
        <v>83064</v>
      </c>
      <c r="B6223" s="0" t="n">
        <v>83</v>
      </c>
      <c r="C6223" s="0" t="n">
        <v>64</v>
      </c>
      <c r="D6223" s="0" t="n">
        <v>2041</v>
      </c>
      <c r="E6223" s="0" t="n">
        <f aca="false">VLOOKUP(B6223,'MSA-Lookup'!$H$2:$I$86,2)</f>
        <v>6000</v>
      </c>
      <c r="F6223" s="0" t="n">
        <f aca="false">IF(C6223&gt;1,IF(C6223&lt;99,VLOOKUP(C6223,'MSA-Lookup'!$H$1:$I$86,2),C6223),C6223)</f>
        <v>4480</v>
      </c>
      <c r="G6223" s="0" t="n">
        <f aca="false">VLOOKUP(E6223,'MSA-Lookup'!$AA$1:$AB$25,2)</f>
        <v>4472</v>
      </c>
      <c r="H6223" s="0" t="n">
        <f aca="false">IF(C6223&gt;1,IF(C6223&lt;99,VLOOKUP(F6223,'MSA-Lookup'!$AA$1:$AB$25,2),C6223),C6223)</f>
        <v>4472</v>
      </c>
    </row>
    <row r="6224" customFormat="false" ht="12.75" hidden="false" customHeight="false" outlineLevel="0" collapsed="false">
      <c r="A6224" s="0" t="n">
        <f aca="false">B6224*1000+C6224</f>
        <v>83065</v>
      </c>
      <c r="B6224" s="0" t="n">
        <v>83</v>
      </c>
      <c r="C6224" s="0" t="n">
        <v>65</v>
      </c>
      <c r="D6224" s="0" t="n">
        <v>1677</v>
      </c>
      <c r="E6224" s="0" t="n">
        <f aca="false">VLOOKUP(B6224,'MSA-Lookup'!$H$2:$I$86,2)</f>
        <v>6000</v>
      </c>
      <c r="F6224" s="0" t="n">
        <f aca="false">IF(C6224&gt;1,IF(C6224&lt;99,VLOOKUP(C6224,'MSA-Lookup'!$H$1:$I$86,2),C6224),C6224)</f>
        <v>4480</v>
      </c>
      <c r="G6224" s="0" t="n">
        <f aca="false">VLOOKUP(E6224,'MSA-Lookup'!$AA$1:$AB$25,2)</f>
        <v>4472</v>
      </c>
      <c r="H6224" s="0" t="n">
        <f aca="false">IF(C6224&gt;1,IF(C6224&lt;99,VLOOKUP(F6224,'MSA-Lookup'!$AA$1:$AB$25,2),C6224),C6224)</f>
        <v>4472</v>
      </c>
    </row>
    <row r="6225" customFormat="false" ht="12.75" hidden="false" customHeight="false" outlineLevel="0" collapsed="false">
      <c r="A6225" s="0" t="n">
        <f aca="false">B6225*1000+C6225</f>
        <v>83066</v>
      </c>
      <c r="B6225" s="0" t="n">
        <v>83</v>
      </c>
      <c r="C6225" s="0" t="n">
        <v>66</v>
      </c>
      <c r="D6225" s="0" t="n">
        <v>234</v>
      </c>
      <c r="E6225" s="0" t="n">
        <f aca="false">VLOOKUP(B6225,'MSA-Lookup'!$H$2:$I$86,2)</f>
        <v>6000</v>
      </c>
      <c r="F6225" s="0" t="n">
        <f aca="false">IF(C6225&gt;1,IF(C6225&lt;99,VLOOKUP(C6225,'MSA-Lookup'!$H$1:$I$86,2),C6225),C6225)</f>
        <v>4480</v>
      </c>
      <c r="G6225" s="0" t="n">
        <f aca="false">VLOOKUP(E6225,'MSA-Lookup'!$AA$1:$AB$25,2)</f>
        <v>4472</v>
      </c>
      <c r="H6225" s="0" t="n">
        <f aca="false">IF(C6225&gt;1,IF(C6225&lt;99,VLOOKUP(F6225,'MSA-Lookup'!$AA$1:$AB$25,2),C6225),C6225)</f>
        <v>4472</v>
      </c>
    </row>
    <row r="6226" customFormat="false" ht="12.75" hidden="false" customHeight="false" outlineLevel="0" collapsed="false">
      <c r="A6226" s="0" t="n">
        <f aca="false">B6226*1000+C6226</f>
        <v>83067</v>
      </c>
      <c r="B6226" s="0" t="n">
        <v>83</v>
      </c>
      <c r="C6226" s="0" t="n">
        <v>67</v>
      </c>
      <c r="D6226" s="0" t="n">
        <v>33371</v>
      </c>
      <c r="E6226" s="0" t="n">
        <f aca="false">VLOOKUP(B6226,'MSA-Lookup'!$H$2:$I$86,2)</f>
        <v>6000</v>
      </c>
      <c r="F6226" s="0" t="n">
        <f aca="false">IF(C6226&gt;1,IF(C6226&lt;99,VLOOKUP(C6226,'MSA-Lookup'!$H$1:$I$86,2),C6226),C6226)</f>
        <v>6000</v>
      </c>
      <c r="G6226" s="0" t="n">
        <f aca="false">VLOOKUP(E6226,'MSA-Lookup'!$AA$1:$AB$25,2)</f>
        <v>4472</v>
      </c>
      <c r="H6226" s="0" t="n">
        <f aca="false">IF(C6226&gt;1,IF(C6226&lt;99,VLOOKUP(F6226,'MSA-Lookup'!$AA$1:$AB$25,2),C6226),C6226)</f>
        <v>4472</v>
      </c>
    </row>
    <row r="6227" customFormat="false" ht="12.75" hidden="false" customHeight="false" outlineLevel="0" collapsed="false">
      <c r="A6227" s="0" t="n">
        <f aca="false">B6227*1000+C6227</f>
        <v>83068</v>
      </c>
      <c r="B6227" s="0" t="n">
        <v>83</v>
      </c>
      <c r="C6227" s="0" t="n">
        <v>68</v>
      </c>
      <c r="D6227" s="0" t="n">
        <v>0</v>
      </c>
      <c r="E6227" s="0" t="n">
        <f aca="false">VLOOKUP(B6227,'MSA-Lookup'!$H$2:$I$86,2)</f>
        <v>6000</v>
      </c>
      <c r="F6227" s="0" t="n">
        <f aca="false">IF(C6227&gt;1,IF(C6227&lt;99,VLOOKUP(C6227,'MSA-Lookup'!$H$1:$I$86,2),C6227),C6227)</f>
        <v>6780</v>
      </c>
      <c r="G6227" s="0" t="n">
        <f aca="false">VLOOKUP(E6227,'MSA-Lookup'!$AA$1:$AB$25,2)</f>
        <v>4472</v>
      </c>
      <c r="H6227" s="0" t="n">
        <f aca="false">IF(C6227&gt;1,IF(C6227&lt;99,VLOOKUP(F6227,'MSA-Lookup'!$AA$1:$AB$25,2),C6227),C6227)</f>
        <v>4472</v>
      </c>
    </row>
    <row r="6228" customFormat="false" ht="12.75" hidden="false" customHeight="false" outlineLevel="0" collapsed="false">
      <c r="A6228" s="0" t="n">
        <f aca="false">B6228*1000+C6228</f>
        <v>83069</v>
      </c>
      <c r="B6228" s="0" t="n">
        <v>83</v>
      </c>
      <c r="C6228" s="0" t="n">
        <v>69</v>
      </c>
      <c r="D6228" s="0" t="n">
        <v>0</v>
      </c>
      <c r="E6228" s="0" t="n">
        <f aca="false">VLOOKUP(B6228,'MSA-Lookup'!$H$2:$I$86,2)</f>
        <v>6000</v>
      </c>
      <c r="F6228" s="0" t="n">
        <f aca="false">IF(C6228&gt;1,IF(C6228&lt;99,VLOOKUP(C6228,'MSA-Lookup'!$H$1:$I$86,2),C6228),C6228)</f>
        <v>6780</v>
      </c>
      <c r="G6228" s="0" t="n">
        <f aca="false">VLOOKUP(E6228,'MSA-Lookup'!$AA$1:$AB$25,2)</f>
        <v>4472</v>
      </c>
      <c r="H6228" s="0" t="n">
        <f aca="false">IF(C6228&gt;1,IF(C6228&lt;99,VLOOKUP(F6228,'MSA-Lookup'!$AA$1:$AB$25,2),C6228),C6228)</f>
        <v>4472</v>
      </c>
    </row>
    <row r="6229" customFormat="false" ht="12.75" hidden="false" customHeight="false" outlineLevel="0" collapsed="false">
      <c r="A6229" s="0" t="n">
        <f aca="false">B6229*1000+C6229</f>
        <v>83070</v>
      </c>
      <c r="B6229" s="0" t="n">
        <v>83</v>
      </c>
      <c r="C6229" s="0" t="n">
        <v>70</v>
      </c>
      <c r="D6229" s="0" t="n">
        <v>0</v>
      </c>
      <c r="E6229" s="0" t="n">
        <f aca="false">VLOOKUP(B6229,'MSA-Lookup'!$H$2:$I$86,2)</f>
        <v>6000</v>
      </c>
      <c r="F6229" s="0" t="n">
        <f aca="false">IF(C6229&gt;1,IF(C6229&lt;99,VLOOKUP(C6229,'MSA-Lookup'!$H$1:$I$86,2),C6229),C6229)</f>
        <v>6780</v>
      </c>
      <c r="G6229" s="0" t="n">
        <f aca="false">VLOOKUP(E6229,'MSA-Lookup'!$AA$1:$AB$25,2)</f>
        <v>4472</v>
      </c>
      <c r="H6229" s="0" t="n">
        <f aca="false">IF(C6229&gt;1,IF(C6229&lt;99,VLOOKUP(F6229,'MSA-Lookup'!$AA$1:$AB$25,2),C6229),C6229)</f>
        <v>4472</v>
      </c>
    </row>
    <row r="6230" customFormat="false" ht="12.75" hidden="false" customHeight="false" outlineLevel="0" collapsed="false">
      <c r="A6230" s="0" t="n">
        <f aca="false">B6230*1000+C6230</f>
        <v>83071</v>
      </c>
      <c r="B6230" s="0" t="n">
        <v>83</v>
      </c>
      <c r="C6230" s="0" t="n">
        <v>71</v>
      </c>
      <c r="D6230" s="0" t="n">
        <v>0</v>
      </c>
      <c r="E6230" s="0" t="n">
        <f aca="false">VLOOKUP(B6230,'MSA-Lookup'!$H$2:$I$86,2)</f>
        <v>6000</v>
      </c>
      <c r="F6230" s="0" t="n">
        <f aca="false">IF(C6230&gt;1,IF(C6230&lt;99,VLOOKUP(C6230,'MSA-Lookup'!$H$1:$I$86,2),C6230),C6230)</f>
        <v>6780</v>
      </c>
      <c r="G6230" s="0" t="n">
        <f aca="false">VLOOKUP(E6230,'MSA-Lookup'!$AA$1:$AB$25,2)</f>
        <v>4472</v>
      </c>
      <c r="H6230" s="0" t="n">
        <f aca="false">IF(C6230&gt;1,IF(C6230&lt;99,VLOOKUP(F6230,'MSA-Lookup'!$AA$1:$AB$25,2),C6230),C6230)</f>
        <v>4472</v>
      </c>
    </row>
    <row r="6231" customFormat="false" ht="12.75" hidden="false" customHeight="false" outlineLevel="0" collapsed="false">
      <c r="A6231" s="0" t="n">
        <f aca="false">B6231*1000+C6231</f>
        <v>83072</v>
      </c>
      <c r="B6231" s="0" t="n">
        <v>83</v>
      </c>
      <c r="C6231" s="0" t="n">
        <v>72</v>
      </c>
      <c r="D6231" s="0" t="n">
        <v>117</v>
      </c>
      <c r="E6231" s="0" t="n">
        <f aca="false">VLOOKUP(B6231,'MSA-Lookup'!$H$2:$I$86,2)</f>
        <v>6000</v>
      </c>
      <c r="F6231" s="0" t="n">
        <f aca="false">IF(C6231&gt;1,IF(C6231&lt;99,VLOOKUP(C6231,'MSA-Lookup'!$H$1:$I$86,2),C6231),C6231)</f>
        <v>6780</v>
      </c>
      <c r="G6231" s="0" t="n">
        <f aca="false">VLOOKUP(E6231,'MSA-Lookup'!$AA$1:$AB$25,2)</f>
        <v>4472</v>
      </c>
      <c r="H6231" s="0" t="n">
        <f aca="false">IF(C6231&gt;1,IF(C6231&lt;99,VLOOKUP(F6231,'MSA-Lookup'!$AA$1:$AB$25,2),C6231),C6231)</f>
        <v>4472</v>
      </c>
    </row>
    <row r="6232" customFormat="false" ht="12.75" hidden="false" customHeight="false" outlineLevel="0" collapsed="false">
      <c r="A6232" s="0" t="n">
        <f aca="false">B6232*1000+C6232</f>
        <v>83073</v>
      </c>
      <c r="B6232" s="0" t="n">
        <v>83</v>
      </c>
      <c r="C6232" s="0" t="n">
        <v>73</v>
      </c>
      <c r="D6232" s="0" t="n">
        <v>0</v>
      </c>
      <c r="E6232" s="0" t="n">
        <f aca="false">VLOOKUP(B6232,'MSA-Lookup'!$H$2:$I$86,2)</f>
        <v>6000</v>
      </c>
      <c r="F6232" s="0" t="n">
        <f aca="false">IF(C6232&gt;1,IF(C6232&lt;99,VLOOKUP(C6232,'MSA-Lookup'!$H$1:$I$86,2),C6232),C6232)</f>
        <v>8720</v>
      </c>
      <c r="G6232" s="0" t="n">
        <f aca="false">VLOOKUP(E6232,'MSA-Lookup'!$AA$1:$AB$25,2)</f>
        <v>4472</v>
      </c>
      <c r="H6232" s="0" t="n">
        <f aca="false">IF(C6232&gt;1,IF(C6232&lt;99,VLOOKUP(F6232,'MSA-Lookup'!$AA$1:$AB$25,2),C6232),C6232)</f>
        <v>7362</v>
      </c>
    </row>
    <row r="6233" customFormat="false" ht="12.75" hidden="false" customHeight="false" outlineLevel="0" collapsed="false">
      <c r="A6233" s="0" t="n">
        <f aca="false">B6233*1000+C6233</f>
        <v>83075</v>
      </c>
      <c r="B6233" s="0" t="n">
        <v>83</v>
      </c>
      <c r="C6233" s="0" t="n">
        <v>75</v>
      </c>
      <c r="D6233" s="0" t="n">
        <v>0</v>
      </c>
      <c r="E6233" s="0" t="n">
        <f aca="false">VLOOKUP(B6233,'MSA-Lookup'!$H$2:$I$86,2)</f>
        <v>6000</v>
      </c>
      <c r="F6233" s="0" t="n">
        <f aca="false">IF(C6233&gt;1,IF(C6233&lt;99,VLOOKUP(C6233,'MSA-Lookup'!$H$1:$I$86,2),C6233),C6233)</f>
        <v>8780</v>
      </c>
      <c r="G6233" s="0" t="n">
        <f aca="false">VLOOKUP(E6233,'MSA-Lookup'!$AA$1:$AB$25,2)</f>
        <v>4472</v>
      </c>
      <c r="H6233" s="0" t="n">
        <f aca="false">IF(C6233&gt;1,IF(C6233&lt;99,VLOOKUP(F6233,'MSA-Lookup'!$AA$1:$AB$25,2),C6233),C6233)</f>
        <v>8780</v>
      </c>
    </row>
    <row r="6234" customFormat="false" ht="12.75" hidden="false" customHeight="false" outlineLevel="0" collapsed="false">
      <c r="A6234" s="0" t="n">
        <f aca="false">B6234*1000+C6234</f>
        <v>83076</v>
      </c>
      <c r="B6234" s="0" t="n">
        <v>83</v>
      </c>
      <c r="C6234" s="0" t="n">
        <v>76</v>
      </c>
      <c r="D6234" s="0" t="n">
        <v>0</v>
      </c>
      <c r="E6234" s="0" t="n">
        <f aca="false">VLOOKUP(B6234,'MSA-Lookup'!$H$2:$I$86,2)</f>
        <v>6000</v>
      </c>
      <c r="F6234" s="0" t="n">
        <f aca="false">IF(C6234&gt;1,IF(C6234&lt;99,VLOOKUP(C6234,'MSA-Lookup'!$H$1:$I$86,2),C6234),C6234)</f>
        <v>7485</v>
      </c>
      <c r="G6234" s="0" t="n">
        <f aca="false">VLOOKUP(E6234,'MSA-Lookup'!$AA$1:$AB$25,2)</f>
        <v>4472</v>
      </c>
      <c r="H6234" s="0" t="n">
        <f aca="false">IF(C6234&gt;1,IF(C6234&lt;99,VLOOKUP(F6234,'MSA-Lookup'!$AA$1:$AB$25,2),C6234),C6234)</f>
        <v>7362</v>
      </c>
    </row>
    <row r="6235" customFormat="false" ht="12.75" hidden="false" customHeight="false" outlineLevel="0" collapsed="false">
      <c r="A6235" s="0" t="n">
        <f aca="false">B6235*1000+C6235</f>
        <v>83077</v>
      </c>
      <c r="B6235" s="0" t="n">
        <v>83</v>
      </c>
      <c r="C6235" s="0" t="n">
        <v>77</v>
      </c>
      <c r="D6235" s="0" t="n">
        <v>0</v>
      </c>
      <c r="E6235" s="0" t="n">
        <f aca="false">VLOOKUP(B6235,'MSA-Lookup'!$H$2:$I$86,2)</f>
        <v>6000</v>
      </c>
      <c r="F6235" s="0" t="n">
        <f aca="false">IF(C6235&gt;1,IF(C6235&lt;99,VLOOKUP(C6235,'MSA-Lookup'!$H$1:$I$86,2),C6235),C6235)</f>
        <v>9999</v>
      </c>
      <c r="G6235" s="0" t="n">
        <f aca="false">VLOOKUP(E6235,'MSA-Lookup'!$AA$1:$AB$25,2)</f>
        <v>4472</v>
      </c>
      <c r="H6235" s="0" t="n">
        <f aca="false">IF(C6235&gt;1,IF(C6235&lt;99,VLOOKUP(F6235,'MSA-Lookup'!$AA$1:$AB$25,2),C6235),C6235)</f>
        <v>9999</v>
      </c>
    </row>
    <row r="6236" customFormat="false" ht="12.75" hidden="false" customHeight="false" outlineLevel="0" collapsed="false">
      <c r="A6236" s="0" t="n">
        <f aca="false">B6236*1000+C6236</f>
        <v>83078</v>
      </c>
      <c r="B6236" s="0" t="n">
        <v>83</v>
      </c>
      <c r="C6236" s="0" t="n">
        <v>78</v>
      </c>
      <c r="D6236" s="0" t="n">
        <v>0</v>
      </c>
      <c r="E6236" s="0" t="n">
        <f aca="false">VLOOKUP(B6236,'MSA-Lookup'!$H$2:$I$86,2)</f>
        <v>6000</v>
      </c>
      <c r="F6236" s="0" t="n">
        <f aca="false">IF(C6236&gt;1,IF(C6236&lt;99,VLOOKUP(C6236,'MSA-Lookup'!$H$1:$I$86,2),C6236),C6236)</f>
        <v>680</v>
      </c>
      <c r="G6236" s="0" t="n">
        <f aca="false">VLOOKUP(E6236,'MSA-Lookup'!$AA$1:$AB$25,2)</f>
        <v>4472</v>
      </c>
      <c r="H6236" s="0" t="n">
        <f aca="false">IF(C6236&gt;1,IF(C6236&lt;99,VLOOKUP(F6236,'MSA-Lookup'!$AA$1:$AB$25,2),C6236),C6236)</f>
        <v>680</v>
      </c>
    </row>
    <row r="6237" customFormat="false" ht="12.75" hidden="false" customHeight="false" outlineLevel="0" collapsed="false">
      <c r="A6237" s="0" t="n">
        <f aca="false">B6237*1000+C6237</f>
        <v>83079</v>
      </c>
      <c r="B6237" s="0" t="n">
        <v>83</v>
      </c>
      <c r="C6237" s="0" t="n">
        <v>79</v>
      </c>
      <c r="D6237" s="0" t="n">
        <v>0</v>
      </c>
      <c r="E6237" s="0" t="n">
        <f aca="false">VLOOKUP(B6237,'MSA-Lookup'!$H$2:$I$86,2)</f>
        <v>6000</v>
      </c>
      <c r="F6237" s="0" t="n">
        <f aca="false">IF(C6237&gt;1,IF(C6237&lt;99,VLOOKUP(C6237,'MSA-Lookup'!$H$1:$I$86,2),C6237),C6237)</f>
        <v>680</v>
      </c>
      <c r="G6237" s="0" t="n">
        <f aca="false">VLOOKUP(E6237,'MSA-Lookup'!$AA$1:$AB$25,2)</f>
        <v>4472</v>
      </c>
      <c r="H6237" s="0" t="n">
        <f aca="false">IF(C6237&gt;1,IF(C6237&lt;99,VLOOKUP(F6237,'MSA-Lookup'!$AA$1:$AB$25,2),C6237),C6237)</f>
        <v>680</v>
      </c>
    </row>
    <row r="6238" customFormat="false" ht="12.75" hidden="false" customHeight="false" outlineLevel="0" collapsed="false">
      <c r="A6238" s="0" t="n">
        <f aca="false">B6238*1000+C6238</f>
        <v>83080</v>
      </c>
      <c r="B6238" s="0" t="n">
        <v>83</v>
      </c>
      <c r="C6238" s="0" t="n">
        <v>80</v>
      </c>
      <c r="D6238" s="0" t="n">
        <v>91</v>
      </c>
      <c r="E6238" s="0" t="n">
        <f aca="false">VLOOKUP(B6238,'MSA-Lookup'!$H$2:$I$86,2)</f>
        <v>6000</v>
      </c>
      <c r="F6238" s="0" t="n">
        <f aca="false">IF(C6238&gt;1,IF(C6238&lt;99,VLOOKUP(C6238,'MSA-Lookup'!$H$1:$I$86,2),C6238),C6238)</f>
        <v>9999</v>
      </c>
      <c r="G6238" s="0" t="n">
        <f aca="false">VLOOKUP(E6238,'MSA-Lookup'!$AA$1:$AB$25,2)</f>
        <v>4472</v>
      </c>
      <c r="H6238" s="0" t="n">
        <f aca="false">IF(C6238&gt;1,IF(C6238&lt;99,VLOOKUP(F6238,'MSA-Lookup'!$AA$1:$AB$25,2),C6238),C6238)</f>
        <v>9999</v>
      </c>
    </row>
    <row r="6239" customFormat="false" ht="12.75" hidden="false" customHeight="false" outlineLevel="0" collapsed="false">
      <c r="A6239" s="0" t="n">
        <f aca="false">B6239*1000+C6239</f>
        <v>83081</v>
      </c>
      <c r="B6239" s="0" t="n">
        <v>83</v>
      </c>
      <c r="C6239" s="0" t="n">
        <v>81</v>
      </c>
      <c r="D6239" s="0" t="n">
        <v>0</v>
      </c>
      <c r="E6239" s="0" t="n">
        <f aca="false">VLOOKUP(B6239,'MSA-Lookup'!$H$2:$I$86,2)</f>
        <v>6000</v>
      </c>
      <c r="F6239" s="0" t="n">
        <f aca="false">IF(C6239&gt;1,IF(C6239&lt;99,VLOOKUP(C6239,'MSA-Lookup'!$H$1:$I$86,2),C6239),C6239)</f>
        <v>6780</v>
      </c>
      <c r="G6239" s="0" t="n">
        <f aca="false">VLOOKUP(E6239,'MSA-Lookup'!$AA$1:$AB$25,2)</f>
        <v>4472</v>
      </c>
      <c r="H6239" s="0" t="n">
        <f aca="false">IF(C6239&gt;1,IF(C6239&lt;99,VLOOKUP(F6239,'MSA-Lookup'!$AA$1:$AB$25,2),C6239),C6239)</f>
        <v>4472</v>
      </c>
    </row>
    <row r="6240" customFormat="false" ht="12.75" hidden="false" customHeight="false" outlineLevel="0" collapsed="false">
      <c r="A6240" s="0" t="n">
        <f aca="false">B6240*1000+C6240</f>
        <v>83082</v>
      </c>
      <c r="B6240" s="0" t="n">
        <v>83</v>
      </c>
      <c r="C6240" s="0" t="n">
        <v>82</v>
      </c>
      <c r="D6240" s="0" t="n">
        <v>0</v>
      </c>
      <c r="E6240" s="0" t="n">
        <f aca="false">VLOOKUP(B6240,'MSA-Lookup'!$H$2:$I$86,2)</f>
        <v>6000</v>
      </c>
      <c r="F6240" s="0" t="n">
        <f aca="false">IF(C6240&gt;1,IF(C6240&lt;99,VLOOKUP(C6240,'MSA-Lookup'!$H$1:$I$86,2),C6240),C6240)</f>
        <v>6780</v>
      </c>
      <c r="G6240" s="0" t="n">
        <f aca="false">VLOOKUP(E6240,'MSA-Lookup'!$AA$1:$AB$25,2)</f>
        <v>4472</v>
      </c>
      <c r="H6240" s="0" t="n">
        <f aca="false">IF(C6240&gt;1,IF(C6240&lt;99,VLOOKUP(F6240,'MSA-Lookup'!$AA$1:$AB$25,2),C6240),C6240)</f>
        <v>4472</v>
      </c>
    </row>
    <row r="6241" customFormat="false" ht="12.75" hidden="false" customHeight="false" outlineLevel="0" collapsed="false">
      <c r="A6241" s="0" t="n">
        <f aca="false">B6241*1000+C6241</f>
        <v>83083</v>
      </c>
      <c r="B6241" s="0" t="n">
        <v>83</v>
      </c>
      <c r="C6241" s="0" t="n">
        <v>83</v>
      </c>
      <c r="D6241" s="0" t="n">
        <v>26650</v>
      </c>
      <c r="E6241" s="0" t="n">
        <f aca="false">VLOOKUP(B6241,'MSA-Lookup'!$H$2:$I$86,2)</f>
        <v>6000</v>
      </c>
      <c r="F6241" s="0" t="n">
        <f aca="false">IF(C6241&gt;1,IF(C6241&lt;99,VLOOKUP(C6241,'MSA-Lookup'!$H$1:$I$86,2),C6241),C6241)</f>
        <v>6000</v>
      </c>
      <c r="G6241" s="0" t="n">
        <f aca="false">VLOOKUP(E6241,'MSA-Lookup'!$AA$1:$AB$25,2)</f>
        <v>4472</v>
      </c>
      <c r="H6241" s="0" t="n">
        <f aca="false">IF(C6241&gt;1,IF(C6241&lt;99,VLOOKUP(F6241,'MSA-Lookup'!$AA$1:$AB$25,2),C6241),C6241)</f>
        <v>4472</v>
      </c>
    </row>
    <row r="6242" customFormat="false" ht="12.75" hidden="false" customHeight="false" outlineLevel="0" collapsed="false">
      <c r="A6242" s="0" t="n">
        <f aca="false">B6242*1000+C6242</f>
        <v>83084</v>
      </c>
      <c r="B6242" s="0" t="n">
        <v>83</v>
      </c>
      <c r="C6242" s="0" t="n">
        <v>84</v>
      </c>
      <c r="D6242" s="0" t="n">
        <v>117</v>
      </c>
      <c r="E6242" s="0" t="n">
        <f aca="false">VLOOKUP(B6242,'MSA-Lookup'!$H$2:$I$86,2)</f>
        <v>6000</v>
      </c>
      <c r="F6242" s="0" t="n">
        <f aca="false">IF(C6242&gt;1,IF(C6242&lt;99,VLOOKUP(C6242,'MSA-Lookup'!$H$1:$I$86,2),C6242),C6242)</f>
        <v>360</v>
      </c>
      <c r="G6242" s="0" t="n">
        <f aca="false">VLOOKUP(E6242,'MSA-Lookup'!$AA$1:$AB$25,2)</f>
        <v>4472</v>
      </c>
      <c r="H6242" s="0" t="n">
        <f aca="false">IF(C6242&gt;1,IF(C6242&lt;99,VLOOKUP(F6242,'MSA-Lookup'!$AA$1:$AB$25,2),C6242),C6242)</f>
        <v>4472</v>
      </c>
    </row>
    <row r="6243" customFormat="false" ht="12.75" hidden="false" customHeight="false" outlineLevel="0" collapsed="false">
      <c r="A6243" s="0" t="n">
        <f aca="false">B6243*1000+C6243</f>
        <v>83085</v>
      </c>
      <c r="B6243" s="0" t="n">
        <v>83</v>
      </c>
      <c r="C6243" s="0" t="n">
        <v>85</v>
      </c>
      <c r="D6243" s="0" t="n">
        <v>0</v>
      </c>
      <c r="E6243" s="0" t="n">
        <f aca="false">VLOOKUP(B6243,'MSA-Lookup'!$H$2:$I$86,2)</f>
        <v>6000</v>
      </c>
      <c r="F6243" s="0" t="n">
        <f aca="false">IF(C6243&gt;1,IF(C6243&lt;99,VLOOKUP(C6243,'MSA-Lookup'!$H$1:$I$86,2),C6243),C6243)</f>
        <v>8120</v>
      </c>
      <c r="G6243" s="0" t="n">
        <f aca="false">VLOOKUP(E6243,'MSA-Lookup'!$AA$1:$AB$25,2)</f>
        <v>4472</v>
      </c>
      <c r="H6243" s="0" t="n">
        <f aca="false">IF(C6243&gt;1,IF(C6243&lt;99,VLOOKUP(F6243,'MSA-Lookup'!$AA$1:$AB$25,2),C6243),C6243)</f>
        <v>8120</v>
      </c>
    </row>
    <row r="6244" customFormat="false" ht="12.75" hidden="false" customHeight="false" outlineLevel="0" collapsed="false">
      <c r="A6244" s="0" t="n">
        <f aca="false">B6244*1000+C6244</f>
        <v>83858</v>
      </c>
      <c r="B6244" s="0" t="n">
        <v>83</v>
      </c>
      <c r="C6244" s="0" t="n">
        <v>858</v>
      </c>
      <c r="D6244" s="0" t="n">
        <v>0</v>
      </c>
      <c r="E6244" s="0" t="n">
        <f aca="false">VLOOKUP(B6244,'MSA-Lookup'!$H$2:$I$86,2)</f>
        <v>6000</v>
      </c>
      <c r="F6244" s="0" t="n">
        <f aca="false">IF(C6244&gt;1,IF(C6244&lt;99,VLOOKUP(C6244,'MSA-Lookup'!$H$1:$I$86,2),C6244),C6244)</f>
        <v>858</v>
      </c>
      <c r="G6244" s="0" t="n">
        <f aca="false">VLOOKUP(E6244,'MSA-Lookup'!$AA$1:$AB$25,2)</f>
        <v>4472</v>
      </c>
      <c r="H6244" s="0" t="n">
        <f aca="false">IF(C6244&gt;1,IF(C6244&lt;99,VLOOKUP(F6244,'MSA-Lookup'!$AA$1:$AB$25,2),C6244),C6244)</f>
        <v>858</v>
      </c>
    </row>
    <row r="6245" customFormat="false" ht="12.75" hidden="false" customHeight="false" outlineLevel="0" collapsed="false">
      <c r="A6245" s="0" t="n">
        <f aca="false">B6245*1000+C6245</f>
        <v>83983</v>
      </c>
      <c r="B6245" s="0" t="n">
        <v>83</v>
      </c>
      <c r="C6245" s="0" t="n">
        <v>983</v>
      </c>
      <c r="D6245" s="0" t="n">
        <v>0</v>
      </c>
      <c r="E6245" s="0" t="n">
        <f aca="false">VLOOKUP(B6245,'MSA-Lookup'!$H$2:$I$86,2)</f>
        <v>6000</v>
      </c>
      <c r="F6245" s="0" t="n">
        <f aca="false">IF(C6245&gt;1,IF(C6245&lt;99,VLOOKUP(C6245,'MSA-Lookup'!$H$1:$I$86,2),C6245),C6245)</f>
        <v>983</v>
      </c>
      <c r="G6245" s="0" t="n">
        <f aca="false">VLOOKUP(E6245,'MSA-Lookup'!$AA$1:$AB$25,2)</f>
        <v>4472</v>
      </c>
      <c r="H6245" s="0" t="n">
        <f aca="false">IF(C6245&gt;1,IF(C6245&lt;99,VLOOKUP(F6245,'MSA-Lookup'!$AA$1:$AB$25,2),C6245),C6245)</f>
        <v>983</v>
      </c>
    </row>
    <row r="6246" customFormat="false" ht="12.75" hidden="false" customHeight="false" outlineLevel="0" collapsed="false">
      <c r="A6246" s="0" t="n">
        <f aca="false">B6246*1000+C6246</f>
        <v>83999</v>
      </c>
      <c r="B6246" s="0" t="n">
        <v>83</v>
      </c>
      <c r="C6246" s="0" t="n">
        <v>999</v>
      </c>
      <c r="D6246" s="0" t="n">
        <v>0</v>
      </c>
      <c r="E6246" s="0" t="n">
        <f aca="false">VLOOKUP(B6246,'MSA-Lookup'!$H$2:$I$86,2)</f>
        <v>6000</v>
      </c>
      <c r="F6246" s="0" t="n">
        <f aca="false">IF(C6246&gt;1,IF(C6246&lt;99,VLOOKUP(C6246,'MSA-Lookup'!$H$1:$I$86,2),C6246),C6246)</f>
        <v>999</v>
      </c>
      <c r="G6246" s="0" t="n">
        <f aca="false">VLOOKUP(E6246,'MSA-Lookup'!$AA$1:$AB$25,2)</f>
        <v>4472</v>
      </c>
      <c r="H6246" s="0" t="n">
        <f aca="false">IF(C6246&gt;1,IF(C6246&lt;99,VLOOKUP(F6246,'MSA-Lookup'!$AA$1:$AB$25,2),C6246),C6246)</f>
        <v>999</v>
      </c>
    </row>
    <row r="6247" customFormat="false" ht="12.75" hidden="false" customHeight="false" outlineLevel="0" collapsed="false">
      <c r="A6247" s="0" t="n">
        <f aca="false">B6247*1000+C6247</f>
        <v>84000</v>
      </c>
      <c r="B6247" s="0" t="n">
        <v>84</v>
      </c>
      <c r="C6247" s="0" t="n">
        <v>0</v>
      </c>
      <c r="D6247" s="0" t="n">
        <v>129155</v>
      </c>
      <c r="E6247" s="0" t="n">
        <f aca="false">VLOOKUP(B6247,'MSA-Lookup'!$H$2:$I$86,2)</f>
        <v>360</v>
      </c>
      <c r="F6247" s="0" t="n">
        <f aca="false">IF(C6247&gt;1,IF(C6247&lt;99,VLOOKUP(C6247,'MSA-Lookup'!$H$1:$I$86,2),C6247),C6247)</f>
        <v>0</v>
      </c>
      <c r="G6247" s="0" t="n">
        <f aca="false">VLOOKUP(E6247,'MSA-Lookup'!$AA$1:$AB$25,2)</f>
        <v>4472</v>
      </c>
      <c r="H6247" s="0" t="n">
        <f aca="false">IF(C6247&gt;1,IF(C6247&lt;99,VLOOKUP(F6247,'MSA-Lookup'!$AA$1:$AB$25,2),C6247),C6247)</f>
        <v>0</v>
      </c>
    </row>
    <row r="6248" customFormat="false" ht="12.75" hidden="false" customHeight="false" outlineLevel="0" collapsed="false">
      <c r="A6248" s="0" t="n">
        <f aca="false">B6248*1000+C6248</f>
        <v>84001</v>
      </c>
      <c r="B6248" s="0" t="n">
        <v>84</v>
      </c>
      <c r="C6248" s="0" t="n">
        <v>1</v>
      </c>
      <c r="D6248" s="0" t="n">
        <v>78</v>
      </c>
      <c r="E6248" s="0" t="n">
        <f aca="false">VLOOKUP(B6248,'MSA-Lookup'!$H$2:$I$86,2)</f>
        <v>360</v>
      </c>
      <c r="F6248" s="0" t="n">
        <f aca="false">IF(C6248&gt;1,IF(C6248&lt;99,VLOOKUP(C6248,'MSA-Lookup'!$H$1:$I$86,2),C6248),C6248)</f>
        <v>1</v>
      </c>
      <c r="G6248" s="0" t="n">
        <f aca="false">VLOOKUP(E6248,'MSA-Lookup'!$AA$1:$AB$25,2)</f>
        <v>4472</v>
      </c>
      <c r="H6248" s="0" t="n">
        <f aca="false">IF(C6248&gt;1,IF(C6248&lt;99,VLOOKUP(F6248,'MSA-Lookup'!$AA$1:$AB$25,2),C6248),C6248)</f>
        <v>1</v>
      </c>
    </row>
    <row r="6249" customFormat="false" ht="12.75" hidden="false" customHeight="false" outlineLevel="0" collapsed="false">
      <c r="A6249" s="0" t="n">
        <f aca="false">B6249*1000+C6249</f>
        <v>84002</v>
      </c>
      <c r="B6249" s="0" t="n">
        <v>84</v>
      </c>
      <c r="C6249" s="0" t="n">
        <v>2</v>
      </c>
      <c r="D6249" s="0" t="n">
        <v>0</v>
      </c>
      <c r="E6249" s="0" t="n">
        <f aca="false">VLOOKUP(B6249,'MSA-Lookup'!$H$2:$I$86,2)</f>
        <v>360</v>
      </c>
      <c r="F6249" s="0" t="n">
        <f aca="false">IF(C6249&gt;1,IF(C6249&lt;99,VLOOKUP(C6249,'MSA-Lookup'!$H$1:$I$86,2),C6249),C6249)</f>
        <v>9999</v>
      </c>
      <c r="G6249" s="0" t="n">
        <f aca="false">VLOOKUP(E6249,'MSA-Lookup'!$AA$1:$AB$25,2)</f>
        <v>4472</v>
      </c>
      <c r="H6249" s="0" t="n">
        <f aca="false">IF(C6249&gt;1,IF(C6249&lt;99,VLOOKUP(F6249,'MSA-Lookup'!$AA$1:$AB$25,2),C6249),C6249)</f>
        <v>9999</v>
      </c>
    </row>
    <row r="6250" customFormat="false" ht="12.75" hidden="false" customHeight="false" outlineLevel="0" collapsed="false">
      <c r="A6250" s="0" t="n">
        <f aca="false">B6250*1000+C6250</f>
        <v>84003</v>
      </c>
      <c r="B6250" s="0" t="n">
        <v>84</v>
      </c>
      <c r="C6250" s="0" t="n">
        <v>3</v>
      </c>
      <c r="D6250" s="0" t="n">
        <v>0</v>
      </c>
      <c r="E6250" s="0" t="n">
        <f aca="false">VLOOKUP(B6250,'MSA-Lookup'!$H$2:$I$86,2)</f>
        <v>360</v>
      </c>
      <c r="F6250" s="0" t="n">
        <f aca="false">IF(C6250&gt;1,IF(C6250&lt;99,VLOOKUP(C6250,'MSA-Lookup'!$H$1:$I$86,2),C6250),C6250)</f>
        <v>6690</v>
      </c>
      <c r="G6250" s="0" t="n">
        <f aca="false">VLOOKUP(E6250,'MSA-Lookup'!$AA$1:$AB$25,2)</f>
        <v>4472</v>
      </c>
      <c r="H6250" s="0" t="n">
        <f aca="false">IF(C6250&gt;1,IF(C6250&lt;99,VLOOKUP(F6250,'MSA-Lookup'!$AA$1:$AB$25,2),C6250),C6250)</f>
        <v>6690</v>
      </c>
    </row>
    <row r="6251" customFormat="false" ht="12.75" hidden="false" customHeight="false" outlineLevel="0" collapsed="false">
      <c r="A6251" s="0" t="n">
        <f aca="false">B6251*1000+C6251</f>
        <v>84004</v>
      </c>
      <c r="B6251" s="0" t="n">
        <v>84</v>
      </c>
      <c r="C6251" s="0" t="n">
        <v>4</v>
      </c>
      <c r="D6251" s="0" t="n">
        <v>0</v>
      </c>
      <c r="E6251" s="0" t="n">
        <f aca="false">VLOOKUP(B6251,'MSA-Lookup'!$H$2:$I$86,2)</f>
        <v>360</v>
      </c>
      <c r="F6251" s="0" t="n">
        <f aca="false">IF(C6251&gt;1,IF(C6251&lt;99,VLOOKUP(C6251,'MSA-Lookup'!$H$1:$I$86,2),C6251),C6251)</f>
        <v>9999</v>
      </c>
      <c r="G6251" s="0" t="n">
        <f aca="false">VLOOKUP(E6251,'MSA-Lookup'!$AA$1:$AB$25,2)</f>
        <v>4472</v>
      </c>
      <c r="H6251" s="0" t="n">
        <f aca="false">IF(C6251&gt;1,IF(C6251&lt;99,VLOOKUP(F6251,'MSA-Lookup'!$AA$1:$AB$25,2),C6251),C6251)</f>
        <v>9999</v>
      </c>
    </row>
    <row r="6252" customFormat="false" ht="12.75" hidden="false" customHeight="false" outlineLevel="0" collapsed="false">
      <c r="A6252" s="0" t="n">
        <f aca="false">B6252*1000+C6252</f>
        <v>84005</v>
      </c>
      <c r="B6252" s="0" t="n">
        <v>84</v>
      </c>
      <c r="C6252" s="0" t="n">
        <v>5</v>
      </c>
      <c r="D6252" s="0" t="n">
        <v>0</v>
      </c>
      <c r="E6252" s="0" t="n">
        <f aca="false">VLOOKUP(B6252,'MSA-Lookup'!$H$2:$I$86,2)</f>
        <v>360</v>
      </c>
      <c r="F6252" s="0" t="n">
        <f aca="false">IF(C6252&gt;1,IF(C6252&lt;99,VLOOKUP(C6252,'MSA-Lookup'!$H$1:$I$86,2),C6252),C6252)</f>
        <v>9999</v>
      </c>
      <c r="G6252" s="0" t="n">
        <f aca="false">VLOOKUP(E6252,'MSA-Lookup'!$AA$1:$AB$25,2)</f>
        <v>4472</v>
      </c>
      <c r="H6252" s="0" t="n">
        <f aca="false">IF(C6252&gt;1,IF(C6252&lt;99,VLOOKUP(F6252,'MSA-Lookup'!$AA$1:$AB$25,2),C6252),C6252)</f>
        <v>9999</v>
      </c>
    </row>
    <row r="6253" customFormat="false" ht="12.75" hidden="false" customHeight="false" outlineLevel="0" collapsed="false">
      <c r="A6253" s="0" t="n">
        <f aca="false">B6253*1000+C6253</f>
        <v>84006</v>
      </c>
      <c r="B6253" s="0" t="n">
        <v>84</v>
      </c>
      <c r="C6253" s="0" t="n">
        <v>6</v>
      </c>
      <c r="D6253" s="0" t="n">
        <v>0</v>
      </c>
      <c r="E6253" s="0" t="n">
        <f aca="false">VLOOKUP(B6253,'MSA-Lookup'!$H$2:$I$86,2)</f>
        <v>360</v>
      </c>
      <c r="F6253" s="0" t="n">
        <f aca="false">IF(C6253&gt;1,IF(C6253&lt;99,VLOOKUP(C6253,'MSA-Lookup'!$H$1:$I$86,2),C6253),C6253)</f>
        <v>1620</v>
      </c>
      <c r="G6253" s="0" t="n">
        <f aca="false">VLOOKUP(E6253,'MSA-Lookup'!$AA$1:$AB$25,2)</f>
        <v>4472</v>
      </c>
      <c r="H6253" s="0" t="n">
        <f aca="false">IF(C6253&gt;1,IF(C6253&lt;99,VLOOKUP(F6253,'MSA-Lookup'!$AA$1:$AB$25,2),C6253),C6253)</f>
        <v>1620</v>
      </c>
    </row>
    <row r="6254" customFormat="false" ht="12.75" hidden="false" customHeight="false" outlineLevel="0" collapsed="false">
      <c r="A6254" s="0" t="n">
        <f aca="false">B6254*1000+C6254</f>
        <v>84007</v>
      </c>
      <c r="B6254" s="0" t="n">
        <v>84</v>
      </c>
      <c r="C6254" s="0" t="n">
        <v>7</v>
      </c>
      <c r="D6254" s="0" t="n">
        <v>0</v>
      </c>
      <c r="E6254" s="0" t="n">
        <f aca="false">VLOOKUP(B6254,'MSA-Lookup'!$H$2:$I$86,2)</f>
        <v>360</v>
      </c>
      <c r="F6254" s="0" t="n">
        <f aca="false">IF(C6254&gt;1,IF(C6254&lt;99,VLOOKUP(C6254,'MSA-Lookup'!$H$1:$I$86,2),C6254),C6254)</f>
        <v>9999</v>
      </c>
      <c r="G6254" s="0" t="n">
        <f aca="false">VLOOKUP(E6254,'MSA-Lookup'!$AA$1:$AB$25,2)</f>
        <v>4472</v>
      </c>
      <c r="H6254" s="0" t="n">
        <f aca="false">IF(C6254&gt;1,IF(C6254&lt;99,VLOOKUP(F6254,'MSA-Lookup'!$AA$1:$AB$25,2),C6254),C6254)</f>
        <v>9999</v>
      </c>
    </row>
    <row r="6255" customFormat="false" ht="12.75" hidden="false" customHeight="false" outlineLevel="0" collapsed="false">
      <c r="A6255" s="0" t="n">
        <f aca="false">B6255*1000+C6255</f>
        <v>84008</v>
      </c>
      <c r="B6255" s="0" t="n">
        <v>84</v>
      </c>
      <c r="C6255" s="0" t="n">
        <v>8</v>
      </c>
      <c r="D6255" s="0" t="n">
        <v>0</v>
      </c>
      <c r="E6255" s="0" t="n">
        <f aca="false">VLOOKUP(B6255,'MSA-Lookup'!$H$2:$I$86,2)</f>
        <v>360</v>
      </c>
      <c r="F6255" s="0" t="n">
        <f aca="false">IF(C6255&gt;1,IF(C6255&lt;99,VLOOKUP(C6255,'MSA-Lookup'!$H$1:$I$86,2),C6255),C6255)</f>
        <v>9340</v>
      </c>
      <c r="G6255" s="0" t="n">
        <f aca="false">VLOOKUP(E6255,'MSA-Lookup'!$AA$1:$AB$25,2)</f>
        <v>4472</v>
      </c>
      <c r="H6255" s="0" t="n">
        <f aca="false">IF(C6255&gt;1,IF(C6255&lt;99,VLOOKUP(F6255,'MSA-Lookup'!$AA$1:$AB$25,2),C6255),C6255)</f>
        <v>9340</v>
      </c>
    </row>
    <row r="6256" customFormat="false" ht="12.75" hidden="false" customHeight="false" outlineLevel="0" collapsed="false">
      <c r="A6256" s="0" t="n">
        <f aca="false">B6256*1000+C6256</f>
        <v>84009</v>
      </c>
      <c r="B6256" s="0" t="n">
        <v>84</v>
      </c>
      <c r="C6256" s="0" t="n">
        <v>9</v>
      </c>
      <c r="D6256" s="0" t="n">
        <v>0</v>
      </c>
      <c r="E6256" s="0" t="n">
        <f aca="false">VLOOKUP(B6256,'MSA-Lookup'!$H$2:$I$86,2)</f>
        <v>360</v>
      </c>
      <c r="F6256" s="0" t="n">
        <f aca="false">IF(C6256&gt;1,IF(C6256&lt;99,VLOOKUP(C6256,'MSA-Lookup'!$H$1:$I$86,2),C6256),C6256)</f>
        <v>8720</v>
      </c>
      <c r="G6256" s="0" t="n">
        <f aca="false">VLOOKUP(E6256,'MSA-Lookup'!$AA$1:$AB$25,2)</f>
        <v>4472</v>
      </c>
      <c r="H6256" s="0" t="n">
        <f aca="false">IF(C6256&gt;1,IF(C6256&lt;99,VLOOKUP(F6256,'MSA-Lookup'!$AA$1:$AB$25,2),C6256),C6256)</f>
        <v>7362</v>
      </c>
    </row>
    <row r="6257" customFormat="false" ht="12.75" hidden="false" customHeight="false" outlineLevel="0" collapsed="false">
      <c r="A6257" s="0" t="n">
        <f aca="false">B6257*1000+C6257</f>
        <v>84010</v>
      </c>
      <c r="B6257" s="0" t="n">
        <v>84</v>
      </c>
      <c r="C6257" s="0" t="n">
        <v>10</v>
      </c>
      <c r="D6257" s="0" t="n">
        <v>0</v>
      </c>
      <c r="E6257" s="0" t="n">
        <f aca="false">VLOOKUP(B6257,'MSA-Lookup'!$H$2:$I$86,2)</f>
        <v>360</v>
      </c>
      <c r="F6257" s="0" t="n">
        <f aca="false">IF(C6257&gt;1,IF(C6257&lt;99,VLOOKUP(C6257,'MSA-Lookup'!$H$1:$I$86,2),C6257),C6257)</f>
        <v>6920</v>
      </c>
      <c r="G6257" s="0" t="n">
        <f aca="false">VLOOKUP(E6257,'MSA-Lookup'!$AA$1:$AB$25,2)</f>
        <v>4472</v>
      </c>
      <c r="H6257" s="0" t="n">
        <f aca="false">IF(C6257&gt;1,IF(C6257&lt;99,VLOOKUP(F6257,'MSA-Lookup'!$AA$1:$AB$25,2),C6257),C6257)</f>
        <v>6920</v>
      </c>
    </row>
    <row r="6258" customFormat="false" ht="12.75" hidden="false" customHeight="false" outlineLevel="0" collapsed="false">
      <c r="A6258" s="0" t="n">
        <f aca="false">B6258*1000+C6258</f>
        <v>84011</v>
      </c>
      <c r="B6258" s="0" t="n">
        <v>84</v>
      </c>
      <c r="C6258" s="0" t="n">
        <v>11</v>
      </c>
      <c r="D6258" s="0" t="n">
        <v>78</v>
      </c>
      <c r="E6258" s="0" t="n">
        <f aca="false">VLOOKUP(B6258,'MSA-Lookup'!$H$2:$I$86,2)</f>
        <v>360</v>
      </c>
      <c r="F6258" s="0" t="n">
        <f aca="false">IF(C6258&gt;1,IF(C6258&lt;99,VLOOKUP(C6258,'MSA-Lookup'!$H$1:$I$86,2),C6258),C6258)</f>
        <v>6920</v>
      </c>
      <c r="G6258" s="0" t="n">
        <f aca="false">VLOOKUP(E6258,'MSA-Lookup'!$AA$1:$AB$25,2)</f>
        <v>4472</v>
      </c>
      <c r="H6258" s="0" t="n">
        <f aca="false">IF(C6258&gt;1,IF(C6258&lt;99,VLOOKUP(F6258,'MSA-Lookup'!$AA$1:$AB$25,2),C6258),C6258)</f>
        <v>6920</v>
      </c>
    </row>
    <row r="6259" customFormat="false" ht="12.75" hidden="false" customHeight="false" outlineLevel="0" collapsed="false">
      <c r="A6259" s="0" t="n">
        <f aca="false">B6259*1000+C6259</f>
        <v>84012</v>
      </c>
      <c r="B6259" s="0" t="n">
        <v>84</v>
      </c>
      <c r="C6259" s="0" t="n">
        <v>12</v>
      </c>
      <c r="D6259" s="0" t="n">
        <v>0</v>
      </c>
      <c r="E6259" s="0" t="n">
        <f aca="false">VLOOKUP(B6259,'MSA-Lookup'!$H$2:$I$86,2)</f>
        <v>360</v>
      </c>
      <c r="F6259" s="0" t="n">
        <f aca="false">IF(C6259&gt;1,IF(C6259&lt;99,VLOOKUP(C6259,'MSA-Lookup'!$H$1:$I$86,2),C6259),C6259)</f>
        <v>6920</v>
      </c>
      <c r="G6259" s="0" t="n">
        <f aca="false">VLOOKUP(E6259,'MSA-Lookup'!$AA$1:$AB$25,2)</f>
        <v>4472</v>
      </c>
      <c r="H6259" s="0" t="n">
        <f aca="false">IF(C6259&gt;1,IF(C6259&lt;99,VLOOKUP(F6259,'MSA-Lookup'!$AA$1:$AB$25,2),C6259),C6259)</f>
        <v>6920</v>
      </c>
    </row>
    <row r="6260" customFormat="false" ht="12.75" hidden="false" customHeight="false" outlineLevel="0" collapsed="false">
      <c r="A6260" s="0" t="n">
        <f aca="false">B6260*1000+C6260</f>
        <v>84013</v>
      </c>
      <c r="B6260" s="0" t="n">
        <v>84</v>
      </c>
      <c r="C6260" s="0" t="n">
        <v>13</v>
      </c>
      <c r="D6260" s="0" t="n">
        <v>0</v>
      </c>
      <c r="E6260" s="0" t="n">
        <f aca="false">VLOOKUP(B6260,'MSA-Lookup'!$H$2:$I$86,2)</f>
        <v>360</v>
      </c>
      <c r="F6260" s="0" t="n">
        <f aca="false">IF(C6260&gt;1,IF(C6260&lt;99,VLOOKUP(C6260,'MSA-Lookup'!$H$1:$I$86,2),C6260),C6260)</f>
        <v>7500</v>
      </c>
      <c r="G6260" s="0" t="n">
        <f aca="false">VLOOKUP(E6260,'MSA-Lookup'!$AA$1:$AB$25,2)</f>
        <v>4472</v>
      </c>
      <c r="H6260" s="0" t="n">
        <f aca="false">IF(C6260&gt;1,IF(C6260&lt;99,VLOOKUP(F6260,'MSA-Lookup'!$AA$1:$AB$25,2),C6260),C6260)</f>
        <v>7362</v>
      </c>
    </row>
    <row r="6261" customFormat="false" ht="12.75" hidden="false" customHeight="false" outlineLevel="0" collapsed="false">
      <c r="A6261" s="0" t="n">
        <f aca="false">B6261*1000+C6261</f>
        <v>84014</v>
      </c>
      <c r="B6261" s="0" t="n">
        <v>84</v>
      </c>
      <c r="C6261" s="0" t="n">
        <v>14</v>
      </c>
      <c r="D6261" s="0" t="n">
        <v>0</v>
      </c>
      <c r="E6261" s="0" t="n">
        <f aca="false">VLOOKUP(B6261,'MSA-Lookup'!$H$2:$I$86,2)</f>
        <v>360</v>
      </c>
      <c r="F6261" s="0" t="n">
        <f aca="false">IF(C6261&gt;1,IF(C6261&lt;99,VLOOKUP(C6261,'MSA-Lookup'!$H$1:$I$86,2),C6261),C6261)</f>
        <v>7500</v>
      </c>
      <c r="G6261" s="0" t="n">
        <f aca="false">VLOOKUP(E6261,'MSA-Lookup'!$AA$1:$AB$25,2)</f>
        <v>4472</v>
      </c>
      <c r="H6261" s="0" t="n">
        <f aca="false">IF(C6261&gt;1,IF(C6261&lt;99,VLOOKUP(F6261,'MSA-Lookup'!$AA$1:$AB$25,2),C6261),C6261)</f>
        <v>7362</v>
      </c>
    </row>
    <row r="6262" customFormat="false" ht="12.75" hidden="false" customHeight="false" outlineLevel="0" collapsed="false">
      <c r="A6262" s="0" t="n">
        <f aca="false">B6262*1000+C6262</f>
        <v>84015</v>
      </c>
      <c r="B6262" s="0" t="n">
        <v>84</v>
      </c>
      <c r="C6262" s="0" t="n">
        <v>15</v>
      </c>
      <c r="D6262" s="0" t="n">
        <v>0</v>
      </c>
      <c r="E6262" s="0" t="n">
        <f aca="false">VLOOKUP(B6262,'MSA-Lookup'!$H$2:$I$86,2)</f>
        <v>360</v>
      </c>
      <c r="F6262" s="0" t="n">
        <f aca="false">IF(C6262&gt;1,IF(C6262&lt;99,VLOOKUP(C6262,'MSA-Lookup'!$H$1:$I$86,2),C6262),C6262)</f>
        <v>7360</v>
      </c>
      <c r="G6262" s="0" t="n">
        <f aca="false">VLOOKUP(E6262,'MSA-Lookup'!$AA$1:$AB$25,2)</f>
        <v>4472</v>
      </c>
      <c r="H6262" s="0" t="n">
        <f aca="false">IF(C6262&gt;1,IF(C6262&lt;99,VLOOKUP(F6262,'MSA-Lookup'!$AA$1:$AB$25,2),C6262),C6262)</f>
        <v>7362</v>
      </c>
    </row>
    <row r="6263" customFormat="false" ht="12.75" hidden="false" customHeight="false" outlineLevel="0" collapsed="false">
      <c r="A6263" s="0" t="n">
        <f aca="false">B6263*1000+C6263</f>
        <v>84016</v>
      </c>
      <c r="B6263" s="0" t="n">
        <v>84</v>
      </c>
      <c r="C6263" s="0" t="n">
        <v>16</v>
      </c>
      <c r="D6263" s="0" t="n">
        <v>0</v>
      </c>
      <c r="E6263" s="0" t="n">
        <f aca="false">VLOOKUP(B6263,'MSA-Lookup'!$H$2:$I$86,2)</f>
        <v>360</v>
      </c>
      <c r="F6263" s="0" t="n">
        <f aca="false">IF(C6263&gt;1,IF(C6263&lt;99,VLOOKUP(C6263,'MSA-Lookup'!$H$1:$I$86,2),C6263),C6263)</f>
        <v>8720</v>
      </c>
      <c r="G6263" s="0" t="n">
        <f aca="false">VLOOKUP(E6263,'MSA-Lookup'!$AA$1:$AB$25,2)</f>
        <v>4472</v>
      </c>
      <c r="H6263" s="0" t="n">
        <f aca="false">IF(C6263&gt;1,IF(C6263&lt;99,VLOOKUP(F6263,'MSA-Lookup'!$AA$1:$AB$25,2),C6263),C6263)</f>
        <v>7362</v>
      </c>
    </row>
    <row r="6264" customFormat="false" ht="12.75" hidden="false" customHeight="false" outlineLevel="0" collapsed="false">
      <c r="A6264" s="0" t="n">
        <f aca="false">B6264*1000+C6264</f>
        <v>84017</v>
      </c>
      <c r="B6264" s="0" t="n">
        <v>84</v>
      </c>
      <c r="C6264" s="0" t="n">
        <v>17</v>
      </c>
      <c r="D6264" s="0" t="n">
        <v>0</v>
      </c>
      <c r="E6264" s="0" t="n">
        <f aca="false">VLOOKUP(B6264,'MSA-Lookup'!$H$2:$I$86,2)</f>
        <v>360</v>
      </c>
      <c r="F6264" s="0" t="n">
        <f aca="false">IF(C6264&gt;1,IF(C6264&lt;99,VLOOKUP(C6264,'MSA-Lookup'!$H$1:$I$86,2),C6264),C6264)</f>
        <v>5775</v>
      </c>
      <c r="G6264" s="0" t="n">
        <f aca="false">VLOOKUP(E6264,'MSA-Lookup'!$AA$1:$AB$25,2)</f>
        <v>4472</v>
      </c>
      <c r="H6264" s="0" t="n">
        <f aca="false">IF(C6264&gt;1,IF(C6264&lt;99,VLOOKUP(F6264,'MSA-Lookup'!$AA$1:$AB$25,2),C6264),C6264)</f>
        <v>7362</v>
      </c>
    </row>
    <row r="6265" customFormat="false" ht="12.75" hidden="false" customHeight="false" outlineLevel="0" collapsed="false">
      <c r="A6265" s="0" t="n">
        <f aca="false">B6265*1000+C6265</f>
        <v>84018</v>
      </c>
      <c r="B6265" s="0" t="n">
        <v>84</v>
      </c>
      <c r="C6265" s="0" t="n">
        <v>18</v>
      </c>
      <c r="D6265" s="0" t="n">
        <v>104</v>
      </c>
      <c r="E6265" s="0" t="n">
        <f aca="false">VLOOKUP(B6265,'MSA-Lookup'!$H$2:$I$86,2)</f>
        <v>360</v>
      </c>
      <c r="F6265" s="0" t="n">
        <f aca="false">IF(C6265&gt;1,IF(C6265&lt;99,VLOOKUP(C6265,'MSA-Lookup'!$H$1:$I$86,2),C6265),C6265)</f>
        <v>5775</v>
      </c>
      <c r="G6265" s="0" t="n">
        <f aca="false">VLOOKUP(E6265,'MSA-Lookup'!$AA$1:$AB$25,2)</f>
        <v>4472</v>
      </c>
      <c r="H6265" s="0" t="n">
        <f aca="false">IF(C6265&gt;1,IF(C6265&lt;99,VLOOKUP(F6265,'MSA-Lookup'!$AA$1:$AB$25,2),C6265),C6265)</f>
        <v>7362</v>
      </c>
    </row>
    <row r="6266" customFormat="false" ht="12.75" hidden="false" customHeight="false" outlineLevel="0" collapsed="false">
      <c r="A6266" s="0" t="n">
        <f aca="false">B6266*1000+C6266</f>
        <v>84019</v>
      </c>
      <c r="B6266" s="0" t="n">
        <v>84</v>
      </c>
      <c r="C6266" s="0" t="n">
        <v>19</v>
      </c>
      <c r="D6266" s="0" t="n">
        <v>0</v>
      </c>
      <c r="E6266" s="0" t="n">
        <f aca="false">VLOOKUP(B6266,'MSA-Lookup'!$H$2:$I$86,2)</f>
        <v>360</v>
      </c>
      <c r="F6266" s="0" t="n">
        <f aca="false">IF(C6266&gt;1,IF(C6266&lt;99,VLOOKUP(C6266,'MSA-Lookup'!$H$1:$I$86,2),C6266),C6266)</f>
        <v>7360</v>
      </c>
      <c r="G6266" s="0" t="n">
        <f aca="false">VLOOKUP(E6266,'MSA-Lookup'!$AA$1:$AB$25,2)</f>
        <v>4472</v>
      </c>
      <c r="H6266" s="0" t="n">
        <f aca="false">IF(C6266&gt;1,IF(C6266&lt;99,VLOOKUP(F6266,'MSA-Lookup'!$AA$1:$AB$25,2),C6266),C6266)</f>
        <v>7362</v>
      </c>
    </row>
    <row r="6267" customFormat="false" ht="12.75" hidden="false" customHeight="false" outlineLevel="0" collapsed="false">
      <c r="A6267" s="0" t="n">
        <f aca="false">B6267*1000+C6267</f>
        <v>84020</v>
      </c>
      <c r="B6267" s="0" t="n">
        <v>84</v>
      </c>
      <c r="C6267" s="0" t="n">
        <v>20</v>
      </c>
      <c r="D6267" s="0" t="n">
        <v>0</v>
      </c>
      <c r="E6267" s="0" t="n">
        <f aca="false">VLOOKUP(B6267,'MSA-Lookup'!$H$2:$I$86,2)</f>
        <v>360</v>
      </c>
      <c r="F6267" s="0" t="n">
        <f aca="false">IF(C6267&gt;1,IF(C6267&lt;99,VLOOKUP(C6267,'MSA-Lookup'!$H$1:$I$86,2),C6267),C6267)</f>
        <v>5775</v>
      </c>
      <c r="G6267" s="0" t="n">
        <f aca="false">VLOOKUP(E6267,'MSA-Lookup'!$AA$1:$AB$25,2)</f>
        <v>4472</v>
      </c>
      <c r="H6267" s="0" t="n">
        <f aca="false">IF(C6267&gt;1,IF(C6267&lt;99,VLOOKUP(F6267,'MSA-Lookup'!$AA$1:$AB$25,2),C6267),C6267)</f>
        <v>7362</v>
      </c>
    </row>
    <row r="6268" customFormat="false" ht="12.75" hidden="false" customHeight="false" outlineLevel="0" collapsed="false">
      <c r="A6268" s="0" t="n">
        <f aca="false">B6268*1000+C6268</f>
        <v>84021</v>
      </c>
      <c r="B6268" s="0" t="n">
        <v>84</v>
      </c>
      <c r="C6268" s="0" t="n">
        <v>21</v>
      </c>
      <c r="D6268" s="0" t="n">
        <v>0</v>
      </c>
      <c r="E6268" s="0" t="n">
        <f aca="false">VLOOKUP(B6268,'MSA-Lookup'!$H$2:$I$86,2)</f>
        <v>360</v>
      </c>
      <c r="F6268" s="0" t="n">
        <f aca="false">IF(C6268&gt;1,IF(C6268&lt;99,VLOOKUP(C6268,'MSA-Lookup'!$H$1:$I$86,2),C6268),C6268)</f>
        <v>5775</v>
      </c>
      <c r="G6268" s="0" t="n">
        <f aca="false">VLOOKUP(E6268,'MSA-Lookup'!$AA$1:$AB$25,2)</f>
        <v>4472</v>
      </c>
      <c r="H6268" s="0" t="n">
        <f aca="false">IF(C6268&gt;1,IF(C6268&lt;99,VLOOKUP(F6268,'MSA-Lookup'!$AA$1:$AB$25,2),C6268),C6268)</f>
        <v>7362</v>
      </c>
    </row>
    <row r="6269" customFormat="false" ht="12.75" hidden="false" customHeight="false" outlineLevel="0" collapsed="false">
      <c r="A6269" s="0" t="n">
        <f aca="false">B6269*1000+C6269</f>
        <v>84022</v>
      </c>
      <c r="B6269" s="0" t="n">
        <v>84</v>
      </c>
      <c r="C6269" s="0" t="n">
        <v>22</v>
      </c>
      <c r="D6269" s="0" t="n">
        <v>0</v>
      </c>
      <c r="E6269" s="0" t="n">
        <f aca="false">VLOOKUP(B6269,'MSA-Lookup'!$H$2:$I$86,2)</f>
        <v>360</v>
      </c>
      <c r="F6269" s="0" t="n">
        <f aca="false">IF(C6269&gt;1,IF(C6269&lt;99,VLOOKUP(C6269,'MSA-Lookup'!$H$1:$I$86,2),C6269),C6269)</f>
        <v>7360</v>
      </c>
      <c r="G6269" s="0" t="n">
        <f aca="false">VLOOKUP(E6269,'MSA-Lookup'!$AA$1:$AB$25,2)</f>
        <v>4472</v>
      </c>
      <c r="H6269" s="0" t="n">
        <f aca="false">IF(C6269&gt;1,IF(C6269&lt;99,VLOOKUP(F6269,'MSA-Lookup'!$AA$1:$AB$25,2),C6269),C6269)</f>
        <v>7362</v>
      </c>
    </row>
    <row r="6270" customFormat="false" ht="12.75" hidden="false" customHeight="false" outlineLevel="0" collapsed="false">
      <c r="A6270" s="0" t="n">
        <f aca="false">B6270*1000+C6270</f>
        <v>84023</v>
      </c>
      <c r="B6270" s="0" t="n">
        <v>84</v>
      </c>
      <c r="C6270" s="0" t="n">
        <v>23</v>
      </c>
      <c r="D6270" s="0" t="n">
        <v>0</v>
      </c>
      <c r="E6270" s="0" t="n">
        <f aca="false">VLOOKUP(B6270,'MSA-Lookup'!$H$2:$I$86,2)</f>
        <v>360</v>
      </c>
      <c r="F6270" s="0" t="n">
        <f aca="false">IF(C6270&gt;1,IF(C6270&lt;99,VLOOKUP(C6270,'MSA-Lookup'!$H$1:$I$86,2),C6270),C6270)</f>
        <v>8120</v>
      </c>
      <c r="G6270" s="0" t="n">
        <f aca="false">VLOOKUP(E6270,'MSA-Lookup'!$AA$1:$AB$25,2)</f>
        <v>4472</v>
      </c>
      <c r="H6270" s="0" t="n">
        <f aca="false">IF(C6270&gt;1,IF(C6270&lt;99,VLOOKUP(F6270,'MSA-Lookup'!$AA$1:$AB$25,2),C6270),C6270)</f>
        <v>8120</v>
      </c>
    </row>
    <row r="6271" customFormat="false" ht="12.75" hidden="false" customHeight="false" outlineLevel="0" collapsed="false">
      <c r="A6271" s="0" t="n">
        <f aca="false">B6271*1000+C6271</f>
        <v>84024</v>
      </c>
      <c r="B6271" s="0" t="n">
        <v>84</v>
      </c>
      <c r="C6271" s="0" t="n">
        <v>24</v>
      </c>
      <c r="D6271" s="0" t="n">
        <v>0</v>
      </c>
      <c r="E6271" s="0" t="n">
        <f aca="false">VLOOKUP(B6271,'MSA-Lookup'!$H$2:$I$86,2)</f>
        <v>360</v>
      </c>
      <c r="F6271" s="0" t="n">
        <f aca="false">IF(C6271&gt;1,IF(C6271&lt;99,VLOOKUP(C6271,'MSA-Lookup'!$H$1:$I$86,2),C6271),C6271)</f>
        <v>5170</v>
      </c>
      <c r="G6271" s="0" t="n">
        <f aca="false">VLOOKUP(E6271,'MSA-Lookup'!$AA$1:$AB$25,2)</f>
        <v>4472</v>
      </c>
      <c r="H6271" s="0" t="n">
        <f aca="false">IF(C6271&gt;1,IF(C6271&lt;99,VLOOKUP(F6271,'MSA-Lookup'!$AA$1:$AB$25,2),C6271),C6271)</f>
        <v>5170</v>
      </c>
    </row>
    <row r="6272" customFormat="false" ht="12.75" hidden="false" customHeight="false" outlineLevel="0" collapsed="false">
      <c r="A6272" s="0" t="n">
        <f aca="false">B6272*1000+C6272</f>
        <v>84025</v>
      </c>
      <c r="B6272" s="0" t="n">
        <v>84</v>
      </c>
      <c r="C6272" s="0" t="n">
        <v>25</v>
      </c>
      <c r="D6272" s="0" t="n">
        <v>0</v>
      </c>
      <c r="E6272" s="0" t="n">
        <f aca="false">VLOOKUP(B6272,'MSA-Lookup'!$H$2:$I$86,2)</f>
        <v>360</v>
      </c>
      <c r="F6272" s="0" t="n">
        <f aca="false">IF(C6272&gt;1,IF(C6272&lt;99,VLOOKUP(C6272,'MSA-Lookup'!$H$1:$I$86,2),C6272),C6272)</f>
        <v>5170</v>
      </c>
      <c r="G6272" s="0" t="n">
        <f aca="false">VLOOKUP(E6272,'MSA-Lookup'!$AA$1:$AB$25,2)</f>
        <v>4472</v>
      </c>
      <c r="H6272" s="0" t="n">
        <f aca="false">IF(C6272&gt;1,IF(C6272&lt;99,VLOOKUP(F6272,'MSA-Lookup'!$AA$1:$AB$25,2),C6272),C6272)</f>
        <v>5170</v>
      </c>
    </row>
    <row r="6273" customFormat="false" ht="12.75" hidden="false" customHeight="false" outlineLevel="0" collapsed="false">
      <c r="A6273" s="0" t="n">
        <f aca="false">B6273*1000+C6273</f>
        <v>84026</v>
      </c>
      <c r="B6273" s="0" t="n">
        <v>84</v>
      </c>
      <c r="C6273" s="0" t="n">
        <v>26</v>
      </c>
      <c r="D6273" s="0" t="n">
        <v>0</v>
      </c>
      <c r="E6273" s="0" t="n">
        <f aca="false">VLOOKUP(B6273,'MSA-Lookup'!$H$2:$I$86,2)</f>
        <v>360</v>
      </c>
      <c r="F6273" s="0" t="n">
        <f aca="false">IF(C6273&gt;1,IF(C6273&lt;99,VLOOKUP(C6273,'MSA-Lookup'!$H$1:$I$86,2),C6273),C6273)</f>
        <v>9999</v>
      </c>
      <c r="G6273" s="0" t="n">
        <f aca="false">VLOOKUP(E6273,'MSA-Lookup'!$AA$1:$AB$25,2)</f>
        <v>4472</v>
      </c>
      <c r="H6273" s="0" t="n">
        <f aca="false">IF(C6273&gt;1,IF(C6273&lt;99,VLOOKUP(F6273,'MSA-Lookup'!$AA$1:$AB$25,2),C6273),C6273)</f>
        <v>9999</v>
      </c>
    </row>
    <row r="6274" customFormat="false" ht="12.75" hidden="false" customHeight="false" outlineLevel="0" collapsed="false">
      <c r="A6274" s="0" t="n">
        <f aca="false">B6274*1000+C6274</f>
        <v>84027</v>
      </c>
      <c r="B6274" s="0" t="n">
        <v>84</v>
      </c>
      <c r="C6274" s="0" t="n">
        <v>27</v>
      </c>
      <c r="D6274" s="0" t="n">
        <v>0</v>
      </c>
      <c r="E6274" s="0" t="n">
        <f aca="false">VLOOKUP(B6274,'MSA-Lookup'!$H$2:$I$86,2)</f>
        <v>360</v>
      </c>
      <c r="F6274" s="0" t="n">
        <f aca="false">IF(C6274&gt;1,IF(C6274&lt;99,VLOOKUP(C6274,'MSA-Lookup'!$H$1:$I$86,2),C6274),C6274)</f>
        <v>9999</v>
      </c>
      <c r="G6274" s="0" t="n">
        <f aca="false">VLOOKUP(E6274,'MSA-Lookup'!$AA$1:$AB$25,2)</f>
        <v>4472</v>
      </c>
      <c r="H6274" s="0" t="n">
        <f aca="false">IF(C6274&gt;1,IF(C6274&lt;99,VLOOKUP(F6274,'MSA-Lookup'!$AA$1:$AB$25,2),C6274),C6274)</f>
        <v>9999</v>
      </c>
    </row>
    <row r="6275" customFormat="false" ht="12.75" hidden="false" customHeight="false" outlineLevel="0" collapsed="false">
      <c r="A6275" s="0" t="n">
        <f aca="false">B6275*1000+C6275</f>
        <v>84028</v>
      </c>
      <c r="B6275" s="0" t="n">
        <v>84</v>
      </c>
      <c r="C6275" s="0" t="n">
        <v>28</v>
      </c>
      <c r="D6275" s="0" t="n">
        <v>0</v>
      </c>
      <c r="E6275" s="0" t="n">
        <f aca="false">VLOOKUP(B6275,'MSA-Lookup'!$H$2:$I$86,2)</f>
        <v>360</v>
      </c>
      <c r="F6275" s="0" t="n">
        <f aca="false">IF(C6275&gt;1,IF(C6275&lt;99,VLOOKUP(C6275,'MSA-Lookup'!$H$1:$I$86,2),C6275),C6275)</f>
        <v>6920</v>
      </c>
      <c r="G6275" s="0" t="n">
        <f aca="false">VLOOKUP(E6275,'MSA-Lookup'!$AA$1:$AB$25,2)</f>
        <v>4472</v>
      </c>
      <c r="H6275" s="0" t="n">
        <f aca="false">IF(C6275&gt;1,IF(C6275&lt;99,VLOOKUP(F6275,'MSA-Lookup'!$AA$1:$AB$25,2),C6275),C6275)</f>
        <v>6920</v>
      </c>
    </row>
    <row r="6276" customFormat="false" ht="12.75" hidden="false" customHeight="false" outlineLevel="0" collapsed="false">
      <c r="A6276" s="0" t="n">
        <f aca="false">B6276*1000+C6276</f>
        <v>84029</v>
      </c>
      <c r="B6276" s="0" t="n">
        <v>84</v>
      </c>
      <c r="C6276" s="0" t="n">
        <v>29</v>
      </c>
      <c r="D6276" s="0" t="n">
        <v>0</v>
      </c>
      <c r="E6276" s="0" t="n">
        <f aca="false">VLOOKUP(B6276,'MSA-Lookup'!$H$2:$I$86,2)</f>
        <v>360</v>
      </c>
      <c r="F6276" s="0" t="n">
        <f aca="false">IF(C6276&gt;1,IF(C6276&lt;99,VLOOKUP(C6276,'MSA-Lookup'!$H$1:$I$86,2),C6276),C6276)</f>
        <v>6920</v>
      </c>
      <c r="G6276" s="0" t="n">
        <f aca="false">VLOOKUP(E6276,'MSA-Lookup'!$AA$1:$AB$25,2)</f>
        <v>4472</v>
      </c>
      <c r="H6276" s="0" t="n">
        <f aca="false">IF(C6276&gt;1,IF(C6276&lt;99,VLOOKUP(F6276,'MSA-Lookup'!$AA$1:$AB$25,2),C6276),C6276)</f>
        <v>6920</v>
      </c>
    </row>
    <row r="6277" customFormat="false" ht="12.75" hidden="false" customHeight="false" outlineLevel="0" collapsed="false">
      <c r="A6277" s="0" t="n">
        <f aca="false">B6277*1000+C6277</f>
        <v>84030</v>
      </c>
      <c r="B6277" s="0" t="n">
        <v>84</v>
      </c>
      <c r="C6277" s="0" t="n">
        <v>30</v>
      </c>
      <c r="D6277" s="0" t="n">
        <v>0</v>
      </c>
      <c r="E6277" s="0" t="n">
        <f aca="false">VLOOKUP(B6277,'MSA-Lookup'!$H$2:$I$86,2)</f>
        <v>360</v>
      </c>
      <c r="F6277" s="0" t="n">
        <f aca="false">IF(C6277&gt;1,IF(C6277&lt;99,VLOOKUP(C6277,'MSA-Lookup'!$H$1:$I$86,2),C6277),C6277)</f>
        <v>4940</v>
      </c>
      <c r="G6277" s="0" t="n">
        <f aca="false">VLOOKUP(E6277,'MSA-Lookup'!$AA$1:$AB$25,2)</f>
        <v>4472</v>
      </c>
      <c r="H6277" s="0" t="n">
        <f aca="false">IF(C6277&gt;1,IF(C6277&lt;99,VLOOKUP(F6277,'MSA-Lookup'!$AA$1:$AB$25,2),C6277),C6277)</f>
        <v>4940</v>
      </c>
    </row>
    <row r="6278" customFormat="false" ht="12.75" hidden="false" customHeight="false" outlineLevel="0" collapsed="false">
      <c r="A6278" s="0" t="n">
        <f aca="false">B6278*1000+C6278</f>
        <v>84031</v>
      </c>
      <c r="B6278" s="0" t="n">
        <v>84</v>
      </c>
      <c r="C6278" s="0" t="n">
        <v>31</v>
      </c>
      <c r="D6278" s="0" t="n">
        <v>0</v>
      </c>
      <c r="E6278" s="0" t="n">
        <f aca="false">VLOOKUP(B6278,'MSA-Lookup'!$H$2:$I$86,2)</f>
        <v>360</v>
      </c>
      <c r="F6278" s="0" t="n">
        <f aca="false">IF(C6278&gt;1,IF(C6278&lt;99,VLOOKUP(C6278,'MSA-Lookup'!$H$1:$I$86,2),C6278),C6278)</f>
        <v>9999</v>
      </c>
      <c r="G6278" s="0" t="n">
        <f aca="false">VLOOKUP(E6278,'MSA-Lookup'!$AA$1:$AB$25,2)</f>
        <v>4472</v>
      </c>
      <c r="H6278" s="0" t="n">
        <f aca="false">IF(C6278&gt;1,IF(C6278&lt;99,VLOOKUP(F6278,'MSA-Lookup'!$AA$1:$AB$25,2),C6278),C6278)</f>
        <v>9999</v>
      </c>
    </row>
    <row r="6279" customFormat="false" ht="12.75" hidden="false" customHeight="false" outlineLevel="0" collapsed="false">
      <c r="A6279" s="0" t="n">
        <f aca="false">B6279*1000+C6279</f>
        <v>84032</v>
      </c>
      <c r="B6279" s="0" t="n">
        <v>84</v>
      </c>
      <c r="C6279" s="0" t="n">
        <v>32</v>
      </c>
      <c r="D6279" s="0" t="n">
        <v>0</v>
      </c>
      <c r="E6279" s="0" t="n">
        <f aca="false">VLOOKUP(B6279,'MSA-Lookup'!$H$2:$I$86,2)</f>
        <v>360</v>
      </c>
      <c r="F6279" s="0" t="n">
        <f aca="false">IF(C6279&gt;1,IF(C6279&lt;99,VLOOKUP(C6279,'MSA-Lookup'!$H$1:$I$86,2),C6279),C6279)</f>
        <v>7480</v>
      </c>
      <c r="G6279" s="0" t="n">
        <f aca="false">VLOOKUP(E6279,'MSA-Lookup'!$AA$1:$AB$25,2)</f>
        <v>4472</v>
      </c>
      <c r="H6279" s="0" t="n">
        <f aca="false">IF(C6279&gt;1,IF(C6279&lt;99,VLOOKUP(F6279,'MSA-Lookup'!$AA$1:$AB$25,2),C6279),C6279)</f>
        <v>7480</v>
      </c>
    </row>
    <row r="6280" customFormat="false" ht="12.75" hidden="false" customHeight="false" outlineLevel="0" collapsed="false">
      <c r="A6280" s="0" t="n">
        <f aca="false">B6280*1000+C6280</f>
        <v>84033</v>
      </c>
      <c r="B6280" s="0" t="n">
        <v>84</v>
      </c>
      <c r="C6280" s="0" t="n">
        <v>33</v>
      </c>
      <c r="D6280" s="0" t="n">
        <v>91</v>
      </c>
      <c r="E6280" s="0" t="n">
        <f aca="false">VLOOKUP(B6280,'MSA-Lookup'!$H$2:$I$86,2)</f>
        <v>360</v>
      </c>
      <c r="F6280" s="0" t="n">
        <f aca="false">IF(C6280&gt;1,IF(C6280&lt;99,VLOOKUP(C6280,'MSA-Lookup'!$H$1:$I$86,2),C6280),C6280)</f>
        <v>7320</v>
      </c>
      <c r="G6280" s="0" t="n">
        <f aca="false">VLOOKUP(E6280,'MSA-Lookup'!$AA$1:$AB$25,2)</f>
        <v>4472</v>
      </c>
      <c r="H6280" s="0" t="n">
        <f aca="false">IF(C6280&gt;1,IF(C6280&lt;99,VLOOKUP(F6280,'MSA-Lookup'!$AA$1:$AB$25,2),C6280),C6280)</f>
        <v>7320</v>
      </c>
    </row>
    <row r="6281" customFormat="false" ht="12.75" hidden="false" customHeight="false" outlineLevel="0" collapsed="false">
      <c r="A6281" s="0" t="n">
        <f aca="false">B6281*1000+C6281</f>
        <v>84034</v>
      </c>
      <c r="B6281" s="0" t="n">
        <v>84</v>
      </c>
      <c r="C6281" s="0" t="n">
        <v>34</v>
      </c>
      <c r="D6281" s="0" t="n">
        <v>221</v>
      </c>
      <c r="E6281" s="0" t="n">
        <f aca="false">VLOOKUP(B6281,'MSA-Lookup'!$H$2:$I$86,2)</f>
        <v>360</v>
      </c>
      <c r="F6281" s="0" t="n">
        <f aca="false">IF(C6281&gt;1,IF(C6281&lt;99,VLOOKUP(C6281,'MSA-Lookup'!$H$1:$I$86,2),C6281),C6281)</f>
        <v>7320</v>
      </c>
      <c r="G6281" s="0" t="n">
        <f aca="false">VLOOKUP(E6281,'MSA-Lookup'!$AA$1:$AB$25,2)</f>
        <v>4472</v>
      </c>
      <c r="H6281" s="0" t="n">
        <f aca="false">IF(C6281&gt;1,IF(C6281&lt;99,VLOOKUP(F6281,'MSA-Lookup'!$AA$1:$AB$25,2),C6281),C6281)</f>
        <v>7320</v>
      </c>
    </row>
    <row r="6282" customFormat="false" ht="12.75" hidden="false" customHeight="false" outlineLevel="0" collapsed="false">
      <c r="A6282" s="0" t="n">
        <f aca="false">B6282*1000+C6282</f>
        <v>84035</v>
      </c>
      <c r="B6282" s="0" t="n">
        <v>84</v>
      </c>
      <c r="C6282" s="0" t="n">
        <v>35</v>
      </c>
      <c r="D6282" s="0" t="n">
        <v>0</v>
      </c>
      <c r="E6282" s="0" t="n">
        <f aca="false">VLOOKUP(B6282,'MSA-Lookup'!$H$2:$I$86,2)</f>
        <v>360</v>
      </c>
      <c r="F6282" s="0" t="n">
        <f aca="false">IF(C6282&gt;1,IF(C6282&lt;99,VLOOKUP(C6282,'MSA-Lookup'!$H$1:$I$86,2),C6282),C6282)</f>
        <v>7320</v>
      </c>
      <c r="G6282" s="0" t="n">
        <f aca="false">VLOOKUP(E6282,'MSA-Lookup'!$AA$1:$AB$25,2)</f>
        <v>4472</v>
      </c>
      <c r="H6282" s="0" t="n">
        <f aca="false">IF(C6282&gt;1,IF(C6282&lt;99,VLOOKUP(F6282,'MSA-Lookup'!$AA$1:$AB$25,2),C6282),C6282)</f>
        <v>7320</v>
      </c>
    </row>
    <row r="6283" customFormat="false" ht="12.75" hidden="false" customHeight="false" outlineLevel="0" collapsed="false">
      <c r="A6283" s="0" t="n">
        <f aca="false">B6283*1000+C6283</f>
        <v>84036</v>
      </c>
      <c r="B6283" s="0" t="n">
        <v>84</v>
      </c>
      <c r="C6283" s="0" t="n">
        <v>36</v>
      </c>
      <c r="D6283" s="0" t="n">
        <v>0</v>
      </c>
      <c r="E6283" s="0" t="n">
        <f aca="false">VLOOKUP(B6283,'MSA-Lookup'!$H$2:$I$86,2)</f>
        <v>360</v>
      </c>
      <c r="F6283" s="0" t="n">
        <f aca="false">IF(C6283&gt;1,IF(C6283&lt;99,VLOOKUP(C6283,'MSA-Lookup'!$H$1:$I$86,2),C6283),C6283)</f>
        <v>7320</v>
      </c>
      <c r="G6283" s="0" t="n">
        <f aca="false">VLOOKUP(E6283,'MSA-Lookup'!$AA$1:$AB$25,2)</f>
        <v>4472</v>
      </c>
      <c r="H6283" s="0" t="n">
        <f aca="false">IF(C6283&gt;1,IF(C6283&lt;99,VLOOKUP(F6283,'MSA-Lookup'!$AA$1:$AB$25,2),C6283),C6283)</f>
        <v>7320</v>
      </c>
    </row>
    <row r="6284" customFormat="false" ht="12.75" hidden="false" customHeight="false" outlineLevel="0" collapsed="false">
      <c r="A6284" s="0" t="n">
        <f aca="false">B6284*1000+C6284</f>
        <v>84037</v>
      </c>
      <c r="B6284" s="0" t="n">
        <v>84</v>
      </c>
      <c r="C6284" s="0" t="n">
        <v>37</v>
      </c>
      <c r="D6284" s="0" t="n">
        <v>0</v>
      </c>
      <c r="E6284" s="0" t="n">
        <f aca="false">VLOOKUP(B6284,'MSA-Lookup'!$H$2:$I$86,2)</f>
        <v>360</v>
      </c>
      <c r="F6284" s="0" t="n">
        <f aca="false">IF(C6284&gt;1,IF(C6284&lt;99,VLOOKUP(C6284,'MSA-Lookup'!$H$1:$I$86,2),C6284),C6284)</f>
        <v>7320</v>
      </c>
      <c r="G6284" s="0" t="n">
        <f aca="false">VLOOKUP(E6284,'MSA-Lookup'!$AA$1:$AB$25,2)</f>
        <v>4472</v>
      </c>
      <c r="H6284" s="0" t="n">
        <f aca="false">IF(C6284&gt;1,IF(C6284&lt;99,VLOOKUP(F6284,'MSA-Lookup'!$AA$1:$AB$25,2),C6284),C6284)</f>
        <v>7320</v>
      </c>
    </row>
    <row r="6285" customFormat="false" ht="12.75" hidden="false" customHeight="false" outlineLevel="0" collapsed="false">
      <c r="A6285" s="0" t="n">
        <f aca="false">B6285*1000+C6285</f>
        <v>84038</v>
      </c>
      <c r="B6285" s="0" t="n">
        <v>84</v>
      </c>
      <c r="C6285" s="0" t="n">
        <v>38</v>
      </c>
      <c r="D6285" s="0" t="n">
        <v>0</v>
      </c>
      <c r="E6285" s="0" t="n">
        <f aca="false">VLOOKUP(B6285,'MSA-Lookup'!$H$2:$I$86,2)</f>
        <v>360</v>
      </c>
      <c r="F6285" s="0" t="n">
        <f aca="false">IF(C6285&gt;1,IF(C6285&lt;99,VLOOKUP(C6285,'MSA-Lookup'!$H$1:$I$86,2),C6285),C6285)</f>
        <v>7120</v>
      </c>
      <c r="G6285" s="0" t="n">
        <f aca="false">VLOOKUP(E6285,'MSA-Lookup'!$AA$1:$AB$25,2)</f>
        <v>4472</v>
      </c>
      <c r="H6285" s="0" t="n">
        <f aca="false">IF(C6285&gt;1,IF(C6285&lt;99,VLOOKUP(F6285,'MSA-Lookup'!$AA$1:$AB$25,2),C6285),C6285)</f>
        <v>7120</v>
      </c>
    </row>
    <row r="6286" customFormat="false" ht="12.75" hidden="false" customHeight="false" outlineLevel="0" collapsed="false">
      <c r="A6286" s="0" t="n">
        <f aca="false">B6286*1000+C6286</f>
        <v>84039</v>
      </c>
      <c r="B6286" s="0" t="n">
        <v>84</v>
      </c>
      <c r="C6286" s="0" t="n">
        <v>39</v>
      </c>
      <c r="D6286" s="0" t="n">
        <v>0</v>
      </c>
      <c r="E6286" s="0" t="n">
        <f aca="false">VLOOKUP(B6286,'MSA-Lookup'!$H$2:$I$86,2)</f>
        <v>360</v>
      </c>
      <c r="F6286" s="0" t="n">
        <f aca="false">IF(C6286&gt;1,IF(C6286&lt;99,VLOOKUP(C6286,'MSA-Lookup'!$H$1:$I$86,2),C6286),C6286)</f>
        <v>7120</v>
      </c>
      <c r="G6286" s="0" t="n">
        <f aca="false">VLOOKUP(E6286,'MSA-Lookup'!$AA$1:$AB$25,2)</f>
        <v>4472</v>
      </c>
      <c r="H6286" s="0" t="n">
        <f aca="false">IF(C6286&gt;1,IF(C6286&lt;99,VLOOKUP(F6286,'MSA-Lookup'!$AA$1:$AB$25,2),C6286),C6286)</f>
        <v>7120</v>
      </c>
    </row>
    <row r="6287" customFormat="false" ht="12.75" hidden="false" customHeight="false" outlineLevel="0" collapsed="false">
      <c r="A6287" s="0" t="n">
        <f aca="false">B6287*1000+C6287</f>
        <v>84040</v>
      </c>
      <c r="B6287" s="0" t="n">
        <v>84</v>
      </c>
      <c r="C6287" s="0" t="n">
        <v>40</v>
      </c>
      <c r="D6287" s="0" t="n">
        <v>0</v>
      </c>
      <c r="E6287" s="0" t="n">
        <f aca="false">VLOOKUP(B6287,'MSA-Lookup'!$H$2:$I$86,2)</f>
        <v>360</v>
      </c>
      <c r="F6287" s="0" t="n">
        <f aca="false">IF(C6287&gt;1,IF(C6287&lt;99,VLOOKUP(C6287,'MSA-Lookup'!$H$1:$I$86,2),C6287),C6287)</f>
        <v>2840</v>
      </c>
      <c r="G6287" s="0" t="n">
        <f aca="false">VLOOKUP(E6287,'MSA-Lookup'!$AA$1:$AB$25,2)</f>
        <v>4472</v>
      </c>
      <c r="H6287" s="0" t="n">
        <f aca="false">IF(C6287&gt;1,IF(C6287&lt;99,VLOOKUP(F6287,'MSA-Lookup'!$AA$1:$AB$25,2),C6287),C6287)</f>
        <v>2840</v>
      </c>
    </row>
    <row r="6288" customFormat="false" ht="12.75" hidden="false" customHeight="false" outlineLevel="0" collapsed="false">
      <c r="A6288" s="0" t="n">
        <f aca="false">B6288*1000+C6288</f>
        <v>84041</v>
      </c>
      <c r="B6288" s="0" t="n">
        <v>84</v>
      </c>
      <c r="C6288" s="0" t="n">
        <v>41</v>
      </c>
      <c r="D6288" s="0" t="n">
        <v>0</v>
      </c>
      <c r="E6288" s="0" t="n">
        <f aca="false">VLOOKUP(B6288,'MSA-Lookup'!$H$2:$I$86,2)</f>
        <v>360</v>
      </c>
      <c r="F6288" s="0" t="n">
        <f aca="false">IF(C6288&gt;1,IF(C6288&lt;99,VLOOKUP(C6288,'MSA-Lookup'!$H$1:$I$86,2),C6288),C6288)</f>
        <v>2840</v>
      </c>
      <c r="G6288" s="0" t="n">
        <f aca="false">VLOOKUP(E6288,'MSA-Lookup'!$AA$1:$AB$25,2)</f>
        <v>4472</v>
      </c>
      <c r="H6288" s="0" t="n">
        <f aca="false">IF(C6288&gt;1,IF(C6288&lt;99,VLOOKUP(F6288,'MSA-Lookup'!$AA$1:$AB$25,2),C6288),C6288)</f>
        <v>2840</v>
      </c>
    </row>
    <row r="6289" customFormat="false" ht="12.75" hidden="false" customHeight="false" outlineLevel="0" collapsed="false">
      <c r="A6289" s="0" t="n">
        <f aca="false">B6289*1000+C6289</f>
        <v>84042</v>
      </c>
      <c r="B6289" s="0" t="n">
        <v>84</v>
      </c>
      <c r="C6289" s="0" t="n">
        <v>42</v>
      </c>
      <c r="D6289" s="0" t="n">
        <v>10348</v>
      </c>
      <c r="E6289" s="0" t="n">
        <f aca="false">VLOOKUP(B6289,'MSA-Lookup'!$H$2:$I$86,2)</f>
        <v>360</v>
      </c>
      <c r="F6289" s="0" t="n">
        <f aca="false">IF(C6289&gt;1,IF(C6289&lt;99,VLOOKUP(C6289,'MSA-Lookup'!$H$1:$I$86,2),C6289),C6289)</f>
        <v>360</v>
      </c>
      <c r="G6289" s="0" t="n">
        <f aca="false">VLOOKUP(E6289,'MSA-Lookup'!$AA$1:$AB$25,2)</f>
        <v>4472</v>
      </c>
      <c r="H6289" s="0" t="n">
        <f aca="false">IF(C6289&gt;1,IF(C6289&lt;99,VLOOKUP(F6289,'MSA-Lookup'!$AA$1:$AB$25,2),C6289),C6289)</f>
        <v>4472</v>
      </c>
    </row>
    <row r="6290" customFormat="false" ht="12.75" hidden="false" customHeight="false" outlineLevel="0" collapsed="false">
      <c r="A6290" s="0" t="n">
        <f aca="false">B6290*1000+C6290</f>
        <v>84043</v>
      </c>
      <c r="B6290" s="0" t="n">
        <v>84</v>
      </c>
      <c r="C6290" s="0" t="n">
        <v>43</v>
      </c>
      <c r="D6290" s="0" t="n">
        <v>455</v>
      </c>
      <c r="E6290" s="0" t="n">
        <f aca="false">VLOOKUP(B6290,'MSA-Lookup'!$H$2:$I$86,2)</f>
        <v>360</v>
      </c>
      <c r="F6290" s="0" t="n">
        <f aca="false">IF(C6290&gt;1,IF(C6290&lt;99,VLOOKUP(C6290,'MSA-Lookup'!$H$1:$I$86,2),C6290),C6290)</f>
        <v>360</v>
      </c>
      <c r="G6290" s="0" t="n">
        <f aca="false">VLOOKUP(E6290,'MSA-Lookup'!$AA$1:$AB$25,2)</f>
        <v>4472</v>
      </c>
      <c r="H6290" s="0" t="n">
        <f aca="false">IF(C6290&gt;1,IF(C6290&lt;99,VLOOKUP(F6290,'MSA-Lookup'!$AA$1:$AB$25,2),C6290),C6290)</f>
        <v>4472</v>
      </c>
    </row>
    <row r="6291" customFormat="false" ht="12.75" hidden="false" customHeight="false" outlineLevel="0" collapsed="false">
      <c r="A6291" s="0" t="n">
        <f aca="false">B6291*1000+C6291</f>
        <v>84044</v>
      </c>
      <c r="B6291" s="0" t="n">
        <v>84</v>
      </c>
      <c r="C6291" s="0" t="n">
        <v>44</v>
      </c>
      <c r="D6291" s="0" t="n">
        <v>559</v>
      </c>
      <c r="E6291" s="0" t="n">
        <f aca="false">VLOOKUP(B6291,'MSA-Lookup'!$H$2:$I$86,2)</f>
        <v>360</v>
      </c>
      <c r="F6291" s="0" t="n">
        <f aca="false">IF(C6291&gt;1,IF(C6291&lt;99,VLOOKUP(C6291,'MSA-Lookup'!$H$1:$I$86,2),C6291),C6291)</f>
        <v>360</v>
      </c>
      <c r="G6291" s="0" t="n">
        <f aca="false">VLOOKUP(E6291,'MSA-Lookup'!$AA$1:$AB$25,2)</f>
        <v>4472</v>
      </c>
      <c r="H6291" s="0" t="n">
        <f aca="false">IF(C6291&gt;1,IF(C6291&lt;99,VLOOKUP(F6291,'MSA-Lookup'!$AA$1:$AB$25,2),C6291),C6291)</f>
        <v>4472</v>
      </c>
    </row>
    <row r="6292" customFormat="false" ht="12.75" hidden="false" customHeight="false" outlineLevel="0" collapsed="false">
      <c r="A6292" s="0" t="n">
        <f aca="false">B6292*1000+C6292</f>
        <v>84045</v>
      </c>
      <c r="B6292" s="0" t="n">
        <v>84</v>
      </c>
      <c r="C6292" s="0" t="n">
        <v>45</v>
      </c>
      <c r="D6292" s="0" t="n">
        <v>676</v>
      </c>
      <c r="E6292" s="0" t="n">
        <f aca="false">VLOOKUP(B6292,'MSA-Lookup'!$H$2:$I$86,2)</f>
        <v>360</v>
      </c>
      <c r="F6292" s="0" t="n">
        <f aca="false">IF(C6292&gt;1,IF(C6292&lt;99,VLOOKUP(C6292,'MSA-Lookup'!$H$1:$I$86,2),C6292),C6292)</f>
        <v>360</v>
      </c>
      <c r="G6292" s="0" t="n">
        <f aca="false">VLOOKUP(E6292,'MSA-Lookup'!$AA$1:$AB$25,2)</f>
        <v>4472</v>
      </c>
      <c r="H6292" s="0" t="n">
        <f aca="false">IF(C6292&gt;1,IF(C6292&lt;99,VLOOKUP(F6292,'MSA-Lookup'!$AA$1:$AB$25,2),C6292),C6292)</f>
        <v>4472</v>
      </c>
    </row>
    <row r="6293" customFormat="false" ht="12.75" hidden="false" customHeight="false" outlineLevel="0" collapsed="false">
      <c r="A6293" s="0" t="n">
        <f aca="false">B6293*1000+C6293</f>
        <v>84046</v>
      </c>
      <c r="B6293" s="0" t="n">
        <v>84</v>
      </c>
      <c r="C6293" s="0" t="n">
        <v>46</v>
      </c>
      <c r="D6293" s="0" t="n">
        <v>1300</v>
      </c>
      <c r="E6293" s="0" t="n">
        <f aca="false">VLOOKUP(B6293,'MSA-Lookup'!$H$2:$I$86,2)</f>
        <v>360</v>
      </c>
      <c r="F6293" s="0" t="n">
        <f aca="false">IF(C6293&gt;1,IF(C6293&lt;99,VLOOKUP(C6293,'MSA-Lookup'!$H$1:$I$86,2),C6293),C6293)</f>
        <v>360</v>
      </c>
      <c r="G6293" s="0" t="n">
        <f aca="false">VLOOKUP(E6293,'MSA-Lookup'!$AA$1:$AB$25,2)</f>
        <v>4472</v>
      </c>
      <c r="H6293" s="0" t="n">
        <f aca="false">IF(C6293&gt;1,IF(C6293&lt;99,VLOOKUP(F6293,'MSA-Lookup'!$AA$1:$AB$25,2),C6293),C6293)</f>
        <v>4472</v>
      </c>
    </row>
    <row r="6294" customFormat="false" ht="12.75" hidden="false" customHeight="false" outlineLevel="0" collapsed="false">
      <c r="A6294" s="0" t="n">
        <f aca="false">B6294*1000+C6294</f>
        <v>84047</v>
      </c>
      <c r="B6294" s="0" t="n">
        <v>84</v>
      </c>
      <c r="C6294" s="0" t="n">
        <v>47</v>
      </c>
      <c r="D6294" s="0" t="n">
        <v>4719</v>
      </c>
      <c r="E6294" s="0" t="n">
        <f aca="false">VLOOKUP(B6294,'MSA-Lookup'!$H$2:$I$86,2)</f>
        <v>360</v>
      </c>
      <c r="F6294" s="0" t="n">
        <f aca="false">IF(C6294&gt;1,IF(C6294&lt;99,VLOOKUP(C6294,'MSA-Lookup'!$H$1:$I$86,2),C6294),C6294)</f>
        <v>360</v>
      </c>
      <c r="G6294" s="0" t="n">
        <f aca="false">VLOOKUP(E6294,'MSA-Lookup'!$AA$1:$AB$25,2)</f>
        <v>4472</v>
      </c>
      <c r="H6294" s="0" t="n">
        <f aca="false">IF(C6294&gt;1,IF(C6294&lt;99,VLOOKUP(F6294,'MSA-Lookup'!$AA$1:$AB$25,2),C6294),C6294)</f>
        <v>4472</v>
      </c>
    </row>
    <row r="6295" customFormat="false" ht="12.75" hidden="false" customHeight="false" outlineLevel="0" collapsed="false">
      <c r="A6295" s="0" t="n">
        <f aca="false">B6295*1000+C6295</f>
        <v>84048</v>
      </c>
      <c r="B6295" s="0" t="n">
        <v>84</v>
      </c>
      <c r="C6295" s="0" t="n">
        <v>48</v>
      </c>
      <c r="D6295" s="0" t="n">
        <v>52455</v>
      </c>
      <c r="E6295" s="0" t="n">
        <f aca="false">VLOOKUP(B6295,'MSA-Lookup'!$H$2:$I$86,2)</f>
        <v>360</v>
      </c>
      <c r="F6295" s="0" t="n">
        <f aca="false">IF(C6295&gt;1,IF(C6295&lt;99,VLOOKUP(C6295,'MSA-Lookup'!$H$1:$I$86,2),C6295),C6295)</f>
        <v>360</v>
      </c>
      <c r="G6295" s="0" t="n">
        <f aca="false">VLOOKUP(E6295,'MSA-Lookup'!$AA$1:$AB$25,2)</f>
        <v>4472</v>
      </c>
      <c r="H6295" s="0" t="n">
        <f aca="false">IF(C6295&gt;1,IF(C6295&lt;99,VLOOKUP(F6295,'MSA-Lookup'!$AA$1:$AB$25,2),C6295),C6295)</f>
        <v>4472</v>
      </c>
    </row>
    <row r="6296" customFormat="false" ht="12.75" hidden="false" customHeight="false" outlineLevel="0" collapsed="false">
      <c r="A6296" s="0" t="n">
        <f aca="false">B6296*1000+C6296</f>
        <v>84049</v>
      </c>
      <c r="B6296" s="0" t="n">
        <v>84</v>
      </c>
      <c r="C6296" s="0" t="n">
        <v>49</v>
      </c>
      <c r="D6296" s="0" t="n">
        <v>0</v>
      </c>
      <c r="E6296" s="0" t="n">
        <f aca="false">VLOOKUP(B6296,'MSA-Lookup'!$H$2:$I$86,2)</f>
        <v>360</v>
      </c>
      <c r="F6296" s="0" t="n">
        <f aca="false">IF(C6296&gt;1,IF(C6296&lt;99,VLOOKUP(C6296,'MSA-Lookup'!$H$1:$I$86,2),C6296),C6296)</f>
        <v>7400</v>
      </c>
      <c r="G6296" s="0" t="n">
        <f aca="false">VLOOKUP(E6296,'MSA-Lookup'!$AA$1:$AB$25,2)</f>
        <v>4472</v>
      </c>
      <c r="H6296" s="0" t="n">
        <f aca="false">IF(C6296&gt;1,IF(C6296&lt;99,VLOOKUP(F6296,'MSA-Lookup'!$AA$1:$AB$25,2),C6296),C6296)</f>
        <v>7362</v>
      </c>
    </row>
    <row r="6297" customFormat="false" ht="12.75" hidden="false" customHeight="false" outlineLevel="0" collapsed="false">
      <c r="A6297" s="0" t="n">
        <f aca="false">B6297*1000+C6297</f>
        <v>84050</v>
      </c>
      <c r="B6297" s="0" t="n">
        <v>84</v>
      </c>
      <c r="C6297" s="0" t="n">
        <v>50</v>
      </c>
      <c r="D6297" s="0" t="n">
        <v>0</v>
      </c>
      <c r="E6297" s="0" t="n">
        <f aca="false">VLOOKUP(B6297,'MSA-Lookup'!$H$2:$I$86,2)</f>
        <v>360</v>
      </c>
      <c r="F6297" s="0" t="n">
        <f aca="false">IF(C6297&gt;1,IF(C6297&lt;99,VLOOKUP(C6297,'MSA-Lookup'!$H$1:$I$86,2),C6297),C6297)</f>
        <v>7400</v>
      </c>
      <c r="G6297" s="0" t="n">
        <f aca="false">VLOOKUP(E6297,'MSA-Lookup'!$AA$1:$AB$25,2)</f>
        <v>4472</v>
      </c>
      <c r="H6297" s="0" t="n">
        <f aca="false">IF(C6297&gt;1,IF(C6297&lt;99,VLOOKUP(F6297,'MSA-Lookup'!$AA$1:$AB$25,2),C6297),C6297)</f>
        <v>7362</v>
      </c>
    </row>
    <row r="6298" customFormat="false" ht="12.75" hidden="false" customHeight="false" outlineLevel="0" collapsed="false">
      <c r="A6298" s="0" t="n">
        <f aca="false">B6298*1000+C6298</f>
        <v>84051</v>
      </c>
      <c r="B6298" s="0" t="n">
        <v>84</v>
      </c>
      <c r="C6298" s="0" t="n">
        <v>51</v>
      </c>
      <c r="D6298" s="0" t="n">
        <v>0</v>
      </c>
      <c r="E6298" s="0" t="n">
        <f aca="false">VLOOKUP(B6298,'MSA-Lookup'!$H$2:$I$86,2)</f>
        <v>360</v>
      </c>
      <c r="F6298" s="0" t="n">
        <f aca="false">IF(C6298&gt;1,IF(C6298&lt;99,VLOOKUP(C6298,'MSA-Lookup'!$H$1:$I$86,2),C6298),C6298)</f>
        <v>7400</v>
      </c>
      <c r="G6298" s="0" t="n">
        <f aca="false">VLOOKUP(E6298,'MSA-Lookup'!$AA$1:$AB$25,2)</f>
        <v>4472</v>
      </c>
      <c r="H6298" s="0" t="n">
        <f aca="false">IF(C6298&gt;1,IF(C6298&lt;99,VLOOKUP(F6298,'MSA-Lookup'!$AA$1:$AB$25,2),C6298),C6298)</f>
        <v>7362</v>
      </c>
    </row>
    <row r="6299" customFormat="false" ht="12.75" hidden="false" customHeight="false" outlineLevel="0" collapsed="false">
      <c r="A6299" s="0" t="n">
        <f aca="false">B6299*1000+C6299</f>
        <v>84052</v>
      </c>
      <c r="B6299" s="0" t="n">
        <v>84</v>
      </c>
      <c r="C6299" s="0" t="n">
        <v>52</v>
      </c>
      <c r="D6299" s="0" t="n">
        <v>65</v>
      </c>
      <c r="E6299" s="0" t="n">
        <f aca="false">VLOOKUP(B6299,'MSA-Lookup'!$H$2:$I$86,2)</f>
        <v>360</v>
      </c>
      <c r="F6299" s="0" t="n">
        <f aca="false">IF(C6299&gt;1,IF(C6299&lt;99,VLOOKUP(C6299,'MSA-Lookup'!$H$1:$I$86,2),C6299),C6299)</f>
        <v>4480</v>
      </c>
      <c r="G6299" s="0" t="n">
        <f aca="false">VLOOKUP(E6299,'MSA-Lookup'!$AA$1:$AB$25,2)</f>
        <v>4472</v>
      </c>
      <c r="H6299" s="0" t="n">
        <f aca="false">IF(C6299&gt;1,IF(C6299&lt;99,VLOOKUP(F6299,'MSA-Lookup'!$AA$1:$AB$25,2),C6299),C6299)</f>
        <v>4472</v>
      </c>
    </row>
    <row r="6300" customFormat="false" ht="12.75" hidden="false" customHeight="false" outlineLevel="0" collapsed="false">
      <c r="A6300" s="0" t="n">
        <f aca="false">B6300*1000+C6300</f>
        <v>84053</v>
      </c>
      <c r="B6300" s="0" t="n">
        <v>84</v>
      </c>
      <c r="C6300" s="0" t="n">
        <v>53</v>
      </c>
      <c r="D6300" s="0" t="n">
        <v>91</v>
      </c>
      <c r="E6300" s="0" t="n">
        <f aca="false">VLOOKUP(B6300,'MSA-Lookup'!$H$2:$I$86,2)</f>
        <v>360</v>
      </c>
      <c r="F6300" s="0" t="n">
        <f aca="false">IF(C6300&gt;1,IF(C6300&lt;99,VLOOKUP(C6300,'MSA-Lookup'!$H$1:$I$86,2),C6300),C6300)</f>
        <v>4480</v>
      </c>
      <c r="G6300" s="0" t="n">
        <f aca="false">VLOOKUP(E6300,'MSA-Lookup'!$AA$1:$AB$25,2)</f>
        <v>4472</v>
      </c>
      <c r="H6300" s="0" t="n">
        <f aca="false">IF(C6300&gt;1,IF(C6300&lt;99,VLOOKUP(F6300,'MSA-Lookup'!$AA$1:$AB$25,2),C6300),C6300)</f>
        <v>4472</v>
      </c>
    </row>
    <row r="6301" customFormat="false" ht="12.75" hidden="false" customHeight="false" outlineLevel="0" collapsed="false">
      <c r="A6301" s="0" t="n">
        <f aca="false">B6301*1000+C6301</f>
        <v>84054</v>
      </c>
      <c r="B6301" s="0" t="n">
        <v>84</v>
      </c>
      <c r="C6301" s="0" t="n">
        <v>54</v>
      </c>
      <c r="D6301" s="0" t="n">
        <v>247</v>
      </c>
      <c r="E6301" s="0" t="n">
        <f aca="false">VLOOKUP(B6301,'MSA-Lookup'!$H$2:$I$86,2)</f>
        <v>360</v>
      </c>
      <c r="F6301" s="0" t="n">
        <f aca="false">IF(C6301&gt;1,IF(C6301&lt;99,VLOOKUP(C6301,'MSA-Lookup'!$H$1:$I$86,2),C6301),C6301)</f>
        <v>4480</v>
      </c>
      <c r="G6301" s="0" t="n">
        <f aca="false">VLOOKUP(E6301,'MSA-Lookup'!$AA$1:$AB$25,2)</f>
        <v>4472</v>
      </c>
      <c r="H6301" s="0" t="n">
        <f aca="false">IF(C6301&gt;1,IF(C6301&lt;99,VLOOKUP(F6301,'MSA-Lookup'!$AA$1:$AB$25,2),C6301),C6301)</f>
        <v>4472</v>
      </c>
    </row>
    <row r="6302" customFormat="false" ht="12.75" hidden="false" customHeight="false" outlineLevel="0" collapsed="false">
      <c r="A6302" s="0" t="n">
        <f aca="false">B6302*1000+C6302</f>
        <v>84055</v>
      </c>
      <c r="B6302" s="0" t="n">
        <v>84</v>
      </c>
      <c r="C6302" s="0" t="n">
        <v>55</v>
      </c>
      <c r="D6302" s="0" t="n">
        <v>520</v>
      </c>
      <c r="E6302" s="0" t="n">
        <f aca="false">VLOOKUP(B6302,'MSA-Lookup'!$H$2:$I$86,2)</f>
        <v>360</v>
      </c>
      <c r="F6302" s="0" t="n">
        <f aca="false">IF(C6302&gt;1,IF(C6302&lt;99,VLOOKUP(C6302,'MSA-Lookup'!$H$1:$I$86,2),C6302),C6302)</f>
        <v>4480</v>
      </c>
      <c r="G6302" s="0" t="n">
        <f aca="false">VLOOKUP(E6302,'MSA-Lookup'!$AA$1:$AB$25,2)</f>
        <v>4472</v>
      </c>
      <c r="H6302" s="0" t="n">
        <f aca="false">IF(C6302&gt;1,IF(C6302&lt;99,VLOOKUP(F6302,'MSA-Lookup'!$AA$1:$AB$25,2),C6302),C6302)</f>
        <v>4472</v>
      </c>
    </row>
    <row r="6303" customFormat="false" ht="12.75" hidden="false" customHeight="false" outlineLevel="0" collapsed="false">
      <c r="A6303" s="0" t="n">
        <f aca="false">B6303*1000+C6303</f>
        <v>84056</v>
      </c>
      <c r="B6303" s="0" t="n">
        <v>84</v>
      </c>
      <c r="C6303" s="0" t="n">
        <v>56</v>
      </c>
      <c r="D6303" s="0" t="n">
        <v>104</v>
      </c>
      <c r="E6303" s="0" t="n">
        <f aca="false">VLOOKUP(B6303,'MSA-Lookup'!$H$2:$I$86,2)</f>
        <v>360</v>
      </c>
      <c r="F6303" s="0" t="n">
        <f aca="false">IF(C6303&gt;1,IF(C6303&lt;99,VLOOKUP(C6303,'MSA-Lookup'!$H$1:$I$86,2),C6303),C6303)</f>
        <v>4480</v>
      </c>
      <c r="G6303" s="0" t="n">
        <f aca="false">VLOOKUP(E6303,'MSA-Lookup'!$AA$1:$AB$25,2)</f>
        <v>4472</v>
      </c>
      <c r="H6303" s="0" t="n">
        <f aca="false">IF(C6303&gt;1,IF(C6303&lt;99,VLOOKUP(F6303,'MSA-Lookup'!$AA$1:$AB$25,2),C6303),C6303)</f>
        <v>4472</v>
      </c>
    </row>
    <row r="6304" customFormat="false" ht="12.75" hidden="false" customHeight="false" outlineLevel="0" collapsed="false">
      <c r="A6304" s="0" t="n">
        <f aca="false">B6304*1000+C6304</f>
        <v>84057</v>
      </c>
      <c r="B6304" s="0" t="n">
        <v>84</v>
      </c>
      <c r="C6304" s="0" t="n">
        <v>57</v>
      </c>
      <c r="D6304" s="0" t="n">
        <v>325</v>
      </c>
      <c r="E6304" s="0" t="n">
        <f aca="false">VLOOKUP(B6304,'MSA-Lookup'!$H$2:$I$86,2)</f>
        <v>360</v>
      </c>
      <c r="F6304" s="0" t="n">
        <f aca="false">IF(C6304&gt;1,IF(C6304&lt;99,VLOOKUP(C6304,'MSA-Lookup'!$H$1:$I$86,2),C6304),C6304)</f>
        <v>4480</v>
      </c>
      <c r="G6304" s="0" t="n">
        <f aca="false">VLOOKUP(E6304,'MSA-Lookup'!$AA$1:$AB$25,2)</f>
        <v>4472</v>
      </c>
      <c r="H6304" s="0" t="n">
        <f aca="false">IF(C6304&gt;1,IF(C6304&lt;99,VLOOKUP(F6304,'MSA-Lookup'!$AA$1:$AB$25,2),C6304),C6304)</f>
        <v>4472</v>
      </c>
    </row>
    <row r="6305" customFormat="false" ht="12.75" hidden="false" customHeight="false" outlineLevel="0" collapsed="false">
      <c r="A6305" s="0" t="n">
        <f aca="false">B6305*1000+C6305</f>
        <v>84058</v>
      </c>
      <c r="B6305" s="0" t="n">
        <v>84</v>
      </c>
      <c r="C6305" s="0" t="n">
        <v>58</v>
      </c>
      <c r="D6305" s="0" t="n">
        <v>78</v>
      </c>
      <c r="E6305" s="0" t="n">
        <f aca="false">VLOOKUP(B6305,'MSA-Lookup'!$H$2:$I$86,2)</f>
        <v>360</v>
      </c>
      <c r="F6305" s="0" t="n">
        <f aca="false">IF(C6305&gt;1,IF(C6305&lt;99,VLOOKUP(C6305,'MSA-Lookup'!$H$1:$I$86,2),C6305),C6305)</f>
        <v>4480</v>
      </c>
      <c r="G6305" s="0" t="n">
        <f aca="false">VLOOKUP(E6305,'MSA-Lookup'!$AA$1:$AB$25,2)</f>
        <v>4472</v>
      </c>
      <c r="H6305" s="0" t="n">
        <f aca="false">IF(C6305&gt;1,IF(C6305&lt;99,VLOOKUP(F6305,'MSA-Lookup'!$AA$1:$AB$25,2),C6305),C6305)</f>
        <v>4472</v>
      </c>
    </row>
    <row r="6306" customFormat="false" ht="12.75" hidden="false" customHeight="false" outlineLevel="0" collapsed="false">
      <c r="A6306" s="0" t="n">
        <f aca="false">B6306*1000+C6306</f>
        <v>84059</v>
      </c>
      <c r="B6306" s="0" t="n">
        <v>84</v>
      </c>
      <c r="C6306" s="0" t="n">
        <v>59</v>
      </c>
      <c r="D6306" s="0" t="n">
        <v>234</v>
      </c>
      <c r="E6306" s="0" t="n">
        <f aca="false">VLOOKUP(B6306,'MSA-Lookup'!$H$2:$I$86,2)</f>
        <v>360</v>
      </c>
      <c r="F6306" s="0" t="n">
        <f aca="false">IF(C6306&gt;1,IF(C6306&lt;99,VLOOKUP(C6306,'MSA-Lookup'!$H$1:$I$86,2),C6306),C6306)</f>
        <v>4480</v>
      </c>
      <c r="G6306" s="0" t="n">
        <f aca="false">VLOOKUP(E6306,'MSA-Lookup'!$AA$1:$AB$25,2)</f>
        <v>4472</v>
      </c>
      <c r="H6306" s="0" t="n">
        <f aca="false">IF(C6306&gt;1,IF(C6306&lt;99,VLOOKUP(F6306,'MSA-Lookup'!$AA$1:$AB$25,2),C6306),C6306)</f>
        <v>4472</v>
      </c>
    </row>
    <row r="6307" customFormat="false" ht="12.75" hidden="false" customHeight="false" outlineLevel="0" collapsed="false">
      <c r="A6307" s="0" t="n">
        <f aca="false">B6307*1000+C6307</f>
        <v>84060</v>
      </c>
      <c r="B6307" s="0" t="n">
        <v>84</v>
      </c>
      <c r="C6307" s="0" t="n">
        <v>60</v>
      </c>
      <c r="D6307" s="0" t="n">
        <v>351</v>
      </c>
      <c r="E6307" s="0" t="n">
        <f aca="false">VLOOKUP(B6307,'MSA-Lookup'!$H$2:$I$86,2)</f>
        <v>360</v>
      </c>
      <c r="F6307" s="0" t="n">
        <f aca="false">IF(C6307&gt;1,IF(C6307&lt;99,VLOOKUP(C6307,'MSA-Lookup'!$H$1:$I$86,2),C6307),C6307)</f>
        <v>4480</v>
      </c>
      <c r="G6307" s="0" t="n">
        <f aca="false">VLOOKUP(E6307,'MSA-Lookup'!$AA$1:$AB$25,2)</f>
        <v>4472</v>
      </c>
      <c r="H6307" s="0" t="n">
        <f aca="false">IF(C6307&gt;1,IF(C6307&lt;99,VLOOKUP(F6307,'MSA-Lookup'!$AA$1:$AB$25,2),C6307),C6307)</f>
        <v>4472</v>
      </c>
    </row>
    <row r="6308" customFormat="false" ht="12.75" hidden="false" customHeight="false" outlineLevel="0" collapsed="false">
      <c r="A6308" s="0" t="n">
        <f aca="false">B6308*1000+C6308</f>
        <v>84061</v>
      </c>
      <c r="B6308" s="0" t="n">
        <v>84</v>
      </c>
      <c r="C6308" s="0" t="n">
        <v>61</v>
      </c>
      <c r="D6308" s="0" t="n">
        <v>182</v>
      </c>
      <c r="E6308" s="0" t="n">
        <f aca="false">VLOOKUP(B6308,'MSA-Lookup'!$H$2:$I$86,2)</f>
        <v>360</v>
      </c>
      <c r="F6308" s="0" t="n">
        <f aca="false">IF(C6308&gt;1,IF(C6308&lt;99,VLOOKUP(C6308,'MSA-Lookup'!$H$1:$I$86,2),C6308),C6308)</f>
        <v>4480</v>
      </c>
      <c r="G6308" s="0" t="n">
        <f aca="false">VLOOKUP(E6308,'MSA-Lookup'!$AA$1:$AB$25,2)</f>
        <v>4472</v>
      </c>
      <c r="H6308" s="0" t="n">
        <f aca="false">IF(C6308&gt;1,IF(C6308&lt;99,VLOOKUP(F6308,'MSA-Lookup'!$AA$1:$AB$25,2),C6308),C6308)</f>
        <v>4472</v>
      </c>
    </row>
    <row r="6309" customFormat="false" ht="12.75" hidden="false" customHeight="false" outlineLevel="0" collapsed="false">
      <c r="A6309" s="0" t="n">
        <f aca="false">B6309*1000+C6309</f>
        <v>84062</v>
      </c>
      <c r="B6309" s="0" t="n">
        <v>84</v>
      </c>
      <c r="C6309" s="0" t="n">
        <v>62</v>
      </c>
      <c r="D6309" s="0" t="n">
        <v>0</v>
      </c>
      <c r="E6309" s="0" t="n">
        <f aca="false">VLOOKUP(B6309,'MSA-Lookup'!$H$2:$I$86,2)</f>
        <v>360</v>
      </c>
      <c r="F6309" s="0" t="n">
        <f aca="false">IF(C6309&gt;1,IF(C6309&lt;99,VLOOKUP(C6309,'MSA-Lookup'!$H$1:$I$86,2),C6309),C6309)</f>
        <v>4480</v>
      </c>
      <c r="G6309" s="0" t="n">
        <f aca="false">VLOOKUP(E6309,'MSA-Lookup'!$AA$1:$AB$25,2)</f>
        <v>4472</v>
      </c>
      <c r="H6309" s="0" t="n">
        <f aca="false">IF(C6309&gt;1,IF(C6309&lt;99,VLOOKUP(F6309,'MSA-Lookup'!$AA$1:$AB$25,2),C6309),C6309)</f>
        <v>4472</v>
      </c>
    </row>
    <row r="6310" customFormat="false" ht="12.75" hidden="false" customHeight="false" outlineLevel="0" collapsed="false">
      <c r="A6310" s="0" t="n">
        <f aca="false">B6310*1000+C6310</f>
        <v>84063</v>
      </c>
      <c r="B6310" s="0" t="n">
        <v>84</v>
      </c>
      <c r="C6310" s="0" t="n">
        <v>63</v>
      </c>
      <c r="D6310" s="0" t="n">
        <v>0</v>
      </c>
      <c r="E6310" s="0" t="n">
        <f aca="false">VLOOKUP(B6310,'MSA-Lookup'!$H$2:$I$86,2)</f>
        <v>360</v>
      </c>
      <c r="F6310" s="0" t="n">
        <f aca="false">IF(C6310&gt;1,IF(C6310&lt;99,VLOOKUP(C6310,'MSA-Lookup'!$H$1:$I$86,2),C6310),C6310)</f>
        <v>4480</v>
      </c>
      <c r="G6310" s="0" t="n">
        <f aca="false">VLOOKUP(E6310,'MSA-Lookup'!$AA$1:$AB$25,2)</f>
        <v>4472</v>
      </c>
      <c r="H6310" s="0" t="n">
        <f aca="false">IF(C6310&gt;1,IF(C6310&lt;99,VLOOKUP(F6310,'MSA-Lookup'!$AA$1:$AB$25,2),C6310),C6310)</f>
        <v>4472</v>
      </c>
    </row>
    <row r="6311" customFormat="false" ht="12.75" hidden="false" customHeight="false" outlineLevel="0" collapsed="false">
      <c r="A6311" s="0" t="n">
        <f aca="false">B6311*1000+C6311</f>
        <v>84064</v>
      </c>
      <c r="B6311" s="0" t="n">
        <v>84</v>
      </c>
      <c r="C6311" s="0" t="n">
        <v>64</v>
      </c>
      <c r="D6311" s="0" t="n">
        <v>11219</v>
      </c>
      <c r="E6311" s="0" t="n">
        <f aca="false">VLOOKUP(B6311,'MSA-Lookup'!$H$2:$I$86,2)</f>
        <v>360</v>
      </c>
      <c r="F6311" s="0" t="n">
        <f aca="false">IF(C6311&gt;1,IF(C6311&lt;99,VLOOKUP(C6311,'MSA-Lookup'!$H$1:$I$86,2),C6311),C6311)</f>
        <v>4480</v>
      </c>
      <c r="G6311" s="0" t="n">
        <f aca="false">VLOOKUP(E6311,'MSA-Lookup'!$AA$1:$AB$25,2)</f>
        <v>4472</v>
      </c>
      <c r="H6311" s="0" t="n">
        <f aca="false">IF(C6311&gt;1,IF(C6311&lt;99,VLOOKUP(F6311,'MSA-Lookup'!$AA$1:$AB$25,2),C6311),C6311)</f>
        <v>4472</v>
      </c>
    </row>
    <row r="6312" customFormat="false" ht="12.75" hidden="false" customHeight="false" outlineLevel="0" collapsed="false">
      <c r="A6312" s="0" t="n">
        <f aca="false">B6312*1000+C6312</f>
        <v>84065</v>
      </c>
      <c r="B6312" s="0" t="n">
        <v>84</v>
      </c>
      <c r="C6312" s="0" t="n">
        <v>65</v>
      </c>
      <c r="D6312" s="0" t="n">
        <v>3952</v>
      </c>
      <c r="E6312" s="0" t="n">
        <f aca="false">VLOOKUP(B6312,'MSA-Lookup'!$H$2:$I$86,2)</f>
        <v>360</v>
      </c>
      <c r="F6312" s="0" t="n">
        <f aca="false">IF(C6312&gt;1,IF(C6312&lt;99,VLOOKUP(C6312,'MSA-Lookup'!$H$1:$I$86,2),C6312),C6312)</f>
        <v>4480</v>
      </c>
      <c r="G6312" s="0" t="n">
        <f aca="false">VLOOKUP(E6312,'MSA-Lookup'!$AA$1:$AB$25,2)</f>
        <v>4472</v>
      </c>
      <c r="H6312" s="0" t="n">
        <f aca="false">IF(C6312&gt;1,IF(C6312&lt;99,VLOOKUP(F6312,'MSA-Lookup'!$AA$1:$AB$25,2),C6312),C6312)</f>
        <v>4472</v>
      </c>
    </row>
    <row r="6313" customFormat="false" ht="12.75" hidden="false" customHeight="false" outlineLevel="0" collapsed="false">
      <c r="A6313" s="0" t="n">
        <f aca="false">B6313*1000+C6313</f>
        <v>84066</v>
      </c>
      <c r="B6313" s="0" t="n">
        <v>84</v>
      </c>
      <c r="C6313" s="0" t="n">
        <v>66</v>
      </c>
      <c r="D6313" s="0" t="n">
        <v>3120</v>
      </c>
      <c r="E6313" s="0" t="n">
        <f aca="false">VLOOKUP(B6313,'MSA-Lookup'!$H$2:$I$86,2)</f>
        <v>360</v>
      </c>
      <c r="F6313" s="0" t="n">
        <f aca="false">IF(C6313&gt;1,IF(C6313&lt;99,VLOOKUP(C6313,'MSA-Lookup'!$H$1:$I$86,2),C6313),C6313)</f>
        <v>4480</v>
      </c>
      <c r="G6313" s="0" t="n">
        <f aca="false">VLOOKUP(E6313,'MSA-Lookup'!$AA$1:$AB$25,2)</f>
        <v>4472</v>
      </c>
      <c r="H6313" s="0" t="n">
        <f aca="false">IF(C6313&gt;1,IF(C6313&lt;99,VLOOKUP(F6313,'MSA-Lookup'!$AA$1:$AB$25,2),C6313),C6313)</f>
        <v>4472</v>
      </c>
    </row>
    <row r="6314" customFormat="false" ht="12.75" hidden="false" customHeight="false" outlineLevel="0" collapsed="false">
      <c r="A6314" s="0" t="n">
        <f aca="false">B6314*1000+C6314</f>
        <v>84067</v>
      </c>
      <c r="B6314" s="0" t="n">
        <v>84</v>
      </c>
      <c r="C6314" s="0" t="n">
        <v>67</v>
      </c>
      <c r="D6314" s="0" t="n">
        <v>143</v>
      </c>
      <c r="E6314" s="0" t="n">
        <f aca="false">VLOOKUP(B6314,'MSA-Lookup'!$H$2:$I$86,2)</f>
        <v>360</v>
      </c>
      <c r="F6314" s="0" t="n">
        <f aca="false">IF(C6314&gt;1,IF(C6314&lt;99,VLOOKUP(C6314,'MSA-Lookup'!$H$1:$I$86,2),C6314),C6314)</f>
        <v>6000</v>
      </c>
      <c r="G6314" s="0" t="n">
        <f aca="false">VLOOKUP(E6314,'MSA-Lookup'!$AA$1:$AB$25,2)</f>
        <v>4472</v>
      </c>
      <c r="H6314" s="0" t="n">
        <f aca="false">IF(C6314&gt;1,IF(C6314&lt;99,VLOOKUP(F6314,'MSA-Lookup'!$AA$1:$AB$25,2),C6314),C6314)</f>
        <v>4472</v>
      </c>
    </row>
    <row r="6315" customFormat="false" ht="12.75" hidden="false" customHeight="false" outlineLevel="0" collapsed="false">
      <c r="A6315" s="0" t="n">
        <f aca="false">B6315*1000+C6315</f>
        <v>84068</v>
      </c>
      <c r="B6315" s="0" t="n">
        <v>84</v>
      </c>
      <c r="C6315" s="0" t="n">
        <v>68</v>
      </c>
      <c r="D6315" s="0" t="n">
        <v>0</v>
      </c>
      <c r="E6315" s="0" t="n">
        <f aca="false">VLOOKUP(B6315,'MSA-Lookup'!$H$2:$I$86,2)</f>
        <v>360</v>
      </c>
      <c r="F6315" s="0" t="n">
        <f aca="false">IF(C6315&gt;1,IF(C6315&lt;99,VLOOKUP(C6315,'MSA-Lookup'!$H$1:$I$86,2),C6315),C6315)</f>
        <v>6780</v>
      </c>
      <c r="G6315" s="0" t="n">
        <f aca="false">VLOOKUP(E6315,'MSA-Lookup'!$AA$1:$AB$25,2)</f>
        <v>4472</v>
      </c>
      <c r="H6315" s="0" t="n">
        <f aca="false">IF(C6315&gt;1,IF(C6315&lt;99,VLOOKUP(F6315,'MSA-Lookup'!$AA$1:$AB$25,2),C6315),C6315)</f>
        <v>4472</v>
      </c>
    </row>
    <row r="6316" customFormat="false" ht="12.75" hidden="false" customHeight="false" outlineLevel="0" collapsed="false">
      <c r="A6316" s="0" t="n">
        <f aca="false">B6316*1000+C6316</f>
        <v>84069</v>
      </c>
      <c r="B6316" s="0" t="n">
        <v>84</v>
      </c>
      <c r="C6316" s="0" t="n">
        <v>69</v>
      </c>
      <c r="D6316" s="0" t="n">
        <v>611</v>
      </c>
      <c r="E6316" s="0" t="n">
        <f aca="false">VLOOKUP(B6316,'MSA-Lookup'!$H$2:$I$86,2)</f>
        <v>360</v>
      </c>
      <c r="F6316" s="0" t="n">
        <f aca="false">IF(C6316&gt;1,IF(C6316&lt;99,VLOOKUP(C6316,'MSA-Lookup'!$H$1:$I$86,2),C6316),C6316)</f>
        <v>6780</v>
      </c>
      <c r="G6316" s="0" t="n">
        <f aca="false">VLOOKUP(E6316,'MSA-Lookup'!$AA$1:$AB$25,2)</f>
        <v>4472</v>
      </c>
      <c r="H6316" s="0" t="n">
        <f aca="false">IF(C6316&gt;1,IF(C6316&lt;99,VLOOKUP(F6316,'MSA-Lookup'!$AA$1:$AB$25,2),C6316),C6316)</f>
        <v>4472</v>
      </c>
    </row>
    <row r="6317" customFormat="false" ht="12.75" hidden="false" customHeight="false" outlineLevel="0" collapsed="false">
      <c r="A6317" s="0" t="n">
        <f aca="false">B6317*1000+C6317</f>
        <v>84070</v>
      </c>
      <c r="B6317" s="0" t="n">
        <v>84</v>
      </c>
      <c r="C6317" s="0" t="n">
        <v>70</v>
      </c>
      <c r="D6317" s="0" t="n">
        <v>0</v>
      </c>
      <c r="E6317" s="0" t="n">
        <f aca="false">VLOOKUP(B6317,'MSA-Lookup'!$H$2:$I$86,2)</f>
        <v>360</v>
      </c>
      <c r="F6317" s="0" t="n">
        <f aca="false">IF(C6317&gt;1,IF(C6317&lt;99,VLOOKUP(C6317,'MSA-Lookup'!$H$1:$I$86,2),C6317),C6317)</f>
        <v>6780</v>
      </c>
      <c r="G6317" s="0" t="n">
        <f aca="false">VLOOKUP(E6317,'MSA-Lookup'!$AA$1:$AB$25,2)</f>
        <v>4472</v>
      </c>
      <c r="H6317" s="0" t="n">
        <f aca="false">IF(C6317&gt;1,IF(C6317&lt;99,VLOOKUP(F6317,'MSA-Lookup'!$AA$1:$AB$25,2),C6317),C6317)</f>
        <v>4472</v>
      </c>
    </row>
    <row r="6318" customFormat="false" ht="12.75" hidden="false" customHeight="false" outlineLevel="0" collapsed="false">
      <c r="A6318" s="0" t="n">
        <f aca="false">B6318*1000+C6318</f>
        <v>84071</v>
      </c>
      <c r="B6318" s="0" t="n">
        <v>84</v>
      </c>
      <c r="C6318" s="0" t="n">
        <v>71</v>
      </c>
      <c r="D6318" s="0" t="n">
        <v>442</v>
      </c>
      <c r="E6318" s="0" t="n">
        <f aca="false">VLOOKUP(B6318,'MSA-Lookup'!$H$2:$I$86,2)</f>
        <v>360</v>
      </c>
      <c r="F6318" s="0" t="n">
        <f aca="false">IF(C6318&gt;1,IF(C6318&lt;99,VLOOKUP(C6318,'MSA-Lookup'!$H$1:$I$86,2),C6318),C6318)</f>
        <v>6780</v>
      </c>
      <c r="G6318" s="0" t="n">
        <f aca="false">VLOOKUP(E6318,'MSA-Lookup'!$AA$1:$AB$25,2)</f>
        <v>4472</v>
      </c>
      <c r="H6318" s="0" t="n">
        <f aca="false">IF(C6318&gt;1,IF(C6318&lt;99,VLOOKUP(F6318,'MSA-Lookup'!$AA$1:$AB$25,2),C6318),C6318)</f>
        <v>4472</v>
      </c>
    </row>
    <row r="6319" customFormat="false" ht="12.75" hidden="false" customHeight="false" outlineLevel="0" collapsed="false">
      <c r="A6319" s="0" t="n">
        <f aca="false">B6319*1000+C6319</f>
        <v>84072</v>
      </c>
      <c r="B6319" s="0" t="n">
        <v>84</v>
      </c>
      <c r="C6319" s="0" t="n">
        <v>72</v>
      </c>
      <c r="D6319" s="0" t="n">
        <v>663</v>
      </c>
      <c r="E6319" s="0" t="n">
        <f aca="false">VLOOKUP(B6319,'MSA-Lookup'!$H$2:$I$86,2)</f>
        <v>360</v>
      </c>
      <c r="F6319" s="0" t="n">
        <f aca="false">IF(C6319&gt;1,IF(C6319&lt;99,VLOOKUP(C6319,'MSA-Lookup'!$H$1:$I$86,2),C6319),C6319)</f>
        <v>6780</v>
      </c>
      <c r="G6319" s="0" t="n">
        <f aca="false">VLOOKUP(E6319,'MSA-Lookup'!$AA$1:$AB$25,2)</f>
        <v>4472</v>
      </c>
      <c r="H6319" s="0" t="n">
        <f aca="false">IF(C6319&gt;1,IF(C6319&lt;99,VLOOKUP(F6319,'MSA-Lookup'!$AA$1:$AB$25,2),C6319),C6319)</f>
        <v>4472</v>
      </c>
    </row>
    <row r="6320" customFormat="false" ht="12.75" hidden="false" customHeight="false" outlineLevel="0" collapsed="false">
      <c r="A6320" s="0" t="n">
        <f aca="false">B6320*1000+C6320</f>
        <v>84073</v>
      </c>
      <c r="B6320" s="0" t="n">
        <v>84</v>
      </c>
      <c r="C6320" s="0" t="n">
        <v>73</v>
      </c>
      <c r="D6320" s="0" t="n">
        <v>0</v>
      </c>
      <c r="E6320" s="0" t="n">
        <f aca="false">VLOOKUP(B6320,'MSA-Lookup'!$H$2:$I$86,2)</f>
        <v>360</v>
      </c>
      <c r="F6320" s="0" t="n">
        <f aca="false">IF(C6320&gt;1,IF(C6320&lt;99,VLOOKUP(C6320,'MSA-Lookup'!$H$1:$I$86,2),C6320),C6320)</f>
        <v>8720</v>
      </c>
      <c r="G6320" s="0" t="n">
        <f aca="false">VLOOKUP(E6320,'MSA-Lookup'!$AA$1:$AB$25,2)</f>
        <v>4472</v>
      </c>
      <c r="H6320" s="0" t="n">
        <f aca="false">IF(C6320&gt;1,IF(C6320&lt;99,VLOOKUP(F6320,'MSA-Lookup'!$AA$1:$AB$25,2),C6320),C6320)</f>
        <v>7362</v>
      </c>
    </row>
    <row r="6321" customFormat="false" ht="12.75" hidden="false" customHeight="false" outlineLevel="0" collapsed="false">
      <c r="A6321" s="0" t="n">
        <f aca="false">B6321*1000+C6321</f>
        <v>84075</v>
      </c>
      <c r="B6321" s="0" t="n">
        <v>84</v>
      </c>
      <c r="C6321" s="0" t="n">
        <v>75</v>
      </c>
      <c r="D6321" s="0" t="n">
        <v>0</v>
      </c>
      <c r="E6321" s="0" t="n">
        <f aca="false">VLOOKUP(B6321,'MSA-Lookup'!$H$2:$I$86,2)</f>
        <v>360</v>
      </c>
      <c r="F6321" s="0" t="n">
        <f aca="false">IF(C6321&gt;1,IF(C6321&lt;99,VLOOKUP(C6321,'MSA-Lookup'!$H$1:$I$86,2),C6321),C6321)</f>
        <v>8780</v>
      </c>
      <c r="G6321" s="0" t="n">
        <f aca="false">VLOOKUP(E6321,'MSA-Lookup'!$AA$1:$AB$25,2)</f>
        <v>4472</v>
      </c>
      <c r="H6321" s="0" t="n">
        <f aca="false">IF(C6321&gt;1,IF(C6321&lt;99,VLOOKUP(F6321,'MSA-Lookup'!$AA$1:$AB$25,2),C6321),C6321)</f>
        <v>8780</v>
      </c>
    </row>
    <row r="6322" customFormat="false" ht="12.75" hidden="false" customHeight="false" outlineLevel="0" collapsed="false">
      <c r="A6322" s="0" t="n">
        <f aca="false">B6322*1000+C6322</f>
        <v>84076</v>
      </c>
      <c r="B6322" s="0" t="n">
        <v>84</v>
      </c>
      <c r="C6322" s="0" t="n">
        <v>76</v>
      </c>
      <c r="D6322" s="0" t="n">
        <v>0</v>
      </c>
      <c r="E6322" s="0" t="n">
        <f aca="false">VLOOKUP(B6322,'MSA-Lookup'!$H$2:$I$86,2)</f>
        <v>360</v>
      </c>
      <c r="F6322" s="0" t="n">
        <f aca="false">IF(C6322&gt;1,IF(C6322&lt;99,VLOOKUP(C6322,'MSA-Lookup'!$H$1:$I$86,2),C6322),C6322)</f>
        <v>7485</v>
      </c>
      <c r="G6322" s="0" t="n">
        <f aca="false">VLOOKUP(E6322,'MSA-Lookup'!$AA$1:$AB$25,2)</f>
        <v>4472</v>
      </c>
      <c r="H6322" s="0" t="n">
        <f aca="false">IF(C6322&gt;1,IF(C6322&lt;99,VLOOKUP(F6322,'MSA-Lookup'!$AA$1:$AB$25,2),C6322),C6322)</f>
        <v>7362</v>
      </c>
    </row>
    <row r="6323" customFormat="false" ht="12.75" hidden="false" customHeight="false" outlineLevel="0" collapsed="false">
      <c r="A6323" s="0" t="n">
        <f aca="false">B6323*1000+C6323</f>
        <v>84077</v>
      </c>
      <c r="B6323" s="0" t="n">
        <v>84</v>
      </c>
      <c r="C6323" s="0" t="n">
        <v>77</v>
      </c>
      <c r="D6323" s="0" t="n">
        <v>0</v>
      </c>
      <c r="E6323" s="0" t="n">
        <f aca="false">VLOOKUP(B6323,'MSA-Lookup'!$H$2:$I$86,2)</f>
        <v>360</v>
      </c>
      <c r="F6323" s="0" t="n">
        <f aca="false">IF(C6323&gt;1,IF(C6323&lt;99,VLOOKUP(C6323,'MSA-Lookup'!$H$1:$I$86,2),C6323),C6323)</f>
        <v>9999</v>
      </c>
      <c r="G6323" s="0" t="n">
        <f aca="false">VLOOKUP(E6323,'MSA-Lookup'!$AA$1:$AB$25,2)</f>
        <v>4472</v>
      </c>
      <c r="H6323" s="0" t="n">
        <f aca="false">IF(C6323&gt;1,IF(C6323&lt;99,VLOOKUP(F6323,'MSA-Lookup'!$AA$1:$AB$25,2),C6323),C6323)</f>
        <v>9999</v>
      </c>
    </row>
    <row r="6324" customFormat="false" ht="12.75" hidden="false" customHeight="false" outlineLevel="0" collapsed="false">
      <c r="A6324" s="0" t="n">
        <f aca="false">B6324*1000+C6324</f>
        <v>84078</v>
      </c>
      <c r="B6324" s="0" t="n">
        <v>84</v>
      </c>
      <c r="C6324" s="0" t="n">
        <v>78</v>
      </c>
      <c r="D6324" s="0" t="n">
        <v>0</v>
      </c>
      <c r="E6324" s="0" t="n">
        <f aca="false">VLOOKUP(B6324,'MSA-Lookup'!$H$2:$I$86,2)</f>
        <v>360</v>
      </c>
      <c r="F6324" s="0" t="n">
        <f aca="false">IF(C6324&gt;1,IF(C6324&lt;99,VLOOKUP(C6324,'MSA-Lookup'!$H$1:$I$86,2),C6324),C6324)</f>
        <v>680</v>
      </c>
      <c r="G6324" s="0" t="n">
        <f aca="false">VLOOKUP(E6324,'MSA-Lookup'!$AA$1:$AB$25,2)</f>
        <v>4472</v>
      </c>
      <c r="H6324" s="0" t="n">
        <f aca="false">IF(C6324&gt;1,IF(C6324&lt;99,VLOOKUP(F6324,'MSA-Lookup'!$AA$1:$AB$25,2),C6324),C6324)</f>
        <v>680</v>
      </c>
    </row>
    <row r="6325" customFormat="false" ht="12.75" hidden="false" customHeight="false" outlineLevel="0" collapsed="false">
      <c r="A6325" s="0" t="n">
        <f aca="false">B6325*1000+C6325</f>
        <v>84079</v>
      </c>
      <c r="B6325" s="0" t="n">
        <v>84</v>
      </c>
      <c r="C6325" s="0" t="n">
        <v>79</v>
      </c>
      <c r="D6325" s="0" t="n">
        <v>0</v>
      </c>
      <c r="E6325" s="0" t="n">
        <f aca="false">VLOOKUP(B6325,'MSA-Lookup'!$H$2:$I$86,2)</f>
        <v>360</v>
      </c>
      <c r="F6325" s="0" t="n">
        <f aca="false">IF(C6325&gt;1,IF(C6325&lt;99,VLOOKUP(C6325,'MSA-Lookup'!$H$1:$I$86,2),C6325),C6325)</f>
        <v>680</v>
      </c>
      <c r="G6325" s="0" t="n">
        <f aca="false">VLOOKUP(E6325,'MSA-Lookup'!$AA$1:$AB$25,2)</f>
        <v>4472</v>
      </c>
      <c r="H6325" s="0" t="n">
        <f aca="false">IF(C6325&gt;1,IF(C6325&lt;99,VLOOKUP(F6325,'MSA-Lookup'!$AA$1:$AB$25,2),C6325),C6325)</f>
        <v>680</v>
      </c>
    </row>
    <row r="6326" customFormat="false" ht="12.75" hidden="false" customHeight="false" outlineLevel="0" collapsed="false">
      <c r="A6326" s="0" t="n">
        <f aca="false">B6326*1000+C6326</f>
        <v>84080</v>
      </c>
      <c r="B6326" s="0" t="n">
        <v>84</v>
      </c>
      <c r="C6326" s="0" t="n">
        <v>80</v>
      </c>
      <c r="D6326" s="0" t="n">
        <v>0</v>
      </c>
      <c r="E6326" s="0" t="n">
        <f aca="false">VLOOKUP(B6326,'MSA-Lookup'!$H$2:$I$86,2)</f>
        <v>360</v>
      </c>
      <c r="F6326" s="0" t="n">
        <f aca="false">IF(C6326&gt;1,IF(C6326&lt;99,VLOOKUP(C6326,'MSA-Lookup'!$H$1:$I$86,2),C6326),C6326)</f>
        <v>9999</v>
      </c>
      <c r="G6326" s="0" t="n">
        <f aca="false">VLOOKUP(E6326,'MSA-Lookup'!$AA$1:$AB$25,2)</f>
        <v>4472</v>
      </c>
      <c r="H6326" s="0" t="n">
        <f aca="false">IF(C6326&gt;1,IF(C6326&lt;99,VLOOKUP(F6326,'MSA-Lookup'!$AA$1:$AB$25,2),C6326),C6326)</f>
        <v>9999</v>
      </c>
    </row>
    <row r="6327" customFormat="false" ht="12.75" hidden="false" customHeight="false" outlineLevel="0" collapsed="false">
      <c r="A6327" s="0" t="n">
        <f aca="false">B6327*1000+C6327</f>
        <v>84081</v>
      </c>
      <c r="B6327" s="0" t="n">
        <v>84</v>
      </c>
      <c r="C6327" s="0" t="n">
        <v>81</v>
      </c>
      <c r="D6327" s="0" t="n">
        <v>429</v>
      </c>
      <c r="E6327" s="0" t="n">
        <f aca="false">VLOOKUP(B6327,'MSA-Lookup'!$H$2:$I$86,2)</f>
        <v>360</v>
      </c>
      <c r="F6327" s="0" t="n">
        <f aca="false">IF(C6327&gt;1,IF(C6327&lt;99,VLOOKUP(C6327,'MSA-Lookup'!$H$1:$I$86,2),C6327),C6327)</f>
        <v>6780</v>
      </c>
      <c r="G6327" s="0" t="n">
        <f aca="false">VLOOKUP(E6327,'MSA-Lookup'!$AA$1:$AB$25,2)</f>
        <v>4472</v>
      </c>
      <c r="H6327" s="0" t="n">
        <f aca="false">IF(C6327&gt;1,IF(C6327&lt;99,VLOOKUP(F6327,'MSA-Lookup'!$AA$1:$AB$25,2),C6327),C6327)</f>
        <v>4472</v>
      </c>
    </row>
    <row r="6328" customFormat="false" ht="12.75" hidden="false" customHeight="false" outlineLevel="0" collapsed="false">
      <c r="A6328" s="0" t="n">
        <f aca="false">B6328*1000+C6328</f>
        <v>84082</v>
      </c>
      <c r="B6328" s="0" t="n">
        <v>84</v>
      </c>
      <c r="C6328" s="0" t="n">
        <v>82</v>
      </c>
      <c r="D6328" s="0" t="n">
        <v>247</v>
      </c>
      <c r="E6328" s="0" t="n">
        <f aca="false">VLOOKUP(B6328,'MSA-Lookup'!$H$2:$I$86,2)</f>
        <v>360</v>
      </c>
      <c r="F6328" s="0" t="n">
        <f aca="false">IF(C6328&gt;1,IF(C6328&lt;99,VLOOKUP(C6328,'MSA-Lookup'!$H$1:$I$86,2),C6328),C6328)</f>
        <v>6780</v>
      </c>
      <c r="G6328" s="0" t="n">
        <f aca="false">VLOOKUP(E6328,'MSA-Lookup'!$AA$1:$AB$25,2)</f>
        <v>4472</v>
      </c>
      <c r="H6328" s="0" t="n">
        <f aca="false">IF(C6328&gt;1,IF(C6328&lt;99,VLOOKUP(F6328,'MSA-Lookup'!$AA$1:$AB$25,2),C6328),C6328)</f>
        <v>4472</v>
      </c>
    </row>
    <row r="6329" customFormat="false" ht="12.75" hidden="false" customHeight="false" outlineLevel="0" collapsed="false">
      <c r="A6329" s="0" t="n">
        <f aca="false">B6329*1000+C6329</f>
        <v>84083</v>
      </c>
      <c r="B6329" s="0" t="n">
        <v>84</v>
      </c>
      <c r="C6329" s="0" t="n">
        <v>83</v>
      </c>
      <c r="D6329" s="0" t="n">
        <v>0</v>
      </c>
      <c r="E6329" s="0" t="n">
        <f aca="false">VLOOKUP(B6329,'MSA-Lookup'!$H$2:$I$86,2)</f>
        <v>360</v>
      </c>
      <c r="F6329" s="0" t="n">
        <f aca="false">IF(C6329&gt;1,IF(C6329&lt;99,VLOOKUP(C6329,'MSA-Lookup'!$H$1:$I$86,2),C6329),C6329)</f>
        <v>6000</v>
      </c>
      <c r="G6329" s="0" t="n">
        <f aca="false">VLOOKUP(E6329,'MSA-Lookup'!$AA$1:$AB$25,2)</f>
        <v>4472</v>
      </c>
      <c r="H6329" s="0" t="n">
        <f aca="false">IF(C6329&gt;1,IF(C6329&lt;99,VLOOKUP(F6329,'MSA-Lookup'!$AA$1:$AB$25,2),C6329),C6329)</f>
        <v>4472</v>
      </c>
    </row>
    <row r="6330" customFormat="false" ht="12.75" hidden="false" customHeight="false" outlineLevel="0" collapsed="false">
      <c r="A6330" s="0" t="n">
        <f aca="false">B6330*1000+C6330</f>
        <v>84084</v>
      </c>
      <c r="B6330" s="0" t="n">
        <v>84</v>
      </c>
      <c r="C6330" s="0" t="n">
        <v>84</v>
      </c>
      <c r="D6330" s="0" t="n">
        <v>46176</v>
      </c>
      <c r="E6330" s="0" t="n">
        <f aca="false">VLOOKUP(B6330,'MSA-Lookup'!$H$2:$I$86,2)</f>
        <v>360</v>
      </c>
      <c r="F6330" s="0" t="n">
        <f aca="false">IF(C6330&gt;1,IF(C6330&lt;99,VLOOKUP(C6330,'MSA-Lookup'!$H$1:$I$86,2),C6330),C6330)</f>
        <v>360</v>
      </c>
      <c r="G6330" s="0" t="n">
        <f aca="false">VLOOKUP(E6330,'MSA-Lookup'!$AA$1:$AB$25,2)</f>
        <v>4472</v>
      </c>
      <c r="H6330" s="0" t="n">
        <f aca="false">IF(C6330&gt;1,IF(C6330&lt;99,VLOOKUP(F6330,'MSA-Lookup'!$AA$1:$AB$25,2),C6330),C6330)</f>
        <v>4472</v>
      </c>
    </row>
    <row r="6331" customFormat="false" ht="12.75" hidden="false" customHeight="false" outlineLevel="0" collapsed="false">
      <c r="A6331" s="0" t="n">
        <f aca="false">B6331*1000+C6331</f>
        <v>84085</v>
      </c>
      <c r="B6331" s="0" t="n">
        <v>84</v>
      </c>
      <c r="C6331" s="0" t="n">
        <v>85</v>
      </c>
      <c r="D6331" s="0" t="n">
        <v>0</v>
      </c>
      <c r="E6331" s="0" t="n">
        <f aca="false">VLOOKUP(B6331,'MSA-Lookup'!$H$2:$I$86,2)</f>
        <v>360</v>
      </c>
      <c r="F6331" s="0" t="n">
        <f aca="false">IF(C6331&gt;1,IF(C6331&lt;99,VLOOKUP(C6331,'MSA-Lookup'!$H$1:$I$86,2),C6331),C6331)</f>
        <v>8120</v>
      </c>
      <c r="G6331" s="0" t="n">
        <f aca="false">VLOOKUP(E6331,'MSA-Lookup'!$AA$1:$AB$25,2)</f>
        <v>4472</v>
      </c>
      <c r="H6331" s="0" t="n">
        <f aca="false">IF(C6331&gt;1,IF(C6331&lt;99,VLOOKUP(F6331,'MSA-Lookup'!$AA$1:$AB$25,2),C6331),C6331)</f>
        <v>8120</v>
      </c>
    </row>
    <row r="6332" customFormat="false" ht="12.75" hidden="false" customHeight="false" outlineLevel="0" collapsed="false">
      <c r="A6332" s="0" t="n">
        <f aca="false">B6332*1000+C6332</f>
        <v>84858</v>
      </c>
      <c r="B6332" s="0" t="n">
        <v>84</v>
      </c>
      <c r="C6332" s="0" t="n">
        <v>858</v>
      </c>
      <c r="D6332" s="0" t="n">
        <v>0</v>
      </c>
      <c r="E6332" s="0" t="n">
        <f aca="false">VLOOKUP(B6332,'MSA-Lookup'!$H$2:$I$86,2)</f>
        <v>360</v>
      </c>
      <c r="F6332" s="0" t="n">
        <f aca="false">IF(C6332&gt;1,IF(C6332&lt;99,VLOOKUP(C6332,'MSA-Lookup'!$H$1:$I$86,2),C6332),C6332)</f>
        <v>858</v>
      </c>
      <c r="G6332" s="0" t="n">
        <f aca="false">VLOOKUP(E6332,'MSA-Lookup'!$AA$1:$AB$25,2)</f>
        <v>4472</v>
      </c>
      <c r="H6332" s="0" t="n">
        <f aca="false">IF(C6332&gt;1,IF(C6332&lt;99,VLOOKUP(F6332,'MSA-Lookup'!$AA$1:$AB$25,2),C6332),C6332)</f>
        <v>858</v>
      </c>
    </row>
    <row r="6333" customFormat="false" ht="12.75" hidden="false" customHeight="false" outlineLevel="0" collapsed="false">
      <c r="A6333" s="0" t="n">
        <f aca="false">B6333*1000+C6333</f>
        <v>84983</v>
      </c>
      <c r="B6333" s="0" t="n">
        <v>84</v>
      </c>
      <c r="C6333" s="0" t="n">
        <v>983</v>
      </c>
      <c r="D6333" s="0" t="n">
        <v>0</v>
      </c>
      <c r="E6333" s="0" t="n">
        <f aca="false">VLOOKUP(B6333,'MSA-Lookup'!$H$2:$I$86,2)</f>
        <v>360</v>
      </c>
      <c r="F6333" s="0" t="n">
        <f aca="false">IF(C6333&gt;1,IF(C6333&lt;99,VLOOKUP(C6333,'MSA-Lookup'!$H$1:$I$86,2),C6333),C6333)</f>
        <v>983</v>
      </c>
      <c r="G6333" s="0" t="n">
        <f aca="false">VLOOKUP(E6333,'MSA-Lookup'!$AA$1:$AB$25,2)</f>
        <v>4472</v>
      </c>
      <c r="H6333" s="0" t="n">
        <f aca="false">IF(C6333&gt;1,IF(C6333&lt;99,VLOOKUP(F6333,'MSA-Lookup'!$AA$1:$AB$25,2),C6333),C6333)</f>
        <v>983</v>
      </c>
    </row>
    <row r="6334" customFormat="false" ht="12.75" hidden="false" customHeight="false" outlineLevel="0" collapsed="false">
      <c r="A6334" s="0" t="n">
        <f aca="false">B6334*1000+C6334</f>
        <v>84999</v>
      </c>
      <c r="B6334" s="0" t="n">
        <v>84</v>
      </c>
      <c r="C6334" s="0" t="n">
        <v>999</v>
      </c>
      <c r="D6334" s="0" t="n">
        <v>143</v>
      </c>
      <c r="E6334" s="0" t="n">
        <f aca="false">VLOOKUP(B6334,'MSA-Lookup'!$H$2:$I$86,2)</f>
        <v>360</v>
      </c>
      <c r="F6334" s="0" t="n">
        <f aca="false">IF(C6334&gt;1,IF(C6334&lt;99,VLOOKUP(C6334,'MSA-Lookup'!$H$1:$I$86,2),C6334),C6334)</f>
        <v>999</v>
      </c>
      <c r="G6334" s="0" t="n">
        <f aca="false">VLOOKUP(E6334,'MSA-Lookup'!$AA$1:$AB$25,2)</f>
        <v>4472</v>
      </c>
      <c r="H6334" s="0" t="n">
        <f aca="false">IF(C6334&gt;1,IF(C6334&lt;99,VLOOKUP(F6334,'MSA-Lookup'!$AA$1:$AB$25,2),C6334),C6334)</f>
        <v>999</v>
      </c>
    </row>
    <row r="6336" customFormat="false" ht="12.75" hidden="false" customHeight="false" outlineLevel="0" collapsed="false">
      <c r="D6336" s="0" t="n">
        <f aca="false">SUM(D2:D6335)</f>
        <v>29483067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3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G27" activeCellId="0" sqref="AG2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25.99"/>
    <col collapsed="false" customWidth="true" hidden="false" outlineLevel="0" max="6" min="6" style="0" width="28.14"/>
    <col collapsed="false" customWidth="true" hidden="false" outlineLevel="0" max="10" min="10" style="0" width="31.99"/>
  </cols>
  <sheetData>
    <row r="1" customFormat="false" ht="12.75" hidden="false" customHeight="false" outlineLevel="0" collapsed="false">
      <c r="A1" s="0" t="s">
        <v>56</v>
      </c>
      <c r="B1" s="0" t="s">
        <v>57</v>
      </c>
      <c r="C1" s="0" t="s">
        <v>5</v>
      </c>
      <c r="E1" s="0" t="s">
        <v>57</v>
      </c>
      <c r="F1" s="0" t="s">
        <v>5</v>
      </c>
      <c r="H1" s="0" t="s">
        <v>56</v>
      </c>
      <c r="I1" s="0" t="s">
        <v>58</v>
      </c>
      <c r="J1" s="0" t="s">
        <v>59</v>
      </c>
      <c r="M1" s="0" t="s">
        <v>58</v>
      </c>
      <c r="N1" s="0" t="s">
        <v>59</v>
      </c>
      <c r="Q1" s="0" t="s">
        <v>58</v>
      </c>
      <c r="R1" s="0" t="s">
        <v>60</v>
      </c>
      <c r="S1" s="0" t="s">
        <v>59</v>
      </c>
      <c r="V1" s="0" t="s">
        <v>60</v>
      </c>
      <c r="X1" s="0" t="s">
        <v>58</v>
      </c>
      <c r="Y1" s="0" t="s">
        <v>60</v>
      </c>
      <c r="AA1" s="0" t="s">
        <v>58</v>
      </c>
      <c r="AB1" s="0" t="s">
        <v>60</v>
      </c>
      <c r="AD1" s="0" t="s">
        <v>3</v>
      </c>
      <c r="AE1" s="0" t="s">
        <v>5</v>
      </c>
      <c r="AG1" s="0" t="s">
        <v>44</v>
      </c>
      <c r="AH1" s="0" t="s">
        <v>5</v>
      </c>
    </row>
    <row r="2" customFormat="false" ht="12.75" hidden="false" customHeight="false" outlineLevel="0" collapsed="false">
      <c r="A2" s="0" t="n">
        <v>1</v>
      </c>
      <c r="B2" s="0" t="n">
        <v>15</v>
      </c>
      <c r="C2" s="0" t="str">
        <f aca="false">VLOOKUP(B2,$E$1:$F$59,2)</f>
        <v>Del Norte County</v>
      </c>
      <c r="E2" s="0" t="n">
        <v>1</v>
      </c>
      <c r="F2" s="0" t="s">
        <v>61</v>
      </c>
      <c r="H2" s="3" t="n">
        <v>1</v>
      </c>
      <c r="I2" s="0" t="n">
        <v>9999</v>
      </c>
      <c r="J2" s="0" t="str">
        <f aca="false">VLOOKUP(H2,$A$1:$C$103,3)</f>
        <v>Siskiyou County</v>
      </c>
      <c r="M2" s="0" t="n">
        <v>360</v>
      </c>
      <c r="N2" s="0" t="s">
        <v>62</v>
      </c>
      <c r="Q2" s="0" t="n">
        <v>360</v>
      </c>
      <c r="R2" s="0" t="n">
        <v>4472</v>
      </c>
      <c r="S2" s="0" t="s">
        <v>62</v>
      </c>
      <c r="V2" s="0" t="n">
        <v>4472</v>
      </c>
      <c r="X2" s="0" t="n">
        <v>360</v>
      </c>
      <c r="Y2" s="0" t="n">
        <v>4472</v>
      </c>
      <c r="AA2" s="0" t="n">
        <v>360</v>
      </c>
      <c r="AB2" s="0" t="n">
        <v>4472</v>
      </c>
      <c r="AD2" s="0" t="n">
        <v>360</v>
      </c>
      <c r="AE2" s="0" t="s">
        <v>16</v>
      </c>
      <c r="AG2" s="0" t="n">
        <v>680</v>
      </c>
      <c r="AH2" s="0" t="s">
        <v>17</v>
      </c>
    </row>
    <row r="3" customFormat="false" ht="12.75" hidden="false" customHeight="false" outlineLevel="0" collapsed="false">
      <c r="A3" s="0" t="n">
        <v>1</v>
      </c>
      <c r="B3" s="0" t="n">
        <v>35</v>
      </c>
      <c r="C3" s="0" t="str">
        <f aca="false">VLOOKUP(B3,$E$1:$F$59,2)</f>
        <v>Lassen County</v>
      </c>
      <c r="E3" s="0" t="n">
        <v>3</v>
      </c>
      <c r="F3" s="0" t="s">
        <v>63</v>
      </c>
      <c r="H3" s="3" t="n">
        <v>2</v>
      </c>
      <c r="I3" s="0" t="n">
        <v>9999</v>
      </c>
      <c r="J3" s="0" t="str">
        <f aca="false">VLOOKUP(H3,$A$1:$C$103,3)</f>
        <v>Humboldt County</v>
      </c>
      <c r="M3" s="0" t="n">
        <v>360</v>
      </c>
      <c r="N3" s="0" t="s">
        <v>62</v>
      </c>
      <c r="Q3" s="0" t="n">
        <v>680</v>
      </c>
      <c r="R3" s="0" t="n">
        <v>680</v>
      </c>
      <c r="S3" s="0" t="s">
        <v>64</v>
      </c>
      <c r="V3" s="0" t="n">
        <v>680</v>
      </c>
      <c r="X3" s="0" t="n">
        <v>680</v>
      </c>
      <c r="Y3" s="0" t="n">
        <v>680</v>
      </c>
      <c r="AA3" s="0" t="n">
        <v>680</v>
      </c>
      <c r="AB3" s="0" t="n">
        <v>680</v>
      </c>
      <c r="AD3" s="0" t="n">
        <v>680</v>
      </c>
      <c r="AE3" s="0" t="s">
        <v>17</v>
      </c>
      <c r="AG3" s="0" t="n">
        <v>1620</v>
      </c>
      <c r="AH3" s="0" t="s">
        <v>18</v>
      </c>
    </row>
    <row r="4" customFormat="false" ht="12.75" hidden="false" customHeight="false" outlineLevel="0" collapsed="false">
      <c r="A4" s="0" t="n">
        <v>1</v>
      </c>
      <c r="B4" s="0" t="n">
        <v>49</v>
      </c>
      <c r="C4" s="0" t="str">
        <f aca="false">VLOOKUP(B4,$E$1:$F$59,2)</f>
        <v>Modoc County</v>
      </c>
      <c r="E4" s="0" t="n">
        <v>5</v>
      </c>
      <c r="F4" s="0" t="s">
        <v>65</v>
      </c>
      <c r="H4" s="3" t="n">
        <v>3</v>
      </c>
      <c r="I4" s="0" t="n">
        <v>6690</v>
      </c>
      <c r="J4" s="0" t="str">
        <f aca="false">VLOOKUP(H4,$A$1:$C$103,3)</f>
        <v>Shasta County</v>
      </c>
      <c r="M4" s="0" t="n">
        <v>360</v>
      </c>
      <c r="N4" s="0" t="s">
        <v>62</v>
      </c>
      <c r="Q4" s="0" t="n">
        <v>1620</v>
      </c>
      <c r="R4" s="0" t="n">
        <v>1620</v>
      </c>
      <c r="S4" s="0" t="s">
        <v>66</v>
      </c>
      <c r="V4" s="0" t="n">
        <v>1620</v>
      </c>
      <c r="X4" s="0" t="n">
        <v>1620</v>
      </c>
      <c r="Y4" s="0" t="n">
        <v>1620</v>
      </c>
      <c r="AA4" s="0" t="n">
        <v>1620</v>
      </c>
      <c r="AB4" s="0" t="n">
        <v>1620</v>
      </c>
      <c r="AD4" s="0" t="n">
        <v>1620</v>
      </c>
      <c r="AE4" s="0" t="s">
        <v>18</v>
      </c>
      <c r="AG4" s="0" t="n">
        <v>2840</v>
      </c>
      <c r="AH4" s="0" t="s">
        <v>19</v>
      </c>
    </row>
    <row r="5" customFormat="false" ht="12.75" hidden="false" customHeight="false" outlineLevel="0" collapsed="false">
      <c r="A5" s="0" t="n">
        <v>1</v>
      </c>
      <c r="B5" s="0" t="n">
        <v>93</v>
      </c>
      <c r="C5" s="0" t="str">
        <f aca="false">VLOOKUP(B5,$E$1:$F$59,2)</f>
        <v>Siskiyou County</v>
      </c>
      <c r="E5" s="0" t="n">
        <v>7</v>
      </c>
      <c r="F5" s="0" t="s">
        <v>66</v>
      </c>
      <c r="H5" s="3" t="n">
        <v>4</v>
      </c>
      <c r="I5" s="0" t="n">
        <v>9999</v>
      </c>
      <c r="J5" s="0" t="str">
        <f aca="false">VLOOKUP(H5,$A$1:$C$103,3)</f>
        <v>Mendocino County</v>
      </c>
      <c r="M5" s="0" t="n">
        <v>360</v>
      </c>
      <c r="N5" s="0" t="s">
        <v>62</v>
      </c>
      <c r="Q5" s="0" t="n">
        <v>2840</v>
      </c>
      <c r="R5" s="0" t="n">
        <v>2840</v>
      </c>
      <c r="S5" s="0" t="s">
        <v>67</v>
      </c>
      <c r="V5" s="0" t="n">
        <v>2840</v>
      </c>
      <c r="X5" s="0" t="n">
        <v>2840</v>
      </c>
      <c r="Y5" s="0" t="n">
        <v>2840</v>
      </c>
      <c r="AA5" s="0" t="n">
        <v>2840</v>
      </c>
      <c r="AB5" s="0" t="n">
        <v>2840</v>
      </c>
      <c r="AD5" s="0" t="n">
        <v>2840</v>
      </c>
      <c r="AE5" s="0" t="s">
        <v>19</v>
      </c>
      <c r="AG5" s="0" t="n">
        <v>4472</v>
      </c>
      <c r="AH5" s="0" t="s">
        <v>50</v>
      </c>
    </row>
    <row r="6" customFormat="false" ht="12.75" hidden="false" customHeight="false" outlineLevel="0" collapsed="false">
      <c r="A6" s="0" t="n">
        <v>2</v>
      </c>
      <c r="B6" s="0" t="n">
        <v>23</v>
      </c>
      <c r="C6" s="0" t="str">
        <f aca="false">VLOOKUP(B6,$E$1:$F$59,2)</f>
        <v>Humboldt County</v>
      </c>
      <c r="E6" s="0" t="n">
        <v>9</v>
      </c>
      <c r="F6" s="0" t="s">
        <v>68</v>
      </c>
      <c r="H6" s="3" t="n">
        <v>5</v>
      </c>
      <c r="I6" s="0" t="n">
        <v>9999</v>
      </c>
      <c r="J6" s="0" t="str">
        <f aca="false">VLOOKUP(H6,$A$1:$C$103,3)</f>
        <v>Trinity County</v>
      </c>
      <c r="M6" s="0" t="n">
        <v>360</v>
      </c>
      <c r="N6" s="0" t="s">
        <v>62</v>
      </c>
      <c r="Q6" s="0" t="n">
        <v>4480</v>
      </c>
      <c r="R6" s="0" t="n">
        <v>4472</v>
      </c>
      <c r="S6" s="0" t="s">
        <v>69</v>
      </c>
      <c r="V6" s="0" t="n">
        <v>4472</v>
      </c>
      <c r="X6" s="0" t="n">
        <v>4480</v>
      </c>
      <c r="Y6" s="0" t="n">
        <v>4472</v>
      </c>
      <c r="AA6" s="0" t="n">
        <v>4480</v>
      </c>
      <c r="AB6" s="0" t="n">
        <v>4472</v>
      </c>
      <c r="AD6" s="0" t="n">
        <v>4480</v>
      </c>
      <c r="AE6" s="0" t="s">
        <v>20</v>
      </c>
      <c r="AG6" s="0" t="n">
        <v>4940</v>
      </c>
      <c r="AH6" s="0" t="s">
        <v>21</v>
      </c>
    </row>
    <row r="7" customFormat="false" ht="12.75" hidden="false" customHeight="false" outlineLevel="0" collapsed="false">
      <c r="A7" s="0" t="n">
        <v>3</v>
      </c>
      <c r="B7" s="0" t="n">
        <v>89</v>
      </c>
      <c r="C7" s="0" t="str">
        <f aca="false">VLOOKUP(B7,$E$1:$F$59,2)</f>
        <v>Shasta County</v>
      </c>
      <c r="E7" s="0" t="n">
        <v>11</v>
      </c>
      <c r="F7" s="0" t="s">
        <v>70</v>
      </c>
      <c r="H7" s="3" t="n">
        <v>6</v>
      </c>
      <c r="I7" s="0" t="n">
        <v>1620</v>
      </c>
      <c r="J7" s="0" t="str">
        <f aca="false">VLOOKUP(H7,$A$1:$C$103,3)</f>
        <v>Butte County</v>
      </c>
      <c r="M7" s="0" t="n">
        <v>360</v>
      </c>
      <c r="N7" s="0" t="s">
        <v>62</v>
      </c>
      <c r="Q7" s="0" t="n">
        <v>4940</v>
      </c>
      <c r="R7" s="0" t="n">
        <v>4940</v>
      </c>
      <c r="S7" s="0" t="s">
        <v>71</v>
      </c>
      <c r="V7" s="0" t="n">
        <v>4940</v>
      </c>
      <c r="X7" s="0" t="n">
        <v>4940</v>
      </c>
      <c r="Y7" s="0" t="n">
        <v>4940</v>
      </c>
      <c r="AA7" s="0" t="n">
        <v>4940</v>
      </c>
      <c r="AB7" s="0" t="n">
        <v>4940</v>
      </c>
      <c r="AD7" s="0" t="n">
        <v>4940</v>
      </c>
      <c r="AE7" s="0" t="s">
        <v>21</v>
      </c>
      <c r="AG7" s="0" t="n">
        <v>5170</v>
      </c>
      <c r="AH7" s="0" t="s">
        <v>22</v>
      </c>
    </row>
    <row r="8" customFormat="false" ht="12.75" hidden="false" customHeight="false" outlineLevel="0" collapsed="false">
      <c r="A8" s="0" t="n">
        <v>4</v>
      </c>
      <c r="B8" s="0" t="n">
        <v>33</v>
      </c>
      <c r="C8" s="0" t="str">
        <f aca="false">VLOOKUP(B8,$E$1:$F$59,2)</f>
        <v>Lake County</v>
      </c>
      <c r="E8" s="0" t="n">
        <v>13</v>
      </c>
      <c r="F8" s="0" t="s">
        <v>72</v>
      </c>
      <c r="H8" s="3" t="n">
        <v>7</v>
      </c>
      <c r="I8" s="0" t="n">
        <v>9999</v>
      </c>
      <c r="J8" s="0" t="str">
        <f aca="false">VLOOKUP(H8,$A$1:$C$103,3)</f>
        <v>Sierra County</v>
      </c>
      <c r="M8" s="0" t="n">
        <v>360</v>
      </c>
      <c r="N8" s="0" t="s">
        <v>62</v>
      </c>
      <c r="Q8" s="0" t="n">
        <v>5170</v>
      </c>
      <c r="R8" s="0" t="n">
        <v>5170</v>
      </c>
      <c r="S8" s="0" t="s">
        <v>73</v>
      </c>
      <c r="V8" s="0" t="n">
        <v>5170</v>
      </c>
      <c r="X8" s="0" t="n">
        <v>5170</v>
      </c>
      <c r="Y8" s="0" t="n">
        <v>5170</v>
      </c>
      <c r="AA8" s="0" t="n">
        <v>5170</v>
      </c>
      <c r="AB8" s="0" t="n">
        <v>5170</v>
      </c>
      <c r="AD8" s="0" t="n">
        <v>5170</v>
      </c>
      <c r="AE8" s="0" t="s">
        <v>22</v>
      </c>
      <c r="AG8" s="0" t="n">
        <v>6690</v>
      </c>
      <c r="AH8" s="0" t="s">
        <v>25</v>
      </c>
    </row>
    <row r="9" customFormat="false" ht="12.75" hidden="false" customHeight="false" outlineLevel="0" collapsed="false">
      <c r="A9" s="0" t="n">
        <v>4</v>
      </c>
      <c r="B9" s="0" t="n">
        <v>45</v>
      </c>
      <c r="C9" s="0" t="str">
        <f aca="false">VLOOKUP(B9,$E$1:$F$59,2)</f>
        <v>Mendocino County</v>
      </c>
      <c r="E9" s="0" t="n">
        <v>15</v>
      </c>
      <c r="F9" s="0" t="s">
        <v>74</v>
      </c>
      <c r="H9" s="3" t="n">
        <v>8</v>
      </c>
      <c r="I9" s="0" t="n">
        <v>9340</v>
      </c>
      <c r="J9" s="0" t="str">
        <f aca="false">VLOOKUP(H9,$A$1:$C$103,3)</f>
        <v>Yuba County</v>
      </c>
      <c r="M9" s="0" t="n">
        <v>360</v>
      </c>
      <c r="N9" s="0" t="s">
        <v>62</v>
      </c>
      <c r="Q9" s="0" t="n">
        <v>5775</v>
      </c>
      <c r="R9" s="0" t="n">
        <v>7362</v>
      </c>
      <c r="S9" s="0" t="s">
        <v>72</v>
      </c>
      <c r="V9" s="0" t="n">
        <v>7362</v>
      </c>
      <c r="X9" s="0" t="n">
        <v>5775</v>
      </c>
      <c r="Y9" s="0" t="n">
        <v>7362</v>
      </c>
      <c r="AA9" s="0" t="n">
        <v>5775</v>
      </c>
      <c r="AB9" s="0" t="n">
        <v>7362</v>
      </c>
      <c r="AD9" s="0" t="n">
        <v>5775</v>
      </c>
      <c r="AE9" s="0" t="s">
        <v>23</v>
      </c>
      <c r="AG9" s="0" t="n">
        <v>6920</v>
      </c>
      <c r="AH9" s="0" t="s">
        <v>27</v>
      </c>
    </row>
    <row r="10" customFormat="false" ht="12.75" hidden="false" customHeight="false" outlineLevel="0" collapsed="false">
      <c r="A10" s="0" t="n">
        <v>5</v>
      </c>
      <c r="B10" s="0" t="n">
        <v>11</v>
      </c>
      <c r="C10" s="0" t="str">
        <f aca="false">VLOOKUP(B10,$E$1:$F$59,2)</f>
        <v>Colusa County</v>
      </c>
      <c r="E10" s="0" t="n">
        <v>17</v>
      </c>
      <c r="F10" s="0" t="s">
        <v>75</v>
      </c>
      <c r="H10" s="3" t="n">
        <v>9</v>
      </c>
      <c r="I10" s="0" t="n">
        <v>8720</v>
      </c>
      <c r="J10" s="0" t="str">
        <f aca="false">VLOOKUP(H10,$A$1:$C$103,3)</f>
        <v>Napa County</v>
      </c>
      <c r="M10" s="0" t="n">
        <v>680</v>
      </c>
      <c r="N10" s="0" t="s">
        <v>64</v>
      </c>
      <c r="Q10" s="0" t="n">
        <v>5775</v>
      </c>
      <c r="R10" s="0" t="n">
        <v>7362</v>
      </c>
      <c r="S10" s="0" t="s">
        <v>61</v>
      </c>
      <c r="V10" s="0" t="n">
        <v>7362</v>
      </c>
      <c r="X10" s="0" t="n">
        <v>5775</v>
      </c>
      <c r="Y10" s="0" t="n">
        <v>7362</v>
      </c>
      <c r="AA10" s="0" t="n">
        <v>6000</v>
      </c>
      <c r="AB10" s="0" t="n">
        <v>4472</v>
      </c>
      <c r="AD10" s="0" t="n">
        <v>6000</v>
      </c>
      <c r="AE10" s="0" t="s">
        <v>24</v>
      </c>
      <c r="AG10" s="0" t="n">
        <v>7120</v>
      </c>
      <c r="AH10" s="0" t="s">
        <v>28</v>
      </c>
    </row>
    <row r="11" customFormat="false" ht="12.75" hidden="false" customHeight="false" outlineLevel="0" collapsed="false">
      <c r="A11" s="0" t="n">
        <v>5</v>
      </c>
      <c r="B11" s="0" t="n">
        <v>21</v>
      </c>
      <c r="C11" s="0" t="str">
        <f aca="false">VLOOKUP(B11,$E$1:$F$59,2)</f>
        <v>Glenn County</v>
      </c>
      <c r="E11" s="0" t="n">
        <v>19</v>
      </c>
      <c r="F11" s="0" t="s">
        <v>67</v>
      </c>
      <c r="H11" s="3" t="n">
        <v>10</v>
      </c>
      <c r="I11" s="0" t="n">
        <v>6920</v>
      </c>
      <c r="J11" s="0" t="str">
        <f aca="false">VLOOKUP(H11,$A$1:$C$103,3)</f>
        <v>Yolo County</v>
      </c>
      <c r="M11" s="0" t="n">
        <v>680</v>
      </c>
      <c r="N11" s="0" t="s">
        <v>64</v>
      </c>
      <c r="Q11" s="0" t="n">
        <v>6000</v>
      </c>
      <c r="R11" s="0" t="n">
        <v>4472</v>
      </c>
      <c r="S11" s="0" t="s">
        <v>76</v>
      </c>
      <c r="V11" s="0" t="n">
        <v>4472</v>
      </c>
      <c r="X11" s="0" t="n">
        <v>6000</v>
      </c>
      <c r="Y11" s="0" t="n">
        <v>4472</v>
      </c>
      <c r="AA11" s="0" t="n">
        <v>6690</v>
      </c>
      <c r="AB11" s="0" t="n">
        <v>6690</v>
      </c>
      <c r="AD11" s="0" t="n">
        <v>6690</v>
      </c>
      <c r="AE11" s="0" t="s">
        <v>25</v>
      </c>
      <c r="AG11" s="0" t="n">
        <v>7320</v>
      </c>
      <c r="AH11" s="0" t="s">
        <v>29</v>
      </c>
    </row>
    <row r="12" customFormat="false" ht="12.75" hidden="false" customHeight="false" outlineLevel="0" collapsed="false">
      <c r="A12" s="0" t="n">
        <v>5</v>
      </c>
      <c r="B12" s="0" t="n">
        <v>103</v>
      </c>
      <c r="C12" s="0" t="str">
        <f aca="false">VLOOKUP(B12,$E$1:$F$59,2)</f>
        <v>Tehama County</v>
      </c>
      <c r="E12" s="0" t="n">
        <v>21</v>
      </c>
      <c r="F12" s="0" t="s">
        <v>77</v>
      </c>
      <c r="H12" s="3" t="n">
        <v>11</v>
      </c>
      <c r="I12" s="0" t="n">
        <v>6920</v>
      </c>
      <c r="J12" s="0" t="str">
        <f aca="false">VLOOKUP(H12,$A$1:$C$103,3)</f>
        <v>Placer County</v>
      </c>
      <c r="M12" s="0" t="n">
        <v>1620</v>
      </c>
      <c r="N12" s="0" t="s">
        <v>66</v>
      </c>
      <c r="Q12" s="0" t="n">
        <v>6690</v>
      </c>
      <c r="R12" s="0" t="n">
        <v>6690</v>
      </c>
      <c r="S12" s="0" t="s">
        <v>78</v>
      </c>
      <c r="V12" s="0" t="n">
        <v>6690</v>
      </c>
      <c r="X12" s="0" t="n">
        <v>6690</v>
      </c>
      <c r="Y12" s="0" t="n">
        <v>6690</v>
      </c>
      <c r="AA12" s="0" t="n">
        <v>6780</v>
      </c>
      <c r="AB12" s="0" t="n">
        <v>4472</v>
      </c>
      <c r="AD12" s="0" t="n">
        <v>6780</v>
      </c>
      <c r="AE12" s="0" t="s">
        <v>26</v>
      </c>
      <c r="AG12" s="0" t="n">
        <v>7362</v>
      </c>
      <c r="AH12" s="0" t="s">
        <v>51</v>
      </c>
    </row>
    <row r="13" customFormat="false" ht="12.75" hidden="false" customHeight="false" outlineLevel="0" collapsed="false">
      <c r="A13" s="0" t="n">
        <v>5</v>
      </c>
      <c r="B13" s="0" t="n">
        <v>105</v>
      </c>
      <c r="C13" s="0" t="str">
        <f aca="false">VLOOKUP(B13,$E$1:$F$59,2)</f>
        <v>Trinity County</v>
      </c>
      <c r="E13" s="0" t="n">
        <v>23</v>
      </c>
      <c r="F13" s="0" t="s">
        <v>79</v>
      </c>
      <c r="H13" s="3" t="n">
        <v>12</v>
      </c>
      <c r="I13" s="0" t="n">
        <v>6920</v>
      </c>
      <c r="J13" s="0" t="str">
        <f aca="false">VLOOKUP(H13,$A$1:$C$103,3)</f>
        <v>El Dorado County</v>
      </c>
      <c r="M13" s="0" t="n">
        <v>2840</v>
      </c>
      <c r="N13" s="0" t="s">
        <v>67</v>
      </c>
      <c r="Q13" s="0" t="n">
        <v>6780</v>
      </c>
      <c r="R13" s="0" t="n">
        <v>4472</v>
      </c>
      <c r="S13" s="0" t="s">
        <v>80</v>
      </c>
      <c r="V13" s="0" t="n">
        <v>4472</v>
      </c>
      <c r="X13" s="0" t="n">
        <v>6780</v>
      </c>
      <c r="Y13" s="0" t="n">
        <v>4472</v>
      </c>
      <c r="AA13" s="0" t="n">
        <v>6920</v>
      </c>
      <c r="AB13" s="0" t="n">
        <v>6920</v>
      </c>
      <c r="AD13" s="0" t="n">
        <v>6920</v>
      </c>
      <c r="AE13" s="0" t="s">
        <v>27</v>
      </c>
      <c r="AG13" s="0" t="n">
        <v>7480</v>
      </c>
      <c r="AH13" s="0" t="s">
        <v>32</v>
      </c>
    </row>
    <row r="14" customFormat="false" ht="12.75" hidden="false" customHeight="false" outlineLevel="0" collapsed="false">
      <c r="A14" s="0" t="n">
        <v>6</v>
      </c>
      <c r="B14" s="0" t="n">
        <v>7</v>
      </c>
      <c r="C14" s="0" t="str">
        <f aca="false">VLOOKUP(B14,$E$1:$F$59,2)</f>
        <v>Butte County</v>
      </c>
      <c r="E14" s="0" t="n">
        <v>25</v>
      </c>
      <c r="F14" s="0" t="s">
        <v>81</v>
      </c>
      <c r="H14" s="3" t="n">
        <v>13</v>
      </c>
      <c r="I14" s="0" t="n">
        <v>7500</v>
      </c>
      <c r="J14" s="0" t="str">
        <f aca="false">VLOOKUP(H14,$A$1:$C$103,3)</f>
        <v>Sonoma County (part)</v>
      </c>
      <c r="M14" s="0" t="n">
        <v>2840</v>
      </c>
      <c r="N14" s="0" t="s">
        <v>67</v>
      </c>
      <c r="Q14" s="0" t="n">
        <v>6780</v>
      </c>
      <c r="R14" s="0" t="n">
        <v>4472</v>
      </c>
      <c r="S14" s="0" t="s">
        <v>82</v>
      </c>
      <c r="V14" s="0" t="n">
        <v>4472</v>
      </c>
      <c r="X14" s="0" t="n">
        <v>6780</v>
      </c>
      <c r="Y14" s="0" t="n">
        <v>4472</v>
      </c>
      <c r="AA14" s="0" t="n">
        <v>7120</v>
      </c>
      <c r="AB14" s="0" t="n">
        <v>7120</v>
      </c>
      <c r="AD14" s="0" t="n">
        <v>7120</v>
      </c>
      <c r="AE14" s="0" t="s">
        <v>28</v>
      </c>
      <c r="AG14" s="0" t="n">
        <v>8120</v>
      </c>
      <c r="AH14" s="0" t="s">
        <v>35</v>
      </c>
    </row>
    <row r="15" customFormat="false" ht="12.75" hidden="false" customHeight="false" outlineLevel="0" collapsed="false">
      <c r="A15" s="0" t="n">
        <v>7</v>
      </c>
      <c r="B15" s="0" t="n">
        <v>57</v>
      </c>
      <c r="C15" s="0" t="str">
        <f aca="false">VLOOKUP(B15,$E$1:$F$59,2)</f>
        <v>Nevada County</v>
      </c>
      <c r="E15" s="0" t="n">
        <v>27</v>
      </c>
      <c r="F15" s="0" t="s">
        <v>83</v>
      </c>
      <c r="H15" s="3" t="n">
        <v>14</v>
      </c>
      <c r="I15" s="0" t="n">
        <v>7500</v>
      </c>
      <c r="J15" s="0" t="str">
        <f aca="false">VLOOKUP(H15,$A$1:$C$103,3)</f>
        <v>Sonoma County (part)</v>
      </c>
      <c r="M15" s="0" t="n">
        <v>4480</v>
      </c>
      <c r="N15" s="0" t="s">
        <v>69</v>
      </c>
      <c r="Q15" s="0" t="n">
        <v>6920</v>
      </c>
      <c r="R15" s="0" t="n">
        <v>6920</v>
      </c>
      <c r="S15" s="0" t="s">
        <v>84</v>
      </c>
      <c r="V15" s="0" t="n">
        <v>6920</v>
      </c>
      <c r="X15" s="0" t="n">
        <v>6920</v>
      </c>
      <c r="Y15" s="0" t="n">
        <v>6920</v>
      </c>
      <c r="AA15" s="0" t="n">
        <v>7320</v>
      </c>
      <c r="AB15" s="0" t="n">
        <v>7320</v>
      </c>
      <c r="AD15" s="0" t="n">
        <v>7320</v>
      </c>
      <c r="AE15" s="0" t="s">
        <v>29</v>
      </c>
      <c r="AG15" s="0" t="n">
        <v>8780</v>
      </c>
      <c r="AH15" s="0" t="s">
        <v>37</v>
      </c>
    </row>
    <row r="16" customFormat="false" ht="12.75" hidden="false" customHeight="false" outlineLevel="0" collapsed="false">
      <c r="A16" s="0" t="n">
        <v>7</v>
      </c>
      <c r="B16" s="0" t="n">
        <v>63</v>
      </c>
      <c r="C16" s="0" t="str">
        <f aca="false">VLOOKUP(B16,$E$1:$F$59,2)</f>
        <v>Plumas County</v>
      </c>
      <c r="E16" s="0" t="n">
        <v>29</v>
      </c>
      <c r="F16" s="0" t="s">
        <v>64</v>
      </c>
      <c r="H16" s="3" t="n">
        <v>15</v>
      </c>
      <c r="I16" s="0" t="n">
        <v>7360</v>
      </c>
      <c r="J16" s="0" t="str">
        <f aca="false">VLOOKUP(H16,$A$1:$C$103,3)</f>
        <v>Marin County (part)</v>
      </c>
      <c r="M16" s="0" t="n">
        <v>4480</v>
      </c>
      <c r="N16" s="0" t="s">
        <v>69</v>
      </c>
      <c r="Q16" s="0" t="n">
        <v>6920</v>
      </c>
      <c r="R16" s="0" t="n">
        <v>6920</v>
      </c>
      <c r="S16" s="0" t="s">
        <v>85</v>
      </c>
      <c r="V16" s="0" t="n">
        <v>6920</v>
      </c>
      <c r="X16" s="0" t="n">
        <v>6920</v>
      </c>
      <c r="Y16" s="0" t="n">
        <v>6920</v>
      </c>
      <c r="AA16" s="0" t="n">
        <v>7360</v>
      </c>
      <c r="AB16" s="0" t="n">
        <v>7362</v>
      </c>
      <c r="AD16" s="0" t="n">
        <v>7360</v>
      </c>
      <c r="AE16" s="0" t="s">
        <v>30</v>
      </c>
      <c r="AG16" s="0" t="n">
        <v>9340</v>
      </c>
      <c r="AH16" s="0" t="s">
        <v>38</v>
      </c>
    </row>
    <row r="17" customFormat="false" ht="12.75" hidden="false" customHeight="false" outlineLevel="0" collapsed="false">
      <c r="A17" s="0" t="n">
        <v>7</v>
      </c>
      <c r="B17" s="0" t="n">
        <v>91</v>
      </c>
      <c r="C17" s="0" t="str">
        <f aca="false">VLOOKUP(B17,$E$1:$F$59,2)</f>
        <v>Sierra County</v>
      </c>
      <c r="E17" s="0" t="n">
        <v>31</v>
      </c>
      <c r="F17" s="0" t="s">
        <v>86</v>
      </c>
      <c r="H17" s="3" t="n">
        <v>16</v>
      </c>
      <c r="I17" s="0" t="n">
        <v>8720</v>
      </c>
      <c r="J17" s="0" t="str">
        <f aca="false">VLOOKUP(H17,$A$1:$C$103,3)</f>
        <v>Solano County</v>
      </c>
      <c r="M17" s="0" t="n">
        <v>4480</v>
      </c>
      <c r="N17" s="0" t="s">
        <v>69</v>
      </c>
      <c r="Q17" s="0" t="n">
        <v>6920</v>
      </c>
      <c r="R17" s="0" t="n">
        <v>6920</v>
      </c>
      <c r="S17" s="0" t="s">
        <v>75</v>
      </c>
      <c r="V17" s="0" t="n">
        <v>6920</v>
      </c>
      <c r="X17" s="0" t="n">
        <v>6920</v>
      </c>
      <c r="Y17" s="0" t="n">
        <v>6920</v>
      </c>
      <c r="AA17" s="0" t="n">
        <v>7400</v>
      </c>
      <c r="AB17" s="0" t="n">
        <v>7362</v>
      </c>
      <c r="AD17" s="0" t="n">
        <v>7400</v>
      </c>
      <c r="AE17" s="0" t="s">
        <v>31</v>
      </c>
      <c r="AG17" s="0" t="n">
        <v>9999</v>
      </c>
      <c r="AH17" s="0" t="s">
        <v>52</v>
      </c>
    </row>
    <row r="18" customFormat="false" ht="12.75" hidden="false" customHeight="false" outlineLevel="0" collapsed="false">
      <c r="A18" s="0" t="n">
        <v>8</v>
      </c>
      <c r="B18" s="0" t="n">
        <v>101</v>
      </c>
      <c r="C18" s="0" t="str">
        <f aca="false">VLOOKUP(B18,$E$1:$F$59,2)</f>
        <v>Sutter County</v>
      </c>
      <c r="E18" s="0" t="n">
        <v>33</v>
      </c>
      <c r="F18" s="0" t="s">
        <v>87</v>
      </c>
      <c r="H18" s="3" t="n">
        <v>17</v>
      </c>
      <c r="I18" s="0" t="n">
        <v>5775</v>
      </c>
      <c r="J18" s="0" t="str">
        <f aca="false">VLOOKUP(H18,$A$1:$C$103,3)</f>
        <v>Contra Costa County (part)</v>
      </c>
      <c r="M18" s="0" t="n">
        <v>4480</v>
      </c>
      <c r="N18" s="0" t="s">
        <v>69</v>
      </c>
      <c r="Q18" s="0" t="n">
        <v>6920</v>
      </c>
      <c r="R18" s="0" t="n">
        <v>6920</v>
      </c>
      <c r="S18" s="0" t="s">
        <v>88</v>
      </c>
      <c r="V18" s="0" t="n">
        <v>6920</v>
      </c>
      <c r="X18" s="0" t="n">
        <v>6920</v>
      </c>
      <c r="Y18" s="0" t="n">
        <v>6920</v>
      </c>
      <c r="AA18" s="0" t="n">
        <v>7480</v>
      </c>
      <c r="AB18" s="0" t="n">
        <v>7480</v>
      </c>
      <c r="AD18" s="0" t="n">
        <v>7480</v>
      </c>
      <c r="AE18" s="0" t="s">
        <v>32</v>
      </c>
    </row>
    <row r="19" customFormat="false" ht="12.75" hidden="false" customHeight="false" outlineLevel="0" collapsed="false">
      <c r="A19" s="0" t="n">
        <v>8</v>
      </c>
      <c r="B19" s="0" t="n">
        <v>115</v>
      </c>
      <c r="C19" s="0" t="str">
        <f aca="false">VLOOKUP(B19,$E$1:$F$59,2)</f>
        <v>Yuba County</v>
      </c>
      <c r="E19" s="0" t="n">
        <v>35</v>
      </c>
      <c r="F19" s="0" t="s">
        <v>89</v>
      </c>
      <c r="H19" s="3" t="n">
        <v>18</v>
      </c>
      <c r="I19" s="0" t="n">
        <v>5775</v>
      </c>
      <c r="J19" s="0" t="str">
        <f aca="false">VLOOKUP(H19,$A$1:$C$103,3)</f>
        <v>Contra Costa County (part)</v>
      </c>
      <c r="M19" s="0" t="n">
        <v>4480</v>
      </c>
      <c r="N19" s="0" t="s">
        <v>69</v>
      </c>
      <c r="Q19" s="0" t="n">
        <v>7120</v>
      </c>
      <c r="R19" s="0" t="n">
        <v>7120</v>
      </c>
      <c r="S19" s="0" t="s">
        <v>90</v>
      </c>
      <c r="V19" s="0" t="n">
        <v>7120</v>
      </c>
      <c r="X19" s="0" t="n">
        <v>7120</v>
      </c>
      <c r="Y19" s="0" t="n">
        <v>7120</v>
      </c>
      <c r="AA19" s="0" t="n">
        <v>7485</v>
      </c>
      <c r="AB19" s="0" t="n">
        <v>7362</v>
      </c>
      <c r="AD19" s="0" t="n">
        <v>7485</v>
      </c>
      <c r="AE19" s="0" t="s">
        <v>33</v>
      </c>
    </row>
    <row r="20" customFormat="false" ht="12.75" hidden="false" customHeight="false" outlineLevel="0" collapsed="false">
      <c r="A20" s="0" t="n">
        <v>9</v>
      </c>
      <c r="B20" s="0" t="n">
        <v>55</v>
      </c>
      <c r="C20" s="0" t="str">
        <f aca="false">VLOOKUP(B20,$E$1:$F$59,2)</f>
        <v>Napa County</v>
      </c>
      <c r="E20" s="0" t="n">
        <v>37</v>
      </c>
      <c r="F20" s="0" t="s">
        <v>69</v>
      </c>
      <c r="H20" s="3" t="n">
        <v>19</v>
      </c>
      <c r="I20" s="0" t="n">
        <v>7360</v>
      </c>
      <c r="J20" s="0" t="str">
        <f aca="false">VLOOKUP(H20,$A$1:$C$103,3)</f>
        <v>San Francisco city (part)</v>
      </c>
      <c r="M20" s="0" t="n">
        <v>4480</v>
      </c>
      <c r="N20" s="0" t="s">
        <v>69</v>
      </c>
      <c r="Q20" s="0" t="n">
        <v>7320</v>
      </c>
      <c r="R20" s="0" t="n">
        <v>7320</v>
      </c>
      <c r="S20" s="0" t="s">
        <v>91</v>
      </c>
      <c r="V20" s="0" t="n">
        <v>7320</v>
      </c>
      <c r="X20" s="0" t="n">
        <v>7320</v>
      </c>
      <c r="Y20" s="0" t="n">
        <v>7320</v>
      </c>
      <c r="AA20" s="0" t="n">
        <v>7500</v>
      </c>
      <c r="AB20" s="0" t="n">
        <v>7362</v>
      </c>
      <c r="AD20" s="0" t="n">
        <v>7500</v>
      </c>
      <c r="AE20" s="0" t="s">
        <v>34</v>
      </c>
    </row>
    <row r="21" customFormat="false" ht="12.75" hidden="false" customHeight="false" outlineLevel="0" collapsed="false">
      <c r="A21" s="0" t="n">
        <v>10</v>
      </c>
      <c r="B21" s="0" t="n">
        <v>113</v>
      </c>
      <c r="C21" s="0" t="str">
        <f aca="false">VLOOKUP(B21,$E$1:$F$59,2)</f>
        <v>Yolo County</v>
      </c>
      <c r="E21" s="0" t="n">
        <v>39</v>
      </c>
      <c r="F21" s="0" t="s">
        <v>92</v>
      </c>
      <c r="H21" s="3" t="n">
        <v>20</v>
      </c>
      <c r="I21" s="0" t="n">
        <v>5775</v>
      </c>
      <c r="J21" s="0" t="str">
        <f aca="false">VLOOKUP(H21,$A$1:$C$103,3)</f>
        <v>Alameda County (part)</v>
      </c>
      <c r="M21" s="0" t="n">
        <v>4480</v>
      </c>
      <c r="N21" s="0" t="s">
        <v>69</v>
      </c>
      <c r="Q21" s="0" t="n">
        <v>7360</v>
      </c>
      <c r="R21" s="0" t="n">
        <v>7362</v>
      </c>
      <c r="S21" s="0" t="s">
        <v>93</v>
      </c>
      <c r="V21" s="0" t="n">
        <v>7362</v>
      </c>
      <c r="X21" s="0" t="n">
        <v>7360</v>
      </c>
      <c r="Y21" s="0" t="n">
        <v>7362</v>
      </c>
      <c r="AA21" s="0" t="n">
        <v>8120</v>
      </c>
      <c r="AB21" s="0" t="n">
        <v>8120</v>
      </c>
      <c r="AD21" s="0" t="n">
        <v>8120</v>
      </c>
      <c r="AE21" s="0" t="s">
        <v>35</v>
      </c>
    </row>
    <row r="22" customFormat="false" ht="12.75" hidden="false" customHeight="false" outlineLevel="0" collapsed="false">
      <c r="A22" s="0" t="n">
        <v>11</v>
      </c>
      <c r="B22" s="0" t="n">
        <v>61</v>
      </c>
      <c r="C22" s="0" t="str">
        <f aca="false">VLOOKUP(B22,$E$1:$F$59,2)</f>
        <v>Placer County</v>
      </c>
      <c r="E22" s="0" t="n">
        <v>41</v>
      </c>
      <c r="F22" s="0" t="s">
        <v>93</v>
      </c>
      <c r="H22" s="3" t="n">
        <v>21</v>
      </c>
      <c r="I22" s="0" t="n">
        <v>5775</v>
      </c>
      <c r="J22" s="0" t="str">
        <f aca="false">VLOOKUP(H22,$A$1:$C$103,3)</f>
        <v>Alameda County (part)</v>
      </c>
      <c r="M22" s="0" t="n">
        <v>4480</v>
      </c>
      <c r="N22" s="0" t="s">
        <v>69</v>
      </c>
      <c r="Q22" s="0" t="n">
        <v>7360</v>
      </c>
      <c r="R22" s="0" t="n">
        <v>7362</v>
      </c>
      <c r="S22" s="0" t="s">
        <v>94</v>
      </c>
      <c r="V22" s="0" t="n">
        <v>7362</v>
      </c>
      <c r="X22" s="0" t="n">
        <v>7360</v>
      </c>
      <c r="Y22" s="0" t="n">
        <v>7362</v>
      </c>
      <c r="AA22" s="0" t="n">
        <v>8720</v>
      </c>
      <c r="AB22" s="0" t="n">
        <v>7362</v>
      </c>
      <c r="AD22" s="0" t="n">
        <v>8720</v>
      </c>
      <c r="AE22" s="0" t="s">
        <v>36</v>
      </c>
    </row>
    <row r="23" customFormat="false" ht="12.75" hidden="false" customHeight="false" outlineLevel="0" collapsed="false">
      <c r="A23" s="0" t="n">
        <v>12</v>
      </c>
      <c r="B23" s="0" t="n">
        <v>17</v>
      </c>
      <c r="C23" s="0" t="str">
        <f aca="false">VLOOKUP(B23,$E$1:$F$59,2)</f>
        <v>El Dorado County</v>
      </c>
      <c r="E23" s="0" t="n">
        <v>43</v>
      </c>
      <c r="F23" s="0" t="s">
        <v>95</v>
      </c>
      <c r="H23" s="3" t="n">
        <v>22</v>
      </c>
      <c r="I23" s="0" t="n">
        <v>7360</v>
      </c>
      <c r="J23" s="0" t="str">
        <f aca="false">VLOOKUP(H23,$A$1:$C$103,3)</f>
        <v>San Mateo County (part)</v>
      </c>
      <c r="M23" s="0" t="n">
        <v>4480</v>
      </c>
      <c r="N23" s="0" t="s">
        <v>69</v>
      </c>
      <c r="Q23" s="0" t="n">
        <v>7360</v>
      </c>
      <c r="R23" s="0" t="n">
        <v>7362</v>
      </c>
      <c r="S23" s="0" t="s">
        <v>96</v>
      </c>
      <c r="V23" s="0" t="n">
        <v>7362</v>
      </c>
      <c r="X23" s="0" t="n">
        <v>7360</v>
      </c>
      <c r="Y23" s="0" t="n">
        <v>7362</v>
      </c>
      <c r="AA23" s="0" t="n">
        <v>8780</v>
      </c>
      <c r="AB23" s="0" t="n">
        <v>8780</v>
      </c>
      <c r="AD23" s="0" t="n">
        <v>8780</v>
      </c>
      <c r="AE23" s="0" t="s">
        <v>37</v>
      </c>
    </row>
    <row r="24" customFormat="false" ht="12.75" hidden="false" customHeight="false" outlineLevel="0" collapsed="false">
      <c r="A24" s="0" t="n">
        <v>13</v>
      </c>
      <c r="B24" s="0" t="n">
        <v>97</v>
      </c>
      <c r="C24" s="0" t="str">
        <f aca="false">VLOOKUP(B24,$E$1:$F$59,2)</f>
        <v>Sonoma County (part)</v>
      </c>
      <c r="E24" s="0" t="n">
        <v>45</v>
      </c>
      <c r="F24" s="0" t="s">
        <v>97</v>
      </c>
      <c r="H24" s="3" t="n">
        <v>23</v>
      </c>
      <c r="I24" s="0" t="n">
        <v>8120</v>
      </c>
      <c r="J24" s="0" t="str">
        <f aca="false">VLOOKUP(H24,$A$1:$C$103,3)</f>
        <v>San Joaquin County (part)</v>
      </c>
      <c r="M24" s="0" t="n">
        <v>4480</v>
      </c>
      <c r="N24" s="0" t="s">
        <v>69</v>
      </c>
      <c r="Q24" s="0" t="n">
        <v>7400</v>
      </c>
      <c r="R24" s="0" t="n">
        <v>7362</v>
      </c>
      <c r="S24" s="0" t="s">
        <v>98</v>
      </c>
      <c r="V24" s="0" t="n">
        <v>7362</v>
      </c>
      <c r="X24" s="0" t="n">
        <v>7400</v>
      </c>
      <c r="Y24" s="0" t="n">
        <v>7362</v>
      </c>
      <c r="AA24" s="0" t="n">
        <v>9340</v>
      </c>
      <c r="AB24" s="0" t="n">
        <v>9340</v>
      </c>
      <c r="AD24" s="0" t="n">
        <v>9340</v>
      </c>
      <c r="AE24" s="0" t="s">
        <v>38</v>
      </c>
    </row>
    <row r="25" customFormat="false" ht="12.75" hidden="false" customHeight="false" outlineLevel="0" collapsed="false">
      <c r="A25" s="0" t="n">
        <v>14</v>
      </c>
      <c r="B25" s="0" t="n">
        <v>97</v>
      </c>
      <c r="C25" s="0" t="str">
        <f aca="false">VLOOKUP(B25,$E$1:$F$59,2)</f>
        <v>Sonoma County (part)</v>
      </c>
      <c r="E25" s="0" t="n">
        <v>47</v>
      </c>
      <c r="F25" s="0" t="s">
        <v>71</v>
      </c>
      <c r="H25" s="3" t="n">
        <v>24</v>
      </c>
      <c r="I25" s="0" t="n">
        <v>5170</v>
      </c>
      <c r="J25" s="0" t="str">
        <f aca="false">VLOOKUP(H25,$A$1:$C$103,3)</f>
        <v>Stanislaus County (part)</v>
      </c>
      <c r="M25" s="0" t="n">
        <v>4480</v>
      </c>
      <c r="N25" s="0" t="s">
        <v>69</v>
      </c>
      <c r="Q25" s="0" t="n">
        <v>7480</v>
      </c>
      <c r="R25" s="0" t="n">
        <v>7480</v>
      </c>
      <c r="S25" s="0" t="s">
        <v>99</v>
      </c>
      <c r="V25" s="0" t="n">
        <v>7480</v>
      </c>
      <c r="X25" s="0" t="n">
        <v>7480</v>
      </c>
      <c r="Y25" s="0" t="n">
        <v>7480</v>
      </c>
      <c r="AA25" s="0" t="n">
        <v>9999</v>
      </c>
      <c r="AB25" s="0" t="n">
        <v>9999</v>
      </c>
      <c r="AD25" s="0" t="n">
        <v>9999</v>
      </c>
      <c r="AE25" s="0" t="s">
        <v>39</v>
      </c>
    </row>
    <row r="26" customFormat="false" ht="12.75" hidden="false" customHeight="false" outlineLevel="0" collapsed="false">
      <c r="A26" s="0" t="n">
        <v>15</v>
      </c>
      <c r="B26" s="0" t="n">
        <v>41</v>
      </c>
      <c r="C26" s="0" t="str">
        <f aca="false">VLOOKUP(B26,$E$1:$F$59,2)</f>
        <v>Marin County (part)</v>
      </c>
      <c r="E26" s="0" t="n">
        <v>49</v>
      </c>
      <c r="F26" s="0" t="s">
        <v>100</v>
      </c>
      <c r="H26" s="3" t="n">
        <v>25</v>
      </c>
      <c r="I26" s="0" t="n">
        <v>5170</v>
      </c>
      <c r="J26" s="0" t="str">
        <f aca="false">VLOOKUP(H26,$A$1:$C$103,3)</f>
        <v>Stanislaus County (part)</v>
      </c>
      <c r="M26" s="0" t="n">
        <v>4480</v>
      </c>
      <c r="N26" s="0" t="s">
        <v>69</v>
      </c>
      <c r="Q26" s="0" t="n">
        <v>7485</v>
      </c>
      <c r="R26" s="0" t="n">
        <v>7362</v>
      </c>
      <c r="S26" s="0" t="s">
        <v>101</v>
      </c>
      <c r="V26" s="0" t="n">
        <v>7362</v>
      </c>
      <c r="X26" s="0" t="n">
        <v>7485</v>
      </c>
      <c r="Y26" s="0" t="n">
        <v>7362</v>
      </c>
    </row>
    <row r="27" customFormat="false" ht="12.75" hidden="false" customHeight="false" outlineLevel="0" collapsed="false">
      <c r="A27" s="0" t="n">
        <v>16</v>
      </c>
      <c r="B27" s="0" t="n">
        <v>95</v>
      </c>
      <c r="C27" s="0" t="str">
        <f aca="false">VLOOKUP(B27,$E$1:$F$59,2)</f>
        <v>Solano County</v>
      </c>
      <c r="E27" s="0" t="n">
        <v>51</v>
      </c>
      <c r="F27" s="0" t="s">
        <v>102</v>
      </c>
      <c r="H27" s="3" t="n">
        <v>26</v>
      </c>
      <c r="I27" s="0" t="n">
        <v>9999</v>
      </c>
      <c r="J27" s="0" t="str">
        <f aca="false">VLOOKUP(H27,$A$1:$C$103,3)</f>
        <v>Tuolumne County</v>
      </c>
      <c r="M27" s="0" t="n">
        <v>4480</v>
      </c>
      <c r="N27" s="0" t="s">
        <v>69</v>
      </c>
      <c r="Q27" s="0" t="n">
        <v>7500</v>
      </c>
      <c r="R27" s="0" t="n">
        <v>7362</v>
      </c>
      <c r="S27" s="0" t="s">
        <v>103</v>
      </c>
      <c r="V27" s="0" t="n">
        <v>7362</v>
      </c>
      <c r="X27" s="0" t="n">
        <v>7500</v>
      </c>
      <c r="Y27" s="0" t="n">
        <v>7362</v>
      </c>
    </row>
    <row r="28" customFormat="false" ht="12.75" hidden="false" customHeight="false" outlineLevel="0" collapsed="false">
      <c r="A28" s="0" t="n">
        <v>17</v>
      </c>
      <c r="B28" s="0" t="n">
        <v>13</v>
      </c>
      <c r="C28" s="0" t="str">
        <f aca="false">VLOOKUP(B28,$E$1:$F$59,2)</f>
        <v>Contra Costa County (part)</v>
      </c>
      <c r="E28" s="0" t="n">
        <v>53</v>
      </c>
      <c r="F28" s="0" t="s">
        <v>90</v>
      </c>
      <c r="H28" s="3" t="n">
        <v>27</v>
      </c>
      <c r="I28" s="0" t="n">
        <v>9999</v>
      </c>
      <c r="J28" s="0" t="str">
        <f aca="false">VLOOKUP(H28,$A$1:$C$103,3)</f>
        <v>San Benito County</v>
      </c>
      <c r="M28" s="0" t="n">
        <v>4480</v>
      </c>
      <c r="N28" s="0" t="s">
        <v>69</v>
      </c>
      <c r="Q28" s="0" t="n">
        <v>8120</v>
      </c>
      <c r="R28" s="0" t="n">
        <v>8120</v>
      </c>
      <c r="S28" s="0" t="s">
        <v>104</v>
      </c>
      <c r="V28" s="0" t="n">
        <v>8120</v>
      </c>
      <c r="X28" s="0" t="n">
        <v>8120</v>
      </c>
      <c r="Y28" s="0" t="n">
        <v>8120</v>
      </c>
    </row>
    <row r="29" customFormat="false" ht="12.75" hidden="false" customHeight="false" outlineLevel="0" collapsed="false">
      <c r="A29" s="0" t="n">
        <v>18</v>
      </c>
      <c r="B29" s="0" t="n">
        <v>13</v>
      </c>
      <c r="C29" s="0" t="str">
        <f aca="false">VLOOKUP(B29,$E$1:$F$59,2)</f>
        <v>Contra Costa County (part)</v>
      </c>
      <c r="E29" s="0" t="n">
        <v>55</v>
      </c>
      <c r="F29" s="0" t="s">
        <v>105</v>
      </c>
      <c r="H29" s="3" t="n">
        <v>28</v>
      </c>
      <c r="I29" s="0" t="n">
        <v>6920</v>
      </c>
      <c r="J29" s="0" t="str">
        <f aca="false">VLOOKUP(H29,$A$1:$C$103,3)</f>
        <v>Sacramento County (part)</v>
      </c>
      <c r="M29" s="0" t="n">
        <v>4480</v>
      </c>
      <c r="N29" s="0" t="s">
        <v>69</v>
      </c>
      <c r="Q29" s="0" t="n">
        <v>8720</v>
      </c>
      <c r="R29" s="0" t="n">
        <v>7362</v>
      </c>
      <c r="S29" s="0" t="s">
        <v>105</v>
      </c>
      <c r="V29" s="0" t="n">
        <v>7362</v>
      </c>
      <c r="X29" s="0" t="n">
        <v>8720</v>
      </c>
      <c r="Y29" s="0" t="n">
        <v>7362</v>
      </c>
    </row>
    <row r="30" customFormat="false" ht="12.75" hidden="false" customHeight="false" outlineLevel="0" collapsed="false">
      <c r="A30" s="0" t="n">
        <v>19</v>
      </c>
      <c r="B30" s="0" t="n">
        <v>75</v>
      </c>
      <c r="C30" s="0" t="str">
        <f aca="false">VLOOKUP(B30,$E$1:$F$59,2)</f>
        <v>San Francisco city (part)</v>
      </c>
      <c r="E30" s="0" t="n">
        <v>57</v>
      </c>
      <c r="F30" s="0" t="s">
        <v>106</v>
      </c>
      <c r="H30" s="3" t="n">
        <v>29</v>
      </c>
      <c r="I30" s="0" t="n">
        <v>6920</v>
      </c>
      <c r="J30" s="0" t="str">
        <f aca="false">VLOOKUP(H30,$A$1:$C$103,3)</f>
        <v>Sacramento County (part)</v>
      </c>
      <c r="M30" s="0" t="n">
        <v>4940</v>
      </c>
      <c r="N30" s="0" t="s">
        <v>71</v>
      </c>
      <c r="Q30" s="0" t="n">
        <v>8720</v>
      </c>
      <c r="R30" s="0" t="n">
        <v>7362</v>
      </c>
      <c r="S30" s="0" t="s">
        <v>107</v>
      </c>
      <c r="V30" s="0" t="n">
        <v>7362</v>
      </c>
      <c r="X30" s="0" t="n">
        <v>8720</v>
      </c>
      <c r="Y30" s="0" t="n">
        <v>7362</v>
      </c>
    </row>
    <row r="31" customFormat="false" ht="12.75" hidden="false" customHeight="false" outlineLevel="0" collapsed="false">
      <c r="A31" s="0" t="n">
        <v>20</v>
      </c>
      <c r="B31" s="0" t="n">
        <v>1</v>
      </c>
      <c r="C31" s="0" t="str">
        <f aca="false">VLOOKUP(B31,$E$1:$F$59,2)</f>
        <v>Alameda County (part)</v>
      </c>
      <c r="E31" s="0" t="n">
        <v>59</v>
      </c>
      <c r="F31" s="0" t="s">
        <v>62</v>
      </c>
      <c r="H31" s="3" t="n">
        <v>30</v>
      </c>
      <c r="I31" s="0" t="n">
        <v>4940</v>
      </c>
      <c r="J31" s="0" t="str">
        <f aca="false">VLOOKUP(H31,$A$1:$C$103,3)</f>
        <v>Merced County</v>
      </c>
      <c r="M31" s="0" t="n">
        <v>5170</v>
      </c>
      <c r="N31" s="0" t="s">
        <v>73</v>
      </c>
      <c r="Q31" s="0" t="n">
        <v>8780</v>
      </c>
      <c r="R31" s="0" t="n">
        <v>8780</v>
      </c>
      <c r="S31" s="0" t="s">
        <v>108</v>
      </c>
      <c r="V31" s="0" t="n">
        <v>8780</v>
      </c>
      <c r="X31" s="0" t="n">
        <v>8780</v>
      </c>
      <c r="Y31" s="0" t="n">
        <v>8780</v>
      </c>
    </row>
    <row r="32" customFormat="false" ht="12.75" hidden="false" customHeight="false" outlineLevel="0" collapsed="false">
      <c r="A32" s="0" t="n">
        <v>21</v>
      </c>
      <c r="B32" s="0" t="n">
        <v>1</v>
      </c>
      <c r="C32" s="0" t="str">
        <f aca="false">VLOOKUP(B32,$E$1:$F$59,2)</f>
        <v>Alameda County (part)</v>
      </c>
      <c r="E32" s="0" t="n">
        <v>61</v>
      </c>
      <c r="F32" s="0" t="s">
        <v>85</v>
      </c>
      <c r="H32" s="3" t="n">
        <v>31</v>
      </c>
      <c r="I32" s="0" t="n">
        <v>9999</v>
      </c>
      <c r="J32" s="0" t="str">
        <f aca="false">VLOOKUP(H32,$A$1:$C$103,3)</f>
        <v>Kings County</v>
      </c>
      <c r="M32" s="0" t="n">
        <v>5170</v>
      </c>
      <c r="N32" s="0" t="s">
        <v>73</v>
      </c>
      <c r="Q32" s="0" t="n">
        <v>9340</v>
      </c>
      <c r="R32" s="0" t="n">
        <v>9340</v>
      </c>
      <c r="S32" s="0" t="s">
        <v>109</v>
      </c>
      <c r="V32" s="0" t="n">
        <v>9340</v>
      </c>
      <c r="X32" s="0" t="n">
        <v>9340</v>
      </c>
      <c r="Y32" s="0" t="n">
        <v>9340</v>
      </c>
    </row>
    <row r="33" customFormat="false" ht="12.75" hidden="false" customHeight="false" outlineLevel="0" collapsed="false">
      <c r="A33" s="0" t="n">
        <v>22</v>
      </c>
      <c r="B33" s="0" t="n">
        <v>81</v>
      </c>
      <c r="C33" s="0" t="str">
        <f aca="false">VLOOKUP(B33,$E$1:$F$59,2)</f>
        <v>San Mateo County (part)</v>
      </c>
      <c r="E33" s="0" t="n">
        <v>63</v>
      </c>
      <c r="F33" s="0" t="s">
        <v>110</v>
      </c>
      <c r="H33" s="3" t="n">
        <v>32</v>
      </c>
      <c r="I33" s="0" t="n">
        <v>7480</v>
      </c>
      <c r="J33" s="0" t="str">
        <f aca="false">VLOOKUP(H33,$A$1:$C$103,3)</f>
        <v>Santa Barbara County (part)</v>
      </c>
      <c r="M33" s="0" t="n">
        <v>5775</v>
      </c>
      <c r="N33" s="0" t="s">
        <v>72</v>
      </c>
      <c r="Q33" s="0" t="n">
        <v>9999</v>
      </c>
      <c r="R33" s="0" t="n">
        <v>9999</v>
      </c>
      <c r="S33" s="0" t="s">
        <v>111</v>
      </c>
      <c r="V33" s="0" t="n">
        <v>9999</v>
      </c>
      <c r="X33" s="0" t="n">
        <v>9999</v>
      </c>
      <c r="Y33" s="0" t="n">
        <v>9999</v>
      </c>
    </row>
    <row r="34" customFormat="false" ht="12.75" hidden="false" customHeight="false" outlineLevel="0" collapsed="false">
      <c r="A34" s="0" t="n">
        <v>23</v>
      </c>
      <c r="B34" s="0" t="n">
        <v>77</v>
      </c>
      <c r="C34" s="0" t="str">
        <f aca="false">VLOOKUP(B34,$E$1:$F$59,2)</f>
        <v>San Joaquin County (part)</v>
      </c>
      <c r="E34" s="0" t="n">
        <v>65</v>
      </c>
      <c r="F34" s="0" t="s">
        <v>80</v>
      </c>
      <c r="H34" s="3" t="n">
        <v>33</v>
      </c>
      <c r="I34" s="0" t="n">
        <v>7320</v>
      </c>
      <c r="J34" s="0" t="str">
        <f aca="false">VLOOKUP(H34,$A$1:$C$103,3)</f>
        <v>San Diego County (part)</v>
      </c>
      <c r="M34" s="0" t="n">
        <v>5775</v>
      </c>
      <c r="N34" s="0" t="s">
        <v>72</v>
      </c>
      <c r="Q34" s="0" t="n">
        <v>9999</v>
      </c>
      <c r="R34" s="0" t="n">
        <v>9999</v>
      </c>
      <c r="S34" s="0" t="s">
        <v>79</v>
      </c>
      <c r="V34" s="0" t="n">
        <v>9999</v>
      </c>
      <c r="X34" s="0" t="n">
        <v>9999</v>
      </c>
      <c r="Y34" s="0" t="n">
        <v>9999</v>
      </c>
    </row>
    <row r="35" customFormat="false" ht="12.75" hidden="false" customHeight="false" outlineLevel="0" collapsed="false">
      <c r="A35" s="0" t="n">
        <v>24</v>
      </c>
      <c r="B35" s="0" t="n">
        <v>99</v>
      </c>
      <c r="C35" s="0" t="str">
        <f aca="false">VLOOKUP(B35,$E$1:$F$59,2)</f>
        <v>Stanislaus County (part)</v>
      </c>
      <c r="E35" s="0" t="n">
        <v>67</v>
      </c>
      <c r="F35" s="0" t="s">
        <v>88</v>
      </c>
      <c r="H35" s="3" t="n">
        <v>34</v>
      </c>
      <c r="I35" s="0" t="n">
        <v>7320</v>
      </c>
      <c r="J35" s="0" t="str">
        <f aca="false">VLOOKUP(H35,$A$1:$C$103,3)</f>
        <v>San Diego County (part)</v>
      </c>
      <c r="M35" s="0" t="n">
        <v>5775</v>
      </c>
      <c r="N35" s="0" t="s">
        <v>61</v>
      </c>
      <c r="Q35" s="0" t="n">
        <v>9999</v>
      </c>
      <c r="R35" s="0" t="n">
        <v>9999</v>
      </c>
      <c r="S35" s="0" t="s">
        <v>97</v>
      </c>
      <c r="V35" s="0" t="n">
        <v>9999</v>
      </c>
      <c r="X35" s="0" t="n">
        <v>9999</v>
      </c>
      <c r="Y35" s="0" t="n">
        <v>9999</v>
      </c>
    </row>
    <row r="36" customFormat="false" ht="12.75" hidden="false" customHeight="false" outlineLevel="0" collapsed="false">
      <c r="A36" s="0" t="n">
        <v>25</v>
      </c>
      <c r="B36" s="0" t="n">
        <v>99</v>
      </c>
      <c r="C36" s="0" t="str">
        <f aca="false">VLOOKUP(B36,$E$1:$F$59,2)</f>
        <v>Stanislaus County (part)</v>
      </c>
      <c r="E36" s="0" t="n">
        <v>69</v>
      </c>
      <c r="F36" s="0" t="s">
        <v>112</v>
      </c>
      <c r="H36" s="3" t="n">
        <v>35</v>
      </c>
      <c r="I36" s="0" t="n">
        <v>7320</v>
      </c>
      <c r="J36" s="0" t="str">
        <f aca="false">VLOOKUP(H36,$A$1:$C$103,3)</f>
        <v>San Diego County (part)</v>
      </c>
      <c r="M36" s="0" t="n">
        <v>5775</v>
      </c>
      <c r="N36" s="0" t="s">
        <v>61</v>
      </c>
      <c r="Q36" s="0" t="n">
        <v>9999</v>
      </c>
      <c r="R36" s="0" t="n">
        <v>9999</v>
      </c>
      <c r="S36" s="0" t="s">
        <v>113</v>
      </c>
      <c r="V36" s="0" t="n">
        <v>9999</v>
      </c>
      <c r="X36" s="0" t="n">
        <v>9999</v>
      </c>
      <c r="Y36" s="0" t="n">
        <v>9999</v>
      </c>
    </row>
    <row r="37" customFormat="false" ht="12.75" hidden="false" customHeight="false" outlineLevel="0" collapsed="false">
      <c r="A37" s="0" t="n">
        <v>26</v>
      </c>
      <c r="B37" s="0" t="n">
        <v>3</v>
      </c>
      <c r="C37" s="0" t="str">
        <f aca="false">VLOOKUP(B37,$E$1:$F$59,2)</f>
        <v>Alpine County</v>
      </c>
      <c r="E37" s="0" t="n">
        <v>71</v>
      </c>
      <c r="F37" s="0" t="s">
        <v>82</v>
      </c>
      <c r="H37" s="3" t="n">
        <v>36</v>
      </c>
      <c r="I37" s="0" t="n">
        <v>7320</v>
      </c>
      <c r="J37" s="0" t="str">
        <f aca="false">VLOOKUP(H37,$A$1:$C$103,3)</f>
        <v>San Diego County (part)</v>
      </c>
      <c r="M37" s="0" t="n">
        <v>5775</v>
      </c>
      <c r="N37" s="0" t="s">
        <v>61</v>
      </c>
      <c r="Q37" s="0" t="n">
        <v>9999</v>
      </c>
      <c r="R37" s="0" t="n">
        <v>9999</v>
      </c>
      <c r="S37" s="0" t="s">
        <v>114</v>
      </c>
      <c r="V37" s="0" t="n">
        <v>9999</v>
      </c>
      <c r="X37" s="0" t="n">
        <v>9999</v>
      </c>
      <c r="Y37" s="0" t="n">
        <v>9999</v>
      </c>
    </row>
    <row r="38" customFormat="false" ht="12.75" hidden="false" customHeight="false" outlineLevel="0" collapsed="false">
      <c r="A38" s="0" t="n">
        <v>26</v>
      </c>
      <c r="B38" s="0" t="n">
        <v>5</v>
      </c>
      <c r="C38" s="0" t="str">
        <f aca="false">VLOOKUP(B38,$E$1:$F$59,2)</f>
        <v>Amador County</v>
      </c>
      <c r="E38" s="0" t="n">
        <v>73</v>
      </c>
      <c r="F38" s="0" t="s">
        <v>91</v>
      </c>
      <c r="H38" s="3" t="n">
        <v>37</v>
      </c>
      <c r="I38" s="0" t="n">
        <v>7320</v>
      </c>
      <c r="J38" s="0" t="str">
        <f aca="false">VLOOKUP(H38,$A$1:$C$103,3)</f>
        <v>San Diego County (part)</v>
      </c>
      <c r="M38" s="0" t="n">
        <v>6000</v>
      </c>
      <c r="N38" s="0" t="s">
        <v>76</v>
      </c>
      <c r="Q38" s="0" t="n">
        <v>9999</v>
      </c>
      <c r="R38" s="0" t="n">
        <v>9999</v>
      </c>
      <c r="S38" s="0" t="s">
        <v>115</v>
      </c>
      <c r="V38" s="0" t="n">
        <v>9999</v>
      </c>
      <c r="X38" s="0" t="n">
        <v>9999</v>
      </c>
      <c r="Y38" s="0" t="n">
        <v>9999</v>
      </c>
    </row>
    <row r="39" customFormat="false" ht="12.75" hidden="false" customHeight="false" outlineLevel="0" collapsed="false">
      <c r="A39" s="0" t="n">
        <v>26</v>
      </c>
      <c r="B39" s="0" t="n">
        <v>9</v>
      </c>
      <c r="C39" s="0" t="str">
        <f aca="false">VLOOKUP(B39,$E$1:$F$59,2)</f>
        <v>Calaveras County</v>
      </c>
      <c r="E39" s="0" t="n">
        <v>75</v>
      </c>
      <c r="F39" s="0" t="s">
        <v>94</v>
      </c>
      <c r="H39" s="3" t="n">
        <v>38</v>
      </c>
      <c r="I39" s="0" t="n">
        <v>7120</v>
      </c>
      <c r="J39" s="0" t="str">
        <f aca="false">VLOOKUP(H39,$A$1:$C$103,3)</f>
        <v>Monterey County (part)</v>
      </c>
      <c r="M39" s="0" t="n">
        <v>6000</v>
      </c>
      <c r="N39" s="0" t="s">
        <v>76</v>
      </c>
      <c r="Q39" s="0" t="n">
        <v>9999</v>
      </c>
      <c r="R39" s="0" t="n">
        <v>9999</v>
      </c>
      <c r="S39" s="0" t="s">
        <v>112</v>
      </c>
      <c r="V39" s="0" t="n">
        <v>9999</v>
      </c>
      <c r="X39" s="0" t="n">
        <v>9999</v>
      </c>
      <c r="Y39" s="0" t="n">
        <v>9999</v>
      </c>
    </row>
    <row r="40" customFormat="false" ht="12.75" hidden="false" customHeight="false" outlineLevel="0" collapsed="false">
      <c r="A40" s="0" t="n">
        <v>26</v>
      </c>
      <c r="B40" s="0" t="n">
        <v>27</v>
      </c>
      <c r="C40" s="0" t="str">
        <f aca="false">VLOOKUP(B40,$E$1:$F$59,2)</f>
        <v>Inyo County</v>
      </c>
      <c r="E40" s="0" t="n">
        <v>77</v>
      </c>
      <c r="F40" s="0" t="s">
        <v>104</v>
      </c>
      <c r="H40" s="3" t="n">
        <v>39</v>
      </c>
      <c r="I40" s="0" t="n">
        <v>7120</v>
      </c>
      <c r="J40" s="0" t="str">
        <f aca="false">VLOOKUP(H40,$A$1:$C$103,3)</f>
        <v>Monterey County (part)</v>
      </c>
      <c r="M40" s="0" t="n">
        <v>6690</v>
      </c>
      <c r="N40" s="0" t="s">
        <v>78</v>
      </c>
      <c r="Q40" s="0" t="n">
        <v>9999</v>
      </c>
      <c r="R40" s="0" t="n">
        <v>9999</v>
      </c>
      <c r="S40" s="0" t="s">
        <v>86</v>
      </c>
      <c r="V40" s="0" t="n">
        <v>9999</v>
      </c>
      <c r="X40" s="0" t="n">
        <v>9999</v>
      </c>
      <c r="Y40" s="0" t="n">
        <v>9999</v>
      </c>
    </row>
    <row r="41" customFormat="false" ht="12.75" hidden="false" customHeight="false" outlineLevel="0" collapsed="false">
      <c r="A41" s="0" t="n">
        <v>26</v>
      </c>
      <c r="B41" s="0" t="n">
        <v>43</v>
      </c>
      <c r="C41" s="0" t="str">
        <f aca="false">VLOOKUP(B41,$E$1:$F$59,2)</f>
        <v>Mariposa County</v>
      </c>
      <c r="E41" s="0" t="n">
        <v>79</v>
      </c>
      <c r="F41" s="0" t="s">
        <v>116</v>
      </c>
      <c r="H41" s="3" t="n">
        <v>40</v>
      </c>
      <c r="I41" s="0" t="n">
        <v>2840</v>
      </c>
      <c r="J41" s="0" t="str">
        <f aca="false">VLOOKUP(H41,$A$1:$C$103,3)</f>
        <v>Fresno County (part)</v>
      </c>
      <c r="M41" s="0" t="n">
        <v>6780</v>
      </c>
      <c r="N41" s="0" t="s">
        <v>80</v>
      </c>
      <c r="Q41" s="0" t="n">
        <v>9999</v>
      </c>
      <c r="R41" s="0" t="n">
        <v>9999</v>
      </c>
      <c r="S41" s="0" t="s">
        <v>81</v>
      </c>
      <c r="V41" s="0" t="n">
        <v>9999</v>
      </c>
      <c r="X41" s="0" t="n">
        <v>9999</v>
      </c>
      <c r="Y41" s="0" t="n">
        <v>9999</v>
      </c>
    </row>
    <row r="42" customFormat="false" ht="12.75" hidden="false" customHeight="false" outlineLevel="0" collapsed="false">
      <c r="A42" s="0" t="n">
        <v>26</v>
      </c>
      <c r="B42" s="0" t="n">
        <v>51</v>
      </c>
      <c r="C42" s="0" t="str">
        <f aca="false">VLOOKUP(B42,$E$1:$F$59,2)</f>
        <v>Mono County</v>
      </c>
      <c r="E42" s="0" t="n">
        <v>81</v>
      </c>
      <c r="F42" s="0" t="s">
        <v>96</v>
      </c>
      <c r="H42" s="3" t="n">
        <v>41</v>
      </c>
      <c r="I42" s="0" t="n">
        <v>2840</v>
      </c>
      <c r="J42" s="0" t="str">
        <f aca="false">VLOOKUP(H42,$A$1:$C$103,3)</f>
        <v>Fresno County (part)</v>
      </c>
      <c r="M42" s="0" t="n">
        <v>6780</v>
      </c>
      <c r="N42" s="0" t="s">
        <v>80</v>
      </c>
      <c r="Q42" s="0" t="n">
        <v>9999</v>
      </c>
      <c r="R42" s="0" t="n">
        <v>9999</v>
      </c>
      <c r="S42" s="0" t="s">
        <v>116</v>
      </c>
      <c r="V42" s="0" t="n">
        <v>9999</v>
      </c>
      <c r="X42" s="0" t="n">
        <v>9999</v>
      </c>
      <c r="Y42" s="0" t="n">
        <v>9999</v>
      </c>
    </row>
    <row r="43" customFormat="false" ht="12.75" hidden="false" customHeight="false" outlineLevel="0" collapsed="false">
      <c r="A43" s="0" t="n">
        <v>26</v>
      </c>
      <c r="B43" s="0" t="n">
        <v>109</v>
      </c>
      <c r="C43" s="0" t="str">
        <f aca="false">VLOOKUP(B43,$E$1:$F$59,2)</f>
        <v>Tuolumne County</v>
      </c>
      <c r="E43" s="0" t="n">
        <v>83</v>
      </c>
      <c r="F43" s="0" t="s">
        <v>99</v>
      </c>
      <c r="H43" s="3" t="n">
        <v>42</v>
      </c>
      <c r="I43" s="0" t="n">
        <v>360</v>
      </c>
      <c r="J43" s="0" t="str">
        <f aca="false">VLOOKUP(H43,$A$1:$C$103,3)</f>
        <v>Orange County (part)</v>
      </c>
      <c r="M43" s="0" t="n">
        <v>6780</v>
      </c>
      <c r="N43" s="0" t="s">
        <v>82</v>
      </c>
    </row>
    <row r="44" customFormat="false" ht="12.75" hidden="false" customHeight="false" outlineLevel="0" collapsed="false">
      <c r="A44" s="0" t="n">
        <v>27</v>
      </c>
      <c r="B44" s="0" t="n">
        <v>39</v>
      </c>
      <c r="C44" s="0" t="str">
        <f aca="false">VLOOKUP(B44,$E$1:$F$59,2)</f>
        <v>Madera County</v>
      </c>
      <c r="E44" s="0" t="n">
        <v>85</v>
      </c>
      <c r="F44" s="0" t="s">
        <v>98</v>
      </c>
      <c r="H44" s="3" t="n">
        <v>43</v>
      </c>
      <c r="I44" s="0" t="n">
        <v>360</v>
      </c>
      <c r="J44" s="0" t="str">
        <f aca="false">VLOOKUP(H44,$A$1:$C$103,3)</f>
        <v>Orange County (part)</v>
      </c>
      <c r="M44" s="0" t="n">
        <v>6780</v>
      </c>
      <c r="N44" s="0" t="s">
        <v>82</v>
      </c>
    </row>
    <row r="45" customFormat="false" ht="12.75" hidden="false" customHeight="false" outlineLevel="0" collapsed="false">
      <c r="A45" s="0" t="n">
        <v>27</v>
      </c>
      <c r="B45" s="0" t="n">
        <v>69</v>
      </c>
      <c r="C45" s="0" t="str">
        <f aca="false">VLOOKUP(B45,$E$1:$F$59,2)</f>
        <v>San Benito County</v>
      </c>
      <c r="E45" s="0" t="n">
        <v>87</v>
      </c>
      <c r="F45" s="0" t="s">
        <v>101</v>
      </c>
      <c r="H45" s="3" t="n">
        <v>44</v>
      </c>
      <c r="I45" s="0" t="n">
        <v>360</v>
      </c>
      <c r="J45" s="0" t="str">
        <f aca="false">VLOOKUP(H45,$A$1:$C$103,3)</f>
        <v>Orange County (part)</v>
      </c>
      <c r="M45" s="0" t="n">
        <v>6780</v>
      </c>
      <c r="N45" s="0" t="s">
        <v>82</v>
      </c>
    </row>
    <row r="46" customFormat="false" ht="12.75" hidden="false" customHeight="false" outlineLevel="0" collapsed="false">
      <c r="A46" s="0" t="n">
        <v>28</v>
      </c>
      <c r="B46" s="0" t="n">
        <v>67</v>
      </c>
      <c r="C46" s="0" t="str">
        <f aca="false">VLOOKUP(B46,$E$1:$F$59,2)</f>
        <v>Sacramento County (part)</v>
      </c>
      <c r="E46" s="0" t="n">
        <v>89</v>
      </c>
      <c r="F46" s="0" t="s">
        <v>78</v>
      </c>
      <c r="H46" s="3" t="n">
        <v>45</v>
      </c>
      <c r="I46" s="0" t="n">
        <v>360</v>
      </c>
      <c r="J46" s="0" t="str">
        <f aca="false">VLOOKUP(H46,$A$1:$C$103,3)</f>
        <v>Orange County (part)</v>
      </c>
      <c r="M46" s="0" t="n">
        <v>6780</v>
      </c>
      <c r="N46" s="0" t="s">
        <v>80</v>
      </c>
    </row>
    <row r="47" customFormat="false" ht="12.75" hidden="false" customHeight="false" outlineLevel="0" collapsed="false">
      <c r="A47" s="0" t="n">
        <v>29</v>
      </c>
      <c r="B47" s="0" t="n">
        <v>67</v>
      </c>
      <c r="C47" s="0" t="str">
        <f aca="false">VLOOKUP(B47,$E$1:$F$59,2)</f>
        <v>Sacramento County (part)</v>
      </c>
      <c r="E47" s="0" t="n">
        <v>91</v>
      </c>
      <c r="F47" s="0" t="s">
        <v>114</v>
      </c>
      <c r="H47" s="3" t="n">
        <v>46</v>
      </c>
      <c r="I47" s="0" t="n">
        <v>360</v>
      </c>
      <c r="J47" s="0" t="str">
        <f aca="false">VLOOKUP(H47,$A$1:$C$103,3)</f>
        <v>Orange County (part)</v>
      </c>
      <c r="M47" s="0" t="n">
        <v>6780</v>
      </c>
      <c r="N47" s="0" t="s">
        <v>82</v>
      </c>
    </row>
    <row r="48" customFormat="false" ht="12.75" hidden="false" customHeight="false" outlineLevel="0" collapsed="false">
      <c r="A48" s="0" t="n">
        <v>30</v>
      </c>
      <c r="B48" s="0" t="n">
        <v>47</v>
      </c>
      <c r="C48" s="0" t="str">
        <f aca="false">VLOOKUP(B48,$E$1:$F$59,2)</f>
        <v>Merced County</v>
      </c>
      <c r="E48" s="0" t="n">
        <v>93</v>
      </c>
      <c r="F48" s="0" t="s">
        <v>111</v>
      </c>
      <c r="H48" s="3" t="n">
        <v>47</v>
      </c>
      <c r="I48" s="0" t="n">
        <v>360</v>
      </c>
      <c r="J48" s="0" t="str">
        <f aca="false">VLOOKUP(H48,$A$1:$C$103,3)</f>
        <v>Orange County (part)</v>
      </c>
      <c r="M48" s="0" t="n">
        <v>6920</v>
      </c>
      <c r="N48" s="0" t="s">
        <v>84</v>
      </c>
    </row>
    <row r="49" customFormat="false" ht="12.75" hidden="false" customHeight="false" outlineLevel="0" collapsed="false">
      <c r="A49" s="0" t="n">
        <v>31</v>
      </c>
      <c r="B49" s="0" t="n">
        <v>31</v>
      </c>
      <c r="C49" s="0" t="str">
        <f aca="false">VLOOKUP(B49,$E$1:$F$59,2)</f>
        <v>Kings County</v>
      </c>
      <c r="E49" s="0" t="n">
        <v>95</v>
      </c>
      <c r="F49" s="0" t="s">
        <v>107</v>
      </c>
      <c r="H49" s="3" t="n">
        <v>48</v>
      </c>
      <c r="I49" s="0" t="n">
        <v>360</v>
      </c>
      <c r="J49" s="0" t="str">
        <f aca="false">VLOOKUP(H49,$A$1:$C$103,3)</f>
        <v>Orange County (part)</v>
      </c>
      <c r="M49" s="0" t="n">
        <v>6920</v>
      </c>
      <c r="N49" s="0" t="s">
        <v>85</v>
      </c>
    </row>
    <row r="50" customFormat="false" ht="12.75" hidden="false" customHeight="false" outlineLevel="0" collapsed="false">
      <c r="A50" s="0" t="n">
        <v>32</v>
      </c>
      <c r="B50" s="0" t="n">
        <v>83</v>
      </c>
      <c r="C50" s="0" t="str">
        <f aca="false">VLOOKUP(B50,$E$1:$F$59,2)</f>
        <v>Santa Barbara County (part)</v>
      </c>
      <c r="E50" s="0" t="n">
        <v>97</v>
      </c>
      <c r="F50" s="0" t="s">
        <v>103</v>
      </c>
      <c r="H50" s="3" t="n">
        <v>49</v>
      </c>
      <c r="I50" s="0" t="n">
        <v>7400</v>
      </c>
      <c r="J50" s="0" t="str">
        <f aca="false">VLOOKUP(H50,$A$1:$C$103,3)</f>
        <v>Santa Clara County (part)</v>
      </c>
      <c r="M50" s="0" t="n">
        <v>6920</v>
      </c>
      <c r="N50" s="0" t="s">
        <v>75</v>
      </c>
    </row>
    <row r="51" customFormat="false" ht="12.75" hidden="false" customHeight="false" outlineLevel="0" collapsed="false">
      <c r="A51" s="0" t="n">
        <v>33</v>
      </c>
      <c r="B51" s="0" t="n">
        <v>73</v>
      </c>
      <c r="C51" s="0" t="str">
        <f aca="false">VLOOKUP(B51,$E$1:$F$59,2)</f>
        <v>San Diego County (part)</v>
      </c>
      <c r="E51" s="0" t="n">
        <v>99</v>
      </c>
      <c r="F51" s="0" t="s">
        <v>73</v>
      </c>
      <c r="H51" s="3" t="n">
        <v>50</v>
      </c>
      <c r="I51" s="0" t="n">
        <v>7400</v>
      </c>
      <c r="J51" s="0" t="str">
        <f aca="false">VLOOKUP(H51,$A$1:$C$103,3)</f>
        <v>Santa Clara County (part)</v>
      </c>
      <c r="M51" s="0" t="n">
        <v>6920</v>
      </c>
      <c r="N51" s="0" t="s">
        <v>88</v>
      </c>
    </row>
    <row r="52" customFormat="false" ht="12.75" hidden="false" customHeight="false" outlineLevel="0" collapsed="false">
      <c r="A52" s="0" t="n">
        <v>34</v>
      </c>
      <c r="B52" s="0" t="n">
        <v>73</v>
      </c>
      <c r="C52" s="0" t="str">
        <f aca="false">VLOOKUP(B52,$E$1:$F$59,2)</f>
        <v>San Diego County (part)</v>
      </c>
      <c r="E52" s="0" t="n">
        <v>101</v>
      </c>
      <c r="F52" s="0" t="s">
        <v>117</v>
      </c>
      <c r="H52" s="3" t="n">
        <v>51</v>
      </c>
      <c r="I52" s="0" t="n">
        <v>7400</v>
      </c>
      <c r="J52" s="0" t="str">
        <f aca="false">VLOOKUP(H52,$A$1:$C$103,3)</f>
        <v>Santa Clara County (part)</v>
      </c>
      <c r="M52" s="0" t="n">
        <v>6920</v>
      </c>
      <c r="N52" s="0" t="s">
        <v>88</v>
      </c>
    </row>
    <row r="53" customFormat="false" ht="12.75" hidden="false" customHeight="false" outlineLevel="0" collapsed="false">
      <c r="A53" s="0" t="n">
        <v>35</v>
      </c>
      <c r="B53" s="0" t="n">
        <v>73</v>
      </c>
      <c r="C53" s="0" t="str">
        <f aca="false">VLOOKUP(B53,$E$1:$F$59,2)</f>
        <v>San Diego County (part)</v>
      </c>
      <c r="E53" s="0" t="n">
        <v>103</v>
      </c>
      <c r="F53" s="0" t="s">
        <v>118</v>
      </c>
      <c r="H53" s="3" t="n">
        <v>52</v>
      </c>
      <c r="I53" s="0" t="n">
        <v>4480</v>
      </c>
      <c r="J53" s="0" t="str">
        <f aca="false">VLOOKUP(H53,$A$1:$C$103,3)</f>
        <v>Los Angeles County (part)</v>
      </c>
      <c r="M53" s="0" t="n">
        <v>7120</v>
      </c>
      <c r="N53" s="0" t="s">
        <v>90</v>
      </c>
    </row>
    <row r="54" customFormat="false" ht="12.75" hidden="false" customHeight="false" outlineLevel="0" collapsed="false">
      <c r="A54" s="0" t="n">
        <v>36</v>
      </c>
      <c r="B54" s="0" t="n">
        <v>73</v>
      </c>
      <c r="C54" s="0" t="str">
        <f aca="false">VLOOKUP(B54,$E$1:$F$59,2)</f>
        <v>San Diego County (part)</v>
      </c>
      <c r="E54" s="0" t="n">
        <v>105</v>
      </c>
      <c r="F54" s="0" t="s">
        <v>113</v>
      </c>
      <c r="H54" s="3" t="n">
        <v>53</v>
      </c>
      <c r="I54" s="0" t="n">
        <v>4480</v>
      </c>
      <c r="J54" s="0" t="str">
        <f aca="false">VLOOKUP(H54,$A$1:$C$103,3)</f>
        <v>Los Angeles County (part)</v>
      </c>
      <c r="M54" s="0" t="n">
        <v>7120</v>
      </c>
      <c r="N54" s="0" t="s">
        <v>90</v>
      </c>
    </row>
    <row r="55" customFormat="false" ht="12.75" hidden="false" customHeight="false" outlineLevel="0" collapsed="false">
      <c r="A55" s="0" t="n">
        <v>37</v>
      </c>
      <c r="B55" s="0" t="n">
        <v>73</v>
      </c>
      <c r="C55" s="0" t="str">
        <f aca="false">VLOOKUP(B55,$E$1:$F$59,2)</f>
        <v>San Diego County (part)</v>
      </c>
      <c r="E55" s="0" t="n">
        <v>107</v>
      </c>
      <c r="F55" s="0" t="s">
        <v>108</v>
      </c>
      <c r="H55" s="3" t="n">
        <v>54</v>
      </c>
      <c r="I55" s="0" t="n">
        <v>4480</v>
      </c>
      <c r="J55" s="0" t="str">
        <f aca="false">VLOOKUP(H55,$A$1:$C$103,3)</f>
        <v>Los Angeles County (part)</v>
      </c>
      <c r="M55" s="0" t="n">
        <v>7320</v>
      </c>
      <c r="N55" s="0" t="s">
        <v>91</v>
      </c>
    </row>
    <row r="56" customFormat="false" ht="12.75" hidden="false" customHeight="false" outlineLevel="0" collapsed="false">
      <c r="A56" s="0" t="n">
        <v>38</v>
      </c>
      <c r="B56" s="0" t="n">
        <v>53</v>
      </c>
      <c r="C56" s="0" t="str">
        <f aca="false">VLOOKUP(B56,$E$1:$F$59,2)</f>
        <v>Monterey County (part)</v>
      </c>
      <c r="E56" s="0" t="n">
        <v>109</v>
      </c>
      <c r="F56" s="0" t="s">
        <v>115</v>
      </c>
      <c r="H56" s="3" t="n">
        <v>55</v>
      </c>
      <c r="I56" s="0" t="n">
        <v>4480</v>
      </c>
      <c r="J56" s="0" t="str">
        <f aca="false">VLOOKUP(H56,$A$1:$C$103,3)</f>
        <v>Los Angeles County (part)</v>
      </c>
      <c r="M56" s="0" t="n">
        <v>7320</v>
      </c>
      <c r="N56" s="0" t="s">
        <v>91</v>
      </c>
    </row>
    <row r="57" customFormat="false" ht="12.75" hidden="false" customHeight="false" outlineLevel="0" collapsed="false">
      <c r="A57" s="0" t="n">
        <v>39</v>
      </c>
      <c r="B57" s="0" t="n">
        <v>53</v>
      </c>
      <c r="C57" s="0" t="str">
        <f aca="false">VLOOKUP(B57,$E$1:$F$59,2)</f>
        <v>Monterey County (part)</v>
      </c>
      <c r="E57" s="0" t="n">
        <v>111</v>
      </c>
      <c r="F57" s="0" t="s">
        <v>76</v>
      </c>
      <c r="H57" s="3" t="n">
        <v>56</v>
      </c>
      <c r="I57" s="0" t="n">
        <v>4480</v>
      </c>
      <c r="J57" s="0" t="str">
        <f aca="false">VLOOKUP(H57,$A$1:$C$103,3)</f>
        <v>Los Angeles County (part)</v>
      </c>
      <c r="M57" s="0" t="n">
        <v>7320</v>
      </c>
      <c r="N57" s="0" t="s">
        <v>91</v>
      </c>
    </row>
    <row r="58" customFormat="false" ht="12.75" hidden="false" customHeight="false" outlineLevel="0" collapsed="false">
      <c r="A58" s="0" t="n">
        <v>40</v>
      </c>
      <c r="B58" s="0" t="n">
        <v>19</v>
      </c>
      <c r="C58" s="0" t="str">
        <f aca="false">VLOOKUP(B58,$E$1:$F$59,2)</f>
        <v>Fresno County (part)</v>
      </c>
      <c r="E58" s="0" t="n">
        <v>113</v>
      </c>
      <c r="F58" s="0" t="s">
        <v>84</v>
      </c>
      <c r="H58" s="3" t="n">
        <v>57</v>
      </c>
      <c r="I58" s="0" t="n">
        <v>4480</v>
      </c>
      <c r="J58" s="0" t="str">
        <f aca="false">VLOOKUP(H58,$A$1:$C$103,3)</f>
        <v>Los Angeles County (part)</v>
      </c>
      <c r="M58" s="0" t="n">
        <v>7320</v>
      </c>
      <c r="N58" s="0" t="s">
        <v>91</v>
      </c>
    </row>
    <row r="59" customFormat="false" ht="12.75" hidden="false" customHeight="false" outlineLevel="0" collapsed="false">
      <c r="A59" s="0" t="n">
        <v>41</v>
      </c>
      <c r="B59" s="0" t="n">
        <v>19</v>
      </c>
      <c r="C59" s="0" t="str">
        <f aca="false">VLOOKUP(B59,$E$1:$F$59,2)</f>
        <v>Fresno County (part)</v>
      </c>
      <c r="E59" s="0" t="n">
        <v>115</v>
      </c>
      <c r="F59" s="0" t="s">
        <v>109</v>
      </c>
      <c r="H59" s="3" t="n">
        <v>58</v>
      </c>
      <c r="I59" s="0" t="n">
        <v>4480</v>
      </c>
      <c r="J59" s="0" t="str">
        <f aca="false">VLOOKUP(H59,$A$1:$C$103,3)</f>
        <v>Los Angeles County (part)</v>
      </c>
      <c r="M59" s="0" t="n">
        <v>7320</v>
      </c>
      <c r="N59" s="0" t="s">
        <v>91</v>
      </c>
    </row>
    <row r="60" customFormat="false" ht="12.75" hidden="false" customHeight="false" outlineLevel="0" collapsed="false">
      <c r="A60" s="0" t="n">
        <v>42</v>
      </c>
      <c r="B60" s="0" t="n">
        <v>59</v>
      </c>
      <c r="C60" s="0" t="str">
        <f aca="false">VLOOKUP(B60,$E$1:$F$59,2)</f>
        <v>Orange County (part)</v>
      </c>
      <c r="H60" s="3" t="n">
        <v>59</v>
      </c>
      <c r="I60" s="0" t="n">
        <v>4480</v>
      </c>
      <c r="J60" s="0" t="str">
        <f aca="false">VLOOKUP(H60,$A$1:$C$103,3)</f>
        <v>Los Angeles County (part)</v>
      </c>
      <c r="M60" s="0" t="n">
        <v>7360</v>
      </c>
      <c r="N60" s="0" t="s">
        <v>93</v>
      </c>
    </row>
    <row r="61" customFormat="false" ht="12.75" hidden="false" customHeight="false" outlineLevel="0" collapsed="false">
      <c r="A61" s="0" t="n">
        <v>43</v>
      </c>
      <c r="B61" s="0" t="n">
        <v>59</v>
      </c>
      <c r="C61" s="0" t="str">
        <f aca="false">VLOOKUP(B61,$E$1:$F$59,2)</f>
        <v>Orange County (part)</v>
      </c>
      <c r="H61" s="3" t="n">
        <v>60</v>
      </c>
      <c r="I61" s="0" t="n">
        <v>4480</v>
      </c>
      <c r="J61" s="0" t="str">
        <f aca="false">VLOOKUP(H61,$A$1:$C$103,3)</f>
        <v>Los Angeles County (part)</v>
      </c>
      <c r="M61" s="0" t="n">
        <v>7360</v>
      </c>
      <c r="N61" s="0" t="s">
        <v>94</v>
      </c>
    </row>
    <row r="62" customFormat="false" ht="12.75" hidden="false" customHeight="false" outlineLevel="0" collapsed="false">
      <c r="A62" s="0" t="n">
        <v>44</v>
      </c>
      <c r="B62" s="0" t="n">
        <v>59</v>
      </c>
      <c r="C62" s="0" t="str">
        <f aca="false">VLOOKUP(B62,$E$1:$F$59,2)</f>
        <v>Orange County (part)</v>
      </c>
      <c r="H62" s="3" t="n">
        <v>61</v>
      </c>
      <c r="I62" s="0" t="n">
        <v>4480</v>
      </c>
      <c r="J62" s="0" t="str">
        <f aca="false">VLOOKUP(H62,$A$1:$C$103,3)</f>
        <v>Los Angeles County (part)</v>
      </c>
      <c r="M62" s="0" t="n">
        <v>7360</v>
      </c>
      <c r="N62" s="0" t="s">
        <v>96</v>
      </c>
    </row>
    <row r="63" customFormat="false" ht="12.75" hidden="false" customHeight="false" outlineLevel="0" collapsed="false">
      <c r="A63" s="0" t="n">
        <v>45</v>
      </c>
      <c r="B63" s="0" t="n">
        <v>59</v>
      </c>
      <c r="C63" s="0" t="str">
        <f aca="false">VLOOKUP(B63,$E$1:$F$59,2)</f>
        <v>Orange County (part)</v>
      </c>
      <c r="H63" s="3" t="n">
        <v>62</v>
      </c>
      <c r="I63" s="0" t="n">
        <v>4480</v>
      </c>
      <c r="J63" s="0" t="str">
        <f aca="false">VLOOKUP(H63,$A$1:$C$103,3)</f>
        <v>Los Angeles County (part)</v>
      </c>
      <c r="M63" s="0" t="n">
        <v>7400</v>
      </c>
      <c r="N63" s="0" t="s">
        <v>98</v>
      </c>
    </row>
    <row r="64" customFormat="false" ht="12.75" hidden="false" customHeight="false" outlineLevel="0" collapsed="false">
      <c r="A64" s="0" t="n">
        <v>46</v>
      </c>
      <c r="B64" s="0" t="n">
        <v>59</v>
      </c>
      <c r="C64" s="0" t="str">
        <f aca="false">VLOOKUP(B64,$E$1:$F$59,2)</f>
        <v>Orange County (part)</v>
      </c>
      <c r="H64" s="3" t="n">
        <v>63</v>
      </c>
      <c r="I64" s="0" t="n">
        <v>4480</v>
      </c>
      <c r="J64" s="0" t="str">
        <f aca="false">VLOOKUP(H64,$A$1:$C$103,3)</f>
        <v>Los Angeles County (part)</v>
      </c>
      <c r="M64" s="0" t="n">
        <v>7400</v>
      </c>
      <c r="N64" s="0" t="s">
        <v>98</v>
      </c>
    </row>
    <row r="65" customFormat="false" ht="12.75" hidden="false" customHeight="false" outlineLevel="0" collapsed="false">
      <c r="A65" s="0" t="n">
        <v>47</v>
      </c>
      <c r="B65" s="0" t="n">
        <v>59</v>
      </c>
      <c r="C65" s="0" t="str">
        <f aca="false">VLOOKUP(B65,$E$1:$F$59,2)</f>
        <v>Orange County (part)</v>
      </c>
      <c r="H65" s="3" t="n">
        <v>64</v>
      </c>
      <c r="I65" s="0" t="n">
        <v>4480</v>
      </c>
      <c r="J65" s="0" t="str">
        <f aca="false">VLOOKUP(H65,$A$1:$C$103,3)</f>
        <v>Los Angeles County (part)</v>
      </c>
      <c r="M65" s="0" t="n">
        <v>7400</v>
      </c>
      <c r="N65" s="0" t="s">
        <v>98</v>
      </c>
    </row>
    <row r="66" customFormat="false" ht="12.75" hidden="false" customHeight="false" outlineLevel="0" collapsed="false">
      <c r="A66" s="0" t="n">
        <v>48</v>
      </c>
      <c r="B66" s="0" t="n">
        <v>59</v>
      </c>
      <c r="C66" s="0" t="str">
        <f aca="false">VLOOKUP(B66,$E$1:$F$59,2)</f>
        <v>Orange County (part)</v>
      </c>
      <c r="H66" s="3" t="n">
        <v>65</v>
      </c>
      <c r="I66" s="0" t="n">
        <v>4480</v>
      </c>
      <c r="J66" s="0" t="str">
        <f aca="false">VLOOKUP(H66,$A$1:$C$103,3)</f>
        <v>Los Angeles County (part)</v>
      </c>
      <c r="M66" s="0" t="n">
        <v>7480</v>
      </c>
      <c r="N66" s="0" t="s">
        <v>99</v>
      </c>
    </row>
    <row r="67" customFormat="false" ht="12.75" hidden="false" customHeight="false" outlineLevel="0" collapsed="false">
      <c r="A67" s="0" t="n">
        <v>49</v>
      </c>
      <c r="B67" s="0" t="n">
        <v>85</v>
      </c>
      <c r="C67" s="0" t="str">
        <f aca="false">VLOOKUP(B67,$E$1:$F$59,2)</f>
        <v>Santa Clara County (part)</v>
      </c>
      <c r="H67" s="3" t="n">
        <v>66</v>
      </c>
      <c r="I67" s="0" t="n">
        <v>4480</v>
      </c>
      <c r="J67" s="0" t="str">
        <f aca="false">VLOOKUP(H67,$A$1:$C$103,3)</f>
        <v>Los Angeles County (part)</v>
      </c>
      <c r="M67" s="0" t="n">
        <v>7485</v>
      </c>
      <c r="N67" s="0" t="s">
        <v>101</v>
      </c>
    </row>
    <row r="68" customFormat="false" ht="12.75" hidden="false" customHeight="false" outlineLevel="0" collapsed="false">
      <c r="A68" s="0" t="n">
        <v>50</v>
      </c>
      <c r="B68" s="0" t="n">
        <v>85</v>
      </c>
      <c r="C68" s="0" t="str">
        <f aca="false">VLOOKUP(B68,$E$1:$F$59,2)</f>
        <v>Santa Clara County (part)</v>
      </c>
      <c r="H68" s="3" t="n">
        <v>67</v>
      </c>
      <c r="I68" s="0" t="n">
        <v>6000</v>
      </c>
      <c r="J68" s="0" t="str">
        <f aca="false">VLOOKUP(H68,$A$1:$C$103,3)</f>
        <v>Ventura County (part)</v>
      </c>
      <c r="M68" s="0" t="n">
        <v>7500</v>
      </c>
      <c r="N68" s="0" t="s">
        <v>103</v>
      </c>
    </row>
    <row r="69" customFormat="false" ht="12.75" hidden="false" customHeight="false" outlineLevel="0" collapsed="false">
      <c r="A69" s="0" t="n">
        <v>51</v>
      </c>
      <c r="B69" s="0" t="n">
        <v>85</v>
      </c>
      <c r="C69" s="0" t="str">
        <f aca="false">VLOOKUP(B69,$E$1:$F$59,2)</f>
        <v>Santa Clara County (part)</v>
      </c>
      <c r="H69" s="3" t="n">
        <v>68</v>
      </c>
      <c r="I69" s="0" t="n">
        <v>6780</v>
      </c>
      <c r="J69" s="0" t="str">
        <f aca="false">VLOOKUP(H69,$A$1:$C$103,3)</f>
        <v>Riverside County (part)</v>
      </c>
      <c r="M69" s="0" t="n">
        <v>7500</v>
      </c>
      <c r="N69" s="0" t="s">
        <v>103</v>
      </c>
    </row>
    <row r="70" customFormat="false" ht="12.75" hidden="false" customHeight="false" outlineLevel="0" collapsed="false">
      <c r="A70" s="0" t="n">
        <v>52</v>
      </c>
      <c r="B70" s="0" t="n">
        <v>37</v>
      </c>
      <c r="C70" s="0" t="str">
        <f aca="false">VLOOKUP(B70,$E$1:$F$59,2)</f>
        <v>Los Angeles County (part)</v>
      </c>
      <c r="H70" s="3" t="n">
        <v>69</v>
      </c>
      <c r="I70" s="0" t="n">
        <v>6780</v>
      </c>
      <c r="J70" s="0" t="str">
        <f aca="false">VLOOKUP(H70,$A$1:$C$103,3)</f>
        <v>Riverside County (part)</v>
      </c>
      <c r="M70" s="0" t="n">
        <v>8120</v>
      </c>
      <c r="N70" s="0" t="s">
        <v>104</v>
      </c>
    </row>
    <row r="71" customFormat="false" ht="12.75" hidden="false" customHeight="false" outlineLevel="0" collapsed="false">
      <c r="A71" s="0" t="n">
        <v>53</v>
      </c>
      <c r="B71" s="0" t="n">
        <v>37</v>
      </c>
      <c r="C71" s="0" t="str">
        <f aca="false">VLOOKUP(B71,$E$1:$F$59,2)</f>
        <v>Los Angeles County (part)</v>
      </c>
      <c r="H71" s="3" t="n">
        <v>70</v>
      </c>
      <c r="I71" s="0" t="n">
        <v>6780</v>
      </c>
      <c r="J71" s="0" t="str">
        <f aca="false">VLOOKUP(H71,$A$1:$C$103,3)</f>
        <v>San Bernardino County (part)</v>
      </c>
      <c r="M71" s="0" t="n">
        <v>8120</v>
      </c>
      <c r="N71" s="0" t="s">
        <v>104</v>
      </c>
    </row>
    <row r="72" customFormat="false" ht="12.75" hidden="false" customHeight="false" outlineLevel="0" collapsed="false">
      <c r="A72" s="0" t="n">
        <v>54</v>
      </c>
      <c r="B72" s="0" t="n">
        <v>37</v>
      </c>
      <c r="C72" s="0" t="str">
        <f aca="false">VLOOKUP(B72,$E$1:$F$59,2)</f>
        <v>Los Angeles County (part)</v>
      </c>
      <c r="H72" s="3" t="n">
        <v>71</v>
      </c>
      <c r="I72" s="0" t="n">
        <v>6780</v>
      </c>
      <c r="J72" s="0" t="str">
        <f aca="false">VLOOKUP(H72,$A$1:$C$103,3)</f>
        <v>San Bernardino County (part)</v>
      </c>
      <c r="M72" s="0" t="n">
        <v>8720</v>
      </c>
      <c r="N72" s="0" t="s">
        <v>105</v>
      </c>
    </row>
    <row r="73" customFormat="false" ht="12.75" hidden="false" customHeight="false" outlineLevel="0" collapsed="false">
      <c r="A73" s="0" t="n">
        <v>55</v>
      </c>
      <c r="B73" s="0" t="n">
        <v>37</v>
      </c>
      <c r="C73" s="0" t="str">
        <f aca="false">VLOOKUP(B73,$E$1:$F$59,2)</f>
        <v>Los Angeles County (part)</v>
      </c>
      <c r="H73" s="3" t="n">
        <v>72</v>
      </c>
      <c r="I73" s="0" t="n">
        <v>6780</v>
      </c>
      <c r="J73" s="0" t="str">
        <f aca="false">VLOOKUP(H73,$A$1:$C$103,3)</f>
        <v>San Bernardino County (part)</v>
      </c>
      <c r="M73" s="0" t="n">
        <v>8720</v>
      </c>
      <c r="N73" s="0" t="s">
        <v>107</v>
      </c>
    </row>
    <row r="74" customFormat="false" ht="12.75" hidden="false" customHeight="false" outlineLevel="0" collapsed="false">
      <c r="A74" s="0" t="n">
        <v>56</v>
      </c>
      <c r="B74" s="0" t="n">
        <v>37</v>
      </c>
      <c r="C74" s="0" t="str">
        <f aca="false">VLOOKUP(B74,$E$1:$F$59,2)</f>
        <v>Los Angeles County (part)</v>
      </c>
      <c r="H74" s="3" t="n">
        <v>73</v>
      </c>
      <c r="I74" s="0" t="n">
        <v>8720</v>
      </c>
      <c r="J74" s="0" t="str">
        <f aca="false">VLOOKUP(H74,$A$1:$C$103,3)</f>
        <v>Solano County</v>
      </c>
      <c r="M74" s="0" t="n">
        <v>8720</v>
      </c>
      <c r="N74" s="0" t="s">
        <v>107</v>
      </c>
    </row>
    <row r="75" customFormat="false" ht="12.75" hidden="false" customHeight="false" outlineLevel="0" collapsed="false">
      <c r="A75" s="0" t="n">
        <v>57</v>
      </c>
      <c r="B75" s="0" t="n">
        <v>37</v>
      </c>
      <c r="C75" s="0" t="str">
        <f aca="false">VLOOKUP(B75,$E$1:$F$59,2)</f>
        <v>Los Angeles County (part)</v>
      </c>
      <c r="H75" s="3" t="n">
        <v>74</v>
      </c>
      <c r="I75" s="0" t="n">
        <v>5775</v>
      </c>
      <c r="J75" s="0" t="str">
        <f aca="false">VLOOKUP(H75,$A$1:$C$103,3)</f>
        <v>Alameda County (part)</v>
      </c>
      <c r="M75" s="0" t="n">
        <v>8780</v>
      </c>
      <c r="N75" s="0" t="s">
        <v>108</v>
      </c>
    </row>
    <row r="76" customFormat="false" ht="12.75" hidden="false" customHeight="false" outlineLevel="0" collapsed="false">
      <c r="A76" s="0" t="n">
        <v>58</v>
      </c>
      <c r="B76" s="0" t="n">
        <v>37</v>
      </c>
      <c r="C76" s="0" t="str">
        <f aca="false">VLOOKUP(B76,$E$1:$F$59,2)</f>
        <v>Los Angeles County (part)</v>
      </c>
      <c r="H76" s="3" t="n">
        <v>75</v>
      </c>
      <c r="I76" s="0" t="n">
        <v>8780</v>
      </c>
      <c r="J76" s="0" t="str">
        <f aca="false">VLOOKUP(H76,$A$1:$C$103,3)</f>
        <v>Tulare County</v>
      </c>
      <c r="M76" s="0" t="n">
        <v>9340</v>
      </c>
      <c r="N76" s="0" t="s">
        <v>109</v>
      </c>
    </row>
    <row r="77" customFormat="false" ht="12.75" hidden="false" customHeight="false" outlineLevel="0" collapsed="false">
      <c r="A77" s="0" t="n">
        <v>59</v>
      </c>
      <c r="B77" s="0" t="n">
        <v>37</v>
      </c>
      <c r="C77" s="0" t="str">
        <f aca="false">VLOOKUP(B77,$E$1:$F$59,2)</f>
        <v>Los Angeles County (part)</v>
      </c>
      <c r="H77" s="3" t="n">
        <v>76</v>
      </c>
      <c r="I77" s="0" t="n">
        <v>7485</v>
      </c>
      <c r="J77" s="0" t="str">
        <f aca="false">VLOOKUP(H77,$A$1:$C$103,3)</f>
        <v>Santa Cruz County</v>
      </c>
      <c r="M77" s="0" t="n">
        <v>9999</v>
      </c>
      <c r="N77" s="0" t="s">
        <v>111</v>
      </c>
    </row>
    <row r="78" customFormat="false" ht="12.75" hidden="false" customHeight="false" outlineLevel="0" collapsed="false">
      <c r="A78" s="0" t="n">
        <v>60</v>
      </c>
      <c r="B78" s="0" t="n">
        <v>37</v>
      </c>
      <c r="C78" s="0" t="str">
        <f aca="false">VLOOKUP(B78,$E$1:$F$59,2)</f>
        <v>Los Angeles County (part)</v>
      </c>
      <c r="H78" s="3" t="n">
        <v>77</v>
      </c>
      <c r="I78" s="0" t="n">
        <v>9999</v>
      </c>
      <c r="J78" s="0" t="str">
        <f aca="false">VLOOKUP(H78,$A$1:$C$103,3)</f>
        <v>Imperial County</v>
      </c>
      <c r="M78" s="0" t="n">
        <v>9999</v>
      </c>
      <c r="N78" s="0" t="s">
        <v>79</v>
      </c>
    </row>
    <row r="79" customFormat="false" ht="12.75" hidden="false" customHeight="false" outlineLevel="0" collapsed="false">
      <c r="A79" s="0" t="n">
        <v>61</v>
      </c>
      <c r="B79" s="0" t="n">
        <v>37</v>
      </c>
      <c r="C79" s="0" t="str">
        <f aca="false">VLOOKUP(B79,$E$1:$F$59,2)</f>
        <v>Los Angeles County (part)</v>
      </c>
      <c r="H79" s="3" t="n">
        <v>78</v>
      </c>
      <c r="I79" s="0" t="n">
        <v>680</v>
      </c>
      <c r="J79" s="0" t="str">
        <f aca="false">VLOOKUP(H79,$A$1:$C$103,3)</f>
        <v>Kern County (part)</v>
      </c>
      <c r="M79" s="0" t="n">
        <v>9999</v>
      </c>
      <c r="N79" s="0" t="s">
        <v>97</v>
      </c>
    </row>
    <row r="80" customFormat="false" ht="12.75" hidden="false" customHeight="false" outlineLevel="0" collapsed="false">
      <c r="A80" s="0" t="n">
        <v>62</v>
      </c>
      <c r="B80" s="0" t="n">
        <v>37</v>
      </c>
      <c r="C80" s="0" t="str">
        <f aca="false">VLOOKUP(B80,$E$1:$F$59,2)</f>
        <v>Los Angeles County (part)</v>
      </c>
      <c r="H80" s="3" t="n">
        <v>79</v>
      </c>
      <c r="I80" s="0" t="n">
        <v>680</v>
      </c>
      <c r="J80" s="0" t="str">
        <f aca="false">VLOOKUP(H80,$A$1:$C$103,3)</f>
        <v>Kern County (part)</v>
      </c>
      <c r="M80" s="0" t="n">
        <v>9999</v>
      </c>
      <c r="N80" s="0" t="s">
        <v>113</v>
      </c>
    </row>
    <row r="81" customFormat="false" ht="12.75" hidden="false" customHeight="false" outlineLevel="0" collapsed="false">
      <c r="A81" s="0" t="n">
        <v>63</v>
      </c>
      <c r="B81" s="0" t="n">
        <v>37</v>
      </c>
      <c r="C81" s="0" t="str">
        <f aca="false">VLOOKUP(B81,$E$1:$F$59,2)</f>
        <v>Los Angeles County (part)</v>
      </c>
      <c r="H81" s="3" t="n">
        <v>80</v>
      </c>
      <c r="I81" s="0" t="n">
        <v>9999</v>
      </c>
      <c r="J81" s="0" t="str">
        <f aca="false">VLOOKUP(H81,$A$1:$C$103,3)</f>
        <v>San Luis Obispo County (part)</v>
      </c>
      <c r="M81" s="0" t="n">
        <v>9999</v>
      </c>
      <c r="N81" s="0" t="s">
        <v>114</v>
      </c>
    </row>
    <row r="82" customFormat="false" ht="12.75" hidden="false" customHeight="false" outlineLevel="0" collapsed="false">
      <c r="A82" s="0" t="n">
        <v>64</v>
      </c>
      <c r="B82" s="0" t="n">
        <v>37</v>
      </c>
      <c r="C82" s="0" t="str">
        <f aca="false">VLOOKUP(B82,$E$1:$F$59,2)</f>
        <v>Los Angeles County (part)</v>
      </c>
      <c r="H82" s="3" t="n">
        <v>81</v>
      </c>
      <c r="I82" s="0" t="n">
        <v>6780</v>
      </c>
      <c r="J82" s="0" t="str">
        <f aca="false">VLOOKUP(H82,$A$1:$C$103,3)</f>
        <v>Riverside County (part)</v>
      </c>
      <c r="M82" s="0" t="n">
        <v>9999</v>
      </c>
      <c r="N82" s="0" t="s">
        <v>115</v>
      </c>
    </row>
    <row r="83" customFormat="false" ht="12.75" hidden="false" customHeight="false" outlineLevel="0" collapsed="false">
      <c r="A83" s="0" t="n">
        <v>65</v>
      </c>
      <c r="B83" s="0" t="n">
        <v>37</v>
      </c>
      <c r="C83" s="0" t="str">
        <f aca="false">VLOOKUP(B83,$E$1:$F$59,2)</f>
        <v>Los Angeles County (part)</v>
      </c>
      <c r="H83" s="3" t="n">
        <v>82</v>
      </c>
      <c r="I83" s="0" t="n">
        <v>6780</v>
      </c>
      <c r="J83" s="0" t="str">
        <f aca="false">VLOOKUP(H83,$A$1:$C$103,3)</f>
        <v>San Bernardino County (part)</v>
      </c>
      <c r="M83" s="0" t="n">
        <v>9999</v>
      </c>
      <c r="N83" s="0" t="s">
        <v>112</v>
      </c>
    </row>
    <row r="84" customFormat="false" ht="12.75" hidden="false" customHeight="false" outlineLevel="0" collapsed="false">
      <c r="A84" s="0" t="n">
        <v>66</v>
      </c>
      <c r="B84" s="0" t="n">
        <v>37</v>
      </c>
      <c r="C84" s="0" t="str">
        <f aca="false">VLOOKUP(B84,$E$1:$F$59,2)</f>
        <v>Los Angeles County (part)</v>
      </c>
      <c r="H84" s="3" t="n">
        <v>83</v>
      </c>
      <c r="I84" s="0" t="n">
        <v>6000</v>
      </c>
      <c r="J84" s="0" t="str">
        <f aca="false">VLOOKUP(H84,$A$1:$C$103,3)</f>
        <v>Ventura County (part)</v>
      </c>
      <c r="M84" s="0" t="n">
        <v>9999</v>
      </c>
      <c r="N84" s="0" t="s">
        <v>86</v>
      </c>
    </row>
    <row r="85" customFormat="false" ht="12.75" hidden="false" customHeight="false" outlineLevel="0" collapsed="false">
      <c r="A85" s="0" t="n">
        <v>67</v>
      </c>
      <c r="B85" s="0" t="n">
        <v>111</v>
      </c>
      <c r="C85" s="0" t="str">
        <f aca="false">VLOOKUP(B85,$E$1:$F$59,2)</f>
        <v>Ventura County (part)</v>
      </c>
      <c r="H85" s="3" t="n">
        <v>84</v>
      </c>
      <c r="I85" s="0" t="n">
        <v>360</v>
      </c>
      <c r="J85" s="0" t="str">
        <f aca="false">VLOOKUP(H85,$A$1:$C$103,3)</f>
        <v>Orange County (part)</v>
      </c>
      <c r="M85" s="0" t="n">
        <v>9999</v>
      </c>
      <c r="N85" s="0" t="s">
        <v>81</v>
      </c>
    </row>
    <row r="86" customFormat="false" ht="12.75" hidden="false" customHeight="false" outlineLevel="0" collapsed="false">
      <c r="A86" s="0" t="n">
        <v>68</v>
      </c>
      <c r="B86" s="0" t="n">
        <v>65</v>
      </c>
      <c r="C86" s="0" t="str">
        <f aca="false">VLOOKUP(B86,$E$1:$F$59,2)</f>
        <v>Riverside County (part)</v>
      </c>
      <c r="H86" s="3" t="n">
        <v>85</v>
      </c>
      <c r="I86" s="0" t="n">
        <v>8120</v>
      </c>
      <c r="J86" s="0" t="str">
        <f aca="false">VLOOKUP(H86,$A$1:$C$103,3)</f>
        <v>San Joaquin County (part)</v>
      </c>
      <c r="M86" s="0" t="n">
        <v>9999</v>
      </c>
      <c r="N86" s="0" t="s">
        <v>116</v>
      </c>
    </row>
    <row r="87" customFormat="false" ht="12.75" hidden="false" customHeight="false" outlineLevel="0" collapsed="false">
      <c r="A87" s="0" t="n">
        <v>69</v>
      </c>
      <c r="B87" s="0" t="n">
        <v>65</v>
      </c>
      <c r="C87" s="0" t="str">
        <f aca="false">VLOOKUP(B87,$E$1:$F$59,2)</f>
        <v>Riverside County (part)</v>
      </c>
    </row>
    <row r="88" customFormat="false" ht="12.75" hidden="false" customHeight="false" outlineLevel="0" collapsed="false">
      <c r="A88" s="0" t="n">
        <v>70</v>
      </c>
      <c r="B88" s="0" t="n">
        <v>71</v>
      </c>
      <c r="C88" s="0" t="str">
        <f aca="false">VLOOKUP(B88,$E$1:$F$59,2)</f>
        <v>San Bernardino County (part)</v>
      </c>
    </row>
    <row r="89" customFormat="false" ht="12.75" hidden="false" customHeight="false" outlineLevel="0" collapsed="false">
      <c r="A89" s="0" t="n">
        <v>71</v>
      </c>
      <c r="B89" s="0" t="n">
        <v>71</v>
      </c>
      <c r="C89" s="0" t="str">
        <f aca="false">VLOOKUP(B89,$E$1:$F$59,2)</f>
        <v>San Bernardino County (part)</v>
      </c>
    </row>
    <row r="90" customFormat="false" ht="12.75" hidden="false" customHeight="false" outlineLevel="0" collapsed="false">
      <c r="A90" s="0" t="n">
        <v>72</v>
      </c>
      <c r="B90" s="0" t="n">
        <v>71</v>
      </c>
      <c r="C90" s="0" t="str">
        <f aca="false">VLOOKUP(B90,$E$1:$F$59,2)</f>
        <v>San Bernardino County (part)</v>
      </c>
    </row>
    <row r="91" customFormat="false" ht="12.75" hidden="false" customHeight="false" outlineLevel="0" collapsed="false">
      <c r="A91" s="0" t="n">
        <v>73</v>
      </c>
      <c r="B91" s="0" t="n">
        <v>95</v>
      </c>
      <c r="C91" s="0" t="str">
        <f aca="false">VLOOKUP(B91,$E$1:$F$59,2)</f>
        <v>Solano County</v>
      </c>
    </row>
    <row r="92" customFormat="false" ht="12.75" hidden="false" customHeight="false" outlineLevel="0" collapsed="false">
      <c r="A92" s="0" t="n">
        <v>74</v>
      </c>
      <c r="B92" s="0" t="n">
        <v>1</v>
      </c>
      <c r="C92" s="0" t="str">
        <f aca="false">VLOOKUP(B92,$E$1:$F$59,2)</f>
        <v>Alameda County (part)</v>
      </c>
    </row>
    <row r="93" customFormat="false" ht="12.75" hidden="false" customHeight="false" outlineLevel="0" collapsed="false">
      <c r="A93" s="0" t="n">
        <v>75</v>
      </c>
      <c r="B93" s="0" t="n">
        <v>107</v>
      </c>
      <c r="C93" s="0" t="str">
        <f aca="false">VLOOKUP(B93,$E$1:$F$59,2)</f>
        <v>Tulare County</v>
      </c>
    </row>
    <row r="94" customFormat="false" ht="12.75" hidden="false" customHeight="false" outlineLevel="0" collapsed="false">
      <c r="A94" s="0" t="n">
        <v>76</v>
      </c>
      <c r="B94" s="0" t="n">
        <v>87</v>
      </c>
      <c r="C94" s="0" t="str">
        <f aca="false">VLOOKUP(B94,$E$1:$F$59,2)</f>
        <v>Santa Cruz County</v>
      </c>
    </row>
    <row r="95" customFormat="false" ht="12.75" hidden="false" customHeight="false" outlineLevel="0" collapsed="false">
      <c r="A95" s="0" t="n">
        <v>77</v>
      </c>
      <c r="B95" s="0" t="n">
        <v>25</v>
      </c>
      <c r="C95" s="0" t="str">
        <f aca="false">VLOOKUP(B95,$E$1:$F$59,2)</f>
        <v>Imperial County</v>
      </c>
    </row>
    <row r="96" customFormat="false" ht="12.75" hidden="false" customHeight="false" outlineLevel="0" collapsed="false">
      <c r="A96" s="0" t="n">
        <v>78</v>
      </c>
      <c r="B96" s="0" t="n">
        <v>29</v>
      </c>
      <c r="C96" s="0" t="str">
        <f aca="false">VLOOKUP(B96,$E$1:$F$59,2)</f>
        <v>Kern County (part)</v>
      </c>
    </row>
    <row r="97" customFormat="false" ht="12.75" hidden="false" customHeight="false" outlineLevel="0" collapsed="false">
      <c r="A97" s="0" t="n">
        <v>79</v>
      </c>
      <c r="B97" s="0" t="n">
        <v>29</v>
      </c>
      <c r="C97" s="0" t="str">
        <f aca="false">VLOOKUP(B97,$E$1:$F$59,2)</f>
        <v>Kern County (part)</v>
      </c>
    </row>
    <row r="98" customFormat="false" ht="12.75" hidden="false" customHeight="false" outlineLevel="0" collapsed="false">
      <c r="A98" s="0" t="n">
        <v>80</v>
      </c>
      <c r="B98" s="0" t="n">
        <v>79</v>
      </c>
      <c r="C98" s="0" t="str">
        <f aca="false">VLOOKUP(B98,$E$1:$F$59,2)</f>
        <v>San Luis Obispo County (part)</v>
      </c>
    </row>
    <row r="99" customFormat="false" ht="12.75" hidden="false" customHeight="false" outlineLevel="0" collapsed="false">
      <c r="A99" s="0" t="n">
        <v>81</v>
      </c>
      <c r="B99" s="0" t="n">
        <v>65</v>
      </c>
      <c r="C99" s="0" t="str">
        <f aca="false">VLOOKUP(B99,$E$1:$F$59,2)</f>
        <v>Riverside County (part)</v>
      </c>
    </row>
    <row r="100" customFormat="false" ht="12.75" hidden="false" customHeight="false" outlineLevel="0" collapsed="false">
      <c r="A100" s="0" t="n">
        <v>82</v>
      </c>
      <c r="B100" s="0" t="n">
        <v>71</v>
      </c>
      <c r="C100" s="0" t="str">
        <f aca="false">VLOOKUP(B100,$E$1:$F$59,2)</f>
        <v>San Bernardino County (part)</v>
      </c>
    </row>
    <row r="101" customFormat="false" ht="12.75" hidden="false" customHeight="false" outlineLevel="0" collapsed="false">
      <c r="A101" s="0" t="n">
        <v>83</v>
      </c>
      <c r="B101" s="0" t="n">
        <v>111</v>
      </c>
      <c r="C101" s="0" t="str">
        <f aca="false">VLOOKUP(B101,$E$1:$F$59,2)</f>
        <v>Ventura County (part)</v>
      </c>
    </row>
    <row r="102" customFormat="false" ht="12.75" hidden="false" customHeight="false" outlineLevel="0" collapsed="false">
      <c r="A102" s="0" t="n">
        <v>84</v>
      </c>
      <c r="B102" s="0" t="n">
        <v>59</v>
      </c>
      <c r="C102" s="0" t="str">
        <f aca="false">VLOOKUP(B102,$E$1:$F$59,2)</f>
        <v>Orange County (part)</v>
      </c>
    </row>
    <row r="103" customFormat="false" ht="12.75" hidden="false" customHeight="false" outlineLevel="0" collapsed="false">
      <c r="A103" s="0" t="n">
        <v>85</v>
      </c>
      <c r="B103" s="0" t="n">
        <v>77</v>
      </c>
      <c r="C103" s="0" t="str">
        <f aca="false">VLOOKUP(B103,$E$1:$F$59,2)</f>
        <v>San Joaquin County (part)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1998-12-03T04:15:34Z</dcterms:created>
  <dc:creator>David Levinson</dc:creator>
  <dc:description/>
  <dc:language>en-AU</dc:language>
  <cp:lastModifiedBy>David Levinson</cp:lastModifiedBy>
  <cp:revision>0</cp:revision>
  <dc:subject/>
  <dc:title/>
</cp:coreProperties>
</file>