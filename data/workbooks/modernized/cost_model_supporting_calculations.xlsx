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Rev" sheetId="2" state="visible" r:id="rId4"/>
    <sheet name="ln(Rev)" sheetId="3" state="visible" r:id="rId5"/>
    <sheet name="ln(Rev)2" sheetId="4" state="visible" r:id="rId6"/>
    <sheet name="ln(TotExp)" sheetId="5" state="visible" r:id="rId7"/>
    <sheet name="ln(NonCapExp)" sheetId="6" state="visible" r:id="rId8"/>
    <sheet name="Correlate" sheetId="7" state="visible" r:id="rId9"/>
    <sheet name="Corr2" sheetId="8" state="visible" r:id="rId10"/>
    <sheet name="Corr3" sheetId="9" state="visible" r:id="rId11"/>
    <sheet name="ln(TotExp2)" sheetId="10" state="visible" r:id="rId12"/>
    <sheet name="VMT1" sheetId="11" state="visible" r:id="rId13"/>
    <sheet name="VMT2" sheetId="12" state="visible" r:id="rId14"/>
    <sheet name="VMT3" sheetId="13" state="visible" r:id="rId15"/>
    <sheet name="VMT4" sheetId="14" state="visible" r:id="rId16"/>
    <sheet name="Data" sheetId="15" state="visible" r:id="rId17"/>
  </sheets>
  <definedNames>
    <definedName function="false" hidden="false" name="Density" vbProcedure="false">Data!$L$2:$L$53</definedName>
    <definedName function="false" hidden="false" name="RhoCordon" vbProcedure="false">Data!$S$2:$S$53</definedName>
    <definedName function="false" hidden="false" name="Rhoii" vbProcedure="false">Data!$M$2:$M$53</definedName>
    <definedName function="false" hidden="false" name="Rhoij" vbProcedure="false">Data!$N$2:$N$53</definedName>
    <definedName function="false" hidden="false" name="Rhoji" vbProcedure="false">Data!$O$2:$O$53</definedName>
    <definedName function="false" hidden="false" name="RhoOrig" vbProcedure="false">Data!$R$2:$R$53</definedName>
    <definedName function="false" hidden="false" name="RhoTot" vbProcedure="false">Data!$Q$2:$Q$53</definedName>
    <definedName function="false" hidden="false" name="TotalVMT" vbProcedure="false">Data!$AU$2:$AU$54</definedName>
  </definedNames>
  <calcPr iterateCount="1" refMode="A1" iterate="true" iterateDelta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<sst xmlns="http://schemas.openxmlformats.org/spreadsheetml/2006/main" count="647" uniqueCount="239">
  <si>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</si>
  <si>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</si>
  <si>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</si>
  <si>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</si>
  <si>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</si>
  <si>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</si>
  <si>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</si>
  <si>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</si>
  <si>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</si>
  <si>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</si>
  <si>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</si>
  <si>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</si>
  <si>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</si>
  <si>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</si>
  <si>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</si>
  <si>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</si>
  <si>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</si>
  <si>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</si>
  <si>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</si>
  <si>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</si>
  <si>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</si>
  <si>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</si>
  <si>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</si>
  <si>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</si>
  <si>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Rhoii</t>
  </si>
  <si>
    <t xml:space="preserve">Rhoij</t>
  </si>
  <si>
    <t xml:space="preserve">Rhoji</t>
  </si>
  <si>
    <t xml:space="preserve">ln(Rhoii)</t>
  </si>
  <si>
    <t xml:space="preserve">ln(Rhoij)</t>
  </si>
  <si>
    <t xml:space="preserve">ln(Rhoji)</t>
  </si>
  <si>
    <t xml:space="preserve">ln(Share+1)</t>
  </si>
  <si>
    <t xml:space="preserve">Share</t>
  </si>
  <si>
    <t xml:space="preserve">RhoTot</t>
  </si>
  <si>
    <t xml:space="preserve">RhoOrig</t>
  </si>
  <si>
    <t xml:space="preserve">RhoCordon</t>
  </si>
  <si>
    <t xml:space="preserve">Rhoii/RhoOrig</t>
  </si>
  <si>
    <t xml:space="preserve">Rhoii/RhoTot</t>
  </si>
  <si>
    <t xml:space="preserve">Rhoij/RhoTot</t>
  </si>
  <si>
    <t xml:space="preserve">Rhoji/RhoTot</t>
  </si>
  <si>
    <t xml:space="preserve">Rhoij/RhoOrig</t>
  </si>
  <si>
    <t xml:space="preserve">Rhoij/RhoCordon</t>
  </si>
  <si>
    <t xml:space="preserve">Rhoji/RhoCordon</t>
  </si>
  <si>
    <t xml:space="preserve">ln(Density)</t>
  </si>
  <si>
    <t xml:space="preserve">x</t>
  </si>
  <si>
    <t xml:space="preserve">NONWORKERS</t>
  </si>
  <si>
    <t xml:space="preserve">WORKERS</t>
  </si>
  <si>
    <t xml:space="preserve">RESIDENTS</t>
  </si>
  <si>
    <t xml:space="preserve">In-State</t>
  </si>
  <si>
    <t xml:space="preserve">Ri</t>
  </si>
  <si>
    <t xml:space="preserve">Ro</t>
  </si>
  <si>
    <t xml:space="preserve">JOBS</t>
  </si>
  <si>
    <t xml:space="preserve">WorkersWhoLiveInState</t>
  </si>
  <si>
    <t xml:space="preserve">Wi</t>
  </si>
  <si>
    <t xml:space="preserve">Wo</t>
  </si>
  <si>
    <t xml:space="preserve">Density</t>
  </si>
  <si>
    <t xml:space="preserve">STATE</t>
  </si>
  <si>
    <t xml:space="preserve">FULLNAME</t>
  </si>
  <si>
    <t xml:space="preserve">TollShare</t>
  </si>
  <si>
    <t xml:space="preserve">Highway-user taxation - Total</t>
  </si>
  <si>
    <t xml:space="preserve">Highway-user taxation - State and local tolls</t>
  </si>
  <si>
    <t xml:space="preserve">Highway-user taxation - State and local fuel and vehicle taxes</t>
  </si>
  <si>
    <t xml:space="preserve">Highway-user taxation - Federal fuel and vehicle taxes</t>
  </si>
  <si>
    <t xml:space="preserve">ln(Revenue)</t>
  </si>
  <si>
    <t xml:space="preserve">ln(Expenditures)</t>
  </si>
  <si>
    <t xml:space="preserve">ln(NonCap)</t>
  </si>
  <si>
    <t xml:space="preserve">CapitalExpenditures</t>
  </si>
  <si>
    <t xml:space="preserve">TotalExpenditures</t>
  </si>
  <si>
    <t xml:space="preserve">TotalVMT</t>
  </si>
  <si>
    <t xml:space="preserve">Urban Total</t>
  </si>
  <si>
    <t xml:space="preserve">Urban Local</t>
  </si>
  <si>
    <t xml:space="preserve">Urban Collector</t>
  </si>
  <si>
    <t xml:space="preserve">Urban Minor Arterial</t>
  </si>
  <si>
    <t xml:space="preserve">Urban Other Principal Arterial</t>
  </si>
  <si>
    <t xml:space="preserve">Urban Other Freeways and Expressways</t>
  </si>
  <si>
    <t xml:space="preserve">Urban Interstate</t>
  </si>
  <si>
    <t xml:space="preserve">Rural Total</t>
  </si>
  <si>
    <t xml:space="preserve">Rural Local</t>
  </si>
  <si>
    <t xml:space="preserve">Rural Minor Collector</t>
  </si>
  <si>
    <t xml:space="preserve">Rural Major Collector</t>
  </si>
  <si>
    <t xml:space="preserve">Rural Minor Arterial</t>
  </si>
  <si>
    <t xml:space="preserve">Rural Other Principal Arterial</t>
  </si>
  <si>
    <t xml:space="preserve">Rural Interstate</t>
  </si>
  <si>
    <t xml:space="preserve">ABBREV</t>
  </si>
  <si>
    <t xml:space="preserve">ln(TotalVMT)</t>
  </si>
  <si>
    <t xml:space="preserve">alabama</t>
  </si>
  <si>
    <t xml:space="preserve">AL</t>
  </si>
  <si>
    <t xml:space="preserve">ALABAMA</t>
  </si>
  <si>
    <t xml:space="preserve">alaska</t>
  </si>
  <si>
    <t xml:space="preserve">AK</t>
  </si>
  <si>
    <t xml:space="preserve">ALASKA</t>
  </si>
  <si>
    <t xml:space="preserve">arizona</t>
  </si>
  <si>
    <t xml:space="preserve">AZ</t>
  </si>
  <si>
    <t xml:space="preserve">ARIZONA</t>
  </si>
  <si>
    <t xml:space="preserve">arkansas</t>
  </si>
  <si>
    <t xml:space="preserve">AR</t>
  </si>
  <si>
    <t xml:space="preserve">ARKANSAS</t>
  </si>
  <si>
    <t xml:space="preserve">califo~1</t>
  </si>
  <si>
    <t xml:space="preserve">CA</t>
  </si>
  <si>
    <t xml:space="preserve">CALIFORNIA</t>
  </si>
  <si>
    <t xml:space="preserve">colorado</t>
  </si>
  <si>
    <t xml:space="preserve">CO</t>
  </si>
  <si>
    <t xml:space="preserve">COLORADO</t>
  </si>
  <si>
    <t xml:space="preserve">connec~1</t>
  </si>
  <si>
    <t xml:space="preserve">CT</t>
  </si>
  <si>
    <t xml:space="preserve">CONNECTICUT</t>
  </si>
  <si>
    <t xml:space="preserve">deleware</t>
  </si>
  <si>
    <t xml:space="preserve">DE</t>
  </si>
  <si>
    <t xml:space="preserve">DELAWARE</t>
  </si>
  <si>
    <t xml:space="preserve">district-of-columbia</t>
  </si>
  <si>
    <t xml:space="preserve">DC</t>
  </si>
  <si>
    <t xml:space="preserve">District-of-Columbia</t>
  </si>
  <si>
    <t xml:space="preserve">florida</t>
  </si>
  <si>
    <t xml:space="preserve">FL</t>
  </si>
  <si>
    <t xml:space="preserve">FLORIDA</t>
  </si>
  <si>
    <t xml:space="preserve">georgia</t>
  </si>
  <si>
    <t xml:space="preserve">GA</t>
  </si>
  <si>
    <t xml:space="preserve">GEORGIA</t>
  </si>
  <si>
    <t xml:space="preserve">hawaii</t>
  </si>
  <si>
    <t xml:space="preserve">HI</t>
  </si>
  <si>
    <t xml:space="preserve">HAWAII</t>
  </si>
  <si>
    <t xml:space="preserve">idaho</t>
  </si>
  <si>
    <t xml:space="preserve">ID</t>
  </si>
  <si>
    <t xml:space="preserve">IDAHO</t>
  </si>
  <si>
    <t xml:space="preserve">illinois</t>
  </si>
  <si>
    <t xml:space="preserve">IL</t>
  </si>
  <si>
    <t xml:space="preserve">ILLINOIS</t>
  </si>
  <si>
    <t xml:space="preserve">indiana</t>
  </si>
  <si>
    <t xml:space="preserve">IN</t>
  </si>
  <si>
    <t xml:space="preserve">INDIANA</t>
  </si>
  <si>
    <t xml:space="preserve">iowa</t>
  </si>
  <si>
    <t xml:space="preserve">IA</t>
  </si>
  <si>
    <t xml:space="preserve">IOWA</t>
  </si>
  <si>
    <t xml:space="preserve">kansas</t>
  </si>
  <si>
    <t xml:space="preserve">KS</t>
  </si>
  <si>
    <t xml:space="preserve">KANSAS</t>
  </si>
  <si>
    <t xml:space="preserve">kentucky</t>
  </si>
  <si>
    <t xml:space="preserve">KY</t>
  </si>
  <si>
    <t xml:space="preserve">KENTUCKY</t>
  </si>
  <si>
    <t xml:space="preserve">louisi~1</t>
  </si>
  <si>
    <t xml:space="preserve">LA</t>
  </si>
  <si>
    <t xml:space="preserve">LOUISIANA</t>
  </si>
  <si>
    <t xml:space="preserve">maine</t>
  </si>
  <si>
    <t xml:space="preserve">ME</t>
  </si>
  <si>
    <t xml:space="preserve">MAINE</t>
  </si>
  <si>
    <t xml:space="preserve">maryland</t>
  </si>
  <si>
    <t xml:space="preserve">MD</t>
  </si>
  <si>
    <t xml:space="preserve">MARYLAND</t>
  </si>
  <si>
    <t xml:space="preserve">massac~1</t>
  </si>
  <si>
    <t xml:space="preserve">MA</t>
  </si>
  <si>
    <t xml:space="preserve">MASSACHUSETTS</t>
  </si>
  <si>
    <t xml:space="preserve">michigan</t>
  </si>
  <si>
    <t xml:space="preserve">MI</t>
  </si>
  <si>
    <t xml:space="preserve">MICHIGAN</t>
  </si>
  <si>
    <t xml:space="preserve">minnes~1</t>
  </si>
  <si>
    <t xml:space="preserve">MN</t>
  </si>
  <si>
    <t xml:space="preserve">MINNESOTA</t>
  </si>
  <si>
    <t xml:space="preserve">missis~1</t>
  </si>
  <si>
    <t xml:space="preserve">MISSISSIPPI</t>
  </si>
  <si>
    <t xml:space="preserve">missouri</t>
  </si>
  <si>
    <t xml:space="preserve">MO</t>
  </si>
  <si>
    <t xml:space="preserve">MISSOURI</t>
  </si>
  <si>
    <t xml:space="preserve">montana</t>
  </si>
  <si>
    <t xml:space="preserve">MT</t>
  </si>
  <si>
    <t xml:space="preserve">MONTANA</t>
  </si>
  <si>
    <t xml:space="preserve">nebraska</t>
  </si>
  <si>
    <t xml:space="preserve">NE</t>
  </si>
  <si>
    <t xml:space="preserve">NEBRASKA</t>
  </si>
  <si>
    <t xml:space="preserve">nevada</t>
  </si>
  <si>
    <t xml:space="preserve">NV</t>
  </si>
  <si>
    <t xml:space="preserve">NEVADA</t>
  </si>
  <si>
    <t xml:space="preserve">new-ha~1</t>
  </si>
  <si>
    <t xml:space="preserve">NH</t>
  </si>
  <si>
    <t xml:space="preserve">NEW-HAMPSHIRE</t>
  </si>
  <si>
    <t xml:space="preserve">new-je~1</t>
  </si>
  <si>
    <t xml:space="preserve">NJ</t>
  </si>
  <si>
    <t xml:space="preserve">NEW-JERSEY</t>
  </si>
  <si>
    <t xml:space="preserve">new-me~1</t>
  </si>
  <si>
    <t xml:space="preserve">NM</t>
  </si>
  <si>
    <t xml:space="preserve">NEW-MEXICO</t>
  </si>
  <si>
    <t xml:space="preserve">new-york</t>
  </si>
  <si>
    <t xml:space="preserve">NY</t>
  </si>
  <si>
    <t xml:space="preserve">NEW-YORK</t>
  </si>
  <si>
    <t xml:space="preserve">north-~1</t>
  </si>
  <si>
    <t xml:space="preserve">NC</t>
  </si>
  <si>
    <t xml:space="preserve">NORTH-CAROLINA</t>
  </si>
  <si>
    <t xml:space="preserve">north-~2</t>
  </si>
  <si>
    <t xml:space="preserve">ND</t>
  </si>
  <si>
    <t xml:space="preserve">NORTH-DAKOTA</t>
  </si>
  <si>
    <t xml:space="preserve">ohio</t>
  </si>
  <si>
    <t xml:space="preserve">OH</t>
  </si>
  <si>
    <t xml:space="preserve">OHIO</t>
  </si>
  <si>
    <t xml:space="preserve">oklahoma</t>
  </si>
  <si>
    <t xml:space="preserve">OK</t>
  </si>
  <si>
    <t xml:space="preserve">OKLAHOMA</t>
  </si>
  <si>
    <t xml:space="preserve">oregon</t>
  </si>
  <si>
    <t xml:space="preserve">OR</t>
  </si>
  <si>
    <t xml:space="preserve">OREGON</t>
  </si>
  <si>
    <t xml:space="preserve">pennsy~1</t>
  </si>
  <si>
    <t xml:space="preserve">PA</t>
  </si>
  <si>
    <t xml:space="preserve">PENNSYLVANIA</t>
  </si>
  <si>
    <t xml:space="preserve">rhode-~1</t>
  </si>
  <si>
    <t xml:space="preserve">RI</t>
  </si>
  <si>
    <t xml:space="preserve">RHODE-ISLAND</t>
  </si>
  <si>
    <t xml:space="preserve">south-~1</t>
  </si>
  <si>
    <t xml:space="preserve">SC</t>
  </si>
  <si>
    <t xml:space="preserve">SOUTH-CAROLINA</t>
  </si>
  <si>
    <t xml:space="preserve">south-~2</t>
  </si>
  <si>
    <t xml:space="preserve">SD</t>
  </si>
  <si>
    <t xml:space="preserve">SOUTH-DAKOTA</t>
  </si>
  <si>
    <t xml:space="preserve">tennes~1</t>
  </si>
  <si>
    <t xml:space="preserve">TN</t>
  </si>
  <si>
    <t xml:space="preserve">TENNESSEE</t>
  </si>
  <si>
    <t xml:space="preserve">texas</t>
  </si>
  <si>
    <t xml:space="preserve">TX</t>
  </si>
  <si>
    <t xml:space="preserve">TEXAS</t>
  </si>
  <si>
    <t xml:space="preserve">utah</t>
  </si>
  <si>
    <t xml:space="preserve">UT</t>
  </si>
  <si>
    <t xml:space="preserve">UTAH</t>
  </si>
  <si>
    <t xml:space="preserve">vermont</t>
  </si>
  <si>
    <t xml:space="preserve">VT</t>
  </si>
  <si>
    <t xml:space="preserve">VERMONT</t>
  </si>
  <si>
    <t xml:space="preserve">virginia</t>
  </si>
  <si>
    <t xml:space="preserve">VA</t>
  </si>
  <si>
    <t xml:space="preserve">VIRGINIA</t>
  </si>
  <si>
    <t xml:space="preserve">washin~1</t>
  </si>
  <si>
    <t xml:space="preserve">WA</t>
  </si>
  <si>
    <t xml:space="preserve">WASHINGTON</t>
  </si>
  <si>
    <t xml:space="preserve">west-v~1</t>
  </si>
  <si>
    <t xml:space="preserve">WV</t>
  </si>
  <si>
    <t xml:space="preserve">WEST-VIRGINIA</t>
  </si>
  <si>
    <t xml:space="preserve">wiscon~1</t>
  </si>
  <si>
    <t xml:space="preserve">WI</t>
  </si>
  <si>
    <t xml:space="preserve">WISCONSIN</t>
  </si>
  <si>
    <t xml:space="preserve">wyoming</t>
  </si>
  <si>
    <t xml:space="preserve">WY</t>
  </si>
  <si>
    <t xml:space="preserve">WYOMING</t>
  </si>
  <si>
    <t xml:space="preserve">TOTAL</t>
  </si>
  <si>
    <t xml:space="preserve">US</t>
  </si>
  <si>
    <t xml:space="preserve">*United States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</si>
</sst>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#,##0;\-#,##0"/>
    <numFmt numFmtId="168" formatCode="#,#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</font>
    <font>
      <sz val="8"/>
      <name val="P-AVGARD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0.980701625745925</v>
      </c>
    </row>
    <row r="5" customFormat="false" ht="12.75" hidden="false" customHeight="false" outlineLevel="0" collapsed="false">
      <c r="A5" s="3" t="s">
        <v>3</v>
      </c>
      <c r="B5" s="3" t="n">
        <v>0.961775678740699</v>
      </c>
    </row>
    <row r="6" customFormat="false" ht="12.75" hidden="false" customHeight="false" outlineLevel="0" collapsed="false">
      <c r="A6" s="3" t="s">
        <v>4</v>
      </c>
      <c r="B6" s="3" t="n">
        <v>0.959335828447552</v>
      </c>
    </row>
    <row r="7" customFormat="false" ht="12.75" hidden="false" customHeight="false" outlineLevel="0" collapsed="false">
      <c r="A7" s="3" t="s">
        <v>5</v>
      </c>
      <c r="B7" s="3" t="n">
        <v>329939.412264924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3</v>
      </c>
      <c r="C12" s="3" t="n">
        <v>128736073493793</v>
      </c>
      <c r="D12" s="3" t="n">
        <v>42912024497930.9</v>
      </c>
      <c r="E12" s="3" t="n">
        <v>394.194546051523</v>
      </c>
      <c r="F12" s="3" t="n">
        <v>2.64056028384677E-033</v>
      </c>
    </row>
    <row r="13" customFormat="false" ht="12.75" hidden="false" customHeight="false" outlineLevel="0" collapsed="false">
      <c r="A13" s="3" t="s">
        <v>14</v>
      </c>
      <c r="B13" s="3" t="n">
        <v>47</v>
      </c>
      <c r="C13" s="3" t="n">
        <v>5116420740988.99</v>
      </c>
      <c r="D13" s="3" t="n">
        <v>108860015765.723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133852494234782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16862.8325453964</v>
      </c>
      <c r="C17" s="3" t="n">
        <v>68768.1979189676</v>
      </c>
      <c r="D17" s="3" t="n">
        <v>0.245212657241165</v>
      </c>
      <c r="E17" s="3" t="n">
        <v>0.807359327122253</v>
      </c>
      <c r="F17" s="3" t="n">
        <v>-121480.806739782</v>
      </c>
      <c r="G17" s="3" t="n">
        <v>155206.471830575</v>
      </c>
      <c r="H17" s="3" t="n">
        <v>-121480.806739782</v>
      </c>
      <c r="I17" s="3" t="n">
        <v>155206.471830575</v>
      </c>
    </row>
    <row r="18" customFormat="false" ht="12.75" hidden="false" customHeight="false" outlineLevel="0" collapsed="false">
      <c r="A18" s="3" t="s">
        <v>24</v>
      </c>
      <c r="B18" s="3" t="n">
        <v>0.654659107085726</v>
      </c>
      <c r="C18" s="3" t="n">
        <v>0.020093157822627</v>
      </c>
      <c r="D18" s="3" t="n">
        <v>32.5811956918246</v>
      </c>
      <c r="E18" s="3" t="n">
        <v>6.53569929710426E-034</v>
      </c>
      <c r="F18" s="3" t="n">
        <v>0.614236925582742</v>
      </c>
      <c r="G18" s="3" t="n">
        <v>0.695081288588711</v>
      </c>
      <c r="H18" s="3" t="n">
        <v>0.614236925582742</v>
      </c>
      <c r="I18" s="3" t="n">
        <v>0.695081288588711</v>
      </c>
    </row>
    <row r="19" customFormat="false" ht="12.75" hidden="false" customHeight="false" outlineLevel="0" collapsed="false">
      <c r="A19" s="3" t="s">
        <v>25</v>
      </c>
      <c r="B19" s="3" t="n">
        <v>0.231140795954451</v>
      </c>
      <c r="C19" s="3" t="n">
        <v>0.621053325163018</v>
      </c>
      <c r="D19" s="3" t="n">
        <v>0.372175442251726</v>
      </c>
      <c r="E19" s="3" t="n">
        <v>0.711435128203037</v>
      </c>
      <c r="F19" s="3" t="n">
        <v>-1.01825616068028</v>
      </c>
      <c r="G19" s="3" t="n">
        <v>1.48053775258918</v>
      </c>
      <c r="H19" s="3" t="n">
        <v>-1.01825616068028</v>
      </c>
      <c r="I19" s="3" t="n">
        <v>1.48053775258918</v>
      </c>
    </row>
    <row r="20" customFormat="false" ht="13.5" hidden="false" customHeight="false" outlineLevel="0" collapsed="false">
      <c r="A20" s="4" t="s">
        <v>26</v>
      </c>
      <c r="B20" s="4" t="n">
        <v>-0.739133967397053</v>
      </c>
      <c r="C20" s="4" t="n">
        <v>0.600325779032766</v>
      </c>
      <c r="D20" s="4" t="n">
        <v>-1.23122143544782</v>
      </c>
      <c r="E20" s="4" t="n">
        <v>0.224365587752026</v>
      </c>
      <c r="F20" s="4" t="n">
        <v>-1.94683251907301</v>
      </c>
      <c r="G20" s="4" t="n">
        <v>0.4685645842789</v>
      </c>
      <c r="H20" s="4" t="n">
        <v>-1.94683251907301</v>
      </c>
      <c r="I20" s="4" t="n">
        <v>0.4685645842789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0.941124980944852</v>
      </c>
    </row>
    <row r="5" customFormat="false" ht="12.75" hidden="false" customHeight="false" outlineLevel="0" collapsed="false">
      <c r="A5" s="3" t="s">
        <v>3</v>
      </c>
      <c r="B5" s="3" t="n">
        <v>0.885716229758447</v>
      </c>
    </row>
    <row r="6" customFormat="false" ht="12.75" hidden="false" customHeight="false" outlineLevel="0" collapsed="false">
      <c r="A6" s="3" t="s">
        <v>4</v>
      </c>
      <c r="B6" s="3" t="n">
        <v>0.878421521019625</v>
      </c>
    </row>
    <row r="7" customFormat="false" ht="12.75" hidden="false" customHeight="false" outlineLevel="0" collapsed="false">
      <c r="A7" s="3" t="s">
        <v>5</v>
      </c>
      <c r="B7" s="3" t="n">
        <v>0.355554752100084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3</v>
      </c>
      <c r="C12" s="3" t="n">
        <v>46.0490713322785</v>
      </c>
      <c r="D12" s="3" t="n">
        <v>15.3496904440928</v>
      </c>
      <c r="E12" s="3" t="n">
        <v>121.418998546804</v>
      </c>
      <c r="F12" s="3" t="n">
        <v>3.82160817197591E-022</v>
      </c>
    </row>
    <row r="13" customFormat="false" ht="12.75" hidden="false" customHeight="false" outlineLevel="0" collapsed="false">
      <c r="A13" s="3" t="s">
        <v>14</v>
      </c>
      <c r="B13" s="3" t="n">
        <v>47</v>
      </c>
      <c r="C13" s="3" t="n">
        <v>5.94170154182476</v>
      </c>
      <c r="D13" s="3" t="n">
        <v>0.126419181740952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51.9907728741032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0.909822731471406</v>
      </c>
      <c r="C17" s="3" t="n">
        <v>0.698787066452389</v>
      </c>
      <c r="D17" s="3" t="n">
        <v>1.30200282053073</v>
      </c>
      <c r="E17" s="3" t="n">
        <v>0.199260483269476</v>
      </c>
      <c r="F17" s="3" t="n">
        <v>-0.495954194257413</v>
      </c>
      <c r="G17" s="3" t="n">
        <v>2.31559965720022</v>
      </c>
      <c r="H17" s="3" t="n">
        <v>-0.495954194257413</v>
      </c>
      <c r="I17" s="3" t="n">
        <v>2.31559965720022</v>
      </c>
    </row>
    <row r="18" customFormat="false" ht="12.75" hidden="false" customHeight="false" outlineLevel="0" collapsed="false">
      <c r="A18" s="3" t="s">
        <v>27</v>
      </c>
      <c r="B18" s="3" t="n">
        <v>0.914736377525891</v>
      </c>
      <c r="C18" s="3" t="n">
        <v>0.0646909359034155</v>
      </c>
      <c r="D18" s="3" t="n">
        <v>14.1401011556179</v>
      </c>
      <c r="E18" s="3" t="n">
        <v>1.49853020706674E-018</v>
      </c>
      <c r="F18" s="3" t="n">
        <v>0.784595123683696</v>
      </c>
      <c r="G18" s="3" t="n">
        <v>1.04487763136809</v>
      </c>
      <c r="H18" s="3" t="n">
        <v>0.784595123683696</v>
      </c>
      <c r="I18" s="3" t="n">
        <v>1.04487763136809</v>
      </c>
    </row>
    <row r="19" customFormat="false" ht="12.75" hidden="false" customHeight="false" outlineLevel="0" collapsed="false">
      <c r="A19" s="3" t="s">
        <v>28</v>
      </c>
      <c r="B19" s="3" t="n">
        <v>0.101206876297478</v>
      </c>
      <c r="C19" s="3" t="n">
        <v>0.087361599512462</v>
      </c>
      <c r="D19" s="3" t="n">
        <v>1.15848240946002</v>
      </c>
      <c r="E19" s="3" t="n">
        <v>0.252519915578513</v>
      </c>
      <c r="F19" s="3" t="n">
        <v>-0.0745418269704127</v>
      </c>
      <c r="G19" s="3" t="n">
        <v>0.276955579565369</v>
      </c>
      <c r="H19" s="3" t="n">
        <v>-0.0745418269704127</v>
      </c>
      <c r="I19" s="3" t="n">
        <v>0.276955579565369</v>
      </c>
    </row>
    <row r="20" customFormat="false" ht="13.5" hidden="false" customHeight="false" outlineLevel="0" collapsed="false">
      <c r="A20" s="4" t="s">
        <v>29</v>
      </c>
      <c r="B20" s="4" t="n">
        <v>-0.113931923122231</v>
      </c>
      <c r="C20" s="4" t="n">
        <v>0.0873818415534833</v>
      </c>
      <c r="D20" s="4" t="n">
        <v>-1.30383980351911</v>
      </c>
      <c r="E20" s="4" t="n">
        <v>0.198638323835219</v>
      </c>
      <c r="F20" s="4" t="n">
        <v>-0.289721348085705</v>
      </c>
      <c r="G20" s="4" t="n">
        <v>0.0618575018412426</v>
      </c>
      <c r="H20" s="4" t="n">
        <v>-0.289721348085705</v>
      </c>
      <c r="I20" s="4" t="n">
        <v>0.0618575018412426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0.942064755399573</v>
      </c>
    </row>
    <row r="5" customFormat="false" ht="12.75" hidden="false" customHeight="false" outlineLevel="0" collapsed="false">
      <c r="A5" s="3" t="s">
        <v>3</v>
      </c>
      <c r="B5" s="3" t="n">
        <v>0.887486003366058</v>
      </c>
    </row>
    <row r="6" customFormat="false" ht="12.75" hidden="false" customHeight="false" outlineLevel="0" collapsed="false">
      <c r="A6" s="3" t="s">
        <v>4</v>
      </c>
      <c r="B6" s="3" t="n">
        <v>0.877702177571802</v>
      </c>
    </row>
    <row r="7" customFormat="false" ht="12.75" hidden="false" customHeight="false" outlineLevel="0" collapsed="false">
      <c r="A7" s="3" t="s">
        <v>5</v>
      </c>
      <c r="B7" s="3" t="n">
        <v>0.356605056297913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4</v>
      </c>
      <c r="C12" s="3" t="n">
        <v>46.1410832299503</v>
      </c>
      <c r="D12" s="3" t="n">
        <v>11.5352708074876</v>
      </c>
      <c r="E12" s="3" t="n">
        <v>90.7095058752073</v>
      </c>
      <c r="F12" s="3" t="n">
        <v>3.22412249762215E-021</v>
      </c>
    </row>
    <row r="13" customFormat="false" ht="12.75" hidden="false" customHeight="false" outlineLevel="0" collapsed="false">
      <c r="A13" s="3" t="s">
        <v>14</v>
      </c>
      <c r="B13" s="3" t="n">
        <v>46</v>
      </c>
      <c r="C13" s="3" t="n">
        <v>5.84968964415292</v>
      </c>
      <c r="D13" s="3" t="n">
        <v>0.127167166177237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51.9907728741032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1.01825304166736</v>
      </c>
      <c r="C17" s="3" t="n">
        <v>0.712349440085579</v>
      </c>
      <c r="D17" s="3" t="n">
        <v>1.42942913178261</v>
      </c>
      <c r="E17" s="3" t="n">
        <v>0.159637544535023</v>
      </c>
      <c r="F17" s="3" t="n">
        <v>-0.415630639932591</v>
      </c>
      <c r="G17" s="3" t="n">
        <v>2.45213672326731</v>
      </c>
      <c r="H17" s="3" t="n">
        <v>-0.415630639932591</v>
      </c>
      <c r="I17" s="3" t="n">
        <v>2.45213672326731</v>
      </c>
    </row>
    <row r="18" customFormat="false" ht="12.75" hidden="false" customHeight="false" outlineLevel="0" collapsed="false">
      <c r="A18" s="3" t="s">
        <v>30</v>
      </c>
      <c r="B18" s="3" t="n">
        <v>0.71536264047855</v>
      </c>
      <c r="C18" s="3" t="n">
        <v>0.840991794440476</v>
      </c>
      <c r="D18" s="3" t="n">
        <v>0.850617860016686</v>
      </c>
      <c r="E18" s="3" t="n">
        <v>0.399387791634347</v>
      </c>
      <c r="F18" s="3" t="n">
        <v>-0.977464422406186</v>
      </c>
      <c r="G18" s="3" t="n">
        <v>2.40818970336329</v>
      </c>
      <c r="H18" s="3" t="n">
        <v>-0.977464422406186</v>
      </c>
      <c r="I18" s="3" t="n">
        <v>2.40818970336329</v>
      </c>
    </row>
    <row r="19" customFormat="false" ht="12.75" hidden="false" customHeight="false" outlineLevel="0" collapsed="false">
      <c r="A19" s="3" t="s">
        <v>27</v>
      </c>
      <c r="B19" s="3" t="n">
        <v>0.91787418146798</v>
      </c>
      <c r="C19" s="3" t="n">
        <v>0.064986811919994</v>
      </c>
      <c r="D19" s="3" t="n">
        <v>14.1240069230967</v>
      </c>
      <c r="E19" s="3" t="n">
        <v>2.42072962354713E-018</v>
      </c>
      <c r="F19" s="3" t="n">
        <v>0.787062638863145</v>
      </c>
      <c r="G19" s="3" t="n">
        <v>1.04868572407281</v>
      </c>
      <c r="H19" s="3" t="n">
        <v>0.787062638863145</v>
      </c>
      <c r="I19" s="3" t="n">
        <v>1.04868572407281</v>
      </c>
    </row>
    <row r="20" customFormat="false" ht="12.75" hidden="false" customHeight="false" outlineLevel="0" collapsed="false">
      <c r="A20" s="3" t="s">
        <v>28</v>
      </c>
      <c r="B20" s="3" t="n">
        <v>0.0985038469108708</v>
      </c>
      <c r="C20" s="3" t="n">
        <v>0.0876772693018954</v>
      </c>
      <c r="D20" s="3" t="n">
        <v>1.12348214873911</v>
      </c>
      <c r="E20" s="3" t="n">
        <v>0.267062042159078</v>
      </c>
      <c r="F20" s="3" t="n">
        <v>-0.0779811738173389</v>
      </c>
      <c r="G20" s="3" t="n">
        <v>0.274988867639081</v>
      </c>
      <c r="H20" s="3" t="n">
        <v>-0.0779811738173389</v>
      </c>
      <c r="I20" s="3" t="n">
        <v>0.274988867639081</v>
      </c>
    </row>
    <row r="21" customFormat="false" ht="13.5" hidden="false" customHeight="false" outlineLevel="0" collapsed="false">
      <c r="A21" s="4" t="s">
        <v>29</v>
      </c>
      <c r="B21" s="4" t="n">
        <v>-0.128247770303473</v>
      </c>
      <c r="C21" s="4" t="n">
        <v>0.0892413053250588</v>
      </c>
      <c r="D21" s="4" t="n">
        <v>-1.43708980764383</v>
      </c>
      <c r="E21" s="4" t="n">
        <v>0.15746001767629</v>
      </c>
      <c r="F21" s="4" t="n">
        <v>-0.307881029248559</v>
      </c>
      <c r="G21" s="4" t="n">
        <v>0.0513854886416142</v>
      </c>
      <c r="H21" s="4" t="n">
        <v>-0.307881029248559</v>
      </c>
      <c r="I21" s="4" t="n">
        <v>0.0513854886416142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0.946305574783387</v>
      </c>
    </row>
    <row r="5" customFormat="false" ht="12.75" hidden="false" customHeight="false" outlineLevel="0" collapsed="false">
      <c r="A5" s="3" t="s">
        <v>3</v>
      </c>
      <c r="B5" s="3" t="n">
        <v>0.895494240866117</v>
      </c>
    </row>
    <row r="6" customFormat="false" ht="12.75" hidden="false" customHeight="false" outlineLevel="0" collapsed="false">
      <c r="A6" s="3" t="s">
        <v>4</v>
      </c>
      <c r="B6" s="3" t="n">
        <v>0.886406783550127</v>
      </c>
    </row>
    <row r="7" customFormat="false" ht="12.75" hidden="false" customHeight="false" outlineLevel="0" collapsed="false">
      <c r="A7" s="3" t="s">
        <v>5</v>
      </c>
      <c r="B7" s="3" t="n">
        <v>0.293721229522773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4</v>
      </c>
      <c r="C12" s="3" t="n">
        <v>34.0056499162849</v>
      </c>
      <c r="D12" s="3" t="n">
        <v>8.50141247907123</v>
      </c>
      <c r="E12" s="3" t="n">
        <v>98.5417823410791</v>
      </c>
      <c r="F12" s="3" t="n">
        <v>5.95121814241896E-022</v>
      </c>
    </row>
    <row r="13" customFormat="false" ht="12.75" hidden="false" customHeight="false" outlineLevel="0" collapsed="false">
      <c r="A13" s="3" t="s">
        <v>14</v>
      </c>
      <c r="B13" s="3" t="n">
        <v>46</v>
      </c>
      <c r="C13" s="3" t="n">
        <v>3.96851939092899</v>
      </c>
      <c r="D13" s="3" t="n">
        <v>0.0862721606723694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37.9741693072139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2.86231105911078</v>
      </c>
      <c r="C17" s="3" t="n">
        <v>0.586733557745742</v>
      </c>
      <c r="D17" s="3" t="n">
        <v>4.8783830775044</v>
      </c>
      <c r="E17" s="3" t="n">
        <v>1.32051594942069E-005</v>
      </c>
      <c r="F17" s="3" t="n">
        <v>1.68127879242207</v>
      </c>
      <c r="G17" s="3" t="n">
        <v>4.04334332579948</v>
      </c>
      <c r="H17" s="3" t="n">
        <v>1.68127879242207</v>
      </c>
      <c r="I17" s="3" t="n">
        <v>4.04334332579948</v>
      </c>
    </row>
    <row r="18" customFormat="false" ht="12.75" hidden="false" customHeight="false" outlineLevel="0" collapsed="false">
      <c r="A18" s="3" t="s">
        <v>30</v>
      </c>
      <c r="B18" s="3" t="n">
        <v>1.73477152985596</v>
      </c>
      <c r="C18" s="3" t="n">
        <v>0.692691086452958</v>
      </c>
      <c r="D18" s="3" t="n">
        <v>2.50439418635969</v>
      </c>
      <c r="E18" s="3" t="n">
        <v>0.0158737239786774</v>
      </c>
      <c r="F18" s="3" t="n">
        <v>0.34045802392366</v>
      </c>
      <c r="G18" s="3" t="n">
        <v>3.12908503578827</v>
      </c>
      <c r="H18" s="3" t="n">
        <v>0.34045802392366</v>
      </c>
      <c r="I18" s="3" t="n">
        <v>3.12908503578827</v>
      </c>
    </row>
    <row r="19" customFormat="false" ht="12.75" hidden="false" customHeight="false" outlineLevel="0" collapsed="false">
      <c r="A19" s="3" t="s">
        <v>27</v>
      </c>
      <c r="B19" s="3" t="n">
        <v>0.820822217890698</v>
      </c>
      <c r="C19" s="3" t="n">
        <v>0.0535270208955182</v>
      </c>
      <c r="D19" s="3" t="n">
        <v>15.3347263523762</v>
      </c>
      <c r="E19" s="3" t="n">
        <v>1.05429445206255E-019</v>
      </c>
      <c r="F19" s="3" t="n">
        <v>0.713078016143979</v>
      </c>
      <c r="G19" s="3" t="n">
        <v>0.928566419637417</v>
      </c>
      <c r="H19" s="3" t="n">
        <v>0.713078016143979</v>
      </c>
      <c r="I19" s="3" t="n">
        <v>0.928566419637417</v>
      </c>
    </row>
    <row r="20" customFormat="false" ht="12.75" hidden="false" customHeight="false" outlineLevel="0" collapsed="false">
      <c r="A20" s="3" t="s">
        <v>28</v>
      </c>
      <c r="B20" s="3" t="n">
        <v>-0.0762916040072521</v>
      </c>
      <c r="C20" s="3" t="n">
        <v>0.0722162372230579</v>
      </c>
      <c r="D20" s="3" t="n">
        <v>-1.05643283201818</v>
      </c>
      <c r="E20" s="3" t="n">
        <v>0.296287328135333</v>
      </c>
      <c r="F20" s="3" t="n">
        <v>-0.221655211071018</v>
      </c>
      <c r="G20" s="3" t="n">
        <v>0.0690720030565136</v>
      </c>
      <c r="H20" s="3" t="n">
        <v>-0.221655211071018</v>
      </c>
      <c r="I20" s="3" t="n">
        <v>0.0690720030565136</v>
      </c>
    </row>
    <row r="21" customFormat="false" ht="13.5" hidden="false" customHeight="false" outlineLevel="0" collapsed="false">
      <c r="A21" s="4" t="s">
        <v>29</v>
      </c>
      <c r="B21" s="4" t="n">
        <v>0.00574561154013693</v>
      </c>
      <c r="C21" s="4" t="n">
        <v>0.0735044707341321</v>
      </c>
      <c r="D21" s="4" t="n">
        <v>0.0781668309798323</v>
      </c>
      <c r="E21" s="4" t="n">
        <v>0.938034381676619</v>
      </c>
      <c r="F21" s="4" t="n">
        <v>-0.142211072608658</v>
      </c>
      <c r="G21" s="4" t="n">
        <v>0.153702295688932</v>
      </c>
      <c r="H21" s="4" t="n">
        <v>-0.142211072608658</v>
      </c>
      <c r="I21" s="4" t="n">
        <v>0.153702295688932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0.932581857191156</v>
      </c>
    </row>
    <row r="5" customFormat="false" ht="12.75" hidden="false" customHeight="false" outlineLevel="0" collapsed="false">
      <c r="A5" s="3" t="s">
        <v>3</v>
      </c>
      <c r="B5" s="3" t="n">
        <v>0.869708920362105</v>
      </c>
    </row>
    <row r="6" customFormat="false" ht="12.75" hidden="false" customHeight="false" outlineLevel="0" collapsed="false">
      <c r="A6" s="3" t="s">
        <v>4</v>
      </c>
      <c r="B6" s="3" t="n">
        <v>0.858379261263158</v>
      </c>
    </row>
    <row r="7" customFormat="false" ht="12.75" hidden="false" customHeight="false" outlineLevel="0" collapsed="false">
      <c r="A7" s="3" t="s">
        <v>5</v>
      </c>
      <c r="B7" s="3" t="n">
        <v>0.357854257973263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4</v>
      </c>
      <c r="C12" s="3" t="n">
        <v>39.3214434154111</v>
      </c>
      <c r="D12" s="3" t="n">
        <v>9.83036085385277</v>
      </c>
      <c r="E12" s="3" t="n">
        <v>76.7639090255511</v>
      </c>
      <c r="F12" s="3" t="n">
        <v>9.23262821073989E-020</v>
      </c>
    </row>
    <row r="13" customFormat="false" ht="12.75" hidden="false" customHeight="false" outlineLevel="0" collapsed="false">
      <c r="A13" s="3" t="s">
        <v>14</v>
      </c>
      <c r="B13" s="3" t="n">
        <v>46</v>
      </c>
      <c r="C13" s="3" t="n">
        <v>5.89074481768135</v>
      </c>
      <c r="D13" s="3" t="n">
        <v>0.128059669949594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45.2121882330924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1.44878024381856</v>
      </c>
      <c r="C17" s="3" t="n">
        <v>0.714844828466293</v>
      </c>
      <c r="D17" s="3" t="n">
        <v>2.02670591732045</v>
      </c>
      <c r="E17" s="3" t="n">
        <v>0.0485120982779178</v>
      </c>
      <c r="F17" s="3" t="n">
        <v>0.00987361073298976</v>
      </c>
      <c r="G17" s="3" t="n">
        <v>2.88768687690413</v>
      </c>
      <c r="H17" s="3" t="n">
        <v>0.00987361073298976</v>
      </c>
      <c r="I17" s="3" t="n">
        <v>2.88768687690413</v>
      </c>
    </row>
    <row r="18" customFormat="false" ht="12.75" hidden="false" customHeight="false" outlineLevel="0" collapsed="false">
      <c r="A18" s="3" t="s">
        <v>30</v>
      </c>
      <c r="B18" s="3" t="n">
        <v>1.9360553005215</v>
      </c>
      <c r="C18" s="3" t="n">
        <v>0.843937822097731</v>
      </c>
      <c r="D18" s="3" t="n">
        <v>2.29407339003856</v>
      </c>
      <c r="E18" s="3" t="n">
        <v>0.0264019308305711</v>
      </c>
      <c r="F18" s="3" t="n">
        <v>0.237298197202151</v>
      </c>
      <c r="G18" s="3" t="n">
        <v>3.63481240384084</v>
      </c>
      <c r="H18" s="3" t="n">
        <v>0.237298197202151</v>
      </c>
      <c r="I18" s="3" t="n">
        <v>3.63481240384084</v>
      </c>
    </row>
    <row r="19" customFormat="false" ht="12.75" hidden="false" customHeight="false" outlineLevel="0" collapsed="false">
      <c r="A19" s="3" t="s">
        <v>27</v>
      </c>
      <c r="B19" s="3" t="n">
        <v>0.875999840784963</v>
      </c>
      <c r="C19" s="3" t="n">
        <v>0.0652144633032046</v>
      </c>
      <c r="D19" s="3" t="n">
        <v>13.4326006289761</v>
      </c>
      <c r="E19" s="3" t="n">
        <v>1.56665456458642E-017</v>
      </c>
      <c r="F19" s="3" t="n">
        <v>0.744730060150996</v>
      </c>
      <c r="G19" s="3" t="n">
        <v>1.00726962141893</v>
      </c>
      <c r="H19" s="3" t="n">
        <v>0.744730060150996</v>
      </c>
      <c r="I19" s="3" t="n">
        <v>1.00726962141893</v>
      </c>
    </row>
    <row r="20" customFormat="false" ht="12.75" hidden="false" customHeight="false" outlineLevel="0" collapsed="false">
      <c r="A20" s="3" t="s">
        <v>28</v>
      </c>
      <c r="B20" s="3" t="n">
        <v>-0.0226668909348834</v>
      </c>
      <c r="C20" s="3" t="n">
        <v>0.0879844062585025</v>
      </c>
      <c r="D20" s="3" t="n">
        <v>-0.257623957457722</v>
      </c>
      <c r="E20" s="3" t="n">
        <v>0.797846170306354</v>
      </c>
      <c r="F20" s="3" t="n">
        <v>-0.199770145700088</v>
      </c>
      <c r="G20" s="3" t="n">
        <v>0.154436363830321</v>
      </c>
      <c r="H20" s="3" t="n">
        <v>-0.199770145700088</v>
      </c>
      <c r="I20" s="3" t="n">
        <v>0.154436363830321</v>
      </c>
    </row>
    <row r="21" customFormat="false" ht="13.5" hidden="false" customHeight="false" outlineLevel="0" collapsed="false">
      <c r="A21" s="4" t="s">
        <v>29</v>
      </c>
      <c r="B21" s="4" t="n">
        <v>-0.0558399555270335</v>
      </c>
      <c r="C21" s="4" t="n">
        <v>0.0895539211619732</v>
      </c>
      <c r="D21" s="4" t="n">
        <v>-0.623534456141095</v>
      </c>
      <c r="E21" s="4" t="n">
        <v>0.536013144007341</v>
      </c>
      <c r="F21" s="4" t="n">
        <v>-0.236102476912626</v>
      </c>
      <c r="G21" s="4" t="n">
        <v>0.124422565858559</v>
      </c>
      <c r="H21" s="4" t="n">
        <v>-0.236102476912626</v>
      </c>
      <c r="I21" s="4" t="n">
        <v>0.124422565858559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2"/>
      <c r="B1" s="2" t="s">
        <v>24</v>
      </c>
      <c r="C1" s="2" t="s">
        <v>25</v>
      </c>
      <c r="D1" s="2" t="s">
        <v>26</v>
      </c>
    </row>
    <row r="2" customFormat="false" ht="12.75" hidden="false" customHeight="false" outlineLevel="0" collapsed="false">
      <c r="A2" s="3" t="s">
        <v>24</v>
      </c>
      <c r="B2" s="3" t="n">
        <v>1</v>
      </c>
      <c r="C2" s="3"/>
      <c r="D2" s="3"/>
    </row>
    <row r="3" customFormat="false" ht="12.75" hidden="false" customHeight="false" outlineLevel="0" collapsed="false">
      <c r="A3" s="3" t="s">
        <v>25</v>
      </c>
      <c r="B3" s="3" t="n">
        <v>0.293235572233074</v>
      </c>
      <c r="C3" s="3" t="n">
        <v>1</v>
      </c>
      <c r="D3" s="3"/>
    </row>
    <row r="4" customFormat="false" ht="13.5" hidden="false" customHeight="false" outlineLevel="0" collapsed="false">
      <c r="A4" s="4" t="s">
        <v>26</v>
      </c>
      <c r="B4" s="4" t="n">
        <v>0.319663107061399</v>
      </c>
      <c r="C4" s="4" t="n">
        <v>0.582267653143037</v>
      </c>
      <c r="D4" s="4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2"/>
      <c r="B1" s="2" t="s">
        <v>24</v>
      </c>
      <c r="C1" s="2" t="s">
        <v>25</v>
      </c>
      <c r="D1" s="2" t="s">
        <v>26</v>
      </c>
      <c r="E1" s="2" t="s">
        <v>31</v>
      </c>
    </row>
    <row r="2" customFormat="false" ht="12.75" hidden="false" customHeight="false" outlineLevel="0" collapsed="false">
      <c r="A2" s="3" t="s">
        <v>24</v>
      </c>
      <c r="B2" s="3" t="n">
        <v>1</v>
      </c>
      <c r="C2" s="3"/>
      <c r="D2" s="3"/>
      <c r="E2" s="3"/>
    </row>
    <row r="3" customFormat="false" ht="12.75" hidden="false" customHeight="false" outlineLevel="0" collapsed="false">
      <c r="A3" s="3" t="s">
        <v>25</v>
      </c>
      <c r="B3" s="3" t="n">
        <v>0.293235572233074</v>
      </c>
      <c r="C3" s="3" t="n">
        <v>1</v>
      </c>
      <c r="D3" s="3"/>
      <c r="E3" s="3"/>
    </row>
    <row r="4" customFormat="false" ht="12.75" hidden="false" customHeight="false" outlineLevel="0" collapsed="false">
      <c r="A4" s="3" t="s">
        <v>26</v>
      </c>
      <c r="B4" s="3" t="n">
        <v>0.319663107061399</v>
      </c>
      <c r="C4" s="3" t="n">
        <v>0.582267653143037</v>
      </c>
      <c r="D4" s="3" t="n">
        <v>1</v>
      </c>
      <c r="E4" s="3"/>
    </row>
    <row r="5" customFormat="false" ht="13.5" hidden="false" customHeight="false" outlineLevel="0" collapsed="false">
      <c r="A5" s="4" t="s">
        <v>31</v>
      </c>
      <c r="B5" s="4" t="n">
        <v>0.257096351587343</v>
      </c>
      <c r="C5" s="4" t="n">
        <v>0.503335260516653</v>
      </c>
      <c r="D5" s="4" t="n">
        <v>0.463129354168559</v>
      </c>
      <c r="E5" s="4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2"/>
      <c r="B1" s="2" t="s">
        <v>24</v>
      </c>
      <c r="C1" s="2" t="s">
        <v>25</v>
      </c>
      <c r="D1" s="2" t="s">
        <v>26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</row>
    <row r="2" customFormat="false" ht="12.75" hidden="false" customHeight="false" outlineLevel="0" collapsed="false">
      <c r="A2" s="3" t="s">
        <v>24</v>
      </c>
      <c r="B2" s="3" t="n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2.75" hidden="false" customHeight="false" outlineLevel="0" collapsed="false">
      <c r="A3" s="3" t="s">
        <v>25</v>
      </c>
      <c r="B3" s="3" t="n">
        <v>0.293235572233074</v>
      </c>
      <c r="C3" s="3" t="n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2.75" hidden="false" customHeight="false" outlineLevel="0" collapsed="false">
      <c r="A4" s="3" t="s">
        <v>26</v>
      </c>
      <c r="B4" s="3" t="n">
        <v>0.319663107061399</v>
      </c>
      <c r="C4" s="3" t="n">
        <v>0.582267653143037</v>
      </c>
      <c r="D4" s="3" t="n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2.75" hidden="false" customHeight="false" outlineLevel="0" collapsed="false">
      <c r="A5" s="3" t="s">
        <v>31</v>
      </c>
      <c r="B5" s="3" t="n">
        <v>0.257096351587343</v>
      </c>
      <c r="C5" s="3" t="n">
        <v>0.503335260516653</v>
      </c>
      <c r="D5" s="3" t="n">
        <v>0.463129354168559</v>
      </c>
      <c r="E5" s="3" t="n">
        <v>1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2.75" hidden="false" customHeight="false" outlineLevel="0" collapsed="false">
      <c r="A6" s="3" t="s">
        <v>32</v>
      </c>
      <c r="B6" s="3" t="n">
        <v>0.999494839132365</v>
      </c>
      <c r="C6" s="3" t="n">
        <v>0.319606990891867</v>
      </c>
      <c r="D6" s="3" t="n">
        <v>0.346053513391354</v>
      </c>
      <c r="E6" s="3" t="n">
        <v>0.27234207093631</v>
      </c>
      <c r="F6" s="3" t="n">
        <v>1</v>
      </c>
      <c r="G6" s="3"/>
      <c r="H6" s="3"/>
      <c r="I6" s="3"/>
      <c r="J6" s="3"/>
      <c r="K6" s="3"/>
      <c r="L6" s="3"/>
      <c r="M6" s="3"/>
      <c r="N6" s="3"/>
      <c r="O6" s="3"/>
    </row>
    <row r="7" customFormat="false" ht="12.75" hidden="false" customHeight="false" outlineLevel="0" collapsed="false">
      <c r="A7" s="3" t="s">
        <v>33</v>
      </c>
      <c r="B7" s="3" t="n">
        <v>0.999839373744212</v>
      </c>
      <c r="C7" s="3" t="n">
        <v>0.310323387218747</v>
      </c>
      <c r="D7" s="3" t="n">
        <v>0.328770207905249</v>
      </c>
      <c r="E7" s="3" t="n">
        <v>0.265077709693883</v>
      </c>
      <c r="F7" s="3" t="n">
        <v>0.999831453595884</v>
      </c>
      <c r="G7" s="3" t="n">
        <v>1</v>
      </c>
      <c r="H7" s="3"/>
      <c r="I7" s="3"/>
      <c r="J7" s="3"/>
      <c r="K7" s="3"/>
      <c r="L7" s="3"/>
      <c r="M7" s="3"/>
      <c r="N7" s="3"/>
      <c r="O7" s="3"/>
    </row>
    <row r="8" customFormat="false" ht="12.75" hidden="false" customHeight="false" outlineLevel="0" collapsed="false">
      <c r="A8" s="3" t="s">
        <v>34</v>
      </c>
      <c r="B8" s="3" t="n">
        <v>0.344832866184916</v>
      </c>
      <c r="C8" s="3" t="n">
        <v>0.884368990883352</v>
      </c>
      <c r="D8" s="3" t="n">
        <v>0.894437167330361</v>
      </c>
      <c r="E8" s="3" t="n">
        <v>0.542771610475176</v>
      </c>
      <c r="F8" s="3" t="n">
        <v>0.37449086466951</v>
      </c>
      <c r="G8" s="3" t="n">
        <v>0.359461025561388</v>
      </c>
      <c r="H8" s="3" t="n">
        <v>1</v>
      </c>
      <c r="I8" s="3"/>
      <c r="J8" s="3"/>
      <c r="K8" s="3"/>
      <c r="L8" s="3"/>
      <c r="M8" s="3"/>
      <c r="N8" s="3"/>
      <c r="O8" s="3"/>
    </row>
    <row r="9" customFormat="false" ht="12.75" hidden="false" customHeight="false" outlineLevel="0" collapsed="false">
      <c r="A9" s="3" t="s">
        <v>35</v>
      </c>
      <c r="B9" s="3" t="n">
        <v>0.238265197120885</v>
      </c>
      <c r="C9" s="3" t="n">
        <v>-0.486241877260828</v>
      </c>
      <c r="D9" s="3" t="n">
        <v>-0.517983886507525</v>
      </c>
      <c r="E9" s="3" t="n">
        <v>-0.232373004620094</v>
      </c>
      <c r="F9" s="3" t="n">
        <v>0.216237648861966</v>
      </c>
      <c r="G9" s="3" t="n">
        <v>0.227801587571274</v>
      </c>
      <c r="H9" s="3" t="n">
        <v>-0.564864444911588</v>
      </c>
      <c r="I9" s="3" t="n">
        <v>1</v>
      </c>
      <c r="J9" s="3"/>
      <c r="K9" s="3"/>
      <c r="L9" s="3"/>
      <c r="M9" s="3"/>
      <c r="N9" s="3"/>
      <c r="O9" s="3"/>
    </row>
    <row r="10" customFormat="false" ht="12.75" hidden="false" customHeight="false" outlineLevel="0" collapsed="false">
      <c r="A10" s="3" t="s">
        <v>36</v>
      </c>
      <c r="B10" s="3" t="n">
        <v>0.200298175647715</v>
      </c>
      <c r="C10" s="3" t="n">
        <v>-0.203898471822148</v>
      </c>
      <c r="D10" s="3" t="n">
        <v>-0.657857679278743</v>
      </c>
      <c r="E10" s="3" t="n">
        <v>-0.0910470955066663</v>
      </c>
      <c r="F10" s="3" t="n">
        <v>0.181272288891722</v>
      </c>
      <c r="G10" s="3" t="n">
        <v>0.195342445232597</v>
      </c>
      <c r="H10" s="3" t="n">
        <v>-0.489869471505587</v>
      </c>
      <c r="I10" s="3" t="n">
        <v>0.84363093771947</v>
      </c>
      <c r="J10" s="3" t="n">
        <v>1</v>
      </c>
      <c r="K10" s="3"/>
      <c r="L10" s="3"/>
      <c r="M10" s="3"/>
      <c r="N10" s="3"/>
      <c r="O10" s="3"/>
    </row>
    <row r="11" customFormat="false" ht="12.75" hidden="false" customHeight="false" outlineLevel="0" collapsed="false">
      <c r="A11" s="3" t="s">
        <v>37</v>
      </c>
      <c r="B11" s="3" t="n">
        <v>-0.236889181854477</v>
      </c>
      <c r="C11" s="3" t="n">
        <v>0.577350560152353</v>
      </c>
      <c r="D11" s="3" t="n">
        <v>0.377414858530982</v>
      </c>
      <c r="E11" s="3" t="n">
        <v>0.297802586712064</v>
      </c>
      <c r="F11" s="3" t="n">
        <v>-0.215914251948026</v>
      </c>
      <c r="G11" s="3" t="n">
        <v>-0.224725351488811</v>
      </c>
      <c r="H11" s="3" t="n">
        <v>0.534270513151231</v>
      </c>
      <c r="I11" s="3" t="n">
        <v>-0.952374731257448</v>
      </c>
      <c r="J11" s="3" t="n">
        <v>-0.642500983480202</v>
      </c>
      <c r="K11" s="3" t="n">
        <v>1</v>
      </c>
      <c r="L11" s="3"/>
      <c r="M11" s="3"/>
      <c r="N11" s="3"/>
      <c r="O11" s="3"/>
    </row>
    <row r="12" customFormat="false" ht="12.75" hidden="false" customHeight="false" outlineLevel="0" collapsed="false">
      <c r="A12" s="3" t="s">
        <v>38</v>
      </c>
      <c r="B12" s="3" t="n">
        <v>-0.159846449712036</v>
      </c>
      <c r="C12" s="3" t="n">
        <v>0.0557905395432122</v>
      </c>
      <c r="D12" s="3" t="n">
        <v>0.652415741317958</v>
      </c>
      <c r="E12" s="3" t="n">
        <v>0.0121911195947496</v>
      </c>
      <c r="F12" s="3" t="n">
        <v>-0.144177432729307</v>
      </c>
      <c r="G12" s="3" t="n">
        <v>-0.157896156456113</v>
      </c>
      <c r="H12" s="3" t="n">
        <v>0.405277343582184</v>
      </c>
      <c r="I12" s="3" t="n">
        <v>-0.687684131384411</v>
      </c>
      <c r="J12" s="3" t="n">
        <v>-0.969846636246897</v>
      </c>
      <c r="K12" s="3" t="n">
        <v>0.436371515513171</v>
      </c>
      <c r="L12" s="3" t="n">
        <v>1</v>
      </c>
      <c r="M12" s="3"/>
      <c r="N12" s="3"/>
      <c r="O12" s="3"/>
    </row>
    <row r="13" customFormat="false" ht="12.75" hidden="false" customHeight="false" outlineLevel="0" collapsed="false">
      <c r="A13" s="3" t="s">
        <v>39</v>
      </c>
      <c r="B13" s="3" t="n">
        <v>-0.238265197120885</v>
      </c>
      <c r="C13" s="3" t="n">
        <v>0.486241877260828</v>
      </c>
      <c r="D13" s="3" t="n">
        <v>0.517983886507525</v>
      </c>
      <c r="E13" s="3" t="n">
        <v>0.232373004620094</v>
      </c>
      <c r="F13" s="3" t="n">
        <v>-0.216237648861966</v>
      </c>
      <c r="G13" s="3" t="n">
        <v>-0.227801587571274</v>
      </c>
      <c r="H13" s="3" t="n">
        <v>0.564864444911588</v>
      </c>
      <c r="I13" s="3" t="n">
        <v>-1</v>
      </c>
      <c r="J13" s="3" t="n">
        <v>-0.84363093771947</v>
      </c>
      <c r="K13" s="3" t="n">
        <v>0.952374731257448</v>
      </c>
      <c r="L13" s="3" t="n">
        <v>0.68768413138441</v>
      </c>
      <c r="M13" s="3" t="n">
        <v>1</v>
      </c>
      <c r="N13" s="3"/>
      <c r="O13" s="3"/>
    </row>
    <row r="14" customFormat="false" ht="12.75" hidden="false" customHeight="false" outlineLevel="0" collapsed="false">
      <c r="A14" s="3" t="s">
        <v>40</v>
      </c>
      <c r="B14" s="3" t="n">
        <v>-0.00909003000841255</v>
      </c>
      <c r="C14" s="3" t="n">
        <v>0.291072844404426</v>
      </c>
      <c r="D14" s="3" t="n">
        <v>-0.313314428628618</v>
      </c>
      <c r="E14" s="3" t="n">
        <v>-0.0399513806802845</v>
      </c>
      <c r="F14" s="3" t="n">
        <v>-0.00964921435805542</v>
      </c>
      <c r="G14" s="3" t="n">
        <v>-0.00358188362620398</v>
      </c>
      <c r="H14" s="3" t="n">
        <v>-0.0197856059451719</v>
      </c>
      <c r="I14" s="3" t="n">
        <v>-0.0992560795026714</v>
      </c>
      <c r="J14" s="3" t="n">
        <v>0.273931104076</v>
      </c>
      <c r="K14" s="3" t="n">
        <v>0.269903713768974</v>
      </c>
      <c r="L14" s="3" t="n">
        <v>-0.407490647888186</v>
      </c>
      <c r="M14" s="3" t="n">
        <v>0.0992560795026714</v>
      </c>
      <c r="N14" s="3" t="n">
        <v>1</v>
      </c>
      <c r="O14" s="3"/>
    </row>
    <row r="15" customFormat="false" ht="13.5" hidden="false" customHeight="false" outlineLevel="0" collapsed="false">
      <c r="A15" s="4" t="s">
        <v>41</v>
      </c>
      <c r="B15" s="4" t="n">
        <v>0.00909003000841256</v>
      </c>
      <c r="C15" s="4" t="n">
        <v>-0.291072844404426</v>
      </c>
      <c r="D15" s="4" t="n">
        <v>0.313314428628618</v>
      </c>
      <c r="E15" s="4" t="n">
        <v>0.0399513806802845</v>
      </c>
      <c r="F15" s="4" t="n">
        <v>0.00964921435805548</v>
      </c>
      <c r="G15" s="4" t="n">
        <v>0.00358188362620402</v>
      </c>
      <c r="H15" s="4" t="n">
        <v>0.019785605945172</v>
      </c>
      <c r="I15" s="4" t="n">
        <v>0.0992560795026714</v>
      </c>
      <c r="J15" s="4" t="n">
        <v>-0.273931104076</v>
      </c>
      <c r="K15" s="4" t="n">
        <v>-0.269903713768974</v>
      </c>
      <c r="L15" s="4" t="n">
        <v>0.407490647888186</v>
      </c>
      <c r="M15" s="4" t="n">
        <v>-0.0992560795026713</v>
      </c>
      <c r="N15" s="4" t="n">
        <v>-1</v>
      </c>
      <c r="O15" s="4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0.94631216840436</v>
      </c>
    </row>
    <row r="5" customFormat="false" ht="12.75" hidden="false" customHeight="false" outlineLevel="0" collapsed="false">
      <c r="A5" s="3" t="s">
        <v>3</v>
      </c>
      <c r="B5" s="3" t="n">
        <v>0.895506720070162</v>
      </c>
    </row>
    <row r="6" customFormat="false" ht="12.75" hidden="false" customHeight="false" outlineLevel="0" collapsed="false">
      <c r="A6" s="3" t="s">
        <v>4</v>
      </c>
      <c r="B6" s="3" t="n">
        <v>0.883896355633513</v>
      </c>
    </row>
    <row r="7" customFormat="false" ht="12.75" hidden="false" customHeight="false" outlineLevel="0" collapsed="false">
      <c r="A7" s="3" t="s">
        <v>5</v>
      </c>
      <c r="B7" s="3" t="n">
        <v>0.296949135319755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5</v>
      </c>
      <c r="C12" s="3" t="n">
        <v>34.0061238036921</v>
      </c>
      <c r="D12" s="3" t="n">
        <v>6.80122476073843</v>
      </c>
      <c r="E12" s="3" t="n">
        <v>77.1299406626249</v>
      </c>
      <c r="F12" s="3" t="n">
        <v>6.31859860957453E-021</v>
      </c>
    </row>
    <row r="13" customFormat="false" ht="12.75" hidden="false" customHeight="false" outlineLevel="0" collapsed="false">
      <c r="A13" s="3" t="s">
        <v>14</v>
      </c>
      <c r="B13" s="3" t="n">
        <v>45</v>
      </c>
      <c r="C13" s="3" t="n">
        <v>3.96804550352177</v>
      </c>
      <c r="D13" s="3" t="n">
        <v>0.0881787889671503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37.9741693072139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2.87338803802815</v>
      </c>
      <c r="C17" s="3" t="n">
        <v>0.61212395545141</v>
      </c>
      <c r="D17" s="3" t="n">
        <v>4.69412773742726</v>
      </c>
      <c r="E17" s="3" t="n">
        <v>2.52820143900007E-005</v>
      </c>
      <c r="F17" s="3" t="n">
        <v>1.64050715817085</v>
      </c>
      <c r="G17" s="3" t="n">
        <v>4.10626891788546</v>
      </c>
      <c r="H17" s="3" t="n">
        <v>1.64050715817085</v>
      </c>
      <c r="I17" s="3" t="n">
        <v>4.10626891788546</v>
      </c>
    </row>
    <row r="18" customFormat="false" ht="12.75" hidden="false" customHeight="false" outlineLevel="0" collapsed="false">
      <c r="A18" s="3" t="s">
        <v>30</v>
      </c>
      <c r="B18" s="3" t="n">
        <v>1.73187344064932</v>
      </c>
      <c r="C18" s="3" t="n">
        <v>0.70141848562493</v>
      </c>
      <c r="D18" s="3" t="n">
        <v>2.4691015080766</v>
      </c>
      <c r="E18" s="3" t="n">
        <v>0.0174068907293449</v>
      </c>
      <c r="F18" s="3" t="n">
        <v>0.319144152726384</v>
      </c>
      <c r="G18" s="3" t="n">
        <v>3.14460272857225</v>
      </c>
      <c r="H18" s="3" t="n">
        <v>0.319144152726384</v>
      </c>
      <c r="I18" s="3" t="n">
        <v>3.14460272857225</v>
      </c>
    </row>
    <row r="19" customFormat="false" ht="12.75" hidden="false" customHeight="false" outlineLevel="0" collapsed="false">
      <c r="A19" s="3" t="s">
        <v>42</v>
      </c>
      <c r="B19" s="3" t="n">
        <v>0.00281369194617387</v>
      </c>
      <c r="C19" s="3" t="n">
        <v>0.0383814191216977</v>
      </c>
      <c r="D19" s="3" t="n">
        <v>0.0733087001617207</v>
      </c>
      <c r="E19" s="3" t="n">
        <v>0.941885359936843</v>
      </c>
      <c r="F19" s="3" t="n">
        <v>-0.0744904510391055</v>
      </c>
      <c r="G19" s="3" t="n">
        <v>0.0801178349314533</v>
      </c>
      <c r="H19" s="3" t="n">
        <v>-0.0744904510391055</v>
      </c>
      <c r="I19" s="3" t="n">
        <v>0.0801178349314533</v>
      </c>
    </row>
    <row r="20" customFormat="false" ht="12.75" hidden="false" customHeight="false" outlineLevel="0" collapsed="false">
      <c r="A20" s="3" t="s">
        <v>27</v>
      </c>
      <c r="B20" s="3" t="n">
        <v>0.821376525468814</v>
      </c>
      <c r="C20" s="3" t="n">
        <v>0.0546409645064673</v>
      </c>
      <c r="D20" s="3" t="n">
        <v>15.0322479276806</v>
      </c>
      <c r="E20" s="3" t="n">
        <v>3.69099929989738E-019</v>
      </c>
      <c r="F20" s="3" t="n">
        <v>0.711323978436397</v>
      </c>
      <c r="G20" s="3" t="n">
        <v>0.93142907250123</v>
      </c>
      <c r="H20" s="3" t="n">
        <v>0.711323978436397</v>
      </c>
      <c r="I20" s="3" t="n">
        <v>0.93142907250123</v>
      </c>
    </row>
    <row r="21" customFormat="false" ht="12.75" hidden="false" customHeight="false" outlineLevel="0" collapsed="false">
      <c r="A21" s="3" t="s">
        <v>28</v>
      </c>
      <c r="B21" s="3" t="n">
        <v>-0.0774498122206253</v>
      </c>
      <c r="C21" s="3" t="n">
        <v>0.0746997421338116</v>
      </c>
      <c r="D21" s="3" t="n">
        <v>-1.03681498768613</v>
      </c>
      <c r="E21" s="3" t="n">
        <v>0.305361589243629</v>
      </c>
      <c r="F21" s="3" t="n">
        <v>-0.227902809504699</v>
      </c>
      <c r="G21" s="3" t="n">
        <v>0.0730031850634483</v>
      </c>
      <c r="H21" s="3" t="n">
        <v>-0.227902809504699</v>
      </c>
      <c r="I21" s="3" t="n">
        <v>0.0730031850634483</v>
      </c>
    </row>
    <row r="22" customFormat="false" ht="13.5" hidden="false" customHeight="false" outlineLevel="0" collapsed="false">
      <c r="A22" s="4" t="s">
        <v>29</v>
      </c>
      <c r="B22" s="4" t="n">
        <v>0.00396922132584233</v>
      </c>
      <c r="C22" s="4" t="n">
        <v>0.0781631934721567</v>
      </c>
      <c r="D22" s="4" t="n">
        <v>0.0507812072347869</v>
      </c>
      <c r="E22" s="4" t="n">
        <v>0.959724608732091</v>
      </c>
      <c r="F22" s="4" t="n">
        <v>-0.153459524734822</v>
      </c>
      <c r="G22" s="4" t="n">
        <v>0.161397967386506</v>
      </c>
      <c r="H22" s="4" t="n">
        <v>-0.153459524734822</v>
      </c>
      <c r="I22" s="4" t="n">
        <v>0.161397967386506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0.97544663622204</v>
      </c>
    </row>
    <row r="5" customFormat="false" ht="12.75" hidden="false" customHeight="false" outlineLevel="0" collapsed="false">
      <c r="A5" s="3" t="s">
        <v>3</v>
      </c>
      <c r="B5" s="3" t="n">
        <v>0.951496140116894</v>
      </c>
    </row>
    <row r="6" customFormat="false" ht="12.75" hidden="false" customHeight="false" outlineLevel="0" collapsed="false">
      <c r="A6" s="3" t="s">
        <v>4</v>
      </c>
      <c r="B6" s="3" t="n">
        <v>0.948400149060525</v>
      </c>
    </row>
    <row r="7" customFormat="false" ht="12.75" hidden="false" customHeight="false" outlineLevel="0" collapsed="false">
      <c r="A7" s="3" t="s">
        <v>5</v>
      </c>
      <c r="B7" s="3" t="n">
        <v>11191.9738592385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3</v>
      </c>
      <c r="C12" s="3" t="n">
        <v>115489356733.461</v>
      </c>
      <c r="D12" s="3" t="n">
        <v>38496452244.4869</v>
      </c>
      <c r="E12" s="3" t="n">
        <v>307.331682421904</v>
      </c>
      <c r="F12" s="3" t="n">
        <v>7.08304783483454E-031</v>
      </c>
    </row>
    <row r="13" customFormat="false" ht="12.75" hidden="false" customHeight="false" outlineLevel="0" collapsed="false">
      <c r="A13" s="3" t="s">
        <v>14</v>
      </c>
      <c r="B13" s="3" t="n">
        <v>47</v>
      </c>
      <c r="C13" s="3" t="n">
        <v>5887233106.69622</v>
      </c>
      <c r="D13" s="3" t="n">
        <v>125260278.865877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121376589840.157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7728.47381025122</v>
      </c>
      <c r="C17" s="3" t="n">
        <v>2332.70668748732</v>
      </c>
      <c r="D17" s="3" t="n">
        <v>3.31309283404849</v>
      </c>
      <c r="E17" s="3" t="n">
        <v>0.0017812132102383</v>
      </c>
      <c r="F17" s="3" t="n">
        <v>3035.67768794863</v>
      </c>
      <c r="G17" s="3" t="n">
        <v>12421.2699325538</v>
      </c>
      <c r="H17" s="3" t="n">
        <v>3035.67768794863</v>
      </c>
      <c r="I17" s="3" t="n">
        <v>12421.2699325538</v>
      </c>
    </row>
    <row r="18" customFormat="false" ht="12.75" hidden="false" customHeight="false" outlineLevel="0" collapsed="false">
      <c r="A18" s="3" t="s">
        <v>24</v>
      </c>
      <c r="B18" s="3" t="n">
        <v>0.019911574312936</v>
      </c>
      <c r="C18" s="3" t="n">
        <v>0.000681586038953801</v>
      </c>
      <c r="D18" s="3" t="n">
        <v>29.213588857394</v>
      </c>
      <c r="E18" s="3" t="n">
        <v>8.69797817665369E-032</v>
      </c>
      <c r="F18" s="3" t="n">
        <v>0.0185404013584557</v>
      </c>
      <c r="G18" s="3" t="n">
        <v>0.0212827472674164</v>
      </c>
      <c r="H18" s="3" t="n">
        <v>0.0185404013584557</v>
      </c>
      <c r="I18" s="3" t="n">
        <v>0.0212827472674164</v>
      </c>
    </row>
    <row r="19" customFormat="false" ht="12.75" hidden="false" customHeight="false" outlineLevel="0" collapsed="false">
      <c r="A19" s="3" t="s">
        <v>25</v>
      </c>
      <c r="B19" s="3" t="n">
        <v>0.00626215300948069</v>
      </c>
      <c r="C19" s="3" t="n">
        <v>0.0210669362980998</v>
      </c>
      <c r="D19" s="3" t="n">
        <v>0.297250294056546</v>
      </c>
      <c r="E19" s="3" t="n">
        <v>0.767585281652529</v>
      </c>
      <c r="F19" s="3" t="n">
        <v>-0.0361190162557426</v>
      </c>
      <c r="G19" s="3" t="n">
        <v>0.0486433222747039</v>
      </c>
      <c r="H19" s="3" t="n">
        <v>-0.0361190162557426</v>
      </c>
      <c r="I19" s="3" t="n">
        <v>0.0486433222747039</v>
      </c>
    </row>
    <row r="20" customFormat="false" ht="13.5" hidden="false" customHeight="false" outlineLevel="0" collapsed="false">
      <c r="A20" s="4" t="s">
        <v>26</v>
      </c>
      <c r="B20" s="4" t="n">
        <v>-0.0512497193922889</v>
      </c>
      <c r="C20" s="4" t="n">
        <v>0.0203638309829043</v>
      </c>
      <c r="D20" s="4" t="n">
        <v>-2.51670323895901</v>
      </c>
      <c r="E20" s="4" t="n">
        <v>0.0153168169039923</v>
      </c>
      <c r="F20" s="4" t="n">
        <v>-0.0922164245440347</v>
      </c>
      <c r="G20" s="4" t="n">
        <v>-0.0102830142405432</v>
      </c>
      <c r="H20" s="4" t="n">
        <v>-0.0922164245440347</v>
      </c>
      <c r="I20" s="4" t="n">
        <v>-0.0102830142405432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0.974121436981787</v>
      </c>
    </row>
    <row r="5" customFormat="false" ht="12.75" hidden="false" customHeight="false" outlineLevel="0" collapsed="false">
      <c r="A5" s="3" t="s">
        <v>3</v>
      </c>
      <c r="B5" s="3" t="n">
        <v>0.948912573987461</v>
      </c>
    </row>
    <row r="6" customFormat="false" ht="12.75" hidden="false" customHeight="false" outlineLevel="0" collapsed="false">
      <c r="A6" s="3" t="s">
        <v>4</v>
      </c>
      <c r="B6" s="3" t="n">
        <v>0.946783931236939</v>
      </c>
    </row>
    <row r="7" customFormat="false" ht="12.75" hidden="false" customHeight="false" outlineLevel="0" collapsed="false">
      <c r="A7" s="3" t="s">
        <v>5</v>
      </c>
      <c r="B7" s="3" t="n">
        <v>11365.9007132384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2</v>
      </c>
      <c r="C12" s="3" t="n">
        <v>115175772287.044</v>
      </c>
      <c r="D12" s="3" t="n">
        <v>57587886143.5218</v>
      </c>
      <c r="E12" s="3" t="n">
        <v>445.782916722196</v>
      </c>
      <c r="F12" s="3" t="n">
        <v>9.98933371889811E-032</v>
      </c>
    </row>
    <row r="13" customFormat="false" ht="12.75" hidden="false" customHeight="false" outlineLevel="0" collapsed="false">
      <c r="A13" s="3" t="s">
        <v>14</v>
      </c>
      <c r="B13" s="3" t="n">
        <v>48</v>
      </c>
      <c r="C13" s="3" t="n">
        <v>6200817553.11332</v>
      </c>
      <c r="D13" s="3" t="n">
        <v>129183699.023194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121376589840.157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7888.92793025875</v>
      </c>
      <c r="C17" s="3" t="n">
        <v>2366.71808258958</v>
      </c>
      <c r="D17" s="3" t="n">
        <v>3.33327741410881</v>
      </c>
      <c r="E17" s="3" t="n">
        <v>0.00165962465962219</v>
      </c>
      <c r="F17" s="3" t="n">
        <v>3130.32507988676</v>
      </c>
      <c r="G17" s="3" t="n">
        <v>12647.5307806307</v>
      </c>
      <c r="H17" s="3" t="n">
        <v>3130.32507988676</v>
      </c>
      <c r="I17" s="3" t="n">
        <v>12647.5307806307</v>
      </c>
    </row>
    <row r="18" customFormat="false" ht="12.75" hidden="false" customHeight="false" outlineLevel="0" collapsed="false">
      <c r="A18" s="3" t="s">
        <v>34</v>
      </c>
      <c r="B18" s="3" t="n">
        <v>-0.0231277944853403</v>
      </c>
      <c r="C18" s="3" t="n">
        <v>0.0100935770227003</v>
      </c>
      <c r="D18" s="3" t="n">
        <v>-2.29133779167942</v>
      </c>
      <c r="E18" s="3" t="n">
        <v>0.0263748692026358</v>
      </c>
      <c r="F18" s="3" t="n">
        <v>-0.0434222793857628</v>
      </c>
      <c r="G18" s="3" t="n">
        <v>-0.00283330958491784</v>
      </c>
      <c r="H18" s="3" t="n">
        <v>-0.0434222793857628</v>
      </c>
      <c r="I18" s="3" t="n">
        <v>-0.00283330958491784</v>
      </c>
    </row>
    <row r="19" customFormat="false" ht="13.5" hidden="false" customHeight="false" outlineLevel="0" collapsed="false">
      <c r="A19" s="4" t="s">
        <v>24</v>
      </c>
      <c r="B19" s="4" t="n">
        <v>0.0198827184661975</v>
      </c>
      <c r="C19" s="4" t="n">
        <v>0.000691930275818047</v>
      </c>
      <c r="D19" s="4" t="n">
        <v>28.7351474000625</v>
      </c>
      <c r="E19" s="4" t="n">
        <v>6.72688369405551E-032</v>
      </c>
      <c r="F19" s="4" t="n">
        <v>0.0184915002188751</v>
      </c>
      <c r="G19" s="4" t="n">
        <v>0.0212739367135199</v>
      </c>
      <c r="H19" s="4" t="n">
        <v>0.0184915002188751</v>
      </c>
      <c r="I19" s="4" t="n">
        <v>0.0212739367135199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0.937635561782196</v>
      </c>
    </row>
    <row r="5" customFormat="false" ht="12.75" hidden="false" customHeight="false" outlineLevel="0" collapsed="false">
      <c r="A5" s="3" t="s">
        <v>3</v>
      </c>
      <c r="B5" s="3" t="n">
        <v>0.879160446718615</v>
      </c>
    </row>
    <row r="6" customFormat="false" ht="12.75" hidden="false" customHeight="false" outlineLevel="0" collapsed="false">
      <c r="A6" s="3" t="s">
        <v>4</v>
      </c>
      <c r="B6" s="3" t="n">
        <v>0.868652659476756</v>
      </c>
    </row>
    <row r="7" customFormat="false" ht="12.75" hidden="false" customHeight="false" outlineLevel="0" collapsed="false">
      <c r="A7" s="3" t="s">
        <v>5</v>
      </c>
      <c r="B7" s="3" t="n">
        <v>0.371364091925746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4</v>
      </c>
      <c r="C12" s="3" t="n">
        <v>46.1547792902318</v>
      </c>
      <c r="D12" s="3" t="n">
        <v>11.538694822558</v>
      </c>
      <c r="E12" s="3" t="n">
        <v>83.667515004142</v>
      </c>
      <c r="F12" s="3" t="n">
        <v>1.65032341756454E-020</v>
      </c>
    </row>
    <row r="13" customFormat="false" ht="12.75" hidden="false" customHeight="false" outlineLevel="0" collapsed="false">
      <c r="A13" s="3" t="s">
        <v>14</v>
      </c>
      <c r="B13" s="3" t="n">
        <v>46</v>
      </c>
      <c r="C13" s="3" t="n">
        <v>6.34391928350435</v>
      </c>
      <c r="D13" s="3" t="n">
        <v>0.137911288771834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52.4986985737362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-2.16299241328608</v>
      </c>
      <c r="C17" s="3" t="n">
        <v>0.755755444928332</v>
      </c>
      <c r="D17" s="3" t="n">
        <v>-2.8620269001055</v>
      </c>
      <c r="E17" s="3" t="n">
        <v>0.00631559634283878</v>
      </c>
      <c r="F17" s="3" t="n">
        <v>-3.68424776744605</v>
      </c>
      <c r="G17" s="3" t="n">
        <v>-0.641737059126114</v>
      </c>
      <c r="H17" s="3" t="n">
        <v>-3.68424776744605</v>
      </c>
      <c r="I17" s="3" t="n">
        <v>-0.641737059126114</v>
      </c>
    </row>
    <row r="18" customFormat="false" ht="12.75" hidden="false" customHeight="false" outlineLevel="0" collapsed="false">
      <c r="A18" s="3" t="s">
        <v>42</v>
      </c>
      <c r="B18" s="3" t="n">
        <v>0.035998056006051</v>
      </c>
      <c r="C18" s="3" t="n">
        <v>0.0479234407163881</v>
      </c>
      <c r="D18" s="3" t="n">
        <v>0.751157585263719</v>
      </c>
      <c r="E18" s="3" t="n">
        <v>0.45638362299345</v>
      </c>
      <c r="F18" s="3" t="n">
        <v>-0.0604667346465479</v>
      </c>
      <c r="G18" s="3" t="n">
        <v>0.13246284665865</v>
      </c>
      <c r="H18" s="3" t="n">
        <v>-0.0604667346465479</v>
      </c>
      <c r="I18" s="3" t="n">
        <v>0.13246284665865</v>
      </c>
    </row>
    <row r="19" customFormat="false" ht="12.75" hidden="false" customHeight="false" outlineLevel="0" collapsed="false">
      <c r="A19" s="3" t="s">
        <v>27</v>
      </c>
      <c r="B19" s="3" t="n">
        <v>0.96163001737697</v>
      </c>
      <c r="C19" s="3" t="n">
        <v>0.068254050945643</v>
      </c>
      <c r="D19" s="3" t="n">
        <v>14.0889808597999</v>
      </c>
      <c r="E19" s="3" t="n">
        <v>2.65722742010392E-018</v>
      </c>
      <c r="F19" s="3" t="n">
        <v>0.824241870006079</v>
      </c>
      <c r="G19" s="3" t="n">
        <v>1.09901816474786</v>
      </c>
      <c r="H19" s="3" t="n">
        <v>0.824241870006079</v>
      </c>
      <c r="I19" s="3" t="n">
        <v>1.09901816474786</v>
      </c>
    </row>
    <row r="20" customFormat="false" ht="12.75" hidden="false" customHeight="false" outlineLevel="0" collapsed="false">
      <c r="A20" s="3" t="s">
        <v>28</v>
      </c>
      <c r="B20" s="3" t="n">
        <v>0.0861928954809766</v>
      </c>
      <c r="C20" s="3" t="n">
        <v>0.0933936902502192</v>
      </c>
      <c r="D20" s="3" t="n">
        <v>0.922898487575014</v>
      </c>
      <c r="E20" s="3" t="n">
        <v>0.360875804829282</v>
      </c>
      <c r="F20" s="3" t="n">
        <v>-0.101798672811828</v>
      </c>
      <c r="G20" s="3" t="n">
        <v>0.274184463773782</v>
      </c>
      <c r="H20" s="3" t="n">
        <v>-0.101798672811828</v>
      </c>
      <c r="I20" s="3" t="n">
        <v>0.274184463773782</v>
      </c>
    </row>
    <row r="21" customFormat="false" ht="13.5" hidden="false" customHeight="false" outlineLevel="0" collapsed="false">
      <c r="A21" s="4" t="s">
        <v>29</v>
      </c>
      <c r="B21" s="4" t="n">
        <v>-0.202014105975446</v>
      </c>
      <c r="C21" s="4" t="n">
        <v>0.096466915727352</v>
      </c>
      <c r="D21" s="4" t="n">
        <v>-2.09412838020453</v>
      </c>
      <c r="E21" s="4" t="n">
        <v>0.0417871600394139</v>
      </c>
      <c r="F21" s="4" t="n">
        <v>-0.396191750389836</v>
      </c>
      <c r="G21" s="4" t="n">
        <v>-0.00783646156105597</v>
      </c>
      <c r="H21" s="4" t="n">
        <v>-0.396191750389836</v>
      </c>
      <c r="I21" s="4" t="n">
        <v>-0.00783646156105597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3.5" hidden="false" customHeight="false" outlineLevel="0" collapsed="false"/>
    <row r="3" customFormat="false" ht="12.75" hidden="false" customHeight="false" outlineLevel="0" collapsed="false">
      <c r="A3" s="2" t="s">
        <v>1</v>
      </c>
      <c r="B3" s="2"/>
    </row>
    <row r="4" customFormat="false" ht="12.75" hidden="false" customHeight="false" outlineLevel="0" collapsed="false">
      <c r="A4" s="3" t="s">
        <v>2</v>
      </c>
      <c r="B4" s="3" t="n">
        <v>0.968382626212019</v>
      </c>
    </row>
    <row r="5" customFormat="false" ht="12.75" hidden="false" customHeight="false" outlineLevel="0" collapsed="false">
      <c r="A5" s="3" t="s">
        <v>3</v>
      </c>
      <c r="B5" s="3" t="n">
        <v>0.937764910749287</v>
      </c>
    </row>
    <row r="6" customFormat="false" ht="12.75" hidden="false" customHeight="false" outlineLevel="0" collapsed="false">
      <c r="A6" s="3" t="s">
        <v>4</v>
      </c>
      <c r="B6" s="3" t="n">
        <v>0.936494806887028</v>
      </c>
    </row>
    <row r="7" customFormat="false" ht="12.75" hidden="false" customHeight="false" outlineLevel="0" collapsed="false">
      <c r="A7" s="3" t="s">
        <v>5</v>
      </c>
      <c r="B7" s="3" t="n">
        <v>12416.1538144412</v>
      </c>
    </row>
    <row r="8" customFormat="false" ht="13.5" hidden="false" customHeight="false" outlineLevel="0" collapsed="false">
      <c r="A8" s="4" t="s">
        <v>6</v>
      </c>
      <c r="B8" s="4" t="n">
        <v>51</v>
      </c>
    </row>
    <row r="10" customFormat="false" ht="13.5" hidden="false" customHeight="false" outlineLevel="0" collapsed="false">
      <c r="A10" s="1" t="s">
        <v>7</v>
      </c>
    </row>
    <row r="11" customFormat="false" ht="12.75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false" outlineLevel="0" collapsed="false">
      <c r="A12" s="3" t="s">
        <v>13</v>
      </c>
      <c r="B12" s="3" t="n">
        <v>1</v>
      </c>
      <c r="C12" s="3" t="n">
        <v>113822706938.508</v>
      </c>
      <c r="D12" s="3" t="n">
        <v>113822706938.508</v>
      </c>
      <c r="E12" s="3" t="n">
        <v>738.337185339361</v>
      </c>
      <c r="F12" s="3" t="n">
        <v>3.32568615764249E-031</v>
      </c>
    </row>
    <row r="13" customFormat="false" ht="12.75" hidden="false" customHeight="false" outlineLevel="0" collapsed="false">
      <c r="A13" s="3" t="s">
        <v>14</v>
      </c>
      <c r="B13" s="3" t="n">
        <v>49</v>
      </c>
      <c r="C13" s="3" t="n">
        <v>7553882901.64931</v>
      </c>
      <c r="D13" s="3" t="n">
        <v>154160875.543863</v>
      </c>
      <c r="E13" s="3"/>
      <c r="F13" s="3"/>
    </row>
    <row r="14" customFormat="false" ht="13.5" hidden="false" customHeight="false" outlineLevel="0" collapsed="false">
      <c r="A14" s="4" t="s">
        <v>15</v>
      </c>
      <c r="B14" s="4" t="n">
        <v>50</v>
      </c>
      <c r="C14" s="4" t="n">
        <v>121376589840.157</v>
      </c>
      <c r="D14" s="4"/>
      <c r="E14" s="4"/>
      <c r="F14" s="4"/>
    </row>
    <row r="15" customFormat="false" ht="13.5" hidden="false" customHeight="false" outlineLevel="0" collapsed="false"/>
    <row r="16" customFormat="false" ht="12.75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false" outlineLevel="0" collapsed="false">
      <c r="A17" s="3" t="s">
        <v>23</v>
      </c>
      <c r="B17" s="3" t="n">
        <v>4674.80460798161</v>
      </c>
      <c r="C17" s="3" t="n">
        <v>2346.77314555651</v>
      </c>
      <c r="D17" s="3" t="n">
        <v>1.99201384966975</v>
      </c>
      <c r="E17" s="3" t="n">
        <v>0.0519572741215532</v>
      </c>
      <c r="F17" s="3" t="n">
        <v>-41.2097321784822</v>
      </c>
      <c r="G17" s="3" t="n">
        <v>9390.8189481417</v>
      </c>
      <c r="H17" s="3" t="n">
        <v>-41.2097321784822</v>
      </c>
      <c r="I17" s="3" t="n">
        <v>9390.8189481417</v>
      </c>
    </row>
    <row r="18" customFormat="false" ht="13.5" hidden="false" customHeight="false" outlineLevel="0" collapsed="false">
      <c r="A18" s="4" t="s">
        <v>32</v>
      </c>
      <c r="B18" s="4" t="n">
        <v>0.0190441102946989</v>
      </c>
      <c r="C18" s="4" t="n">
        <v>0.000700863296848534</v>
      </c>
      <c r="D18" s="4" t="n">
        <v>27.1723606876429</v>
      </c>
      <c r="E18" s="4" t="n">
        <v>3.3256861576426E-031</v>
      </c>
      <c r="F18" s="4" t="n">
        <v>0.0176356736229703</v>
      </c>
      <c r="G18" s="4" t="n">
        <v>0.0204525469664274</v>
      </c>
      <c r="H18" s="4" t="n">
        <v>0.0176356736229703</v>
      </c>
      <c r="I18" s="4" t="n">
        <v>0.0204525469664274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K2" colorId="64" zoomScale="100" zoomScaleNormal="100" zoomScalePageLayoutView="100" workbookViewId="0">
      <pane xSplit="0" ySplit="720" topLeftCell="BM1" activePane="bottomLeft" state="split"/>
      <selection pane="topLeft" activeCell="K2" activeCellId="0" sqref="K2"/>
      <selection pane="bottomLeft" activeCell="S2" activeCellId="0" sqref="S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1" width="9.99"/>
    <col collapsed="false" customWidth="true" hidden="false" outlineLevel="0" max="3" min="3" style="1" width="10.56"/>
    <col collapsed="false" customWidth="true" hidden="false" outlineLevel="0" max="6" min="6" style="1" width="9.99"/>
    <col collapsed="false" customWidth="true" hidden="false" outlineLevel="0" max="8" min="8" style="1" width="9.99"/>
    <col collapsed="false" customWidth="true" hidden="false" outlineLevel="0" max="13" min="13" style="1" width="11.13"/>
  </cols>
  <sheetData>
    <row r="1" customFormat="false" ht="12.7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24</v>
      </c>
      <c r="N1" s="1" t="s">
        <v>25</v>
      </c>
      <c r="O1" s="1" t="s">
        <v>26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C1" s="1" t="s">
        <v>55</v>
      </c>
      <c r="AD1" s="1" t="s">
        <v>56</v>
      </c>
      <c r="AE1" s="1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1" t="s">
        <v>30</v>
      </c>
      <c r="AK1" s="1" t="s">
        <v>42</v>
      </c>
      <c r="AL1" s="1" t="s">
        <v>27</v>
      </c>
      <c r="AM1" s="1" t="s">
        <v>28</v>
      </c>
      <c r="AN1" s="1" t="s">
        <v>29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56</v>
      </c>
      <c r="BN1" s="1" t="s">
        <v>83</v>
      </c>
    </row>
    <row r="2" customFormat="false" ht="12.75" hidden="false" customHeight="false" outlineLevel="0" collapsed="false">
      <c r="A2" s="1" t="s">
        <v>84</v>
      </c>
      <c r="B2" s="1" t="n">
        <v>2299994</v>
      </c>
      <c r="C2" s="1" t="n">
        <v>1732238</v>
      </c>
      <c r="D2" s="1" t="n">
        <v>4032992</v>
      </c>
      <c r="E2" s="6" t="n">
        <v>0.964001482475272</v>
      </c>
      <c r="F2" s="1" t="n">
        <v>1669880</v>
      </c>
      <c r="G2" s="1" t="n">
        <f aca="false">C2-F2</f>
        <v>62358</v>
      </c>
      <c r="H2" s="1" t="n">
        <v>1710683</v>
      </c>
      <c r="I2" s="6" t="n">
        <v>0.976148123293445</v>
      </c>
      <c r="J2" s="1" t="n">
        <f aca="false">I2*H2</f>
        <v>1669880</v>
      </c>
      <c r="K2" s="1" t="n">
        <f aca="false">H2-J2</f>
        <v>40803</v>
      </c>
      <c r="L2" s="7" t="n">
        <v>83.8026009852217</v>
      </c>
      <c r="M2" s="1" t="n">
        <f aca="false">F2</f>
        <v>1669880</v>
      </c>
      <c r="N2" s="1" t="n">
        <f aca="false">G2</f>
        <v>62358</v>
      </c>
      <c r="O2" s="1" t="n">
        <f aca="false">K2</f>
        <v>40803</v>
      </c>
      <c r="P2" s="6" t="n">
        <f aca="false">AE$2</f>
        <v>0</v>
      </c>
      <c r="Q2" s="1" t="n">
        <f aca="false">M2+0.5*(N2+O2)</f>
        <v>1721460.5</v>
      </c>
      <c r="R2" s="1" t="n">
        <f aca="false">M2+0.5*N2</f>
        <v>1701059</v>
      </c>
      <c r="S2" s="1" t="n">
        <f aca="false">N2+O2</f>
        <v>103161</v>
      </c>
      <c r="T2" s="6" t="n">
        <f aca="false">Rhoii/RhoOrig</f>
        <v>0.981670829759579</v>
      </c>
      <c r="U2" s="6"/>
      <c r="V2" s="6" t="n">
        <f aca="false">Rhoii/RhoTot</f>
        <v>0.970036779815744</v>
      </c>
      <c r="W2" s="6" t="n">
        <f aca="false">0.5*Rhoij/RhoTot</f>
        <v>0.0181119462224082</v>
      </c>
      <c r="X2" s="6" t="n">
        <f aca="false">0.5*Rhoji/RhoTot</f>
        <v>0.0118512739618481</v>
      </c>
      <c r="Y2" s="6" t="n">
        <f aca="false">Rhoij/RhoOrig</f>
        <v>0.0366583404808416</v>
      </c>
      <c r="Z2" s="6" t="n">
        <f aca="false">Rhoij/RhoCordon</f>
        <v>0.604472620467037</v>
      </c>
      <c r="AA2" s="6" t="n">
        <f aca="false">Rhoji/RhoCordon</f>
        <v>0.395527379532963</v>
      </c>
      <c r="AC2" s="1" t="s">
        <v>85</v>
      </c>
      <c r="AD2" s="1" t="s">
        <v>86</v>
      </c>
      <c r="AE2" s="6" t="n">
        <v>0</v>
      </c>
      <c r="AF2" s="5" t="n">
        <v>1142121</v>
      </c>
      <c r="AG2" s="5" t="n">
        <v>0</v>
      </c>
      <c r="AH2" s="5" t="n">
        <v>691523</v>
      </c>
      <c r="AI2" s="5" t="n">
        <v>450598</v>
      </c>
      <c r="AJ2" s="6" t="n">
        <f aca="false">LN(AE$2+1)</f>
        <v>0</v>
      </c>
      <c r="AK2" s="6" t="n">
        <f aca="false">LN(Density)</f>
        <v>4.42846404501617</v>
      </c>
      <c r="AL2" s="6" t="n">
        <f aca="false">LN(Rhoii)</f>
        <v>14.3282623255237</v>
      </c>
      <c r="AM2" s="6" t="n">
        <f aca="false">LN(Rhoij)</f>
        <v>11.0406472508165</v>
      </c>
      <c r="AN2" s="6" t="n">
        <f aca="false">LN(Rhoji)</f>
        <v>10.6165108871009</v>
      </c>
      <c r="AO2" s="6" t="n">
        <f aca="false">LN(AF2)</f>
        <v>13.9483976180512</v>
      </c>
      <c r="AP2" s="6" t="n">
        <f aca="false">LN(AS2)</f>
        <v>13.8172460511244</v>
      </c>
      <c r="AQ2" s="6" t="n">
        <f aca="false">LN(AS2-AR2)</f>
        <v>13.2447119750036</v>
      </c>
      <c r="AR2" s="8" t="n">
        <v>436663</v>
      </c>
      <c r="AS2" s="9" t="n">
        <v>1001737</v>
      </c>
      <c r="AU2" s="10" t="n">
        <v>50628</v>
      </c>
      <c r="AV2" s="10" t="n">
        <v>24930</v>
      </c>
      <c r="AW2" s="10" t="n">
        <v>5724</v>
      </c>
      <c r="AX2" s="10" t="n">
        <v>2417</v>
      </c>
      <c r="AY2" s="10" t="n">
        <v>4996</v>
      </c>
      <c r="AZ2" s="10" t="n">
        <v>6461</v>
      </c>
      <c r="BA2" s="1" t="n">
        <v>387</v>
      </c>
      <c r="BB2" s="10" t="n">
        <v>4945</v>
      </c>
      <c r="BC2" s="10" t="n">
        <v>25698</v>
      </c>
      <c r="BD2" s="10" t="n">
        <v>4713</v>
      </c>
      <c r="BE2" s="10" t="n">
        <v>1209</v>
      </c>
      <c r="BF2" s="10" t="n">
        <v>5041</v>
      </c>
      <c r="BG2" s="10" t="n">
        <v>4247</v>
      </c>
      <c r="BH2" s="10" t="n">
        <v>5351</v>
      </c>
      <c r="BI2" s="10" t="n">
        <v>5137</v>
      </c>
      <c r="BJ2" s="5" t="s">
        <v>85</v>
      </c>
      <c r="BK2" s="1" t="s">
        <v>86</v>
      </c>
      <c r="BN2" s="1" t="n">
        <f aca="false">LN(TotalVMT)</f>
        <v>10.8322600619123</v>
      </c>
    </row>
    <row r="3" customFormat="false" ht="12.75" hidden="false" customHeight="false" outlineLevel="0" collapsed="false">
      <c r="A3" s="1" t="s">
        <v>87</v>
      </c>
      <c r="B3" s="1" t="n">
        <v>286591</v>
      </c>
      <c r="C3" s="1" t="n">
        <v>263887</v>
      </c>
      <c r="D3" s="1" t="n">
        <v>550696</v>
      </c>
      <c r="E3" s="6" t="n">
        <v>0.995585231557447</v>
      </c>
      <c r="F3" s="1" t="n">
        <v>262722</v>
      </c>
      <c r="G3" s="1" t="n">
        <f aca="false">C3-F3</f>
        <v>1165</v>
      </c>
      <c r="H3" s="1" t="n">
        <v>270801</v>
      </c>
      <c r="I3" s="6" t="n">
        <v>0.970166284467192</v>
      </c>
      <c r="J3" s="1" t="n">
        <f aca="false">I3*H3</f>
        <v>262722</v>
      </c>
      <c r="K3" s="1" t="n">
        <f aca="false">H3-J3</f>
        <v>8079</v>
      </c>
      <c r="L3" s="7" t="n">
        <v>1.05828281092757</v>
      </c>
      <c r="M3" s="1" t="n">
        <f aca="false">F3</f>
        <v>262722</v>
      </c>
      <c r="N3" s="1" t="n">
        <f aca="false">G3</f>
        <v>1165</v>
      </c>
      <c r="O3" s="1" t="n">
        <f aca="false">K3</f>
        <v>8079</v>
      </c>
      <c r="P3" s="6" t="n">
        <f aca="false">AE$3</f>
        <v>0.129719929982496</v>
      </c>
      <c r="Q3" s="1" t="n">
        <f aca="false">M3+0.5*(N3+O3)</f>
        <v>267344</v>
      </c>
      <c r="R3" s="1" t="n">
        <f aca="false">M3+0.5*N3</f>
        <v>263304.5</v>
      </c>
      <c r="S3" s="1" t="n">
        <f aca="false">N3+O3</f>
        <v>9244</v>
      </c>
      <c r="T3" s="6" t="n">
        <f aca="false">Rhoii/RhoOrig</f>
        <v>0.99778773245425</v>
      </c>
      <c r="U3" s="6"/>
      <c r="V3" s="6" t="n">
        <f aca="false">Rhoii/RhoTot</f>
        <v>0.982711413010952</v>
      </c>
      <c r="W3" s="6" t="n">
        <f aca="false">0.5*Rhoij/RhoTot</f>
        <v>0.00217884074450895</v>
      </c>
      <c r="X3" s="6" t="n">
        <f aca="false">0.5*Rhoji/RhoTot</f>
        <v>0.0151097462445389</v>
      </c>
      <c r="Y3" s="6" t="n">
        <f aca="false">Rhoij/RhoOrig</f>
        <v>0.00442453509150053</v>
      </c>
      <c r="Z3" s="6" t="n">
        <f aca="false">Rhoij/RhoCordon</f>
        <v>0.126027693639117</v>
      </c>
      <c r="AA3" s="6" t="n">
        <f aca="false">Rhoji/RhoCordon</f>
        <v>0.873972306360883</v>
      </c>
      <c r="AC3" s="1" t="s">
        <v>88</v>
      </c>
      <c r="AD3" s="1" t="s">
        <v>89</v>
      </c>
      <c r="AE3" s="6" t="n">
        <v>0.129719929982496</v>
      </c>
      <c r="AF3" s="5" t="n">
        <v>127968</v>
      </c>
      <c r="AG3" s="5" t="n">
        <v>16600</v>
      </c>
      <c r="AH3" s="5" t="n">
        <v>62969</v>
      </c>
      <c r="AI3" s="5" t="n">
        <v>48399</v>
      </c>
      <c r="AJ3" s="6" t="n">
        <f aca="false">LN(AE$3+1)</f>
        <v>0.121969752431455</v>
      </c>
      <c r="AK3" s="6" t="n">
        <f aca="false">LN(Density)</f>
        <v>0.0566476048308286</v>
      </c>
      <c r="AL3" s="6" t="n">
        <f aca="false">LN(Rhoii)</f>
        <v>12.4788517178847</v>
      </c>
      <c r="AM3" s="6" t="n">
        <f aca="false">LN(Rhoij)</f>
        <v>7.0604763659998</v>
      </c>
      <c r="AN3" s="6" t="n">
        <f aca="false">LN(Rhoji)</f>
        <v>8.99702338147971</v>
      </c>
      <c r="AO3" s="6" t="n">
        <f aca="false">LN(AF3)</f>
        <v>11.7595355116465</v>
      </c>
      <c r="AP3" s="6" t="n">
        <f aca="false">LN(AS3)</f>
        <v>12.9904261420071</v>
      </c>
      <c r="AQ3" s="6" t="n">
        <f aca="false">LN(AS3-AR3)</f>
        <v>12.1233973088613</v>
      </c>
      <c r="AR3" s="8" t="n">
        <v>254068</v>
      </c>
      <c r="AS3" s="9" t="n">
        <v>438198</v>
      </c>
      <c r="AU3" s="10" t="n">
        <v>4123</v>
      </c>
      <c r="AV3" s="10" t="n">
        <v>2030</v>
      </c>
      <c r="AW3" s="1" t="n">
        <v>234</v>
      </c>
      <c r="AX3" s="1" t="n">
        <v>204</v>
      </c>
      <c r="AY3" s="1" t="n">
        <v>676</v>
      </c>
      <c r="AZ3" s="1" t="n">
        <v>399</v>
      </c>
      <c r="BA3" s="1" t="n">
        <v>0</v>
      </c>
      <c r="BB3" s="1" t="n">
        <v>517</v>
      </c>
      <c r="BC3" s="10" t="n">
        <v>2093</v>
      </c>
      <c r="BD3" s="1" t="n">
        <v>457</v>
      </c>
      <c r="BE3" s="1" t="n">
        <v>101</v>
      </c>
      <c r="BF3" s="1" t="n">
        <v>332</v>
      </c>
      <c r="BG3" s="1" t="n">
        <v>123</v>
      </c>
      <c r="BH3" s="1" t="n">
        <v>295</v>
      </c>
      <c r="BI3" s="1" t="n">
        <v>785</v>
      </c>
      <c r="BJ3" s="1" t="s">
        <v>88</v>
      </c>
      <c r="BK3" s="1" t="s">
        <v>89</v>
      </c>
      <c r="BN3" s="1" t="n">
        <f aca="false">LN(TotalVMT)</f>
        <v>8.3243363327069</v>
      </c>
    </row>
    <row r="4" customFormat="false" ht="12.75" hidden="false" customHeight="false" outlineLevel="0" collapsed="false">
      <c r="A4" s="1" t="s">
        <v>90</v>
      </c>
      <c r="B4" s="1" t="n">
        <v>2060434</v>
      </c>
      <c r="C4" s="1" t="n">
        <v>1591203</v>
      </c>
      <c r="D4" s="1" t="n">
        <v>3652849</v>
      </c>
      <c r="E4" s="6" t="n">
        <v>0.984195605463288</v>
      </c>
      <c r="F4" s="1" t="n">
        <v>1566055</v>
      </c>
      <c r="G4" s="1" t="n">
        <f aca="false">C4-F4</f>
        <v>25148</v>
      </c>
      <c r="H4" s="1" t="n">
        <v>1583805</v>
      </c>
      <c r="I4" s="6" t="n">
        <v>0.988792812246457</v>
      </c>
      <c r="J4" s="1" t="n">
        <f aca="false">I4*H4</f>
        <v>1566055</v>
      </c>
      <c r="K4" s="1" t="n">
        <f aca="false">H4-J4</f>
        <v>17750</v>
      </c>
      <c r="L4" s="7" t="n">
        <v>37.1160310448602</v>
      </c>
      <c r="M4" s="1" t="n">
        <f aca="false">F4</f>
        <v>1566055</v>
      </c>
      <c r="N4" s="1" t="n">
        <f aca="false">G4</f>
        <v>25148</v>
      </c>
      <c r="O4" s="1" t="n">
        <f aca="false">K4</f>
        <v>17750</v>
      </c>
      <c r="P4" s="6" t="n">
        <f aca="false">AE$4</f>
        <v>0</v>
      </c>
      <c r="Q4" s="1" t="n">
        <f aca="false">M4+0.5*(N4+O4)</f>
        <v>1587504</v>
      </c>
      <c r="R4" s="1" t="n">
        <f aca="false">M4+0.5*N4</f>
        <v>1578629</v>
      </c>
      <c r="S4" s="1" t="n">
        <f aca="false">N4+O4</f>
        <v>42898</v>
      </c>
      <c r="T4" s="6" t="n">
        <f aca="false">Rhoii/RhoOrig</f>
        <v>0.992034860629065</v>
      </c>
      <c r="U4" s="6"/>
      <c r="V4" s="6" t="n">
        <f aca="false">Rhoii/RhoTot</f>
        <v>0.986488852941473</v>
      </c>
      <c r="W4" s="6" t="n">
        <f aca="false">0.5*Rhoij/RhoTot</f>
        <v>0.00792060996381741</v>
      </c>
      <c r="X4" s="6" t="n">
        <f aca="false">0.5*Rhoji/RhoTot</f>
        <v>0.00559053709470968</v>
      </c>
      <c r="Y4" s="6" t="n">
        <f aca="false">Rhoij/RhoOrig</f>
        <v>0.0159302787418703</v>
      </c>
      <c r="Z4" s="6" t="n">
        <f aca="false">Rhoij/RhoCordon</f>
        <v>0.586227796167654</v>
      </c>
      <c r="AA4" s="6" t="n">
        <f aca="false">Rhoji/RhoCordon</f>
        <v>0.413772203832347</v>
      </c>
      <c r="AC4" s="1" t="s">
        <v>91</v>
      </c>
      <c r="AD4" s="1" t="s">
        <v>92</v>
      </c>
      <c r="AE4" s="6" t="n">
        <v>0</v>
      </c>
      <c r="AF4" s="5" t="n">
        <v>971888</v>
      </c>
      <c r="AG4" s="5" t="n">
        <v>0</v>
      </c>
      <c r="AH4" s="5" t="n">
        <v>618012</v>
      </c>
      <c r="AI4" s="5" t="n">
        <v>353876</v>
      </c>
      <c r="AJ4" s="6" t="n">
        <f aca="false">LN(AE$4+1)</f>
        <v>0</v>
      </c>
      <c r="AK4" s="6" t="n">
        <f aca="false">LN(Density)</f>
        <v>3.61404897991854</v>
      </c>
      <c r="AL4" s="6" t="n">
        <f aca="false">LN(Rhoii)</f>
        <v>14.2640702762444</v>
      </c>
      <c r="AM4" s="6" t="n">
        <f aca="false">LN(Rhoij)</f>
        <v>10.132533649503</v>
      </c>
      <c r="AN4" s="6" t="n">
        <f aca="false">LN(Rhoji)</f>
        <v>9.78414079490356</v>
      </c>
      <c r="AO4" s="6" t="n">
        <f aca="false">LN(AF4)</f>
        <v>13.7869958504661</v>
      </c>
      <c r="AP4" s="6" t="n">
        <f aca="false">LN(AS4)</f>
        <v>13.9972260978337</v>
      </c>
      <c r="AQ4" s="6" t="n">
        <f aca="false">LN(AS4-AR4)</f>
        <v>13.520438580636</v>
      </c>
      <c r="AR4" s="8" t="n">
        <v>454795</v>
      </c>
      <c r="AS4" s="9" t="n">
        <v>1199273</v>
      </c>
      <c r="AU4" s="10" t="n">
        <v>39653</v>
      </c>
      <c r="AV4" s="10" t="n">
        <v>25603</v>
      </c>
      <c r="AW4" s="10" t="n">
        <v>2899</v>
      </c>
      <c r="AX4" s="10" t="n">
        <v>2823</v>
      </c>
      <c r="AY4" s="10" t="n">
        <v>5359</v>
      </c>
      <c r="AZ4" s="10" t="n">
        <v>9005</v>
      </c>
      <c r="BA4" s="10" t="n">
        <v>1826</v>
      </c>
      <c r="BB4" s="10" t="n">
        <v>3691</v>
      </c>
      <c r="BC4" s="10" t="n">
        <v>14050</v>
      </c>
      <c r="BD4" s="10" t="n">
        <v>1619</v>
      </c>
      <c r="BE4" s="1" t="n">
        <v>315</v>
      </c>
      <c r="BF4" s="10" t="n">
        <v>2707</v>
      </c>
      <c r="BG4" s="10" t="n">
        <v>1668</v>
      </c>
      <c r="BH4" s="10" t="n">
        <v>2299</v>
      </c>
      <c r="BI4" s="10" t="n">
        <v>5442</v>
      </c>
      <c r="BJ4" s="5" t="s">
        <v>91</v>
      </c>
      <c r="BK4" s="1" t="s">
        <v>92</v>
      </c>
      <c r="BN4" s="1" t="n">
        <f aca="false">LN(TotalVMT)</f>
        <v>10.5879218862436</v>
      </c>
    </row>
    <row r="5" customFormat="false" ht="12.75" hidden="false" customHeight="false" outlineLevel="0" collapsed="false">
      <c r="A5" s="1" t="s">
        <v>93</v>
      </c>
      <c r="B5" s="1" t="n">
        <v>1355487</v>
      </c>
      <c r="C5" s="1" t="n">
        <v>988408</v>
      </c>
      <c r="D5" s="1" t="n">
        <v>2344205</v>
      </c>
      <c r="E5" s="6" t="n">
        <v>0.967703620367298</v>
      </c>
      <c r="F5" s="1" t="n">
        <v>956486</v>
      </c>
      <c r="G5" s="1" t="n">
        <f aca="false">C5-F5</f>
        <v>31922</v>
      </c>
      <c r="H5" s="1" t="n">
        <v>996645</v>
      </c>
      <c r="I5" s="6" t="n">
        <v>0.959705813002624</v>
      </c>
      <c r="J5" s="1" t="n">
        <f aca="false">I5*H5</f>
        <v>956486</v>
      </c>
      <c r="K5" s="1" t="n">
        <f aca="false">H5-J5</f>
        <v>40159</v>
      </c>
      <c r="L5" s="7" t="n">
        <v>47.6959961593855</v>
      </c>
      <c r="M5" s="1" t="n">
        <f aca="false">F5</f>
        <v>956486</v>
      </c>
      <c r="N5" s="1" t="n">
        <f aca="false">G5</f>
        <v>31922</v>
      </c>
      <c r="O5" s="1" t="n">
        <f aca="false">K5</f>
        <v>40159</v>
      </c>
      <c r="P5" s="6" t="n">
        <f aca="false">AE$5</f>
        <v>0</v>
      </c>
      <c r="Q5" s="1" t="n">
        <f aca="false">M5+0.5*(N5+O5)</f>
        <v>992526.5</v>
      </c>
      <c r="R5" s="1" t="n">
        <f aca="false">M5+0.5*N5</f>
        <v>972447</v>
      </c>
      <c r="S5" s="1" t="n">
        <f aca="false">N5+O5</f>
        <v>72081</v>
      </c>
      <c r="T5" s="6" t="n">
        <f aca="false">Rhoii/RhoOrig</f>
        <v>0.983586766168233</v>
      </c>
      <c r="U5" s="6"/>
      <c r="V5" s="6" t="n">
        <f aca="false">Rhoii/RhoTot</f>
        <v>0.96368812318865</v>
      </c>
      <c r="W5" s="6" t="n">
        <f aca="false">0.5*Rhoij/RhoTot</f>
        <v>0.0160811827190508</v>
      </c>
      <c r="X5" s="6" t="n">
        <f aca="false">0.5*Rhoji/RhoTot</f>
        <v>0.0202306940922988</v>
      </c>
      <c r="Y5" s="6" t="n">
        <f aca="false">Rhoij/RhoOrig</f>
        <v>0.0328264676635333</v>
      </c>
      <c r="Z5" s="6" t="n">
        <f aca="false">Rhoij/RhoCordon</f>
        <v>0.442862890359457</v>
      </c>
      <c r="AA5" s="6" t="n">
        <f aca="false">Rhoji/RhoCordon</f>
        <v>0.557137109640543</v>
      </c>
      <c r="AC5" s="1" t="s">
        <v>94</v>
      </c>
      <c r="AD5" s="1" t="s">
        <v>95</v>
      </c>
      <c r="AE5" s="6" t="n">
        <v>0</v>
      </c>
      <c r="AF5" s="5" t="n">
        <v>691210</v>
      </c>
      <c r="AG5" s="5" t="n">
        <v>0</v>
      </c>
      <c r="AH5" s="5" t="n">
        <v>398785</v>
      </c>
      <c r="AI5" s="5" t="n">
        <v>292425</v>
      </c>
      <c r="AJ5" s="6" t="n">
        <f aca="false">LN(AE$5+1)</f>
        <v>0</v>
      </c>
      <c r="AK5" s="6" t="n">
        <f aca="false">LN(Density)</f>
        <v>3.86484745641293</v>
      </c>
      <c r="AL5" s="6" t="n">
        <f aca="false">LN(Rhoii)</f>
        <v>13.771021431059</v>
      </c>
      <c r="AM5" s="6" t="n">
        <f aca="false">LN(Rhoij)</f>
        <v>10.3710507062425</v>
      </c>
      <c r="AN5" s="6" t="n">
        <f aca="false">LN(Rhoji)</f>
        <v>10.6006018536572</v>
      </c>
      <c r="AO5" s="6" t="n">
        <f aca="false">LN(AF5)</f>
        <v>13.4461989639599</v>
      </c>
      <c r="AP5" s="6" t="n">
        <f aca="false">LN(AS5)</f>
        <v>13.4086469724423</v>
      </c>
      <c r="AQ5" s="6" t="n">
        <f aca="false">LN(AS5-AR5)</f>
        <v>12.5948594405855</v>
      </c>
      <c r="AR5" s="8" t="n">
        <v>370697</v>
      </c>
      <c r="AS5" s="9" t="n">
        <v>665735</v>
      </c>
      <c r="AU5" s="10" t="n">
        <v>26653</v>
      </c>
      <c r="AV5" s="10" t="n">
        <v>9002</v>
      </c>
      <c r="AW5" s="1" t="n">
        <v>700</v>
      </c>
      <c r="AX5" s="1" t="n">
        <v>776</v>
      </c>
      <c r="AY5" s="10" t="n">
        <v>1964</v>
      </c>
      <c r="AZ5" s="10" t="n">
        <v>2638</v>
      </c>
      <c r="BA5" s="1" t="n">
        <v>831</v>
      </c>
      <c r="BB5" s="10" t="n">
        <v>2093</v>
      </c>
      <c r="BC5" s="10" t="n">
        <v>17651</v>
      </c>
      <c r="BD5" s="10" t="n">
        <v>1130</v>
      </c>
      <c r="BE5" s="1" t="n">
        <v>663</v>
      </c>
      <c r="BF5" s="10" t="n">
        <v>5022</v>
      </c>
      <c r="BG5" s="10" t="n">
        <v>3220</v>
      </c>
      <c r="BH5" s="10" t="n">
        <v>4371</v>
      </c>
      <c r="BI5" s="10" t="n">
        <v>3245</v>
      </c>
      <c r="BJ5" s="5" t="s">
        <v>94</v>
      </c>
      <c r="BK5" s="1" t="s">
        <v>95</v>
      </c>
      <c r="BN5" s="1" t="n">
        <f aca="false">LN(TotalVMT)</f>
        <v>10.1906569936149</v>
      </c>
    </row>
    <row r="6" customFormat="false" ht="12.75" hidden="false" customHeight="false" outlineLevel="0" collapsed="false">
      <c r="A6" s="1" t="s">
        <v>96</v>
      </c>
      <c r="B6" s="1" t="n">
        <v>15806498</v>
      </c>
      <c r="C6" s="1" t="n">
        <v>13897185</v>
      </c>
      <c r="D6" s="1" t="n">
        <v>29715727</v>
      </c>
      <c r="E6" s="6" t="n">
        <v>0.996310187998505</v>
      </c>
      <c r="F6" s="1" t="n">
        <v>13845907</v>
      </c>
      <c r="G6" s="1" t="n">
        <f aca="false">C6-F6</f>
        <v>51278</v>
      </c>
      <c r="H6" s="1" t="n">
        <v>13908817</v>
      </c>
      <c r="I6" s="6" t="n">
        <v>0.995476969752352</v>
      </c>
      <c r="J6" s="1" t="n">
        <f aca="false">I6*H6</f>
        <v>13845907</v>
      </c>
      <c r="K6" s="1" t="n">
        <f aca="false">H6-J6</f>
        <v>62910</v>
      </c>
      <c r="L6" s="7" t="n">
        <v>202.529623716925</v>
      </c>
      <c r="M6" s="1" t="n">
        <f aca="false">F6</f>
        <v>13845907</v>
      </c>
      <c r="N6" s="1" t="n">
        <f aca="false">G6</f>
        <v>51278</v>
      </c>
      <c r="O6" s="1" t="n">
        <f aca="false">K6</f>
        <v>62910</v>
      </c>
      <c r="P6" s="6" t="n">
        <f aca="false">AE$6</f>
        <v>0.0211415213324095</v>
      </c>
      <c r="Q6" s="1" t="n">
        <f aca="false">M6+0.5*(N6+O6)</f>
        <v>13903001</v>
      </c>
      <c r="R6" s="1" t="n">
        <f aca="false">M6+0.5*N6</f>
        <v>13871546</v>
      </c>
      <c r="S6" s="1" t="n">
        <f aca="false">N6+O6</f>
        <v>114188</v>
      </c>
      <c r="T6" s="6" t="n">
        <f aca="false">Rhoii/RhoOrig</f>
        <v>0.998151684030028</v>
      </c>
      <c r="U6" s="6"/>
      <c r="V6" s="6" t="n">
        <f aca="false">Rhoii/RhoTot</f>
        <v>0.995893404596605</v>
      </c>
      <c r="W6" s="6" t="n">
        <f aca="false">0.5*Rhoij/RhoTot</f>
        <v>0.00184413422684786</v>
      </c>
      <c r="X6" s="6" t="n">
        <f aca="false">0.5*Rhoji/RhoTot</f>
        <v>0.00226246117654742</v>
      </c>
      <c r="Y6" s="6" t="n">
        <f aca="false">Rhoij/RhoOrig</f>
        <v>0.00369663193994382</v>
      </c>
      <c r="Z6" s="6" t="n">
        <f aca="false">Rhoij/RhoCordon</f>
        <v>0.449066451816303</v>
      </c>
      <c r="AA6" s="6" t="n">
        <f aca="false">Rhoji/RhoCordon</f>
        <v>0.550933548183697</v>
      </c>
      <c r="AC6" s="1" t="s">
        <v>97</v>
      </c>
      <c r="AD6" s="1" t="s">
        <v>98</v>
      </c>
      <c r="AE6" s="6" t="n">
        <v>0.0211415213324095</v>
      </c>
      <c r="AF6" s="5" t="n">
        <v>8955505</v>
      </c>
      <c r="AG6" s="5" t="n">
        <v>189333</v>
      </c>
      <c r="AH6" s="5" t="n">
        <v>6268932</v>
      </c>
      <c r="AI6" s="5" t="n">
        <v>2497240</v>
      </c>
      <c r="AJ6" s="6" t="n">
        <f aca="false">LN(AE$6+1)</f>
        <v>0.0209211400886437</v>
      </c>
      <c r="AK6" s="6" t="n">
        <f aca="false">LN(Density)</f>
        <v>5.31088616580739</v>
      </c>
      <c r="AL6" s="6" t="n">
        <f aca="false">LN(Rhoii)</f>
        <v>16.4435002234563</v>
      </c>
      <c r="AM6" s="6" t="n">
        <f aca="false">LN(Rhoij)</f>
        <v>10.8450170892739</v>
      </c>
      <c r="AN6" s="6" t="n">
        <f aca="false">LN(Rhoji)</f>
        <v>11.0494604125641</v>
      </c>
      <c r="AO6" s="6" t="n">
        <f aca="false">LN(AF6)</f>
        <v>16.0077789849634</v>
      </c>
      <c r="AP6" s="6" t="n">
        <f aca="false">LN(AS6)</f>
        <v>15.6016668587219</v>
      </c>
      <c r="AQ6" s="6" t="n">
        <f aca="false">LN(AS6-AR6)</f>
        <v>15.101543878971</v>
      </c>
      <c r="AR6" s="11" t="n">
        <v>2348070</v>
      </c>
      <c r="AS6" s="12" t="n">
        <v>5966475</v>
      </c>
      <c r="AU6" s="10" t="n">
        <v>276371</v>
      </c>
      <c r="AV6" s="10" t="n">
        <v>223033</v>
      </c>
      <c r="AW6" s="10" t="n">
        <v>16390</v>
      </c>
      <c r="AX6" s="10" t="n">
        <v>13915</v>
      </c>
      <c r="AY6" s="10" t="n">
        <v>41202</v>
      </c>
      <c r="AZ6" s="10" t="n">
        <v>53574</v>
      </c>
      <c r="BA6" s="10" t="n">
        <v>42768</v>
      </c>
      <c r="BB6" s="10" t="n">
        <v>55184</v>
      </c>
      <c r="BC6" s="10" t="n">
        <v>53338</v>
      </c>
      <c r="BD6" s="10" t="n">
        <v>2395</v>
      </c>
      <c r="BE6" s="10" t="n">
        <v>2716</v>
      </c>
      <c r="BF6" s="10" t="n">
        <v>9693</v>
      </c>
      <c r="BG6" s="10" t="n">
        <v>8893</v>
      </c>
      <c r="BH6" s="10" t="n">
        <v>15396</v>
      </c>
      <c r="BI6" s="10" t="n">
        <v>14245</v>
      </c>
      <c r="BJ6" s="5" t="s">
        <v>97</v>
      </c>
      <c r="BK6" s="1" t="s">
        <v>98</v>
      </c>
      <c r="BN6" s="1" t="n">
        <f aca="false">LN(TotalVMT)</f>
        <v>12.5294994449659</v>
      </c>
    </row>
    <row r="7" customFormat="false" ht="12.75" hidden="false" customHeight="false" outlineLevel="0" collapsed="false">
      <c r="A7" s="1" t="s">
        <v>99</v>
      </c>
      <c r="B7" s="1" t="n">
        <v>1649976</v>
      </c>
      <c r="C7" s="1" t="n">
        <v>1631955</v>
      </c>
      <c r="D7" s="1" t="n">
        <v>3282756</v>
      </c>
      <c r="E7" s="6" t="n">
        <v>0.98974971736353</v>
      </c>
      <c r="F7" s="1" t="n">
        <v>1615227</v>
      </c>
      <c r="G7" s="1" t="n">
        <f aca="false">C7-F7</f>
        <v>16728</v>
      </c>
      <c r="H7" s="1" t="n">
        <v>1628162</v>
      </c>
      <c r="I7" s="6" t="n">
        <v>0.992055458854831</v>
      </c>
      <c r="J7" s="1" t="n">
        <f aca="false">I7*H7</f>
        <v>1615227</v>
      </c>
      <c r="K7" s="1" t="n">
        <f aca="false">H7-J7</f>
        <v>12935</v>
      </c>
      <c r="L7" s="7" t="n">
        <v>36.1186252771619</v>
      </c>
      <c r="M7" s="1" t="n">
        <f aca="false">F7</f>
        <v>1615227</v>
      </c>
      <c r="N7" s="1" t="n">
        <f aca="false">G7</f>
        <v>16728</v>
      </c>
      <c r="O7" s="1" t="n">
        <f aca="false">K7</f>
        <v>12935</v>
      </c>
      <c r="P7" s="6" t="n">
        <f aca="false">AE$7</f>
        <v>0.00295777769394722</v>
      </c>
      <c r="Q7" s="1" t="n">
        <f aca="false">M7+0.5*(N7+O7)</f>
        <v>1630058.5</v>
      </c>
      <c r="R7" s="1" t="n">
        <f aca="false">M7+0.5*N7</f>
        <v>1623591</v>
      </c>
      <c r="S7" s="1" t="n">
        <f aca="false">N7+O7</f>
        <v>29663</v>
      </c>
      <c r="T7" s="6" t="n">
        <f aca="false">Rhoii/RhoOrig</f>
        <v>0.994848456292256</v>
      </c>
      <c r="U7" s="6"/>
      <c r="V7" s="6" t="n">
        <f aca="false">Rhoii/RhoTot</f>
        <v>0.990901246795744</v>
      </c>
      <c r="W7" s="6" t="n">
        <f aca="false">0.5*Rhoij/RhoTot</f>
        <v>0.00513110419043243</v>
      </c>
      <c r="X7" s="6" t="n">
        <f aca="false">0.5*Rhoji/RhoTot</f>
        <v>0.00396764901382374</v>
      </c>
      <c r="Y7" s="6" t="n">
        <f aca="false">Rhoij/RhoOrig</f>
        <v>0.0103030874154883</v>
      </c>
      <c r="Z7" s="6" t="n">
        <f aca="false">Rhoij/RhoCordon</f>
        <v>0.563934868354516</v>
      </c>
      <c r="AA7" s="6" t="n">
        <f aca="false">Rhoji/RhoCordon</f>
        <v>0.436065131645484</v>
      </c>
      <c r="AC7" s="1" t="s">
        <v>100</v>
      </c>
      <c r="AD7" s="1" t="s">
        <v>101</v>
      </c>
      <c r="AE7" s="6" t="n">
        <v>0.00295777769394722</v>
      </c>
      <c r="AF7" s="5" t="n">
        <v>848272</v>
      </c>
      <c r="AG7" s="5" t="n">
        <v>2509</v>
      </c>
      <c r="AH7" s="5" t="n">
        <v>570477</v>
      </c>
      <c r="AI7" s="5" t="n">
        <v>275286</v>
      </c>
      <c r="AJ7" s="6" t="n">
        <f aca="false">LN(AE$7+1)</f>
        <v>0.00295341207573736</v>
      </c>
      <c r="AK7" s="6" t="n">
        <f aca="false">LN(Density)</f>
        <v>3.58680866794525</v>
      </c>
      <c r="AL7" s="6" t="n">
        <f aca="false">LN(Rhoii)</f>
        <v>14.2949860620372</v>
      </c>
      <c r="AM7" s="6" t="n">
        <f aca="false">LN(Rhoij)</f>
        <v>9.72483924110847</v>
      </c>
      <c r="AN7" s="6" t="n">
        <f aca="false">LN(Rhoji)</f>
        <v>9.46769209462013</v>
      </c>
      <c r="AO7" s="6" t="n">
        <f aca="false">LN(AF7)</f>
        <v>13.6509566180602</v>
      </c>
      <c r="AP7" s="6" t="n">
        <f aca="false">LN(AS7)</f>
        <v>13.7344219702155</v>
      </c>
      <c r="AQ7" s="6" t="n">
        <f aca="false">LN(AS7-AR7)</f>
        <v>13.2058015447439</v>
      </c>
      <c r="AR7" s="8" t="n">
        <v>378603</v>
      </c>
      <c r="AS7" s="9" t="n">
        <v>922112</v>
      </c>
      <c r="AU7" s="10" t="n">
        <v>35058</v>
      </c>
      <c r="AV7" s="10" t="n">
        <v>21035</v>
      </c>
      <c r="AW7" s="10" t="n">
        <v>2103</v>
      </c>
      <c r="AX7" s="10" t="n">
        <v>1559</v>
      </c>
      <c r="AY7" s="10" t="n">
        <v>3905</v>
      </c>
      <c r="AZ7" s="10" t="n">
        <v>6354</v>
      </c>
      <c r="BA7" s="10" t="n">
        <v>2749</v>
      </c>
      <c r="BB7" s="10" t="n">
        <v>4365</v>
      </c>
      <c r="BC7" s="10" t="n">
        <v>14023</v>
      </c>
      <c r="BD7" s="10" t="n">
        <v>1402</v>
      </c>
      <c r="BE7" s="1" t="n">
        <v>701</v>
      </c>
      <c r="BF7" s="10" t="n">
        <v>1926</v>
      </c>
      <c r="BG7" s="10" t="n">
        <v>2251</v>
      </c>
      <c r="BH7" s="10" t="n">
        <v>3478</v>
      </c>
      <c r="BI7" s="10" t="n">
        <v>4265</v>
      </c>
      <c r="BJ7" s="5" t="s">
        <v>100</v>
      </c>
      <c r="BK7" s="1" t="s">
        <v>101</v>
      </c>
      <c r="BN7" s="1" t="n">
        <f aca="false">LN(TotalVMT)</f>
        <v>10.4647591117825</v>
      </c>
    </row>
    <row r="8" customFormat="false" ht="12.75" hidden="false" customHeight="false" outlineLevel="0" collapsed="false">
      <c r="A8" s="1" t="s">
        <v>102</v>
      </c>
      <c r="B8" s="1" t="n">
        <v>1609151</v>
      </c>
      <c r="C8" s="1" t="n">
        <v>1672230</v>
      </c>
      <c r="D8" s="1" t="n">
        <v>3282130</v>
      </c>
      <c r="E8" s="6" t="n">
        <v>0.952554971505116</v>
      </c>
      <c r="F8" s="1" t="n">
        <v>1592891</v>
      </c>
      <c r="G8" s="1" t="n">
        <f aca="false">C8-F8</f>
        <v>79339</v>
      </c>
      <c r="H8" s="1" t="n">
        <v>1669019</v>
      </c>
      <c r="I8" s="6" t="n">
        <v>0.954387577373295</v>
      </c>
      <c r="J8" s="1" t="n">
        <f aca="false">I8*H8</f>
        <v>1592891</v>
      </c>
      <c r="K8" s="1" t="n">
        <f aca="false">H8-J8</f>
        <v>76128</v>
      </c>
      <c r="L8" s="7" t="n">
        <v>675.884829721362</v>
      </c>
      <c r="M8" s="1" t="n">
        <f aca="false">F8</f>
        <v>1592891</v>
      </c>
      <c r="N8" s="1" t="n">
        <f aca="false">G8</f>
        <v>79339</v>
      </c>
      <c r="O8" s="1" t="n">
        <f aca="false">K8</f>
        <v>76128</v>
      </c>
      <c r="P8" s="6" t="n">
        <f aca="false">AE$8</f>
        <v>0.000259885785260088</v>
      </c>
      <c r="Q8" s="1" t="n">
        <f aca="false">M8+0.5*(N8+O8)</f>
        <v>1670624.5</v>
      </c>
      <c r="R8" s="1" t="n">
        <f aca="false">M8+0.5*N8</f>
        <v>1632560.5</v>
      </c>
      <c r="S8" s="1" t="n">
        <f aca="false">N8+O8</f>
        <v>155467</v>
      </c>
      <c r="T8" s="6" t="n">
        <f aca="false">Rhoii/RhoOrig</f>
        <v>0.97570105365161</v>
      </c>
      <c r="U8" s="6"/>
      <c r="V8" s="6" t="n">
        <f aca="false">Rhoii/RhoTot</f>
        <v>0.953470393855711</v>
      </c>
      <c r="W8" s="6" t="n">
        <f aca="false">0.5*Rhoij/RhoTot</f>
        <v>0.0237453120075756</v>
      </c>
      <c r="X8" s="6" t="n">
        <f aca="false">0.5*Rhoji/RhoTot</f>
        <v>0.0227842941367135</v>
      </c>
      <c r="Y8" s="6" t="n">
        <f aca="false">Rhoij/RhoOrig</f>
        <v>0.0485978926967791</v>
      </c>
      <c r="Z8" s="6" t="n">
        <f aca="false">Rhoij/RhoCordon</f>
        <v>0.510326950413914</v>
      </c>
      <c r="AA8" s="6" t="n">
        <f aca="false">Rhoji/RhoCordon</f>
        <v>0.489673049586086</v>
      </c>
      <c r="AC8" s="1" t="s">
        <v>103</v>
      </c>
      <c r="AD8" s="1" t="s">
        <v>104</v>
      </c>
      <c r="AE8" s="6" t="n">
        <v>0.000259885785260088</v>
      </c>
      <c r="AF8" s="5" t="n">
        <v>888852</v>
      </c>
      <c r="AG8" s="5" t="n">
        <v>231</v>
      </c>
      <c r="AH8" s="5" t="n">
        <v>646754</v>
      </c>
      <c r="AI8" s="5" t="n">
        <v>241867</v>
      </c>
      <c r="AJ8" s="6" t="n">
        <f aca="false">LN(AE$8+1)</f>
        <v>0.000259852020799158</v>
      </c>
      <c r="AK8" s="6" t="n">
        <f aca="false">LN(Density)</f>
        <v>6.51602269129364</v>
      </c>
      <c r="AL8" s="6" t="n">
        <f aca="false">LN(Rhoii)</f>
        <v>14.2810611621946</v>
      </c>
      <c r="AM8" s="6" t="n">
        <f aca="false">LN(Rhoij)</f>
        <v>11.281485090006</v>
      </c>
      <c r="AN8" s="6" t="n">
        <f aca="false">LN(Rhoji)</f>
        <v>11.2401714131027</v>
      </c>
      <c r="AO8" s="6" t="n">
        <f aca="false">LN(AF8)</f>
        <v>13.6976860214467</v>
      </c>
      <c r="AP8" s="6" t="n">
        <f aca="false">LN(AS8)</f>
        <v>13.9579610568433</v>
      </c>
      <c r="AQ8" s="6" t="n">
        <f aca="false">LN(AS8-AR8)</f>
        <v>13.2294422158995</v>
      </c>
      <c r="AR8" s="8" t="n">
        <v>596585</v>
      </c>
      <c r="AS8" s="9" t="n">
        <v>1153096</v>
      </c>
      <c r="AU8" s="10" t="n">
        <v>28045</v>
      </c>
      <c r="AV8" s="10" t="n">
        <v>21344</v>
      </c>
      <c r="AW8" s="10" t="n">
        <v>2274</v>
      </c>
      <c r="AX8" s="10" t="n">
        <v>1565</v>
      </c>
      <c r="AY8" s="10" t="n">
        <v>4153</v>
      </c>
      <c r="AZ8" s="10" t="n">
        <v>3371</v>
      </c>
      <c r="BA8" s="10" t="n">
        <v>2839</v>
      </c>
      <c r="BB8" s="10" t="n">
        <v>7142</v>
      </c>
      <c r="BC8" s="10" t="n">
        <v>6701</v>
      </c>
      <c r="BD8" s="10" t="n">
        <v>1160</v>
      </c>
      <c r="BE8" s="1" t="n">
        <v>264</v>
      </c>
      <c r="BF8" s="10" t="n">
        <v>1229</v>
      </c>
      <c r="BG8" s="10" t="n">
        <v>1187</v>
      </c>
      <c r="BH8" s="10" t="n">
        <v>1379</v>
      </c>
      <c r="BI8" s="10" t="n">
        <v>1482</v>
      </c>
      <c r="BJ8" s="5" t="s">
        <v>103</v>
      </c>
      <c r="BK8" s="1" t="s">
        <v>104</v>
      </c>
      <c r="BN8" s="1" t="n">
        <f aca="false">LN(TotalVMT)</f>
        <v>10.2415656419424</v>
      </c>
    </row>
    <row r="9" customFormat="false" ht="12.75" hidden="false" customHeight="false" outlineLevel="0" collapsed="false">
      <c r="A9" s="1" t="s">
        <v>105</v>
      </c>
      <c r="B9" s="1" t="n">
        <v>327531</v>
      </c>
      <c r="C9" s="1" t="n">
        <v>333913</v>
      </c>
      <c r="D9" s="1" t="n">
        <v>661667</v>
      </c>
      <c r="E9" s="6" t="n">
        <v>0.904954284499256</v>
      </c>
      <c r="F9" s="1" t="n">
        <v>302176</v>
      </c>
      <c r="G9" s="1" t="n">
        <f aca="false">C9-F9</f>
        <v>31737</v>
      </c>
      <c r="H9" s="1" t="n">
        <v>350686</v>
      </c>
      <c r="I9" s="6" t="n">
        <v>0.861671124595792</v>
      </c>
      <c r="J9" s="1" t="n">
        <f aca="false">I9*H9</f>
        <v>302176</v>
      </c>
      <c r="K9" s="1" t="n">
        <f aca="false">H9-J9</f>
        <v>48510</v>
      </c>
      <c r="L9" s="7" t="n">
        <v>366.852685421995</v>
      </c>
      <c r="M9" s="1" t="n">
        <f aca="false">F9</f>
        <v>302176</v>
      </c>
      <c r="N9" s="1" t="n">
        <f aca="false">G9</f>
        <v>31737</v>
      </c>
      <c r="O9" s="1" t="n">
        <f aca="false">K9</f>
        <v>48510</v>
      </c>
      <c r="P9" s="6" t="n">
        <f aca="false">AE$9</f>
        <v>0.252590047672857</v>
      </c>
      <c r="Q9" s="1" t="n">
        <f aca="false">M9+0.5*(N9+O9)</f>
        <v>342299.5</v>
      </c>
      <c r="R9" s="1" t="n">
        <f aca="false">M9+0.5*N9</f>
        <v>318044.5</v>
      </c>
      <c r="S9" s="1" t="n">
        <f aca="false">N9+O9</f>
        <v>80247</v>
      </c>
      <c r="T9" s="6" t="n">
        <f aca="false">Rhoii/RhoOrig</f>
        <v>0.950106038620382</v>
      </c>
      <c r="U9" s="6"/>
      <c r="V9" s="6" t="n">
        <f aca="false">Rhoii/RhoTot</f>
        <v>0.882782475580595</v>
      </c>
      <c r="W9" s="6" t="n">
        <f aca="false">0.5*Rhoij/RhoTot</f>
        <v>0.0463585252096483</v>
      </c>
      <c r="X9" s="6" t="n">
        <f aca="false">0.5*Rhoji/RhoTot</f>
        <v>0.0708589992097564</v>
      </c>
      <c r="Y9" s="6" t="n">
        <f aca="false">Rhoij/RhoOrig</f>
        <v>0.0997879227592365</v>
      </c>
      <c r="Z9" s="6" t="n">
        <f aca="false">Rhoij/RhoCordon</f>
        <v>0.395491420240009</v>
      </c>
      <c r="AA9" s="6" t="n">
        <f aca="false">Rhoji/RhoCordon</f>
        <v>0.604508579759991</v>
      </c>
      <c r="AC9" s="1" t="s">
        <v>106</v>
      </c>
      <c r="AD9" s="1" t="s">
        <v>107</v>
      </c>
      <c r="AE9" s="6" t="n">
        <v>0.252590047672857</v>
      </c>
      <c r="AF9" s="5" t="n">
        <v>262833</v>
      </c>
      <c r="AG9" s="5" t="n">
        <v>66389</v>
      </c>
      <c r="AH9" s="5" t="n">
        <v>132272</v>
      </c>
      <c r="AI9" s="5" t="n">
        <v>64172</v>
      </c>
      <c r="AJ9" s="6" t="n">
        <f aca="false">LN(AE$9+1)</f>
        <v>0.225213445742194</v>
      </c>
      <c r="AK9" s="6" t="n">
        <f aca="false">LN(Density)</f>
        <v>5.90496036535127</v>
      </c>
      <c r="AL9" s="6" t="n">
        <f aca="false">LN(Rhoii)</f>
        <v>12.6187649080628</v>
      </c>
      <c r="AM9" s="6" t="n">
        <f aca="false">LN(Rhoij)</f>
        <v>10.3652384716549</v>
      </c>
      <c r="AN9" s="6" t="n">
        <f aca="false">LN(Rhoji)</f>
        <v>10.7895252412393</v>
      </c>
      <c r="AO9" s="6" t="n">
        <f aca="false">LN(AF9)</f>
        <v>12.4792741284855</v>
      </c>
      <c r="AP9" s="6" t="n">
        <f aca="false">LN(AS9)</f>
        <v>12.9973034291256</v>
      </c>
      <c r="AQ9" s="6" t="n">
        <f aca="false">LN(AS9-AR9)</f>
        <v>12.2101144663565</v>
      </c>
      <c r="AR9" s="8" t="n">
        <v>240412</v>
      </c>
      <c r="AS9" s="9" t="n">
        <v>441222</v>
      </c>
      <c r="AU9" s="10" t="n">
        <v>7515</v>
      </c>
      <c r="AV9" s="10" t="n">
        <v>4561</v>
      </c>
      <c r="AW9" s="1" t="n">
        <v>826</v>
      </c>
      <c r="AX9" s="1" t="n">
        <v>464</v>
      </c>
      <c r="AY9" s="1" t="n">
        <v>715</v>
      </c>
      <c r="AZ9" s="10" t="n">
        <v>1223</v>
      </c>
      <c r="BA9" s="1" t="n">
        <v>98</v>
      </c>
      <c r="BB9" s="10" t="n">
        <v>1235</v>
      </c>
      <c r="BC9" s="10" t="n">
        <v>2954</v>
      </c>
      <c r="BD9" s="1" t="n">
        <v>466</v>
      </c>
      <c r="BE9" s="1" t="n">
        <v>81</v>
      </c>
      <c r="BF9" s="1" t="n">
        <v>615</v>
      </c>
      <c r="BG9" s="1" t="n">
        <v>324</v>
      </c>
      <c r="BH9" s="10" t="n">
        <v>1468</v>
      </c>
      <c r="BI9" s="1" t="n">
        <v>0</v>
      </c>
      <c r="BJ9" s="5" t="s">
        <v>106</v>
      </c>
      <c r="BK9" s="1" t="s">
        <v>107</v>
      </c>
      <c r="BN9" s="1" t="n">
        <f aca="false">LN(TotalVMT)</f>
        <v>8.92465630218707</v>
      </c>
    </row>
    <row r="10" customFormat="false" ht="12.75" hidden="false" customHeight="false" outlineLevel="0" collapsed="false">
      <c r="A10" s="1" t="s">
        <v>108</v>
      </c>
      <c r="B10" s="1" t="n">
        <v>303582</v>
      </c>
      <c r="C10" s="1" t="n">
        <v>305807</v>
      </c>
      <c r="D10" s="1" t="n">
        <v>609866</v>
      </c>
      <c r="E10" s="6" t="n">
        <v>0.774426353876792</v>
      </c>
      <c r="F10" s="1" t="n">
        <v>236825</v>
      </c>
      <c r="G10" s="1" t="n">
        <f aca="false">C10-F10</f>
        <v>68982</v>
      </c>
      <c r="H10" s="1" t="n">
        <v>731599</v>
      </c>
      <c r="I10" s="6" t="n">
        <v>0.323708753019072</v>
      </c>
      <c r="J10" s="1" t="n">
        <f aca="false">I10*H10</f>
        <v>236825</v>
      </c>
      <c r="K10" s="1" t="n">
        <f aca="false">H10-J10</f>
        <v>494774</v>
      </c>
      <c r="L10" s="7" t="n">
        <v>9086.16393442623</v>
      </c>
      <c r="M10" s="1" t="n">
        <f aca="false">F10</f>
        <v>236825</v>
      </c>
      <c r="N10" s="1" t="n">
        <f aca="false">G10</f>
        <v>68982</v>
      </c>
      <c r="O10" s="1" t="n">
        <f aca="false">K10</f>
        <v>494774</v>
      </c>
      <c r="P10" s="6" t="n">
        <f aca="false">AE$10</f>
        <v>0</v>
      </c>
      <c r="Q10" s="1" t="n">
        <f aca="false">M10+0.5*(N10+O10)</f>
        <v>518703</v>
      </c>
      <c r="R10" s="1" t="n">
        <f aca="false">M10+0.5*N10</f>
        <v>271316</v>
      </c>
      <c r="S10" s="1" t="n">
        <f aca="false">N10+O10</f>
        <v>563756</v>
      </c>
      <c r="T10" s="6" t="n">
        <f aca="false">Rhoii/RhoOrig</f>
        <v>0.87287517138687</v>
      </c>
      <c r="U10" s="6"/>
      <c r="V10" s="6" t="n">
        <f aca="false">Rhoii/RhoTot</f>
        <v>0.456571486958818</v>
      </c>
      <c r="W10" s="6" t="n">
        <f aca="false">0.5*Rhoij/RhoTot</f>
        <v>0.066494699278778</v>
      </c>
      <c r="X10" s="6" t="n">
        <f aca="false">0.5*Rhoji/RhoTot</f>
        <v>0.476933813762404</v>
      </c>
      <c r="Y10" s="6" t="n">
        <f aca="false">Rhoij/RhoOrig</f>
        <v>0.25424965722626</v>
      </c>
      <c r="Z10" s="6" t="n">
        <f aca="false">Rhoij/RhoCordon</f>
        <v>0.122361447150895</v>
      </c>
      <c r="AA10" s="6" t="n">
        <f aca="false">Rhoji/RhoCordon</f>
        <v>0.877638552849105</v>
      </c>
      <c r="AC10" s="1" t="s">
        <v>109</v>
      </c>
      <c r="AD10" s="1" t="s">
        <v>108</v>
      </c>
      <c r="AE10" s="6" t="n">
        <v>0</v>
      </c>
      <c r="AF10" s="5" t="n">
        <v>114237</v>
      </c>
      <c r="AG10" s="5" t="n">
        <v>0</v>
      </c>
      <c r="AH10" s="5" t="n">
        <v>83759</v>
      </c>
      <c r="AI10" s="5" t="n">
        <v>30478</v>
      </c>
      <c r="AJ10" s="6" t="n">
        <f aca="false">LN(AE$10+1)</f>
        <v>0</v>
      </c>
      <c r="AK10" s="6" t="n">
        <f aca="false">LN(Density)</f>
        <v>9.11450808868644</v>
      </c>
      <c r="AL10" s="6" t="n">
        <f aca="false">LN(Rhoii)</f>
        <v>12.3750767507437</v>
      </c>
      <c r="AM10" s="6" t="n">
        <f aca="false">LN(Rhoij)</f>
        <v>11.1416008799818</v>
      </c>
      <c r="AN10" s="6" t="n">
        <f aca="false">LN(Rhoji)</f>
        <v>13.1118563716364</v>
      </c>
      <c r="AO10" s="6" t="n">
        <f aca="false">LN(AF10)</f>
        <v>11.6460305167244</v>
      </c>
      <c r="AP10" s="6" t="n">
        <f aca="false">LN(AS10)</f>
        <v>11.8476676344594</v>
      </c>
      <c r="AQ10" s="6" t="n">
        <f aca="false">LN(AS10-AR10)</f>
        <v>11.0300067944572</v>
      </c>
      <c r="AR10" s="11" t="n">
        <v>78060</v>
      </c>
      <c r="AS10" s="12" t="n">
        <v>139758</v>
      </c>
      <c r="AU10" s="10" t="n">
        <v>3465</v>
      </c>
      <c r="AV10" s="10" t="n">
        <v>3465</v>
      </c>
      <c r="AW10" s="1" t="n">
        <v>438</v>
      </c>
      <c r="AX10" s="1" t="n">
        <v>328</v>
      </c>
      <c r="AY10" s="1" t="n">
        <v>912</v>
      </c>
      <c r="AZ10" s="1" t="n">
        <v>912</v>
      </c>
      <c r="BA10" s="1" t="n">
        <v>401</v>
      </c>
      <c r="BB10" s="1" t="n">
        <v>474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s">
        <v>109</v>
      </c>
      <c r="BK10" s="1" t="s">
        <v>110</v>
      </c>
      <c r="BN10" s="1" t="n">
        <f aca="false">LN(TotalVMT)</f>
        <v>8.150467911624</v>
      </c>
    </row>
    <row r="11" customFormat="false" ht="12.75" hidden="false" customHeight="false" outlineLevel="0" collapsed="false">
      <c r="A11" s="1" t="s">
        <v>111</v>
      </c>
      <c r="B11" s="1" t="n">
        <v>7132347</v>
      </c>
      <c r="C11" s="1" t="n">
        <v>5786177</v>
      </c>
      <c r="D11" s="1" t="n">
        <v>12922903</v>
      </c>
      <c r="E11" s="6" t="n">
        <v>0.990013095002106</v>
      </c>
      <c r="F11" s="1" t="n">
        <v>5728391</v>
      </c>
      <c r="G11" s="1" t="n">
        <f aca="false">C11-F11</f>
        <v>57786</v>
      </c>
      <c r="H11" s="1" t="n">
        <v>5774554</v>
      </c>
      <c r="I11" s="6" t="n">
        <v>0.992005789538032</v>
      </c>
      <c r="J11" s="1" t="n">
        <f aca="false">I11*H11</f>
        <v>5728391</v>
      </c>
      <c r="K11" s="1" t="n">
        <f aca="false">H11-J11</f>
        <v>46163</v>
      </c>
      <c r="L11" s="7" t="n">
        <v>262.339944811749</v>
      </c>
      <c r="M11" s="1" t="n">
        <f aca="false">F11</f>
        <v>5728391</v>
      </c>
      <c r="N11" s="1" t="n">
        <f aca="false">G11</f>
        <v>57786</v>
      </c>
      <c r="O11" s="1" t="n">
        <f aca="false">K11</f>
        <v>46163</v>
      </c>
      <c r="P11" s="6" t="n">
        <f aca="false">AE$11</f>
        <v>0.0778335546482334</v>
      </c>
      <c r="Q11" s="1" t="n">
        <f aca="false">M11+0.5*(N11+O11)</f>
        <v>5780365.5</v>
      </c>
      <c r="R11" s="1" t="n">
        <f aca="false">M11+0.5*N11</f>
        <v>5757284</v>
      </c>
      <c r="S11" s="1" t="n">
        <f aca="false">N11+O11</f>
        <v>103949</v>
      </c>
      <c r="T11" s="6" t="n">
        <f aca="false">Rhoii/RhoOrig</f>
        <v>0.994981487798761</v>
      </c>
      <c r="U11" s="6"/>
      <c r="V11" s="6" t="n">
        <f aca="false">Rhoii/RhoTot</f>
        <v>0.991008440556224</v>
      </c>
      <c r="W11" s="6" t="n">
        <f aca="false">0.5*Rhoij/RhoTot</f>
        <v>0.00499847284743499</v>
      </c>
      <c r="X11" s="6" t="n">
        <f aca="false">0.5*Rhoji/RhoTot</f>
        <v>0.00399308659634066</v>
      </c>
      <c r="Y11" s="6" t="n">
        <f aca="false">Rhoij/RhoOrig</f>
        <v>0.0100370244024787</v>
      </c>
      <c r="Z11" s="6" t="n">
        <f aca="false">Rhoij/RhoCordon</f>
        <v>0.555907223734716</v>
      </c>
      <c r="AA11" s="6" t="n">
        <f aca="false">Rhoji/RhoCordon</f>
        <v>0.444092776265284</v>
      </c>
      <c r="AC11" s="1" t="s">
        <v>112</v>
      </c>
      <c r="AD11" s="1" t="s">
        <v>113</v>
      </c>
      <c r="AE11" s="6" t="n">
        <v>0.0778335546482334</v>
      </c>
      <c r="AF11" s="5" t="n">
        <v>3867792</v>
      </c>
      <c r="AG11" s="5" t="n">
        <v>301044</v>
      </c>
      <c r="AH11" s="5" t="n">
        <v>2453078</v>
      </c>
      <c r="AI11" s="5" t="n">
        <v>1113670</v>
      </c>
      <c r="AJ11" s="6" t="n">
        <f aca="false">LN(AE$11+1)</f>
        <v>0.0749530585695172</v>
      </c>
      <c r="AK11" s="6" t="n">
        <f aca="false">LN(Density)</f>
        <v>5.5696411620178</v>
      </c>
      <c r="AL11" s="6" t="n">
        <f aca="false">LN(Rhoii)</f>
        <v>15.5609452464661</v>
      </c>
      <c r="AM11" s="6" t="n">
        <f aca="false">LN(Rhoij)</f>
        <v>10.9645018107889</v>
      </c>
      <c r="AN11" s="6" t="n">
        <f aca="false">LN(Rhoji)</f>
        <v>10.7399338904046</v>
      </c>
      <c r="AO11" s="6" t="n">
        <f aca="false">LN(AF11)</f>
        <v>15.1681943595489</v>
      </c>
      <c r="AP11" s="6" t="n">
        <f aca="false">LN(AS11)</f>
        <v>15.045519462241</v>
      </c>
      <c r="AQ11" s="6" t="n">
        <f aca="false">LN(AS11-AR11)</f>
        <v>14.0913194220183</v>
      </c>
      <c r="AR11" s="8" t="n">
        <v>2103664</v>
      </c>
      <c r="AS11" s="9" t="n">
        <v>3421260</v>
      </c>
      <c r="AU11" s="10" t="n">
        <v>127801</v>
      </c>
      <c r="AV11" s="10" t="n">
        <v>95398</v>
      </c>
      <c r="AW11" s="10" t="n">
        <v>19308</v>
      </c>
      <c r="AX11" s="10" t="n">
        <v>11602</v>
      </c>
      <c r="AY11" s="10" t="n">
        <v>15707</v>
      </c>
      <c r="AZ11" s="10" t="n">
        <v>27316</v>
      </c>
      <c r="BA11" s="10" t="n">
        <v>6227</v>
      </c>
      <c r="BB11" s="10" t="n">
        <v>15238</v>
      </c>
      <c r="BC11" s="10" t="n">
        <v>32403</v>
      </c>
      <c r="BD11" s="10" t="n">
        <v>3571</v>
      </c>
      <c r="BE11" s="10" t="n">
        <v>1406</v>
      </c>
      <c r="BF11" s="10" t="n">
        <v>2378</v>
      </c>
      <c r="BG11" s="10" t="n">
        <v>4385</v>
      </c>
      <c r="BH11" s="10" t="n">
        <v>10978</v>
      </c>
      <c r="BI11" s="10" t="n">
        <v>9685</v>
      </c>
      <c r="BJ11" s="5" t="s">
        <v>112</v>
      </c>
      <c r="BK11" s="1" t="s">
        <v>113</v>
      </c>
      <c r="BN11" s="1" t="n">
        <f aca="false">LN(TotalVMT)</f>
        <v>11.7582296456211</v>
      </c>
    </row>
    <row r="12" customFormat="false" ht="12.75" hidden="false" customHeight="false" outlineLevel="0" collapsed="false">
      <c r="A12" s="1" t="s">
        <v>114</v>
      </c>
      <c r="B12" s="1" t="n">
        <v>3356359</v>
      </c>
      <c r="C12" s="1" t="n">
        <v>3108090</v>
      </c>
      <c r="D12" s="1" t="n">
        <v>6466023</v>
      </c>
      <c r="E12" s="6" t="n">
        <v>0.976108478197221</v>
      </c>
      <c r="F12" s="1" t="n">
        <v>3033833</v>
      </c>
      <c r="G12" s="1" t="n">
        <f aca="false">C12-F12</f>
        <v>74257</v>
      </c>
      <c r="H12" s="1" t="n">
        <v>3121670</v>
      </c>
      <c r="I12" s="6" t="n">
        <v>0.971862176335103</v>
      </c>
      <c r="J12" s="1" t="n">
        <f aca="false">I12*H12</f>
        <v>3033833</v>
      </c>
      <c r="K12" s="1" t="n">
        <f aca="false">H12-J12</f>
        <v>87837</v>
      </c>
      <c r="L12" s="7" t="n">
        <v>124.326766691414</v>
      </c>
      <c r="M12" s="1" t="n">
        <f aca="false">F12</f>
        <v>3033833</v>
      </c>
      <c r="N12" s="1" t="n">
        <f aca="false">G12</f>
        <v>74257</v>
      </c>
      <c r="O12" s="1" t="n">
        <f aca="false">K12</f>
        <v>87837</v>
      </c>
      <c r="P12" s="6" t="n">
        <f aca="false">AE$12</f>
        <v>0.0041858290740556</v>
      </c>
      <c r="Q12" s="1" t="n">
        <f aca="false">M12+0.5*(N12+O12)</f>
        <v>3114880</v>
      </c>
      <c r="R12" s="1" t="n">
        <f aca="false">M12+0.5*N12</f>
        <v>3070961.5</v>
      </c>
      <c r="S12" s="1" t="n">
        <f aca="false">N12+O12</f>
        <v>162094</v>
      </c>
      <c r="T12" s="6" t="n">
        <f aca="false">Rhoii/RhoOrig</f>
        <v>0.987909812610806</v>
      </c>
      <c r="U12" s="6"/>
      <c r="V12" s="6" t="n">
        <f aca="false">Rhoii/RhoTot</f>
        <v>0.973980699095952</v>
      </c>
      <c r="W12" s="6" t="n">
        <f aca="false">0.5*Rhoij/RhoTot</f>
        <v>0.0119197208239162</v>
      </c>
      <c r="X12" s="6" t="n">
        <f aca="false">0.5*Rhoji/RhoTot</f>
        <v>0.0140995800801315</v>
      </c>
      <c r="Y12" s="6" t="n">
        <f aca="false">Rhoij/RhoOrig</f>
        <v>0.0241803747783878</v>
      </c>
      <c r="Z12" s="6" t="n">
        <f aca="false">Rhoij/RhoCordon</f>
        <v>0.45811072587511</v>
      </c>
      <c r="AA12" s="6" t="n">
        <f aca="false">Rhoji/RhoCordon</f>
        <v>0.541889274124891</v>
      </c>
      <c r="AC12" s="1" t="s">
        <v>115</v>
      </c>
      <c r="AD12" s="1" t="s">
        <v>116</v>
      </c>
      <c r="AE12" s="6" t="n">
        <v>0.0041858290740556</v>
      </c>
      <c r="AF12" s="5" t="n">
        <v>1343342</v>
      </c>
      <c r="AG12" s="5" t="n">
        <v>5623</v>
      </c>
      <c r="AH12" s="5" t="n">
        <v>576266</v>
      </c>
      <c r="AI12" s="5" t="n">
        <v>761453</v>
      </c>
      <c r="AJ12" s="6" t="n">
        <f aca="false">LN(AE$12+1)</f>
        <v>0.00417709286191255</v>
      </c>
      <c r="AK12" s="6" t="n">
        <f aca="false">LN(Density)</f>
        <v>4.82291331476659</v>
      </c>
      <c r="AL12" s="6" t="n">
        <f aca="false">LN(Rhoii)</f>
        <v>14.925337394528</v>
      </c>
      <c r="AM12" s="6" t="n">
        <f aca="false">LN(Rhoij)</f>
        <v>11.2152873283155</v>
      </c>
      <c r="AN12" s="6" t="n">
        <f aca="false">LN(Rhoji)</f>
        <v>11.3832381031547</v>
      </c>
      <c r="AO12" s="6" t="n">
        <f aca="false">LN(AF12)</f>
        <v>14.1106710968468</v>
      </c>
      <c r="AP12" s="6" t="n">
        <f aca="false">LN(AS12)</f>
        <v>14.177949160068</v>
      </c>
      <c r="AQ12" s="6" t="n">
        <f aca="false">LN(AS12-AR12)</f>
        <v>13.2273574259213</v>
      </c>
      <c r="AR12" s="8" t="n">
        <v>881477</v>
      </c>
      <c r="AS12" s="9" t="n">
        <v>1436829</v>
      </c>
      <c r="AU12" s="10" t="n">
        <v>85384</v>
      </c>
      <c r="AV12" s="10" t="n">
        <v>49822</v>
      </c>
      <c r="AW12" s="10" t="n">
        <v>8079</v>
      </c>
      <c r="AX12" s="10" t="n">
        <v>4573</v>
      </c>
      <c r="AY12" s="10" t="n">
        <v>9975</v>
      </c>
      <c r="AZ12" s="10" t="n">
        <v>10790</v>
      </c>
      <c r="BA12" s="10" t="n">
        <v>2314</v>
      </c>
      <c r="BB12" s="10" t="n">
        <v>14091</v>
      </c>
      <c r="BC12" s="10" t="n">
        <v>35562</v>
      </c>
      <c r="BD12" s="10" t="n">
        <v>4827</v>
      </c>
      <c r="BE12" s="10" t="n">
        <v>2102</v>
      </c>
      <c r="BF12" s="10" t="n">
        <v>6362</v>
      </c>
      <c r="BG12" s="10" t="n">
        <v>7081</v>
      </c>
      <c r="BH12" s="10" t="n">
        <v>6324</v>
      </c>
      <c r="BI12" s="10" t="n">
        <v>8866</v>
      </c>
      <c r="BJ12" s="5" t="s">
        <v>115</v>
      </c>
      <c r="BK12" s="1" t="s">
        <v>116</v>
      </c>
      <c r="BN12" s="1" t="n">
        <f aca="false">LN(TotalVMT)</f>
        <v>11.3549140085938</v>
      </c>
    </row>
    <row r="13" customFormat="false" ht="12.75" hidden="false" customHeight="false" outlineLevel="0" collapsed="false">
      <c r="A13" s="1" t="s">
        <v>117</v>
      </c>
      <c r="B13" s="1" t="n">
        <v>540368</v>
      </c>
      <c r="C13" s="1" t="n">
        <v>562967</v>
      </c>
      <c r="D13" s="1" t="n">
        <v>1104668</v>
      </c>
      <c r="E13" s="6" t="n">
        <v>0.995324770368423</v>
      </c>
      <c r="F13" s="1" t="n">
        <v>560335</v>
      </c>
      <c r="G13" s="1" t="n">
        <f aca="false">C13-F13</f>
        <v>2632</v>
      </c>
      <c r="H13" s="1" t="n">
        <v>565723</v>
      </c>
      <c r="I13" s="6" t="n">
        <v>0.990475904285313</v>
      </c>
      <c r="J13" s="1" t="n">
        <f aca="false">I13*H13</f>
        <v>560335</v>
      </c>
      <c r="K13" s="1" t="n">
        <f aca="false">H13-J13</f>
        <v>5388</v>
      </c>
      <c r="L13" s="7" t="n">
        <v>184.775805698272</v>
      </c>
      <c r="M13" s="1" t="n">
        <f aca="false">F13</f>
        <v>560335</v>
      </c>
      <c r="N13" s="1" t="n">
        <f aca="false">G13</f>
        <v>2632</v>
      </c>
      <c r="O13" s="1" t="n">
        <f aca="false">K13</f>
        <v>5388</v>
      </c>
      <c r="P13" s="6" t="n">
        <f aca="false">AE$13</f>
        <v>0</v>
      </c>
      <c r="Q13" s="1" t="n">
        <f aca="false">M13+0.5*(N13+O13)</f>
        <v>564345</v>
      </c>
      <c r="R13" s="1" t="n">
        <f aca="false">M13+0.5*N13</f>
        <v>561651</v>
      </c>
      <c r="S13" s="1" t="n">
        <f aca="false">N13+O13</f>
        <v>8020</v>
      </c>
      <c r="T13" s="6" t="n">
        <f aca="false">Rhoii/RhoOrig</f>
        <v>0.997656907937491</v>
      </c>
      <c r="U13" s="6"/>
      <c r="V13" s="6" t="n">
        <f aca="false">Rhoii/RhoTot</f>
        <v>0.992894417421967</v>
      </c>
      <c r="W13" s="6" t="n">
        <f aca="false">0.5*Rhoij/RhoTot</f>
        <v>0.00233190690092054</v>
      </c>
      <c r="X13" s="6" t="n">
        <f aca="false">0.5*Rhoji/RhoTot</f>
        <v>0.00477367567711241</v>
      </c>
      <c r="Y13" s="6" t="n">
        <f aca="false">Rhoij/RhoOrig</f>
        <v>0.00468618412501714</v>
      </c>
      <c r="Z13" s="6" t="n">
        <f aca="false">Rhoij/RhoCordon</f>
        <v>0.328179551122195</v>
      </c>
      <c r="AA13" s="6" t="n">
        <f aca="false">Rhoji/RhoCordon</f>
        <v>0.671820448877806</v>
      </c>
      <c r="AC13" s="1" t="s">
        <v>118</v>
      </c>
      <c r="AD13" s="1" t="s">
        <v>119</v>
      </c>
      <c r="AE13" s="6" t="n">
        <v>0</v>
      </c>
      <c r="AF13" s="5" t="n">
        <v>229449</v>
      </c>
      <c r="AG13" s="5" t="n">
        <v>0</v>
      </c>
      <c r="AH13" s="5" t="n">
        <v>168101</v>
      </c>
      <c r="AI13" s="5" t="n">
        <v>61348</v>
      </c>
      <c r="AJ13" s="6" t="n">
        <f aca="false">LN(AE$13+1)</f>
        <v>0</v>
      </c>
      <c r="AK13" s="6" t="n">
        <f aca="false">LN(Density)</f>
        <v>5.21914322909046</v>
      </c>
      <c r="AL13" s="6" t="n">
        <f aca="false">LN(Rhoii)</f>
        <v>13.2362900981382</v>
      </c>
      <c r="AM13" s="6" t="n">
        <f aca="false">LN(Rhoij)</f>
        <v>7.87549929244521</v>
      </c>
      <c r="AN13" s="6" t="n">
        <f aca="false">LN(Rhoji)</f>
        <v>8.59192953753026</v>
      </c>
      <c r="AO13" s="6" t="n">
        <f aca="false">LN(AF13)</f>
        <v>12.3434360615655</v>
      </c>
      <c r="AP13" s="6" t="n">
        <f aca="false">LN(AS13)</f>
        <v>12.7930423101117</v>
      </c>
      <c r="AQ13" s="6" t="n">
        <f aca="false">LN(AS13-AR13)</f>
        <v>11.8889754938415</v>
      </c>
      <c r="AR13" s="8" t="n">
        <v>214054</v>
      </c>
      <c r="AS13" s="9" t="n">
        <v>359706</v>
      </c>
      <c r="AU13" s="10" t="n">
        <v>7945</v>
      </c>
      <c r="AV13" s="10" t="n">
        <v>5847</v>
      </c>
      <c r="AW13" s="1" t="n">
        <v>797</v>
      </c>
      <c r="AX13" s="1" t="n">
        <v>872</v>
      </c>
      <c r="AY13" s="1" t="n">
        <v>683</v>
      </c>
      <c r="AZ13" s="10" t="n">
        <v>1324</v>
      </c>
      <c r="BA13" s="1" t="n">
        <v>614</v>
      </c>
      <c r="BB13" s="10" t="n">
        <v>1557</v>
      </c>
      <c r="BC13" s="10" t="n">
        <v>2098</v>
      </c>
      <c r="BD13" s="1" t="n">
        <v>307</v>
      </c>
      <c r="BE13" s="1" t="n">
        <v>33</v>
      </c>
      <c r="BF13" s="1" t="n">
        <v>323</v>
      </c>
      <c r="BG13" s="1" t="n">
        <v>780</v>
      </c>
      <c r="BH13" s="1" t="n">
        <v>655</v>
      </c>
      <c r="BI13" s="1" t="n">
        <v>0</v>
      </c>
      <c r="BJ13" s="5" t="s">
        <v>118</v>
      </c>
      <c r="BK13" s="1" t="s">
        <v>119</v>
      </c>
      <c r="BN13" s="1" t="n">
        <f aca="false">LN(TotalVMT)</f>
        <v>8.98029807897082</v>
      </c>
    </row>
    <row r="14" customFormat="false" ht="12.75" hidden="false" customHeight="false" outlineLevel="0" collapsed="false">
      <c r="A14" s="1" t="s">
        <v>120</v>
      </c>
      <c r="B14" s="1" t="n">
        <v>557000</v>
      </c>
      <c r="C14" s="1" t="n">
        <v>433860</v>
      </c>
      <c r="D14" s="1" t="n">
        <v>990916</v>
      </c>
      <c r="E14" s="6" t="n">
        <v>0.960217581708385</v>
      </c>
      <c r="F14" s="1" t="n">
        <v>416600</v>
      </c>
      <c r="G14" s="1" t="n">
        <f aca="false">C14-F14</f>
        <v>17260</v>
      </c>
      <c r="H14" s="1" t="n">
        <v>427786</v>
      </c>
      <c r="I14" s="6" t="n">
        <v>0.973851411687152</v>
      </c>
      <c r="J14" s="1" t="n">
        <f aca="false">I14*H14</f>
        <v>416600</v>
      </c>
      <c r="K14" s="1" t="n">
        <f aca="false">H14-J14</f>
        <v>11186</v>
      </c>
      <c r="L14" s="7" t="n">
        <v>14.0573648656814</v>
      </c>
      <c r="M14" s="1" t="n">
        <f aca="false">F14</f>
        <v>416600</v>
      </c>
      <c r="N14" s="1" t="n">
        <f aca="false">G14</f>
        <v>17260</v>
      </c>
      <c r="O14" s="1" t="n">
        <f aca="false">K14</f>
        <v>11186</v>
      </c>
      <c r="P14" s="6" t="n">
        <f aca="false">AE$14</f>
        <v>0</v>
      </c>
      <c r="Q14" s="1" t="n">
        <f aca="false">M14+0.5*(N14+O14)</f>
        <v>430823</v>
      </c>
      <c r="R14" s="1" t="n">
        <f aca="false">M14+0.5*N14</f>
        <v>425230</v>
      </c>
      <c r="S14" s="1" t="n">
        <f aca="false">N14+O14</f>
        <v>28446</v>
      </c>
      <c r="T14" s="6" t="n">
        <f aca="false">Rhoii/RhoOrig</f>
        <v>0.979705100768996</v>
      </c>
      <c r="U14" s="6"/>
      <c r="V14" s="6" t="n">
        <f aca="false">Rhoii/RhoTot</f>
        <v>0.966986442228015</v>
      </c>
      <c r="W14" s="6" t="n">
        <f aca="false">0.5*Rhoij/RhoTot</f>
        <v>0.0200314282199418</v>
      </c>
      <c r="X14" s="6" t="n">
        <f aca="false">0.5*Rhoji/RhoTot</f>
        <v>0.0129821295520434</v>
      </c>
      <c r="Y14" s="6" t="n">
        <f aca="false">Rhoij/RhoOrig</f>
        <v>0.0405897984620088</v>
      </c>
      <c r="Z14" s="6" t="n">
        <f aca="false">Rhoij/RhoCordon</f>
        <v>0.60676369261056</v>
      </c>
      <c r="AA14" s="6" t="n">
        <f aca="false">Rhoji/RhoCordon</f>
        <v>0.39323630738944</v>
      </c>
      <c r="AC14" s="1" t="s">
        <v>121</v>
      </c>
      <c r="AD14" s="1" t="s">
        <v>122</v>
      </c>
      <c r="AE14" s="6" t="n">
        <v>0</v>
      </c>
      <c r="AF14" s="5" t="n">
        <v>335569</v>
      </c>
      <c r="AG14" s="5" t="n">
        <v>0</v>
      </c>
      <c r="AH14" s="5" t="n">
        <v>231352</v>
      </c>
      <c r="AI14" s="5" t="n">
        <v>104217</v>
      </c>
      <c r="AJ14" s="6" t="n">
        <f aca="false">LN(AE$14+1)</f>
        <v>0</v>
      </c>
      <c r="AK14" s="6" t="n">
        <f aca="false">LN(Density)</f>
        <v>2.64314644816852</v>
      </c>
      <c r="AL14" s="6" t="n">
        <f aca="false">LN(Rhoii)</f>
        <v>12.939881807809</v>
      </c>
      <c r="AM14" s="6" t="n">
        <f aca="false">LN(Rhoij)</f>
        <v>9.75614696463742</v>
      </c>
      <c r="AN14" s="6" t="n">
        <f aca="false">LN(Rhoji)</f>
        <v>9.32241827538153</v>
      </c>
      <c r="AO14" s="6" t="n">
        <f aca="false">LN(AF14)</f>
        <v>12.7235828774374</v>
      </c>
      <c r="AP14" s="6" t="n">
        <f aca="false">LN(AS14)</f>
        <v>12.7655855710326</v>
      </c>
      <c r="AQ14" s="6" t="n">
        <f aca="false">LN(AS14-AR14)</f>
        <v>12.1251608102747</v>
      </c>
      <c r="AR14" s="11" t="n">
        <v>165509</v>
      </c>
      <c r="AS14" s="12" t="n">
        <v>349964</v>
      </c>
      <c r="AU14" s="10" t="n">
        <v>12296</v>
      </c>
      <c r="AV14" s="10" t="n">
        <v>4055</v>
      </c>
      <c r="AW14" s="1" t="n">
        <v>577</v>
      </c>
      <c r="AX14" s="1" t="n">
        <v>474</v>
      </c>
      <c r="AY14" s="10" t="n">
        <v>1057</v>
      </c>
      <c r="AZ14" s="10" t="n">
        <v>1142</v>
      </c>
      <c r="BA14" s="1" t="n">
        <v>0</v>
      </c>
      <c r="BB14" s="1" t="n">
        <v>805</v>
      </c>
      <c r="BC14" s="10" t="n">
        <v>8241</v>
      </c>
      <c r="BD14" s="10" t="n">
        <v>2257</v>
      </c>
      <c r="BE14" s="1" t="n">
        <v>226</v>
      </c>
      <c r="BF14" s="10" t="n">
        <v>1263</v>
      </c>
      <c r="BG14" s="1" t="n">
        <v>874</v>
      </c>
      <c r="BH14" s="10" t="n">
        <v>1787</v>
      </c>
      <c r="BI14" s="10" t="n">
        <v>1834</v>
      </c>
      <c r="BJ14" s="5" t="s">
        <v>121</v>
      </c>
      <c r="BK14" s="1" t="s">
        <v>122</v>
      </c>
      <c r="BN14" s="1" t="n">
        <f aca="false">LN(TotalVMT)</f>
        <v>9.41702928521843</v>
      </c>
    </row>
    <row r="15" customFormat="false" ht="12.75" hidden="false" customHeight="false" outlineLevel="0" collapsed="false">
      <c r="A15" s="1" t="s">
        <v>123</v>
      </c>
      <c r="B15" s="1" t="n">
        <v>6058554</v>
      </c>
      <c r="C15" s="1" t="n">
        <v>5333793</v>
      </c>
      <c r="D15" s="1" t="n">
        <v>11393796</v>
      </c>
      <c r="E15" s="6" t="n">
        <v>0.971316659645397</v>
      </c>
      <c r="F15" s="1" t="n">
        <v>5180802</v>
      </c>
      <c r="G15" s="1" t="n">
        <f aca="false">C15-F15</f>
        <v>152991</v>
      </c>
      <c r="H15" s="1" t="n">
        <v>5331106</v>
      </c>
      <c r="I15" s="6" t="n">
        <v>0.971806225574956</v>
      </c>
      <c r="J15" s="1" t="n">
        <f aca="false">I15*H15</f>
        <v>5180802</v>
      </c>
      <c r="K15" s="1" t="n">
        <f aca="false">H15-J15</f>
        <v>150304</v>
      </c>
      <c r="L15" s="7" t="n">
        <v>212.795495835807</v>
      </c>
      <c r="M15" s="1" t="n">
        <f aca="false">F15</f>
        <v>5180802</v>
      </c>
      <c r="N15" s="1" t="n">
        <f aca="false">G15</f>
        <v>152991</v>
      </c>
      <c r="O15" s="1" t="n">
        <f aca="false">K15</f>
        <v>150304</v>
      </c>
      <c r="P15" s="6" t="n">
        <f aca="false">AE$15</f>
        <v>0.0925020274991467</v>
      </c>
      <c r="Q15" s="1" t="n">
        <f aca="false">M15+0.5*(N15+O15)</f>
        <v>5332449.5</v>
      </c>
      <c r="R15" s="1" t="n">
        <f aca="false">M15+0.5*N15</f>
        <v>5257297.5</v>
      </c>
      <c r="S15" s="1" t="n">
        <f aca="false">N15+O15</f>
        <v>303295</v>
      </c>
      <c r="T15" s="6" t="n">
        <f aca="false">Rhoii/RhoOrig</f>
        <v>0.98544965355299</v>
      </c>
      <c r="U15" s="6"/>
      <c r="V15" s="6" t="n">
        <f aca="false">Rhoii/RhoTot</f>
        <v>0.971561380937597</v>
      </c>
      <c r="W15" s="6" t="n">
        <f aca="false">0.5*Rhoij/RhoTot</f>
        <v>0.0143452835324554</v>
      </c>
      <c r="X15" s="6" t="n">
        <f aca="false">0.5*Rhoji/RhoTot</f>
        <v>0.0140933355299474</v>
      </c>
      <c r="Y15" s="6" t="n">
        <f aca="false">Rhoij/RhoOrig</f>
        <v>0.0291006928940202</v>
      </c>
      <c r="Z15" s="6" t="n">
        <f aca="false">Rhoij/RhoCordon</f>
        <v>0.504429680673931</v>
      </c>
      <c r="AA15" s="6" t="n">
        <f aca="false">Rhoji/RhoCordon</f>
        <v>0.495570319326069</v>
      </c>
      <c r="AC15" s="1" t="s">
        <v>124</v>
      </c>
      <c r="AD15" s="1" t="s">
        <v>125</v>
      </c>
      <c r="AE15" s="6" t="n">
        <v>0.0925020274991467</v>
      </c>
      <c r="AF15" s="5" t="n">
        <v>3099878</v>
      </c>
      <c r="AG15" s="5" t="n">
        <v>286745</v>
      </c>
      <c r="AH15" s="5" t="n">
        <v>1985634</v>
      </c>
      <c r="AI15" s="5" t="n">
        <v>827499</v>
      </c>
      <c r="AJ15" s="6" t="n">
        <f aca="false">LN(AE$15+1)</f>
        <v>0.0884705038203454</v>
      </c>
      <c r="AK15" s="6" t="n">
        <f aca="false">LN(Density)</f>
        <v>5.36033159105836</v>
      </c>
      <c r="AL15" s="6" t="n">
        <f aca="false">LN(Rhoii)</f>
        <v>15.4604704285061</v>
      </c>
      <c r="AM15" s="6" t="n">
        <f aca="false">LN(Rhoij)</f>
        <v>11.938134375115</v>
      </c>
      <c r="AN15" s="6" t="n">
        <f aca="false">LN(Rhoji)</f>
        <v>11.9204151888267</v>
      </c>
      <c r="AO15" s="6" t="n">
        <f aca="false">LN(AF15)</f>
        <v>14.9468733138422</v>
      </c>
      <c r="AP15" s="6" t="n">
        <f aca="false">LN(AS15)</f>
        <v>14.9162485856474</v>
      </c>
      <c r="AQ15" s="6" t="n">
        <f aca="false">LN(AS15-AR15)</f>
        <v>14.1735387858012</v>
      </c>
      <c r="AR15" s="8" t="n">
        <v>1575878</v>
      </c>
      <c r="AS15" s="9" t="n">
        <v>3006384</v>
      </c>
      <c r="AU15" s="10" t="n">
        <v>94189</v>
      </c>
      <c r="AV15" s="10" t="n">
        <v>66474</v>
      </c>
      <c r="AW15" s="10" t="n">
        <v>7700</v>
      </c>
      <c r="AX15" s="10" t="n">
        <v>7724</v>
      </c>
      <c r="AY15" s="10" t="n">
        <v>15191</v>
      </c>
      <c r="AZ15" s="10" t="n">
        <v>18172</v>
      </c>
      <c r="BA15" s="1" t="n">
        <v>940</v>
      </c>
      <c r="BB15" s="10" t="n">
        <v>16747</v>
      </c>
      <c r="BC15" s="10" t="n">
        <v>27715</v>
      </c>
      <c r="BD15" s="10" t="n">
        <v>3484</v>
      </c>
      <c r="BE15" s="1" t="n">
        <v>422</v>
      </c>
      <c r="BF15" s="10" t="n">
        <v>5142</v>
      </c>
      <c r="BG15" s="10" t="n">
        <v>5061</v>
      </c>
      <c r="BH15" s="10" t="n">
        <v>4475</v>
      </c>
      <c r="BI15" s="10" t="n">
        <v>9131</v>
      </c>
      <c r="BJ15" s="5" t="s">
        <v>124</v>
      </c>
      <c r="BK15" s="1" t="s">
        <v>125</v>
      </c>
      <c r="BN15" s="1" t="n">
        <f aca="false">LN(TotalVMT)</f>
        <v>11.4530586809222</v>
      </c>
    </row>
    <row r="16" customFormat="false" ht="12.75" hidden="false" customHeight="false" outlineLevel="0" collapsed="false">
      <c r="A16" s="1" t="s">
        <v>126</v>
      </c>
      <c r="B16" s="1" t="n">
        <v>2965742</v>
      </c>
      <c r="C16" s="1" t="n">
        <v>2582095</v>
      </c>
      <c r="D16" s="1" t="n">
        <v>5548329</v>
      </c>
      <c r="E16" s="6" t="n">
        <v>0.951710142345653</v>
      </c>
      <c r="F16" s="1" t="n">
        <v>2457406</v>
      </c>
      <c r="G16" s="1" t="n">
        <f aca="false">C16-F16</f>
        <v>124689</v>
      </c>
      <c r="H16" s="1" t="n">
        <v>2540764</v>
      </c>
      <c r="I16" s="6" t="n">
        <v>0.96719175806962</v>
      </c>
      <c r="J16" s="1" t="n">
        <f aca="false">I16*H16</f>
        <v>2457406</v>
      </c>
      <c r="K16" s="1" t="n">
        <f aca="false">H16-J16</f>
        <v>83358</v>
      </c>
      <c r="L16" s="7" t="n">
        <v>161.791775857262</v>
      </c>
      <c r="M16" s="1" t="n">
        <f aca="false">F16</f>
        <v>2457406</v>
      </c>
      <c r="N16" s="1" t="n">
        <f aca="false">G16</f>
        <v>124689</v>
      </c>
      <c r="O16" s="1" t="n">
        <f aca="false">K16</f>
        <v>83358</v>
      </c>
      <c r="P16" s="6" t="n">
        <f aca="false">AE$16</f>
        <v>0.0425729531743058</v>
      </c>
      <c r="Q16" s="1" t="n">
        <f aca="false">M16+0.5*(N16+O16)</f>
        <v>2561429.5</v>
      </c>
      <c r="R16" s="1" t="n">
        <f aca="false">M16+0.5*N16</f>
        <v>2519750.5</v>
      </c>
      <c r="S16" s="1" t="n">
        <f aca="false">N16+O16</f>
        <v>208047</v>
      </c>
      <c r="T16" s="6" t="n">
        <f aca="false">Rhoii/RhoOrig</f>
        <v>0.975257669360518</v>
      </c>
      <c r="U16" s="6"/>
      <c r="V16" s="6" t="n">
        <f aca="false">Rhoii/RhoTot</f>
        <v>0.959388497711922</v>
      </c>
      <c r="W16" s="6" t="n">
        <f aca="false">0.5*Rhoij/RhoTot</f>
        <v>0.0243397290458316</v>
      </c>
      <c r="X16" s="6" t="n">
        <f aca="false">0.5*Rhoji/RhoTot</f>
        <v>0.0162717732422462</v>
      </c>
      <c r="Y16" s="6" t="n">
        <f aca="false">Rhoij/RhoOrig</f>
        <v>0.0494846612789639</v>
      </c>
      <c r="Z16" s="6" t="n">
        <f aca="false">Rhoij/RhoCordon</f>
        <v>0.599330920417021</v>
      </c>
      <c r="AA16" s="6" t="n">
        <f aca="false">Rhoji/RhoCordon</f>
        <v>0.400669079582979</v>
      </c>
      <c r="AC16" s="1" t="s">
        <v>127</v>
      </c>
      <c r="AD16" s="1" t="s">
        <v>128</v>
      </c>
      <c r="AE16" s="6" t="n">
        <v>0.0425729531743058</v>
      </c>
      <c r="AF16" s="5" t="n">
        <v>1449183</v>
      </c>
      <c r="AG16" s="5" t="n">
        <v>61696</v>
      </c>
      <c r="AH16" s="5" t="n">
        <v>827514</v>
      </c>
      <c r="AI16" s="5" t="n">
        <v>559973</v>
      </c>
      <c r="AJ16" s="6" t="n">
        <f aca="false">LN(AE$16+1)</f>
        <v>0.0416916513064812</v>
      </c>
      <c r="AK16" s="6" t="n">
        <f aca="false">LN(Density)</f>
        <v>5.08631017426742</v>
      </c>
      <c r="AL16" s="6" t="n">
        <f aca="false">LN(Rhoii)</f>
        <v>14.7146168800176</v>
      </c>
      <c r="AM16" s="6" t="n">
        <f aca="false">LN(Rhoij)</f>
        <v>11.7335779160691</v>
      </c>
      <c r="AN16" s="6" t="n">
        <f aca="false">LN(Rhoji)</f>
        <v>11.3308998643769</v>
      </c>
      <c r="AO16" s="6" t="n">
        <f aca="false">LN(AF16)</f>
        <v>14.1865105073243</v>
      </c>
      <c r="AP16" s="6" t="n">
        <f aca="false">LN(AS16)</f>
        <v>14.17540491403</v>
      </c>
      <c r="AQ16" s="6" t="n">
        <f aca="false">LN(AS16-AR16)</f>
        <v>13.571048881567</v>
      </c>
      <c r="AR16" s="8" t="n">
        <v>650052</v>
      </c>
      <c r="AS16" s="9" t="n">
        <v>1433178</v>
      </c>
      <c r="AU16" s="10" t="n">
        <v>64552</v>
      </c>
      <c r="AV16" s="10" t="n">
        <v>31465</v>
      </c>
      <c r="AW16" s="10" t="n">
        <v>4721</v>
      </c>
      <c r="AX16" s="10" t="n">
        <v>2147</v>
      </c>
      <c r="AY16" s="10" t="n">
        <v>6709</v>
      </c>
      <c r="AZ16" s="10" t="n">
        <v>9760</v>
      </c>
      <c r="BA16" s="10" t="n">
        <v>1084</v>
      </c>
      <c r="BB16" s="10" t="n">
        <v>7044</v>
      </c>
      <c r="BC16" s="10" t="n">
        <v>33087</v>
      </c>
      <c r="BD16" s="10" t="n">
        <v>2775</v>
      </c>
      <c r="BE16" s="10" t="n">
        <v>2067</v>
      </c>
      <c r="BF16" s="10" t="n">
        <v>10877</v>
      </c>
      <c r="BG16" s="10" t="n">
        <v>4345</v>
      </c>
      <c r="BH16" s="10" t="n">
        <v>5551</v>
      </c>
      <c r="BI16" s="10" t="n">
        <v>7472</v>
      </c>
      <c r="BJ16" s="5" t="s">
        <v>127</v>
      </c>
      <c r="BK16" s="1" t="s">
        <v>128</v>
      </c>
      <c r="BN16" s="1" t="n">
        <f aca="false">LN(TotalVMT)</f>
        <v>11.0752263795283</v>
      </c>
    </row>
    <row r="17" customFormat="false" ht="12.75" hidden="false" customHeight="false" outlineLevel="0" collapsed="false">
      <c r="A17" s="1" t="s">
        <v>129</v>
      </c>
      <c r="B17" s="1" t="n">
        <v>1449735</v>
      </c>
      <c r="C17" s="1" t="n">
        <v>1316719</v>
      </c>
      <c r="D17" s="1" t="n">
        <v>2766658</v>
      </c>
      <c r="E17" s="6" t="n">
        <v>0.957015126234223</v>
      </c>
      <c r="F17" s="1" t="n">
        <v>1260120</v>
      </c>
      <c r="G17" s="1" t="n">
        <f aca="false">C17-F17</f>
        <v>56599</v>
      </c>
      <c r="H17" s="1" t="n">
        <v>1308425</v>
      </c>
      <c r="I17" s="6" t="n">
        <v>0.963081567533485</v>
      </c>
      <c r="J17" s="1" t="n">
        <f aca="false">I17*H17</f>
        <v>1260120</v>
      </c>
      <c r="K17" s="1" t="n">
        <f aca="false">H17-J17</f>
        <v>48305</v>
      </c>
      <c r="L17" s="7" t="n">
        <v>50.8593109619687</v>
      </c>
      <c r="M17" s="1" t="n">
        <f aca="false">F17</f>
        <v>1260120</v>
      </c>
      <c r="N17" s="1" t="n">
        <f aca="false">G17</f>
        <v>56599</v>
      </c>
      <c r="O17" s="1" t="n">
        <f aca="false">K17</f>
        <v>48305</v>
      </c>
      <c r="P17" s="6" t="n">
        <f aca="false">AE$17</f>
        <v>0.00107334901207605</v>
      </c>
      <c r="Q17" s="1" t="n">
        <f aca="false">M17+0.5*(N17+O17)</f>
        <v>1312572</v>
      </c>
      <c r="R17" s="1" t="n">
        <f aca="false">M17+0.5*N17</f>
        <v>1288419.5</v>
      </c>
      <c r="S17" s="1" t="n">
        <f aca="false">N17+O17</f>
        <v>104904</v>
      </c>
      <c r="T17" s="6" t="n">
        <f aca="false">Rhoii/RhoOrig</f>
        <v>0.978035492322182</v>
      </c>
      <c r="U17" s="6"/>
      <c r="V17" s="6" t="n">
        <f aca="false">Rhoii/RhoTot</f>
        <v>0.960038763587826</v>
      </c>
      <c r="W17" s="6" t="n">
        <f aca="false">0.5*Rhoij/RhoTot</f>
        <v>0.0215603410708136</v>
      </c>
      <c r="X17" s="6" t="n">
        <f aca="false">0.5*Rhoji/RhoTot</f>
        <v>0.0184008953413603</v>
      </c>
      <c r="Y17" s="6" t="n">
        <f aca="false">Rhoij/RhoOrig</f>
        <v>0.0439290153556353</v>
      </c>
      <c r="Z17" s="6" t="n">
        <f aca="false">Rhoij/RhoCordon</f>
        <v>0.539531381072218</v>
      </c>
      <c r="AA17" s="6" t="n">
        <f aca="false">Rhoji/RhoCordon</f>
        <v>0.460468618927782</v>
      </c>
      <c r="AC17" s="1" t="s">
        <v>130</v>
      </c>
      <c r="AD17" s="1" t="s">
        <v>131</v>
      </c>
      <c r="AE17" s="6" t="n">
        <v>0.00107334901207605</v>
      </c>
      <c r="AF17" s="5" t="n">
        <v>858062</v>
      </c>
      <c r="AG17" s="5" t="n">
        <v>921</v>
      </c>
      <c r="AH17" s="5" t="n">
        <v>604505</v>
      </c>
      <c r="AI17" s="5" t="n">
        <v>252636</v>
      </c>
      <c r="AJ17" s="6" t="n">
        <f aca="false">LN(AE$17+1)</f>
        <v>0.00107277338488757</v>
      </c>
      <c r="AK17" s="6" t="n">
        <f aca="false">LN(Density)</f>
        <v>3.9290632121627</v>
      </c>
      <c r="AL17" s="6" t="n">
        <f aca="false">LN(Rhoii)</f>
        <v>14.046717512488</v>
      </c>
      <c r="AM17" s="6" t="n">
        <f aca="false">LN(Rhoij)</f>
        <v>10.9437465961907</v>
      </c>
      <c r="AN17" s="6" t="n">
        <f aca="false">LN(Rhoji)</f>
        <v>10.7852903539516</v>
      </c>
      <c r="AO17" s="6" t="n">
        <f aca="false">LN(AF17)</f>
        <v>13.6624316369317</v>
      </c>
      <c r="AP17" s="6" t="n">
        <f aca="false">LN(AS17)</f>
        <v>13.8903434101861</v>
      </c>
      <c r="AQ17" s="6" t="n">
        <f aca="false">LN(AS17-AR17)</f>
        <v>13.3347646363466</v>
      </c>
      <c r="AR17" s="8" t="n">
        <v>459382</v>
      </c>
      <c r="AS17" s="9" t="n">
        <v>1077704</v>
      </c>
      <c r="AU17" s="10" t="n">
        <v>25987</v>
      </c>
      <c r="AV17" s="10" t="n">
        <v>9439</v>
      </c>
      <c r="AW17" s="10" t="n">
        <v>1560</v>
      </c>
      <c r="AX17" s="1" t="n">
        <v>741</v>
      </c>
      <c r="AY17" s="10" t="n">
        <v>2625</v>
      </c>
      <c r="AZ17" s="10" t="n">
        <v>2746</v>
      </c>
      <c r="BA17" s="1" t="n">
        <v>0</v>
      </c>
      <c r="BB17" s="10" t="n">
        <v>1767</v>
      </c>
      <c r="BC17" s="10" t="n">
        <v>16548</v>
      </c>
      <c r="BD17" s="10" t="n">
        <v>1519</v>
      </c>
      <c r="BE17" s="1" t="n">
        <v>788</v>
      </c>
      <c r="BF17" s="10" t="n">
        <v>3146</v>
      </c>
      <c r="BG17" s="10" t="n">
        <v>2578</v>
      </c>
      <c r="BH17" s="10" t="n">
        <v>4671</v>
      </c>
      <c r="BI17" s="10" t="n">
        <v>3846</v>
      </c>
      <c r="BJ17" s="5" t="s">
        <v>130</v>
      </c>
      <c r="BK17" s="1" t="s">
        <v>131</v>
      </c>
      <c r="BN17" s="1" t="n">
        <f aca="false">LN(TotalVMT)</f>
        <v>10.1653516919619</v>
      </c>
    </row>
    <row r="18" customFormat="false" ht="12.75" hidden="false" customHeight="false" outlineLevel="0" collapsed="false">
      <c r="A18" s="1" t="s">
        <v>132</v>
      </c>
      <c r="B18" s="1" t="n">
        <v>1296974</v>
      </c>
      <c r="C18" s="1" t="n">
        <v>1174154</v>
      </c>
      <c r="D18" s="1" t="n">
        <v>2471342</v>
      </c>
      <c r="E18" s="6" t="n">
        <v>0.924275691263667</v>
      </c>
      <c r="F18" s="1" t="n">
        <v>1085242</v>
      </c>
      <c r="G18" s="1" t="n">
        <f aca="false">C18-F18</f>
        <v>88912</v>
      </c>
      <c r="H18" s="1" t="n">
        <v>1167713</v>
      </c>
      <c r="I18" s="6" t="n">
        <v>0.929373912939224</v>
      </c>
      <c r="J18" s="1" t="n">
        <f aca="false">I18*H18</f>
        <v>1085242</v>
      </c>
      <c r="K18" s="1" t="n">
        <f aca="false">H18-J18</f>
        <v>82471</v>
      </c>
      <c r="L18" s="7" t="n">
        <v>31.3521625948694</v>
      </c>
      <c r="M18" s="1" t="n">
        <f aca="false">F18</f>
        <v>1085242</v>
      </c>
      <c r="N18" s="1" t="n">
        <f aca="false">G18</f>
        <v>88912</v>
      </c>
      <c r="O18" s="1" t="n">
        <f aca="false">K18</f>
        <v>82471</v>
      </c>
      <c r="P18" s="6" t="n">
        <f aca="false">AE$18</f>
        <v>0.0645640225441334</v>
      </c>
      <c r="Q18" s="1" t="n">
        <f aca="false">M18+0.5*(N18+O18)</f>
        <v>1170933.5</v>
      </c>
      <c r="R18" s="1" t="n">
        <f aca="false">M18+0.5*N18</f>
        <v>1129698</v>
      </c>
      <c r="S18" s="1" t="n">
        <f aca="false">N18+O18</f>
        <v>171383</v>
      </c>
      <c r="T18" s="6" t="n">
        <f aca="false">Rhoii/RhoOrig</f>
        <v>0.960647889967053</v>
      </c>
      <c r="U18" s="6"/>
      <c r="V18" s="6" t="n">
        <f aca="false">Rhoii/RhoTot</f>
        <v>0.926817791104277</v>
      </c>
      <c r="W18" s="6" t="n">
        <f aca="false">0.5*Rhoij/RhoTot</f>
        <v>0.0379662892896992</v>
      </c>
      <c r="X18" s="6" t="n">
        <f aca="false">0.5*Rhoji/RhoTot</f>
        <v>0.0352159196060237</v>
      </c>
      <c r="Y18" s="6" t="n">
        <f aca="false">Rhoij/RhoOrig</f>
        <v>0.0787042200658937</v>
      </c>
      <c r="Z18" s="6" t="n">
        <f aca="false">Rhoij/RhoCordon</f>
        <v>0.518791245339386</v>
      </c>
      <c r="AA18" s="6" t="n">
        <f aca="false">Rhoji/RhoCordon</f>
        <v>0.481208754660614</v>
      </c>
      <c r="AC18" s="1" t="s">
        <v>133</v>
      </c>
      <c r="AD18" s="1" t="s">
        <v>134</v>
      </c>
      <c r="AE18" s="6" t="n">
        <v>0.0645640225441334</v>
      </c>
      <c r="AF18" s="5" t="n">
        <v>687008</v>
      </c>
      <c r="AG18" s="5" t="n">
        <v>44356</v>
      </c>
      <c r="AH18" s="5" t="n">
        <v>402483</v>
      </c>
      <c r="AI18" s="5" t="n">
        <v>240169</v>
      </c>
      <c r="AJ18" s="6" t="n">
        <f aca="false">LN(AE$18+1)</f>
        <v>0.062565346844067</v>
      </c>
      <c r="AK18" s="6" t="n">
        <f aca="false">LN(Density)</f>
        <v>3.44528324699225</v>
      </c>
      <c r="AL18" s="6" t="n">
        <f aca="false">LN(Rhoii)</f>
        <v>13.8973135615613</v>
      </c>
      <c r="AM18" s="6" t="n">
        <f aca="false">LN(Rhoij)</f>
        <v>11.3954023955197</v>
      </c>
      <c r="AN18" s="6" t="n">
        <f aca="false">LN(Rhoji)</f>
        <v>11.3202019953753</v>
      </c>
      <c r="AO18" s="6" t="n">
        <f aca="false">LN(AF18)</f>
        <v>13.4401012159693</v>
      </c>
      <c r="AP18" s="6" t="n">
        <f aca="false">LN(AS18)</f>
        <v>13.8344893165621</v>
      </c>
      <c r="AQ18" s="6" t="n">
        <f aca="false">LN(AS18-AR18)</f>
        <v>12.8564897623631</v>
      </c>
      <c r="AR18" s="11" t="n">
        <v>635892</v>
      </c>
      <c r="AS18" s="12" t="n">
        <v>1019160</v>
      </c>
      <c r="AU18" s="10" t="n">
        <v>25153</v>
      </c>
      <c r="AV18" s="10" t="n">
        <v>11540</v>
      </c>
      <c r="AW18" s="10" t="n">
        <v>1770</v>
      </c>
      <c r="AX18" s="1" t="n">
        <v>849</v>
      </c>
      <c r="AY18" s="10" t="n">
        <v>2475</v>
      </c>
      <c r="AZ18" s="10" t="n">
        <v>2900</v>
      </c>
      <c r="BA18" s="10" t="n">
        <v>1036</v>
      </c>
      <c r="BB18" s="10" t="n">
        <v>2510</v>
      </c>
      <c r="BC18" s="10" t="n">
        <v>13613</v>
      </c>
      <c r="BD18" s="10" t="n">
        <v>1572</v>
      </c>
      <c r="BE18" s="1" t="n">
        <v>270</v>
      </c>
      <c r="BF18" s="10" t="n">
        <v>2932</v>
      </c>
      <c r="BG18" s="10" t="n">
        <v>2156</v>
      </c>
      <c r="BH18" s="10" t="n">
        <v>3805</v>
      </c>
      <c r="BI18" s="10" t="n">
        <v>2878</v>
      </c>
      <c r="BJ18" s="5" t="s">
        <v>133</v>
      </c>
      <c r="BK18" s="1" t="s">
        <v>134</v>
      </c>
      <c r="BN18" s="1" t="n">
        <f aca="false">LN(TotalVMT)</f>
        <v>10.1327324527083</v>
      </c>
    </row>
    <row r="19" customFormat="false" ht="12.75" hidden="false" customHeight="false" outlineLevel="0" collapsed="false">
      <c r="A19" s="1" t="s">
        <v>135</v>
      </c>
      <c r="B19" s="1" t="n">
        <v>2107119</v>
      </c>
      <c r="C19" s="1" t="n">
        <v>1559792</v>
      </c>
      <c r="D19" s="1" t="n">
        <v>3667395</v>
      </c>
      <c r="E19" s="6" t="n">
        <v>0.932886564362428</v>
      </c>
      <c r="F19" s="1" t="n">
        <v>1455109</v>
      </c>
      <c r="G19" s="1" t="n">
        <f aca="false">C19-F19</f>
        <v>104683</v>
      </c>
      <c r="H19" s="1" t="n">
        <v>1552216</v>
      </c>
      <c r="I19" s="6" t="n">
        <v>0.937439763538064</v>
      </c>
      <c r="J19" s="1" t="n">
        <f aca="false">I19*H19</f>
        <v>1455109</v>
      </c>
      <c r="K19" s="1" t="n">
        <f aca="false">H19-J19</f>
        <v>97107</v>
      </c>
      <c r="L19" s="7" t="n">
        <v>97.15642303433</v>
      </c>
      <c r="M19" s="1" t="n">
        <f aca="false">F19</f>
        <v>1455109</v>
      </c>
      <c r="N19" s="1" t="n">
        <f aca="false">G19</f>
        <v>104683</v>
      </c>
      <c r="O19" s="1" t="n">
        <f aca="false">K19</f>
        <v>97107</v>
      </c>
      <c r="P19" s="6" t="n">
        <f aca="false">AE$19</f>
        <v>0.00845328299918051</v>
      </c>
      <c r="Q19" s="1" t="n">
        <f aca="false">M19+0.5*(N19+O19)</f>
        <v>1556004</v>
      </c>
      <c r="R19" s="1" t="n">
        <f aca="false">M19+0.5*N19</f>
        <v>1507450.5</v>
      </c>
      <c r="S19" s="1" t="n">
        <f aca="false">N19+O19</f>
        <v>201790</v>
      </c>
      <c r="T19" s="6" t="n">
        <f aca="false">Rhoii/RhoOrig</f>
        <v>0.965278130193993</v>
      </c>
      <c r="U19" s="6"/>
      <c r="V19" s="6" t="n">
        <f aca="false">Rhoii/RhoTot</f>
        <v>0.935157621702772</v>
      </c>
      <c r="W19" s="6" t="n">
        <f aca="false">0.5*Rhoij/RhoTot</f>
        <v>0.033638409669898</v>
      </c>
      <c r="X19" s="6" t="n">
        <f aca="false">0.5*Rhoji/RhoTot</f>
        <v>0.03120396862733</v>
      </c>
      <c r="Y19" s="6" t="n">
        <f aca="false">Rhoij/RhoOrig</f>
        <v>0.0694437396120138</v>
      </c>
      <c r="Z19" s="6" t="n">
        <f aca="false">Rhoij/RhoCordon</f>
        <v>0.518771990683384</v>
      </c>
      <c r="AA19" s="6" t="n">
        <f aca="false">Rhoji/RhoCordon</f>
        <v>0.481228009316616</v>
      </c>
      <c r="AC19" s="1" t="s">
        <v>136</v>
      </c>
      <c r="AD19" s="1" t="s">
        <v>137</v>
      </c>
      <c r="AE19" s="6" t="n">
        <v>0.00845328299918051</v>
      </c>
      <c r="AF19" s="5" t="n">
        <v>1219053</v>
      </c>
      <c r="AG19" s="5" t="n">
        <v>10305</v>
      </c>
      <c r="AH19" s="5" t="n">
        <v>803739</v>
      </c>
      <c r="AI19" s="5" t="n">
        <v>405009</v>
      </c>
      <c r="AJ19" s="6" t="n">
        <f aca="false">LN(AE$19+1)</f>
        <v>0.00841775408600689</v>
      </c>
      <c r="AK19" s="6" t="n">
        <f aca="false">LN(Density)</f>
        <v>4.57632228824765</v>
      </c>
      <c r="AL19" s="6" t="n">
        <f aca="false">LN(Rhoii)</f>
        <v>14.1905913698712</v>
      </c>
      <c r="AM19" s="6" t="n">
        <f aca="false">LN(Rhoij)</f>
        <v>11.558692015003</v>
      </c>
      <c r="AN19" s="6" t="n">
        <f aca="false">LN(Rhoji)</f>
        <v>11.4835687423092</v>
      </c>
      <c r="AO19" s="6" t="n">
        <f aca="false">LN(AF19)</f>
        <v>14.0135848857791</v>
      </c>
      <c r="AP19" s="6" t="n">
        <f aca="false">LN(AS19)</f>
        <v>14.1496865888933</v>
      </c>
      <c r="AQ19" s="6" t="n">
        <f aca="false">LN(AS19-AR19)</f>
        <v>13.500792963786</v>
      </c>
      <c r="AR19" s="8" t="n">
        <v>666794</v>
      </c>
      <c r="AS19" s="9" t="n">
        <v>1396789</v>
      </c>
      <c r="AU19" s="10" t="n">
        <v>41095</v>
      </c>
      <c r="AV19" s="10" t="n">
        <v>18189</v>
      </c>
      <c r="AW19" s="10" t="n">
        <v>2577</v>
      </c>
      <c r="AX19" s="10" t="n">
        <v>1706</v>
      </c>
      <c r="AY19" s="10" t="n">
        <v>3942</v>
      </c>
      <c r="AZ19" s="10" t="n">
        <v>4242</v>
      </c>
      <c r="BA19" s="1" t="n">
        <v>726</v>
      </c>
      <c r="BB19" s="10" t="n">
        <v>4996</v>
      </c>
      <c r="BC19" s="10" t="n">
        <v>22906</v>
      </c>
      <c r="BD19" s="10" t="n">
        <v>2884</v>
      </c>
      <c r="BE19" s="10" t="n">
        <v>2349</v>
      </c>
      <c r="BF19" s="10" t="n">
        <v>5146</v>
      </c>
      <c r="BG19" s="10" t="n">
        <v>2157</v>
      </c>
      <c r="BH19" s="10" t="n">
        <v>5282</v>
      </c>
      <c r="BI19" s="10" t="n">
        <v>5088</v>
      </c>
      <c r="BJ19" s="5" t="s">
        <v>136</v>
      </c>
      <c r="BK19" s="1" t="s">
        <v>137</v>
      </c>
      <c r="BN19" s="1" t="n">
        <f aca="false">LN(TotalVMT)</f>
        <v>10.6236417385826</v>
      </c>
    </row>
    <row r="20" customFormat="false" ht="12.75" hidden="false" customHeight="false" outlineLevel="0" collapsed="false">
      <c r="A20" s="1" t="s">
        <v>138</v>
      </c>
      <c r="B20" s="1" t="n">
        <v>2563518</v>
      </c>
      <c r="C20" s="1" t="n">
        <v>1623594</v>
      </c>
      <c r="D20" s="1" t="n">
        <v>4188408</v>
      </c>
      <c r="E20" s="6" t="n">
        <v>0.98080554621414</v>
      </c>
      <c r="F20" s="1" t="n">
        <v>1592430</v>
      </c>
      <c r="G20" s="1" t="n">
        <f aca="false">C20-F20</f>
        <v>31164</v>
      </c>
      <c r="H20" s="1" t="n">
        <v>1626779</v>
      </c>
      <c r="I20" s="6" t="n">
        <v>0.978885269603308</v>
      </c>
      <c r="J20" s="1" t="n">
        <f aca="false">I20*H20</f>
        <v>1592430</v>
      </c>
      <c r="K20" s="1" t="n">
        <f aca="false">H20-J20</f>
        <v>34349</v>
      </c>
      <c r="L20" s="7" t="n">
        <v>99.6725428086122</v>
      </c>
      <c r="M20" s="1" t="n">
        <f aca="false">F20</f>
        <v>1592430</v>
      </c>
      <c r="N20" s="1" t="n">
        <f aca="false">G20</f>
        <v>31164</v>
      </c>
      <c r="O20" s="1" t="n">
        <f aca="false">K20</f>
        <v>34349</v>
      </c>
      <c r="P20" s="6" t="n">
        <f aca="false">AE$20</f>
        <v>0.0293839643250748</v>
      </c>
      <c r="Q20" s="1" t="n">
        <f aca="false">M20+0.5*(N20+O20)</f>
        <v>1625186.5</v>
      </c>
      <c r="R20" s="1" t="n">
        <f aca="false">M20+0.5*N20</f>
        <v>1608012</v>
      </c>
      <c r="S20" s="1" t="n">
        <f aca="false">N20+O20</f>
        <v>65513</v>
      </c>
      <c r="T20" s="6" t="n">
        <f aca="false">Rhoii/RhoOrig</f>
        <v>0.990309773807658</v>
      </c>
      <c r="U20" s="6"/>
      <c r="V20" s="6" t="n">
        <f aca="false">Rhoii/RhoTot</f>
        <v>0.979844467081163</v>
      </c>
      <c r="W20" s="6" t="n">
        <f aca="false">0.5*Rhoij/RhoTot</f>
        <v>0.00958782268988821</v>
      </c>
      <c r="X20" s="6" t="n">
        <f aca="false">0.5*Rhoji/RhoTot</f>
        <v>0.0105677102289491</v>
      </c>
      <c r="Y20" s="6" t="n">
        <f aca="false">Rhoij/RhoOrig</f>
        <v>0.0193804523846837</v>
      </c>
      <c r="Z20" s="6" t="n">
        <f aca="false">Rhoij/RhoCordon</f>
        <v>0.475691847419596</v>
      </c>
      <c r="AA20" s="6" t="n">
        <f aca="false">Rhoji/RhoCordon</f>
        <v>0.524308152580404</v>
      </c>
      <c r="AC20" s="1" t="s">
        <v>139</v>
      </c>
      <c r="AD20" s="1" t="s">
        <v>140</v>
      </c>
      <c r="AE20" s="6" t="n">
        <v>0.0293839643250748</v>
      </c>
      <c r="AF20" s="5" t="n">
        <v>1019876</v>
      </c>
      <c r="AG20" s="5" t="n">
        <v>29968</v>
      </c>
      <c r="AH20" s="5" t="n">
        <v>625294</v>
      </c>
      <c r="AI20" s="5" t="n">
        <v>364614</v>
      </c>
      <c r="AJ20" s="6" t="n">
        <f aca="false">LN(AE$20+1)</f>
        <v>0.0289605304243684</v>
      </c>
      <c r="AK20" s="6" t="n">
        <f aca="false">LN(Density)</f>
        <v>4.60189024093057</v>
      </c>
      <c r="AL20" s="6" t="n">
        <f aca="false">LN(Rhoii)</f>
        <v>14.2807717094184</v>
      </c>
      <c r="AM20" s="6" t="n">
        <f aca="false">LN(Rhoij)</f>
        <v>10.3470188614508</v>
      </c>
      <c r="AN20" s="6" t="n">
        <f aca="false">LN(Rhoji)</f>
        <v>10.4443281851452</v>
      </c>
      <c r="AO20" s="6" t="n">
        <f aca="false">LN(AF20)</f>
        <v>13.8351916092429</v>
      </c>
      <c r="AP20" s="6" t="n">
        <f aca="false">LN(AS20)</f>
        <v>13.9960722337423</v>
      </c>
      <c r="AQ20" s="6" t="n">
        <f aca="false">LN(AS20-AR20)</f>
        <v>13.3779462385061</v>
      </c>
      <c r="AR20" s="8" t="n">
        <v>552283</v>
      </c>
      <c r="AS20" s="9" t="n">
        <v>1197890</v>
      </c>
      <c r="AU20" s="10" t="n">
        <v>38647</v>
      </c>
      <c r="AV20" s="10" t="n">
        <v>17705</v>
      </c>
      <c r="AW20" s="10" t="n">
        <v>1314</v>
      </c>
      <c r="AX20" s="10" t="n">
        <v>1325</v>
      </c>
      <c r="AY20" s="10" t="n">
        <v>4380</v>
      </c>
      <c r="AZ20" s="10" t="n">
        <v>5513</v>
      </c>
      <c r="BA20" s="1" t="n">
        <v>645</v>
      </c>
      <c r="BB20" s="10" t="n">
        <v>4528</v>
      </c>
      <c r="BC20" s="10" t="n">
        <v>20942</v>
      </c>
      <c r="BD20" s="10" t="n">
        <v>2232</v>
      </c>
      <c r="BE20" s="10" t="n">
        <v>1755</v>
      </c>
      <c r="BF20" s="10" t="n">
        <v>6302</v>
      </c>
      <c r="BG20" s="10" t="n">
        <v>2555</v>
      </c>
      <c r="BH20" s="10" t="n">
        <v>2985</v>
      </c>
      <c r="BI20" s="10" t="n">
        <v>5113</v>
      </c>
      <c r="BJ20" s="5" t="s">
        <v>139</v>
      </c>
      <c r="BK20" s="1" t="s">
        <v>140</v>
      </c>
      <c r="BN20" s="1" t="n">
        <f aca="false">LN(TotalVMT)</f>
        <v>10.5622244313394</v>
      </c>
    </row>
    <row r="21" customFormat="false" ht="12.75" hidden="false" customHeight="false" outlineLevel="0" collapsed="false">
      <c r="A21" s="1" t="s">
        <v>141</v>
      </c>
      <c r="B21" s="1" t="n">
        <v>653357</v>
      </c>
      <c r="C21" s="1" t="n">
        <v>573276</v>
      </c>
      <c r="D21" s="1" t="n">
        <v>1226904</v>
      </c>
      <c r="E21" s="6" t="n">
        <v>0.968657330849364</v>
      </c>
      <c r="F21" s="1" t="n">
        <v>555308</v>
      </c>
      <c r="G21" s="1" t="n">
        <f aca="false">C21-F21</f>
        <v>17968</v>
      </c>
      <c r="H21" s="1" t="n">
        <v>566995</v>
      </c>
      <c r="I21" s="6" t="n">
        <v>0.979387825289465</v>
      </c>
      <c r="J21" s="1" t="n">
        <f aca="false">I21*H21</f>
        <v>555308</v>
      </c>
      <c r="K21" s="1" t="n">
        <f aca="false">H21-J21</f>
        <v>11687</v>
      </c>
      <c r="L21" s="7" t="n">
        <v>40.2197310869917</v>
      </c>
      <c r="M21" s="1" t="n">
        <f aca="false">F21</f>
        <v>555308</v>
      </c>
      <c r="N21" s="1" t="n">
        <f aca="false">G21</f>
        <v>17968</v>
      </c>
      <c r="O21" s="1" t="n">
        <f aca="false">K21</f>
        <v>11687</v>
      </c>
      <c r="P21" s="6" t="n">
        <f aca="false">AE$21</f>
        <v>0.105088318367691</v>
      </c>
      <c r="Q21" s="1" t="n">
        <f aca="false">M21+0.5*(N21+O21)</f>
        <v>570135.5</v>
      </c>
      <c r="R21" s="1" t="n">
        <f aca="false">M21+0.5*N21</f>
        <v>564292</v>
      </c>
      <c r="S21" s="1" t="n">
        <f aca="false">N21+O21</f>
        <v>29655</v>
      </c>
      <c r="T21" s="6" t="n">
        <f aca="false">Rhoii/RhoOrig</f>
        <v>0.984079164687786</v>
      </c>
      <c r="U21" s="6"/>
      <c r="V21" s="6" t="n">
        <f aca="false">Rhoii/RhoTot</f>
        <v>0.973993024465237</v>
      </c>
      <c r="W21" s="6" t="n">
        <f aca="false">0.5*Rhoij/RhoTot</f>
        <v>0.015757657609463</v>
      </c>
      <c r="X21" s="6" t="n">
        <f aca="false">0.5*Rhoji/RhoTot</f>
        <v>0.0102493179253002</v>
      </c>
      <c r="Y21" s="6" t="n">
        <f aca="false">Rhoij/RhoOrig</f>
        <v>0.0318416706244285</v>
      </c>
      <c r="Z21" s="6" t="n">
        <f aca="false">Rhoij/RhoCordon</f>
        <v>0.605901197099983</v>
      </c>
      <c r="AA21" s="6" t="n">
        <f aca="false">Rhoji/RhoCordon</f>
        <v>0.394098802900017</v>
      </c>
      <c r="AC21" s="1" t="s">
        <v>142</v>
      </c>
      <c r="AD21" s="1" t="s">
        <v>143</v>
      </c>
      <c r="AE21" s="6" t="n">
        <v>0.105088318367691</v>
      </c>
      <c r="AF21" s="5" t="n">
        <v>355815</v>
      </c>
      <c r="AG21" s="5" t="n">
        <v>37392</v>
      </c>
      <c r="AH21" s="5" t="n">
        <v>200836</v>
      </c>
      <c r="AI21" s="5" t="n">
        <v>117587</v>
      </c>
      <c r="AJ21" s="6" t="n">
        <f aca="false">LN(AE$21+1)</f>
        <v>0.099925257900401</v>
      </c>
      <c r="AK21" s="6" t="n">
        <f aca="false">LN(Density)</f>
        <v>3.69435769827023</v>
      </c>
      <c r="AL21" s="6" t="n">
        <f aca="false">LN(Rhoii)</f>
        <v>13.227278193753</v>
      </c>
      <c r="AM21" s="6" t="n">
        <f aca="false">LN(Rhoij)</f>
        <v>9.79634767697822</v>
      </c>
      <c r="AN21" s="6" t="n">
        <f aca="false">LN(Rhoji)</f>
        <v>9.36623239193316</v>
      </c>
      <c r="AO21" s="6" t="n">
        <f aca="false">LN(AF21)</f>
        <v>12.7821662118412</v>
      </c>
      <c r="AP21" s="6" t="n">
        <f aca="false">LN(AS21)</f>
        <v>12.8460352707112</v>
      </c>
      <c r="AQ21" s="6" t="n">
        <f aca="false">LN(AS21-AR21)</f>
        <v>12.2923604274547</v>
      </c>
      <c r="AR21" s="8" t="n">
        <v>161258</v>
      </c>
      <c r="AS21" s="9" t="n">
        <v>379282</v>
      </c>
      <c r="AU21" s="10" t="n">
        <v>12589</v>
      </c>
      <c r="AV21" s="10" t="n">
        <v>3331</v>
      </c>
      <c r="AW21" s="1" t="n">
        <v>278</v>
      </c>
      <c r="AX21" s="1" t="n">
        <v>626</v>
      </c>
      <c r="AY21" s="1" t="n">
        <v>872</v>
      </c>
      <c r="AZ21" s="1" t="n">
        <v>928</v>
      </c>
      <c r="BA21" s="1" t="n">
        <v>131</v>
      </c>
      <c r="BB21" s="1" t="n">
        <v>496</v>
      </c>
      <c r="BC21" s="10" t="n">
        <v>9258</v>
      </c>
      <c r="BD21" s="10" t="n">
        <v>1083</v>
      </c>
      <c r="BE21" s="1" t="n">
        <v>741</v>
      </c>
      <c r="BF21" s="10" t="n">
        <v>2164</v>
      </c>
      <c r="BG21" s="10" t="n">
        <v>1742</v>
      </c>
      <c r="BH21" s="10" t="n">
        <v>1716</v>
      </c>
      <c r="BI21" s="10" t="n">
        <v>1812</v>
      </c>
      <c r="BJ21" s="5" t="s">
        <v>142</v>
      </c>
      <c r="BK21" s="1" t="s">
        <v>143</v>
      </c>
      <c r="BN21" s="1" t="n">
        <f aca="false">LN(TotalVMT)</f>
        <v>9.44057869576626</v>
      </c>
    </row>
    <row r="22" customFormat="false" ht="12.75" hidden="false" customHeight="false" outlineLevel="0" collapsed="false">
      <c r="A22" s="1" t="s">
        <v>144</v>
      </c>
      <c r="B22" s="1" t="n">
        <v>2304040</v>
      </c>
      <c r="C22" s="1" t="n">
        <v>2475649</v>
      </c>
      <c r="D22" s="1" t="n">
        <v>4780796</v>
      </c>
      <c r="E22" s="6" t="n">
        <v>0.826632127575436</v>
      </c>
      <c r="F22" s="1" t="n">
        <v>2046451</v>
      </c>
      <c r="G22" s="1" t="n">
        <f aca="false">C22-F22</f>
        <v>429198</v>
      </c>
      <c r="H22" s="1" t="n">
        <v>2199964</v>
      </c>
      <c r="I22" s="6" t="n">
        <v>0.930220221785447</v>
      </c>
      <c r="J22" s="1" t="n">
        <f aca="false">I22*H22</f>
        <v>2046451</v>
      </c>
      <c r="K22" s="1" t="n">
        <f aca="false">H22-J22</f>
        <v>153513</v>
      </c>
      <c r="L22" s="7" t="n">
        <v>515.850434782609</v>
      </c>
      <c r="M22" s="1" t="n">
        <f aca="false">F22</f>
        <v>2046451</v>
      </c>
      <c r="N22" s="1" t="n">
        <f aca="false">G22</f>
        <v>429198</v>
      </c>
      <c r="O22" s="1" t="n">
        <f aca="false">K22</f>
        <v>153513</v>
      </c>
      <c r="P22" s="6" t="n">
        <f aca="false">AE$22</f>
        <v>0.0702579161473665</v>
      </c>
      <c r="Q22" s="1" t="n">
        <f aca="false">M22+0.5*(N22+O22)</f>
        <v>2337806.5</v>
      </c>
      <c r="R22" s="1" t="n">
        <f aca="false">M22+0.5*N22</f>
        <v>2261050</v>
      </c>
      <c r="S22" s="1" t="n">
        <f aca="false">N22+O22</f>
        <v>582711</v>
      </c>
      <c r="T22" s="6" t="n">
        <f aca="false">Rhoii/RhoOrig</f>
        <v>0.90508878618341</v>
      </c>
      <c r="U22" s="6"/>
      <c r="V22" s="6" t="n">
        <f aca="false">Rhoii/RhoTot</f>
        <v>0.875372277389082</v>
      </c>
      <c r="W22" s="6" t="n">
        <f aca="false">0.5*Rhoij/RhoTot</f>
        <v>0.0917950223853001</v>
      </c>
      <c r="X22" s="6" t="n">
        <f aca="false">0.5*Rhoji/RhoTot</f>
        <v>0.0328327002256175</v>
      </c>
      <c r="Y22" s="6" t="n">
        <f aca="false">Rhoij/RhoOrig</f>
        <v>0.189822427633179</v>
      </c>
      <c r="Z22" s="6" t="n">
        <f aca="false">Rhoij/RhoCordon</f>
        <v>0.736553797680154</v>
      </c>
      <c r="AA22" s="6" t="n">
        <f aca="false">Rhoji/RhoCordon</f>
        <v>0.263446202319846</v>
      </c>
      <c r="AC22" s="1" t="s">
        <v>145</v>
      </c>
      <c r="AD22" s="1" t="s">
        <v>146</v>
      </c>
      <c r="AE22" s="6" t="n">
        <v>0.0702579161473665</v>
      </c>
      <c r="AF22" s="5" t="n">
        <v>1689774</v>
      </c>
      <c r="AG22" s="5" t="n">
        <v>118720</v>
      </c>
      <c r="AH22" s="5" t="n">
        <v>1175070</v>
      </c>
      <c r="AI22" s="5" t="n">
        <v>395984</v>
      </c>
      <c r="AJ22" s="6" t="n">
        <f aca="false">LN(AE$22+1)</f>
        <v>0.0678996625559673</v>
      </c>
      <c r="AK22" s="6" t="n">
        <f aca="false">LN(Density)</f>
        <v>6.245816868393</v>
      </c>
      <c r="AL22" s="6" t="n">
        <f aca="false">LN(Rhoii)</f>
        <v>14.5316176313101</v>
      </c>
      <c r="AM22" s="6" t="n">
        <f aca="false">LN(Rhoij)</f>
        <v>12.9696736298956</v>
      </c>
      <c r="AN22" s="6" t="n">
        <f aca="false">LN(Rhoji)</f>
        <v>11.9415405329771</v>
      </c>
      <c r="AO22" s="6" t="n">
        <f aca="false">LN(AF22)</f>
        <v>14.3401053501462</v>
      </c>
      <c r="AP22" s="6" t="n">
        <f aca="false">LN(AS22)</f>
        <v>14.0696518757143</v>
      </c>
      <c r="AQ22" s="6" t="n">
        <f aca="false">LN(AS22-AR22)</f>
        <v>13.5204090292926</v>
      </c>
      <c r="AR22" s="11" t="n">
        <v>544898</v>
      </c>
      <c r="AS22" s="12" t="n">
        <v>1289354</v>
      </c>
      <c r="AU22" s="10" t="n">
        <v>44882</v>
      </c>
      <c r="AV22" s="10" t="n">
        <v>31511</v>
      </c>
      <c r="AW22" s="10" t="n">
        <v>2085</v>
      </c>
      <c r="AX22" s="10" t="n">
        <v>2576</v>
      </c>
      <c r="AY22" s="10" t="n">
        <v>5359</v>
      </c>
      <c r="AZ22" s="10" t="n">
        <v>7757</v>
      </c>
      <c r="BA22" s="10" t="n">
        <v>3545</v>
      </c>
      <c r="BB22" s="10" t="n">
        <v>10189</v>
      </c>
      <c r="BC22" s="10" t="n">
        <v>13371</v>
      </c>
      <c r="BD22" s="10" t="n">
        <v>1530</v>
      </c>
      <c r="BE22" s="1" t="n">
        <v>802</v>
      </c>
      <c r="BF22" s="10" t="n">
        <v>2197</v>
      </c>
      <c r="BG22" s="10" t="n">
        <v>2445</v>
      </c>
      <c r="BH22" s="10" t="n">
        <v>3323</v>
      </c>
      <c r="BI22" s="10" t="n">
        <v>3074</v>
      </c>
      <c r="BJ22" s="5" t="s">
        <v>145</v>
      </c>
      <c r="BK22" s="1" t="s">
        <v>146</v>
      </c>
      <c r="BN22" s="1" t="n">
        <f aca="false">LN(TotalVMT)</f>
        <v>10.7117921024835</v>
      </c>
    </row>
    <row r="23" customFormat="false" ht="12.75" hidden="false" customHeight="false" outlineLevel="0" collapsed="false">
      <c r="A23" s="1" t="s">
        <v>147</v>
      </c>
      <c r="B23" s="1" t="n">
        <v>3031218</v>
      </c>
      <c r="C23" s="1" t="n">
        <v>2983607</v>
      </c>
      <c r="D23" s="1" t="n">
        <v>6015898</v>
      </c>
      <c r="E23" s="6" t="n">
        <v>0.969030773825105</v>
      </c>
      <c r="F23" s="1" t="n">
        <v>2891207</v>
      </c>
      <c r="G23" s="1" t="n">
        <f aca="false">C23-F23</f>
        <v>92400</v>
      </c>
      <c r="H23" s="1" t="n">
        <v>3044043</v>
      </c>
      <c r="I23" s="6" t="n">
        <v>0.949791773637889</v>
      </c>
      <c r="J23" s="1" t="n">
        <f aca="false">I23*H23</f>
        <v>2891207</v>
      </c>
      <c r="K23" s="1" t="n">
        <f aca="false">H23-J23</f>
        <v>152836</v>
      </c>
      <c r="L23" s="7" t="n">
        <v>774.885174789487</v>
      </c>
      <c r="M23" s="1" t="n">
        <f aca="false">F23</f>
        <v>2891207</v>
      </c>
      <c r="N23" s="1" t="n">
        <f aca="false">G23</f>
        <v>92400</v>
      </c>
      <c r="O23" s="1" t="n">
        <f aca="false">K23</f>
        <v>152836</v>
      </c>
      <c r="P23" s="6" t="n">
        <f aca="false">AE$23</f>
        <v>0.103944816167345</v>
      </c>
      <c r="Q23" s="1" t="n">
        <f aca="false">M23+0.5*(N23+O23)</f>
        <v>3013825</v>
      </c>
      <c r="R23" s="1" t="n">
        <f aca="false">M23+0.5*N23</f>
        <v>2937407</v>
      </c>
      <c r="S23" s="1" t="n">
        <f aca="false">N23+O23</f>
        <v>245236</v>
      </c>
      <c r="T23" s="6" t="n">
        <f aca="false">Rhoii/RhoOrig</f>
        <v>0.984271842478758</v>
      </c>
      <c r="U23" s="6"/>
      <c r="V23" s="6" t="n">
        <f aca="false">Rhoii/RhoTot</f>
        <v>0.959314824185213</v>
      </c>
      <c r="W23" s="6" t="n">
        <f aca="false">0.5*Rhoij/RhoTot</f>
        <v>0.0153293572121805</v>
      </c>
      <c r="X23" s="6" t="n">
        <f aca="false">0.5*Rhoji/RhoTot</f>
        <v>0.0253558186026063</v>
      </c>
      <c r="Y23" s="6" t="n">
        <f aca="false">Rhoij/RhoOrig</f>
        <v>0.0314563150424848</v>
      </c>
      <c r="Z23" s="6" t="n">
        <f aca="false">Rhoij/RhoCordon</f>
        <v>0.376779918119689</v>
      </c>
      <c r="AA23" s="6" t="n">
        <f aca="false">Rhoji/RhoCordon</f>
        <v>0.623220081880311</v>
      </c>
      <c r="AC23" s="1" t="s">
        <v>148</v>
      </c>
      <c r="AD23" s="1" t="s">
        <v>149</v>
      </c>
      <c r="AE23" s="6" t="n">
        <v>0.103944816167345</v>
      </c>
      <c r="AF23" s="5" t="n">
        <v>1454339</v>
      </c>
      <c r="AG23" s="5" t="n">
        <v>151171</v>
      </c>
      <c r="AH23" s="5" t="n">
        <v>890623</v>
      </c>
      <c r="AI23" s="5" t="n">
        <v>412545</v>
      </c>
      <c r="AJ23" s="6" t="n">
        <f aca="false">LN(AE$23+1)</f>
        <v>0.0988899612499282</v>
      </c>
      <c r="AK23" s="6" t="n">
        <f aca="false">LN(Density)</f>
        <v>6.65271485681439</v>
      </c>
      <c r="AL23" s="6" t="n">
        <f aca="false">LN(Rhoii)</f>
        <v>14.8771846199572</v>
      </c>
      <c r="AM23" s="6" t="n">
        <f aca="false">LN(Rhoij)</f>
        <v>11.4338822576298</v>
      </c>
      <c r="AN23" s="6" t="n">
        <f aca="false">LN(Rhoji)</f>
        <v>11.937120730059</v>
      </c>
      <c r="AO23" s="6" t="n">
        <f aca="false">LN(AF23)</f>
        <v>14.1900620598316</v>
      </c>
      <c r="AP23" s="6" t="n">
        <f aca="false">LN(AS23)</f>
        <v>14.7321164401733</v>
      </c>
      <c r="AQ23" s="6" t="n">
        <f aca="false">LN(AS23-AR23)</f>
        <v>13.8358620542122</v>
      </c>
      <c r="AR23" s="8" t="n">
        <v>1480228</v>
      </c>
      <c r="AS23" s="9" t="n">
        <v>2500788</v>
      </c>
      <c r="AU23" s="10" t="n">
        <v>48053</v>
      </c>
      <c r="AV23" s="10" t="n">
        <v>40187</v>
      </c>
      <c r="AW23" s="10" t="n">
        <v>4795</v>
      </c>
      <c r="AX23" s="10" t="n">
        <v>2704</v>
      </c>
      <c r="AY23" s="10" t="n">
        <v>7856</v>
      </c>
      <c r="AZ23" s="10" t="n">
        <v>9876</v>
      </c>
      <c r="BA23" s="10" t="n">
        <v>3559</v>
      </c>
      <c r="BB23" s="10" t="n">
        <v>11397</v>
      </c>
      <c r="BC23" s="10" t="n">
        <v>7866</v>
      </c>
      <c r="BD23" s="1" t="n">
        <v>871</v>
      </c>
      <c r="BE23" s="1" t="n">
        <v>230</v>
      </c>
      <c r="BF23" s="10" t="n">
        <v>1433</v>
      </c>
      <c r="BG23" s="10" t="n">
        <v>1366</v>
      </c>
      <c r="BH23" s="10" t="n">
        <v>1804</v>
      </c>
      <c r="BI23" s="10" t="n">
        <v>2162</v>
      </c>
      <c r="BJ23" s="5" t="s">
        <v>148</v>
      </c>
      <c r="BK23" s="1" t="s">
        <v>149</v>
      </c>
      <c r="BN23" s="1" t="n">
        <f aca="false">LN(TotalVMT)</f>
        <v>10.780059847413</v>
      </c>
    </row>
    <row r="24" customFormat="false" ht="12.75" hidden="false" customHeight="false" outlineLevel="0" collapsed="false">
      <c r="A24" s="1" t="s">
        <v>150</v>
      </c>
      <c r="B24" s="1" t="n">
        <v>5196906</v>
      </c>
      <c r="C24" s="1" t="n">
        <v>4086456</v>
      </c>
      <c r="D24" s="1" t="n">
        <v>9284810</v>
      </c>
      <c r="E24" s="6" t="n">
        <v>0.985084630790103</v>
      </c>
      <c r="F24" s="1" t="n">
        <v>4025505</v>
      </c>
      <c r="G24" s="1" t="n">
        <f aca="false">C24-F24</f>
        <v>60951</v>
      </c>
      <c r="H24" s="1" t="n">
        <v>4057843</v>
      </c>
      <c r="I24" s="6" t="n">
        <v>0.992030741455497</v>
      </c>
      <c r="J24" s="1" t="n">
        <f aca="false">I24*H24</f>
        <v>4025505</v>
      </c>
      <c r="K24" s="1" t="n">
        <f aca="false">H24-J24</f>
        <v>32338</v>
      </c>
      <c r="L24" s="7" t="n">
        <v>168.095777077576</v>
      </c>
      <c r="M24" s="1" t="n">
        <f aca="false">F24</f>
        <v>4025505</v>
      </c>
      <c r="N24" s="1" t="n">
        <f aca="false">G24</f>
        <v>60951</v>
      </c>
      <c r="O24" s="1" t="n">
        <f aca="false">K24</f>
        <v>32338</v>
      </c>
      <c r="P24" s="6" t="n">
        <f aca="false">AE$24</f>
        <v>0.00738787711371125</v>
      </c>
      <c r="Q24" s="1" t="n">
        <f aca="false">M24+0.5*(N24+O24)</f>
        <v>4072149.5</v>
      </c>
      <c r="R24" s="1" t="n">
        <f aca="false">M24+0.5*N24</f>
        <v>4055980.5</v>
      </c>
      <c r="S24" s="1" t="n">
        <f aca="false">N24+O24</f>
        <v>93289</v>
      </c>
      <c r="T24" s="6" t="n">
        <f aca="false">Rhoii/RhoOrig</f>
        <v>0.992486280444396</v>
      </c>
      <c r="U24" s="6"/>
      <c r="V24" s="6" t="n">
        <f aca="false">Rhoii/RhoTot</f>
        <v>0.988545484393439</v>
      </c>
      <c r="W24" s="6" t="n">
        <f aca="false">0.5*Rhoij/RhoTot</f>
        <v>0.0074838853534233</v>
      </c>
      <c r="X24" s="6" t="n">
        <f aca="false">0.5*Rhoji/RhoTot</f>
        <v>0.00397063025313781</v>
      </c>
      <c r="Y24" s="6" t="n">
        <f aca="false">Rhoij/RhoOrig</f>
        <v>0.0150274391112087</v>
      </c>
      <c r="Z24" s="6" t="n">
        <f aca="false">Rhoij/RhoCordon</f>
        <v>0.653356773038622</v>
      </c>
      <c r="AA24" s="6" t="n">
        <f aca="false">Rhoji/RhoCordon</f>
        <v>0.346643226961378</v>
      </c>
      <c r="AC24" s="1" t="s">
        <v>151</v>
      </c>
      <c r="AD24" s="1" t="s">
        <v>152</v>
      </c>
      <c r="AE24" s="6" t="n">
        <v>0.00738787711371125</v>
      </c>
      <c r="AF24" s="5" t="n">
        <v>2027240</v>
      </c>
      <c r="AG24" s="5" t="n">
        <v>14977</v>
      </c>
      <c r="AH24" s="5" t="n">
        <v>1262280</v>
      </c>
      <c r="AI24" s="5" t="n">
        <v>749983</v>
      </c>
      <c r="AJ24" s="6" t="n">
        <f aca="false">LN(AE$24+1)</f>
        <v>0.00736072042110283</v>
      </c>
      <c r="AK24" s="6" t="n">
        <f aca="false">LN(Density)</f>
        <v>5.12453391860929</v>
      </c>
      <c r="AL24" s="6" t="n">
        <f aca="false">LN(Rhoii)</f>
        <v>15.2081609268031</v>
      </c>
      <c r="AM24" s="6" t="n">
        <f aca="false">LN(Rhoij)</f>
        <v>11.0178255416657</v>
      </c>
      <c r="AN24" s="6" t="n">
        <f aca="false">LN(Rhoji)</f>
        <v>10.3839982882998</v>
      </c>
      <c r="AO24" s="6" t="n">
        <f aca="false">LN(AF24)</f>
        <v>14.5221858200039</v>
      </c>
      <c r="AP24" s="6" t="n">
        <f aca="false">LN(AS24)</f>
        <v>14.4955187994588</v>
      </c>
      <c r="AQ24" s="6" t="n">
        <f aca="false">LN(AS24-AR24)</f>
        <v>14.0261368947965</v>
      </c>
      <c r="AR24" s="8" t="n">
        <v>739443</v>
      </c>
      <c r="AS24" s="9" t="n">
        <v>1973894</v>
      </c>
      <c r="AU24" s="10" t="n">
        <v>85703</v>
      </c>
      <c r="AV24" s="10" t="n">
        <v>54560</v>
      </c>
      <c r="AW24" s="10" t="n">
        <v>5795</v>
      </c>
      <c r="AX24" s="10" t="n">
        <v>3794</v>
      </c>
      <c r="AY24" s="10" t="n">
        <v>12241</v>
      </c>
      <c r="AZ24" s="10" t="n">
        <v>16251</v>
      </c>
      <c r="BA24" s="10" t="n">
        <v>3923</v>
      </c>
      <c r="BB24" s="10" t="n">
        <v>12556</v>
      </c>
      <c r="BC24" s="10" t="n">
        <v>31143</v>
      </c>
      <c r="BD24" s="10" t="n">
        <v>2422</v>
      </c>
      <c r="BE24" s="10" t="n">
        <v>1276</v>
      </c>
      <c r="BF24" s="10" t="n">
        <v>8079</v>
      </c>
      <c r="BG24" s="10" t="n">
        <v>5916</v>
      </c>
      <c r="BH24" s="10" t="n">
        <v>7273</v>
      </c>
      <c r="BI24" s="10" t="n">
        <v>6177</v>
      </c>
      <c r="BJ24" s="5" t="s">
        <v>151</v>
      </c>
      <c r="BK24" s="1" t="s">
        <v>152</v>
      </c>
      <c r="BN24" s="1" t="n">
        <f aca="false">LN(TotalVMT)</f>
        <v>11.3586431098075</v>
      </c>
    </row>
    <row r="25" customFormat="false" ht="12.75" hidden="false" customHeight="false" outlineLevel="0" collapsed="false">
      <c r="A25" s="1" t="s">
        <v>153</v>
      </c>
      <c r="B25" s="1" t="n">
        <v>2207656</v>
      </c>
      <c r="C25" s="1" t="n">
        <v>2158427</v>
      </c>
      <c r="D25" s="1" t="n">
        <v>4366568</v>
      </c>
      <c r="E25" s="6" t="n">
        <v>0.982292197049055</v>
      </c>
      <c r="F25" s="1" t="n">
        <v>2120206</v>
      </c>
      <c r="G25" s="1" t="n">
        <f aca="false">C25-F25</f>
        <v>38221</v>
      </c>
      <c r="H25" s="1" t="n">
        <v>2170379</v>
      </c>
      <c r="I25" s="6" t="n">
        <v>0.976882839356629</v>
      </c>
      <c r="J25" s="1" t="n">
        <f aca="false">I25*H25</f>
        <v>2120206</v>
      </c>
      <c r="K25" s="1" t="n">
        <f aca="false">H25-J25</f>
        <v>50173</v>
      </c>
      <c r="L25" s="7" t="n">
        <v>57.8965296356306</v>
      </c>
      <c r="M25" s="1" t="n">
        <f aca="false">F25</f>
        <v>2120206</v>
      </c>
      <c r="N25" s="1" t="n">
        <f aca="false">G25</f>
        <v>38221</v>
      </c>
      <c r="O25" s="1" t="n">
        <f aca="false">K25</f>
        <v>50173</v>
      </c>
      <c r="P25" s="6" t="n">
        <f aca="false">AE$25</f>
        <v>0</v>
      </c>
      <c r="Q25" s="1" t="n">
        <f aca="false">M25+0.5*(N25+O25)</f>
        <v>2164403</v>
      </c>
      <c r="R25" s="1" t="n">
        <f aca="false">M25+0.5*N25</f>
        <v>2139316.5</v>
      </c>
      <c r="S25" s="1" t="n">
        <f aca="false">N25+O25</f>
        <v>88394</v>
      </c>
      <c r="T25" s="6" t="n">
        <f aca="false">Rhoii/RhoOrig</f>
        <v>0.991067006681807</v>
      </c>
      <c r="U25" s="6"/>
      <c r="V25" s="6" t="n">
        <f aca="false">Rhoii/RhoTot</f>
        <v>0.979580050480433</v>
      </c>
      <c r="W25" s="6" t="n">
        <f aca="false">0.5*Rhoij/RhoTot</f>
        <v>0.00882945551267486</v>
      </c>
      <c r="X25" s="6" t="n">
        <f aca="false">0.5*Rhoji/RhoTot</f>
        <v>0.0115904940068924</v>
      </c>
      <c r="Y25" s="6" t="n">
        <f aca="false">Rhoij/RhoOrig</f>
        <v>0.017865986636386</v>
      </c>
      <c r="Z25" s="6" t="n">
        <f aca="false">Rhoij/RhoCordon</f>
        <v>0.432393601375659</v>
      </c>
      <c r="AA25" s="6" t="n">
        <f aca="false">Rhoji/RhoCordon</f>
        <v>0.567606398624341</v>
      </c>
      <c r="AC25" s="1" t="s">
        <v>154</v>
      </c>
      <c r="AD25" s="1" t="s">
        <v>155</v>
      </c>
      <c r="AE25" s="6" t="n">
        <v>0</v>
      </c>
      <c r="AF25" s="5" t="n">
        <v>1255956</v>
      </c>
      <c r="AG25" s="5" t="n">
        <v>0</v>
      </c>
      <c r="AH25" s="5" t="n">
        <v>898242</v>
      </c>
      <c r="AI25" s="5" t="n">
        <v>357714</v>
      </c>
      <c r="AJ25" s="6" t="n">
        <f aca="false">LN(AE$25+1)</f>
        <v>0</v>
      </c>
      <c r="AK25" s="6" t="n">
        <f aca="false">LN(Density)</f>
        <v>4.05865744557419</v>
      </c>
      <c r="AL25" s="6" t="n">
        <f aca="false">LN(Rhoii)</f>
        <v>14.5670238117388</v>
      </c>
      <c r="AM25" s="6" t="n">
        <f aca="false">LN(Rhoij)</f>
        <v>10.5511403817639</v>
      </c>
      <c r="AN25" s="6" t="n">
        <f aca="false">LN(Rhoji)</f>
        <v>10.8232323123818</v>
      </c>
      <c r="AO25" s="6" t="n">
        <f aca="false">LN(AF25)</f>
        <v>14.0434075935495</v>
      </c>
      <c r="AP25" s="6" t="n">
        <f aca="false">LN(AS25)</f>
        <v>14.0061424877539</v>
      </c>
      <c r="AQ25" s="6" t="n">
        <f aca="false">LN(AS25-AR25)</f>
        <v>13.458254016359</v>
      </c>
      <c r="AR25" s="8" t="n">
        <v>510421</v>
      </c>
      <c r="AS25" s="9" t="n">
        <v>1210014</v>
      </c>
      <c r="AU25" s="10" t="n">
        <v>44072</v>
      </c>
      <c r="AV25" s="10" t="n">
        <v>23056</v>
      </c>
      <c r="AW25" s="10" t="n">
        <v>2831</v>
      </c>
      <c r="AX25" s="10" t="n">
        <v>2048</v>
      </c>
      <c r="AY25" s="10" t="n">
        <v>6361</v>
      </c>
      <c r="AZ25" s="10" t="n">
        <v>3152</v>
      </c>
      <c r="BA25" s="10" t="n">
        <v>2382</v>
      </c>
      <c r="BB25" s="10" t="n">
        <v>6282</v>
      </c>
      <c r="BC25" s="10" t="n">
        <v>21016</v>
      </c>
      <c r="BD25" s="10" t="n">
        <v>2635</v>
      </c>
      <c r="BE25" s="10" t="n">
        <v>1138</v>
      </c>
      <c r="BF25" s="10" t="n">
        <v>3537</v>
      </c>
      <c r="BG25" s="10" t="n">
        <v>4203</v>
      </c>
      <c r="BH25" s="10" t="n">
        <v>5866</v>
      </c>
      <c r="BI25" s="10" t="n">
        <v>3637</v>
      </c>
      <c r="BJ25" s="5" t="s">
        <v>154</v>
      </c>
      <c r="BK25" s="1" t="s">
        <v>155</v>
      </c>
      <c r="BN25" s="1" t="n">
        <f aca="false">LN(TotalVMT)</f>
        <v>10.6935799391526</v>
      </c>
    </row>
    <row r="26" customFormat="false" ht="12.75" hidden="false" customHeight="false" outlineLevel="0" collapsed="false">
      <c r="A26" s="1" t="s">
        <v>156</v>
      </c>
      <c r="B26" s="1" t="n">
        <v>1537800</v>
      </c>
      <c r="C26" s="1" t="n">
        <v>1021722</v>
      </c>
      <c r="D26" s="1" t="n">
        <v>2560194</v>
      </c>
      <c r="E26" s="6" t="n">
        <v>0.941299100929607</v>
      </c>
      <c r="F26" s="1" t="n">
        <v>961746</v>
      </c>
      <c r="G26" s="1" t="n">
        <f aca="false">C26-F26</f>
        <v>59976</v>
      </c>
      <c r="H26" s="1" t="n">
        <v>992005</v>
      </c>
      <c r="I26" s="6" t="n">
        <v>0.969497129550758</v>
      </c>
      <c r="J26" s="1" t="n">
        <f aca="false">I26*H26</f>
        <v>961746</v>
      </c>
      <c r="K26" s="1" t="n">
        <f aca="false">H26-J26</f>
        <v>30259</v>
      </c>
      <c r="L26" s="7" t="n">
        <v>57.4933495331884</v>
      </c>
      <c r="M26" s="1" t="n">
        <f aca="false">F26</f>
        <v>961746</v>
      </c>
      <c r="N26" s="1" t="n">
        <f aca="false">G26</f>
        <v>59976</v>
      </c>
      <c r="O26" s="1" t="n">
        <f aca="false">K26</f>
        <v>30259</v>
      </c>
      <c r="P26" s="6" t="n">
        <f aca="false">AE$26</f>
        <v>0</v>
      </c>
      <c r="Q26" s="1" t="n">
        <f aca="false">M26+0.5*(N26+O26)</f>
        <v>1006863.5</v>
      </c>
      <c r="R26" s="1" t="n">
        <f aca="false">M26+0.5*N26</f>
        <v>991734</v>
      </c>
      <c r="S26" s="1" t="n">
        <f aca="false">N26+O26</f>
        <v>90235</v>
      </c>
      <c r="T26" s="6" t="n">
        <f aca="false">Rhoii/RhoOrig</f>
        <v>0.969762053131182</v>
      </c>
      <c r="U26" s="6"/>
      <c r="V26" s="6" t="n">
        <f aca="false">Rhoii/RhoTot</f>
        <v>0.955190053070749</v>
      </c>
      <c r="W26" s="6" t="n">
        <f aca="false">0.5*Rhoij/RhoTot</f>
        <v>0.0297835803959524</v>
      </c>
      <c r="X26" s="6" t="n">
        <f aca="false">0.5*Rhoji/RhoTot</f>
        <v>0.0150263665332987</v>
      </c>
      <c r="Y26" s="6" t="n">
        <f aca="false">Rhoij/RhoOrig</f>
        <v>0.0604758937376353</v>
      </c>
      <c r="Z26" s="6" t="n">
        <f aca="false">Rhoij/RhoCordon</f>
        <v>0.664664487172383</v>
      </c>
      <c r="AA26" s="6" t="n">
        <f aca="false">Rhoji/RhoCordon</f>
        <v>0.335335512827617</v>
      </c>
      <c r="AC26" s="1" t="s">
        <v>10</v>
      </c>
      <c r="AD26" s="1" t="s">
        <v>157</v>
      </c>
      <c r="AE26" s="6" t="n">
        <v>0</v>
      </c>
      <c r="AF26" s="5" t="n">
        <v>688870</v>
      </c>
      <c r="AG26" s="5" t="n">
        <v>0</v>
      </c>
      <c r="AH26" s="5" t="n">
        <v>407456</v>
      </c>
      <c r="AI26" s="5" t="n">
        <v>281414</v>
      </c>
      <c r="AJ26" s="6" t="n">
        <f aca="false">LN(AE$26+1)</f>
        <v>0</v>
      </c>
      <c r="AK26" s="6" t="n">
        <f aca="false">LN(Density)</f>
        <v>4.05166928082176</v>
      </c>
      <c r="AL26" s="6" t="n">
        <f aca="false">LN(Rhoii)</f>
        <v>13.7765056615209</v>
      </c>
      <c r="AM26" s="6" t="n">
        <f aca="false">LN(Rhoij)</f>
        <v>11.0016997611829</v>
      </c>
      <c r="AN26" s="6" t="n">
        <f aca="false">LN(Rhoji)</f>
        <v>10.3175489398697</v>
      </c>
      <c r="AO26" s="6" t="n">
        <f aca="false">LN(AF26)</f>
        <v>13.4428078529483</v>
      </c>
      <c r="AP26" s="6" t="n">
        <f aca="false">LN(AS26)</f>
        <v>13.4024315374504</v>
      </c>
      <c r="AQ26" s="6" t="n">
        <f aca="false">LN(AS26-AR26)</f>
        <v>12.4645485910432</v>
      </c>
      <c r="AR26" s="11" t="n">
        <v>402619</v>
      </c>
      <c r="AS26" s="12" t="n">
        <v>661610</v>
      </c>
      <c r="AU26" s="10" t="n">
        <v>29559</v>
      </c>
      <c r="AV26" s="10" t="n">
        <v>9566</v>
      </c>
      <c r="AW26" s="10" t="n">
        <v>1911</v>
      </c>
      <c r="AX26" s="10" t="n">
        <v>1018</v>
      </c>
      <c r="AY26" s="10" t="n">
        <v>1500</v>
      </c>
      <c r="AZ26" s="10" t="n">
        <v>3273</v>
      </c>
      <c r="BA26" s="1" t="n">
        <v>200</v>
      </c>
      <c r="BB26" s="10" t="n">
        <v>1664</v>
      </c>
      <c r="BC26" s="10" t="n">
        <v>19993</v>
      </c>
      <c r="BD26" s="10" t="n">
        <v>3959</v>
      </c>
      <c r="BE26" s="1" t="n">
        <v>398</v>
      </c>
      <c r="BF26" s="10" t="n">
        <v>4152</v>
      </c>
      <c r="BG26" s="10" t="n">
        <v>3712</v>
      </c>
      <c r="BH26" s="10" t="n">
        <v>4236</v>
      </c>
      <c r="BI26" s="10" t="n">
        <v>3536</v>
      </c>
      <c r="BJ26" s="5" t="s">
        <v>10</v>
      </c>
      <c r="BK26" s="1" t="s">
        <v>157</v>
      </c>
      <c r="BN26" s="1" t="n">
        <f aca="false">LN(TotalVMT)</f>
        <v>10.2941435449906</v>
      </c>
    </row>
    <row r="27" customFormat="false" ht="12.75" hidden="false" customHeight="false" outlineLevel="0" collapsed="false">
      <c r="A27" s="1" t="s">
        <v>158</v>
      </c>
      <c r="B27" s="1" t="n">
        <v>2763262</v>
      </c>
      <c r="C27" s="1" t="n">
        <v>2337818</v>
      </c>
      <c r="D27" s="1" t="n">
        <v>5101921</v>
      </c>
      <c r="E27" s="6" t="n">
        <v>0.952033905120074</v>
      </c>
      <c r="F27" s="1" t="n">
        <v>2225682</v>
      </c>
      <c r="G27" s="1" t="n">
        <f aca="false">C27-F27</f>
        <v>112136</v>
      </c>
      <c r="H27" s="1" t="n">
        <v>2399469</v>
      </c>
      <c r="I27" s="6" t="n">
        <v>0.927572725465509</v>
      </c>
      <c r="J27" s="1" t="n">
        <f aca="false">I27*H27</f>
        <v>2225682</v>
      </c>
      <c r="K27" s="1" t="n">
        <f aca="false">H27-J27</f>
        <v>173787</v>
      </c>
      <c r="L27" s="7" t="n">
        <v>77.2667276263462</v>
      </c>
      <c r="M27" s="1" t="n">
        <f aca="false">F27</f>
        <v>2225682</v>
      </c>
      <c r="N27" s="1" t="n">
        <f aca="false">G27</f>
        <v>112136</v>
      </c>
      <c r="O27" s="1" t="n">
        <f aca="false">K27</f>
        <v>173787</v>
      </c>
      <c r="P27" s="6" t="n">
        <f aca="false">AE$27</f>
        <v>0.000759685797103275</v>
      </c>
      <c r="Q27" s="1" t="n">
        <f aca="false">M27+0.5*(N27+O27)</f>
        <v>2368643.5</v>
      </c>
      <c r="R27" s="1" t="n">
        <f aca="false">M27+0.5*N27</f>
        <v>2281750</v>
      </c>
      <c r="S27" s="1" t="n">
        <f aca="false">N27+O27</f>
        <v>285923</v>
      </c>
      <c r="T27" s="6" t="n">
        <f aca="false">Rhoii/RhoOrig</f>
        <v>0.97542763229977</v>
      </c>
      <c r="U27" s="6"/>
      <c r="V27" s="6" t="n">
        <f aca="false">Rhoii/RhoTot</f>
        <v>0.93964414653366</v>
      </c>
      <c r="W27" s="6" t="n">
        <f aca="false">0.5*Rhoij/RhoTot</f>
        <v>0.0236709323289891</v>
      </c>
      <c r="X27" s="6" t="n">
        <f aca="false">0.5*Rhoji/RhoTot</f>
        <v>0.0366849211373514</v>
      </c>
      <c r="Y27" s="6" t="n">
        <f aca="false">Rhoij/RhoOrig</f>
        <v>0.0491447354004602</v>
      </c>
      <c r="Z27" s="6" t="n">
        <f aca="false">Rhoij/RhoCordon</f>
        <v>0.392189505566184</v>
      </c>
      <c r="AA27" s="6" t="n">
        <f aca="false">Rhoji/RhoCordon</f>
        <v>0.607810494433816</v>
      </c>
      <c r="AC27" s="1" t="s">
        <v>159</v>
      </c>
      <c r="AD27" s="1" t="s">
        <v>160</v>
      </c>
      <c r="AE27" s="6" t="n">
        <v>0.000759685797103275</v>
      </c>
      <c r="AF27" s="5" t="n">
        <v>1270262</v>
      </c>
      <c r="AG27" s="5" t="n">
        <v>965</v>
      </c>
      <c r="AH27" s="5" t="n">
        <v>697662</v>
      </c>
      <c r="AI27" s="5" t="n">
        <v>571635</v>
      </c>
      <c r="AJ27" s="6" t="n">
        <f aca="false">LN(AE$27+1)</f>
        <v>0.00075939738190883</v>
      </c>
      <c r="AK27" s="6" t="n">
        <f aca="false">LN(Density)</f>
        <v>4.34726343118908</v>
      </c>
      <c r="AL27" s="6" t="n">
        <f aca="false">LN(Rhoii)</f>
        <v>14.6155739434697</v>
      </c>
      <c r="AM27" s="6" t="n">
        <f aca="false">LN(Rhoij)</f>
        <v>11.6274676993429</v>
      </c>
      <c r="AN27" s="6" t="n">
        <f aca="false">LN(Rhoji)</f>
        <v>12.0655856903968</v>
      </c>
      <c r="AO27" s="6" t="n">
        <f aca="false">LN(AF27)</f>
        <v>14.0547337363706</v>
      </c>
      <c r="AP27" s="6" t="n">
        <f aca="false">LN(AS27)</f>
        <v>14.0879066427292</v>
      </c>
      <c r="AQ27" s="6" t="n">
        <f aca="false">LN(AS27-AR27)</f>
        <v>13.3809482010824</v>
      </c>
      <c r="AR27" s="8" t="n">
        <v>665559</v>
      </c>
      <c r="AS27" s="9" t="n">
        <v>1313107</v>
      </c>
      <c r="AU27" s="10" t="n">
        <v>59347</v>
      </c>
      <c r="AV27" s="10" t="n">
        <v>32843</v>
      </c>
      <c r="AW27" s="10" t="n">
        <v>6537</v>
      </c>
      <c r="AX27" s="10" t="n">
        <v>1961</v>
      </c>
      <c r="AY27" s="10" t="n">
        <v>4707</v>
      </c>
      <c r="AZ27" s="10" t="n">
        <v>6969</v>
      </c>
      <c r="BA27" s="10" t="n">
        <v>2820</v>
      </c>
      <c r="BB27" s="10" t="n">
        <v>9849</v>
      </c>
      <c r="BC27" s="10" t="n">
        <v>26504</v>
      </c>
      <c r="BD27" s="10" t="n">
        <v>2855</v>
      </c>
      <c r="BE27" s="1" t="n">
        <v>459</v>
      </c>
      <c r="BF27" s="10" t="n">
        <v>6416</v>
      </c>
      <c r="BG27" s="10" t="n">
        <v>3320</v>
      </c>
      <c r="BH27" s="10" t="n">
        <v>7475</v>
      </c>
      <c r="BI27" s="10" t="n">
        <v>5979</v>
      </c>
      <c r="BJ27" s="5" t="s">
        <v>159</v>
      </c>
      <c r="BK27" s="1" t="s">
        <v>160</v>
      </c>
      <c r="BN27" s="1" t="n">
        <f aca="false">LN(TotalVMT)</f>
        <v>10.9911568511613</v>
      </c>
    </row>
    <row r="28" customFormat="false" ht="12.75" hidden="false" customHeight="false" outlineLevel="0" collapsed="false">
      <c r="A28" s="1" t="s">
        <v>161</v>
      </c>
      <c r="B28" s="1" t="n">
        <v>446885</v>
      </c>
      <c r="C28" s="1" t="n">
        <v>349367</v>
      </c>
      <c r="D28" s="1" t="n">
        <v>796317</v>
      </c>
      <c r="E28" s="6" t="n">
        <v>0.98761760555519</v>
      </c>
      <c r="F28" s="1" t="n">
        <v>345041</v>
      </c>
      <c r="G28" s="1" t="n">
        <f aca="false">C28-F28</f>
        <v>4326</v>
      </c>
      <c r="H28" s="1" t="n">
        <v>347811</v>
      </c>
      <c r="I28" s="6" t="n">
        <v>0.99203590455736</v>
      </c>
      <c r="J28" s="1" t="n">
        <f aca="false">I28*H28</f>
        <v>345041</v>
      </c>
      <c r="K28" s="1" t="n">
        <f aca="false">H28-J28</f>
        <v>2770</v>
      </c>
      <c r="L28" s="7" t="n">
        <v>5.97901151446866</v>
      </c>
      <c r="M28" s="1" t="n">
        <f aca="false">F28</f>
        <v>345041</v>
      </c>
      <c r="N28" s="1" t="n">
        <f aca="false">G28</f>
        <v>4326</v>
      </c>
      <c r="O28" s="1" t="n">
        <f aca="false">K28</f>
        <v>2770</v>
      </c>
      <c r="P28" s="6" t="n">
        <f aca="false">AE$28</f>
        <v>0</v>
      </c>
      <c r="Q28" s="1" t="n">
        <f aca="false">M28+0.5*(N28+O28)</f>
        <v>348589</v>
      </c>
      <c r="R28" s="1" t="n">
        <f aca="false">M28+0.5*N28</f>
        <v>347204</v>
      </c>
      <c r="S28" s="1" t="n">
        <f aca="false">N28+O28</f>
        <v>7096</v>
      </c>
      <c r="T28" s="6" t="n">
        <f aca="false">Rhoii/RhoOrig</f>
        <v>0.993770233061831</v>
      </c>
      <c r="U28" s="6"/>
      <c r="V28" s="6" t="n">
        <f aca="false">Rhoii/RhoTot</f>
        <v>0.989821824555565</v>
      </c>
      <c r="W28" s="6" t="n">
        <f aca="false">0.5*Rhoij/RhoTot</f>
        <v>0.00620501507505974</v>
      </c>
      <c r="X28" s="6" t="n">
        <f aca="false">0.5*Rhoji/RhoTot</f>
        <v>0.00397316036937482</v>
      </c>
      <c r="Y28" s="6" t="n">
        <f aca="false">Rhoij/RhoOrig</f>
        <v>0.0124595338763378</v>
      </c>
      <c r="Z28" s="6" t="n">
        <f aca="false">Rhoij/RhoCordon</f>
        <v>0.609639233370913</v>
      </c>
      <c r="AA28" s="6" t="n">
        <f aca="false">Rhoji/RhoCordon</f>
        <v>0.390360766629087</v>
      </c>
      <c r="AC28" s="1" t="s">
        <v>162</v>
      </c>
      <c r="AD28" s="1" t="s">
        <v>163</v>
      </c>
      <c r="AE28" s="6" t="n">
        <v>0</v>
      </c>
      <c r="AF28" s="5" t="n">
        <v>268149</v>
      </c>
      <c r="AG28" s="5" t="n">
        <v>0</v>
      </c>
      <c r="AH28" s="5" t="n">
        <v>169678</v>
      </c>
      <c r="AI28" s="5" t="n">
        <v>98471</v>
      </c>
      <c r="AJ28" s="6" t="n">
        <f aca="false">LN(AE$28+1)</f>
        <v>0</v>
      </c>
      <c r="AK28" s="6" t="n">
        <f aca="false">LN(Density)</f>
        <v>1.78825525571539</v>
      </c>
      <c r="AL28" s="6" t="n">
        <f aca="false">LN(Rhoii)</f>
        <v>12.7514185295322</v>
      </c>
      <c r="AM28" s="6" t="n">
        <f aca="false">LN(Rhoij)</f>
        <v>8.372398606513</v>
      </c>
      <c r="AN28" s="6" t="n">
        <f aca="false">LN(Rhoji)</f>
        <v>7.92660259918138</v>
      </c>
      <c r="AO28" s="6" t="n">
        <f aca="false">LN(AF28)</f>
        <v>12.4992980751481</v>
      </c>
      <c r="AP28" s="6" t="n">
        <f aca="false">LN(AS28)</f>
        <v>12.8698322091955</v>
      </c>
      <c r="AQ28" s="6" t="n">
        <f aca="false">LN(AS28-AR28)</f>
        <v>12.2311066632498</v>
      </c>
      <c r="AR28" s="8" t="n">
        <v>183346</v>
      </c>
      <c r="AS28" s="9" t="n">
        <v>388416</v>
      </c>
      <c r="AU28" s="10" t="n">
        <v>9399</v>
      </c>
      <c r="AV28" s="10" t="n">
        <v>2224</v>
      </c>
      <c r="AW28" s="1" t="n">
        <v>484</v>
      </c>
      <c r="AX28" s="1" t="n">
        <v>269</v>
      </c>
      <c r="AY28" s="1" t="n">
        <v>433</v>
      </c>
      <c r="AZ28" s="1" t="n">
        <v>819</v>
      </c>
      <c r="BA28" s="1" t="n">
        <v>0</v>
      </c>
      <c r="BB28" s="1" t="n">
        <v>219</v>
      </c>
      <c r="BC28" s="10" t="n">
        <v>7175</v>
      </c>
      <c r="BD28" s="1" t="n">
        <v>695</v>
      </c>
      <c r="BE28" s="1" t="n">
        <v>319</v>
      </c>
      <c r="BF28" s="1" t="n">
        <v>994</v>
      </c>
      <c r="BG28" s="10" t="n">
        <v>1022</v>
      </c>
      <c r="BH28" s="10" t="n">
        <v>2079</v>
      </c>
      <c r="BI28" s="10" t="n">
        <v>2066</v>
      </c>
      <c r="BJ28" s="5" t="s">
        <v>162</v>
      </c>
      <c r="BK28" s="1" t="s">
        <v>163</v>
      </c>
      <c r="BN28" s="1" t="n">
        <f aca="false">LN(TotalVMT)</f>
        <v>9.1483585796203</v>
      </c>
    </row>
    <row r="29" customFormat="false" ht="12.75" hidden="false" customHeight="false" outlineLevel="0" collapsed="false">
      <c r="A29" s="1" t="s">
        <v>164</v>
      </c>
      <c r="B29" s="1" t="n">
        <v>803789</v>
      </c>
      <c r="C29" s="1" t="n">
        <v>774005</v>
      </c>
      <c r="D29" s="1" t="n">
        <v>1578049</v>
      </c>
      <c r="E29" s="6" t="n">
        <v>0.976664233435185</v>
      </c>
      <c r="F29" s="1" t="n">
        <v>755943</v>
      </c>
      <c r="G29" s="1" t="n">
        <f aca="false">C29-F29</f>
        <v>18062</v>
      </c>
      <c r="H29" s="1" t="n">
        <v>789501</v>
      </c>
      <c r="I29" s="6" t="n">
        <v>0.957494670684394</v>
      </c>
      <c r="J29" s="1" t="n">
        <f aca="false">I29*H29</f>
        <v>755943</v>
      </c>
      <c r="K29" s="1" t="n">
        <f aca="false">H29-J29</f>
        <v>33558</v>
      </c>
      <c r="L29" s="7" t="n">
        <v>21.2949348318114</v>
      </c>
      <c r="M29" s="1" t="n">
        <f aca="false">F29</f>
        <v>755943</v>
      </c>
      <c r="N29" s="1" t="n">
        <f aca="false">G29</f>
        <v>18062</v>
      </c>
      <c r="O29" s="1" t="n">
        <f aca="false">K29</f>
        <v>33558</v>
      </c>
      <c r="P29" s="6" t="n">
        <f aca="false">AE$29</f>
        <v>0.00199508308555689</v>
      </c>
      <c r="Q29" s="1" t="n">
        <f aca="false">M29+0.5*(N29+O29)</f>
        <v>781753</v>
      </c>
      <c r="R29" s="1" t="n">
        <f aca="false">M29+0.5*N29</f>
        <v>764974</v>
      </c>
      <c r="S29" s="1" t="n">
        <f aca="false">N29+O29</f>
        <v>51620</v>
      </c>
      <c r="T29" s="6" t="n">
        <f aca="false">Rhoii/RhoOrig</f>
        <v>0.988194370004732</v>
      </c>
      <c r="U29" s="6"/>
      <c r="V29" s="6" t="n">
        <f aca="false">Rhoii/RhoTot</f>
        <v>0.966984456727381</v>
      </c>
      <c r="W29" s="6" t="n">
        <f aca="false">0.5*Rhoij/RhoTot</f>
        <v>0.0115522422043791</v>
      </c>
      <c r="X29" s="6" t="n">
        <f aca="false">0.5*Rhoji/RhoTot</f>
        <v>0.0214633010682402</v>
      </c>
      <c r="Y29" s="6" t="n">
        <f aca="false">Rhoij/RhoOrig</f>
        <v>0.0236112599905356</v>
      </c>
      <c r="Z29" s="6" t="n">
        <f aca="false">Rhoij/RhoCordon</f>
        <v>0.349903138318481</v>
      </c>
      <c r="AA29" s="6" t="n">
        <f aca="false">Rhoji/RhoCordon</f>
        <v>0.650096861681519</v>
      </c>
      <c r="AC29" s="1" t="s">
        <v>165</v>
      </c>
      <c r="AD29" s="1" t="s">
        <v>166</v>
      </c>
      <c r="AE29" s="6" t="n">
        <v>0.00199508308555689</v>
      </c>
      <c r="AF29" s="5" t="n">
        <v>466146</v>
      </c>
      <c r="AG29" s="5" t="n">
        <v>930</v>
      </c>
      <c r="AH29" s="5" t="n">
        <v>308350</v>
      </c>
      <c r="AI29" s="5" t="n">
        <v>156866</v>
      </c>
      <c r="AJ29" s="6" t="n">
        <f aca="false">LN(AE$29+1)</f>
        <v>0.00199309555039053</v>
      </c>
      <c r="AK29" s="6" t="n">
        <f aca="false">LN(Density)</f>
        <v>3.05846924311276</v>
      </c>
      <c r="AL29" s="6" t="n">
        <f aca="false">LN(Rhoii)</f>
        <v>13.5357212554938</v>
      </c>
      <c r="AM29" s="6" t="n">
        <f aca="false">LN(Rhoij)</f>
        <v>9.80156556281074</v>
      </c>
      <c r="AN29" s="6" t="n">
        <f aca="false">LN(Rhoji)</f>
        <v>10.4210305640496</v>
      </c>
      <c r="AO29" s="6" t="n">
        <f aca="false">LN(AF29)</f>
        <v>13.0522541687591</v>
      </c>
      <c r="AP29" s="6" t="n">
        <f aca="false">LN(AS29)</f>
        <v>13.2676007370684</v>
      </c>
      <c r="AQ29" s="6" t="n">
        <f aca="false">LN(AS29-AR29)</f>
        <v>12.5871528437026</v>
      </c>
      <c r="AR29" s="8" t="n">
        <v>285384</v>
      </c>
      <c r="AS29" s="9" t="n">
        <v>578157</v>
      </c>
      <c r="AU29" s="10" t="n">
        <v>15807</v>
      </c>
      <c r="AV29" s="10" t="n">
        <v>6131</v>
      </c>
      <c r="AW29" s="1" t="n">
        <v>741</v>
      </c>
      <c r="AX29" s="1" t="n">
        <v>545</v>
      </c>
      <c r="AY29" s="10" t="n">
        <v>1443</v>
      </c>
      <c r="AZ29" s="10" t="n">
        <v>2445</v>
      </c>
      <c r="BA29" s="1" t="n">
        <v>172</v>
      </c>
      <c r="BB29" s="1" t="n">
        <v>785</v>
      </c>
      <c r="BC29" s="10" t="n">
        <v>9676</v>
      </c>
      <c r="BD29" s="10" t="n">
        <v>1161</v>
      </c>
      <c r="BE29" s="1" t="n">
        <v>262</v>
      </c>
      <c r="BF29" s="10" t="n">
        <v>1406</v>
      </c>
      <c r="BG29" s="10" t="n">
        <v>2043</v>
      </c>
      <c r="BH29" s="10" t="n">
        <v>2617</v>
      </c>
      <c r="BI29" s="10" t="n">
        <v>2187</v>
      </c>
      <c r="BJ29" s="5" t="s">
        <v>165</v>
      </c>
      <c r="BK29" s="1" t="s">
        <v>166</v>
      </c>
      <c r="BN29" s="1" t="n">
        <f aca="false">LN(TotalVMT)</f>
        <v>9.6682081588774</v>
      </c>
    </row>
    <row r="30" customFormat="false" ht="12.75" hidden="false" customHeight="false" outlineLevel="0" collapsed="false">
      <c r="A30" s="1" t="s">
        <v>167</v>
      </c>
      <c r="B30" s="1" t="n">
        <v>595440</v>
      </c>
      <c r="C30" s="1" t="n">
        <v>600342</v>
      </c>
      <c r="D30" s="1" t="n">
        <v>1195956</v>
      </c>
      <c r="E30" s="6" t="n">
        <v>0.987613726842367</v>
      </c>
      <c r="F30" s="1" t="n">
        <v>592906</v>
      </c>
      <c r="G30" s="1" t="n">
        <f aca="false">C30-F30</f>
        <v>7436</v>
      </c>
      <c r="H30" s="1" t="n">
        <v>619773</v>
      </c>
      <c r="I30" s="6" t="n">
        <v>0.956650257432963</v>
      </c>
      <c r="J30" s="1" t="n">
        <f aca="false">I30*H30</f>
        <v>592906</v>
      </c>
      <c r="K30" s="1" t="n">
        <f aca="false">H30-J30</f>
        <v>26867</v>
      </c>
      <c r="L30" s="7" t="n">
        <v>13.93464837987</v>
      </c>
      <c r="M30" s="1" t="n">
        <f aca="false">F30</f>
        <v>592906</v>
      </c>
      <c r="N30" s="1" t="n">
        <f aca="false">G30</f>
        <v>7436</v>
      </c>
      <c r="O30" s="1" t="n">
        <f aca="false">K30</f>
        <v>26867</v>
      </c>
      <c r="P30" s="6" t="n">
        <f aca="false">AE$30</f>
        <v>0</v>
      </c>
      <c r="Q30" s="1" t="n">
        <f aca="false">M30+0.5*(N30+O30)</f>
        <v>610057.5</v>
      </c>
      <c r="R30" s="1" t="n">
        <f aca="false">M30+0.5*N30</f>
        <v>596624</v>
      </c>
      <c r="S30" s="1" t="n">
        <f aca="false">N30+O30</f>
        <v>34303</v>
      </c>
      <c r="T30" s="6" t="n">
        <f aca="false">Rhoii/RhoOrig</f>
        <v>0.993768269462844</v>
      </c>
      <c r="U30" s="6"/>
      <c r="V30" s="6" t="n">
        <f aca="false">Rhoii/RhoTot</f>
        <v>0.971885437028477</v>
      </c>
      <c r="W30" s="6" t="n">
        <f aca="false">0.5*Rhoij/RhoTot</f>
        <v>0.00609450748495019</v>
      </c>
      <c r="X30" s="6" t="n">
        <f aca="false">0.5*Rhoji/RhoTot</f>
        <v>0.022020055486573</v>
      </c>
      <c r="Y30" s="6" t="n">
        <f aca="false">Rhoij/RhoOrig</f>
        <v>0.0124634610743115</v>
      </c>
      <c r="Z30" s="6" t="n">
        <f aca="false">Rhoij/RhoCordon</f>
        <v>0.216774043086611</v>
      </c>
      <c r="AA30" s="6" t="n">
        <f aca="false">Rhoji/RhoCordon</f>
        <v>0.78322595691339</v>
      </c>
      <c r="AC30" s="1" t="s">
        <v>168</v>
      </c>
      <c r="AD30" s="1" t="s">
        <v>169</v>
      </c>
      <c r="AE30" s="6" t="n">
        <v>0</v>
      </c>
      <c r="AF30" s="5" t="n">
        <v>480760</v>
      </c>
      <c r="AG30" s="5" t="n">
        <v>0</v>
      </c>
      <c r="AH30" s="5" t="n">
        <v>342433</v>
      </c>
      <c r="AI30" s="5" t="n">
        <v>138327</v>
      </c>
      <c r="AJ30" s="6" t="n">
        <f aca="false">LN(AE$30+1)</f>
        <v>0</v>
      </c>
      <c r="AK30" s="6" t="n">
        <f aca="false">LN(Density)</f>
        <v>2.63437842773934</v>
      </c>
      <c r="AL30" s="6" t="n">
        <f aca="false">LN(Rhoii)</f>
        <v>13.2927911493946</v>
      </c>
      <c r="AM30" s="6" t="n">
        <f aca="false">LN(Rhoij)</f>
        <v>8.91408834884133</v>
      </c>
      <c r="AN30" s="6" t="n">
        <f aca="false">LN(Rhoji)</f>
        <v>10.1986540466975</v>
      </c>
      <c r="AO30" s="6" t="n">
        <f aca="false">LN(AF30)</f>
        <v>13.0831234640667</v>
      </c>
      <c r="AP30" s="6" t="n">
        <f aca="false">LN(AS30)</f>
        <v>13.0900715638874</v>
      </c>
      <c r="AQ30" s="6" t="n">
        <f aca="false">LN(AS30-AR30)</f>
        <v>12.1616347464996</v>
      </c>
      <c r="AR30" s="11" t="n">
        <v>292805</v>
      </c>
      <c r="AS30" s="12" t="n">
        <v>484112</v>
      </c>
      <c r="AU30" s="10" t="n">
        <v>13974</v>
      </c>
      <c r="AV30" s="10" t="n">
        <v>8543</v>
      </c>
      <c r="AW30" s="10" t="n">
        <v>1127</v>
      </c>
      <c r="AX30" s="1" t="n">
        <v>711</v>
      </c>
      <c r="AY30" s="10" t="n">
        <v>2402</v>
      </c>
      <c r="AZ30" s="10" t="n">
        <v>1855</v>
      </c>
      <c r="BA30" s="1" t="n">
        <v>559</v>
      </c>
      <c r="BB30" s="10" t="n">
        <v>1889</v>
      </c>
      <c r="BC30" s="10" t="n">
        <v>5431</v>
      </c>
      <c r="BD30" s="1" t="n">
        <v>902</v>
      </c>
      <c r="BE30" s="1" t="n">
        <v>416</v>
      </c>
      <c r="BF30" s="1" t="n">
        <v>578</v>
      </c>
      <c r="BG30" s="1" t="n">
        <v>468</v>
      </c>
      <c r="BH30" s="10" t="n">
        <v>1353</v>
      </c>
      <c r="BI30" s="10" t="n">
        <v>1714</v>
      </c>
      <c r="BJ30" s="5" t="s">
        <v>168</v>
      </c>
      <c r="BK30" s="1" t="s">
        <v>169</v>
      </c>
      <c r="BN30" s="1" t="n">
        <f aca="false">LN(TotalVMT)</f>
        <v>9.5449537391124</v>
      </c>
    </row>
    <row r="31" customFormat="false" ht="12.75" hidden="false" customHeight="false" outlineLevel="0" collapsed="false">
      <c r="A31" s="1" t="s">
        <v>170</v>
      </c>
      <c r="B31" s="1" t="n">
        <v>539361</v>
      </c>
      <c r="C31" s="1" t="n">
        <v>564611</v>
      </c>
      <c r="D31" s="1" t="n">
        <v>1104242</v>
      </c>
      <c r="E31" s="6" t="n">
        <v>0.832024172394799</v>
      </c>
      <c r="F31" s="1" t="n">
        <v>469770</v>
      </c>
      <c r="G31" s="1" t="n">
        <f aca="false">C31-F31</f>
        <v>94841</v>
      </c>
      <c r="H31" s="1" t="n">
        <v>513486</v>
      </c>
      <c r="I31" s="6" t="n">
        <v>0.914864280623036</v>
      </c>
      <c r="J31" s="1" t="n">
        <f aca="false">I31*H31</f>
        <v>469770</v>
      </c>
      <c r="K31" s="1" t="n">
        <f aca="false">H31-J31</f>
        <v>43716</v>
      </c>
      <c r="L31" s="7" t="n">
        <v>128.024640428141</v>
      </c>
      <c r="M31" s="1" t="n">
        <f aca="false">F31</f>
        <v>469770</v>
      </c>
      <c r="N31" s="1" t="n">
        <f aca="false">G31</f>
        <v>94841</v>
      </c>
      <c r="O31" s="1" t="n">
        <f aca="false">K31</f>
        <v>43716</v>
      </c>
      <c r="P31" s="6" t="n">
        <f aca="false">AE$31</f>
        <v>0.117777368981519</v>
      </c>
      <c r="Q31" s="1" t="n">
        <f aca="false">M31+0.5*(N31+O31)</f>
        <v>539048.5</v>
      </c>
      <c r="R31" s="1" t="n">
        <f aca="false">M31+0.5*N31</f>
        <v>517190.5</v>
      </c>
      <c r="S31" s="1" t="n">
        <f aca="false">N31+O31</f>
        <v>138557</v>
      </c>
      <c r="T31" s="6" t="n">
        <f aca="false">Rhoii/RhoOrig</f>
        <v>0.908311347559555</v>
      </c>
      <c r="U31" s="6"/>
      <c r="V31" s="6" t="n">
        <f aca="false">Rhoii/RhoTot</f>
        <v>0.871480024524695</v>
      </c>
      <c r="W31" s="6" t="n">
        <f aca="false">0.5*Rhoij/RhoTot</f>
        <v>0.0879707484576991</v>
      </c>
      <c r="X31" s="6" t="n">
        <f aca="false">0.5*Rhoji/RhoTot</f>
        <v>0.040549227017606</v>
      </c>
      <c r="Y31" s="6" t="n">
        <f aca="false">Rhoij/RhoOrig</f>
        <v>0.18337730488089</v>
      </c>
      <c r="Z31" s="6" t="n">
        <f aca="false">Rhoij/RhoCordon</f>
        <v>0.684490859357521</v>
      </c>
      <c r="AA31" s="6" t="n">
        <f aca="false">Rhoji/RhoCordon</f>
        <v>0.315509140642479</v>
      </c>
      <c r="AC31" s="1" t="s">
        <v>171</v>
      </c>
      <c r="AD31" s="1" t="s">
        <v>172</v>
      </c>
      <c r="AE31" s="6" t="n">
        <v>0.117777368981519</v>
      </c>
      <c r="AF31" s="5" t="n">
        <v>385957</v>
      </c>
      <c r="AG31" s="5" t="n">
        <v>45457</v>
      </c>
      <c r="AH31" s="5" t="n">
        <v>251579</v>
      </c>
      <c r="AI31" s="5" t="n">
        <v>88921</v>
      </c>
      <c r="AJ31" s="6" t="n">
        <f aca="false">LN(AE$31+1)</f>
        <v>0.111342221613008</v>
      </c>
      <c r="AK31" s="6" t="n">
        <f aca="false">LN(Density)</f>
        <v>4.85222274873808</v>
      </c>
      <c r="AL31" s="6" t="n">
        <f aca="false">LN(Rhoii)</f>
        <v>13.0599984922076</v>
      </c>
      <c r="AM31" s="6" t="n">
        <f aca="false">LN(Rhoij)</f>
        <v>11.459957084198</v>
      </c>
      <c r="AN31" s="6" t="n">
        <f aca="false">LN(Rhoji)</f>
        <v>10.6854694467966</v>
      </c>
      <c r="AO31" s="6" t="n">
        <f aca="false">LN(AF31)</f>
        <v>12.8634812432779</v>
      </c>
      <c r="AP31" s="6" t="n">
        <f aca="false">LN(AS31)</f>
        <v>12.7008512010516</v>
      </c>
      <c r="AQ31" s="6" t="n">
        <f aca="false">LN(AS31-AR31)</f>
        <v>12.1499730826743</v>
      </c>
      <c r="AR31" s="8" t="n">
        <v>138938</v>
      </c>
      <c r="AS31" s="9" t="n">
        <v>328027</v>
      </c>
      <c r="AU31" s="10" t="n">
        <v>10643</v>
      </c>
      <c r="AV31" s="10" t="n">
        <v>4450</v>
      </c>
      <c r="AW31" s="1" t="n">
        <v>385</v>
      </c>
      <c r="AX31" s="1" t="n">
        <v>415</v>
      </c>
      <c r="AY31" s="10" t="n">
        <v>1384</v>
      </c>
      <c r="AZ31" s="1" t="n">
        <v>912</v>
      </c>
      <c r="BA31" s="1" t="n">
        <v>531</v>
      </c>
      <c r="BB31" s="1" t="n">
        <v>823</v>
      </c>
      <c r="BC31" s="10" t="n">
        <v>6193</v>
      </c>
      <c r="BD31" s="1" t="n">
        <v>567</v>
      </c>
      <c r="BE31" s="1" t="n">
        <v>448</v>
      </c>
      <c r="BF31" s="10" t="n">
        <v>1220</v>
      </c>
      <c r="BG31" s="10" t="n">
        <v>1014</v>
      </c>
      <c r="BH31" s="10" t="n">
        <v>1542</v>
      </c>
      <c r="BI31" s="10" t="n">
        <v>1402</v>
      </c>
      <c r="BJ31" s="5" t="s">
        <v>171</v>
      </c>
      <c r="BK31" s="1" t="s">
        <v>172</v>
      </c>
      <c r="BN31" s="1" t="n">
        <f aca="false">LN(TotalVMT)</f>
        <v>9.27265767804104</v>
      </c>
    </row>
    <row r="32" customFormat="false" ht="12.75" hidden="false" customHeight="false" outlineLevel="0" collapsed="false">
      <c r="A32" s="1" t="s">
        <v>173</v>
      </c>
      <c r="B32" s="1" t="n">
        <v>3899647</v>
      </c>
      <c r="C32" s="1" t="n">
        <v>3797719</v>
      </c>
      <c r="D32" s="1" t="n">
        <v>7698998</v>
      </c>
      <c r="E32" s="6" t="n">
        <v>0.882920510969874</v>
      </c>
      <c r="F32" s="1" t="n">
        <v>3353084</v>
      </c>
      <c r="G32" s="1" t="n">
        <f aca="false">C32-F32</f>
        <v>444635</v>
      </c>
      <c r="H32" s="1" t="n">
        <v>3607221</v>
      </c>
      <c r="I32" s="6" t="n">
        <v>0.92954770445171</v>
      </c>
      <c r="J32" s="1" t="n">
        <f aca="false">I32*H32</f>
        <v>3353084</v>
      </c>
      <c r="K32" s="1" t="n">
        <f aca="false">H32-J32</f>
        <v>254137</v>
      </c>
      <c r="L32" s="7" t="n">
        <v>1070.93921013614</v>
      </c>
      <c r="M32" s="1" t="n">
        <f aca="false">F32</f>
        <v>3353084</v>
      </c>
      <c r="N32" s="1" t="n">
        <f aca="false">G32</f>
        <v>444635</v>
      </c>
      <c r="O32" s="1" t="n">
        <f aca="false">K32</f>
        <v>254137</v>
      </c>
      <c r="P32" s="6" t="n">
        <f aca="false">AE$32</f>
        <v>0.273303356469306</v>
      </c>
      <c r="Q32" s="1" t="n">
        <f aca="false">M32+0.5*(N32+O32)</f>
        <v>3702470</v>
      </c>
      <c r="R32" s="1" t="n">
        <f aca="false">M32+0.5*N32</f>
        <v>3575401.5</v>
      </c>
      <c r="S32" s="1" t="n">
        <f aca="false">N32+O32</f>
        <v>698772</v>
      </c>
      <c r="T32" s="6" t="n">
        <f aca="false">Rhoii/RhoOrig</f>
        <v>0.937820269975274</v>
      </c>
      <c r="U32" s="6"/>
      <c r="V32" s="6" t="n">
        <f aca="false">Rhoii/RhoTot</f>
        <v>0.905634346800919</v>
      </c>
      <c r="W32" s="6" t="n">
        <f aca="false">0.5*Rhoij/RhoTot</f>
        <v>0.0600457262314077</v>
      </c>
      <c r="X32" s="6" t="n">
        <f aca="false">0.5*Rhoji/RhoTot</f>
        <v>0.0343199269676729</v>
      </c>
      <c r="Y32" s="6" t="n">
        <f aca="false">Rhoij/RhoOrig</f>
        <v>0.124359460049452</v>
      </c>
      <c r="Z32" s="6" t="n">
        <f aca="false">Rhoij/RhoCordon</f>
        <v>0.636309125150979</v>
      </c>
      <c r="AA32" s="6" t="n">
        <f aca="false">Rhoji/RhoCordon</f>
        <v>0.363690874849021</v>
      </c>
      <c r="AC32" s="1" t="s">
        <v>174</v>
      </c>
      <c r="AD32" s="1" t="s">
        <v>175</v>
      </c>
      <c r="AE32" s="6" t="n">
        <v>0.273303356469306</v>
      </c>
      <c r="AF32" s="5" t="n">
        <v>2015332</v>
      </c>
      <c r="AG32" s="5" t="n">
        <v>550797</v>
      </c>
      <c r="AH32" s="5" t="n">
        <v>888912</v>
      </c>
      <c r="AI32" s="5" t="n">
        <v>575623</v>
      </c>
      <c r="AJ32" s="6" t="n">
        <f aca="false">LN(AE$32+1)</f>
        <v>0.241614591633444</v>
      </c>
      <c r="AK32" s="6" t="n">
        <f aca="false">LN(Density)</f>
        <v>6.97629130892661</v>
      </c>
      <c r="AL32" s="6" t="n">
        <f aca="false">LN(Rhoii)</f>
        <v>15.0253910773266</v>
      </c>
      <c r="AM32" s="6" t="n">
        <f aca="false">LN(Rhoij)</f>
        <v>13.0050089998609</v>
      </c>
      <c r="AN32" s="6" t="n">
        <f aca="false">LN(Rhoji)</f>
        <v>12.4456287706717</v>
      </c>
      <c r="AO32" s="6" t="n">
        <f aca="false">LN(AF32)</f>
        <v>14.5162945040588</v>
      </c>
      <c r="AP32" s="6" t="n">
        <f aca="false">LN(AS32)</f>
        <v>14.5582413973173</v>
      </c>
      <c r="AQ32" s="6" t="n">
        <f aca="false">LN(AS32-AR32)</f>
        <v>14.0699217418995</v>
      </c>
      <c r="AR32" s="8" t="n">
        <v>811965</v>
      </c>
      <c r="AS32" s="9" t="n">
        <v>2101667</v>
      </c>
      <c r="AU32" s="10" t="n">
        <v>61012</v>
      </c>
      <c r="AV32" s="10" t="n">
        <v>49517</v>
      </c>
      <c r="AW32" s="10" t="n">
        <v>8490</v>
      </c>
      <c r="AX32" s="10" t="n">
        <v>3491</v>
      </c>
      <c r="AY32" s="10" t="n">
        <v>9369</v>
      </c>
      <c r="AZ32" s="10" t="n">
        <v>11695</v>
      </c>
      <c r="BA32" s="10" t="n">
        <v>7432</v>
      </c>
      <c r="BB32" s="10" t="n">
        <v>9040</v>
      </c>
      <c r="BC32" s="10" t="n">
        <v>11495</v>
      </c>
      <c r="BD32" s="10" t="n">
        <v>1280</v>
      </c>
      <c r="BE32" s="1" t="n">
        <v>761</v>
      </c>
      <c r="BF32" s="10" t="n">
        <v>2072</v>
      </c>
      <c r="BG32" s="10" t="n">
        <v>1525</v>
      </c>
      <c r="BH32" s="10" t="n">
        <v>3734</v>
      </c>
      <c r="BI32" s="10" t="n">
        <v>2123</v>
      </c>
      <c r="BJ32" s="5" t="s">
        <v>174</v>
      </c>
      <c r="BK32" s="1" t="s">
        <v>175</v>
      </c>
      <c r="BN32" s="1" t="n">
        <f aca="false">LN(TotalVMT)</f>
        <v>11.0188258451198</v>
      </c>
    </row>
    <row r="33" customFormat="false" ht="12.75" hidden="false" customHeight="false" outlineLevel="0" collapsed="false">
      <c r="A33" s="1" t="s">
        <v>176</v>
      </c>
      <c r="B33" s="1" t="n">
        <v>876153</v>
      </c>
      <c r="C33" s="1" t="n">
        <v>630531</v>
      </c>
      <c r="D33" s="1" t="n">
        <v>1507146</v>
      </c>
      <c r="E33" s="6" t="n">
        <v>0.9748354957964</v>
      </c>
      <c r="F33" s="1" t="n">
        <v>614664</v>
      </c>
      <c r="G33" s="1" t="n">
        <f aca="false">C33-F33</f>
        <v>15867</v>
      </c>
      <c r="H33" s="1" t="n">
        <v>626630</v>
      </c>
      <c r="I33" s="6" t="n">
        <v>0.980904201841597</v>
      </c>
      <c r="J33" s="1" t="n">
        <f aca="false">I33*H33</f>
        <v>614664</v>
      </c>
      <c r="K33" s="1" t="n">
        <f aca="false">H33-J33</f>
        <v>11966</v>
      </c>
      <c r="L33" s="7" t="n">
        <v>13.8870432167429</v>
      </c>
      <c r="M33" s="1" t="n">
        <f aca="false">F33</f>
        <v>614664</v>
      </c>
      <c r="N33" s="1" t="n">
        <f aca="false">G33</f>
        <v>15867</v>
      </c>
      <c r="O33" s="1" t="n">
        <f aca="false">K33</f>
        <v>11966</v>
      </c>
      <c r="P33" s="6" t="n">
        <f aca="false">AE$33</f>
        <v>0</v>
      </c>
      <c r="Q33" s="1" t="n">
        <f aca="false">M33+0.5*(N33+O33)</f>
        <v>628580.5</v>
      </c>
      <c r="R33" s="1" t="n">
        <f aca="false">M33+0.5*N33</f>
        <v>622597.5</v>
      </c>
      <c r="S33" s="1" t="n">
        <f aca="false">N33+O33</f>
        <v>27833</v>
      </c>
      <c r="T33" s="6" t="n">
        <f aca="false">Rhoii/RhoOrig</f>
        <v>0.98725741751292</v>
      </c>
      <c r="U33" s="6"/>
      <c r="V33" s="6" t="n">
        <f aca="false">Rhoii/RhoTot</f>
        <v>0.977860433150567</v>
      </c>
      <c r="W33" s="6" t="n">
        <f aca="false">0.5*Rhoij/RhoTot</f>
        <v>0.0126212951244908</v>
      </c>
      <c r="X33" s="6" t="n">
        <f aca="false">0.5*Rhoji/RhoTot</f>
        <v>0.00951827172494215</v>
      </c>
      <c r="Y33" s="6" t="n">
        <f aca="false">Rhoij/RhoOrig</f>
        <v>0.0254851649741607</v>
      </c>
      <c r="Z33" s="6" t="n">
        <f aca="false">Rhoij/RhoCordon</f>
        <v>0.570078683577049</v>
      </c>
      <c r="AA33" s="6" t="n">
        <f aca="false">Rhoji/RhoCordon</f>
        <v>0.429921316422951</v>
      </c>
      <c r="AC33" s="1" t="s">
        <v>177</v>
      </c>
      <c r="AD33" s="1" t="s">
        <v>178</v>
      </c>
      <c r="AE33" s="6" t="n">
        <v>0</v>
      </c>
      <c r="AF33" s="5" t="n">
        <v>540397</v>
      </c>
      <c r="AG33" s="5" t="n">
        <v>0</v>
      </c>
      <c r="AH33" s="5" t="n">
        <v>362571</v>
      </c>
      <c r="AI33" s="5" t="n">
        <v>177826</v>
      </c>
      <c r="AJ33" s="6" t="n">
        <f aca="false">LN(AE$33+1)</f>
        <v>0</v>
      </c>
      <c r="AK33" s="6" t="n">
        <f aca="false">LN(Density)</f>
        <v>2.63095626274112</v>
      </c>
      <c r="AL33" s="6" t="n">
        <f aca="false">LN(Rhoii)</f>
        <v>13.3288310560264</v>
      </c>
      <c r="AM33" s="6" t="n">
        <f aca="false">LN(Rhoij)</f>
        <v>9.67199675973409</v>
      </c>
      <c r="AN33" s="6" t="n">
        <f aca="false">LN(Rhoji)</f>
        <v>9.38982457394998</v>
      </c>
      <c r="AO33" s="6" t="n">
        <f aca="false">LN(AF33)</f>
        <v>13.2000593336094</v>
      </c>
      <c r="AP33" s="6" t="n">
        <f aca="false">LN(AS33)</f>
        <v>13.1896537337679</v>
      </c>
      <c r="AQ33" s="6" t="n">
        <f aca="false">LN(AS33-AR33)</f>
        <v>12.1969965823936</v>
      </c>
      <c r="AR33" s="8" t="n">
        <v>336610</v>
      </c>
      <c r="AS33" s="9" t="n">
        <v>534803</v>
      </c>
      <c r="AU33" s="10" t="n">
        <v>21147</v>
      </c>
      <c r="AV33" s="10" t="n">
        <v>7957</v>
      </c>
      <c r="AW33" s="10" t="n">
        <v>1332</v>
      </c>
      <c r="AX33" s="1" t="n">
        <v>785</v>
      </c>
      <c r="AY33" s="10" t="n">
        <v>1010</v>
      </c>
      <c r="AZ33" s="10" t="n">
        <v>3288</v>
      </c>
      <c r="BA33" s="1" t="n">
        <v>1</v>
      </c>
      <c r="BB33" s="10" t="n">
        <v>1541</v>
      </c>
      <c r="BC33" s="10" t="n">
        <v>13190</v>
      </c>
      <c r="BD33" s="10" t="n">
        <v>2844</v>
      </c>
      <c r="BE33" s="1" t="n">
        <v>508</v>
      </c>
      <c r="BF33" s="10" t="n">
        <v>1792</v>
      </c>
      <c r="BG33" s="10" t="n">
        <v>1313</v>
      </c>
      <c r="BH33" s="10" t="n">
        <v>2622</v>
      </c>
      <c r="BI33" s="10" t="n">
        <v>4111</v>
      </c>
      <c r="BJ33" s="5" t="s">
        <v>177</v>
      </c>
      <c r="BK33" s="1" t="s">
        <v>178</v>
      </c>
      <c r="BN33" s="1" t="n">
        <f aca="false">LN(TotalVMT)</f>
        <v>9.95925333044199</v>
      </c>
    </row>
    <row r="34" customFormat="false" ht="12.75" hidden="false" customHeight="false" outlineLevel="0" collapsed="false">
      <c r="A34" s="1" t="s">
        <v>179</v>
      </c>
      <c r="B34" s="1" t="n">
        <v>9723449</v>
      </c>
      <c r="C34" s="1" t="n">
        <v>8192105</v>
      </c>
      <c r="D34" s="1" t="n">
        <v>17919274</v>
      </c>
      <c r="E34" s="6" t="n">
        <v>0.975648261344307</v>
      </c>
      <c r="F34" s="1" t="n">
        <v>7992613</v>
      </c>
      <c r="G34" s="1" t="n">
        <f aca="false">C34-F34</f>
        <v>199492</v>
      </c>
      <c r="H34" s="1" t="n">
        <v>8422034</v>
      </c>
      <c r="I34" s="6" t="n">
        <v>0.949012198240948</v>
      </c>
      <c r="J34" s="1" t="n">
        <f aca="false">I34*H34</f>
        <v>7992613</v>
      </c>
      <c r="K34" s="1" t="n">
        <f aca="false">H34-J34</f>
        <v>429421</v>
      </c>
      <c r="L34" s="7" t="n">
        <v>384.043727765543</v>
      </c>
      <c r="M34" s="1" t="n">
        <f aca="false">F34</f>
        <v>7992613</v>
      </c>
      <c r="N34" s="1" t="n">
        <f aca="false">G34</f>
        <v>199492</v>
      </c>
      <c r="O34" s="1" t="n">
        <f aca="false">K34</f>
        <v>429421</v>
      </c>
      <c r="P34" s="6" t="n">
        <f aca="false">AE$34</f>
        <v>0.331822037089797</v>
      </c>
      <c r="Q34" s="1" t="n">
        <f aca="false">M34+0.5*(N34+O34)</f>
        <v>8307069.5</v>
      </c>
      <c r="R34" s="1" t="n">
        <f aca="false">M34+0.5*N34</f>
        <v>8092359</v>
      </c>
      <c r="S34" s="1" t="n">
        <f aca="false">N34+O34</f>
        <v>628913</v>
      </c>
      <c r="T34" s="6" t="n">
        <f aca="false">Rhoii/RhoOrig</f>
        <v>0.987674051534293</v>
      </c>
      <c r="U34" s="6"/>
      <c r="V34" s="6" t="n">
        <f aca="false">Rhoii/RhoTot</f>
        <v>0.962145916800142</v>
      </c>
      <c r="W34" s="6" t="n">
        <f aca="false">0.5*Rhoij/RhoTot</f>
        <v>0.0120073631260699</v>
      </c>
      <c r="X34" s="6" t="n">
        <f aca="false">0.5*Rhoji/RhoTot</f>
        <v>0.0258467200737878</v>
      </c>
      <c r="Y34" s="6" t="n">
        <f aca="false">Rhoij/RhoOrig</f>
        <v>0.0246518969314139</v>
      </c>
      <c r="Z34" s="6" t="n">
        <f aca="false">Rhoij/RhoCordon</f>
        <v>0.317201266311875</v>
      </c>
      <c r="AA34" s="6" t="n">
        <f aca="false">Rhoji/RhoCordon</f>
        <v>0.682798733688125</v>
      </c>
      <c r="AC34" s="1" t="s">
        <v>180</v>
      </c>
      <c r="AD34" s="1" t="s">
        <v>181</v>
      </c>
      <c r="AE34" s="6" t="n">
        <v>0.331822037089797</v>
      </c>
      <c r="AF34" s="5" t="n">
        <v>4885872</v>
      </c>
      <c r="AG34" s="5" t="n">
        <v>1621240</v>
      </c>
      <c r="AH34" s="5" t="n">
        <v>2236452</v>
      </c>
      <c r="AI34" s="5" t="n">
        <v>1028180</v>
      </c>
      <c r="AJ34" s="6" t="n">
        <f aca="false">LN(AE$34+1)</f>
        <v>0.286547957403708</v>
      </c>
      <c r="AK34" s="6" t="n">
        <f aca="false">LN(Density)</f>
        <v>5.95075642049397</v>
      </c>
      <c r="AL34" s="6" t="n">
        <f aca="false">LN(Rhoii)</f>
        <v>15.8940282980708</v>
      </c>
      <c r="AM34" s="6" t="n">
        <f aca="false">LN(Rhoij)</f>
        <v>12.2035294142574</v>
      </c>
      <c r="AN34" s="6" t="n">
        <f aca="false">LN(Rhoji)</f>
        <v>12.9701930686805</v>
      </c>
      <c r="AO34" s="6" t="n">
        <f aca="false">LN(AF34)</f>
        <v>15.4018583331583</v>
      </c>
      <c r="AP34" s="6" t="n">
        <f aca="false">LN(AS34)</f>
        <v>15.3381416543029</v>
      </c>
      <c r="AQ34" s="6" t="n">
        <f aca="false">LN(AS34-AR34)</f>
        <v>14.7124467941163</v>
      </c>
      <c r="AR34" s="11" t="n">
        <v>2132192</v>
      </c>
      <c r="AS34" s="12" t="n">
        <v>4584271</v>
      </c>
      <c r="AU34" s="10" t="n">
        <v>115091</v>
      </c>
      <c r="AV34" s="10" t="n">
        <v>84140</v>
      </c>
      <c r="AW34" s="10" t="n">
        <v>8916</v>
      </c>
      <c r="AX34" s="10" t="n">
        <v>9611</v>
      </c>
      <c r="AY34" s="10" t="n">
        <v>17897</v>
      </c>
      <c r="AZ34" s="10" t="n">
        <v>17009</v>
      </c>
      <c r="BA34" s="10" t="n">
        <v>15605</v>
      </c>
      <c r="BB34" s="10" t="n">
        <v>15102</v>
      </c>
      <c r="BC34" s="10" t="n">
        <v>30951</v>
      </c>
      <c r="BD34" s="10" t="n">
        <v>3208</v>
      </c>
      <c r="BE34" s="10" t="n">
        <v>6341</v>
      </c>
      <c r="BF34" s="10" t="n">
        <v>4986</v>
      </c>
      <c r="BG34" s="10" t="n">
        <v>5255</v>
      </c>
      <c r="BH34" s="10" t="n">
        <v>5379</v>
      </c>
      <c r="BI34" s="10" t="n">
        <v>5782</v>
      </c>
      <c r="BJ34" s="5" t="s">
        <v>180</v>
      </c>
      <c r="BK34" s="1" t="s">
        <v>181</v>
      </c>
      <c r="BN34" s="1" t="n">
        <f aca="false">LN(TotalVMT)</f>
        <v>11.653478398777</v>
      </c>
    </row>
    <row r="35" customFormat="false" ht="12.75" hidden="false" customHeight="false" outlineLevel="0" collapsed="false">
      <c r="A35" s="1" t="s">
        <v>182</v>
      </c>
      <c r="B35" s="1" t="n">
        <v>3321672</v>
      </c>
      <c r="C35" s="1" t="n">
        <v>3288867</v>
      </c>
      <c r="D35" s="1" t="n">
        <v>6612198</v>
      </c>
      <c r="E35" s="6" t="n">
        <v>0.982291165924314</v>
      </c>
      <c r="F35" s="1" t="n">
        <v>3230625</v>
      </c>
      <c r="G35" s="1" t="n">
        <f aca="false">C35-F35</f>
        <v>58242</v>
      </c>
      <c r="H35" s="1" t="n">
        <v>3303738</v>
      </c>
      <c r="I35" s="6" t="n">
        <v>0.97786961314729</v>
      </c>
      <c r="J35" s="1" t="n">
        <f aca="false">I35*H35</f>
        <v>3230625</v>
      </c>
      <c r="K35" s="1" t="n">
        <f aca="false">H35-J35</f>
        <v>73113</v>
      </c>
      <c r="L35" s="7" t="n">
        <v>147.68951927419</v>
      </c>
      <c r="M35" s="1" t="n">
        <f aca="false">F35</f>
        <v>3230625</v>
      </c>
      <c r="N35" s="1" t="n">
        <f aca="false">G35</f>
        <v>58242</v>
      </c>
      <c r="O35" s="1" t="n">
        <f aca="false">K35</f>
        <v>73113</v>
      </c>
      <c r="P35" s="6" t="n">
        <f aca="false">AE$35</f>
        <v>0.000738443042039357</v>
      </c>
      <c r="Q35" s="1" t="n">
        <f aca="false">M35+0.5*(N35+O35)</f>
        <v>3296302.5</v>
      </c>
      <c r="R35" s="1" t="n">
        <f aca="false">M35+0.5*N35</f>
        <v>3259746</v>
      </c>
      <c r="S35" s="1" t="n">
        <f aca="false">N35+O35</f>
        <v>131355</v>
      </c>
      <c r="T35" s="6" t="n">
        <f aca="false">Rhoii/RhoOrig</f>
        <v>0.991066481866992</v>
      </c>
      <c r="U35" s="6"/>
      <c r="V35" s="6" t="n">
        <f aca="false">Rhoii/RhoTot</f>
        <v>0.980075402667079</v>
      </c>
      <c r="W35" s="6" t="n">
        <f aca="false">0.5*Rhoij/RhoTot</f>
        <v>0.00883444404753508</v>
      </c>
      <c r="X35" s="6" t="n">
        <f aca="false">0.5*Rhoji/RhoTot</f>
        <v>0.0110901532853857</v>
      </c>
      <c r="Y35" s="6" t="n">
        <f aca="false">Rhoij/RhoOrig</f>
        <v>0.0178670362660158</v>
      </c>
      <c r="Z35" s="6" t="n">
        <f aca="false">Rhoij/RhoCordon</f>
        <v>0.443393856343497</v>
      </c>
      <c r="AA35" s="6" t="n">
        <f aca="false">Rhoji/RhoCordon</f>
        <v>0.556606143656503</v>
      </c>
      <c r="AC35" s="1" t="s">
        <v>183</v>
      </c>
      <c r="AD35" s="1" t="s">
        <v>184</v>
      </c>
      <c r="AE35" s="6" t="n">
        <v>0.000738443042039357</v>
      </c>
      <c r="AF35" s="5" t="n">
        <v>1849838</v>
      </c>
      <c r="AG35" s="5" t="n">
        <v>1366</v>
      </c>
      <c r="AH35" s="5" t="n">
        <v>1196985</v>
      </c>
      <c r="AI35" s="5" t="n">
        <v>651487</v>
      </c>
      <c r="AJ35" s="6" t="n">
        <f aca="false">LN(AE$35+1)</f>
        <v>0.000738170527125812</v>
      </c>
      <c r="AK35" s="6" t="n">
        <f aca="false">LN(Density)</f>
        <v>4.99511222746773</v>
      </c>
      <c r="AL35" s="6" t="n">
        <f aca="false">LN(Rhoii)</f>
        <v>14.9881861749324</v>
      </c>
      <c r="AM35" s="6" t="n">
        <f aca="false">LN(Rhoij)</f>
        <v>10.9723620229403</v>
      </c>
      <c r="AN35" s="6" t="n">
        <f aca="false">LN(Rhoji)</f>
        <v>11.1997614685038</v>
      </c>
      <c r="AO35" s="6" t="n">
        <f aca="false">LN(AF35)</f>
        <v>14.4306086256527</v>
      </c>
      <c r="AP35" s="6" t="n">
        <f aca="false">LN(AS35)</f>
        <v>14.4422497376645</v>
      </c>
      <c r="AQ35" s="6" t="n">
        <f aca="false">LN(AS35-AR35)</f>
        <v>13.6659647593783</v>
      </c>
      <c r="AR35" s="8" t="n">
        <v>1010399</v>
      </c>
      <c r="AS35" s="9" t="n">
        <v>1871498</v>
      </c>
      <c r="AU35" s="10" t="n">
        <v>76053</v>
      </c>
      <c r="AV35" s="10" t="n">
        <v>38341</v>
      </c>
      <c r="AW35" s="10" t="n">
        <v>10333</v>
      </c>
      <c r="AX35" s="10" t="n">
        <v>2140</v>
      </c>
      <c r="AY35" s="10" t="n">
        <v>7173</v>
      </c>
      <c r="AZ35" s="10" t="n">
        <v>8917</v>
      </c>
      <c r="BA35" s="10" t="n">
        <v>2801</v>
      </c>
      <c r="BB35" s="10" t="n">
        <v>6977</v>
      </c>
      <c r="BC35" s="10" t="n">
        <v>37712</v>
      </c>
      <c r="BD35" s="10" t="n">
        <v>4309</v>
      </c>
      <c r="BE35" s="10" t="n">
        <v>3473</v>
      </c>
      <c r="BF35" s="10" t="n">
        <v>9181</v>
      </c>
      <c r="BG35" s="10" t="n">
        <v>6220</v>
      </c>
      <c r="BH35" s="10" t="n">
        <v>7762</v>
      </c>
      <c r="BI35" s="10" t="n">
        <v>6767</v>
      </c>
      <c r="BJ35" s="5" t="s">
        <v>183</v>
      </c>
      <c r="BK35" s="1" t="s">
        <v>184</v>
      </c>
      <c r="BN35" s="1" t="n">
        <f aca="false">LN(TotalVMT)</f>
        <v>11.2391857446412</v>
      </c>
    </row>
    <row r="36" customFormat="false" ht="12.75" hidden="false" customHeight="false" outlineLevel="0" collapsed="false">
      <c r="A36" s="1" t="s">
        <v>185</v>
      </c>
      <c r="B36" s="1" t="n">
        <v>340720</v>
      </c>
      <c r="C36" s="1" t="n">
        <v>294310</v>
      </c>
      <c r="D36" s="1" t="n">
        <v>635095</v>
      </c>
      <c r="E36" s="6" t="n">
        <v>0.963303999184533</v>
      </c>
      <c r="F36" s="1" t="n">
        <v>283510</v>
      </c>
      <c r="G36" s="1" t="n">
        <f aca="false">C36-F36</f>
        <v>10800</v>
      </c>
      <c r="H36" s="1" t="n">
        <v>301152</v>
      </c>
      <c r="I36" s="6" t="n">
        <v>0.941418287110828</v>
      </c>
      <c r="J36" s="1" t="n">
        <f aca="false">I36*H36</f>
        <v>283510</v>
      </c>
      <c r="K36" s="1" t="n">
        <f aca="false">H36-J36</f>
        <v>17642</v>
      </c>
      <c r="L36" s="7" t="n">
        <v>9.2959822593269</v>
      </c>
      <c r="M36" s="1" t="n">
        <f aca="false">F36</f>
        <v>283510</v>
      </c>
      <c r="N36" s="1" t="n">
        <f aca="false">G36</f>
        <v>10800</v>
      </c>
      <c r="O36" s="1" t="n">
        <f aca="false">K36</f>
        <v>17642</v>
      </c>
      <c r="P36" s="6" t="n">
        <f aca="false">AE$36</f>
        <v>0</v>
      </c>
      <c r="Q36" s="1" t="n">
        <f aca="false">M36+0.5*(N36+O36)</f>
        <v>297731</v>
      </c>
      <c r="R36" s="1" t="n">
        <f aca="false">M36+0.5*N36</f>
        <v>288910</v>
      </c>
      <c r="S36" s="1" t="n">
        <f aca="false">N36+O36</f>
        <v>28442</v>
      </c>
      <c r="T36" s="6" t="n">
        <f aca="false">Rhoii/RhoOrig</f>
        <v>0.98130905818421</v>
      </c>
      <c r="U36" s="6"/>
      <c r="V36" s="6" t="n">
        <f aca="false">Rhoii/RhoTot</f>
        <v>0.952235407129254</v>
      </c>
      <c r="W36" s="6" t="n">
        <f aca="false">0.5*Rhoij/RhoTot</f>
        <v>0.0181371775193043</v>
      </c>
      <c r="X36" s="6" t="n">
        <f aca="false">0.5*Rhoji/RhoTot</f>
        <v>0.0296274153514414</v>
      </c>
      <c r="Y36" s="6" t="n">
        <f aca="false">Rhoij/RhoOrig</f>
        <v>0.0373818836315808</v>
      </c>
      <c r="Z36" s="6" t="n">
        <f aca="false">Rhoij/RhoCordon</f>
        <v>0.379720132198861</v>
      </c>
      <c r="AA36" s="6" t="n">
        <f aca="false">Rhoji/RhoCordon</f>
        <v>0.620279867801139</v>
      </c>
      <c r="AC36" s="1" t="s">
        <v>186</v>
      </c>
      <c r="AD36" s="1" t="s">
        <v>187</v>
      </c>
      <c r="AE36" s="6" t="n">
        <v>0</v>
      </c>
      <c r="AF36" s="5" t="n">
        <v>190974</v>
      </c>
      <c r="AG36" s="5" t="n">
        <v>0</v>
      </c>
      <c r="AH36" s="5" t="n">
        <v>118507</v>
      </c>
      <c r="AI36" s="5" t="n">
        <v>72467</v>
      </c>
      <c r="AJ36" s="6" t="n">
        <f aca="false">LN(AE$36+1)</f>
        <v>0</v>
      </c>
      <c r="AK36" s="6" t="n">
        <f aca="false">LN(Density)</f>
        <v>2.22958229168765</v>
      </c>
      <c r="AL36" s="6" t="n">
        <f aca="false">LN(Rhoii)</f>
        <v>12.5550026748965</v>
      </c>
      <c r="AM36" s="6" t="n">
        <f aca="false">LN(Rhoij)</f>
        <v>9.28730141311231</v>
      </c>
      <c r="AN36" s="6" t="n">
        <f aca="false">LN(Rhoji)</f>
        <v>9.77803770181871</v>
      </c>
      <c r="AO36" s="6" t="n">
        <f aca="false">LN(AF36)</f>
        <v>12.1598925721084</v>
      </c>
      <c r="AP36" s="6" t="n">
        <f aca="false">LN(AS36)</f>
        <v>12.506529027947</v>
      </c>
      <c r="AQ36" s="6" t="n">
        <f aca="false">LN(AS36-AR36)</f>
        <v>11.6566274612158</v>
      </c>
      <c r="AR36" s="8" t="n">
        <v>154641</v>
      </c>
      <c r="AS36" s="9" t="n">
        <v>270095</v>
      </c>
      <c r="AU36" s="10" t="n">
        <v>6545</v>
      </c>
      <c r="AV36" s="10" t="n">
        <v>1684</v>
      </c>
      <c r="AW36" s="1" t="n">
        <v>304</v>
      </c>
      <c r="AX36" s="1" t="n">
        <v>183</v>
      </c>
      <c r="AY36" s="1" t="n">
        <v>423</v>
      </c>
      <c r="AZ36" s="1" t="n">
        <v>567</v>
      </c>
      <c r="BA36" s="1" t="n">
        <v>0</v>
      </c>
      <c r="BB36" s="1" t="n">
        <v>207</v>
      </c>
      <c r="BC36" s="10" t="n">
        <v>4861</v>
      </c>
      <c r="BD36" s="1" t="n">
        <v>949</v>
      </c>
      <c r="BE36" s="1" t="n">
        <v>0</v>
      </c>
      <c r="BF36" s="1" t="n">
        <v>823</v>
      </c>
      <c r="BG36" s="1" t="n">
        <v>566</v>
      </c>
      <c r="BH36" s="10" t="n">
        <v>1421</v>
      </c>
      <c r="BI36" s="10" t="n">
        <v>1102</v>
      </c>
      <c r="BJ36" s="5" t="s">
        <v>186</v>
      </c>
      <c r="BK36" s="1" t="s">
        <v>187</v>
      </c>
      <c r="BN36" s="1" t="n">
        <f aca="false">LN(TotalVMT)</f>
        <v>8.786456678344</v>
      </c>
    </row>
    <row r="37" customFormat="false" ht="12.75" hidden="false" customHeight="false" outlineLevel="0" collapsed="false">
      <c r="A37" s="1" t="s">
        <v>188</v>
      </c>
      <c r="B37" s="1" t="n">
        <v>6001391</v>
      </c>
      <c r="C37" s="1" t="n">
        <v>4829648</v>
      </c>
      <c r="D37" s="1" t="n">
        <v>10832284</v>
      </c>
      <c r="E37" s="6" t="n">
        <v>0.977727569379797</v>
      </c>
      <c r="F37" s="1" t="n">
        <v>4722080</v>
      </c>
      <c r="G37" s="1" t="n">
        <f aca="false">C37-F37</f>
        <v>107568</v>
      </c>
      <c r="H37" s="1" t="n">
        <v>4859451</v>
      </c>
      <c r="I37" s="6" t="n">
        <v>0.971731168808987</v>
      </c>
      <c r="J37" s="1" t="n">
        <f aca="false">I37*H37</f>
        <v>4722080</v>
      </c>
      <c r="K37" s="1" t="n">
        <f aca="false">H37-J37</f>
        <v>137371</v>
      </c>
      <c r="L37" s="7" t="n">
        <v>272.275681879227</v>
      </c>
      <c r="M37" s="1" t="n">
        <f aca="false">F37</f>
        <v>4722080</v>
      </c>
      <c r="N37" s="1" t="n">
        <f aca="false">G37</f>
        <v>107568</v>
      </c>
      <c r="O37" s="1" t="n">
        <f aca="false">K37</f>
        <v>137371</v>
      </c>
      <c r="P37" s="6" t="n">
        <f aca="false">AE$37</f>
        <v>0.0328757643019831</v>
      </c>
      <c r="Q37" s="1" t="n">
        <f aca="false">M37+0.5*(N37+O37)</f>
        <v>4844549.5</v>
      </c>
      <c r="R37" s="1" t="n">
        <f aca="false">M37+0.5*N37</f>
        <v>4775864</v>
      </c>
      <c r="S37" s="1" t="n">
        <f aca="false">N37+O37</f>
        <v>244939</v>
      </c>
      <c r="T37" s="6" t="n">
        <f aca="false">Rhoii/RhoOrig</f>
        <v>0.988738372784485</v>
      </c>
      <c r="U37" s="6"/>
      <c r="V37" s="6" t="n">
        <f aca="false">Rhoii/RhoTot</f>
        <v>0.974720146837183</v>
      </c>
      <c r="W37" s="6" t="n">
        <f aca="false">0.5*Rhoij/RhoTot</f>
        <v>0.0111019610801789</v>
      </c>
      <c r="X37" s="6" t="n">
        <f aca="false">0.5*Rhoji/RhoTot</f>
        <v>0.0141778920826384</v>
      </c>
      <c r="Y37" s="6" t="n">
        <f aca="false">Rhoij/RhoOrig</f>
        <v>0.0225232544310307</v>
      </c>
      <c r="Z37" s="6" t="n">
        <f aca="false">Rhoij/RhoCordon</f>
        <v>0.439162403700513</v>
      </c>
      <c r="AA37" s="6" t="n">
        <f aca="false">Rhoji/RhoCordon</f>
        <v>0.560837596299487</v>
      </c>
      <c r="AC37" s="1" t="s">
        <v>189</v>
      </c>
      <c r="AD37" s="1" t="s">
        <v>190</v>
      </c>
      <c r="AE37" s="6" t="n">
        <v>0.0328757643019831</v>
      </c>
      <c r="AF37" s="5" t="n">
        <v>2725199</v>
      </c>
      <c r="AG37" s="5" t="n">
        <v>89593</v>
      </c>
      <c r="AH37" s="5" t="n">
        <v>1772628</v>
      </c>
      <c r="AI37" s="5" t="n">
        <v>862978</v>
      </c>
      <c r="AJ37" s="6" t="n">
        <f aca="false">LN(AE$37+1)</f>
        <v>0.0323469160142328</v>
      </c>
      <c r="AK37" s="6" t="n">
        <f aca="false">LN(Density)</f>
        <v>5.60681508933554</v>
      </c>
      <c r="AL37" s="6" t="n">
        <f aca="false">LN(Rhoii)</f>
        <v>15.3677599384578</v>
      </c>
      <c r="AM37" s="6" t="n">
        <f aca="false">LN(Rhoij)</f>
        <v>11.5858784847088</v>
      </c>
      <c r="AN37" s="6" t="n">
        <f aca="false">LN(Rhoji)</f>
        <v>11.8304405739026</v>
      </c>
      <c r="AO37" s="6" t="n">
        <f aca="false">LN(AF37)</f>
        <v>14.818052010936</v>
      </c>
      <c r="AP37" s="6" t="n">
        <f aca="false">LN(AS37)</f>
        <v>14.7850732054633</v>
      </c>
      <c r="AQ37" s="6" t="n">
        <f aca="false">LN(AS37-AR37)</f>
        <v>14.2903207421947</v>
      </c>
      <c r="AR37" s="8" t="n">
        <v>1029082</v>
      </c>
      <c r="AS37" s="9" t="n">
        <v>2636791</v>
      </c>
      <c r="AU37" s="10" t="n">
        <v>100788</v>
      </c>
      <c r="AV37" s="10" t="n">
        <v>62625</v>
      </c>
      <c r="AW37" s="10" t="n">
        <v>11389</v>
      </c>
      <c r="AX37" s="10" t="n">
        <v>4789</v>
      </c>
      <c r="AY37" s="10" t="n">
        <v>12029</v>
      </c>
      <c r="AZ37" s="10" t="n">
        <v>12356</v>
      </c>
      <c r="BA37" s="10" t="n">
        <v>3935</v>
      </c>
      <c r="BB37" s="10" t="n">
        <v>18127</v>
      </c>
      <c r="BC37" s="10" t="n">
        <v>38163</v>
      </c>
      <c r="BD37" s="10" t="n">
        <v>6343</v>
      </c>
      <c r="BE37" s="10" t="n">
        <v>2054</v>
      </c>
      <c r="BF37" s="10" t="n">
        <v>9562</v>
      </c>
      <c r="BG37" s="10" t="n">
        <v>4722</v>
      </c>
      <c r="BH37" s="10" t="n">
        <v>6711</v>
      </c>
      <c r="BI37" s="10" t="n">
        <v>8771</v>
      </c>
      <c r="BJ37" s="5" t="s">
        <v>189</v>
      </c>
      <c r="BK37" s="1" t="s">
        <v>190</v>
      </c>
      <c r="BN37" s="1" t="n">
        <f aca="false">LN(TotalVMT)</f>
        <v>11.5207745799136</v>
      </c>
    </row>
    <row r="38" customFormat="false" ht="12.75" hidden="false" customHeight="false" outlineLevel="0" collapsed="false">
      <c r="A38" s="1" t="s">
        <v>191</v>
      </c>
      <c r="B38" s="1" t="n">
        <v>1768425</v>
      </c>
      <c r="C38" s="1" t="n">
        <v>1368128</v>
      </c>
      <c r="D38" s="1" t="n">
        <v>3137119</v>
      </c>
      <c r="E38" s="6" t="n">
        <v>0.97075273658605</v>
      </c>
      <c r="F38" s="1" t="n">
        <v>1328114</v>
      </c>
      <c r="G38" s="1" t="n">
        <f aca="false">C38-F38</f>
        <v>40014</v>
      </c>
      <c r="H38" s="1" t="n">
        <v>1342668</v>
      </c>
      <c r="I38" s="6" t="n">
        <v>0.989160388122753</v>
      </c>
      <c r="J38" s="1" t="n">
        <f aca="false">I38*H38</f>
        <v>1328114</v>
      </c>
      <c r="K38" s="1" t="n">
        <f aca="false">H38-J38</f>
        <v>14554</v>
      </c>
      <c r="L38" s="7" t="n">
        <v>47.7247339070167</v>
      </c>
      <c r="M38" s="1" t="n">
        <f aca="false">F38</f>
        <v>1328114</v>
      </c>
      <c r="N38" s="1" t="n">
        <f aca="false">G38</f>
        <v>40014</v>
      </c>
      <c r="O38" s="1" t="n">
        <f aca="false">K38</f>
        <v>14554</v>
      </c>
      <c r="P38" s="6" t="n">
        <f aca="false">AE$38</f>
        <v>0.0759782565467173</v>
      </c>
      <c r="Q38" s="1" t="n">
        <f aca="false">M38+0.5*(N38+O38)</f>
        <v>1355398</v>
      </c>
      <c r="R38" s="1" t="n">
        <f aca="false">M38+0.5*N38</f>
        <v>1348121</v>
      </c>
      <c r="S38" s="1" t="n">
        <f aca="false">N38+O38</f>
        <v>54568</v>
      </c>
      <c r="T38" s="6" t="n">
        <f aca="false">Rhoii/RhoOrig</f>
        <v>0.985159344005471</v>
      </c>
      <c r="U38" s="6"/>
      <c r="V38" s="6" t="n">
        <f aca="false">Rhoii/RhoTot</f>
        <v>0.979870119330263</v>
      </c>
      <c r="W38" s="6" t="n">
        <f aca="false">0.5*Rhoij/RhoTot</f>
        <v>0.0147609779562903</v>
      </c>
      <c r="X38" s="6" t="n">
        <f aca="false">0.5*Rhoji/RhoTot</f>
        <v>0.00536890271344653</v>
      </c>
      <c r="Y38" s="6" t="n">
        <f aca="false">Rhoij/RhoOrig</f>
        <v>0.0296813119890574</v>
      </c>
      <c r="Z38" s="6" t="n">
        <f aca="false">Rhoij/RhoCordon</f>
        <v>0.733286908077995</v>
      </c>
      <c r="AA38" s="6" t="n">
        <f aca="false">Rhoji/RhoCordon</f>
        <v>0.266713091922006</v>
      </c>
      <c r="AC38" s="1" t="s">
        <v>192</v>
      </c>
      <c r="AD38" s="1" t="s">
        <v>193</v>
      </c>
      <c r="AE38" s="6" t="n">
        <v>0.0759782565467173</v>
      </c>
      <c r="AF38" s="5" t="n">
        <v>1106356</v>
      </c>
      <c r="AG38" s="5" t="n">
        <v>84059</v>
      </c>
      <c r="AH38" s="5" t="n">
        <v>668391</v>
      </c>
      <c r="AI38" s="5" t="n">
        <v>353906</v>
      </c>
      <c r="AJ38" s="6" t="n">
        <f aca="false">LN(AE$38+1)</f>
        <v>0.0732302538650779</v>
      </c>
      <c r="AK38" s="6" t="n">
        <f aca="false">LN(Density)</f>
        <v>3.86544979404921</v>
      </c>
      <c r="AL38" s="6" t="n">
        <f aca="false">LN(Rhoii)</f>
        <v>14.0992704487077</v>
      </c>
      <c r="AM38" s="6" t="n">
        <f aca="false">LN(Rhoij)</f>
        <v>10.5969846718604</v>
      </c>
      <c r="AN38" s="6" t="n">
        <f aca="false">LN(Rhoji)</f>
        <v>9.58562114890703</v>
      </c>
      <c r="AO38" s="6" t="n">
        <f aca="false">LN(AF38)</f>
        <v>13.9165822899229</v>
      </c>
      <c r="AP38" s="6" t="n">
        <f aca="false">LN(AS38)</f>
        <v>13.6267780951565</v>
      </c>
      <c r="AQ38" s="6" t="n">
        <f aca="false">LN(AS38-AR38)</f>
        <v>13.0227242411742</v>
      </c>
      <c r="AR38" s="11" t="n">
        <v>375426</v>
      </c>
      <c r="AS38" s="12" t="n">
        <v>828008</v>
      </c>
      <c r="AU38" s="10" t="n">
        <v>38489</v>
      </c>
      <c r="AV38" s="10" t="n">
        <v>20104</v>
      </c>
      <c r="AW38" s="10" t="n">
        <v>4883</v>
      </c>
      <c r="AX38" s="10" t="n">
        <v>1008</v>
      </c>
      <c r="AY38" s="10" t="n">
        <v>4475</v>
      </c>
      <c r="AZ38" s="10" t="n">
        <v>4241</v>
      </c>
      <c r="BA38" s="10" t="n">
        <v>1730</v>
      </c>
      <c r="BB38" s="10" t="n">
        <v>3767</v>
      </c>
      <c r="BC38" s="10" t="n">
        <v>18385</v>
      </c>
      <c r="BD38" s="10" t="n">
        <v>2487</v>
      </c>
      <c r="BE38" s="1" t="n">
        <v>157</v>
      </c>
      <c r="BF38" s="10" t="n">
        <v>4758</v>
      </c>
      <c r="BG38" s="10" t="n">
        <v>2520</v>
      </c>
      <c r="BH38" s="10" t="n">
        <v>4145</v>
      </c>
      <c r="BI38" s="10" t="n">
        <v>4318</v>
      </c>
      <c r="BJ38" s="5" t="s">
        <v>192</v>
      </c>
      <c r="BK38" s="1" t="s">
        <v>193</v>
      </c>
      <c r="BN38" s="1" t="n">
        <f aca="false">LN(TotalVMT)</f>
        <v>10.5581277651661</v>
      </c>
    </row>
    <row r="39" customFormat="false" ht="12.75" hidden="false" customHeight="false" outlineLevel="0" collapsed="false">
      <c r="A39" s="1" t="s">
        <v>194</v>
      </c>
      <c r="B39" s="1" t="n">
        <v>1538425</v>
      </c>
      <c r="C39" s="1" t="n">
        <v>1293876</v>
      </c>
      <c r="D39" s="1" t="n">
        <v>2832819</v>
      </c>
      <c r="E39" s="6" t="n">
        <v>0.97883336579394</v>
      </c>
      <c r="F39" s="1" t="n">
        <v>1266489</v>
      </c>
      <c r="G39" s="1" t="n">
        <f aca="false">C39-F39</f>
        <v>27387</v>
      </c>
      <c r="H39" s="1" t="n">
        <v>1315482</v>
      </c>
      <c r="I39" s="6" t="n">
        <v>0.962756616966253</v>
      </c>
      <c r="J39" s="1" t="n">
        <f aca="false">I39*H39</f>
        <v>1266489</v>
      </c>
      <c r="K39" s="1" t="n">
        <f aca="false">H39-J39</f>
        <v>48993</v>
      </c>
      <c r="L39" s="7" t="n">
        <v>32.7134047894337</v>
      </c>
      <c r="M39" s="1" t="n">
        <f aca="false">F39</f>
        <v>1266489</v>
      </c>
      <c r="N39" s="1" t="n">
        <f aca="false">G39</f>
        <v>27387</v>
      </c>
      <c r="O39" s="1" t="n">
        <f aca="false">K39</f>
        <v>48993</v>
      </c>
      <c r="P39" s="6" t="n">
        <f aca="false">AE$39</f>
        <v>0.00529904028492617</v>
      </c>
      <c r="Q39" s="1" t="n">
        <f aca="false">M39+0.5*(N39+O39)</f>
        <v>1304679</v>
      </c>
      <c r="R39" s="1" t="n">
        <f aca="false">M39+0.5*N39</f>
        <v>1280182.5</v>
      </c>
      <c r="S39" s="1" t="n">
        <f aca="false">N39+O39</f>
        <v>76380</v>
      </c>
      <c r="T39" s="6" t="n">
        <f aca="false">Rhoii/RhoOrig</f>
        <v>0.98930347821502</v>
      </c>
      <c r="U39" s="6"/>
      <c r="V39" s="6" t="n">
        <f aca="false">Rhoii/RhoTot</f>
        <v>0.970728432051102</v>
      </c>
      <c r="W39" s="6" t="n">
        <f aca="false">0.5*Rhoij/RhoTot</f>
        <v>0.0104956851455415</v>
      </c>
      <c r="X39" s="6" t="n">
        <f aca="false">0.5*Rhoji/RhoTot</f>
        <v>0.0187758828033562</v>
      </c>
      <c r="Y39" s="6" t="n">
        <f aca="false">Rhoij/RhoOrig</f>
        <v>0.0213930435699598</v>
      </c>
      <c r="Z39" s="6" t="n">
        <f aca="false">Rhoij/RhoCordon</f>
        <v>0.358562450903378</v>
      </c>
      <c r="AA39" s="6" t="n">
        <f aca="false">Rhoji/RhoCordon</f>
        <v>0.641437549096622</v>
      </c>
      <c r="AC39" s="1" t="s">
        <v>195</v>
      </c>
      <c r="AD39" s="1" t="s">
        <v>196</v>
      </c>
      <c r="AE39" s="6" t="n">
        <v>0.00529904028492617</v>
      </c>
      <c r="AF39" s="5" t="n">
        <v>900163</v>
      </c>
      <c r="AG39" s="5" t="n">
        <v>4770</v>
      </c>
      <c r="AH39" s="5" t="n">
        <v>616308</v>
      </c>
      <c r="AI39" s="5" t="n">
        <v>279085</v>
      </c>
      <c r="AJ39" s="6" t="n">
        <f aca="false">LN(AE$39+1)</f>
        <v>0.00528504977338152</v>
      </c>
      <c r="AK39" s="6" t="n">
        <f aca="false">LN(Density)</f>
        <v>3.48778492630246</v>
      </c>
      <c r="AL39" s="6" t="n">
        <f aca="false">LN(Rhoii)</f>
        <v>14.0517590630328</v>
      </c>
      <c r="AM39" s="6" t="n">
        <f aca="false">LN(Rhoij)</f>
        <v>10.2178237272332</v>
      </c>
      <c r="AN39" s="6" t="n">
        <f aca="false">LN(Rhoji)</f>
        <v>10.7994327097449</v>
      </c>
      <c r="AO39" s="6" t="n">
        <f aca="false">LN(AF39)</f>
        <v>13.7103311370189</v>
      </c>
      <c r="AP39" s="6" t="n">
        <f aca="false">LN(AS39)</f>
        <v>13.6964860019403</v>
      </c>
      <c r="AQ39" s="6" t="n">
        <f aca="false">LN(AS39-AR39)</f>
        <v>13.2569537091549</v>
      </c>
      <c r="AR39" s="8" t="n">
        <v>315752</v>
      </c>
      <c r="AS39" s="9" t="n">
        <v>887786</v>
      </c>
      <c r="AU39" s="10" t="n">
        <v>30034</v>
      </c>
      <c r="AV39" s="10" t="n">
        <v>14393</v>
      </c>
      <c r="AW39" s="10" t="n">
        <v>2008</v>
      </c>
      <c r="AX39" s="10" t="n">
        <v>1501</v>
      </c>
      <c r="AY39" s="10" t="n">
        <v>2714</v>
      </c>
      <c r="AZ39" s="10" t="n">
        <v>3546</v>
      </c>
      <c r="BA39" s="10" t="n">
        <v>1075</v>
      </c>
      <c r="BB39" s="10" t="n">
        <v>3549</v>
      </c>
      <c r="BC39" s="10" t="n">
        <v>15641</v>
      </c>
      <c r="BD39" s="10" t="n">
        <v>1980</v>
      </c>
      <c r="BE39" s="1" t="n">
        <v>727</v>
      </c>
      <c r="BF39" s="10" t="n">
        <v>2569</v>
      </c>
      <c r="BG39" s="10" t="n">
        <v>1828</v>
      </c>
      <c r="BH39" s="10" t="n">
        <v>4673</v>
      </c>
      <c r="BI39" s="10" t="n">
        <v>3864</v>
      </c>
      <c r="BJ39" s="5" t="s">
        <v>195</v>
      </c>
      <c r="BK39" s="1" t="s">
        <v>196</v>
      </c>
      <c r="BN39" s="1" t="n">
        <f aca="false">LN(TotalVMT)</f>
        <v>10.3100853522402</v>
      </c>
    </row>
    <row r="40" customFormat="false" ht="12.75" hidden="false" customHeight="false" outlineLevel="0" collapsed="false">
      <c r="A40" s="1" t="s">
        <v>197</v>
      </c>
      <c r="B40" s="1" t="n">
        <v>6514916</v>
      </c>
      <c r="C40" s="1" t="n">
        <v>5337143</v>
      </c>
      <c r="D40" s="1" t="n">
        <v>11853450</v>
      </c>
      <c r="E40" s="6" t="n">
        <v>0.957240606069577</v>
      </c>
      <c r="F40" s="1" t="n">
        <v>5108930</v>
      </c>
      <c r="G40" s="1" t="n">
        <f aca="false">C40-F40</f>
        <v>228213</v>
      </c>
      <c r="H40" s="1" t="n">
        <v>5289696</v>
      </c>
      <c r="I40" s="6" t="n">
        <v>0.965826769629105</v>
      </c>
      <c r="J40" s="1" t="n">
        <f aca="false">I40*H40</f>
        <v>5108930</v>
      </c>
      <c r="K40" s="1" t="n">
        <f aca="false">H40-J40</f>
        <v>180766</v>
      </c>
      <c r="L40" s="7" t="n">
        <v>269.34051762606</v>
      </c>
      <c r="M40" s="1" t="n">
        <f aca="false">F40</f>
        <v>5108930</v>
      </c>
      <c r="N40" s="1" t="n">
        <f aca="false">G40</f>
        <v>228213</v>
      </c>
      <c r="O40" s="1" t="n">
        <f aca="false">K40</f>
        <v>180766</v>
      </c>
      <c r="P40" s="6" t="n">
        <f aca="false">AE$40</f>
        <v>0.116977230877519</v>
      </c>
      <c r="Q40" s="1" t="n">
        <f aca="false">M40+0.5*(N40+O40)</f>
        <v>5313419.5</v>
      </c>
      <c r="R40" s="1" t="n">
        <f aca="false">M40+0.5*N40</f>
        <v>5223036.5</v>
      </c>
      <c r="S40" s="1" t="n">
        <f aca="false">N40+O40</f>
        <v>408979</v>
      </c>
      <c r="T40" s="6" t="n">
        <f aca="false">Rhoii/RhoOrig</f>
        <v>0.978153225618852</v>
      </c>
      <c r="U40" s="6"/>
      <c r="V40" s="6" t="n">
        <f aca="false">Rhoii/RhoTot</f>
        <v>0.961514519980965</v>
      </c>
      <c r="W40" s="6" t="n">
        <f aca="false">0.5*Rhoij/RhoTot</f>
        <v>0.0214751536181173</v>
      </c>
      <c r="X40" s="6" t="n">
        <f aca="false">0.5*Rhoji/RhoTot</f>
        <v>0.0170103264009175</v>
      </c>
      <c r="Y40" s="6" t="n">
        <f aca="false">Rhoij/RhoOrig</f>
        <v>0.0436935487622957</v>
      </c>
      <c r="Z40" s="6" t="n">
        <f aca="false">Rhoij/RhoCordon</f>
        <v>0.558006645818</v>
      </c>
      <c r="AA40" s="6" t="n">
        <f aca="false">Rhoji/RhoCordon</f>
        <v>0.441993354182</v>
      </c>
      <c r="AC40" s="1" t="s">
        <v>198</v>
      </c>
      <c r="AD40" s="1" t="s">
        <v>199</v>
      </c>
      <c r="AE40" s="6" t="n">
        <v>0.116977230877519</v>
      </c>
      <c r="AF40" s="5" t="n">
        <v>3182380</v>
      </c>
      <c r="AG40" s="5" t="n">
        <v>372266</v>
      </c>
      <c r="AH40" s="5" t="n">
        <v>1869845</v>
      </c>
      <c r="AI40" s="5" t="n">
        <v>940269</v>
      </c>
      <c r="AJ40" s="6" t="n">
        <f aca="false">LN(AE$40+1)</f>
        <v>0.110626135705194</v>
      </c>
      <c r="AK40" s="6" t="n">
        <f aca="false">LN(Density)</f>
        <v>5.59597644385141</v>
      </c>
      <c r="AL40" s="6" t="n">
        <f aca="false">LN(Rhoii)</f>
        <v>15.4465005469077</v>
      </c>
      <c r="AM40" s="6" t="n">
        <f aca="false">LN(Rhoij)</f>
        <v>12.3380346823598</v>
      </c>
      <c r="AN40" s="6" t="n">
        <f aca="false">LN(Rhoji)</f>
        <v>12.1049586561587</v>
      </c>
      <c r="AO40" s="6" t="n">
        <f aca="false">LN(AF40)</f>
        <v>14.973139902497</v>
      </c>
      <c r="AP40" s="6" t="n">
        <f aca="false">LN(AS40)</f>
        <v>14.963971180901</v>
      </c>
      <c r="AQ40" s="6" t="n">
        <f aca="false">LN(AS40-AR40)</f>
        <v>14.351992817306</v>
      </c>
      <c r="AR40" s="8" t="n">
        <v>1443354</v>
      </c>
      <c r="AS40" s="9" t="n">
        <v>3153335</v>
      </c>
      <c r="AU40" s="10" t="n">
        <v>94520</v>
      </c>
      <c r="AV40" s="10" t="n">
        <v>54142</v>
      </c>
      <c r="AW40" s="10" t="n">
        <v>6001</v>
      </c>
      <c r="AX40" s="10" t="n">
        <v>6380</v>
      </c>
      <c r="AY40" s="10" t="n">
        <v>11385</v>
      </c>
      <c r="AZ40" s="10" t="n">
        <v>15334</v>
      </c>
      <c r="BA40" s="10" t="n">
        <v>5511</v>
      </c>
      <c r="BB40" s="10" t="n">
        <v>9531</v>
      </c>
      <c r="BC40" s="10" t="n">
        <v>40378</v>
      </c>
      <c r="BD40" s="10" t="n">
        <v>6358</v>
      </c>
      <c r="BE40" s="10" t="n">
        <v>2659</v>
      </c>
      <c r="BF40" s="10" t="n">
        <v>5835</v>
      </c>
      <c r="BG40" s="10" t="n">
        <v>8008</v>
      </c>
      <c r="BH40" s="10" t="n">
        <v>9409</v>
      </c>
      <c r="BI40" s="10" t="n">
        <v>8109</v>
      </c>
      <c r="BJ40" s="5" t="s">
        <v>198</v>
      </c>
      <c r="BK40" s="1" t="s">
        <v>199</v>
      </c>
      <c r="BN40" s="1" t="n">
        <f aca="false">LN(TotalVMT)</f>
        <v>11.4565667313008</v>
      </c>
    </row>
    <row r="41" customFormat="false" ht="12.75" hidden="false" customHeight="false" outlineLevel="0" collapsed="false">
      <c r="A41" s="1" t="s">
        <v>200</v>
      </c>
      <c r="B41" s="1" t="n">
        <v>523298</v>
      </c>
      <c r="C41" s="1" t="n">
        <v>478945</v>
      </c>
      <c r="D41" s="1" t="n">
        <v>1002334</v>
      </c>
      <c r="E41" s="6" t="n">
        <v>0.881155456263245</v>
      </c>
      <c r="F41" s="1" t="n">
        <v>422025</v>
      </c>
      <c r="G41" s="1" t="n">
        <f aca="false">C41-F41</f>
        <v>56920</v>
      </c>
      <c r="H41" s="1" t="n">
        <v>456621</v>
      </c>
      <c r="I41" s="6" t="n">
        <v>0.924234759242348</v>
      </c>
      <c r="J41" s="1" t="n">
        <f aca="false">I41*H41</f>
        <v>422025</v>
      </c>
      <c r="K41" s="1" t="n">
        <f aca="false">H41-J41</f>
        <v>34596</v>
      </c>
      <c r="L41" s="7" t="n">
        <v>947.171291866029</v>
      </c>
      <c r="M41" s="1" t="n">
        <f aca="false">F41</f>
        <v>422025</v>
      </c>
      <c r="N41" s="1" t="n">
        <f aca="false">G41</f>
        <v>56920</v>
      </c>
      <c r="O41" s="1" t="n">
        <f aca="false">K41</f>
        <v>34596</v>
      </c>
      <c r="P41" s="6" t="n">
        <f aca="false">AE$41</f>
        <v>0.0373661178404778</v>
      </c>
      <c r="Q41" s="1" t="n">
        <f aca="false">M41+0.5*(N41+O41)</f>
        <v>467783</v>
      </c>
      <c r="R41" s="1" t="n">
        <f aca="false">M41+0.5*N41</f>
        <v>450485</v>
      </c>
      <c r="S41" s="1" t="n">
        <f aca="false">N41+O41</f>
        <v>91516</v>
      </c>
      <c r="T41" s="6" t="n">
        <f aca="false">Rhoii/RhoOrig</f>
        <v>0.93682364562638</v>
      </c>
      <c r="U41" s="6"/>
      <c r="V41" s="6" t="n">
        <f aca="false">Rhoii/RhoTot</f>
        <v>0.902181139545473</v>
      </c>
      <c r="W41" s="6" t="n">
        <f aca="false">0.5*Rhoij/RhoTot</f>
        <v>0.0608401758935233</v>
      </c>
      <c r="X41" s="6" t="n">
        <f aca="false">0.5*Rhoji/RhoTot</f>
        <v>0.0369786845610037</v>
      </c>
      <c r="Y41" s="6" t="n">
        <f aca="false">Rhoij/RhoOrig</f>
        <v>0.126352708747239</v>
      </c>
      <c r="Z41" s="6" t="n">
        <f aca="false">Rhoij/RhoCordon</f>
        <v>0.621967743345426</v>
      </c>
      <c r="AA41" s="6" t="n">
        <f aca="false">Rhoji/RhoCordon</f>
        <v>0.378032256654574</v>
      </c>
      <c r="AC41" s="1" t="s">
        <v>201</v>
      </c>
      <c r="AD41" s="1" t="s">
        <v>202</v>
      </c>
      <c r="AE41" s="6" t="n">
        <v>0.0373661178404778</v>
      </c>
      <c r="AF41" s="5" t="n">
        <v>248166</v>
      </c>
      <c r="AG41" s="5" t="n">
        <v>9273</v>
      </c>
      <c r="AH41" s="5" t="n">
        <v>174520</v>
      </c>
      <c r="AI41" s="5" t="n">
        <v>64373</v>
      </c>
      <c r="AJ41" s="6" t="n">
        <f aca="false">LN(AE$41+1)</f>
        <v>0.0366849217506236</v>
      </c>
      <c r="AK41" s="6" t="n">
        <f aca="false">LN(Density)</f>
        <v>6.85347995525197</v>
      </c>
      <c r="AL41" s="6" t="n">
        <f aca="false">LN(Rhoii)</f>
        <v>12.9528198329696</v>
      </c>
      <c r="AM41" s="6" t="n">
        <f aca="false">LN(Rhoij)</f>
        <v>10.9494020522038</v>
      </c>
      <c r="AN41" s="6" t="n">
        <f aca="false">LN(Rhoji)</f>
        <v>10.4514933474264</v>
      </c>
      <c r="AO41" s="6" t="n">
        <f aca="false">LN(AF41)</f>
        <v>12.4218531560678</v>
      </c>
      <c r="AP41" s="6" t="n">
        <f aca="false">LN(AS41)</f>
        <v>12.5781291838754</v>
      </c>
      <c r="AQ41" s="6" t="n">
        <f aca="false">LN(AS41-AR41)</f>
        <v>11.4015468769868</v>
      </c>
      <c r="AR41" s="8" t="n">
        <v>200683</v>
      </c>
      <c r="AS41" s="9" t="n">
        <v>290143</v>
      </c>
      <c r="AU41" s="10" t="n">
        <v>6896</v>
      </c>
      <c r="AV41" s="10" t="n">
        <v>5998</v>
      </c>
      <c r="AW41" s="1" t="n">
        <v>833</v>
      </c>
      <c r="AX41" s="1" t="n">
        <v>420</v>
      </c>
      <c r="AY41" s="1" t="n">
        <v>699</v>
      </c>
      <c r="AZ41" s="10" t="n">
        <v>1823</v>
      </c>
      <c r="BA41" s="1" t="n">
        <v>666</v>
      </c>
      <c r="BB41" s="10" t="n">
        <v>1557</v>
      </c>
      <c r="BC41" s="1" t="n">
        <v>898</v>
      </c>
      <c r="BD41" s="1" t="n">
        <v>24</v>
      </c>
      <c r="BE41" s="1" t="n">
        <v>51</v>
      </c>
      <c r="BF41" s="1" t="n">
        <v>169</v>
      </c>
      <c r="BG41" s="1" t="n">
        <v>155</v>
      </c>
      <c r="BH41" s="1" t="n">
        <v>204</v>
      </c>
      <c r="BI41" s="1" t="n">
        <v>295</v>
      </c>
      <c r="BJ41" s="5" t="s">
        <v>201</v>
      </c>
      <c r="BK41" s="1" t="s">
        <v>202</v>
      </c>
      <c r="BN41" s="1" t="n">
        <f aca="false">LN(TotalVMT)</f>
        <v>8.83869681234353</v>
      </c>
    </row>
    <row r="42" customFormat="false" ht="12.75" hidden="false" customHeight="false" outlineLevel="0" collapsed="false">
      <c r="A42" s="1" t="s">
        <v>203</v>
      </c>
      <c r="B42" s="1" t="n">
        <v>368679</v>
      </c>
      <c r="C42" s="1" t="n">
        <v>324432</v>
      </c>
      <c r="D42" s="1" t="n">
        <v>693206</v>
      </c>
      <c r="E42" s="6" t="n">
        <v>0.981765054002071</v>
      </c>
      <c r="F42" s="1" t="n">
        <v>318516</v>
      </c>
      <c r="G42" s="1" t="n">
        <f aca="false">C42-F42</f>
        <v>5916</v>
      </c>
      <c r="H42" s="1" t="n">
        <v>325420</v>
      </c>
      <c r="I42" s="6" t="n">
        <v>0.978784340237232</v>
      </c>
      <c r="J42" s="1" t="n">
        <f aca="false">I42*H42</f>
        <v>318516</v>
      </c>
      <c r="K42" s="1" t="n">
        <f aca="false">H42-J42</f>
        <v>6904</v>
      </c>
      <c r="L42" s="7" t="n">
        <v>121.991531334064</v>
      </c>
      <c r="M42" s="1" t="n">
        <f aca="false">F42</f>
        <v>318516</v>
      </c>
      <c r="N42" s="1" t="n">
        <f aca="false">G42</f>
        <v>5916</v>
      </c>
      <c r="O42" s="1" t="n">
        <f aca="false">K42</f>
        <v>6904</v>
      </c>
      <c r="P42" s="6" t="n">
        <f aca="false">AE$42</f>
        <v>0</v>
      </c>
      <c r="Q42" s="1" t="n">
        <f aca="false">M42+0.5*(N42+O42)</f>
        <v>324926</v>
      </c>
      <c r="R42" s="1" t="n">
        <f aca="false">M42+0.5*N42</f>
        <v>321474</v>
      </c>
      <c r="S42" s="1" t="n">
        <f aca="false">N42+O42</f>
        <v>12820</v>
      </c>
      <c r="T42" s="6" t="n">
        <f aca="false">Rhoii/RhoOrig</f>
        <v>0.990798633793091</v>
      </c>
      <c r="U42" s="6"/>
      <c r="V42" s="6" t="n">
        <f aca="false">Rhoii/RhoTot</f>
        <v>0.980272431261272</v>
      </c>
      <c r="W42" s="6" t="n">
        <f aca="false">0.5*Rhoij/RhoTot</f>
        <v>0.0091036112838</v>
      </c>
      <c r="X42" s="6" t="n">
        <f aca="false">0.5*Rhoji/RhoTot</f>
        <v>0.0106239574549282</v>
      </c>
      <c r="Y42" s="6" t="n">
        <f aca="false">Rhoij/RhoOrig</f>
        <v>0.0184027324138188</v>
      </c>
      <c r="Z42" s="6" t="n">
        <f aca="false">Rhoij/RhoCordon</f>
        <v>0.461466458658346</v>
      </c>
      <c r="AA42" s="6" t="n">
        <f aca="false">Rhoji/RhoCordon</f>
        <v>0.538533541341654</v>
      </c>
      <c r="AC42" s="1" t="s">
        <v>204</v>
      </c>
      <c r="AD42" s="1" t="s">
        <v>205</v>
      </c>
      <c r="AE42" s="6" t="n">
        <v>0</v>
      </c>
      <c r="AF42" s="5" t="n">
        <v>822072</v>
      </c>
      <c r="AG42" s="5" t="n">
        <v>0</v>
      </c>
      <c r="AH42" s="5" t="n">
        <v>452324</v>
      </c>
      <c r="AI42" s="5" t="n">
        <v>369748</v>
      </c>
      <c r="AJ42" s="6" t="n">
        <f aca="false">LN(AE$42+1)</f>
        <v>0</v>
      </c>
      <c r="AK42" s="6" t="n">
        <f aca="false">LN(Density)</f>
        <v>4.80395162702935</v>
      </c>
      <c r="AL42" s="6" t="n">
        <f aca="false">LN(Rhoii)</f>
        <v>12.6714279882114</v>
      </c>
      <c r="AM42" s="6" t="n">
        <f aca="false">LN(Rhoij)</f>
        <v>8.68541582383069</v>
      </c>
      <c r="AN42" s="6" t="n">
        <f aca="false">LN(Rhoji)</f>
        <v>8.83985623276326</v>
      </c>
      <c r="AO42" s="6" t="n">
        <f aca="false">LN(AF42)</f>
        <v>13.6195832614433</v>
      </c>
      <c r="AP42" s="6" t="n">
        <f aca="false">LN(AS42)</f>
        <v>13.4126136492072</v>
      </c>
      <c r="AQ42" s="6" t="n">
        <f aca="false">LN(AS42-AR42)</f>
        <v>12.5704414159339</v>
      </c>
      <c r="AR42" s="11" t="n">
        <v>380460</v>
      </c>
      <c r="AS42" s="12" t="n">
        <v>668381</v>
      </c>
      <c r="AU42" s="10" t="n">
        <v>38724</v>
      </c>
      <c r="AV42" s="10" t="n">
        <v>14685</v>
      </c>
      <c r="AW42" s="1" t="n">
        <v>848</v>
      </c>
      <c r="AX42" s="10" t="n">
        <v>1701</v>
      </c>
      <c r="AY42" s="10" t="n">
        <v>3818</v>
      </c>
      <c r="AZ42" s="10" t="n">
        <v>4862</v>
      </c>
      <c r="BA42" s="1" t="n">
        <v>587</v>
      </c>
      <c r="BB42" s="10" t="n">
        <v>2869</v>
      </c>
      <c r="BC42" s="10" t="n">
        <v>24039</v>
      </c>
      <c r="BD42" s="10" t="n">
        <v>2210</v>
      </c>
      <c r="BE42" s="1" t="n">
        <v>625</v>
      </c>
      <c r="BF42" s="10" t="n">
        <v>4792</v>
      </c>
      <c r="BG42" s="10" t="n">
        <v>5604</v>
      </c>
      <c r="BH42" s="10" t="n">
        <v>3990</v>
      </c>
      <c r="BI42" s="10" t="n">
        <v>6818</v>
      </c>
      <c r="BJ42" s="5" t="s">
        <v>204</v>
      </c>
      <c r="BK42" s="1" t="s">
        <v>205</v>
      </c>
      <c r="BN42" s="1" t="n">
        <f aca="false">LN(TotalVMT)</f>
        <v>10.56421484184</v>
      </c>
    </row>
    <row r="43" customFormat="false" ht="12.75" hidden="false" customHeight="false" outlineLevel="0" collapsed="false">
      <c r="A43" s="1" t="s">
        <v>206</v>
      </c>
      <c r="B43" s="1" t="n">
        <v>1849878</v>
      </c>
      <c r="C43" s="1" t="n">
        <v>1628991</v>
      </c>
      <c r="D43" s="1" t="n">
        <v>3480936</v>
      </c>
      <c r="E43" s="6" t="n">
        <v>0.959843240386227</v>
      </c>
      <c r="F43" s="1" t="n">
        <v>1563576</v>
      </c>
      <c r="G43" s="1" t="n">
        <f aca="false">C43-F43</f>
        <v>65415</v>
      </c>
      <c r="H43" s="1" t="n">
        <v>1611230</v>
      </c>
      <c r="I43" s="6" t="n">
        <v>0.970423837689219</v>
      </c>
      <c r="J43" s="1" t="n">
        <f aca="false">I43*H43</f>
        <v>1563576</v>
      </c>
      <c r="K43" s="1" t="n">
        <f aca="false">H43-J43</f>
        <v>47654</v>
      </c>
      <c r="L43" s="7" t="n">
        <v>9.60544414872592</v>
      </c>
      <c r="M43" s="1" t="n">
        <f aca="false">F43</f>
        <v>1563576</v>
      </c>
      <c r="N43" s="1" t="n">
        <f aca="false">G43</f>
        <v>65415</v>
      </c>
      <c r="O43" s="1" t="n">
        <f aca="false">K43</f>
        <v>47654</v>
      </c>
      <c r="P43" s="6" t="n">
        <f aca="false">AE$43</f>
        <v>0</v>
      </c>
      <c r="Q43" s="1" t="n">
        <f aca="false">M43+0.5*(N43+O43)</f>
        <v>1620110.5</v>
      </c>
      <c r="R43" s="1" t="n">
        <f aca="false">M43+0.5*N43</f>
        <v>1596283.5</v>
      </c>
      <c r="S43" s="1" t="n">
        <f aca="false">N43+O43</f>
        <v>113069</v>
      </c>
      <c r="T43" s="6" t="n">
        <f aca="false">Rhoii/RhoOrig</f>
        <v>0.979510218579594</v>
      </c>
      <c r="U43" s="6"/>
      <c r="V43" s="6" t="n">
        <f aca="false">Rhoii/RhoTot</f>
        <v>0.965104540708797</v>
      </c>
      <c r="W43" s="6" t="n">
        <f aca="false">0.5*Rhoij/RhoTot</f>
        <v>0.0201884377639673</v>
      </c>
      <c r="X43" s="6" t="n">
        <f aca="false">0.5*Rhoji/RhoTot</f>
        <v>0.0147070215272353</v>
      </c>
      <c r="Y43" s="6" t="n">
        <f aca="false">Rhoij/RhoOrig</f>
        <v>0.0409795628408112</v>
      </c>
      <c r="Z43" s="6" t="n">
        <f aca="false">Rhoij/RhoCordon</f>
        <v>0.578540537194103</v>
      </c>
      <c r="AA43" s="6" t="n">
        <f aca="false">Rhoji/RhoCordon</f>
        <v>0.421459462805897</v>
      </c>
      <c r="AC43" s="1" t="s">
        <v>207</v>
      </c>
      <c r="AD43" s="1" t="s">
        <v>208</v>
      </c>
      <c r="AE43" s="6" t="n">
        <v>0</v>
      </c>
      <c r="AF43" s="5" t="n">
        <v>199865</v>
      </c>
      <c r="AG43" s="5" t="n">
        <v>0</v>
      </c>
      <c r="AH43" s="5" t="n">
        <v>123080</v>
      </c>
      <c r="AI43" s="5" t="n">
        <v>76785</v>
      </c>
      <c r="AJ43" s="6" t="n">
        <f aca="false">LN(AE$43+1)</f>
        <v>0</v>
      </c>
      <c r="AK43" s="6" t="n">
        <f aca="false">LN(Density)</f>
        <v>2.26233003655964</v>
      </c>
      <c r="AL43" s="6" t="n">
        <f aca="false">LN(Rhoii)</f>
        <v>14.262486063589</v>
      </c>
      <c r="AM43" s="6" t="n">
        <f aca="false">LN(Rhoij)</f>
        <v>11.088506868945</v>
      </c>
      <c r="AN43" s="6" t="n">
        <f aca="false">LN(Rhoji)</f>
        <v>10.7717218509946</v>
      </c>
      <c r="AO43" s="6" t="n">
        <f aca="false">LN(AF43)</f>
        <v>12.2053974176151</v>
      </c>
      <c r="AP43" s="6" t="n">
        <f aca="false">LN(AS43)</f>
        <v>12.5626380834733</v>
      </c>
      <c r="AQ43" s="6" t="n">
        <f aca="false">LN(AS43-AR43)</f>
        <v>11.4960335973</v>
      </c>
      <c r="AR43" s="8" t="n">
        <v>187358</v>
      </c>
      <c r="AS43" s="9" t="n">
        <v>285683</v>
      </c>
      <c r="AU43" s="10" t="n">
        <v>7669</v>
      </c>
      <c r="AV43" s="10" t="n">
        <v>1783</v>
      </c>
      <c r="AW43" s="1" t="n">
        <v>202</v>
      </c>
      <c r="AX43" s="1" t="n">
        <v>196</v>
      </c>
      <c r="AY43" s="1" t="n">
        <v>577</v>
      </c>
      <c r="AZ43" s="1" t="n">
        <v>488</v>
      </c>
      <c r="BA43" s="1" t="n">
        <v>20</v>
      </c>
      <c r="BB43" s="1" t="n">
        <v>300</v>
      </c>
      <c r="BC43" s="10" t="n">
        <v>5886</v>
      </c>
      <c r="BD43" s="1" t="n">
        <v>535</v>
      </c>
      <c r="BE43" s="1" t="n">
        <v>137</v>
      </c>
      <c r="BF43" s="10" t="n">
        <v>1063</v>
      </c>
      <c r="BG43" s="1" t="n">
        <v>952</v>
      </c>
      <c r="BH43" s="10" t="n">
        <v>1562</v>
      </c>
      <c r="BI43" s="10" t="n">
        <v>1637</v>
      </c>
      <c r="BJ43" s="5" t="s">
        <v>207</v>
      </c>
      <c r="BK43" s="1" t="s">
        <v>208</v>
      </c>
      <c r="BN43" s="1" t="n">
        <f aca="false">LN(TotalVMT)</f>
        <v>8.94494150776486</v>
      </c>
    </row>
    <row r="44" customFormat="false" ht="12.75" hidden="false" customHeight="false" outlineLevel="0" collapsed="false">
      <c r="A44" s="1" t="s">
        <v>209</v>
      </c>
      <c r="B44" s="1" t="n">
        <v>2619519</v>
      </c>
      <c r="C44" s="1" t="n">
        <v>2241495</v>
      </c>
      <c r="D44" s="1" t="n">
        <v>4861437</v>
      </c>
      <c r="E44" s="6" t="n">
        <v>0.9670019339771</v>
      </c>
      <c r="F44" s="1" t="n">
        <v>2167530</v>
      </c>
      <c r="G44" s="1" t="n">
        <f aca="false">C44-F44</f>
        <v>73965</v>
      </c>
      <c r="H44" s="1" t="n">
        <v>2271718</v>
      </c>
      <c r="I44" s="6" t="n">
        <v>0.954136913120379</v>
      </c>
      <c r="J44" s="1" t="n">
        <f aca="false">I44*H44</f>
        <v>2167530</v>
      </c>
      <c r="K44" s="1" t="n">
        <f aca="false">H44-J44</f>
        <v>104188</v>
      </c>
      <c r="L44" s="7" t="n">
        <v>127.512154294032</v>
      </c>
      <c r="M44" s="1" t="n">
        <f aca="false">F44</f>
        <v>2167530</v>
      </c>
      <c r="N44" s="1" t="n">
        <f aca="false">G44</f>
        <v>73965</v>
      </c>
      <c r="O44" s="1" t="n">
        <f aca="false">K44</f>
        <v>104188</v>
      </c>
      <c r="P44" s="6" t="n">
        <f aca="false">AE$44</f>
        <v>5.80051647196015E-005</v>
      </c>
      <c r="Q44" s="1" t="n">
        <f aca="false">M44+0.5*(N44+O44)</f>
        <v>2256606.5</v>
      </c>
      <c r="R44" s="1" t="n">
        <f aca="false">M44+0.5*N44</f>
        <v>2204512.5</v>
      </c>
      <c r="S44" s="1" t="n">
        <f aca="false">N44+O44</f>
        <v>178153</v>
      </c>
      <c r="T44" s="6" t="n">
        <f aca="false">Rhoii/RhoOrig</f>
        <v>0.983224182217157</v>
      </c>
      <c r="U44" s="6"/>
      <c r="V44" s="6" t="n">
        <f aca="false">Rhoii/RhoTot</f>
        <v>0.960526347859053</v>
      </c>
      <c r="W44" s="6" t="n">
        <f aca="false">0.5*Rhoij/RhoTot</f>
        <v>0.0163885462529688</v>
      </c>
      <c r="X44" s="6" t="n">
        <f aca="false">0.5*Rhoji/RhoTot</f>
        <v>0.0230851058879783</v>
      </c>
      <c r="Y44" s="6" t="n">
        <f aca="false">Rhoij/RhoOrig</f>
        <v>0.0335516355656863</v>
      </c>
      <c r="Z44" s="6" t="n">
        <f aca="false">Rhoij/RhoCordon</f>
        <v>0.415176842377058</v>
      </c>
      <c r="AA44" s="6" t="n">
        <f aca="false">Rhoji/RhoCordon</f>
        <v>0.584823157622942</v>
      </c>
      <c r="AC44" s="1" t="s">
        <v>210</v>
      </c>
      <c r="AD44" s="1" t="s">
        <v>211</v>
      </c>
      <c r="AE44" s="6" t="n">
        <v>5.80051647196015E-005</v>
      </c>
      <c r="AF44" s="5" t="n">
        <v>1327468</v>
      </c>
      <c r="AG44" s="5" t="n">
        <v>77</v>
      </c>
      <c r="AH44" s="5" t="n">
        <v>810176</v>
      </c>
      <c r="AI44" s="5" t="n">
        <v>517215</v>
      </c>
      <c r="AJ44" s="6" t="n">
        <f aca="false">LN(AE$44+1)</f>
        <v>5.80034824851392E-005</v>
      </c>
      <c r="AK44" s="6" t="n">
        <f aca="false">LN(Density)</f>
        <v>4.84821168785141</v>
      </c>
      <c r="AL44" s="6" t="n">
        <f aca="false">LN(Rhoii)</f>
        <v>14.5890988283715</v>
      </c>
      <c r="AM44" s="6" t="n">
        <f aca="false">LN(Rhoij)</f>
        <v>11.2113472873263</v>
      </c>
      <c r="AN44" s="6" t="n">
        <f aca="false">LN(Rhoji)</f>
        <v>11.5539522385218</v>
      </c>
      <c r="AO44" s="6" t="n">
        <f aca="false">LN(AF44)</f>
        <v>14.0987839263463</v>
      </c>
      <c r="AP44" s="6" t="n">
        <f aca="false">LN(AS44)</f>
        <v>14.0221327806288</v>
      </c>
      <c r="AQ44" s="6" t="n">
        <f aca="false">LN(AS44-AR44)</f>
        <v>13.3376489353997</v>
      </c>
      <c r="AR44" s="8" t="n">
        <v>609410</v>
      </c>
      <c r="AS44" s="9" t="n">
        <v>1229518</v>
      </c>
      <c r="AU44" s="10" t="n">
        <v>56214</v>
      </c>
      <c r="AV44" s="10" t="n">
        <v>30963</v>
      </c>
      <c r="AW44" s="10" t="n">
        <v>3582</v>
      </c>
      <c r="AX44" s="10" t="n">
        <v>2281</v>
      </c>
      <c r="AY44" s="10" t="n">
        <v>7007</v>
      </c>
      <c r="AZ44" s="10" t="n">
        <v>9446</v>
      </c>
      <c r="BA44" s="10" t="n">
        <v>1173</v>
      </c>
      <c r="BB44" s="10" t="n">
        <v>7474</v>
      </c>
      <c r="BC44" s="10" t="n">
        <v>25251</v>
      </c>
      <c r="BD44" s="10" t="n">
        <v>1713</v>
      </c>
      <c r="BE44" s="10" t="n">
        <v>2722</v>
      </c>
      <c r="BF44" s="10" t="n">
        <v>3328</v>
      </c>
      <c r="BG44" s="10" t="n">
        <v>5236</v>
      </c>
      <c r="BH44" s="10" t="n">
        <v>4594</v>
      </c>
      <c r="BI44" s="10" t="n">
        <v>7658</v>
      </c>
      <c r="BJ44" s="5" t="s">
        <v>210</v>
      </c>
      <c r="BK44" s="1" t="s">
        <v>211</v>
      </c>
      <c r="BN44" s="1" t="n">
        <f aca="false">LN(TotalVMT)</f>
        <v>10.9369211151792</v>
      </c>
    </row>
    <row r="45" customFormat="false" ht="12.75" hidden="false" customHeight="false" outlineLevel="0" collapsed="false">
      <c r="A45" s="1" t="s">
        <v>212</v>
      </c>
      <c r="B45" s="1" t="n">
        <v>9237172</v>
      </c>
      <c r="C45" s="1" t="n">
        <v>7519296</v>
      </c>
      <c r="D45" s="1" t="n">
        <v>16763610</v>
      </c>
      <c r="E45" s="6" t="n">
        <v>0.992008959349386</v>
      </c>
      <c r="F45" s="1" t="n">
        <v>7459209</v>
      </c>
      <c r="G45" s="1" t="n">
        <f aca="false">C45-F45</f>
        <v>60087</v>
      </c>
      <c r="H45" s="1" t="n">
        <v>7527751</v>
      </c>
      <c r="I45" s="6" t="n">
        <v>0.990894757278768</v>
      </c>
      <c r="J45" s="1" t="n">
        <f aca="false">I45*H45</f>
        <v>7459209</v>
      </c>
      <c r="K45" s="1" t="n">
        <f aca="false">H45-J45</f>
        <v>68542</v>
      </c>
      <c r="L45" s="7" t="n">
        <v>71.4890803851646</v>
      </c>
      <c r="M45" s="1" t="n">
        <f aca="false">F45</f>
        <v>7459209</v>
      </c>
      <c r="N45" s="1" t="n">
        <f aca="false">G45</f>
        <v>60087</v>
      </c>
      <c r="O45" s="1" t="n">
        <f aca="false">K45</f>
        <v>68542</v>
      </c>
      <c r="P45" s="6" t="n">
        <f aca="false">AE$45</f>
        <v>0.0247474685546935</v>
      </c>
      <c r="Q45" s="1" t="n">
        <f aca="false">M45+0.5*(N45+O45)</f>
        <v>7523523.5</v>
      </c>
      <c r="R45" s="1" t="n">
        <f aca="false">M45+0.5*N45</f>
        <v>7489252.5</v>
      </c>
      <c r="S45" s="1" t="n">
        <f aca="false">N45+O45</f>
        <v>128629</v>
      </c>
      <c r="T45" s="6" t="n">
        <f aca="false">Rhoii/RhoOrig</f>
        <v>0.995988451450929</v>
      </c>
      <c r="U45" s="6"/>
      <c r="V45" s="6" t="n">
        <f aca="false">Rhoii/RhoTot</f>
        <v>0.991451545276625</v>
      </c>
      <c r="W45" s="6" t="n">
        <f aca="false">0.5*Rhoij/RhoTot</f>
        <v>0.00399327522536482</v>
      </c>
      <c r="X45" s="6" t="n">
        <f aca="false">0.5*Rhoji/RhoTot</f>
        <v>0.00455517949801047</v>
      </c>
      <c r="Y45" s="6" t="n">
        <f aca="false">Rhoij/RhoOrig</f>
        <v>0.00802309709814164</v>
      </c>
      <c r="Z45" s="6" t="n">
        <f aca="false">Rhoij/RhoCordon</f>
        <v>0.46713416103678</v>
      </c>
      <c r="AA45" s="6" t="n">
        <f aca="false">Rhoji/RhoCordon</f>
        <v>0.53286583896322</v>
      </c>
      <c r="AC45" s="1" t="s">
        <v>213</v>
      </c>
      <c r="AD45" s="1" t="s">
        <v>214</v>
      </c>
      <c r="AE45" s="6" t="n">
        <v>0.0247474685546935</v>
      </c>
      <c r="AF45" s="5" t="n">
        <v>6279713</v>
      </c>
      <c r="AG45" s="5" t="n">
        <v>155407</v>
      </c>
      <c r="AH45" s="5" t="n">
        <v>4463068</v>
      </c>
      <c r="AI45" s="5" t="n">
        <v>1661238</v>
      </c>
      <c r="AJ45" s="6" t="n">
        <f aca="false">LN(AE$45+1)</f>
        <v>0.0244462100940072</v>
      </c>
      <c r="AK45" s="6" t="n">
        <f aca="false">LN(Density)</f>
        <v>4.26954471615098</v>
      </c>
      <c r="AL45" s="6" t="n">
        <f aca="false">LN(Rhoii)</f>
        <v>15.8249599343866</v>
      </c>
      <c r="AM45" s="6" t="n">
        <f aca="false">LN(Rhoij)</f>
        <v>11.0035487909693</v>
      </c>
      <c r="AN45" s="6" t="n">
        <f aca="false">LN(Rhoji)</f>
        <v>11.1352019750437</v>
      </c>
      <c r="AO45" s="6" t="n">
        <f aca="false">LN(AF45)</f>
        <v>15.6528348367631</v>
      </c>
      <c r="AP45" s="6" t="n">
        <f aca="false">LN(AS45)</f>
        <v>15.094486098309</v>
      </c>
      <c r="AQ45" s="6" t="n">
        <f aca="false">LN(AS45-AR45)</f>
        <v>14.3976323186637</v>
      </c>
      <c r="AR45" s="8" t="n">
        <v>1803125</v>
      </c>
      <c r="AS45" s="9" t="n">
        <v>3592957</v>
      </c>
      <c r="AU45" s="10" t="n">
        <v>181096</v>
      </c>
      <c r="AV45" s="10" t="n">
        <v>124828</v>
      </c>
      <c r="AW45" s="10" t="n">
        <v>21204</v>
      </c>
      <c r="AX45" s="10" t="n">
        <v>10931</v>
      </c>
      <c r="AY45" s="10" t="n">
        <v>20539</v>
      </c>
      <c r="AZ45" s="10" t="n">
        <v>26701</v>
      </c>
      <c r="BA45" s="10" t="n">
        <v>18052</v>
      </c>
      <c r="BB45" s="10" t="n">
        <v>27401</v>
      </c>
      <c r="BC45" s="10" t="n">
        <v>56268</v>
      </c>
      <c r="BD45" s="10" t="n">
        <v>2319</v>
      </c>
      <c r="BE45" s="10" t="n">
        <v>2291</v>
      </c>
      <c r="BF45" s="10" t="n">
        <v>12766</v>
      </c>
      <c r="BG45" s="10" t="n">
        <v>10411</v>
      </c>
      <c r="BH45" s="10" t="n">
        <v>15118</v>
      </c>
      <c r="BI45" s="10" t="n">
        <v>13363</v>
      </c>
      <c r="BJ45" s="5" t="s">
        <v>213</v>
      </c>
      <c r="BK45" s="1" t="s">
        <v>214</v>
      </c>
      <c r="BN45" s="1" t="n">
        <f aca="false">LN(TotalVMT)</f>
        <v>12.106782556383</v>
      </c>
    </row>
    <row r="46" customFormat="false" ht="12.75" hidden="false" customHeight="false" outlineLevel="0" collapsed="false">
      <c r="A46" s="1" t="s">
        <v>215</v>
      </c>
      <c r="B46" s="1" t="n">
        <v>987951</v>
      </c>
      <c r="C46" s="1" t="n">
        <v>733437</v>
      </c>
      <c r="D46" s="1" t="n">
        <v>1721828</v>
      </c>
      <c r="E46" s="6" t="n">
        <v>0.986698244020959</v>
      </c>
      <c r="F46" s="1" t="n">
        <v>723681</v>
      </c>
      <c r="G46" s="1" t="n">
        <f aca="false">C46-F46</f>
        <v>9756</v>
      </c>
      <c r="H46" s="1" t="n">
        <v>730927</v>
      </c>
      <c r="I46" s="6" t="n">
        <v>0.990086561311868</v>
      </c>
      <c r="J46" s="1" t="n">
        <f aca="false">I46*H46</f>
        <v>723681</v>
      </c>
      <c r="K46" s="1" t="n">
        <f aca="false">H46-J46</f>
        <v>7246</v>
      </c>
      <c r="L46" s="7" t="n">
        <v>23.7490020445916</v>
      </c>
      <c r="M46" s="1" t="n">
        <f aca="false">F46</f>
        <v>723681</v>
      </c>
      <c r="N46" s="1" t="n">
        <f aca="false">G46</f>
        <v>9756</v>
      </c>
      <c r="O46" s="1" t="n">
        <f aca="false">K46</f>
        <v>7246</v>
      </c>
      <c r="P46" s="6" t="n">
        <f aca="false">AE$46</f>
        <v>0.000622986197117817</v>
      </c>
      <c r="Q46" s="1" t="n">
        <f aca="false">M46+0.5*(N46+O46)</f>
        <v>732182</v>
      </c>
      <c r="R46" s="1" t="n">
        <f aca="false">M46+0.5*N46</f>
        <v>728559</v>
      </c>
      <c r="S46" s="1" t="n">
        <f aca="false">N46+O46</f>
        <v>17002</v>
      </c>
      <c r="T46" s="6" t="n">
        <f aca="false">Rhoii/RhoOrig</f>
        <v>0.993304591666564</v>
      </c>
      <c r="U46" s="6"/>
      <c r="V46" s="6" t="n">
        <f aca="false">Rhoii/RhoTot</f>
        <v>0.988389498785821</v>
      </c>
      <c r="W46" s="6" t="n">
        <f aca="false">0.5*Rhoij/RhoTot</f>
        <v>0.00666227795821258</v>
      </c>
      <c r="X46" s="6" t="n">
        <f aca="false">0.5*Rhoji/RhoTot</f>
        <v>0.00494822325596641</v>
      </c>
      <c r="Y46" s="6" t="n">
        <f aca="false">Rhoij/RhoOrig</f>
        <v>0.0133908166668726</v>
      </c>
      <c r="Z46" s="6" t="n">
        <f aca="false">Rhoij/RhoCordon</f>
        <v>0.573814845312316</v>
      </c>
      <c r="AA46" s="6" t="n">
        <f aca="false">Rhoji/RhoCordon</f>
        <v>0.426185154687684</v>
      </c>
      <c r="AC46" s="1" t="s">
        <v>216</v>
      </c>
      <c r="AD46" s="1" t="s">
        <v>217</v>
      </c>
      <c r="AE46" s="6" t="n">
        <v>0.000622986197117817</v>
      </c>
      <c r="AF46" s="5" t="n">
        <v>401293</v>
      </c>
      <c r="AG46" s="5" t="n">
        <v>250</v>
      </c>
      <c r="AH46" s="5" t="n">
        <v>239945</v>
      </c>
      <c r="AI46" s="5" t="n">
        <v>161098</v>
      </c>
      <c r="AJ46" s="6" t="n">
        <f aca="false">LN(AE$46+1)</f>
        <v>0.00062279222177543</v>
      </c>
      <c r="AK46" s="6" t="n">
        <f aca="false">LN(Density)</f>
        <v>3.16754051042273</v>
      </c>
      <c r="AL46" s="6" t="n">
        <f aca="false">LN(Rhoii)</f>
        <v>13.4921059665369</v>
      </c>
      <c r="AM46" s="6" t="n">
        <f aca="false">LN(Rhoij)</f>
        <v>9.18563775933581</v>
      </c>
      <c r="AN46" s="6" t="n">
        <f aca="false">LN(Rhoji)</f>
        <v>8.88820487145502</v>
      </c>
      <c r="AO46" s="6" t="n">
        <f aca="false">LN(AF46)</f>
        <v>12.9024471127936</v>
      </c>
      <c r="AP46" s="6" t="n">
        <f aca="false">LN(AS46)</f>
        <v>12.9744757105689</v>
      </c>
      <c r="AQ46" s="6" t="n">
        <f aca="false">LN(AS46-AR46)</f>
        <v>12.1993702344705</v>
      </c>
      <c r="AR46" s="11" t="n">
        <v>232600</v>
      </c>
      <c r="AS46" s="12" t="n">
        <v>431264</v>
      </c>
      <c r="AU46" s="10" t="n">
        <v>18781</v>
      </c>
      <c r="AV46" s="10" t="n">
        <v>11819</v>
      </c>
      <c r="AW46" s="10" t="n">
        <v>1936</v>
      </c>
      <c r="AX46" s="10" t="n">
        <v>1061</v>
      </c>
      <c r="AY46" s="10" t="n">
        <v>2478</v>
      </c>
      <c r="AZ46" s="10" t="n">
        <v>2266</v>
      </c>
      <c r="BA46" s="1" t="n">
        <v>104</v>
      </c>
      <c r="BB46" s="10" t="n">
        <v>3974</v>
      </c>
      <c r="BC46" s="10" t="n">
        <v>6962</v>
      </c>
      <c r="BD46" s="1" t="n">
        <v>538</v>
      </c>
      <c r="BE46" s="1" t="n">
        <v>241</v>
      </c>
      <c r="BF46" s="10" t="n">
        <v>1027</v>
      </c>
      <c r="BG46" s="1" t="n">
        <v>944</v>
      </c>
      <c r="BH46" s="10" t="n">
        <v>1441</v>
      </c>
      <c r="BI46" s="10" t="n">
        <v>2771</v>
      </c>
      <c r="BJ46" s="5" t="s">
        <v>216</v>
      </c>
      <c r="BK46" s="1" t="s">
        <v>217</v>
      </c>
      <c r="BN46" s="1" t="n">
        <f aca="false">LN(TotalVMT)</f>
        <v>9.84060099948094</v>
      </c>
    </row>
    <row r="47" customFormat="false" ht="12.75" hidden="false" customHeight="false" outlineLevel="0" collapsed="false">
      <c r="A47" s="1" t="s">
        <v>218</v>
      </c>
      <c r="B47" s="1" t="n">
        <v>283282</v>
      </c>
      <c r="C47" s="1" t="n">
        <v>275969</v>
      </c>
      <c r="D47" s="1" t="n">
        <v>559333</v>
      </c>
      <c r="E47" s="6" t="n">
        <v>0.9416492432121</v>
      </c>
      <c r="F47" s="1" t="n">
        <v>259866</v>
      </c>
      <c r="G47" s="1" t="n">
        <f aca="false">C47-F47</f>
        <v>16103</v>
      </c>
      <c r="H47" s="1" t="n">
        <v>273398</v>
      </c>
      <c r="I47" s="6" t="n">
        <v>0.950504392863152</v>
      </c>
      <c r="J47" s="1" t="n">
        <f aca="false">I47*H47</f>
        <v>259866</v>
      </c>
      <c r="K47" s="1" t="n">
        <f aca="false">H47-J47</f>
        <v>13532</v>
      </c>
      <c r="L47" s="7" t="n">
        <v>63.2253216563953</v>
      </c>
      <c r="M47" s="1" t="n">
        <f aca="false">F47</f>
        <v>259866</v>
      </c>
      <c r="N47" s="1" t="n">
        <f aca="false">G47</f>
        <v>16103</v>
      </c>
      <c r="O47" s="1" t="n">
        <f aca="false">K47</f>
        <v>13532</v>
      </c>
      <c r="P47" s="6" t="n">
        <f aca="false">AE$47</f>
        <v>0</v>
      </c>
      <c r="Q47" s="1" t="n">
        <f aca="false">M47+0.5*(N47+O47)</f>
        <v>274683.5</v>
      </c>
      <c r="R47" s="1" t="n">
        <f aca="false">M47+0.5*N47</f>
        <v>267917.5</v>
      </c>
      <c r="S47" s="1" t="n">
        <f aca="false">N47+O47</f>
        <v>29635</v>
      </c>
      <c r="T47" s="6" t="n">
        <f aca="false">Rhoii/RhoOrig</f>
        <v>0.969947838420409</v>
      </c>
      <c r="U47" s="6"/>
      <c r="V47" s="6" t="n">
        <f aca="false">Rhoii/RhoTot</f>
        <v>0.946056097290154</v>
      </c>
      <c r="W47" s="6" t="n">
        <f aca="false">0.5*Rhoij/RhoTot</f>
        <v>0.0293119171701249</v>
      </c>
      <c r="X47" s="6" t="n">
        <f aca="false">0.5*Rhoji/RhoTot</f>
        <v>0.0246319855397212</v>
      </c>
      <c r="Y47" s="6" t="n">
        <f aca="false">Rhoij/RhoOrig</f>
        <v>0.0601043231591815</v>
      </c>
      <c r="Z47" s="6" t="n">
        <f aca="false">Rhoij/RhoCordon</f>
        <v>0.543377762780496</v>
      </c>
      <c r="AA47" s="6" t="n">
        <f aca="false">Rhoji/RhoCordon</f>
        <v>0.456622237219504</v>
      </c>
      <c r="AC47" s="1" t="s">
        <v>219</v>
      </c>
      <c r="AD47" s="1" t="s">
        <v>220</v>
      </c>
      <c r="AE47" s="6" t="n">
        <v>0</v>
      </c>
      <c r="AF47" s="5" t="n">
        <v>197087</v>
      </c>
      <c r="AG47" s="5" t="n">
        <v>0</v>
      </c>
      <c r="AH47" s="5" t="n">
        <v>138217</v>
      </c>
      <c r="AI47" s="5" t="n">
        <v>58870</v>
      </c>
      <c r="AJ47" s="6" t="n">
        <f aca="false">LN(AE$47+1)</f>
        <v>0</v>
      </c>
      <c r="AK47" s="6" t="n">
        <f aca="false">LN(Density)</f>
        <v>4.14670488003056</v>
      </c>
      <c r="AL47" s="6" t="n">
        <f aca="false">LN(Rhoii)</f>
        <v>12.467921392526</v>
      </c>
      <c r="AM47" s="6" t="n">
        <f aca="false">LN(Rhoij)</f>
        <v>9.686760869018</v>
      </c>
      <c r="AN47" s="6" t="n">
        <f aca="false">LN(Rhoji)</f>
        <v>9.5128125299006</v>
      </c>
      <c r="AO47" s="6" t="n">
        <f aca="false">LN(AF47)</f>
        <v>12.1914005345983</v>
      </c>
      <c r="AP47" s="6" t="n">
        <f aca="false">LN(AS47)</f>
        <v>12.1766695811609</v>
      </c>
      <c r="AQ47" s="6" t="n">
        <f aca="false">LN(AS47-AR47)</f>
        <v>11.6183749766678</v>
      </c>
      <c r="AR47" s="8" t="n">
        <v>83084</v>
      </c>
      <c r="AS47" s="9" t="n">
        <v>194205</v>
      </c>
      <c r="AU47" s="10" t="n">
        <v>6206</v>
      </c>
      <c r="AV47" s="10" t="n">
        <v>1824</v>
      </c>
      <c r="AW47" s="1" t="n">
        <v>431</v>
      </c>
      <c r="AX47" s="1" t="n">
        <v>208</v>
      </c>
      <c r="AY47" s="1" t="n">
        <v>353</v>
      </c>
      <c r="AZ47" s="1" t="n">
        <v>438</v>
      </c>
      <c r="BA47" s="1" t="n">
        <v>74</v>
      </c>
      <c r="BB47" s="1" t="n">
        <v>320</v>
      </c>
      <c r="BC47" s="10" t="n">
        <v>4382</v>
      </c>
      <c r="BD47" s="1" t="n">
        <v>449</v>
      </c>
      <c r="BE47" s="1" t="n">
        <v>159</v>
      </c>
      <c r="BF47" s="10" t="n">
        <v>1123</v>
      </c>
      <c r="BG47" s="1" t="n">
        <v>884</v>
      </c>
      <c r="BH47" s="1" t="n">
        <v>725</v>
      </c>
      <c r="BI47" s="10" t="n">
        <v>1042</v>
      </c>
      <c r="BJ47" s="5" t="s">
        <v>219</v>
      </c>
      <c r="BK47" s="1" t="s">
        <v>220</v>
      </c>
      <c r="BN47" s="1" t="n">
        <f aca="false">LN(TotalVMT)</f>
        <v>8.73327184500833</v>
      </c>
    </row>
    <row r="48" customFormat="false" ht="12.75" hidden="false" customHeight="false" outlineLevel="0" collapsed="false">
      <c r="A48" s="1" t="s">
        <v>221</v>
      </c>
      <c r="B48" s="1" t="n">
        <v>3030855</v>
      </c>
      <c r="C48" s="1" t="n">
        <v>3144282</v>
      </c>
      <c r="D48" s="1" t="n">
        <v>6181215</v>
      </c>
      <c r="E48" s="6" t="n">
        <v>0.907066541741485</v>
      </c>
      <c r="F48" s="1" t="n">
        <v>2852073</v>
      </c>
      <c r="G48" s="1" t="n">
        <f aca="false">C48-F48</f>
        <v>292209</v>
      </c>
      <c r="H48" s="1" t="n">
        <v>3049073</v>
      </c>
      <c r="I48" s="6" t="n">
        <v>0.935390198922755</v>
      </c>
      <c r="J48" s="1" t="n">
        <f aca="false">I48*H48</f>
        <v>2852073</v>
      </c>
      <c r="K48" s="1" t="n">
        <f aca="false">H48-J48</f>
        <v>197000</v>
      </c>
      <c r="L48" s="7" t="n">
        <v>167.138693873428</v>
      </c>
      <c r="M48" s="1" t="n">
        <f aca="false">F48</f>
        <v>2852073</v>
      </c>
      <c r="N48" s="1" t="n">
        <f aca="false">G48</f>
        <v>292209</v>
      </c>
      <c r="O48" s="1" t="n">
        <f aca="false">K48</f>
        <v>197000</v>
      </c>
      <c r="P48" s="6" t="n">
        <f aca="false">AE$48</f>
        <v>0.0465283677535952</v>
      </c>
      <c r="Q48" s="1" t="n">
        <f aca="false">M48+0.5*(N48+O48)</f>
        <v>3096677.5</v>
      </c>
      <c r="R48" s="1" t="n">
        <f aca="false">M48+0.5*N48</f>
        <v>2998177.5</v>
      </c>
      <c r="S48" s="1" t="n">
        <f aca="false">N48+O48</f>
        <v>489209</v>
      </c>
      <c r="T48" s="6" t="n">
        <f aca="false">Rhoii/RhoOrig</f>
        <v>0.951268895854232</v>
      </c>
      <c r="U48" s="6"/>
      <c r="V48" s="6" t="n">
        <f aca="false">Rhoii/RhoTot</f>
        <v>0.921010663848593</v>
      </c>
      <c r="W48" s="6" t="n">
        <f aca="false">0.5*Rhoij/RhoTot</f>
        <v>0.04718105130418</v>
      </c>
      <c r="X48" s="6" t="n">
        <f aca="false">0.5*Rhoji/RhoTot</f>
        <v>0.0318082848472274</v>
      </c>
      <c r="Y48" s="6" t="n">
        <f aca="false">Rhoij/RhoOrig</f>
        <v>0.0974622082915371</v>
      </c>
      <c r="Z48" s="6" t="n">
        <f aca="false">Rhoij/RhoCordon</f>
        <v>0.597309125547568</v>
      </c>
      <c r="AA48" s="6" t="n">
        <f aca="false">Rhoji/RhoCordon</f>
        <v>0.402690874452432</v>
      </c>
      <c r="AC48" s="1" t="s">
        <v>222</v>
      </c>
      <c r="AD48" s="1" t="s">
        <v>223</v>
      </c>
      <c r="AE48" s="6" t="n">
        <v>0.0465283677535952</v>
      </c>
      <c r="AF48" s="5" t="n">
        <v>1942170</v>
      </c>
      <c r="AG48" s="5" t="n">
        <v>90366</v>
      </c>
      <c r="AH48" s="5" t="n">
        <v>1251465</v>
      </c>
      <c r="AI48" s="5" t="n">
        <v>600339</v>
      </c>
      <c r="AJ48" s="6" t="n">
        <f aca="false">LN(AE$48+1)</f>
        <v>0.0454783698022605</v>
      </c>
      <c r="AK48" s="6" t="n">
        <f aca="false">LN(Density)</f>
        <v>5.11882396997669</v>
      </c>
      <c r="AL48" s="6" t="n">
        <f aca="false">LN(Rhoii)</f>
        <v>14.8635566562617</v>
      </c>
      <c r="AM48" s="6" t="n">
        <f aca="false">LN(Rhoij)</f>
        <v>12.5852245786458</v>
      </c>
      <c r="AN48" s="6" t="n">
        <f aca="false">LN(Rhoji)</f>
        <v>12.1909590077201</v>
      </c>
      <c r="AO48" s="6" t="n">
        <f aca="false">LN(AF48)</f>
        <v>14.4793164626221</v>
      </c>
      <c r="AP48" s="6" t="n">
        <f aca="false">LN(AS48)</f>
        <v>14.5609778555489</v>
      </c>
      <c r="AQ48" s="6" t="n">
        <f aca="false">LN(AS48-AR48)</f>
        <v>13.9966105356008</v>
      </c>
      <c r="AR48" s="8" t="n">
        <v>908891</v>
      </c>
      <c r="AS48" s="9" t="n">
        <v>2107426</v>
      </c>
      <c r="AU48" s="10" t="n">
        <v>69811</v>
      </c>
      <c r="AV48" s="10" t="n">
        <v>39414</v>
      </c>
      <c r="AW48" s="10" t="n">
        <v>6292</v>
      </c>
      <c r="AX48" s="10" t="n">
        <v>2496</v>
      </c>
      <c r="AY48" s="10" t="n">
        <v>7113</v>
      </c>
      <c r="AZ48" s="10" t="n">
        <v>9444</v>
      </c>
      <c r="BA48" s="10" t="n">
        <v>3168</v>
      </c>
      <c r="BB48" s="10" t="n">
        <v>10901</v>
      </c>
      <c r="BC48" s="10" t="n">
        <v>30397</v>
      </c>
      <c r="BD48" s="10" t="n">
        <v>3293</v>
      </c>
      <c r="BE48" s="1" t="n">
        <v>568</v>
      </c>
      <c r="BF48" s="10" t="n">
        <v>6179</v>
      </c>
      <c r="BG48" s="10" t="n">
        <v>5723</v>
      </c>
      <c r="BH48" s="10" t="n">
        <v>6319</v>
      </c>
      <c r="BI48" s="10" t="n">
        <v>8315</v>
      </c>
      <c r="BJ48" s="5" t="s">
        <v>222</v>
      </c>
      <c r="BK48" s="1" t="s">
        <v>223</v>
      </c>
      <c r="BN48" s="1" t="n">
        <f aca="false">LN(TotalVMT)</f>
        <v>11.1535468694572</v>
      </c>
    </row>
    <row r="49" customFormat="false" ht="12.75" hidden="false" customHeight="false" outlineLevel="0" collapsed="false">
      <c r="A49" s="1" t="s">
        <v>224</v>
      </c>
      <c r="B49" s="1" t="n">
        <v>2549571</v>
      </c>
      <c r="C49" s="1" t="n">
        <v>2289795</v>
      </c>
      <c r="D49" s="1" t="n">
        <v>4841964</v>
      </c>
      <c r="E49" s="6" t="n">
        <v>0.972962208407303</v>
      </c>
      <c r="F49" s="1" t="n">
        <v>2227884</v>
      </c>
      <c r="G49" s="1" t="n">
        <f aca="false">C49-F49</f>
        <v>61911</v>
      </c>
      <c r="H49" s="1" t="n">
        <v>2262430</v>
      </c>
      <c r="I49" s="6" t="n">
        <v>0.984730577299629</v>
      </c>
      <c r="J49" s="1" t="n">
        <f aca="false">I49*H49</f>
        <v>2227884</v>
      </c>
      <c r="K49" s="1" t="n">
        <f aca="false">H49-J49</f>
        <v>34546</v>
      </c>
      <c r="L49" s="7" t="n">
        <v>81.5676909675288</v>
      </c>
      <c r="M49" s="1" t="n">
        <f aca="false">F49</f>
        <v>2227884</v>
      </c>
      <c r="N49" s="1" t="n">
        <f aca="false">G49</f>
        <v>61911</v>
      </c>
      <c r="O49" s="1" t="n">
        <f aca="false">K49</f>
        <v>34546</v>
      </c>
      <c r="P49" s="6" t="n">
        <f aca="false">AE$49</f>
        <v>0.0414276298865866</v>
      </c>
      <c r="Q49" s="1" t="n">
        <f aca="false">M49+0.5*(N49+O49)</f>
        <v>2276112.5</v>
      </c>
      <c r="R49" s="1" t="n">
        <f aca="false">M49+0.5*N49</f>
        <v>2258839.5</v>
      </c>
      <c r="S49" s="1" t="n">
        <f aca="false">N49+O49</f>
        <v>96457</v>
      </c>
      <c r="T49" s="6" t="n">
        <f aca="false">Rhoii/RhoOrig</f>
        <v>0.9862958390802</v>
      </c>
      <c r="U49" s="6"/>
      <c r="V49" s="6" t="n">
        <f aca="false">Rhoii/RhoTot</f>
        <v>0.978811020984244</v>
      </c>
      <c r="W49" s="6" t="n">
        <f aca="false">0.5*Rhoij/RhoTot</f>
        <v>0.0136001625578701</v>
      </c>
      <c r="X49" s="6" t="n">
        <f aca="false">0.5*Rhoji/RhoTot</f>
        <v>0.00758881645788598</v>
      </c>
      <c r="Y49" s="6" t="n">
        <f aca="false">Rhoij/RhoOrig</f>
        <v>0.0274083218395995</v>
      </c>
      <c r="Z49" s="6" t="n">
        <f aca="false">Rhoij/RhoCordon</f>
        <v>0.641850772883254</v>
      </c>
      <c r="AA49" s="6" t="n">
        <f aca="false">Rhoji/RhoCordon</f>
        <v>0.358149227116746</v>
      </c>
      <c r="AC49" s="1" t="s">
        <v>225</v>
      </c>
      <c r="AD49" s="1" t="s">
        <v>226</v>
      </c>
      <c r="AE49" s="6" t="n">
        <v>0.0414276298865866</v>
      </c>
      <c r="AF49" s="5" t="n">
        <v>1970931</v>
      </c>
      <c r="AG49" s="5" t="n">
        <v>81651</v>
      </c>
      <c r="AH49" s="5" t="n">
        <v>1466547</v>
      </c>
      <c r="AI49" s="5" t="n">
        <v>422733</v>
      </c>
      <c r="AJ49" s="6" t="n">
        <f aca="false">LN(AE$49+1)</f>
        <v>0.0405924928778909</v>
      </c>
      <c r="AK49" s="6" t="n">
        <f aca="false">LN(Density)</f>
        <v>4.40143323953815</v>
      </c>
      <c r="AL49" s="6" t="n">
        <f aca="false">LN(Rhoii)</f>
        <v>14.6165628140419</v>
      </c>
      <c r="AM49" s="6" t="n">
        <f aca="false">LN(Rhoij)</f>
        <v>11.0334531488622</v>
      </c>
      <c r="AN49" s="6" t="n">
        <f aca="false">LN(Rhoji)</f>
        <v>10.4500470482532</v>
      </c>
      <c r="AO49" s="6" t="n">
        <f aca="false">LN(AF49)</f>
        <v>14.4940165779117</v>
      </c>
      <c r="AP49" s="6" t="n">
        <f aca="false">LN(AS49)</f>
        <v>14.4619407987391</v>
      </c>
      <c r="AQ49" s="6" t="n">
        <f aca="false">LN(AS49-AR49)</f>
        <v>13.9468703443579</v>
      </c>
      <c r="AR49" s="8" t="n">
        <v>768337</v>
      </c>
      <c r="AS49" s="9" t="n">
        <v>1908715</v>
      </c>
      <c r="AU49" s="10" t="n">
        <v>49250</v>
      </c>
      <c r="AV49" s="10" t="n">
        <v>33074</v>
      </c>
      <c r="AW49" s="10" t="n">
        <v>3638</v>
      </c>
      <c r="AX49" s="10" t="n">
        <v>3041</v>
      </c>
      <c r="AY49" s="10" t="n">
        <v>6437</v>
      </c>
      <c r="AZ49" s="10" t="n">
        <v>6821</v>
      </c>
      <c r="BA49" s="10" t="n">
        <v>4080</v>
      </c>
      <c r="BB49" s="10" t="n">
        <v>9057</v>
      </c>
      <c r="BC49" s="10" t="n">
        <v>16176</v>
      </c>
      <c r="BD49" s="10" t="n">
        <v>1132</v>
      </c>
      <c r="BE49" s="1" t="n">
        <v>959</v>
      </c>
      <c r="BF49" s="10" t="n">
        <v>3695</v>
      </c>
      <c r="BG49" s="10" t="n">
        <v>2121</v>
      </c>
      <c r="BH49" s="10" t="n">
        <v>4126</v>
      </c>
      <c r="BI49" s="10" t="n">
        <v>4143</v>
      </c>
      <c r="BJ49" s="5" t="s">
        <v>225</v>
      </c>
      <c r="BK49" s="1" t="s">
        <v>226</v>
      </c>
      <c r="BN49" s="1" t="n">
        <f aca="false">LN(TotalVMT)</f>
        <v>10.8046646466002</v>
      </c>
    </row>
    <row r="50" customFormat="false" ht="12.75" hidden="false" customHeight="false" outlineLevel="0" collapsed="false">
      <c r="A50" s="1" t="s">
        <v>227</v>
      </c>
      <c r="B50" s="1" t="n">
        <v>1132742</v>
      </c>
      <c r="C50" s="1" t="n">
        <v>653163</v>
      </c>
      <c r="D50" s="1" t="n">
        <v>1785999</v>
      </c>
      <c r="E50" s="6" t="n">
        <v>0.902828237361884</v>
      </c>
      <c r="F50" s="1" t="n">
        <v>589694</v>
      </c>
      <c r="G50" s="1" t="n">
        <f aca="false">C50-F50</f>
        <v>63469</v>
      </c>
      <c r="H50" s="1" t="n">
        <v>643385</v>
      </c>
      <c r="I50" s="6" t="n">
        <v>0.916549189054765</v>
      </c>
      <c r="J50" s="1" t="n">
        <f aca="false">I50*H50</f>
        <v>589694</v>
      </c>
      <c r="K50" s="1" t="n">
        <f aca="false">H50-J50</f>
        <v>53691</v>
      </c>
      <c r="L50" s="7" t="n">
        <v>75.8973720264043</v>
      </c>
      <c r="M50" s="1" t="n">
        <f aca="false">F50</f>
        <v>589694</v>
      </c>
      <c r="N50" s="1" t="n">
        <f aca="false">G50</f>
        <v>63469</v>
      </c>
      <c r="O50" s="1" t="n">
        <f aca="false">K50</f>
        <v>53691</v>
      </c>
      <c r="P50" s="6" t="n">
        <f aca="false">AE$50</f>
        <v>0.0657245663242686</v>
      </c>
      <c r="Q50" s="1" t="n">
        <f aca="false">M50+0.5*(N50+O50)</f>
        <v>648274</v>
      </c>
      <c r="R50" s="1" t="n">
        <f aca="false">M50+0.5*N50</f>
        <v>621428.5</v>
      </c>
      <c r="S50" s="1" t="n">
        <f aca="false">N50+O50</f>
        <v>117160</v>
      </c>
      <c r="T50" s="6" t="n">
        <f aca="false">Rhoii/RhoOrig</f>
        <v>0.948932982635975</v>
      </c>
      <c r="U50" s="6"/>
      <c r="V50" s="6" t="n">
        <f aca="false">Rhoii/RhoTot</f>
        <v>0.909636974489182</v>
      </c>
      <c r="W50" s="6" t="n">
        <f aca="false">0.5*Rhoij/RhoTot</f>
        <v>0.0489522948629746</v>
      </c>
      <c r="X50" s="6" t="n">
        <f aca="false">0.5*Rhoji/RhoTot</f>
        <v>0.0414107306478434</v>
      </c>
      <c r="Y50" s="6" t="n">
        <f aca="false">Rhoij/RhoOrig</f>
        <v>0.10213403472805</v>
      </c>
      <c r="Z50" s="6" t="n">
        <f aca="false">Rhoij/RhoCordon</f>
        <v>0.54172925913281</v>
      </c>
      <c r="AA50" s="6" t="n">
        <f aca="false">Rhoji/RhoCordon</f>
        <v>0.45827074086719</v>
      </c>
      <c r="AC50" s="1" t="s">
        <v>228</v>
      </c>
      <c r="AD50" s="1" t="s">
        <v>229</v>
      </c>
      <c r="AE50" s="6" t="n">
        <v>0.0657245663242686</v>
      </c>
      <c r="AF50" s="5" t="n">
        <v>642819</v>
      </c>
      <c r="AG50" s="5" t="n">
        <v>42249</v>
      </c>
      <c r="AH50" s="5" t="n">
        <v>425486</v>
      </c>
      <c r="AI50" s="5" t="n">
        <v>175084</v>
      </c>
      <c r="AJ50" s="6" t="n">
        <f aca="false">LN(AE$50+1)</f>
        <v>0.0636549117987976</v>
      </c>
      <c r="AK50" s="6" t="n">
        <f aca="false">LN(Density)</f>
        <v>4.32938205964411</v>
      </c>
      <c r="AL50" s="6" t="n">
        <f aca="false">LN(Rhoii)</f>
        <v>13.2873590372717</v>
      </c>
      <c r="AM50" s="6" t="n">
        <f aca="false">LN(Rhoij)</f>
        <v>11.0583068767014</v>
      </c>
      <c r="AN50" s="6" t="n">
        <f aca="false">LN(Rhoji)</f>
        <v>10.8910006686855</v>
      </c>
      <c r="AO50" s="6" t="n">
        <f aca="false">LN(AF50)</f>
        <v>13.3736184705916</v>
      </c>
      <c r="AP50" s="6" t="n">
        <f aca="false">LN(AS50)</f>
        <v>13.5681754872415</v>
      </c>
      <c r="AQ50" s="6" t="n">
        <f aca="false">LN(AS50-AR50)</f>
        <v>12.6873716165378</v>
      </c>
      <c r="AR50" s="11" t="n">
        <v>457244</v>
      </c>
      <c r="AS50" s="12" t="n">
        <v>780879</v>
      </c>
      <c r="AU50" s="10" t="n">
        <v>17421</v>
      </c>
      <c r="AV50" s="10" t="n">
        <v>4913</v>
      </c>
      <c r="AW50" s="1" t="n">
        <v>462</v>
      </c>
      <c r="AX50" s="1" t="n">
        <v>420</v>
      </c>
      <c r="AY50" s="10" t="n">
        <v>1415</v>
      </c>
      <c r="AZ50" s="10" t="n">
        <v>1257</v>
      </c>
      <c r="BA50" s="1" t="n">
        <v>55</v>
      </c>
      <c r="BB50" s="10" t="n">
        <v>1304</v>
      </c>
      <c r="BC50" s="10" t="n">
        <v>12508</v>
      </c>
      <c r="BD50" s="1" t="n">
        <v>965</v>
      </c>
      <c r="BE50" s="1" t="n">
        <v>420</v>
      </c>
      <c r="BF50" s="10" t="n">
        <v>3227</v>
      </c>
      <c r="BG50" s="10" t="n">
        <v>2053</v>
      </c>
      <c r="BH50" s="10" t="n">
        <v>2512</v>
      </c>
      <c r="BI50" s="10" t="n">
        <v>3331</v>
      </c>
      <c r="BJ50" s="5" t="s">
        <v>228</v>
      </c>
      <c r="BK50" s="1" t="s">
        <v>229</v>
      </c>
      <c r="BN50" s="1" t="n">
        <f aca="false">LN(TotalVMT)</f>
        <v>9.76543165404016</v>
      </c>
    </row>
    <row r="51" customFormat="false" ht="12.75" hidden="false" customHeight="false" outlineLevel="0" collapsed="false">
      <c r="A51" s="1" t="s">
        <v>230</v>
      </c>
      <c r="B51" s="1" t="n">
        <v>2533950</v>
      </c>
      <c r="C51" s="1" t="n">
        <v>2347075</v>
      </c>
      <c r="D51" s="1" t="n">
        <v>4881441</v>
      </c>
      <c r="E51" s="6" t="n">
        <v>0.967822502476487</v>
      </c>
      <c r="F51" s="1" t="n">
        <v>2271552</v>
      </c>
      <c r="G51" s="1" t="n">
        <f aca="false">C51-F51</f>
        <v>75523</v>
      </c>
      <c r="H51" s="1" t="n">
        <v>2303123</v>
      </c>
      <c r="I51" s="6" t="n">
        <v>0.986292091217013</v>
      </c>
      <c r="J51" s="1" t="n">
        <f aca="false">I51*H51</f>
        <v>2271552</v>
      </c>
      <c r="K51" s="1" t="n">
        <f aca="false">H51-J51</f>
        <v>31571</v>
      </c>
      <c r="L51" s="7" t="n">
        <v>94.3195308760172</v>
      </c>
      <c r="M51" s="1" t="n">
        <f aca="false">F51</f>
        <v>2271552</v>
      </c>
      <c r="N51" s="1" t="n">
        <f aca="false">G51</f>
        <v>75523</v>
      </c>
      <c r="O51" s="1" t="n">
        <f aca="false">K51</f>
        <v>31571</v>
      </c>
      <c r="P51" s="6" t="n">
        <f aca="false">AE$51</f>
        <v>1.13332512302244E-005</v>
      </c>
      <c r="Q51" s="1" t="n">
        <f aca="false">M51+0.5*(N51+O51)</f>
        <v>2325099</v>
      </c>
      <c r="R51" s="1" t="n">
        <f aca="false">M51+0.5*N51</f>
        <v>2309313.5</v>
      </c>
      <c r="S51" s="1" t="n">
        <f aca="false">N51+O51</f>
        <v>107094</v>
      </c>
      <c r="T51" s="6" t="n">
        <f aca="false">Rhoii/RhoOrig</f>
        <v>0.983648170765901</v>
      </c>
      <c r="U51" s="6"/>
      <c r="V51" s="6" t="n">
        <f aca="false">Rhoii/RhoTot</f>
        <v>0.976970012889774</v>
      </c>
      <c r="W51" s="6" t="n">
        <f aca="false">0.5*Rhoij/RhoTot</f>
        <v>0.0162408138320132</v>
      </c>
      <c r="X51" s="6" t="n">
        <f aca="false">0.5*Rhoji/RhoTot</f>
        <v>0.0067891732782131</v>
      </c>
      <c r="Y51" s="6" t="n">
        <f aca="false">Rhoij/RhoOrig</f>
        <v>0.0327036584681985</v>
      </c>
      <c r="Z51" s="6" t="n">
        <f aca="false">Rhoij/RhoCordon</f>
        <v>0.705202905858405</v>
      </c>
      <c r="AA51" s="6" t="n">
        <f aca="false">Rhoji/RhoCordon</f>
        <v>0.294797094141595</v>
      </c>
      <c r="AC51" s="1" t="s">
        <v>231</v>
      </c>
      <c r="AD51" s="1" t="s">
        <v>232</v>
      </c>
      <c r="AE51" s="6" t="n">
        <v>1.13332512302244E-005</v>
      </c>
      <c r="AF51" s="5" t="n">
        <v>1323539</v>
      </c>
      <c r="AG51" s="5" t="n">
        <v>15</v>
      </c>
      <c r="AH51" s="5" t="n">
        <v>890071</v>
      </c>
      <c r="AI51" s="5" t="n">
        <v>433453</v>
      </c>
      <c r="AJ51" s="6" t="n">
        <f aca="false">LN(AE$51+1)</f>
        <v>1.13331870093436E-005</v>
      </c>
      <c r="AK51" s="6" t="n">
        <f aca="false">LN(Density)</f>
        <v>4.54668828246799</v>
      </c>
      <c r="AL51" s="6" t="n">
        <f aca="false">LN(Rhoii)</f>
        <v>14.6359738562814</v>
      </c>
      <c r="AM51" s="6" t="n">
        <f aca="false">LN(Rhoij)</f>
        <v>11.2321925246067</v>
      </c>
      <c r="AN51" s="6" t="n">
        <f aca="false">LN(Rhoji)</f>
        <v>10.3599942566918</v>
      </c>
      <c r="AO51" s="6" t="n">
        <f aca="false">LN(AF51)</f>
        <v>14.0958197675366</v>
      </c>
      <c r="AP51" s="6" t="n">
        <f aca="false">LN(AS51)</f>
        <v>14.0402472395722</v>
      </c>
      <c r="AQ51" s="6" t="n">
        <f aca="false">LN(AS51-AR51)</f>
        <v>13.3376666740879</v>
      </c>
      <c r="AR51" s="8" t="n">
        <v>631874</v>
      </c>
      <c r="AS51" s="9" t="n">
        <v>1251993</v>
      </c>
      <c r="AU51" s="10" t="n">
        <v>51396</v>
      </c>
      <c r="AV51" s="10" t="n">
        <v>24268</v>
      </c>
      <c r="AW51" s="10" t="n">
        <v>5676</v>
      </c>
      <c r="AX51" s="10" t="n">
        <v>1174</v>
      </c>
      <c r="AY51" s="10" t="n">
        <v>4930</v>
      </c>
      <c r="AZ51" s="10" t="n">
        <v>7169</v>
      </c>
      <c r="BA51" s="10" t="n">
        <v>2152</v>
      </c>
      <c r="BB51" s="10" t="n">
        <v>3167</v>
      </c>
      <c r="BC51" s="10" t="n">
        <v>27128</v>
      </c>
      <c r="BD51" s="10" t="n">
        <v>4070</v>
      </c>
      <c r="BE51" s="1" t="n">
        <v>765</v>
      </c>
      <c r="BF51" s="10" t="n">
        <v>4145</v>
      </c>
      <c r="BG51" s="10" t="n">
        <v>5167</v>
      </c>
      <c r="BH51" s="10" t="n">
        <v>8152</v>
      </c>
      <c r="BI51" s="10" t="n">
        <v>4829</v>
      </c>
      <c r="BJ51" s="5" t="s">
        <v>231</v>
      </c>
      <c r="BK51" s="1" t="s">
        <v>232</v>
      </c>
      <c r="BN51" s="1" t="n">
        <f aca="false">LN(TotalVMT)</f>
        <v>10.8473156274034</v>
      </c>
    </row>
    <row r="52" customFormat="false" ht="12.75" hidden="false" customHeight="false" outlineLevel="0" collapsed="false">
      <c r="A52" s="1" t="s">
        <v>233</v>
      </c>
      <c r="B52" s="1" t="n">
        <v>245624</v>
      </c>
      <c r="C52" s="1" t="n">
        <v>207473</v>
      </c>
      <c r="D52" s="1" t="n">
        <v>453189</v>
      </c>
      <c r="E52" s="6" t="n">
        <v>0.97993955840037</v>
      </c>
      <c r="F52" s="1" t="n">
        <v>203311</v>
      </c>
      <c r="G52" s="1" t="n">
        <f aca="false">C52-F52</f>
        <v>4162</v>
      </c>
      <c r="H52" s="1" t="n">
        <v>208657</v>
      </c>
      <c r="I52" s="6" t="n">
        <v>0.974379004778177</v>
      </c>
      <c r="J52" s="1" t="n">
        <f aca="false">I52*H52</f>
        <v>203311</v>
      </c>
      <c r="K52" s="1" t="n">
        <f aca="false">H52-J52</f>
        <v>5346</v>
      </c>
      <c r="L52" s="7" t="n">
        <v>4.94499768292055</v>
      </c>
      <c r="M52" s="1" t="n">
        <f aca="false">F52</f>
        <v>203311</v>
      </c>
      <c r="N52" s="1" t="n">
        <f aca="false">G52</f>
        <v>4162</v>
      </c>
      <c r="O52" s="1" t="n">
        <f aca="false">K52</f>
        <v>5346</v>
      </c>
      <c r="P52" s="6" t="n">
        <f aca="false">AE$52</f>
        <v>0</v>
      </c>
      <c r="Q52" s="1" t="n">
        <f aca="false">M52+0.5*(N52+O52)</f>
        <v>208065</v>
      </c>
      <c r="R52" s="1" t="n">
        <f aca="false">M52+0.5*N52</f>
        <v>205392</v>
      </c>
      <c r="S52" s="1" t="n">
        <f aca="false">N52+O52</f>
        <v>9508</v>
      </c>
      <c r="T52" s="6" t="n">
        <f aca="false">Rhoii/RhoOrig</f>
        <v>0.989868154553245</v>
      </c>
      <c r="U52" s="6"/>
      <c r="V52" s="6" t="n">
        <f aca="false">Rhoii/RhoTot</f>
        <v>0.977151370965804</v>
      </c>
      <c r="W52" s="6" t="n">
        <f aca="false">0.5*Rhoij/RhoTot</f>
        <v>0.0100016821666306</v>
      </c>
      <c r="X52" s="6" t="n">
        <f aca="false">0.5*Rhoji/RhoTot</f>
        <v>0.0128469468675654</v>
      </c>
      <c r="Y52" s="6" t="n">
        <f aca="false">Rhoij/RhoOrig</f>
        <v>0.0202636908935109</v>
      </c>
      <c r="Z52" s="6" t="n">
        <f aca="false">Rhoij/RhoCordon</f>
        <v>0.437736642827093</v>
      </c>
      <c r="AA52" s="6" t="n">
        <f aca="false">Rhoji/RhoCordon</f>
        <v>0.562263357172907</v>
      </c>
      <c r="AC52" s="1" t="s">
        <v>234</v>
      </c>
      <c r="AD52" s="1" t="s">
        <v>235</v>
      </c>
      <c r="AE52" s="6" t="n">
        <v>0</v>
      </c>
      <c r="AF52" s="5" t="n">
        <v>169944</v>
      </c>
      <c r="AG52" s="5" t="n">
        <v>0</v>
      </c>
      <c r="AH52" s="5" t="n">
        <v>80882</v>
      </c>
      <c r="AI52" s="5" t="n">
        <v>89062</v>
      </c>
      <c r="AJ52" s="6" t="n">
        <f aca="false">LN(AE$52+1)</f>
        <v>0</v>
      </c>
      <c r="AK52" s="6" t="n">
        <f aca="false">LN(Density)</f>
        <v>1.5983764965044</v>
      </c>
      <c r="AL52" s="6" t="n">
        <f aca="false">LN(Rhoii)</f>
        <v>12.2224921053834</v>
      </c>
      <c r="AM52" s="6" t="n">
        <f aca="false">LN(Rhoij)</f>
        <v>8.33375100695358</v>
      </c>
      <c r="AN52" s="6" t="n">
        <f aca="false">LN(Rhoji)</f>
        <v>8.58410389669886</v>
      </c>
      <c r="AO52" s="6" t="n">
        <f aca="false">LN(AF52)</f>
        <v>12.0432242499997</v>
      </c>
      <c r="AP52" s="6" t="n">
        <f aca="false">LN(AS52)</f>
        <v>12.5135499923099</v>
      </c>
      <c r="AQ52" s="6" t="n">
        <f aca="false">LN(AS52-AR52)</f>
        <v>11.623554079794</v>
      </c>
      <c r="AR52" s="8" t="n">
        <v>160300</v>
      </c>
      <c r="AS52" s="9" t="n">
        <v>271998</v>
      </c>
      <c r="AU52" s="10" t="n">
        <v>7044</v>
      </c>
      <c r="AV52" s="10" t="n">
        <v>1679</v>
      </c>
      <c r="AW52" s="1" t="n">
        <v>187</v>
      </c>
      <c r="AX52" s="1" t="n">
        <v>343</v>
      </c>
      <c r="AY52" s="1" t="n">
        <v>245</v>
      </c>
      <c r="AZ52" s="1" t="n">
        <v>611</v>
      </c>
      <c r="BA52" s="1" t="n">
        <v>8</v>
      </c>
      <c r="BB52" s="1" t="n">
        <v>285</v>
      </c>
      <c r="BC52" s="10" t="n">
        <v>5365</v>
      </c>
      <c r="BD52" s="1" t="n">
        <v>700</v>
      </c>
      <c r="BE52" s="1" t="n">
        <v>361</v>
      </c>
      <c r="BF52" s="1" t="n">
        <v>508</v>
      </c>
      <c r="BG52" s="1" t="n">
        <v>685</v>
      </c>
      <c r="BH52" s="10" t="n">
        <v>1135</v>
      </c>
      <c r="BI52" s="10" t="n">
        <v>1976</v>
      </c>
      <c r="BJ52" s="5" t="s">
        <v>234</v>
      </c>
      <c r="BK52" s="1" t="s">
        <v>235</v>
      </c>
      <c r="BN52" s="1" t="n">
        <f aca="false">LN(TotalVMT)</f>
        <v>8.8599314696161</v>
      </c>
    </row>
    <row r="53" customFormat="false" ht="12.75" hidden="false" customHeight="false" outlineLevel="0" collapsed="false">
      <c r="A53" s="1" t="s">
        <v>236</v>
      </c>
      <c r="B53" s="1" t="n">
        <v>133153993</v>
      </c>
      <c r="C53" s="1" t="n">
        <v>114700027</v>
      </c>
      <c r="D53" s="1" t="n">
        <v>247919856</v>
      </c>
      <c r="E53" s="6"/>
      <c r="F53" s="1" t="n">
        <f aca="false">SUM(F2:F52)</f>
        <v>110767228</v>
      </c>
      <c r="G53" s="1" t="n">
        <f aca="false">SUM(G2:G52)</f>
        <v>3932799</v>
      </c>
      <c r="H53" s="1" t="n">
        <f aca="false">SUM(H2:H52)</f>
        <v>114700027</v>
      </c>
      <c r="I53" s="6"/>
      <c r="J53" s="1" t="n">
        <f aca="false">SUM(J2:J52)</f>
        <v>110767228</v>
      </c>
      <c r="K53" s="1" t="n">
        <f aca="false">SUM(K2:K52)</f>
        <v>3932799</v>
      </c>
      <c r="L53" s="7" t="n">
        <v>74.3013676550224</v>
      </c>
      <c r="M53" s="1" t="n">
        <f aca="false">SUM(M2:M52)</f>
        <v>110767228</v>
      </c>
      <c r="N53" s="1" t="n">
        <f aca="false">SUM(N2:N52)</f>
        <v>3932799</v>
      </c>
      <c r="O53" s="1" t="n">
        <f aca="false">SUM(O2:O52)</f>
        <v>3932799</v>
      </c>
      <c r="P53" s="6" t="n">
        <f aca="false">AE$53</f>
        <v>0.0628874080123128</v>
      </c>
      <c r="Q53" s="1" t="n">
        <f aca="false">SUM(Q2:Q52)</f>
        <v>114700027</v>
      </c>
      <c r="R53" s="1" t="n">
        <f aca="false">SUM(R2:R52)</f>
        <v>112733627.5</v>
      </c>
      <c r="S53" s="1" t="n">
        <f aca="false">SUM(S2:S52)</f>
        <v>7865598</v>
      </c>
      <c r="T53" s="6" t="n">
        <f aca="false">Rhoii/RhoOrig</f>
        <v>0.982557116775117</v>
      </c>
      <c r="U53" s="6"/>
      <c r="V53" s="6" t="n">
        <f aca="false">Rhoii/RhoTot</f>
        <v>0.965712309727704</v>
      </c>
      <c r="W53" s="6" t="n">
        <f aca="false">0.5*Rhoij/RhoTot</f>
        <v>0.0171438451361481</v>
      </c>
      <c r="X53" s="6" t="n">
        <f aca="false">0.5*Rhoji/RhoTot</f>
        <v>0.0171438451361481</v>
      </c>
      <c r="Y53" s="6" t="n">
        <f aca="false">Rhoij/RhoOrig</f>
        <v>0.0348857664497667</v>
      </c>
      <c r="Z53" s="6" t="n">
        <f aca="false">Rhoij/RhoCordon</f>
        <v>0.5</v>
      </c>
      <c r="AA53" s="6" t="n">
        <f aca="false">Rhoji/RhoCordon</f>
        <v>0.5</v>
      </c>
      <c r="AC53" s="1" t="s">
        <v>237</v>
      </c>
      <c r="AE53" s="6" t="n">
        <v>0.0628874080123128</v>
      </c>
      <c r="AF53" s="5"/>
      <c r="AG53" s="5"/>
      <c r="AH53" s="5"/>
      <c r="AI53" s="5"/>
      <c r="AU53" s="10" t="n">
        <v>2422775</v>
      </c>
      <c r="AV53" s="10" t="n">
        <v>1489490</v>
      </c>
      <c r="AW53" s="10" t="n">
        <v>205907</v>
      </c>
      <c r="AX53" s="10" t="n">
        <v>126891</v>
      </c>
      <c r="AY53" s="10" t="n">
        <v>293270</v>
      </c>
      <c r="AZ53" s="10" t="n">
        <v>370358</v>
      </c>
      <c r="BA53" s="10" t="n">
        <v>151536</v>
      </c>
      <c r="BB53" s="10" t="n">
        <v>341528</v>
      </c>
      <c r="BC53" s="10" t="n">
        <v>933285</v>
      </c>
      <c r="BD53" s="10" t="n">
        <v>105156</v>
      </c>
      <c r="BE53" s="10" t="n">
        <v>49936</v>
      </c>
      <c r="BF53" s="10" t="n">
        <v>186212</v>
      </c>
      <c r="BG53" s="10" t="n">
        <v>153028</v>
      </c>
      <c r="BH53" s="10" t="n">
        <v>215568</v>
      </c>
      <c r="BI53" s="10" t="n">
        <v>223385</v>
      </c>
      <c r="BJ53" s="1" t="s">
        <v>237</v>
      </c>
      <c r="BK53" s="1" t="s">
        <v>238</v>
      </c>
      <c r="BN53" s="1" t="n">
        <f aca="false">LN(TotalVMT)</f>
        <v>14.7004241353961</v>
      </c>
    </row>
    <row r="54" customFormat="false" ht="12.75" hidden="false" customHeight="false" outlineLevel="0" collapsed="false">
      <c r="AF54" s="5" t="n">
        <v>71376944</v>
      </c>
      <c r="AG54" s="5" t="n">
        <v>4488711</v>
      </c>
      <c r="AH54" s="5" t="n">
        <v>45002038</v>
      </c>
      <c r="AI54" s="5" t="n">
        <v>21886195</v>
      </c>
      <c r="AU54" s="10" t="n">
        <v>2438323</v>
      </c>
      <c r="AV54" s="10" t="n">
        <v>1501008</v>
      </c>
      <c r="AW54" s="10" t="n">
        <v>207361</v>
      </c>
      <c r="AX54" s="10" t="n">
        <v>128324</v>
      </c>
      <c r="AY54" s="10" t="n">
        <v>295353</v>
      </c>
      <c r="AZ54" s="10" t="n">
        <v>373015</v>
      </c>
      <c r="BA54" s="10" t="n">
        <v>152353</v>
      </c>
      <c r="BB54" s="10" t="n">
        <v>344602</v>
      </c>
      <c r="BC54" s="10" t="n">
        <v>937315</v>
      </c>
      <c r="BD54" s="10" t="n">
        <v>105818</v>
      </c>
      <c r="BE54" s="10" t="n">
        <v>50389</v>
      </c>
      <c r="BF54" s="10" t="n">
        <v>186904</v>
      </c>
      <c r="BG54" s="10" t="n">
        <v>153824</v>
      </c>
      <c r="BH54" s="10" t="n">
        <v>215942</v>
      </c>
      <c r="BI54" s="10" t="n">
        <v>224438</v>
      </c>
      <c r="BJ54" s="1" t="s">
        <v>237</v>
      </c>
      <c r="BK54" s="1" t="s">
        <v>238</v>
      </c>
      <c r="BN54" s="1" t="n">
        <f aca="false">LN(TotalVMT)</f>
        <v>14.7068210658919</v>
      </c>
    </row>
    <row r="55" customFormat="false" ht="12.75" hidden="false" customHeight="false" outlineLevel="0" collapsed="false">
      <c r="AF55" s="5" t="n">
        <v>71376944</v>
      </c>
      <c r="AG55" s="5" t="n">
        <v>4488711</v>
      </c>
      <c r="AH55" s="5" t="n">
        <v>45002038</v>
      </c>
      <c r="AI55" s="5" t="n">
        <v>21886195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1998-12-09T03:55:16Z</dcterms:created>
  <dc:creator>David Levinson</dc:creator>
  <dc:description/>
  <dc:language>en-AU</dc:language>
  <cp:lastModifiedBy>David Levinson</cp:lastModifiedBy>
  <cp:revision>0</cp:revision>
  <dc:subject/>
  <dc:title/>
</cp:coreProperties>
</file>